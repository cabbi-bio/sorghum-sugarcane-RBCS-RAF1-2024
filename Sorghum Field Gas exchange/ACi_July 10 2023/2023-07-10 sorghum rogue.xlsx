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sorghum aci field july 10 2023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DA166" i="1" l="1"/>
  <c r="CZ166" i="1"/>
  <c r="CX166" i="1"/>
  <c r="BM166" i="1"/>
  <c r="BL166" i="1"/>
  <c r="BH166" i="1"/>
  <c r="BD166" i="1"/>
  <c r="AX166" i="1"/>
  <c r="AR166" i="1"/>
  <c r="BE166" i="1" s="1"/>
  <c r="AM166" i="1"/>
  <c r="AK166" i="1" s="1"/>
  <c r="AL166" i="1"/>
  <c r="AC166" i="1"/>
  <c r="AB166" i="1"/>
  <c r="AA166" i="1"/>
  <c r="T166" i="1"/>
  <c r="DA165" i="1"/>
  <c r="W165" i="1" s="1"/>
  <c r="CZ165" i="1"/>
  <c r="CY165" i="1"/>
  <c r="AZ165" i="1" s="1"/>
  <c r="BB165" i="1" s="1"/>
  <c r="CX165" i="1"/>
  <c r="BN165" i="1"/>
  <c r="BO165" i="1" s="1"/>
  <c r="BM165" i="1"/>
  <c r="BL165" i="1"/>
  <c r="BK165" i="1"/>
  <c r="BJ165" i="1"/>
  <c r="BI165" i="1"/>
  <c r="BH165" i="1"/>
  <c r="BD165" i="1"/>
  <c r="AX165" i="1"/>
  <c r="AR165" i="1"/>
  <c r="BE165" i="1" s="1"/>
  <c r="AM165" i="1"/>
  <c r="AL165" i="1"/>
  <c r="AK165" i="1"/>
  <c r="AC165" i="1"/>
  <c r="AB165" i="1"/>
  <c r="AA165" i="1"/>
  <c r="T165" i="1"/>
  <c r="DA164" i="1"/>
  <c r="CZ164" i="1"/>
  <c r="CY164" i="1"/>
  <c r="AZ164" i="1" s="1"/>
  <c r="CX164" i="1"/>
  <c r="BM164" i="1"/>
  <c r="BL164" i="1"/>
  <c r="BK164" i="1"/>
  <c r="BJ164" i="1"/>
  <c r="BN164" i="1" s="1"/>
  <c r="BO164" i="1" s="1"/>
  <c r="BI164" i="1"/>
  <c r="BH164" i="1"/>
  <c r="BE164" i="1"/>
  <c r="BD164" i="1"/>
  <c r="AX164" i="1"/>
  <c r="BB164" i="1" s="1"/>
  <c r="AR164" i="1"/>
  <c r="AM164" i="1"/>
  <c r="AK164" i="1" s="1"/>
  <c r="AC164" i="1"/>
  <c r="AB164" i="1"/>
  <c r="AA164" i="1" s="1"/>
  <c r="W164" i="1"/>
  <c r="T164" i="1"/>
  <c r="O164" i="1"/>
  <c r="DA163" i="1"/>
  <c r="CZ163" i="1"/>
  <c r="CY163" i="1"/>
  <c r="AZ163" i="1" s="1"/>
  <c r="CX163" i="1"/>
  <c r="BM163" i="1"/>
  <c r="BL163" i="1"/>
  <c r="BH163" i="1"/>
  <c r="BE163" i="1"/>
  <c r="BD163" i="1"/>
  <c r="AX163" i="1"/>
  <c r="AR163" i="1"/>
  <c r="AM163" i="1"/>
  <c r="AK163" i="1" s="1"/>
  <c r="O163" i="1" s="1"/>
  <c r="AC163" i="1"/>
  <c r="AA163" i="1" s="1"/>
  <c r="AB163" i="1"/>
  <c r="W163" i="1"/>
  <c r="T163" i="1"/>
  <c r="DA162" i="1"/>
  <c r="CZ162" i="1"/>
  <c r="CX162" i="1"/>
  <c r="BM162" i="1"/>
  <c r="BL162" i="1"/>
  <c r="BH162" i="1"/>
  <c r="BE162" i="1"/>
  <c r="BD162" i="1"/>
  <c r="AX162" i="1"/>
  <c r="AR162" i="1"/>
  <c r="AM162" i="1"/>
  <c r="AK162" i="1"/>
  <c r="O162" i="1" s="1"/>
  <c r="AC162" i="1"/>
  <c r="AB162" i="1"/>
  <c r="AA162" i="1" s="1"/>
  <c r="T162" i="1"/>
  <c r="M162" i="1"/>
  <c r="L162" i="1" s="1"/>
  <c r="DA161" i="1"/>
  <c r="W161" i="1" s="1"/>
  <c r="CZ161" i="1"/>
  <c r="CY161" i="1" s="1"/>
  <c r="AZ161" i="1" s="1"/>
  <c r="CX161" i="1"/>
  <c r="BM161" i="1"/>
  <c r="BL161" i="1"/>
  <c r="BK161" i="1"/>
  <c r="BJ161" i="1"/>
  <c r="BN161" i="1" s="1"/>
  <c r="BO161" i="1" s="1"/>
  <c r="BI161" i="1"/>
  <c r="BH161" i="1"/>
  <c r="BD161" i="1"/>
  <c r="AX161" i="1"/>
  <c r="AR161" i="1"/>
  <c r="BE161" i="1" s="1"/>
  <c r="AM161" i="1"/>
  <c r="AK161" i="1"/>
  <c r="M161" i="1" s="1"/>
  <c r="AC161" i="1"/>
  <c r="AB161" i="1"/>
  <c r="AA161" i="1"/>
  <c r="T161" i="1"/>
  <c r="R161" i="1"/>
  <c r="O161" i="1"/>
  <c r="N161" i="1"/>
  <c r="BA161" i="1" s="1"/>
  <c r="L161" i="1"/>
  <c r="DA160" i="1"/>
  <c r="CZ160" i="1"/>
  <c r="CX160" i="1"/>
  <c r="CY160" i="1" s="1"/>
  <c r="AZ160" i="1" s="1"/>
  <c r="BB160" i="1" s="1"/>
  <c r="BM160" i="1"/>
  <c r="BL160" i="1"/>
  <c r="BK160" i="1"/>
  <c r="BH160" i="1"/>
  <c r="BJ160" i="1" s="1"/>
  <c r="BN160" i="1" s="1"/>
  <c r="BO160" i="1" s="1"/>
  <c r="BE160" i="1"/>
  <c r="BD160" i="1"/>
  <c r="BA160" i="1"/>
  <c r="BC160" i="1" s="1"/>
  <c r="AX160" i="1"/>
  <c r="AR160" i="1"/>
  <c r="AM160" i="1"/>
  <c r="AK160" i="1" s="1"/>
  <c r="AL160" i="1"/>
  <c r="AG160" i="1"/>
  <c r="AC160" i="1"/>
  <c r="AB160" i="1"/>
  <c r="AA160" i="1" s="1"/>
  <c r="X160" i="1"/>
  <c r="Y160" i="1" s="1"/>
  <c r="Z160" i="1" s="1"/>
  <c r="AD160" i="1" s="1"/>
  <c r="W160" i="1"/>
  <c r="T160" i="1"/>
  <c r="R160" i="1"/>
  <c r="O160" i="1"/>
  <c r="N160" i="1"/>
  <c r="M160" i="1"/>
  <c r="L160" i="1" s="1"/>
  <c r="DA159" i="1"/>
  <c r="CZ159" i="1"/>
  <c r="CY159" i="1"/>
  <c r="AZ159" i="1" s="1"/>
  <c r="BB159" i="1" s="1"/>
  <c r="CX159" i="1"/>
  <c r="W159" i="1" s="1"/>
  <c r="BM159" i="1"/>
  <c r="BL159" i="1"/>
  <c r="BH159" i="1"/>
  <c r="BK159" i="1" s="1"/>
  <c r="BE159" i="1"/>
  <c r="BD159" i="1"/>
  <c r="AX159" i="1"/>
  <c r="AR159" i="1"/>
  <c r="AM159" i="1"/>
  <c r="AK159" i="1"/>
  <c r="AC159" i="1"/>
  <c r="AB159" i="1"/>
  <c r="AA159" i="1" s="1"/>
  <c r="T159" i="1"/>
  <c r="O159" i="1"/>
  <c r="DA158" i="1"/>
  <c r="CZ158" i="1"/>
  <c r="CX158" i="1"/>
  <c r="BM158" i="1"/>
  <c r="BL158" i="1"/>
  <c r="BH158" i="1"/>
  <c r="BI158" i="1" s="1"/>
  <c r="BD158" i="1"/>
  <c r="AX158" i="1"/>
  <c r="AR158" i="1"/>
  <c r="BE158" i="1" s="1"/>
  <c r="AM158" i="1"/>
  <c r="AL158" i="1"/>
  <c r="AK158" i="1"/>
  <c r="AC158" i="1"/>
  <c r="AB158" i="1"/>
  <c r="AA158" i="1"/>
  <c r="T158" i="1"/>
  <c r="R158" i="1"/>
  <c r="DA157" i="1"/>
  <c r="CZ157" i="1"/>
  <c r="CX157" i="1"/>
  <c r="W157" i="1" s="1"/>
  <c r="BM157" i="1"/>
  <c r="BL157" i="1"/>
  <c r="BJ157" i="1"/>
  <c r="BN157" i="1" s="1"/>
  <c r="BO157" i="1" s="1"/>
  <c r="BH157" i="1"/>
  <c r="BD157" i="1"/>
  <c r="AX157" i="1"/>
  <c r="AR157" i="1"/>
  <c r="BE157" i="1" s="1"/>
  <c r="AM157" i="1"/>
  <c r="AL157" i="1"/>
  <c r="AK157" i="1"/>
  <c r="M157" i="1" s="1"/>
  <c r="AE157" i="1"/>
  <c r="AC157" i="1"/>
  <c r="AB157" i="1"/>
  <c r="AA157" i="1" s="1"/>
  <c r="T157" i="1"/>
  <c r="R157" i="1"/>
  <c r="O157" i="1"/>
  <c r="N157" i="1"/>
  <c r="BA157" i="1" s="1"/>
  <c r="L157" i="1"/>
  <c r="DA156" i="1"/>
  <c r="W156" i="1" s="1"/>
  <c r="CZ156" i="1"/>
  <c r="CY156" i="1" s="1"/>
  <c r="CX156" i="1"/>
  <c r="BM156" i="1"/>
  <c r="BL156" i="1"/>
  <c r="BK156" i="1"/>
  <c r="BJ156" i="1"/>
  <c r="BN156" i="1" s="1"/>
  <c r="BO156" i="1" s="1"/>
  <c r="BI156" i="1"/>
  <c r="BH156" i="1"/>
  <c r="BD156" i="1"/>
  <c r="AZ156" i="1"/>
  <c r="BB156" i="1" s="1"/>
  <c r="AX156" i="1"/>
  <c r="AR156" i="1"/>
  <c r="BE156" i="1" s="1"/>
  <c r="AM156" i="1"/>
  <c r="AK156" i="1" s="1"/>
  <c r="AL156" i="1"/>
  <c r="AC156" i="1"/>
  <c r="AB156" i="1"/>
  <c r="T156" i="1"/>
  <c r="R156" i="1"/>
  <c r="O156" i="1"/>
  <c r="N156" i="1"/>
  <c r="BA156" i="1" s="1"/>
  <c r="BC156" i="1" s="1"/>
  <c r="M156" i="1"/>
  <c r="L156" i="1"/>
  <c r="AE156" i="1" s="1"/>
  <c r="DA155" i="1"/>
  <c r="CZ155" i="1"/>
  <c r="CX155" i="1"/>
  <c r="CY155" i="1" s="1"/>
  <c r="BO155" i="1"/>
  <c r="BN155" i="1"/>
  <c r="BM155" i="1"/>
  <c r="BL155" i="1"/>
  <c r="BJ155" i="1"/>
  <c r="BH155" i="1"/>
  <c r="BK155" i="1" s="1"/>
  <c r="BE155" i="1"/>
  <c r="BD155" i="1"/>
  <c r="AZ155" i="1"/>
  <c r="BB155" i="1" s="1"/>
  <c r="AX155" i="1"/>
  <c r="AR155" i="1"/>
  <c r="AM155" i="1"/>
  <c r="AK155" i="1"/>
  <c r="AC155" i="1"/>
  <c r="AB155" i="1"/>
  <c r="AA155" i="1"/>
  <c r="W155" i="1"/>
  <c r="T155" i="1"/>
  <c r="DA154" i="1"/>
  <c r="CZ154" i="1"/>
  <c r="CX154" i="1"/>
  <c r="BO154" i="1"/>
  <c r="BN154" i="1"/>
  <c r="BM154" i="1"/>
  <c r="BL154" i="1"/>
  <c r="BK154" i="1"/>
  <c r="BJ154" i="1"/>
  <c r="BH154" i="1"/>
  <c r="BI154" i="1" s="1"/>
  <c r="BE154" i="1"/>
  <c r="BD154" i="1"/>
  <c r="AX154" i="1"/>
  <c r="AR154" i="1"/>
  <c r="AM154" i="1"/>
  <c r="AL154" i="1"/>
  <c r="AK154" i="1"/>
  <c r="O154" i="1" s="1"/>
  <c r="AC154" i="1"/>
  <c r="AB154" i="1"/>
  <c r="AA154" i="1"/>
  <c r="T154" i="1"/>
  <c r="R154" i="1"/>
  <c r="N154" i="1"/>
  <c r="BA154" i="1" s="1"/>
  <c r="DA153" i="1"/>
  <c r="CZ153" i="1"/>
  <c r="CY153" i="1"/>
  <c r="AZ153" i="1" s="1"/>
  <c r="CX153" i="1"/>
  <c r="W153" i="1" s="1"/>
  <c r="BM153" i="1"/>
  <c r="BL153" i="1"/>
  <c r="BH153" i="1"/>
  <c r="BD153" i="1"/>
  <c r="BB153" i="1"/>
  <c r="AX153" i="1"/>
  <c r="AR153" i="1"/>
  <c r="BE153" i="1" s="1"/>
  <c r="AM153" i="1"/>
  <c r="AK153" i="1"/>
  <c r="AC153" i="1"/>
  <c r="AB153" i="1"/>
  <c r="AA153" i="1"/>
  <c r="T153" i="1"/>
  <c r="DA152" i="1"/>
  <c r="CZ152" i="1"/>
  <c r="CX152" i="1"/>
  <c r="W152" i="1" s="1"/>
  <c r="BM152" i="1"/>
  <c r="BL152" i="1"/>
  <c r="BK152" i="1"/>
  <c r="BI152" i="1"/>
  <c r="BH152" i="1"/>
  <c r="BJ152" i="1" s="1"/>
  <c r="BN152" i="1" s="1"/>
  <c r="BO152" i="1" s="1"/>
  <c r="BD152" i="1"/>
  <c r="AX152" i="1"/>
  <c r="AR152" i="1"/>
  <c r="BE152" i="1" s="1"/>
  <c r="AM152" i="1"/>
  <c r="AK152" i="1" s="1"/>
  <c r="AC152" i="1"/>
  <c r="AB152" i="1"/>
  <c r="T152" i="1"/>
  <c r="DA151" i="1"/>
  <c r="CZ151" i="1"/>
  <c r="CX151" i="1"/>
  <c r="CY151" i="1" s="1"/>
  <c r="AZ151" i="1" s="1"/>
  <c r="BM151" i="1"/>
  <c r="BL151" i="1"/>
  <c r="BJ151" i="1"/>
  <c r="BN151" i="1" s="1"/>
  <c r="BO151" i="1" s="1"/>
  <c r="BI151" i="1"/>
  <c r="BH151" i="1"/>
  <c r="BK151" i="1" s="1"/>
  <c r="BD151" i="1"/>
  <c r="AX151" i="1"/>
  <c r="BB151" i="1" s="1"/>
  <c r="AR151" i="1"/>
  <c r="BE151" i="1" s="1"/>
  <c r="AM151" i="1"/>
  <c r="AK151" i="1" s="1"/>
  <c r="AC151" i="1"/>
  <c r="AB151" i="1"/>
  <c r="AA151" i="1" s="1"/>
  <c r="W151" i="1"/>
  <c r="T151" i="1"/>
  <c r="N151" i="1"/>
  <c r="BA151" i="1" s="1"/>
  <c r="DA150" i="1"/>
  <c r="CZ150" i="1"/>
  <c r="CX150" i="1"/>
  <c r="BM150" i="1"/>
  <c r="BL150" i="1"/>
  <c r="BK150" i="1"/>
  <c r="BJ150" i="1"/>
  <c r="BN150" i="1" s="1"/>
  <c r="BO150" i="1" s="1"/>
  <c r="BH150" i="1"/>
  <c r="BI150" i="1" s="1"/>
  <c r="BD150" i="1"/>
  <c r="AX150" i="1"/>
  <c r="AR150" i="1"/>
  <c r="BE150" i="1" s="1"/>
  <c r="AM150" i="1"/>
  <c r="AK150" i="1"/>
  <c r="O150" i="1" s="1"/>
  <c r="AC150" i="1"/>
  <c r="AB150" i="1"/>
  <c r="AA150" i="1" s="1"/>
  <c r="T150" i="1"/>
  <c r="N150" i="1"/>
  <c r="BA150" i="1" s="1"/>
  <c r="M150" i="1"/>
  <c r="L150" i="1"/>
  <c r="DA149" i="1"/>
  <c r="CZ149" i="1"/>
  <c r="CX149" i="1"/>
  <c r="CY149" i="1" s="1"/>
  <c r="AZ149" i="1" s="1"/>
  <c r="BB149" i="1" s="1"/>
  <c r="BN149" i="1"/>
  <c r="BO149" i="1" s="1"/>
  <c r="BM149" i="1"/>
  <c r="BL149" i="1"/>
  <c r="BK149" i="1"/>
  <c r="BJ149" i="1"/>
  <c r="BI149" i="1"/>
  <c r="BH149" i="1"/>
  <c r="BD149" i="1"/>
  <c r="AX149" i="1"/>
  <c r="AR149" i="1"/>
  <c r="BE149" i="1" s="1"/>
  <c r="AM149" i="1"/>
  <c r="AK149" i="1"/>
  <c r="R149" i="1" s="1"/>
  <c r="AC149" i="1"/>
  <c r="AB149" i="1"/>
  <c r="AA149" i="1"/>
  <c r="T149" i="1"/>
  <c r="O149" i="1"/>
  <c r="DA148" i="1"/>
  <c r="CZ148" i="1"/>
  <c r="CY148" i="1"/>
  <c r="AZ148" i="1" s="1"/>
  <c r="CX148" i="1"/>
  <c r="W148" i="1" s="1"/>
  <c r="BM148" i="1"/>
  <c r="BL148" i="1"/>
  <c r="BI148" i="1"/>
  <c r="BH148" i="1"/>
  <c r="BK148" i="1" s="1"/>
  <c r="BE148" i="1"/>
  <c r="BD148" i="1"/>
  <c r="AX148" i="1"/>
  <c r="AR148" i="1"/>
  <c r="AM148" i="1"/>
  <c r="AK148" i="1" s="1"/>
  <c r="N148" i="1" s="1"/>
  <c r="BA148" i="1" s="1"/>
  <c r="AL148" i="1"/>
  <c r="AC148" i="1"/>
  <c r="AB148" i="1"/>
  <c r="T148" i="1"/>
  <c r="R148" i="1"/>
  <c r="DA147" i="1"/>
  <c r="CZ147" i="1"/>
  <c r="CY147" i="1"/>
  <c r="AZ147" i="1" s="1"/>
  <c r="CX147" i="1"/>
  <c r="W147" i="1" s="1"/>
  <c r="BM147" i="1"/>
  <c r="BL147" i="1"/>
  <c r="BH147" i="1"/>
  <c r="BD147" i="1"/>
  <c r="AX147" i="1"/>
  <c r="AR147" i="1"/>
  <c r="BE147" i="1" s="1"/>
  <c r="AM147" i="1"/>
  <c r="AK147" i="1" s="1"/>
  <c r="AC147" i="1"/>
  <c r="AA147" i="1" s="1"/>
  <c r="AB147" i="1"/>
  <c r="T147" i="1"/>
  <c r="O147" i="1"/>
  <c r="N147" i="1"/>
  <c r="BA147" i="1" s="1"/>
  <c r="DA146" i="1"/>
  <c r="CZ146" i="1"/>
  <c r="CY146" i="1"/>
  <c r="AZ146" i="1" s="1"/>
  <c r="CX146" i="1"/>
  <c r="BM146" i="1"/>
  <c r="BL146" i="1"/>
  <c r="BI146" i="1"/>
  <c r="BH146" i="1"/>
  <c r="BD146" i="1"/>
  <c r="AX146" i="1"/>
  <c r="BB146" i="1" s="1"/>
  <c r="AR146" i="1"/>
  <c r="BE146" i="1" s="1"/>
  <c r="AM146" i="1"/>
  <c r="AK146" i="1" s="1"/>
  <c r="AC146" i="1"/>
  <c r="AB146" i="1"/>
  <c r="AA146" i="1" s="1"/>
  <c r="W146" i="1"/>
  <c r="T146" i="1"/>
  <c r="DA145" i="1"/>
  <c r="CZ145" i="1"/>
  <c r="CX145" i="1"/>
  <c r="CY145" i="1" s="1"/>
  <c r="BM145" i="1"/>
  <c r="BL145" i="1"/>
  <c r="BJ145" i="1"/>
  <c r="BN145" i="1" s="1"/>
  <c r="BO145" i="1" s="1"/>
  <c r="BH145" i="1"/>
  <c r="BI145" i="1" s="1"/>
  <c r="BE145" i="1"/>
  <c r="BD145" i="1"/>
  <c r="AZ145" i="1"/>
  <c r="BB145" i="1" s="1"/>
  <c r="AX145" i="1"/>
  <c r="AR145" i="1"/>
  <c r="AM145" i="1"/>
  <c r="AK145" i="1" s="1"/>
  <c r="AC145" i="1"/>
  <c r="AB145" i="1"/>
  <c r="AA145" i="1"/>
  <c r="T145" i="1"/>
  <c r="R145" i="1"/>
  <c r="DA144" i="1"/>
  <c r="CZ144" i="1"/>
  <c r="CX144" i="1"/>
  <c r="BM144" i="1"/>
  <c r="BL144" i="1"/>
  <c r="BH144" i="1"/>
  <c r="BI144" i="1" s="1"/>
  <c r="BD144" i="1"/>
  <c r="AX144" i="1"/>
  <c r="AR144" i="1"/>
  <c r="BE144" i="1" s="1"/>
  <c r="AM144" i="1"/>
  <c r="AK144" i="1"/>
  <c r="AC144" i="1"/>
  <c r="AB144" i="1"/>
  <c r="AA144" i="1"/>
  <c r="T144" i="1"/>
  <c r="DA143" i="1"/>
  <c r="CZ143" i="1"/>
  <c r="CX143" i="1"/>
  <c r="CY143" i="1" s="1"/>
  <c r="BN143" i="1"/>
  <c r="BO143" i="1" s="1"/>
  <c r="BM143" i="1"/>
  <c r="BL143" i="1"/>
  <c r="BK143" i="1"/>
  <c r="BJ143" i="1"/>
  <c r="BI143" i="1"/>
  <c r="BH143" i="1"/>
  <c r="BD143" i="1"/>
  <c r="BA143" i="1"/>
  <c r="BC143" i="1" s="1"/>
  <c r="AZ143" i="1"/>
  <c r="AX143" i="1"/>
  <c r="AR143" i="1"/>
  <c r="BE143" i="1" s="1"/>
  <c r="AM143" i="1"/>
  <c r="AK143" i="1" s="1"/>
  <c r="M143" i="1" s="1"/>
  <c r="AC143" i="1"/>
  <c r="AB143" i="1"/>
  <c r="AA143" i="1" s="1"/>
  <c r="W143" i="1"/>
  <c r="T143" i="1"/>
  <c r="N143" i="1"/>
  <c r="L143" i="1"/>
  <c r="DA142" i="1"/>
  <c r="CZ142" i="1"/>
  <c r="CX142" i="1"/>
  <c r="CY142" i="1" s="1"/>
  <c r="AZ142" i="1" s="1"/>
  <c r="BM142" i="1"/>
  <c r="BL142" i="1"/>
  <c r="BJ142" i="1"/>
  <c r="BN142" i="1" s="1"/>
  <c r="BO142" i="1" s="1"/>
  <c r="BI142" i="1"/>
  <c r="BH142" i="1"/>
  <c r="BK142" i="1" s="1"/>
  <c r="BD142" i="1"/>
  <c r="AX142" i="1"/>
  <c r="AR142" i="1"/>
  <c r="BE142" i="1" s="1"/>
  <c r="AM142" i="1"/>
  <c r="AK142" i="1" s="1"/>
  <c r="AC142" i="1"/>
  <c r="AA142" i="1" s="1"/>
  <c r="AB142" i="1"/>
  <c r="W142" i="1"/>
  <c r="T142" i="1"/>
  <c r="M142" i="1"/>
  <c r="L142" i="1" s="1"/>
  <c r="AE142" i="1" s="1"/>
  <c r="DA141" i="1"/>
  <c r="CZ141" i="1"/>
  <c r="CX141" i="1"/>
  <c r="CY141" i="1" s="1"/>
  <c r="BM141" i="1"/>
  <c r="BL141" i="1"/>
  <c r="BK141" i="1"/>
  <c r="BJ141" i="1"/>
  <c r="BN141" i="1" s="1"/>
  <c r="BO141" i="1" s="1"/>
  <c r="BH141" i="1"/>
  <c r="BI141" i="1" s="1"/>
  <c r="BE141" i="1"/>
  <c r="BD141" i="1"/>
  <c r="AZ141" i="1"/>
  <c r="AX141" i="1"/>
  <c r="BB141" i="1" s="1"/>
  <c r="AR141" i="1"/>
  <c r="AM141" i="1"/>
  <c r="AK141" i="1" s="1"/>
  <c r="AC141" i="1"/>
  <c r="AA141" i="1" s="1"/>
  <c r="AB141" i="1"/>
  <c r="W141" i="1"/>
  <c r="T141" i="1"/>
  <c r="O141" i="1"/>
  <c r="DA140" i="1"/>
  <c r="CZ140" i="1"/>
  <c r="CX140" i="1"/>
  <c r="CY140" i="1" s="1"/>
  <c r="AZ140" i="1" s="1"/>
  <c r="BM140" i="1"/>
  <c r="BL140" i="1"/>
  <c r="BI140" i="1"/>
  <c r="BH140" i="1"/>
  <c r="BE140" i="1"/>
  <c r="BD140" i="1"/>
  <c r="AX140" i="1"/>
  <c r="AR140" i="1"/>
  <c r="AM140" i="1"/>
  <c r="AK140" i="1" s="1"/>
  <c r="AC140" i="1"/>
  <c r="AA140" i="1" s="1"/>
  <c r="AB140" i="1"/>
  <c r="T140" i="1"/>
  <c r="O140" i="1"/>
  <c r="N140" i="1"/>
  <c r="BA140" i="1" s="1"/>
  <c r="BC140" i="1" s="1"/>
  <c r="M140" i="1"/>
  <c r="L140" i="1" s="1"/>
  <c r="DA139" i="1"/>
  <c r="CZ139" i="1"/>
  <c r="CX139" i="1"/>
  <c r="CY139" i="1" s="1"/>
  <c r="AZ139" i="1" s="1"/>
  <c r="BB139" i="1" s="1"/>
  <c r="BM139" i="1"/>
  <c r="BL139" i="1"/>
  <c r="BK139" i="1"/>
  <c r="BH139" i="1"/>
  <c r="BJ139" i="1" s="1"/>
  <c r="BN139" i="1" s="1"/>
  <c r="BO139" i="1" s="1"/>
  <c r="BE139" i="1"/>
  <c r="BD139" i="1"/>
  <c r="AX139" i="1"/>
  <c r="AR139" i="1"/>
  <c r="AM139" i="1"/>
  <c r="AK139" i="1"/>
  <c r="AC139" i="1"/>
  <c r="AB139" i="1"/>
  <c r="AA139" i="1" s="1"/>
  <c r="T139" i="1"/>
  <c r="M139" i="1"/>
  <c r="L139" i="1" s="1"/>
  <c r="DA138" i="1"/>
  <c r="W138" i="1" s="1"/>
  <c r="CZ138" i="1"/>
  <c r="CY138" i="1"/>
  <c r="AZ138" i="1" s="1"/>
  <c r="CX138" i="1"/>
  <c r="BM138" i="1"/>
  <c r="BL138" i="1"/>
  <c r="BK138" i="1"/>
  <c r="BJ138" i="1"/>
  <c r="BN138" i="1" s="1"/>
  <c r="BO138" i="1" s="1"/>
  <c r="BI138" i="1"/>
  <c r="BH138" i="1"/>
  <c r="BD138" i="1"/>
  <c r="BB138" i="1"/>
  <c r="AX138" i="1"/>
  <c r="AR138" i="1"/>
  <c r="BE138" i="1" s="1"/>
  <c r="AM138" i="1"/>
  <c r="AK138" i="1"/>
  <c r="R138" i="1" s="1"/>
  <c r="AC138" i="1"/>
  <c r="AB138" i="1"/>
  <c r="AA138" i="1"/>
  <c r="T138" i="1"/>
  <c r="DA137" i="1"/>
  <c r="W137" i="1" s="1"/>
  <c r="CZ137" i="1"/>
  <c r="CY137" i="1"/>
  <c r="AZ137" i="1" s="1"/>
  <c r="CX137" i="1"/>
  <c r="BM137" i="1"/>
  <c r="BL137" i="1"/>
  <c r="BK137" i="1"/>
  <c r="BJ137" i="1"/>
  <c r="BN137" i="1" s="1"/>
  <c r="BO137" i="1" s="1"/>
  <c r="BI137" i="1"/>
  <c r="BH137" i="1"/>
  <c r="BE137" i="1"/>
  <c r="BD137" i="1"/>
  <c r="AX137" i="1"/>
  <c r="AR137" i="1"/>
  <c r="AM137" i="1"/>
  <c r="AK137" i="1" s="1"/>
  <c r="AC137" i="1"/>
  <c r="AB137" i="1"/>
  <c r="AA137" i="1" s="1"/>
  <c r="T137" i="1"/>
  <c r="DA136" i="1"/>
  <c r="CZ136" i="1"/>
  <c r="CX136" i="1"/>
  <c r="BM136" i="1"/>
  <c r="BL136" i="1"/>
  <c r="BI136" i="1"/>
  <c r="BH136" i="1"/>
  <c r="BD136" i="1"/>
  <c r="AX136" i="1"/>
  <c r="AR136" i="1"/>
  <c r="BE136" i="1" s="1"/>
  <c r="AM136" i="1"/>
  <c r="AK136" i="1" s="1"/>
  <c r="AC136" i="1"/>
  <c r="AA136" i="1" s="1"/>
  <c r="AB136" i="1"/>
  <c r="T136" i="1"/>
  <c r="DA135" i="1"/>
  <c r="CZ135" i="1"/>
  <c r="CX135" i="1"/>
  <c r="CY135" i="1" s="1"/>
  <c r="AZ135" i="1" s="1"/>
  <c r="BB135" i="1" s="1"/>
  <c r="BN135" i="1"/>
  <c r="BO135" i="1" s="1"/>
  <c r="BM135" i="1"/>
  <c r="BL135" i="1"/>
  <c r="BK135" i="1"/>
  <c r="BH135" i="1"/>
  <c r="BJ135" i="1" s="1"/>
  <c r="BE135" i="1"/>
  <c r="BD135" i="1"/>
  <c r="AX135" i="1"/>
  <c r="AR135" i="1"/>
  <c r="AM135" i="1"/>
  <c r="AK135" i="1" s="1"/>
  <c r="AC135" i="1"/>
  <c r="AB135" i="1"/>
  <c r="AA135" i="1"/>
  <c r="T135" i="1"/>
  <c r="DA134" i="1"/>
  <c r="CZ134" i="1"/>
  <c r="CY134" i="1"/>
  <c r="AZ134" i="1" s="1"/>
  <c r="BB134" i="1" s="1"/>
  <c r="CX134" i="1"/>
  <c r="BM134" i="1"/>
  <c r="BL134" i="1"/>
  <c r="BK134" i="1"/>
  <c r="BJ134" i="1"/>
  <c r="BN134" i="1" s="1"/>
  <c r="BO134" i="1" s="1"/>
  <c r="BI134" i="1"/>
  <c r="BH134" i="1"/>
  <c r="BD134" i="1"/>
  <c r="AX134" i="1"/>
  <c r="AR134" i="1"/>
  <c r="BE134" i="1" s="1"/>
  <c r="AM134" i="1"/>
  <c r="AK134" i="1"/>
  <c r="AC134" i="1"/>
  <c r="AB134" i="1"/>
  <c r="AA134" i="1"/>
  <c r="W134" i="1"/>
  <c r="T134" i="1"/>
  <c r="DA133" i="1"/>
  <c r="CZ133" i="1"/>
  <c r="CY133" i="1" s="1"/>
  <c r="AZ133" i="1" s="1"/>
  <c r="CX133" i="1"/>
  <c r="BM133" i="1"/>
  <c r="BL133" i="1"/>
  <c r="BK133" i="1"/>
  <c r="BJ133" i="1"/>
  <c r="BN133" i="1" s="1"/>
  <c r="BO133" i="1" s="1"/>
  <c r="BI133" i="1"/>
  <c r="BH133" i="1"/>
  <c r="BE133" i="1"/>
  <c r="BD133" i="1"/>
  <c r="AX133" i="1"/>
  <c r="AR133" i="1"/>
  <c r="AM133" i="1"/>
  <c r="AK133" i="1" s="1"/>
  <c r="AC133" i="1"/>
  <c r="AB133" i="1"/>
  <c r="AA133" i="1" s="1"/>
  <c r="W133" i="1"/>
  <c r="T133" i="1"/>
  <c r="DA132" i="1"/>
  <c r="CZ132" i="1"/>
  <c r="CY132" i="1"/>
  <c r="AZ132" i="1" s="1"/>
  <c r="CX132" i="1"/>
  <c r="BM132" i="1"/>
  <c r="BL132" i="1"/>
  <c r="BI132" i="1"/>
  <c r="BH132" i="1"/>
  <c r="BE132" i="1"/>
  <c r="BD132" i="1"/>
  <c r="AX132" i="1"/>
  <c r="AR132" i="1"/>
  <c r="AM132" i="1"/>
  <c r="AK132" i="1" s="1"/>
  <c r="AC132" i="1"/>
  <c r="AB132" i="1"/>
  <c r="AA132" i="1"/>
  <c r="W132" i="1"/>
  <c r="T132" i="1"/>
  <c r="M132" i="1"/>
  <c r="L132" i="1"/>
  <c r="DA131" i="1"/>
  <c r="CZ131" i="1"/>
  <c r="CX131" i="1"/>
  <c r="BM131" i="1"/>
  <c r="BL131" i="1"/>
  <c r="BK131" i="1"/>
  <c r="BH131" i="1"/>
  <c r="BI131" i="1" s="1"/>
  <c r="BD131" i="1"/>
  <c r="AX131" i="1"/>
  <c r="AR131" i="1"/>
  <c r="BE131" i="1" s="1"/>
  <c r="AM131" i="1"/>
  <c r="AK131" i="1"/>
  <c r="O131" i="1" s="1"/>
  <c r="AC131" i="1"/>
  <c r="AB131" i="1"/>
  <c r="AA131" i="1" s="1"/>
  <c r="T131" i="1"/>
  <c r="N131" i="1"/>
  <c r="BA131" i="1" s="1"/>
  <c r="M131" i="1"/>
  <c r="L131" i="1" s="1"/>
  <c r="DA130" i="1"/>
  <c r="CZ130" i="1"/>
  <c r="CX130" i="1"/>
  <c r="CY130" i="1" s="1"/>
  <c r="AZ130" i="1" s="1"/>
  <c r="BB130" i="1" s="1"/>
  <c r="BN130" i="1"/>
  <c r="BO130" i="1" s="1"/>
  <c r="BM130" i="1"/>
  <c r="BL130" i="1"/>
  <c r="BK130" i="1"/>
  <c r="BJ130" i="1"/>
  <c r="BI130" i="1"/>
  <c r="BH130" i="1"/>
  <c r="BD130" i="1"/>
  <c r="AX130" i="1"/>
  <c r="AR130" i="1"/>
  <c r="BE130" i="1" s="1"/>
  <c r="AM130" i="1"/>
  <c r="AK130" i="1"/>
  <c r="AC130" i="1"/>
  <c r="AB130" i="1"/>
  <c r="AA130" i="1"/>
  <c r="W130" i="1"/>
  <c r="T130" i="1"/>
  <c r="R130" i="1"/>
  <c r="DA129" i="1"/>
  <c r="CZ129" i="1"/>
  <c r="CY129" i="1" s="1"/>
  <c r="CX129" i="1"/>
  <c r="BM129" i="1"/>
  <c r="BL129" i="1"/>
  <c r="BK129" i="1"/>
  <c r="BJ129" i="1"/>
  <c r="BN129" i="1" s="1"/>
  <c r="BO129" i="1" s="1"/>
  <c r="BI129" i="1"/>
  <c r="BH129" i="1"/>
  <c r="BE129" i="1"/>
  <c r="BD129" i="1"/>
  <c r="AZ129" i="1"/>
  <c r="AX129" i="1"/>
  <c r="AR129" i="1"/>
  <c r="AM129" i="1"/>
  <c r="AK129" i="1" s="1"/>
  <c r="AC129" i="1"/>
  <c r="AB129" i="1"/>
  <c r="AA129" i="1" s="1"/>
  <c r="W129" i="1"/>
  <c r="T129" i="1"/>
  <c r="O129" i="1"/>
  <c r="DA128" i="1"/>
  <c r="CZ128" i="1"/>
  <c r="CX128" i="1"/>
  <c r="CY128" i="1" s="1"/>
  <c r="AZ128" i="1" s="1"/>
  <c r="BM128" i="1"/>
  <c r="BL128" i="1"/>
  <c r="BH128" i="1"/>
  <c r="BE128" i="1"/>
  <c r="BD128" i="1"/>
  <c r="AX128" i="1"/>
  <c r="AR128" i="1"/>
  <c r="AM128" i="1"/>
  <c r="AK128" i="1" s="1"/>
  <c r="O128" i="1" s="1"/>
  <c r="AC128" i="1"/>
  <c r="AA128" i="1" s="1"/>
  <c r="AB128" i="1"/>
  <c r="T128" i="1"/>
  <c r="N128" i="1"/>
  <c r="BA128" i="1" s="1"/>
  <c r="BC128" i="1" s="1"/>
  <c r="M128" i="1"/>
  <c r="L128" i="1" s="1"/>
  <c r="DA127" i="1"/>
  <c r="CZ127" i="1"/>
  <c r="CX127" i="1"/>
  <c r="CY127" i="1" s="1"/>
  <c r="AZ127" i="1" s="1"/>
  <c r="BB127" i="1" s="1"/>
  <c r="BM127" i="1"/>
  <c r="BL127" i="1"/>
  <c r="BK127" i="1"/>
  <c r="BH127" i="1"/>
  <c r="BJ127" i="1" s="1"/>
  <c r="BN127" i="1" s="1"/>
  <c r="BO127" i="1" s="1"/>
  <c r="BE127" i="1"/>
  <c r="BD127" i="1"/>
  <c r="AX127" i="1"/>
  <c r="AR127" i="1"/>
  <c r="AM127" i="1"/>
  <c r="AL127" i="1"/>
  <c r="AK127" i="1"/>
  <c r="AC127" i="1"/>
  <c r="AB127" i="1"/>
  <c r="AA127" i="1" s="1"/>
  <c r="T127" i="1"/>
  <c r="DA126" i="1"/>
  <c r="W126" i="1" s="1"/>
  <c r="CZ126" i="1"/>
  <c r="CY126" i="1"/>
  <c r="AZ126" i="1" s="1"/>
  <c r="CX126" i="1"/>
  <c r="BN126" i="1"/>
  <c r="BO126" i="1" s="1"/>
  <c r="BM126" i="1"/>
  <c r="BL126" i="1"/>
  <c r="BK126" i="1"/>
  <c r="BJ126" i="1"/>
  <c r="BI126" i="1"/>
  <c r="BH126" i="1"/>
  <c r="BD126" i="1"/>
  <c r="BB126" i="1"/>
  <c r="AX126" i="1"/>
  <c r="AR126" i="1"/>
  <c r="BE126" i="1" s="1"/>
  <c r="AM126" i="1"/>
  <c r="AK126" i="1"/>
  <c r="R126" i="1" s="1"/>
  <c r="AC126" i="1"/>
  <c r="AB126" i="1"/>
  <c r="AA126" i="1"/>
  <c r="T126" i="1"/>
  <c r="DA125" i="1"/>
  <c r="CZ125" i="1"/>
  <c r="CY125" i="1" s="1"/>
  <c r="AZ125" i="1" s="1"/>
  <c r="CX125" i="1"/>
  <c r="BM125" i="1"/>
  <c r="BL125" i="1"/>
  <c r="BK125" i="1"/>
  <c r="BJ125" i="1"/>
  <c r="BN125" i="1" s="1"/>
  <c r="BO125" i="1" s="1"/>
  <c r="BI125" i="1"/>
  <c r="BH125" i="1"/>
  <c r="BE125" i="1"/>
  <c r="BD125" i="1"/>
  <c r="AX125" i="1"/>
  <c r="AR125" i="1"/>
  <c r="AM125" i="1"/>
  <c r="AK125" i="1" s="1"/>
  <c r="AC125" i="1"/>
  <c r="AB125" i="1"/>
  <c r="AA125" i="1" s="1"/>
  <c r="W125" i="1"/>
  <c r="T125" i="1"/>
  <c r="DA124" i="1"/>
  <c r="CZ124" i="1"/>
  <c r="CY124" i="1"/>
  <c r="AZ124" i="1" s="1"/>
  <c r="CX124" i="1"/>
  <c r="BM124" i="1"/>
  <c r="BL124" i="1"/>
  <c r="BI124" i="1"/>
  <c r="BH124" i="1"/>
  <c r="BD124" i="1"/>
  <c r="AX124" i="1"/>
  <c r="BB124" i="1" s="1"/>
  <c r="AR124" i="1"/>
  <c r="BE124" i="1" s="1"/>
  <c r="AM124" i="1"/>
  <c r="AK124" i="1" s="1"/>
  <c r="AC124" i="1"/>
  <c r="AA124" i="1" s="1"/>
  <c r="AB124" i="1"/>
  <c r="W124" i="1"/>
  <c r="T124" i="1"/>
  <c r="O124" i="1"/>
  <c r="N124" i="1"/>
  <c r="BA124" i="1" s="1"/>
  <c r="M124" i="1"/>
  <c r="L124" i="1" s="1"/>
  <c r="AE124" i="1" s="1"/>
  <c r="DA123" i="1"/>
  <c r="CZ123" i="1"/>
  <c r="CX123" i="1"/>
  <c r="CY123" i="1" s="1"/>
  <c r="AZ123" i="1" s="1"/>
  <c r="BB123" i="1" s="1"/>
  <c r="BM123" i="1"/>
  <c r="BL123" i="1"/>
  <c r="BK123" i="1"/>
  <c r="BH123" i="1"/>
  <c r="BJ123" i="1" s="1"/>
  <c r="BN123" i="1" s="1"/>
  <c r="BO123" i="1" s="1"/>
  <c r="BE123" i="1"/>
  <c r="BD123" i="1"/>
  <c r="AX123" i="1"/>
  <c r="AR123" i="1"/>
  <c r="AM123" i="1"/>
  <c r="AK123" i="1" s="1"/>
  <c r="AC123" i="1"/>
  <c r="AB123" i="1"/>
  <c r="AA123" i="1"/>
  <c r="T123" i="1"/>
  <c r="DA122" i="1"/>
  <c r="W122" i="1" s="1"/>
  <c r="CZ122" i="1"/>
  <c r="CY122" i="1"/>
  <c r="AZ122" i="1" s="1"/>
  <c r="BB122" i="1" s="1"/>
  <c r="CX122" i="1"/>
  <c r="BN122" i="1"/>
  <c r="BO122" i="1" s="1"/>
  <c r="BM122" i="1"/>
  <c r="BL122" i="1"/>
  <c r="BK122" i="1"/>
  <c r="BJ122" i="1"/>
  <c r="BI122" i="1"/>
  <c r="BH122" i="1"/>
  <c r="BD122" i="1"/>
  <c r="AX122" i="1"/>
  <c r="AR122" i="1"/>
  <c r="BE122" i="1" s="1"/>
  <c r="AM122" i="1"/>
  <c r="AK122" i="1"/>
  <c r="AC122" i="1"/>
  <c r="AB122" i="1"/>
  <c r="AA122" i="1"/>
  <c r="T122" i="1"/>
  <c r="DA121" i="1"/>
  <c r="CZ121" i="1"/>
  <c r="CY121" i="1"/>
  <c r="AZ121" i="1" s="1"/>
  <c r="CX121" i="1"/>
  <c r="BM121" i="1"/>
  <c r="BL121" i="1"/>
  <c r="BK121" i="1"/>
  <c r="BJ121" i="1"/>
  <c r="BN121" i="1" s="1"/>
  <c r="BO121" i="1" s="1"/>
  <c r="BI121" i="1"/>
  <c r="BH121" i="1"/>
  <c r="BE121" i="1"/>
  <c r="BD121" i="1"/>
  <c r="AX121" i="1"/>
  <c r="AR121" i="1"/>
  <c r="AM121" i="1"/>
  <c r="AK121" i="1" s="1"/>
  <c r="AC121" i="1"/>
  <c r="AB121" i="1"/>
  <c r="AA121" i="1" s="1"/>
  <c r="W121" i="1"/>
  <c r="T121" i="1"/>
  <c r="O121" i="1"/>
  <c r="DA120" i="1"/>
  <c r="CZ120" i="1"/>
  <c r="CX120" i="1"/>
  <c r="CY120" i="1" s="1"/>
  <c r="AZ120" i="1" s="1"/>
  <c r="BM120" i="1"/>
  <c r="BL120" i="1"/>
  <c r="BI120" i="1"/>
  <c r="BH120" i="1"/>
  <c r="BE120" i="1"/>
  <c r="BD120" i="1"/>
  <c r="AX120" i="1"/>
  <c r="AR120" i="1"/>
  <c r="AM120" i="1"/>
  <c r="AK120" i="1" s="1"/>
  <c r="AC120" i="1"/>
  <c r="AA120" i="1" s="1"/>
  <c r="AB120" i="1"/>
  <c r="T120" i="1"/>
  <c r="DA119" i="1"/>
  <c r="CZ119" i="1"/>
  <c r="CX119" i="1"/>
  <c r="CY119" i="1" s="1"/>
  <c r="AZ119" i="1" s="1"/>
  <c r="BB119" i="1" s="1"/>
  <c r="BN119" i="1"/>
  <c r="BO119" i="1" s="1"/>
  <c r="BM119" i="1"/>
  <c r="BL119" i="1"/>
  <c r="BK119" i="1"/>
  <c r="BH119" i="1"/>
  <c r="BJ119" i="1" s="1"/>
  <c r="BE119" i="1"/>
  <c r="BD119" i="1"/>
  <c r="AX119" i="1"/>
  <c r="AR119" i="1"/>
  <c r="AM119" i="1"/>
  <c r="AK119" i="1" s="1"/>
  <c r="AC119" i="1"/>
  <c r="AB119" i="1"/>
  <c r="AA119" i="1" s="1"/>
  <c r="T119" i="1"/>
  <c r="DA118" i="1"/>
  <c r="CZ118" i="1"/>
  <c r="CY118" i="1"/>
  <c r="AZ118" i="1" s="1"/>
  <c r="BB118" i="1" s="1"/>
  <c r="CX118" i="1"/>
  <c r="BM118" i="1"/>
  <c r="BL118" i="1"/>
  <c r="BK118" i="1"/>
  <c r="BJ118" i="1"/>
  <c r="BN118" i="1" s="1"/>
  <c r="BO118" i="1" s="1"/>
  <c r="BI118" i="1"/>
  <c r="BH118" i="1"/>
  <c r="BD118" i="1"/>
  <c r="AX118" i="1"/>
  <c r="AR118" i="1"/>
  <c r="BE118" i="1" s="1"/>
  <c r="AM118" i="1"/>
  <c r="AK118" i="1"/>
  <c r="AC118" i="1"/>
  <c r="AB118" i="1"/>
  <c r="AA118" i="1"/>
  <c r="W118" i="1"/>
  <c r="T118" i="1"/>
  <c r="O118" i="1"/>
  <c r="DA117" i="1"/>
  <c r="W117" i="1" s="1"/>
  <c r="CZ117" i="1"/>
  <c r="CY117" i="1"/>
  <c r="AZ117" i="1" s="1"/>
  <c r="CX117" i="1"/>
  <c r="BO117" i="1"/>
  <c r="BM117" i="1"/>
  <c r="BL117" i="1"/>
  <c r="BK117" i="1"/>
  <c r="BJ117" i="1"/>
  <c r="BN117" i="1" s="1"/>
  <c r="BI117" i="1"/>
  <c r="BH117" i="1"/>
  <c r="BE117" i="1"/>
  <c r="BD117" i="1"/>
  <c r="AX117" i="1"/>
  <c r="AR117" i="1"/>
  <c r="AM117" i="1"/>
  <c r="AK117" i="1" s="1"/>
  <c r="AE117" i="1"/>
  <c r="AC117" i="1"/>
  <c r="AB117" i="1"/>
  <c r="AA117" i="1" s="1"/>
  <c r="T117" i="1"/>
  <c r="O117" i="1"/>
  <c r="M117" i="1"/>
  <c r="L117" i="1" s="1"/>
  <c r="DA116" i="1"/>
  <c r="CZ116" i="1"/>
  <c r="CX116" i="1"/>
  <c r="W116" i="1" s="1"/>
  <c r="BM116" i="1"/>
  <c r="BL116" i="1"/>
  <c r="BH116" i="1"/>
  <c r="BE116" i="1"/>
  <c r="BD116" i="1"/>
  <c r="AX116" i="1"/>
  <c r="AR116" i="1"/>
  <c r="AM116" i="1"/>
  <c r="AK116" i="1" s="1"/>
  <c r="AC116" i="1"/>
  <c r="AA116" i="1" s="1"/>
  <c r="AB116" i="1"/>
  <c r="T116" i="1"/>
  <c r="DA115" i="1"/>
  <c r="CZ115" i="1"/>
  <c r="CX115" i="1"/>
  <c r="CY115" i="1" s="1"/>
  <c r="AZ115" i="1" s="1"/>
  <c r="BB115" i="1" s="1"/>
  <c r="BM115" i="1"/>
  <c r="BL115" i="1"/>
  <c r="BK115" i="1"/>
  <c r="BH115" i="1"/>
  <c r="BD115" i="1"/>
  <c r="AX115" i="1"/>
  <c r="AR115" i="1"/>
  <c r="BE115" i="1" s="1"/>
  <c r="AM115" i="1"/>
  <c r="AK115" i="1" s="1"/>
  <c r="AC115" i="1"/>
  <c r="AB115" i="1"/>
  <c r="AA115" i="1" s="1"/>
  <c r="T115" i="1"/>
  <c r="R115" i="1"/>
  <c r="N115" i="1"/>
  <c r="BA115" i="1" s="1"/>
  <c r="BC115" i="1" s="1"/>
  <c r="DA114" i="1"/>
  <c r="CZ114" i="1"/>
  <c r="CY114" i="1" s="1"/>
  <c r="AZ114" i="1" s="1"/>
  <c r="CX114" i="1"/>
  <c r="BN114" i="1"/>
  <c r="BO114" i="1" s="1"/>
  <c r="BM114" i="1"/>
  <c r="BL114" i="1"/>
  <c r="BK114" i="1"/>
  <c r="BJ114" i="1"/>
  <c r="BI114" i="1"/>
  <c r="BH114" i="1"/>
  <c r="BD114" i="1"/>
  <c r="BB114" i="1"/>
  <c r="AX114" i="1"/>
  <c r="AR114" i="1"/>
  <c r="BE114" i="1" s="1"/>
  <c r="AM114" i="1"/>
  <c r="AK114" i="1"/>
  <c r="AC114" i="1"/>
  <c r="AB114" i="1"/>
  <c r="AA114" i="1"/>
  <c r="W114" i="1"/>
  <c r="T114" i="1"/>
  <c r="O114" i="1"/>
  <c r="DA113" i="1"/>
  <c r="CZ113" i="1"/>
  <c r="CY113" i="1"/>
  <c r="AZ113" i="1" s="1"/>
  <c r="CX113" i="1"/>
  <c r="BM113" i="1"/>
  <c r="BL113" i="1"/>
  <c r="BH113" i="1"/>
  <c r="BK113" i="1" s="1"/>
  <c r="BD113" i="1"/>
  <c r="BB113" i="1"/>
  <c r="AX113" i="1"/>
  <c r="AR113" i="1"/>
  <c r="BE113" i="1" s="1"/>
  <c r="AM113" i="1"/>
  <c r="AK113" i="1" s="1"/>
  <c r="AL113" i="1" s="1"/>
  <c r="AC113" i="1"/>
  <c r="AB113" i="1"/>
  <c r="AA113" i="1" s="1"/>
  <c r="W113" i="1"/>
  <c r="T113" i="1"/>
  <c r="O113" i="1"/>
  <c r="N113" i="1"/>
  <c r="BA113" i="1" s="1"/>
  <c r="BC113" i="1" s="1"/>
  <c r="M113" i="1"/>
  <c r="L113" i="1" s="1"/>
  <c r="DA112" i="1"/>
  <c r="CZ112" i="1"/>
  <c r="CY112" i="1"/>
  <c r="AZ112" i="1" s="1"/>
  <c r="BB112" i="1" s="1"/>
  <c r="CX112" i="1"/>
  <c r="BM112" i="1"/>
  <c r="BL112" i="1"/>
  <c r="BH112" i="1"/>
  <c r="BK112" i="1" s="1"/>
  <c r="BD112" i="1"/>
  <c r="AX112" i="1"/>
  <c r="AR112" i="1"/>
  <c r="BE112" i="1" s="1"/>
  <c r="AM112" i="1"/>
  <c r="AK112" i="1"/>
  <c r="AC112" i="1"/>
  <c r="AB112" i="1"/>
  <c r="AA112" i="1" s="1"/>
  <c r="W112" i="1"/>
  <c r="T112" i="1"/>
  <c r="DA111" i="1"/>
  <c r="CZ111" i="1"/>
  <c r="CX111" i="1"/>
  <c r="BM111" i="1"/>
  <c r="BL111" i="1"/>
  <c r="BH111" i="1"/>
  <c r="BI111" i="1" s="1"/>
  <c r="BD111" i="1"/>
  <c r="AX111" i="1"/>
  <c r="AR111" i="1"/>
  <c r="BE111" i="1" s="1"/>
  <c r="AM111" i="1"/>
  <c r="AK111" i="1"/>
  <c r="AC111" i="1"/>
  <c r="AB111" i="1"/>
  <c r="AA111" i="1"/>
  <c r="T111" i="1"/>
  <c r="R111" i="1"/>
  <c r="DA110" i="1"/>
  <c r="CZ110" i="1"/>
  <c r="CY110" i="1"/>
  <c r="AZ110" i="1" s="1"/>
  <c r="CX110" i="1"/>
  <c r="W110" i="1" s="1"/>
  <c r="BM110" i="1"/>
  <c r="BL110" i="1"/>
  <c r="BH110" i="1"/>
  <c r="BD110" i="1"/>
  <c r="AX110" i="1"/>
  <c r="BB110" i="1" s="1"/>
  <c r="AR110" i="1"/>
  <c r="BE110" i="1" s="1"/>
  <c r="AM110" i="1"/>
  <c r="AL110" i="1"/>
  <c r="AK110" i="1"/>
  <c r="AC110" i="1"/>
  <c r="AB110" i="1"/>
  <c r="AA110" i="1"/>
  <c r="T110" i="1"/>
  <c r="M110" i="1"/>
  <c r="L110" i="1" s="1"/>
  <c r="AE110" i="1" s="1"/>
  <c r="DA109" i="1"/>
  <c r="CZ109" i="1"/>
  <c r="CX109" i="1"/>
  <c r="CY109" i="1" s="1"/>
  <c r="AZ109" i="1" s="1"/>
  <c r="BM109" i="1"/>
  <c r="BL109" i="1"/>
  <c r="BK109" i="1"/>
  <c r="BH109" i="1"/>
  <c r="BJ109" i="1" s="1"/>
  <c r="BN109" i="1" s="1"/>
  <c r="BO109" i="1" s="1"/>
  <c r="BE109" i="1"/>
  <c r="BD109" i="1"/>
  <c r="BB109" i="1"/>
  <c r="AX109" i="1"/>
  <c r="AR109" i="1"/>
  <c r="AM109" i="1"/>
  <c r="AK109" i="1"/>
  <c r="AC109" i="1"/>
  <c r="AB109" i="1"/>
  <c r="AA109" i="1"/>
  <c r="T109" i="1"/>
  <c r="R109" i="1"/>
  <c r="DA108" i="1"/>
  <c r="W108" i="1" s="1"/>
  <c r="CZ108" i="1"/>
  <c r="CY108" i="1" s="1"/>
  <c r="AZ108" i="1" s="1"/>
  <c r="CX108" i="1"/>
  <c r="BM108" i="1"/>
  <c r="BL108" i="1"/>
  <c r="BK108" i="1"/>
  <c r="BJ108" i="1"/>
  <c r="BN108" i="1" s="1"/>
  <c r="BO108" i="1" s="1"/>
  <c r="BI108" i="1"/>
  <c r="BH108" i="1"/>
  <c r="BE108" i="1"/>
  <c r="BD108" i="1"/>
  <c r="AX108" i="1"/>
  <c r="AR108" i="1"/>
  <c r="AM108" i="1"/>
  <c r="AK108" i="1"/>
  <c r="N108" i="1" s="1"/>
  <c r="BA108" i="1" s="1"/>
  <c r="BC108" i="1" s="1"/>
  <c r="AC108" i="1"/>
  <c r="AB108" i="1"/>
  <c r="AA108" i="1"/>
  <c r="T108" i="1"/>
  <c r="O108" i="1"/>
  <c r="DA107" i="1"/>
  <c r="CZ107" i="1"/>
  <c r="CY107" i="1"/>
  <c r="AZ107" i="1" s="1"/>
  <c r="CX107" i="1"/>
  <c r="BM107" i="1"/>
  <c r="BL107" i="1"/>
  <c r="BH107" i="1"/>
  <c r="BE107" i="1"/>
  <c r="BD107" i="1"/>
  <c r="AX107" i="1"/>
  <c r="AR107" i="1"/>
  <c r="AM107" i="1"/>
  <c r="AK107" i="1" s="1"/>
  <c r="O107" i="1" s="1"/>
  <c r="AC107" i="1"/>
  <c r="AA107" i="1" s="1"/>
  <c r="AB107" i="1"/>
  <c r="W107" i="1"/>
  <c r="T107" i="1"/>
  <c r="N107" i="1"/>
  <c r="BA107" i="1" s="1"/>
  <c r="BC107" i="1" s="1"/>
  <c r="M107" i="1"/>
  <c r="L107" i="1" s="1"/>
  <c r="DA106" i="1"/>
  <c r="CZ106" i="1"/>
  <c r="CY106" i="1"/>
  <c r="AZ106" i="1" s="1"/>
  <c r="CX106" i="1"/>
  <c r="BO106" i="1"/>
  <c r="BN106" i="1"/>
  <c r="BM106" i="1"/>
  <c r="BL106" i="1"/>
  <c r="BK106" i="1"/>
  <c r="BJ106" i="1"/>
  <c r="BI106" i="1"/>
  <c r="BH106" i="1"/>
  <c r="BE106" i="1"/>
  <c r="BD106" i="1"/>
  <c r="AX106" i="1"/>
  <c r="BB106" i="1" s="1"/>
  <c r="AR106" i="1"/>
  <c r="AM106" i="1"/>
  <c r="AK106" i="1"/>
  <c r="O106" i="1" s="1"/>
  <c r="AC106" i="1"/>
  <c r="AB106" i="1"/>
  <c r="AA106" i="1" s="1"/>
  <c r="W106" i="1"/>
  <c r="T106" i="1"/>
  <c r="DA105" i="1"/>
  <c r="CZ105" i="1"/>
  <c r="CX105" i="1"/>
  <c r="CY105" i="1" s="1"/>
  <c r="AZ105" i="1" s="1"/>
  <c r="BB105" i="1" s="1"/>
  <c r="BM105" i="1"/>
  <c r="BL105" i="1"/>
  <c r="BK105" i="1"/>
  <c r="BH105" i="1"/>
  <c r="BJ105" i="1" s="1"/>
  <c r="BN105" i="1" s="1"/>
  <c r="BO105" i="1" s="1"/>
  <c r="BE105" i="1"/>
  <c r="BD105" i="1"/>
  <c r="AX105" i="1"/>
  <c r="AR105" i="1"/>
  <c r="AM105" i="1"/>
  <c r="AK105" i="1" s="1"/>
  <c r="AC105" i="1"/>
  <c r="AA105" i="1" s="1"/>
  <c r="AB105" i="1"/>
  <c r="T105" i="1"/>
  <c r="DA104" i="1"/>
  <c r="CZ104" i="1"/>
  <c r="CY104" i="1" s="1"/>
  <c r="AZ104" i="1" s="1"/>
  <c r="CX104" i="1"/>
  <c r="BM104" i="1"/>
  <c r="BL104" i="1"/>
  <c r="BK104" i="1"/>
  <c r="BJ104" i="1"/>
  <c r="BN104" i="1" s="1"/>
  <c r="BO104" i="1" s="1"/>
  <c r="BI104" i="1"/>
  <c r="BH104" i="1"/>
  <c r="BE104" i="1"/>
  <c r="BD104" i="1"/>
  <c r="AX104" i="1"/>
  <c r="AR104" i="1"/>
  <c r="AM104" i="1"/>
  <c r="AK104" i="1"/>
  <c r="AC104" i="1"/>
  <c r="AB104" i="1"/>
  <c r="AA104" i="1"/>
  <c r="W104" i="1"/>
  <c r="T104" i="1"/>
  <c r="DA103" i="1"/>
  <c r="W103" i="1" s="1"/>
  <c r="CZ103" i="1"/>
  <c r="CX103" i="1"/>
  <c r="CY103" i="1" s="1"/>
  <c r="AZ103" i="1" s="1"/>
  <c r="BM103" i="1"/>
  <c r="BL103" i="1"/>
  <c r="BK103" i="1"/>
  <c r="BI103" i="1"/>
  <c r="BH103" i="1"/>
  <c r="BJ103" i="1" s="1"/>
  <c r="BN103" i="1" s="1"/>
  <c r="BO103" i="1" s="1"/>
  <c r="BD103" i="1"/>
  <c r="AX103" i="1"/>
  <c r="AR103" i="1"/>
  <c r="BE103" i="1" s="1"/>
  <c r="AM103" i="1"/>
  <c r="AK103" i="1" s="1"/>
  <c r="AC103" i="1"/>
  <c r="AB103" i="1"/>
  <c r="AA103" i="1"/>
  <c r="T103" i="1"/>
  <c r="R103" i="1"/>
  <c r="DA102" i="1"/>
  <c r="CZ102" i="1"/>
  <c r="CY102" i="1"/>
  <c r="AZ102" i="1" s="1"/>
  <c r="CX102" i="1"/>
  <c r="BM102" i="1"/>
  <c r="BL102" i="1"/>
  <c r="BK102" i="1"/>
  <c r="BJ102" i="1"/>
  <c r="BN102" i="1" s="1"/>
  <c r="BO102" i="1" s="1"/>
  <c r="BI102" i="1"/>
  <c r="BH102" i="1"/>
  <c r="BE102" i="1"/>
  <c r="BD102" i="1"/>
  <c r="AX102" i="1"/>
  <c r="BB102" i="1" s="1"/>
  <c r="AR102" i="1"/>
  <c r="AM102" i="1"/>
  <c r="AK102" i="1" s="1"/>
  <c r="AC102" i="1"/>
  <c r="AB102" i="1"/>
  <c r="AA102" i="1" s="1"/>
  <c r="W102" i="1"/>
  <c r="T102" i="1"/>
  <c r="DA101" i="1"/>
  <c r="CZ101" i="1"/>
  <c r="CX101" i="1"/>
  <c r="CY101" i="1" s="1"/>
  <c r="AZ101" i="1" s="1"/>
  <c r="BM101" i="1"/>
  <c r="BL101" i="1"/>
  <c r="BJ101" i="1"/>
  <c r="BN101" i="1" s="1"/>
  <c r="BO101" i="1" s="1"/>
  <c r="BH101" i="1"/>
  <c r="BK101" i="1" s="1"/>
  <c r="BD101" i="1"/>
  <c r="AX101" i="1"/>
  <c r="AR101" i="1"/>
  <c r="BE101" i="1" s="1"/>
  <c r="AM101" i="1"/>
  <c r="AK101" i="1"/>
  <c r="M101" i="1" s="1"/>
  <c r="L101" i="1" s="1"/>
  <c r="AC101" i="1"/>
  <c r="AB101" i="1"/>
  <c r="AA101" i="1"/>
  <c r="X101" i="1"/>
  <c r="Y101" i="1" s="1"/>
  <c r="W101" i="1"/>
  <c r="T101" i="1"/>
  <c r="O101" i="1"/>
  <c r="N101" i="1"/>
  <c r="BA101" i="1" s="1"/>
  <c r="DA100" i="1"/>
  <c r="CZ100" i="1"/>
  <c r="CX100" i="1"/>
  <c r="BM100" i="1"/>
  <c r="BL100" i="1"/>
  <c r="BH100" i="1"/>
  <c r="BE100" i="1"/>
  <c r="BD100" i="1"/>
  <c r="AX100" i="1"/>
  <c r="AR100" i="1"/>
  <c r="AM100" i="1"/>
  <c r="AK100" i="1" s="1"/>
  <c r="AL100" i="1" s="1"/>
  <c r="AC100" i="1"/>
  <c r="AB100" i="1"/>
  <c r="AA100" i="1" s="1"/>
  <c r="T100" i="1"/>
  <c r="N100" i="1"/>
  <c r="BA100" i="1" s="1"/>
  <c r="DA99" i="1"/>
  <c r="CZ99" i="1"/>
  <c r="CY99" i="1"/>
  <c r="AZ99" i="1" s="1"/>
  <c r="BB99" i="1" s="1"/>
  <c r="CX99" i="1"/>
  <c r="BN99" i="1"/>
  <c r="BO99" i="1" s="1"/>
  <c r="BM99" i="1"/>
  <c r="BL99" i="1"/>
  <c r="BK99" i="1"/>
  <c r="BJ99" i="1"/>
  <c r="BI99" i="1"/>
  <c r="BH99" i="1"/>
  <c r="BE99" i="1"/>
  <c r="BD99" i="1"/>
  <c r="AX99" i="1"/>
  <c r="AR99" i="1"/>
  <c r="AM99" i="1"/>
  <c r="AL99" i="1"/>
  <c r="AK99" i="1"/>
  <c r="AC99" i="1"/>
  <c r="AB99" i="1"/>
  <c r="AA99" i="1" s="1"/>
  <c r="W99" i="1"/>
  <c r="T99" i="1"/>
  <c r="DA98" i="1"/>
  <c r="W98" i="1" s="1"/>
  <c r="CZ98" i="1"/>
  <c r="CY98" i="1" s="1"/>
  <c r="CX98" i="1"/>
  <c r="BM98" i="1"/>
  <c r="BL98" i="1"/>
  <c r="BK98" i="1"/>
  <c r="BJ98" i="1"/>
  <c r="BN98" i="1" s="1"/>
  <c r="BO98" i="1" s="1"/>
  <c r="BI98" i="1"/>
  <c r="BH98" i="1"/>
  <c r="BE98" i="1"/>
  <c r="BD98" i="1"/>
  <c r="BB98" i="1"/>
  <c r="AZ98" i="1"/>
  <c r="AX98" i="1"/>
  <c r="AR98" i="1"/>
  <c r="AM98" i="1"/>
  <c r="AK98" i="1" s="1"/>
  <c r="R98" i="1" s="1"/>
  <c r="AC98" i="1"/>
  <c r="AA98" i="1" s="1"/>
  <c r="AB98" i="1"/>
  <c r="T98" i="1"/>
  <c r="DA97" i="1"/>
  <c r="CZ97" i="1"/>
  <c r="CX97" i="1"/>
  <c r="CY97" i="1" s="1"/>
  <c r="AZ97" i="1" s="1"/>
  <c r="BM97" i="1"/>
  <c r="BL97" i="1"/>
  <c r="BJ97" i="1"/>
  <c r="BN97" i="1" s="1"/>
  <c r="BO97" i="1" s="1"/>
  <c r="BI97" i="1"/>
  <c r="BH97" i="1"/>
  <c r="BK97" i="1" s="1"/>
  <c r="BD97" i="1"/>
  <c r="AX97" i="1"/>
  <c r="AR97" i="1"/>
  <c r="BE97" i="1" s="1"/>
  <c r="AM97" i="1"/>
  <c r="AK97" i="1"/>
  <c r="M97" i="1" s="1"/>
  <c r="L97" i="1" s="1"/>
  <c r="AC97" i="1"/>
  <c r="AB97" i="1"/>
  <c r="AA97" i="1"/>
  <c r="W97" i="1"/>
  <c r="T97" i="1"/>
  <c r="O97" i="1"/>
  <c r="N97" i="1"/>
  <c r="BA97" i="1" s="1"/>
  <c r="DA96" i="1"/>
  <c r="CZ96" i="1"/>
  <c r="CX96" i="1"/>
  <c r="BM96" i="1"/>
  <c r="BL96" i="1"/>
  <c r="BH96" i="1"/>
  <c r="BD96" i="1"/>
  <c r="AX96" i="1"/>
  <c r="AR96" i="1"/>
  <c r="BE96" i="1" s="1"/>
  <c r="AM96" i="1"/>
  <c r="AK96" i="1" s="1"/>
  <c r="AC96" i="1"/>
  <c r="AB96" i="1"/>
  <c r="T96" i="1"/>
  <c r="DA95" i="1"/>
  <c r="CZ95" i="1"/>
  <c r="CY95" i="1"/>
  <c r="AZ95" i="1" s="1"/>
  <c r="CX95" i="1"/>
  <c r="BN95" i="1"/>
  <c r="BO95" i="1" s="1"/>
  <c r="BM95" i="1"/>
  <c r="BL95" i="1"/>
  <c r="BK95" i="1"/>
  <c r="BJ95" i="1"/>
  <c r="BI95" i="1"/>
  <c r="BH95" i="1"/>
  <c r="BD95" i="1"/>
  <c r="BB95" i="1"/>
  <c r="AX95" i="1"/>
  <c r="AR95" i="1"/>
  <c r="BE95" i="1" s="1"/>
  <c r="AM95" i="1"/>
  <c r="AK95" i="1"/>
  <c r="AC95" i="1"/>
  <c r="AB95" i="1"/>
  <c r="AA95" i="1" s="1"/>
  <c r="W95" i="1"/>
  <c r="T95" i="1"/>
  <c r="R95" i="1"/>
  <c r="DA94" i="1"/>
  <c r="CZ94" i="1"/>
  <c r="CX94" i="1"/>
  <c r="BM94" i="1"/>
  <c r="BL94" i="1"/>
  <c r="BK94" i="1"/>
  <c r="BJ94" i="1"/>
  <c r="BN94" i="1" s="1"/>
  <c r="BO94" i="1" s="1"/>
  <c r="BH94" i="1"/>
  <c r="BI94" i="1" s="1"/>
  <c r="BE94" i="1"/>
  <c r="BD94" i="1"/>
  <c r="AX94" i="1"/>
  <c r="AR94" i="1"/>
  <c r="AM94" i="1"/>
  <c r="AK94" i="1" s="1"/>
  <c r="AC94" i="1"/>
  <c r="AB94" i="1"/>
  <c r="AA94" i="1" s="1"/>
  <c r="T94" i="1"/>
  <c r="DA93" i="1"/>
  <c r="CZ93" i="1"/>
  <c r="CX93" i="1"/>
  <c r="W93" i="1" s="1"/>
  <c r="BM93" i="1"/>
  <c r="BL93" i="1"/>
  <c r="BJ93" i="1"/>
  <c r="BN93" i="1" s="1"/>
  <c r="BO93" i="1" s="1"/>
  <c r="BI93" i="1"/>
  <c r="BH93" i="1"/>
  <c r="BK93" i="1" s="1"/>
  <c r="BD93" i="1"/>
  <c r="AX93" i="1"/>
  <c r="AR93" i="1"/>
  <c r="BE93" i="1" s="1"/>
  <c r="AM93" i="1"/>
  <c r="AK93" i="1"/>
  <c r="M93" i="1" s="1"/>
  <c r="L93" i="1" s="1"/>
  <c r="AE93" i="1" s="1"/>
  <c r="AC93" i="1"/>
  <c r="AB93" i="1"/>
  <c r="AA93" i="1"/>
  <c r="T93" i="1"/>
  <c r="O93" i="1"/>
  <c r="N93" i="1"/>
  <c r="BA93" i="1" s="1"/>
  <c r="DA92" i="1"/>
  <c r="CZ92" i="1"/>
  <c r="CX92" i="1"/>
  <c r="BM92" i="1"/>
  <c r="BL92" i="1"/>
  <c r="BH92" i="1"/>
  <c r="BE92" i="1"/>
  <c r="BD92" i="1"/>
  <c r="AX92" i="1"/>
  <c r="AR92" i="1"/>
  <c r="AM92" i="1"/>
  <c r="AK92" i="1" s="1"/>
  <c r="AL92" i="1" s="1"/>
  <c r="AC92" i="1"/>
  <c r="AB92" i="1"/>
  <c r="AA92" i="1" s="1"/>
  <c r="T92" i="1"/>
  <c r="N92" i="1"/>
  <c r="BA92" i="1" s="1"/>
  <c r="DA91" i="1"/>
  <c r="CZ91" i="1"/>
  <c r="CY91" i="1"/>
  <c r="AZ91" i="1" s="1"/>
  <c r="CX91" i="1"/>
  <c r="BN91" i="1"/>
  <c r="BO91" i="1" s="1"/>
  <c r="BM91" i="1"/>
  <c r="BL91" i="1"/>
  <c r="BK91" i="1"/>
  <c r="BJ91" i="1"/>
  <c r="BI91" i="1"/>
  <c r="BH91" i="1"/>
  <c r="BD91" i="1"/>
  <c r="BB91" i="1"/>
  <c r="AX91" i="1"/>
  <c r="AR91" i="1"/>
  <c r="BE91" i="1" s="1"/>
  <c r="AM91" i="1"/>
  <c r="AL91" i="1"/>
  <c r="AK91" i="1"/>
  <c r="AC91" i="1"/>
  <c r="AB91" i="1"/>
  <c r="AA91" i="1" s="1"/>
  <c r="W91" i="1"/>
  <c r="T91" i="1"/>
  <c r="R91" i="1"/>
  <c r="DA90" i="1"/>
  <c r="CZ90" i="1"/>
  <c r="CX90" i="1"/>
  <c r="CY90" i="1" s="1"/>
  <c r="AZ90" i="1" s="1"/>
  <c r="BB90" i="1" s="1"/>
  <c r="BM90" i="1"/>
  <c r="BL90" i="1"/>
  <c r="BK90" i="1"/>
  <c r="BJ90" i="1"/>
  <c r="BN90" i="1" s="1"/>
  <c r="BO90" i="1" s="1"/>
  <c r="BH90" i="1"/>
  <c r="BI90" i="1" s="1"/>
  <c r="BE90" i="1"/>
  <c r="BD90" i="1"/>
  <c r="AX90" i="1"/>
  <c r="AR90" i="1"/>
  <c r="AM90" i="1"/>
  <c r="AK90" i="1" s="1"/>
  <c r="R90" i="1" s="1"/>
  <c r="AC90" i="1"/>
  <c r="AB90" i="1"/>
  <c r="AA90" i="1" s="1"/>
  <c r="T90" i="1"/>
  <c r="DA89" i="1"/>
  <c r="CZ89" i="1"/>
  <c r="CY89" i="1"/>
  <c r="CX89" i="1"/>
  <c r="BM89" i="1"/>
  <c r="BL89" i="1"/>
  <c r="BJ89" i="1"/>
  <c r="BN89" i="1" s="1"/>
  <c r="BO89" i="1" s="1"/>
  <c r="BI89" i="1"/>
  <c r="BH89" i="1"/>
  <c r="BK89" i="1" s="1"/>
  <c r="BD89" i="1"/>
  <c r="AZ89" i="1"/>
  <c r="AX89" i="1"/>
  <c r="AR89" i="1"/>
  <c r="BE89" i="1" s="1"/>
  <c r="AM89" i="1"/>
  <c r="AK89" i="1"/>
  <c r="M89" i="1" s="1"/>
  <c r="L89" i="1" s="1"/>
  <c r="AE89" i="1" s="1"/>
  <c r="AC89" i="1"/>
  <c r="AB89" i="1"/>
  <c r="AA89" i="1"/>
  <c r="W89" i="1"/>
  <c r="T89" i="1"/>
  <c r="O89" i="1"/>
  <c r="N89" i="1"/>
  <c r="BA89" i="1" s="1"/>
  <c r="DA88" i="1"/>
  <c r="CZ88" i="1"/>
  <c r="CX88" i="1"/>
  <c r="BM88" i="1"/>
  <c r="BL88" i="1"/>
  <c r="BH88" i="1"/>
  <c r="BD88" i="1"/>
  <c r="AX88" i="1"/>
  <c r="AR88" i="1"/>
  <c r="BE88" i="1" s="1"/>
  <c r="AM88" i="1"/>
  <c r="AK88" i="1" s="1"/>
  <c r="AC88" i="1"/>
  <c r="AB88" i="1"/>
  <c r="T88" i="1"/>
  <c r="DA87" i="1"/>
  <c r="CZ87" i="1"/>
  <c r="CY87" i="1"/>
  <c r="AZ87" i="1" s="1"/>
  <c r="CX87" i="1"/>
  <c r="BN87" i="1"/>
  <c r="BO87" i="1" s="1"/>
  <c r="BM87" i="1"/>
  <c r="BL87" i="1"/>
  <c r="BK87" i="1"/>
  <c r="BJ87" i="1"/>
  <c r="BI87" i="1"/>
  <c r="BH87" i="1"/>
  <c r="BD87" i="1"/>
  <c r="BB87" i="1"/>
  <c r="AX87" i="1"/>
  <c r="AR87" i="1"/>
  <c r="BE87" i="1" s="1"/>
  <c r="AM87" i="1"/>
  <c r="AL87" i="1"/>
  <c r="AK87" i="1"/>
  <c r="AC87" i="1"/>
  <c r="AB87" i="1"/>
  <c r="AA87" i="1" s="1"/>
  <c r="W87" i="1"/>
  <c r="T87" i="1"/>
  <c r="R87" i="1"/>
  <c r="DA86" i="1"/>
  <c r="CZ86" i="1"/>
  <c r="CX86" i="1"/>
  <c r="CY86" i="1" s="1"/>
  <c r="AZ86" i="1" s="1"/>
  <c r="BB86" i="1" s="1"/>
  <c r="BM86" i="1"/>
  <c r="BL86" i="1"/>
  <c r="BK86" i="1"/>
  <c r="BJ86" i="1"/>
  <c r="BN86" i="1" s="1"/>
  <c r="BO86" i="1" s="1"/>
  <c r="BH86" i="1"/>
  <c r="BI86" i="1" s="1"/>
  <c r="BE86" i="1"/>
  <c r="BD86" i="1"/>
  <c r="AX86" i="1"/>
  <c r="AR86" i="1"/>
  <c r="AM86" i="1"/>
  <c r="AK86" i="1" s="1"/>
  <c r="AC86" i="1"/>
  <c r="AB86" i="1"/>
  <c r="AA86" i="1" s="1"/>
  <c r="T86" i="1"/>
  <c r="DA85" i="1"/>
  <c r="CZ85" i="1"/>
  <c r="CX85" i="1"/>
  <c r="W85" i="1" s="1"/>
  <c r="BM85" i="1"/>
  <c r="BL85" i="1"/>
  <c r="BJ85" i="1"/>
  <c r="BN85" i="1" s="1"/>
  <c r="BO85" i="1" s="1"/>
  <c r="BI85" i="1"/>
  <c r="BH85" i="1"/>
  <c r="BK85" i="1" s="1"/>
  <c r="BD85" i="1"/>
  <c r="AX85" i="1"/>
  <c r="AR85" i="1"/>
  <c r="BE85" i="1" s="1"/>
  <c r="AM85" i="1"/>
  <c r="AK85" i="1"/>
  <c r="M85" i="1" s="1"/>
  <c r="L85" i="1" s="1"/>
  <c r="AE85" i="1" s="1"/>
  <c r="AC85" i="1"/>
  <c r="AB85" i="1"/>
  <c r="AA85" i="1"/>
  <c r="T85" i="1"/>
  <c r="O85" i="1"/>
  <c r="N85" i="1"/>
  <c r="BA85" i="1" s="1"/>
  <c r="DA84" i="1"/>
  <c r="CZ84" i="1"/>
  <c r="CX84" i="1"/>
  <c r="BM84" i="1"/>
  <c r="BL84" i="1"/>
  <c r="BH84" i="1"/>
  <c r="BE84" i="1"/>
  <c r="BD84" i="1"/>
  <c r="AX84" i="1"/>
  <c r="AR84" i="1"/>
  <c r="AM84" i="1"/>
  <c r="AK84" i="1" s="1"/>
  <c r="AL84" i="1" s="1"/>
  <c r="AC84" i="1"/>
  <c r="AB84" i="1"/>
  <c r="T84" i="1"/>
  <c r="N84" i="1"/>
  <c r="BA84" i="1" s="1"/>
  <c r="DA83" i="1"/>
  <c r="CZ83" i="1"/>
  <c r="CY83" i="1"/>
  <c r="AZ83" i="1" s="1"/>
  <c r="CX83" i="1"/>
  <c r="BN83" i="1"/>
  <c r="BO83" i="1" s="1"/>
  <c r="BM83" i="1"/>
  <c r="BL83" i="1"/>
  <c r="BK83" i="1"/>
  <c r="BJ83" i="1"/>
  <c r="BI83" i="1"/>
  <c r="BH83" i="1"/>
  <c r="BD83" i="1"/>
  <c r="BB83" i="1"/>
  <c r="AX83" i="1"/>
  <c r="AR83" i="1"/>
  <c r="BE83" i="1" s="1"/>
  <c r="AM83" i="1"/>
  <c r="AL83" i="1"/>
  <c r="AK83" i="1"/>
  <c r="AC83" i="1"/>
  <c r="AB83" i="1"/>
  <c r="AA83" i="1"/>
  <c r="W83" i="1"/>
  <c r="T83" i="1"/>
  <c r="R83" i="1"/>
  <c r="O83" i="1"/>
  <c r="DA82" i="1"/>
  <c r="CZ82" i="1"/>
  <c r="CX82" i="1"/>
  <c r="BO82" i="1"/>
  <c r="BM82" i="1"/>
  <c r="BL82" i="1"/>
  <c r="BK82" i="1"/>
  <c r="BJ82" i="1"/>
  <c r="BN82" i="1" s="1"/>
  <c r="BH82" i="1"/>
  <c r="BI82" i="1" s="1"/>
  <c r="BE82" i="1"/>
  <c r="BD82" i="1"/>
  <c r="AX82" i="1"/>
  <c r="AR82" i="1"/>
  <c r="AM82" i="1"/>
  <c r="AK82" i="1" s="1"/>
  <c r="AC82" i="1"/>
  <c r="AA82" i="1" s="1"/>
  <c r="AB82" i="1"/>
  <c r="T82" i="1"/>
  <c r="DA81" i="1"/>
  <c r="CZ81" i="1"/>
  <c r="CX81" i="1"/>
  <c r="W81" i="1" s="1"/>
  <c r="BM81" i="1"/>
  <c r="BL81" i="1"/>
  <c r="BJ81" i="1"/>
  <c r="BN81" i="1" s="1"/>
  <c r="BO81" i="1" s="1"/>
  <c r="BI81" i="1"/>
  <c r="BH81" i="1"/>
  <c r="BK81" i="1" s="1"/>
  <c r="BD81" i="1"/>
  <c r="AX81" i="1"/>
  <c r="AR81" i="1"/>
  <c r="BE81" i="1" s="1"/>
  <c r="AM81" i="1"/>
  <c r="AK81" i="1"/>
  <c r="AC81" i="1"/>
  <c r="AB81" i="1"/>
  <c r="AA81" i="1"/>
  <c r="T81" i="1"/>
  <c r="N81" i="1"/>
  <c r="BA81" i="1" s="1"/>
  <c r="DA80" i="1"/>
  <c r="CZ80" i="1"/>
  <c r="CX80" i="1"/>
  <c r="BM80" i="1"/>
  <c r="BL80" i="1"/>
  <c r="BK80" i="1"/>
  <c r="BH80" i="1"/>
  <c r="BD80" i="1"/>
  <c r="BA80" i="1"/>
  <c r="AX80" i="1"/>
  <c r="AR80" i="1"/>
  <c r="BE80" i="1" s="1"/>
  <c r="AM80" i="1"/>
  <c r="AK80" i="1" s="1"/>
  <c r="M80" i="1" s="1"/>
  <c r="AL80" i="1"/>
  <c r="AC80" i="1"/>
  <c r="AB80" i="1"/>
  <c r="AA80" i="1" s="1"/>
  <c r="T80" i="1"/>
  <c r="N80" i="1"/>
  <c r="L80" i="1"/>
  <c r="DA79" i="1"/>
  <c r="CZ79" i="1"/>
  <c r="CY79" i="1"/>
  <c r="AZ79" i="1" s="1"/>
  <c r="CX79" i="1"/>
  <c r="BM79" i="1"/>
  <c r="BL79" i="1"/>
  <c r="BK79" i="1"/>
  <c r="BJ79" i="1"/>
  <c r="BN79" i="1" s="1"/>
  <c r="BO79" i="1" s="1"/>
  <c r="BI79" i="1"/>
  <c r="BH79" i="1"/>
  <c r="BD79" i="1"/>
  <c r="AX79" i="1"/>
  <c r="BB79" i="1" s="1"/>
  <c r="AR79" i="1"/>
  <c r="BE79" i="1" s="1"/>
  <c r="AM79" i="1"/>
  <c r="AK79" i="1"/>
  <c r="AC79" i="1"/>
  <c r="AB79" i="1"/>
  <c r="AA79" i="1" s="1"/>
  <c r="W79" i="1"/>
  <c r="T79" i="1"/>
  <c r="R79" i="1"/>
  <c r="O79" i="1"/>
  <c r="DA78" i="1"/>
  <c r="CZ78" i="1"/>
  <c r="CX78" i="1"/>
  <c r="BM78" i="1"/>
  <c r="BL78" i="1"/>
  <c r="BK78" i="1"/>
  <c r="BH78" i="1"/>
  <c r="BI78" i="1" s="1"/>
  <c r="BE78" i="1"/>
  <c r="BD78" i="1"/>
  <c r="BA78" i="1"/>
  <c r="AX78" i="1"/>
  <c r="AR78" i="1"/>
  <c r="AM78" i="1"/>
  <c r="AK78" i="1" s="1"/>
  <c r="M78" i="1" s="1"/>
  <c r="L78" i="1" s="1"/>
  <c r="AC78" i="1"/>
  <c r="AB78" i="1"/>
  <c r="AA78" i="1" s="1"/>
  <c r="T78" i="1"/>
  <c r="R78" i="1"/>
  <c r="N78" i="1"/>
  <c r="DA77" i="1"/>
  <c r="CZ77" i="1"/>
  <c r="CX77" i="1"/>
  <c r="W77" i="1" s="1"/>
  <c r="BN77" i="1"/>
  <c r="BO77" i="1" s="1"/>
  <c r="BM77" i="1"/>
  <c r="BL77" i="1"/>
  <c r="BJ77" i="1"/>
  <c r="BI77" i="1"/>
  <c r="BH77" i="1"/>
  <c r="BK77" i="1" s="1"/>
  <c r="BD77" i="1"/>
  <c r="AX77" i="1"/>
  <c r="AR77" i="1"/>
  <c r="BE77" i="1" s="1"/>
  <c r="AM77" i="1"/>
  <c r="AL77" i="1"/>
  <c r="AK77" i="1"/>
  <c r="R77" i="1" s="1"/>
  <c r="AC77" i="1"/>
  <c r="AB77" i="1"/>
  <c r="AA77" i="1" s="1"/>
  <c r="T77" i="1"/>
  <c r="O77" i="1"/>
  <c r="N77" i="1"/>
  <c r="BA77" i="1" s="1"/>
  <c r="M77" i="1"/>
  <c r="L77" i="1"/>
  <c r="DA76" i="1"/>
  <c r="CZ76" i="1"/>
  <c r="CX76" i="1"/>
  <c r="BM76" i="1"/>
  <c r="BL76" i="1"/>
  <c r="BH76" i="1"/>
  <c r="BE76" i="1"/>
  <c r="BD76" i="1"/>
  <c r="AX76" i="1"/>
  <c r="AR76" i="1"/>
  <c r="AM76" i="1"/>
  <c r="AK76" i="1" s="1"/>
  <c r="AL76" i="1" s="1"/>
  <c r="AC76" i="1"/>
  <c r="AB76" i="1"/>
  <c r="AA76" i="1" s="1"/>
  <c r="T76" i="1"/>
  <c r="R76" i="1"/>
  <c r="DA75" i="1"/>
  <c r="CZ75" i="1"/>
  <c r="CY75" i="1" s="1"/>
  <c r="AZ75" i="1" s="1"/>
  <c r="BB75" i="1" s="1"/>
  <c r="CX75" i="1"/>
  <c r="BN75" i="1"/>
  <c r="BO75" i="1" s="1"/>
  <c r="BM75" i="1"/>
  <c r="BL75" i="1"/>
  <c r="BK75" i="1"/>
  <c r="BJ75" i="1"/>
  <c r="BI75" i="1"/>
  <c r="BH75" i="1"/>
  <c r="BD75" i="1"/>
  <c r="AX75" i="1"/>
  <c r="AR75" i="1"/>
  <c r="BE75" i="1" s="1"/>
  <c r="AM75" i="1"/>
  <c r="AK75" i="1"/>
  <c r="AC75" i="1"/>
  <c r="AB75" i="1"/>
  <c r="AA75" i="1"/>
  <c r="W75" i="1"/>
  <c r="T75" i="1"/>
  <c r="DA74" i="1"/>
  <c r="CZ74" i="1"/>
  <c r="CY74" i="1" s="1"/>
  <c r="AZ74" i="1" s="1"/>
  <c r="BB74" i="1" s="1"/>
  <c r="CX74" i="1"/>
  <c r="BO74" i="1"/>
  <c r="BM74" i="1"/>
  <c r="BL74" i="1"/>
  <c r="BJ74" i="1"/>
  <c r="BN74" i="1" s="1"/>
  <c r="BI74" i="1"/>
  <c r="BH74" i="1"/>
  <c r="BK74" i="1" s="1"/>
  <c r="BD74" i="1"/>
  <c r="BA74" i="1"/>
  <c r="BC74" i="1" s="1"/>
  <c r="AX74" i="1"/>
  <c r="AR74" i="1"/>
  <c r="BE74" i="1" s="1"/>
  <c r="AM74" i="1"/>
  <c r="AK74" i="1" s="1"/>
  <c r="AL74" i="1" s="1"/>
  <c r="AC74" i="1"/>
  <c r="AB74" i="1"/>
  <c r="X74" i="1"/>
  <c r="Y74" i="1" s="1"/>
  <c r="W74" i="1"/>
  <c r="T74" i="1"/>
  <c r="R74" i="1"/>
  <c r="O74" i="1"/>
  <c r="N74" i="1"/>
  <c r="M74" i="1"/>
  <c r="L74" i="1" s="1"/>
  <c r="DA73" i="1"/>
  <c r="CZ73" i="1"/>
  <c r="CY73" i="1" s="1"/>
  <c r="AZ73" i="1" s="1"/>
  <c r="CX73" i="1"/>
  <c r="BM73" i="1"/>
  <c r="BL73" i="1"/>
  <c r="BI73" i="1"/>
  <c r="BH73" i="1"/>
  <c r="BK73" i="1" s="1"/>
  <c r="BE73" i="1"/>
  <c r="BD73" i="1"/>
  <c r="AX73" i="1"/>
  <c r="AR73" i="1"/>
  <c r="AM73" i="1"/>
  <c r="AK73" i="1" s="1"/>
  <c r="AE73" i="1"/>
  <c r="AC73" i="1"/>
  <c r="AB73" i="1"/>
  <c r="AA73" i="1" s="1"/>
  <c r="W73" i="1"/>
  <c r="T73" i="1"/>
  <c r="N73" i="1"/>
  <c r="BA73" i="1" s="1"/>
  <c r="BC73" i="1" s="1"/>
  <c r="M73" i="1"/>
  <c r="L73" i="1" s="1"/>
  <c r="DA72" i="1"/>
  <c r="CZ72" i="1"/>
  <c r="CX72" i="1"/>
  <c r="BM72" i="1"/>
  <c r="BL72" i="1"/>
  <c r="BK72" i="1"/>
  <c r="BH72" i="1"/>
  <c r="BI72" i="1" s="1"/>
  <c r="BD72" i="1"/>
  <c r="AX72" i="1"/>
  <c r="AR72" i="1"/>
  <c r="BE72" i="1" s="1"/>
  <c r="AM72" i="1"/>
  <c r="AK72" i="1" s="1"/>
  <c r="AC72" i="1"/>
  <c r="AB72" i="1"/>
  <c r="AA72" i="1" s="1"/>
  <c r="T72" i="1"/>
  <c r="DA71" i="1"/>
  <c r="W71" i="1" s="1"/>
  <c r="CZ71" i="1"/>
  <c r="CY71" i="1" s="1"/>
  <c r="AZ71" i="1" s="1"/>
  <c r="CX71" i="1"/>
  <c r="BO71" i="1"/>
  <c r="BN71" i="1"/>
  <c r="BM71" i="1"/>
  <c r="BL71" i="1"/>
  <c r="BK71" i="1"/>
  <c r="BJ71" i="1"/>
  <c r="BI71" i="1"/>
  <c r="BH71" i="1"/>
  <c r="BE71" i="1"/>
  <c r="BD71" i="1"/>
  <c r="AX71" i="1"/>
  <c r="BB71" i="1" s="1"/>
  <c r="AR71" i="1"/>
  <c r="AM71" i="1"/>
  <c r="AK71" i="1"/>
  <c r="AC71" i="1"/>
  <c r="AB71" i="1"/>
  <c r="AA71" i="1"/>
  <c r="T71" i="1"/>
  <c r="DA70" i="1"/>
  <c r="W70" i="1" s="1"/>
  <c r="CZ70" i="1"/>
  <c r="CY70" i="1"/>
  <c r="AZ70" i="1" s="1"/>
  <c r="CX70" i="1"/>
  <c r="BM70" i="1"/>
  <c r="BL70" i="1"/>
  <c r="BK70" i="1"/>
  <c r="BI70" i="1"/>
  <c r="BH70" i="1"/>
  <c r="BJ70" i="1" s="1"/>
  <c r="BN70" i="1" s="1"/>
  <c r="BO70" i="1" s="1"/>
  <c r="BD70" i="1"/>
  <c r="BB70" i="1"/>
  <c r="AX70" i="1"/>
  <c r="AR70" i="1"/>
  <c r="BE70" i="1" s="1"/>
  <c r="AM70" i="1"/>
  <c r="AK70" i="1"/>
  <c r="AC70" i="1"/>
  <c r="AB70" i="1"/>
  <c r="AA70" i="1"/>
  <c r="T70" i="1"/>
  <c r="R70" i="1"/>
  <c r="DA69" i="1"/>
  <c r="CZ69" i="1"/>
  <c r="CY69" i="1" s="1"/>
  <c r="AZ69" i="1" s="1"/>
  <c r="CX69" i="1"/>
  <c r="BO69" i="1"/>
  <c r="BM69" i="1"/>
  <c r="BL69" i="1"/>
  <c r="BK69" i="1"/>
  <c r="BJ69" i="1"/>
  <c r="BN69" i="1" s="1"/>
  <c r="BI69" i="1"/>
  <c r="BH69" i="1"/>
  <c r="BE69" i="1"/>
  <c r="BD69" i="1"/>
  <c r="AX69" i="1"/>
  <c r="AR69" i="1"/>
  <c r="AM69" i="1"/>
  <c r="AK69" i="1" s="1"/>
  <c r="AC69" i="1"/>
  <c r="AB69" i="1"/>
  <c r="W69" i="1"/>
  <c r="T69" i="1"/>
  <c r="O69" i="1"/>
  <c r="DA68" i="1"/>
  <c r="CZ68" i="1"/>
  <c r="CY68" i="1"/>
  <c r="AZ68" i="1" s="1"/>
  <c r="CX68" i="1"/>
  <c r="BM68" i="1"/>
  <c r="BL68" i="1"/>
  <c r="BH68" i="1"/>
  <c r="BD68" i="1"/>
  <c r="AX68" i="1"/>
  <c r="BB68" i="1" s="1"/>
  <c r="AR68" i="1"/>
  <c r="BE68" i="1" s="1"/>
  <c r="AM68" i="1"/>
  <c r="AK68" i="1" s="1"/>
  <c r="AC68" i="1"/>
  <c r="AB68" i="1"/>
  <c r="AA68" i="1"/>
  <c r="W68" i="1"/>
  <c r="T68" i="1"/>
  <c r="DA67" i="1"/>
  <c r="CZ67" i="1"/>
  <c r="CX67" i="1"/>
  <c r="CY67" i="1" s="1"/>
  <c r="AZ67" i="1" s="1"/>
  <c r="BN67" i="1"/>
  <c r="BO67" i="1" s="1"/>
  <c r="BM67" i="1"/>
  <c r="BL67" i="1"/>
  <c r="BK67" i="1"/>
  <c r="BJ67" i="1"/>
  <c r="BH67" i="1"/>
  <c r="BI67" i="1" s="1"/>
  <c r="BE67" i="1"/>
  <c r="BD67" i="1"/>
  <c r="AX67" i="1"/>
  <c r="AR67" i="1"/>
  <c r="AM67" i="1"/>
  <c r="AK67" i="1" s="1"/>
  <c r="AL67" i="1" s="1"/>
  <c r="AC67" i="1"/>
  <c r="AB67" i="1"/>
  <c r="AA67" i="1" s="1"/>
  <c r="T67" i="1"/>
  <c r="DA66" i="1"/>
  <c r="CZ66" i="1"/>
  <c r="CY66" i="1"/>
  <c r="AZ66" i="1" s="1"/>
  <c r="BB66" i="1" s="1"/>
  <c r="CX66" i="1"/>
  <c r="BM66" i="1"/>
  <c r="BL66" i="1"/>
  <c r="BK66" i="1"/>
  <c r="BI66" i="1"/>
  <c r="BH66" i="1"/>
  <c r="BJ66" i="1" s="1"/>
  <c r="BN66" i="1" s="1"/>
  <c r="BO66" i="1" s="1"/>
  <c r="BD66" i="1"/>
  <c r="AX66" i="1"/>
  <c r="AR66" i="1"/>
  <c r="BE66" i="1" s="1"/>
  <c r="AM66" i="1"/>
  <c r="AK66" i="1"/>
  <c r="AC66" i="1"/>
  <c r="AB66" i="1"/>
  <c r="AA66" i="1"/>
  <c r="W66" i="1"/>
  <c r="T66" i="1"/>
  <c r="R66" i="1"/>
  <c r="O66" i="1"/>
  <c r="DA65" i="1"/>
  <c r="W65" i="1" s="1"/>
  <c r="CZ65" i="1"/>
  <c r="CY65" i="1"/>
  <c r="AZ65" i="1" s="1"/>
  <c r="CX65" i="1"/>
  <c r="BO65" i="1"/>
  <c r="BM65" i="1"/>
  <c r="BL65" i="1"/>
  <c r="BK65" i="1"/>
  <c r="BJ65" i="1"/>
  <c r="BN65" i="1" s="1"/>
  <c r="BI65" i="1"/>
  <c r="BH65" i="1"/>
  <c r="BE65" i="1"/>
  <c r="BD65" i="1"/>
  <c r="AX65" i="1"/>
  <c r="AR65" i="1"/>
  <c r="AM65" i="1"/>
  <c r="AK65" i="1" s="1"/>
  <c r="AE65" i="1"/>
  <c r="AC65" i="1"/>
  <c r="AB65" i="1"/>
  <c r="AA65" i="1" s="1"/>
  <c r="T65" i="1"/>
  <c r="O65" i="1"/>
  <c r="M65" i="1"/>
  <c r="L65" i="1" s="1"/>
  <c r="DA64" i="1"/>
  <c r="CZ64" i="1"/>
  <c r="CX64" i="1"/>
  <c r="BM64" i="1"/>
  <c r="BL64" i="1"/>
  <c r="BI64" i="1"/>
  <c r="BH64" i="1"/>
  <c r="BD64" i="1"/>
  <c r="AX64" i="1"/>
  <c r="AR64" i="1"/>
  <c r="BE64" i="1" s="1"/>
  <c r="AM64" i="1"/>
  <c r="AK64" i="1"/>
  <c r="AC64" i="1"/>
  <c r="AB64" i="1"/>
  <c r="AA64" i="1"/>
  <c r="T64" i="1"/>
  <c r="O64" i="1"/>
  <c r="N64" i="1"/>
  <c r="BA64" i="1" s="1"/>
  <c r="M64" i="1"/>
  <c r="L64" i="1" s="1"/>
  <c r="DA63" i="1"/>
  <c r="CZ63" i="1"/>
  <c r="CX63" i="1"/>
  <c r="CY63" i="1" s="1"/>
  <c r="AZ63" i="1" s="1"/>
  <c r="BB63" i="1" s="1"/>
  <c r="BO63" i="1"/>
  <c r="BN63" i="1"/>
  <c r="BM63" i="1"/>
  <c r="BL63" i="1"/>
  <c r="BK63" i="1"/>
  <c r="BJ63" i="1"/>
  <c r="BH63" i="1"/>
  <c r="BI63" i="1" s="1"/>
  <c r="BE63" i="1"/>
  <c r="BD63" i="1"/>
  <c r="AX63" i="1"/>
  <c r="AR63" i="1"/>
  <c r="AM63" i="1"/>
  <c r="AK63" i="1"/>
  <c r="M63" i="1" s="1"/>
  <c r="AC63" i="1"/>
  <c r="AB63" i="1"/>
  <c r="AA63" i="1"/>
  <c r="T63" i="1"/>
  <c r="L63" i="1"/>
  <c r="DA62" i="1"/>
  <c r="CZ62" i="1"/>
  <c r="CY62" i="1"/>
  <c r="AZ62" i="1" s="1"/>
  <c r="CX62" i="1"/>
  <c r="BM62" i="1"/>
  <c r="BL62" i="1"/>
  <c r="BK62" i="1"/>
  <c r="BI62" i="1"/>
  <c r="BH62" i="1"/>
  <c r="BJ62" i="1" s="1"/>
  <c r="BN62" i="1" s="1"/>
  <c r="BO62" i="1" s="1"/>
  <c r="BD62" i="1"/>
  <c r="BB62" i="1"/>
  <c r="AX62" i="1"/>
  <c r="AR62" i="1"/>
  <c r="BE62" i="1" s="1"/>
  <c r="AM62" i="1"/>
  <c r="AK62" i="1"/>
  <c r="AC62" i="1"/>
  <c r="AB62" i="1"/>
  <c r="AA62" i="1"/>
  <c r="W62" i="1"/>
  <c r="T62" i="1"/>
  <c r="DA61" i="1"/>
  <c r="W61" i="1" s="1"/>
  <c r="CZ61" i="1"/>
  <c r="CY61" i="1" s="1"/>
  <c r="AZ61" i="1" s="1"/>
  <c r="CX61" i="1"/>
  <c r="BM61" i="1"/>
  <c r="BL61" i="1"/>
  <c r="BK61" i="1"/>
  <c r="BJ61" i="1"/>
  <c r="BN61" i="1" s="1"/>
  <c r="BO61" i="1" s="1"/>
  <c r="BI61" i="1"/>
  <c r="BH61" i="1"/>
  <c r="BE61" i="1"/>
  <c r="BD61" i="1"/>
  <c r="AX61" i="1"/>
  <c r="AR61" i="1"/>
  <c r="AM61" i="1"/>
  <c r="AK61" i="1" s="1"/>
  <c r="AC61" i="1"/>
  <c r="AB61" i="1"/>
  <c r="T61" i="1"/>
  <c r="DA60" i="1"/>
  <c r="CZ60" i="1"/>
  <c r="CY60" i="1"/>
  <c r="AZ60" i="1" s="1"/>
  <c r="CX60" i="1"/>
  <c r="BM60" i="1"/>
  <c r="BL60" i="1"/>
  <c r="BH60" i="1"/>
  <c r="BE60" i="1"/>
  <c r="BD60" i="1"/>
  <c r="AX60" i="1"/>
  <c r="AR60" i="1"/>
  <c r="AM60" i="1"/>
  <c r="AK60" i="1" s="1"/>
  <c r="AC60" i="1"/>
  <c r="AA60" i="1" s="1"/>
  <c r="AB60" i="1"/>
  <c r="W60" i="1"/>
  <c r="T60" i="1"/>
  <c r="O60" i="1"/>
  <c r="DA59" i="1"/>
  <c r="CZ59" i="1"/>
  <c r="CX59" i="1"/>
  <c r="CY59" i="1" s="1"/>
  <c r="AZ59" i="1" s="1"/>
  <c r="BB59" i="1" s="1"/>
  <c r="BO59" i="1"/>
  <c r="BN59" i="1"/>
  <c r="BM59" i="1"/>
  <c r="BL59" i="1"/>
  <c r="BK59" i="1"/>
  <c r="BH59" i="1"/>
  <c r="BJ59" i="1" s="1"/>
  <c r="BE59" i="1"/>
  <c r="BD59" i="1"/>
  <c r="AX59" i="1"/>
  <c r="AR59" i="1"/>
  <c r="AM59" i="1"/>
  <c r="AK59" i="1" s="1"/>
  <c r="M59" i="1" s="1"/>
  <c r="L59" i="1" s="1"/>
  <c r="AC59" i="1"/>
  <c r="AB59" i="1"/>
  <c r="AA59" i="1"/>
  <c r="T59" i="1"/>
  <c r="DA58" i="1"/>
  <c r="W58" i="1" s="1"/>
  <c r="CZ58" i="1"/>
  <c r="CY58" i="1"/>
  <c r="AZ58" i="1" s="1"/>
  <c r="CX58" i="1"/>
  <c r="BM58" i="1"/>
  <c r="BL58" i="1"/>
  <c r="BK58" i="1"/>
  <c r="BI58" i="1"/>
  <c r="BH58" i="1"/>
  <c r="BJ58" i="1" s="1"/>
  <c r="BN58" i="1" s="1"/>
  <c r="BO58" i="1" s="1"/>
  <c r="BD58" i="1"/>
  <c r="BB58" i="1"/>
  <c r="AX58" i="1"/>
  <c r="AR58" i="1"/>
  <c r="BE58" i="1" s="1"/>
  <c r="AM58" i="1"/>
  <c r="AK58" i="1"/>
  <c r="AC58" i="1"/>
  <c r="AB58" i="1"/>
  <c r="AA58" i="1"/>
  <c r="T58" i="1"/>
  <c r="O58" i="1"/>
  <c r="DA57" i="1"/>
  <c r="CZ57" i="1"/>
  <c r="CY57" i="1" s="1"/>
  <c r="AZ57" i="1" s="1"/>
  <c r="CX57" i="1"/>
  <c r="BM57" i="1"/>
  <c r="BL57" i="1"/>
  <c r="BK57" i="1"/>
  <c r="BJ57" i="1"/>
  <c r="BN57" i="1" s="1"/>
  <c r="BO57" i="1" s="1"/>
  <c r="BI57" i="1"/>
  <c r="BH57" i="1"/>
  <c r="BE57" i="1"/>
  <c r="BD57" i="1"/>
  <c r="AX57" i="1"/>
  <c r="AR57" i="1"/>
  <c r="AM57" i="1"/>
  <c r="AK57" i="1" s="1"/>
  <c r="AC57" i="1"/>
  <c r="AB57" i="1"/>
  <c r="X57" i="1"/>
  <c r="Y57" i="1" s="1"/>
  <c r="W57" i="1"/>
  <c r="T57" i="1"/>
  <c r="M57" i="1"/>
  <c r="L57" i="1" s="1"/>
  <c r="DA56" i="1"/>
  <c r="CZ56" i="1"/>
  <c r="CX56" i="1"/>
  <c r="CY56" i="1" s="1"/>
  <c r="AZ56" i="1" s="1"/>
  <c r="BM56" i="1"/>
  <c r="BL56" i="1"/>
  <c r="BI56" i="1"/>
  <c r="BH56" i="1"/>
  <c r="BE56" i="1"/>
  <c r="BD56" i="1"/>
  <c r="AX56" i="1"/>
  <c r="AR56" i="1"/>
  <c r="AM56" i="1"/>
  <c r="AK56" i="1"/>
  <c r="AC56" i="1"/>
  <c r="AB56" i="1"/>
  <c r="AA56" i="1"/>
  <c r="T56" i="1"/>
  <c r="DA55" i="1"/>
  <c r="W55" i="1" s="1"/>
  <c r="CZ55" i="1"/>
  <c r="CX55" i="1"/>
  <c r="CY55" i="1" s="1"/>
  <c r="AZ55" i="1" s="1"/>
  <c r="BB55" i="1" s="1"/>
  <c r="BN55" i="1"/>
  <c r="BO55" i="1" s="1"/>
  <c r="BM55" i="1"/>
  <c r="BL55" i="1"/>
  <c r="BK55" i="1"/>
  <c r="BJ55" i="1"/>
  <c r="BH55" i="1"/>
  <c r="BI55" i="1" s="1"/>
  <c r="BE55" i="1"/>
  <c r="BD55" i="1"/>
  <c r="AX55" i="1"/>
  <c r="AR55" i="1"/>
  <c r="AM55" i="1"/>
  <c r="AK55" i="1"/>
  <c r="AC55" i="1"/>
  <c r="AA55" i="1" s="1"/>
  <c r="AB55" i="1"/>
  <c r="T55" i="1"/>
  <c r="M55" i="1"/>
  <c r="L55" i="1" s="1"/>
  <c r="DA54" i="1"/>
  <c r="W54" i="1" s="1"/>
  <c r="CZ54" i="1"/>
  <c r="CY54" i="1"/>
  <c r="AZ54" i="1" s="1"/>
  <c r="CX54" i="1"/>
  <c r="BM54" i="1"/>
  <c r="BL54" i="1"/>
  <c r="BK54" i="1"/>
  <c r="BJ54" i="1"/>
  <c r="BN54" i="1" s="1"/>
  <c r="BO54" i="1" s="1"/>
  <c r="BI54" i="1"/>
  <c r="BH54" i="1"/>
  <c r="BD54" i="1"/>
  <c r="AX54" i="1"/>
  <c r="BB54" i="1" s="1"/>
  <c r="AR54" i="1"/>
  <c r="BE54" i="1" s="1"/>
  <c r="AM54" i="1"/>
  <c r="AK54" i="1"/>
  <c r="AC54" i="1"/>
  <c r="AB54" i="1"/>
  <c r="AA54" i="1"/>
  <c r="T54" i="1"/>
  <c r="R54" i="1"/>
  <c r="DA53" i="1"/>
  <c r="CZ53" i="1"/>
  <c r="CY53" i="1" s="1"/>
  <c r="CX53" i="1"/>
  <c r="BO53" i="1"/>
  <c r="BM53" i="1"/>
  <c r="BL53" i="1"/>
  <c r="BK53" i="1"/>
  <c r="BJ53" i="1"/>
  <c r="BN53" i="1" s="1"/>
  <c r="BI53" i="1"/>
  <c r="BH53" i="1"/>
  <c r="BE53" i="1"/>
  <c r="BD53" i="1"/>
  <c r="AZ53" i="1"/>
  <c r="AX53" i="1"/>
  <c r="AR53" i="1"/>
  <c r="AM53" i="1"/>
  <c r="AK53" i="1" s="1"/>
  <c r="AC53" i="1"/>
  <c r="AA53" i="1" s="1"/>
  <c r="AB53" i="1"/>
  <c r="W53" i="1"/>
  <c r="T53" i="1"/>
  <c r="O53" i="1"/>
  <c r="DA52" i="1"/>
  <c r="CZ52" i="1"/>
  <c r="CX52" i="1"/>
  <c r="CY52" i="1" s="1"/>
  <c r="AZ52" i="1" s="1"/>
  <c r="BM52" i="1"/>
  <c r="BL52" i="1"/>
  <c r="BH52" i="1"/>
  <c r="BD52" i="1"/>
  <c r="AX52" i="1"/>
  <c r="AR52" i="1"/>
  <c r="BE52" i="1" s="1"/>
  <c r="AM52" i="1"/>
  <c r="AK52" i="1" s="1"/>
  <c r="AC52" i="1"/>
  <c r="AB52" i="1"/>
  <c r="AA52" i="1"/>
  <c r="W52" i="1"/>
  <c r="T52" i="1"/>
  <c r="DA51" i="1"/>
  <c r="CZ51" i="1"/>
  <c r="CX51" i="1"/>
  <c r="CY51" i="1" s="1"/>
  <c r="AZ51" i="1" s="1"/>
  <c r="BB51" i="1" s="1"/>
  <c r="BM51" i="1"/>
  <c r="BL51" i="1"/>
  <c r="BK51" i="1"/>
  <c r="BH51" i="1"/>
  <c r="BJ51" i="1" s="1"/>
  <c r="BN51" i="1" s="1"/>
  <c r="BO51" i="1" s="1"/>
  <c r="BE51" i="1"/>
  <c r="BD51" i="1"/>
  <c r="AX51" i="1"/>
  <c r="AR51" i="1"/>
  <c r="AM51" i="1"/>
  <c r="AK51" i="1" s="1"/>
  <c r="AL51" i="1" s="1"/>
  <c r="AC51" i="1"/>
  <c r="AB51" i="1"/>
  <c r="AA51" i="1" s="1"/>
  <c r="T51" i="1"/>
  <c r="DA50" i="1"/>
  <c r="CZ50" i="1"/>
  <c r="CY50" i="1"/>
  <c r="AZ50" i="1" s="1"/>
  <c r="CX50" i="1"/>
  <c r="BN50" i="1"/>
  <c r="BO50" i="1" s="1"/>
  <c r="BM50" i="1"/>
  <c r="BL50" i="1"/>
  <c r="BK50" i="1"/>
  <c r="BJ50" i="1"/>
  <c r="BI50" i="1"/>
  <c r="BH50" i="1"/>
  <c r="BD50" i="1"/>
  <c r="AX50" i="1"/>
  <c r="AR50" i="1"/>
  <c r="BE50" i="1" s="1"/>
  <c r="AM50" i="1"/>
  <c r="AK50" i="1"/>
  <c r="AC50" i="1"/>
  <c r="AB50" i="1"/>
  <c r="AA50" i="1"/>
  <c r="W50" i="1"/>
  <c r="T50" i="1"/>
  <c r="DA49" i="1"/>
  <c r="CZ49" i="1"/>
  <c r="CY49" i="1" s="1"/>
  <c r="AZ49" i="1" s="1"/>
  <c r="CX49" i="1"/>
  <c r="BO49" i="1"/>
  <c r="BM49" i="1"/>
  <c r="BL49" i="1"/>
  <c r="BK49" i="1"/>
  <c r="BJ49" i="1"/>
  <c r="BN49" i="1" s="1"/>
  <c r="BI49" i="1"/>
  <c r="BH49" i="1"/>
  <c r="BE49" i="1"/>
  <c r="BD49" i="1"/>
  <c r="AX49" i="1"/>
  <c r="AR49" i="1"/>
  <c r="AM49" i="1"/>
  <c r="AK49" i="1" s="1"/>
  <c r="AC49" i="1"/>
  <c r="AB49" i="1"/>
  <c r="AA49" i="1" s="1"/>
  <c r="W49" i="1"/>
  <c r="T49" i="1"/>
  <c r="DA48" i="1"/>
  <c r="CZ48" i="1"/>
  <c r="CY48" i="1" s="1"/>
  <c r="AZ48" i="1" s="1"/>
  <c r="CX48" i="1"/>
  <c r="BM48" i="1"/>
  <c r="BL48" i="1"/>
  <c r="BI48" i="1"/>
  <c r="BH48" i="1"/>
  <c r="BE48" i="1"/>
  <c r="BD48" i="1"/>
  <c r="AX48" i="1"/>
  <c r="AR48" i="1"/>
  <c r="AM48" i="1"/>
  <c r="AK48" i="1"/>
  <c r="AC48" i="1"/>
  <c r="AA48" i="1" s="1"/>
  <c r="AB48" i="1"/>
  <c r="X48" i="1"/>
  <c r="Y48" i="1" s="1"/>
  <c r="W48" i="1"/>
  <c r="T48" i="1"/>
  <c r="O48" i="1"/>
  <c r="N48" i="1"/>
  <c r="BA48" i="1" s="1"/>
  <c r="M48" i="1"/>
  <c r="L48" i="1" s="1"/>
  <c r="DA47" i="1"/>
  <c r="CZ47" i="1"/>
  <c r="CX47" i="1"/>
  <c r="BM47" i="1"/>
  <c r="BL47" i="1"/>
  <c r="BH47" i="1"/>
  <c r="BI47" i="1" s="1"/>
  <c r="BD47" i="1"/>
  <c r="AX47" i="1"/>
  <c r="AR47" i="1"/>
  <c r="BE47" i="1" s="1"/>
  <c r="AM47" i="1"/>
  <c r="AK47" i="1"/>
  <c r="AC47" i="1"/>
  <c r="AB47" i="1"/>
  <c r="AA47" i="1"/>
  <c r="W47" i="1"/>
  <c r="T47" i="1"/>
  <c r="R47" i="1"/>
  <c r="DA46" i="1"/>
  <c r="CZ46" i="1"/>
  <c r="CY46" i="1"/>
  <c r="CX46" i="1"/>
  <c r="BM46" i="1"/>
  <c r="BL46" i="1"/>
  <c r="BK46" i="1"/>
  <c r="BJ46" i="1"/>
  <c r="BN46" i="1" s="1"/>
  <c r="BO46" i="1" s="1"/>
  <c r="BI46" i="1"/>
  <c r="BH46" i="1"/>
  <c r="BE46" i="1"/>
  <c r="BD46" i="1"/>
  <c r="AZ46" i="1"/>
  <c r="AX46" i="1"/>
  <c r="BB46" i="1" s="1"/>
  <c r="AR46" i="1"/>
  <c r="AM46" i="1"/>
  <c r="AK46" i="1" s="1"/>
  <c r="AC46" i="1"/>
  <c r="AB46" i="1"/>
  <c r="AA46" i="1" s="1"/>
  <c r="W46" i="1"/>
  <c r="T46" i="1"/>
  <c r="O46" i="1"/>
  <c r="DA45" i="1"/>
  <c r="CZ45" i="1"/>
  <c r="CY45" i="1"/>
  <c r="AZ45" i="1" s="1"/>
  <c r="CX45" i="1"/>
  <c r="BM45" i="1"/>
  <c r="BL45" i="1"/>
  <c r="BH45" i="1"/>
  <c r="BE45" i="1"/>
  <c r="BD45" i="1"/>
  <c r="AX45" i="1"/>
  <c r="AR45" i="1"/>
  <c r="AM45" i="1"/>
  <c r="AK45" i="1" s="1"/>
  <c r="AC45" i="1"/>
  <c r="AA45" i="1" s="1"/>
  <c r="AB45" i="1"/>
  <c r="W45" i="1"/>
  <c r="T45" i="1"/>
  <c r="O45" i="1"/>
  <c r="N45" i="1"/>
  <c r="BA45" i="1" s="1"/>
  <c r="BC45" i="1" s="1"/>
  <c r="M45" i="1"/>
  <c r="L45" i="1" s="1"/>
  <c r="DA44" i="1"/>
  <c r="W44" i="1" s="1"/>
  <c r="CZ44" i="1"/>
  <c r="CX44" i="1"/>
  <c r="CY44" i="1" s="1"/>
  <c r="AZ44" i="1" s="1"/>
  <c r="BB44" i="1" s="1"/>
  <c r="BN44" i="1"/>
  <c r="BO44" i="1" s="1"/>
  <c r="BM44" i="1"/>
  <c r="BL44" i="1"/>
  <c r="BK44" i="1"/>
  <c r="BJ44" i="1"/>
  <c r="BH44" i="1"/>
  <c r="BI44" i="1" s="1"/>
  <c r="BE44" i="1"/>
  <c r="BD44" i="1"/>
  <c r="AX44" i="1"/>
  <c r="AR44" i="1"/>
  <c r="AM44" i="1"/>
  <c r="AK44" i="1" s="1"/>
  <c r="AL44" i="1"/>
  <c r="AC44" i="1"/>
  <c r="AB44" i="1"/>
  <c r="AA44" i="1"/>
  <c r="T44" i="1"/>
  <c r="M44" i="1"/>
  <c r="L44" i="1" s="1"/>
  <c r="DA43" i="1"/>
  <c r="CZ43" i="1"/>
  <c r="CX43" i="1"/>
  <c r="CY43" i="1" s="1"/>
  <c r="AZ43" i="1" s="1"/>
  <c r="BB43" i="1" s="1"/>
  <c r="BM43" i="1"/>
  <c r="BL43" i="1"/>
  <c r="BK43" i="1"/>
  <c r="BH43" i="1"/>
  <c r="BJ43" i="1" s="1"/>
  <c r="BN43" i="1" s="1"/>
  <c r="BO43" i="1" s="1"/>
  <c r="BD43" i="1"/>
  <c r="AX43" i="1"/>
  <c r="AR43" i="1"/>
  <c r="BE43" i="1" s="1"/>
  <c r="AM43" i="1"/>
  <c r="AK43" i="1"/>
  <c r="AC43" i="1"/>
  <c r="AB43" i="1"/>
  <c r="AA43" i="1"/>
  <c r="T43" i="1"/>
  <c r="DA42" i="1"/>
  <c r="CZ42" i="1"/>
  <c r="CY42" i="1" s="1"/>
  <c r="AZ42" i="1" s="1"/>
  <c r="CX42" i="1"/>
  <c r="BM42" i="1"/>
  <c r="BL42" i="1"/>
  <c r="BK42" i="1"/>
  <c r="BJ42" i="1"/>
  <c r="BN42" i="1" s="1"/>
  <c r="BO42" i="1" s="1"/>
  <c r="BI42" i="1"/>
  <c r="BH42" i="1"/>
  <c r="BE42" i="1"/>
  <c r="BD42" i="1"/>
  <c r="AX42" i="1"/>
  <c r="AR42" i="1"/>
  <c r="AM42" i="1"/>
  <c r="AK42" i="1" s="1"/>
  <c r="AC42" i="1"/>
  <c r="AB42" i="1"/>
  <c r="AA42" i="1" s="1"/>
  <c r="W42" i="1"/>
  <c r="T42" i="1"/>
  <c r="O42" i="1"/>
  <c r="DA41" i="1"/>
  <c r="CZ41" i="1"/>
  <c r="CX41" i="1"/>
  <c r="CY41" i="1" s="1"/>
  <c r="AZ41" i="1" s="1"/>
  <c r="BM41" i="1"/>
  <c r="BL41" i="1"/>
  <c r="BI41" i="1"/>
  <c r="BH41" i="1"/>
  <c r="BD41" i="1"/>
  <c r="AX41" i="1"/>
  <c r="AR41" i="1"/>
  <c r="BE41" i="1" s="1"/>
  <c r="AM41" i="1"/>
  <c r="AK41" i="1" s="1"/>
  <c r="AC41" i="1"/>
  <c r="AA41" i="1" s="1"/>
  <c r="AB41" i="1"/>
  <c r="T41" i="1"/>
  <c r="O41" i="1"/>
  <c r="N41" i="1"/>
  <c r="BA41" i="1" s="1"/>
  <c r="DA40" i="1"/>
  <c r="W40" i="1" s="1"/>
  <c r="CZ40" i="1"/>
  <c r="CX40" i="1"/>
  <c r="CY40" i="1" s="1"/>
  <c r="AZ40" i="1" s="1"/>
  <c r="BB40" i="1" s="1"/>
  <c r="BO40" i="1"/>
  <c r="BN40" i="1"/>
  <c r="BM40" i="1"/>
  <c r="BL40" i="1"/>
  <c r="BK40" i="1"/>
  <c r="BJ40" i="1"/>
  <c r="BH40" i="1"/>
  <c r="BI40" i="1" s="1"/>
  <c r="BE40" i="1"/>
  <c r="BD40" i="1"/>
  <c r="AX40" i="1"/>
  <c r="AR40" i="1"/>
  <c r="AM40" i="1"/>
  <c r="AK40" i="1" s="1"/>
  <c r="AC40" i="1"/>
  <c r="AB40" i="1"/>
  <c r="AA40" i="1" s="1"/>
  <c r="T40" i="1"/>
  <c r="DA39" i="1"/>
  <c r="CZ39" i="1"/>
  <c r="CX39" i="1"/>
  <c r="CY39" i="1" s="1"/>
  <c r="AZ39" i="1" s="1"/>
  <c r="BM39" i="1"/>
  <c r="BL39" i="1"/>
  <c r="BK39" i="1"/>
  <c r="BH39" i="1"/>
  <c r="BJ39" i="1" s="1"/>
  <c r="BN39" i="1" s="1"/>
  <c r="BO39" i="1" s="1"/>
  <c r="BD39" i="1"/>
  <c r="BB39" i="1"/>
  <c r="AX39" i="1"/>
  <c r="AR39" i="1"/>
  <c r="BE39" i="1" s="1"/>
  <c r="AM39" i="1"/>
  <c r="AK39" i="1"/>
  <c r="AC39" i="1"/>
  <c r="AB39" i="1"/>
  <c r="AA39" i="1"/>
  <c r="T39" i="1"/>
  <c r="R39" i="1"/>
  <c r="DA38" i="1"/>
  <c r="CZ38" i="1"/>
  <c r="CY38" i="1"/>
  <c r="AZ38" i="1" s="1"/>
  <c r="CX38" i="1"/>
  <c r="BM38" i="1"/>
  <c r="BL38" i="1"/>
  <c r="BK38" i="1"/>
  <c r="BJ38" i="1"/>
  <c r="BN38" i="1" s="1"/>
  <c r="BO38" i="1" s="1"/>
  <c r="BI38" i="1"/>
  <c r="BH38" i="1"/>
  <c r="BD38" i="1"/>
  <c r="AX38" i="1"/>
  <c r="AR38" i="1"/>
  <c r="BE38" i="1" s="1"/>
  <c r="AM38" i="1"/>
  <c r="AK38" i="1" s="1"/>
  <c r="AC38" i="1"/>
  <c r="AB38" i="1"/>
  <c r="AA38" i="1" s="1"/>
  <c r="W38" i="1"/>
  <c r="T38" i="1"/>
  <c r="DA37" i="1"/>
  <c r="CZ37" i="1"/>
  <c r="CX37" i="1"/>
  <c r="CY37" i="1" s="1"/>
  <c r="AZ37" i="1" s="1"/>
  <c r="BM37" i="1"/>
  <c r="BL37" i="1"/>
  <c r="BI37" i="1"/>
  <c r="BH37" i="1"/>
  <c r="BD37" i="1"/>
  <c r="AX37" i="1"/>
  <c r="AR37" i="1"/>
  <c r="BE37" i="1" s="1"/>
  <c r="AM37" i="1"/>
  <c r="AK37" i="1" s="1"/>
  <c r="O37" i="1" s="1"/>
  <c r="AC37" i="1"/>
  <c r="AB37" i="1"/>
  <c r="T37" i="1"/>
  <c r="DA36" i="1"/>
  <c r="W36" i="1" s="1"/>
  <c r="CZ36" i="1"/>
  <c r="CX36" i="1"/>
  <c r="CY36" i="1" s="1"/>
  <c r="BN36" i="1"/>
  <c r="BO36" i="1" s="1"/>
  <c r="BM36" i="1"/>
  <c r="BL36" i="1"/>
  <c r="BK36" i="1"/>
  <c r="BJ36" i="1"/>
  <c r="BH36" i="1"/>
  <c r="BI36" i="1" s="1"/>
  <c r="BE36" i="1"/>
  <c r="BD36" i="1"/>
  <c r="AZ36" i="1"/>
  <c r="BB36" i="1" s="1"/>
  <c r="AX36" i="1"/>
  <c r="AR36" i="1"/>
  <c r="AM36" i="1"/>
  <c r="AK36" i="1"/>
  <c r="AL36" i="1" s="1"/>
  <c r="AC36" i="1"/>
  <c r="AB36" i="1"/>
  <c r="AA36" i="1" s="1"/>
  <c r="T36" i="1"/>
  <c r="M36" i="1"/>
  <c r="L36" i="1" s="1"/>
  <c r="DA35" i="1"/>
  <c r="CZ35" i="1"/>
  <c r="CX35" i="1"/>
  <c r="BM35" i="1"/>
  <c r="BL35" i="1"/>
  <c r="BH35" i="1"/>
  <c r="BD35" i="1"/>
  <c r="AX35" i="1"/>
  <c r="AR35" i="1"/>
  <c r="BE35" i="1" s="1"/>
  <c r="AM35" i="1"/>
  <c r="AK35" i="1"/>
  <c r="AC35" i="1"/>
  <c r="AB35" i="1"/>
  <c r="AA35" i="1"/>
  <c r="T35" i="1"/>
  <c r="DA34" i="1"/>
  <c r="CZ34" i="1"/>
  <c r="CY34" i="1"/>
  <c r="AZ34" i="1" s="1"/>
  <c r="CX34" i="1"/>
  <c r="BM34" i="1"/>
  <c r="BL34" i="1"/>
  <c r="BK34" i="1"/>
  <c r="BJ34" i="1"/>
  <c r="BN34" i="1" s="1"/>
  <c r="BO34" i="1" s="1"/>
  <c r="BI34" i="1"/>
  <c r="BH34" i="1"/>
  <c r="BD34" i="1"/>
  <c r="AX34" i="1"/>
  <c r="AR34" i="1"/>
  <c r="BE34" i="1" s="1"/>
  <c r="AM34" i="1"/>
  <c r="AK34" i="1" s="1"/>
  <c r="AL34" i="1"/>
  <c r="AC34" i="1"/>
  <c r="AB34" i="1"/>
  <c r="AA34" i="1" s="1"/>
  <c r="W34" i="1"/>
  <c r="T34" i="1"/>
  <c r="DA33" i="1"/>
  <c r="CZ33" i="1"/>
  <c r="CY33" i="1"/>
  <c r="AZ33" i="1" s="1"/>
  <c r="BB33" i="1" s="1"/>
  <c r="CX33" i="1"/>
  <c r="W33" i="1" s="1"/>
  <c r="BM33" i="1"/>
  <c r="BL33" i="1"/>
  <c r="BH33" i="1"/>
  <c r="BE33" i="1"/>
  <c r="BD33" i="1"/>
  <c r="AX33" i="1"/>
  <c r="AR33" i="1"/>
  <c r="AM33" i="1"/>
  <c r="AK33" i="1" s="1"/>
  <c r="AL33" i="1" s="1"/>
  <c r="AE33" i="1"/>
  <c r="AC33" i="1"/>
  <c r="AB33" i="1"/>
  <c r="AA33" i="1" s="1"/>
  <c r="T33" i="1"/>
  <c r="R33" i="1"/>
  <c r="O33" i="1"/>
  <c r="N33" i="1"/>
  <c r="BA33" i="1" s="1"/>
  <c r="M33" i="1"/>
  <c r="L33" i="1" s="1"/>
  <c r="DA32" i="1"/>
  <c r="W32" i="1" s="1"/>
  <c r="CZ32" i="1"/>
  <c r="CX32" i="1"/>
  <c r="CY32" i="1" s="1"/>
  <c r="BO32" i="1"/>
  <c r="BN32" i="1"/>
  <c r="BM32" i="1"/>
  <c r="BL32" i="1"/>
  <c r="BK32" i="1"/>
  <c r="BJ32" i="1"/>
  <c r="BH32" i="1"/>
  <c r="BI32" i="1" s="1"/>
  <c r="BE32" i="1"/>
  <c r="BD32" i="1"/>
  <c r="AZ32" i="1"/>
  <c r="BB32" i="1" s="1"/>
  <c r="AX32" i="1"/>
  <c r="AR32" i="1"/>
  <c r="AM32" i="1"/>
  <c r="AK32" i="1"/>
  <c r="AC32" i="1"/>
  <c r="AB32" i="1"/>
  <c r="AA32" i="1"/>
  <c r="T32" i="1"/>
  <c r="M32" i="1"/>
  <c r="L32" i="1"/>
  <c r="DA31" i="1"/>
  <c r="CZ31" i="1"/>
  <c r="CX31" i="1"/>
  <c r="BM31" i="1"/>
  <c r="BL31" i="1"/>
  <c r="BK31" i="1"/>
  <c r="BH31" i="1"/>
  <c r="BD31" i="1"/>
  <c r="AX31" i="1"/>
  <c r="AR31" i="1"/>
  <c r="BE31" i="1" s="1"/>
  <c r="AM31" i="1"/>
  <c r="AK31" i="1"/>
  <c r="AC31" i="1"/>
  <c r="AB31" i="1"/>
  <c r="AA31" i="1"/>
  <c r="T31" i="1"/>
  <c r="DA30" i="1"/>
  <c r="W30" i="1" s="1"/>
  <c r="CZ30" i="1"/>
  <c r="CY30" i="1"/>
  <c r="AZ30" i="1" s="1"/>
  <c r="CX30" i="1"/>
  <c r="BM30" i="1"/>
  <c r="BL30" i="1"/>
  <c r="BK30" i="1"/>
  <c r="BJ30" i="1"/>
  <c r="BN30" i="1" s="1"/>
  <c r="BO30" i="1" s="1"/>
  <c r="BI30" i="1"/>
  <c r="BH30" i="1"/>
  <c r="BD30" i="1"/>
  <c r="AX30" i="1"/>
  <c r="AR30" i="1"/>
  <c r="BE30" i="1" s="1"/>
  <c r="AM30" i="1"/>
  <c r="AK30" i="1" s="1"/>
  <c r="AL30" i="1" s="1"/>
  <c r="AC30" i="1"/>
  <c r="AB30" i="1"/>
  <c r="AA30" i="1" s="1"/>
  <c r="T30" i="1"/>
  <c r="DA29" i="1"/>
  <c r="CZ29" i="1"/>
  <c r="CX29" i="1"/>
  <c r="BM29" i="1"/>
  <c r="BL29" i="1"/>
  <c r="BH29" i="1"/>
  <c r="BE29" i="1"/>
  <c r="BD29" i="1"/>
  <c r="AX29" i="1"/>
  <c r="AR29" i="1"/>
  <c r="AM29" i="1"/>
  <c r="AK29" i="1" s="1"/>
  <c r="AL29" i="1" s="1"/>
  <c r="AC29" i="1"/>
  <c r="AB29" i="1"/>
  <c r="AA29" i="1" s="1"/>
  <c r="T29" i="1"/>
  <c r="R29" i="1"/>
  <c r="O29" i="1"/>
  <c r="N29" i="1"/>
  <c r="BA29" i="1" s="1"/>
  <c r="M29" i="1"/>
  <c r="L29" i="1" s="1"/>
  <c r="DA28" i="1"/>
  <c r="W28" i="1" s="1"/>
  <c r="CZ28" i="1"/>
  <c r="CX28" i="1"/>
  <c r="CY28" i="1" s="1"/>
  <c r="AZ28" i="1" s="1"/>
  <c r="BB28" i="1" s="1"/>
  <c r="BN28" i="1"/>
  <c r="BO28" i="1" s="1"/>
  <c r="BM28" i="1"/>
  <c r="BL28" i="1"/>
  <c r="BK28" i="1"/>
  <c r="BJ28" i="1"/>
  <c r="BH28" i="1"/>
  <c r="BI28" i="1" s="1"/>
  <c r="BE28" i="1"/>
  <c r="BD28" i="1"/>
  <c r="AX28" i="1"/>
  <c r="AR28" i="1"/>
  <c r="AM28" i="1"/>
  <c r="AL28" i="1"/>
  <c r="AK28" i="1"/>
  <c r="AC28" i="1"/>
  <c r="AA28" i="1" s="1"/>
  <c r="AB28" i="1"/>
  <c r="T28" i="1"/>
  <c r="DA27" i="1"/>
  <c r="CZ27" i="1"/>
  <c r="CX27" i="1"/>
  <c r="BM27" i="1"/>
  <c r="BL27" i="1"/>
  <c r="BH27" i="1"/>
  <c r="BI27" i="1" s="1"/>
  <c r="BD27" i="1"/>
  <c r="BA27" i="1"/>
  <c r="AX27" i="1"/>
  <c r="AR27" i="1"/>
  <c r="BE27" i="1" s="1"/>
  <c r="AM27" i="1"/>
  <c r="AK27" i="1"/>
  <c r="N27" i="1" s="1"/>
  <c r="AC27" i="1"/>
  <c r="AB27" i="1"/>
  <c r="AA27" i="1"/>
  <c r="T27" i="1"/>
  <c r="DA26" i="1"/>
  <c r="W26" i="1" s="1"/>
  <c r="CZ26" i="1"/>
  <c r="CY26" i="1" s="1"/>
  <c r="AZ26" i="1" s="1"/>
  <c r="CX26" i="1"/>
  <c r="BM26" i="1"/>
  <c r="BL26" i="1"/>
  <c r="BK26" i="1"/>
  <c r="BJ26" i="1"/>
  <c r="BN26" i="1" s="1"/>
  <c r="BO26" i="1" s="1"/>
  <c r="BI26" i="1"/>
  <c r="BH26" i="1"/>
  <c r="BD26" i="1"/>
  <c r="AX26" i="1"/>
  <c r="AR26" i="1"/>
  <c r="BE26" i="1" s="1"/>
  <c r="AM26" i="1"/>
  <c r="AK26" i="1" s="1"/>
  <c r="AL26" i="1"/>
  <c r="AC26" i="1"/>
  <c r="AB26" i="1"/>
  <c r="AA26" i="1" s="1"/>
  <c r="T26" i="1"/>
  <c r="N26" i="1"/>
  <c r="BA26" i="1" s="1"/>
  <c r="BC26" i="1" s="1"/>
  <c r="DA25" i="1"/>
  <c r="CZ25" i="1"/>
  <c r="CX25" i="1"/>
  <c r="CY25" i="1" s="1"/>
  <c r="AZ25" i="1" s="1"/>
  <c r="BB25" i="1" s="1"/>
  <c r="BM25" i="1"/>
  <c r="BL25" i="1"/>
  <c r="BI25" i="1"/>
  <c r="BH25" i="1"/>
  <c r="BD25" i="1"/>
  <c r="AX25" i="1"/>
  <c r="AR25" i="1"/>
  <c r="BE25" i="1" s="1"/>
  <c r="AM25" i="1"/>
  <c r="AK25" i="1" s="1"/>
  <c r="AC25" i="1"/>
  <c r="AB25" i="1"/>
  <c r="W25" i="1"/>
  <c r="T25" i="1"/>
  <c r="M25" i="1"/>
  <c r="L25" i="1" s="1"/>
  <c r="DA24" i="1"/>
  <c r="W24" i="1" s="1"/>
  <c r="CZ24" i="1"/>
  <c r="CX24" i="1"/>
  <c r="CY24" i="1" s="1"/>
  <c r="BN24" i="1"/>
  <c r="BO24" i="1" s="1"/>
  <c r="BM24" i="1"/>
  <c r="BL24" i="1"/>
  <c r="BK24" i="1"/>
  <c r="BJ24" i="1"/>
  <c r="BH24" i="1"/>
  <c r="BI24" i="1" s="1"/>
  <c r="BE24" i="1"/>
  <c r="BD24" i="1"/>
  <c r="AZ24" i="1"/>
  <c r="BB24" i="1" s="1"/>
  <c r="AX24" i="1"/>
  <c r="AR24" i="1"/>
  <c r="AM24" i="1"/>
  <c r="AK24" i="1"/>
  <c r="AC24" i="1"/>
  <c r="AB24" i="1"/>
  <c r="T24" i="1"/>
  <c r="R24" i="1"/>
  <c r="DA23" i="1"/>
  <c r="CZ23" i="1"/>
  <c r="CX23" i="1"/>
  <c r="CY23" i="1" s="1"/>
  <c r="BM23" i="1"/>
  <c r="BL23" i="1"/>
  <c r="BK23" i="1"/>
  <c r="BJ23" i="1"/>
  <c r="BN23" i="1" s="1"/>
  <c r="BO23" i="1" s="1"/>
  <c r="BH23" i="1"/>
  <c r="BI23" i="1" s="1"/>
  <c r="BD23" i="1"/>
  <c r="AZ23" i="1"/>
  <c r="BB23" i="1" s="1"/>
  <c r="AX23" i="1"/>
  <c r="AR23" i="1"/>
  <c r="BE23" i="1" s="1"/>
  <c r="AM23" i="1"/>
  <c r="AK23" i="1"/>
  <c r="AC23" i="1"/>
  <c r="AB23" i="1"/>
  <c r="AA23" i="1"/>
  <c r="W23" i="1"/>
  <c r="T23" i="1"/>
  <c r="R23" i="1"/>
  <c r="O23" i="1"/>
  <c r="N23" i="1"/>
  <c r="BA23" i="1" s="1"/>
  <c r="BC23" i="1" s="1"/>
  <c r="DA22" i="1"/>
  <c r="CZ22" i="1"/>
  <c r="CX22" i="1"/>
  <c r="CY22" i="1" s="1"/>
  <c r="BM22" i="1"/>
  <c r="BL22" i="1"/>
  <c r="BH22" i="1"/>
  <c r="BK22" i="1" s="1"/>
  <c r="BE22" i="1"/>
  <c r="BD22" i="1"/>
  <c r="BA22" i="1"/>
  <c r="BC22" i="1" s="1"/>
  <c r="AZ22" i="1"/>
  <c r="AX22" i="1"/>
  <c r="AR22" i="1"/>
  <c r="AM22" i="1"/>
  <c r="AK22" i="1" s="1"/>
  <c r="R22" i="1" s="1"/>
  <c r="AL22" i="1"/>
  <c r="AC22" i="1"/>
  <c r="AB22" i="1"/>
  <c r="W22" i="1"/>
  <c r="T22" i="1"/>
  <c r="O22" i="1"/>
  <c r="N22" i="1"/>
  <c r="M22" i="1"/>
  <c r="L22" i="1" s="1"/>
  <c r="DA21" i="1"/>
  <c r="CZ21" i="1"/>
  <c r="CY21" i="1"/>
  <c r="AZ21" i="1" s="1"/>
  <c r="CX21" i="1"/>
  <c r="BM21" i="1"/>
  <c r="BL21" i="1"/>
  <c r="BH21" i="1"/>
  <c r="BI21" i="1" s="1"/>
  <c r="BD21" i="1"/>
  <c r="AX21" i="1"/>
  <c r="BB21" i="1" s="1"/>
  <c r="AR21" i="1"/>
  <c r="BE21" i="1" s="1"/>
  <c r="AM21" i="1"/>
  <c r="AK21" i="1" s="1"/>
  <c r="AL21" i="1"/>
  <c r="AC21" i="1"/>
  <c r="AB21" i="1"/>
  <c r="AA21" i="1"/>
  <c r="W21" i="1"/>
  <c r="T21" i="1"/>
  <c r="N21" i="1"/>
  <c r="BA21" i="1" s="1"/>
  <c r="BC21" i="1" s="1"/>
  <c r="DA20" i="1"/>
  <c r="W20" i="1" s="1"/>
  <c r="CZ20" i="1"/>
  <c r="CX20" i="1"/>
  <c r="CY20" i="1" s="1"/>
  <c r="AZ20" i="1" s="1"/>
  <c r="BB20" i="1" s="1"/>
  <c r="BN20" i="1"/>
  <c r="BO20" i="1" s="1"/>
  <c r="BM20" i="1"/>
  <c r="BL20" i="1"/>
  <c r="BK20" i="1"/>
  <c r="BJ20" i="1"/>
  <c r="BH20" i="1"/>
  <c r="BI20" i="1" s="1"/>
  <c r="BE20" i="1"/>
  <c r="BD20" i="1"/>
  <c r="AX20" i="1"/>
  <c r="AR20" i="1"/>
  <c r="AM20" i="1"/>
  <c r="AK20" i="1"/>
  <c r="AC20" i="1"/>
  <c r="AB20" i="1"/>
  <c r="AA20" i="1"/>
  <c r="T20" i="1"/>
  <c r="DA19" i="1"/>
  <c r="CZ19" i="1"/>
  <c r="CX19" i="1"/>
  <c r="CY19" i="1" s="1"/>
  <c r="BM19" i="1"/>
  <c r="BL19" i="1"/>
  <c r="BK19" i="1"/>
  <c r="BJ19" i="1"/>
  <c r="BN19" i="1" s="1"/>
  <c r="BO19" i="1" s="1"/>
  <c r="BI19" i="1"/>
  <c r="BH19" i="1"/>
  <c r="BD19" i="1"/>
  <c r="AZ19" i="1"/>
  <c r="AX19" i="1"/>
  <c r="AR19" i="1"/>
  <c r="BE19" i="1" s="1"/>
  <c r="AM19" i="1"/>
  <c r="AK19" i="1"/>
  <c r="AC19" i="1"/>
  <c r="AB19" i="1"/>
  <c r="AA19" i="1"/>
  <c r="W19" i="1"/>
  <c r="T19" i="1"/>
  <c r="R19" i="1"/>
  <c r="O19" i="1"/>
  <c r="N19" i="1"/>
  <c r="BA19" i="1" s="1"/>
  <c r="BC19" i="1" s="1"/>
  <c r="DA18" i="1"/>
  <c r="CZ18" i="1"/>
  <c r="CX18" i="1"/>
  <c r="CY18" i="1" s="1"/>
  <c r="AZ18" i="1" s="1"/>
  <c r="BB18" i="1" s="1"/>
  <c r="BM18" i="1"/>
  <c r="BL18" i="1"/>
  <c r="BH18" i="1"/>
  <c r="BK18" i="1" s="1"/>
  <c r="BE18" i="1"/>
  <c r="BD18" i="1"/>
  <c r="AX18" i="1"/>
  <c r="AR18" i="1"/>
  <c r="AM18" i="1"/>
  <c r="AK18" i="1"/>
  <c r="AC18" i="1"/>
  <c r="AB18" i="1"/>
  <c r="AA18" i="1"/>
  <c r="T18" i="1"/>
  <c r="DA17" i="1"/>
  <c r="W17" i="1" s="1"/>
  <c r="CZ17" i="1"/>
  <c r="CY17" i="1" s="1"/>
  <c r="CX17" i="1"/>
  <c r="BM17" i="1"/>
  <c r="BL17" i="1"/>
  <c r="BK17" i="1"/>
  <c r="BJ17" i="1"/>
  <c r="BN17" i="1" s="1"/>
  <c r="BO17" i="1" s="1"/>
  <c r="BI17" i="1"/>
  <c r="BH17" i="1"/>
  <c r="BD17" i="1"/>
  <c r="AZ17" i="1"/>
  <c r="BB17" i="1" s="1"/>
  <c r="AX17" i="1"/>
  <c r="AR17" i="1"/>
  <c r="BE17" i="1" s="1"/>
  <c r="AM17" i="1"/>
  <c r="AK17" i="1"/>
  <c r="O17" i="1" s="1"/>
  <c r="AC17" i="1"/>
  <c r="AB17" i="1"/>
  <c r="AA17" i="1"/>
  <c r="T17" i="1"/>
  <c r="AE59" i="1" l="1"/>
  <c r="AE36" i="1"/>
  <c r="X36" i="1"/>
  <c r="Y36" i="1" s="1"/>
  <c r="U36" i="1" s="1"/>
  <c r="S36" i="1" s="1"/>
  <c r="V36" i="1" s="1"/>
  <c r="P36" i="1" s="1"/>
  <c r="Q36" i="1" s="1"/>
  <c r="AE25" i="1"/>
  <c r="AE32" i="1"/>
  <c r="X32" i="1"/>
  <c r="Y32" i="1" s="1"/>
  <c r="U32" i="1"/>
  <c r="S32" i="1" s="1"/>
  <c r="V32" i="1" s="1"/>
  <c r="P32" i="1" s="1"/>
  <c r="Q32" i="1" s="1"/>
  <c r="BC33" i="1"/>
  <c r="X33" i="1"/>
  <c r="Y33" i="1" s="1"/>
  <c r="N18" i="1"/>
  <c r="BA18" i="1" s="1"/>
  <c r="BC18" i="1" s="1"/>
  <c r="O18" i="1"/>
  <c r="M18" i="1"/>
  <c r="L18" i="1" s="1"/>
  <c r="AL18" i="1"/>
  <c r="O43" i="1"/>
  <c r="N43" i="1"/>
  <c r="BA43" i="1" s="1"/>
  <c r="BC43" i="1" s="1"/>
  <c r="M43" i="1"/>
  <c r="L43" i="1" s="1"/>
  <c r="AL43" i="1"/>
  <c r="R43" i="1"/>
  <c r="X44" i="1"/>
  <c r="Y44" i="1" s="1"/>
  <c r="AE22" i="1"/>
  <c r="M26" i="1"/>
  <c r="L26" i="1" s="1"/>
  <c r="R26" i="1"/>
  <c r="O26" i="1"/>
  <c r="U45" i="1"/>
  <c r="S45" i="1" s="1"/>
  <c r="V45" i="1" s="1"/>
  <c r="P45" i="1" s="1"/>
  <c r="Q45" i="1" s="1"/>
  <c r="AE45" i="1"/>
  <c r="N49" i="1"/>
  <c r="BA49" i="1" s="1"/>
  <c r="BC49" i="1" s="1"/>
  <c r="AL49" i="1"/>
  <c r="R49" i="1"/>
  <c r="O49" i="1"/>
  <c r="M49" i="1"/>
  <c r="L49" i="1" s="1"/>
  <c r="AE55" i="1"/>
  <c r="U55" i="1"/>
  <c r="S55" i="1" s="1"/>
  <c r="V55" i="1" s="1"/>
  <c r="R51" i="1"/>
  <c r="O51" i="1"/>
  <c r="N51" i="1"/>
  <c r="BA51" i="1" s="1"/>
  <c r="BC51" i="1" s="1"/>
  <c r="M51" i="1"/>
  <c r="L51" i="1" s="1"/>
  <c r="AL56" i="1"/>
  <c r="R56" i="1"/>
  <c r="O56" i="1"/>
  <c r="N56" i="1"/>
  <c r="BA56" i="1" s="1"/>
  <c r="BC56" i="1" s="1"/>
  <c r="M56" i="1"/>
  <c r="L56" i="1" s="1"/>
  <c r="Z57" i="1"/>
  <c r="AD57" i="1" s="1"/>
  <c r="AG57" i="1"/>
  <c r="AF57" i="1"/>
  <c r="AE63" i="1"/>
  <c r="BK107" i="1"/>
  <c r="BJ107" i="1"/>
  <c r="BN107" i="1" s="1"/>
  <c r="BO107" i="1" s="1"/>
  <c r="BI107" i="1"/>
  <c r="BK21" i="1"/>
  <c r="BJ21" i="1"/>
  <c r="BN21" i="1" s="1"/>
  <c r="BO21" i="1" s="1"/>
  <c r="X25" i="1"/>
  <c r="Y25" i="1" s="1"/>
  <c r="BC27" i="1"/>
  <c r="AE29" i="1"/>
  <c r="BJ35" i="1"/>
  <c r="BN35" i="1" s="1"/>
  <c r="BO35" i="1" s="1"/>
  <c r="BI35" i="1"/>
  <c r="BK35" i="1"/>
  <c r="BC41" i="1"/>
  <c r="R44" i="1"/>
  <c r="O44" i="1"/>
  <c r="N44" i="1"/>
  <c r="BA44" i="1" s="1"/>
  <c r="BC44" i="1" s="1"/>
  <c r="R18" i="1"/>
  <c r="CY27" i="1"/>
  <c r="AZ27" i="1" s="1"/>
  <c r="BB27" i="1" s="1"/>
  <c r="W27" i="1"/>
  <c r="O20" i="1"/>
  <c r="N20" i="1"/>
  <c r="BA20" i="1" s="1"/>
  <c r="BC20" i="1" s="1"/>
  <c r="R20" i="1"/>
  <c r="AL20" i="1"/>
  <c r="W29" i="1"/>
  <c r="CY29" i="1"/>
  <c r="AZ29" i="1" s="1"/>
  <c r="BC29" i="1" s="1"/>
  <c r="AL37" i="1"/>
  <c r="R37" i="1"/>
  <c r="N37" i="1"/>
  <c r="BA37" i="1" s="1"/>
  <c r="BC37" i="1" s="1"/>
  <c r="M37" i="1"/>
  <c r="L37" i="1" s="1"/>
  <c r="R40" i="1"/>
  <c r="O40" i="1"/>
  <c r="N40" i="1"/>
  <c r="BA40" i="1" s="1"/>
  <c r="BC40" i="1" s="1"/>
  <c r="AL40" i="1"/>
  <c r="M40" i="1"/>
  <c r="L40" i="1" s="1"/>
  <c r="AE44" i="1"/>
  <c r="Z48" i="1"/>
  <c r="AD48" i="1" s="1"/>
  <c r="AG48" i="1"/>
  <c r="AF48" i="1"/>
  <c r="M20" i="1"/>
  <c r="L20" i="1" s="1"/>
  <c r="AF22" i="1"/>
  <c r="M21" i="1"/>
  <c r="L21" i="1" s="1"/>
  <c r="R21" i="1"/>
  <c r="BB19" i="1"/>
  <c r="X22" i="1"/>
  <c r="Y22" i="1" s="1"/>
  <c r="X23" i="1"/>
  <c r="Y23" i="1" s="1"/>
  <c r="AA24" i="1"/>
  <c r="BK45" i="1"/>
  <c r="BJ45" i="1"/>
  <c r="BN45" i="1" s="1"/>
  <c r="BO45" i="1" s="1"/>
  <c r="BI45" i="1"/>
  <c r="R55" i="1"/>
  <c r="O55" i="1"/>
  <c r="N55" i="1"/>
  <c r="BA55" i="1" s="1"/>
  <c r="BC55" i="1" s="1"/>
  <c r="AL55" i="1"/>
  <c r="O21" i="1"/>
  <c r="AL25" i="1"/>
  <c r="O25" i="1"/>
  <c r="R25" i="1"/>
  <c r="N25" i="1"/>
  <c r="BA25" i="1" s="1"/>
  <c r="BC25" i="1" s="1"/>
  <c r="O35" i="1"/>
  <c r="M35" i="1"/>
  <c r="L35" i="1" s="1"/>
  <c r="AL35" i="1"/>
  <c r="R35" i="1"/>
  <c r="N35" i="1"/>
  <c r="BA35" i="1" s="1"/>
  <c r="N50" i="1"/>
  <c r="BA50" i="1" s="1"/>
  <c r="BC50" i="1" s="1"/>
  <c r="M50" i="1"/>
  <c r="L50" i="1" s="1"/>
  <c r="AL50" i="1"/>
  <c r="R50" i="1"/>
  <c r="O50" i="1"/>
  <c r="N62" i="1"/>
  <c r="BA62" i="1" s="1"/>
  <c r="BC62" i="1" s="1"/>
  <c r="M62" i="1"/>
  <c r="L62" i="1" s="1"/>
  <c r="AL62" i="1"/>
  <c r="R62" i="1"/>
  <c r="O62" i="1"/>
  <c r="W64" i="1"/>
  <c r="CY64" i="1"/>
  <c r="AZ64" i="1" s="1"/>
  <c r="BC64" i="1" s="1"/>
  <c r="N75" i="1"/>
  <c r="BA75" i="1" s="1"/>
  <c r="BC75" i="1" s="1"/>
  <c r="M75" i="1"/>
  <c r="L75" i="1" s="1"/>
  <c r="R75" i="1"/>
  <c r="O75" i="1"/>
  <c r="AL75" i="1"/>
  <c r="BJ76" i="1"/>
  <c r="BN76" i="1" s="1"/>
  <c r="BO76" i="1" s="1"/>
  <c r="BI76" i="1"/>
  <c r="BK76" i="1"/>
  <c r="CY88" i="1"/>
  <c r="AZ88" i="1" s="1"/>
  <c r="BB88" i="1" s="1"/>
  <c r="W88" i="1"/>
  <c r="N104" i="1"/>
  <c r="BA104" i="1" s="1"/>
  <c r="BC104" i="1" s="1"/>
  <c r="M104" i="1"/>
  <c r="L104" i="1" s="1"/>
  <c r="R104" i="1"/>
  <c r="O104" i="1"/>
  <c r="AL104" i="1"/>
  <c r="R17" i="1"/>
  <c r="AA25" i="1"/>
  <c r="O28" i="1"/>
  <c r="N28" i="1"/>
  <c r="BA28" i="1" s="1"/>
  <c r="BC28" i="1" s="1"/>
  <c r="O31" i="1"/>
  <c r="M31" i="1"/>
  <c r="L31" i="1" s="1"/>
  <c r="AL31" i="1"/>
  <c r="BJ31" i="1"/>
  <c r="BN31" i="1" s="1"/>
  <c r="BO31" i="1" s="1"/>
  <c r="BI31" i="1"/>
  <c r="N34" i="1"/>
  <c r="BA34" i="1" s="1"/>
  <c r="BC34" i="1" s="1"/>
  <c r="M34" i="1"/>
  <c r="L34" i="1" s="1"/>
  <c r="R34" i="1"/>
  <c r="AL41" i="1"/>
  <c r="R41" i="1"/>
  <c r="AF44" i="1"/>
  <c r="AE48" i="1"/>
  <c r="U48" i="1"/>
  <c r="S48" i="1" s="1"/>
  <c r="V48" i="1" s="1"/>
  <c r="P48" i="1" s="1"/>
  <c r="Q48" i="1" s="1"/>
  <c r="BK48" i="1"/>
  <c r="BJ48" i="1"/>
  <c r="BN48" i="1" s="1"/>
  <c r="BO48" i="1" s="1"/>
  <c r="N58" i="1"/>
  <c r="BA58" i="1" s="1"/>
  <c r="BC58" i="1" s="1"/>
  <c r="M58" i="1"/>
  <c r="L58" i="1" s="1"/>
  <c r="AL58" i="1"/>
  <c r="R58" i="1"/>
  <c r="N61" i="1"/>
  <c r="BA61" i="1" s="1"/>
  <c r="BC61" i="1" s="1"/>
  <c r="AL61" i="1"/>
  <c r="R61" i="1"/>
  <c r="O61" i="1"/>
  <c r="M61" i="1"/>
  <c r="L61" i="1" s="1"/>
  <c r="X61" i="1" s="1"/>
  <c r="Y61" i="1" s="1"/>
  <c r="R71" i="1"/>
  <c r="O71" i="1"/>
  <c r="N71" i="1"/>
  <c r="BA71" i="1" s="1"/>
  <c r="BC71" i="1" s="1"/>
  <c r="M71" i="1"/>
  <c r="L71" i="1" s="1"/>
  <c r="AL71" i="1"/>
  <c r="N38" i="1"/>
  <c r="BA38" i="1" s="1"/>
  <c r="BC38" i="1" s="1"/>
  <c r="M38" i="1"/>
  <c r="L38" i="1" s="1"/>
  <c r="AL38" i="1"/>
  <c r="R38" i="1"/>
  <c r="X47" i="1"/>
  <c r="Y47" i="1" s="1"/>
  <c r="O47" i="1"/>
  <c r="N47" i="1"/>
  <c r="BA47" i="1" s="1"/>
  <c r="M47" i="1"/>
  <c r="L47" i="1" s="1"/>
  <c r="AL47" i="1"/>
  <c r="BC48" i="1"/>
  <c r="X65" i="1"/>
  <c r="Y65" i="1" s="1"/>
  <c r="R67" i="1"/>
  <c r="O67" i="1"/>
  <c r="N67" i="1"/>
  <c r="BA67" i="1" s="1"/>
  <c r="BC67" i="1" s="1"/>
  <c r="M67" i="1"/>
  <c r="L67" i="1" s="1"/>
  <c r="Z74" i="1"/>
  <c r="AD74" i="1" s="1"/>
  <c r="AG74" i="1"/>
  <c r="AF74" i="1"/>
  <c r="BK33" i="1"/>
  <c r="BJ33" i="1"/>
  <c r="BN33" i="1" s="1"/>
  <c r="BO33" i="1" s="1"/>
  <c r="M23" i="1"/>
  <c r="L23" i="1" s="1"/>
  <c r="AL23" i="1"/>
  <c r="O24" i="1"/>
  <c r="N24" i="1"/>
  <c r="BA24" i="1" s="1"/>
  <c r="BC24" i="1" s="1"/>
  <c r="BK29" i="1"/>
  <c r="BJ29" i="1"/>
  <c r="BN29" i="1" s="1"/>
  <c r="BO29" i="1" s="1"/>
  <c r="N31" i="1"/>
  <c r="BA31" i="1" s="1"/>
  <c r="R32" i="1"/>
  <c r="O32" i="1"/>
  <c r="N32" i="1"/>
  <c r="BA32" i="1" s="1"/>
  <c r="BC32" i="1" s="1"/>
  <c r="BI33" i="1"/>
  <c r="BB34" i="1"/>
  <c r="W37" i="1"/>
  <c r="BB41" i="1"/>
  <c r="N42" i="1"/>
  <c r="BA42" i="1" s="1"/>
  <c r="BC42" i="1" s="1"/>
  <c r="M42" i="1"/>
  <c r="L42" i="1" s="1"/>
  <c r="AL42" i="1"/>
  <c r="R42" i="1"/>
  <c r="AL45" i="1"/>
  <c r="R45" i="1"/>
  <c r="AL48" i="1"/>
  <c r="R48" i="1"/>
  <c r="X49" i="1"/>
  <c r="Y49" i="1" s="1"/>
  <c r="BB50" i="1"/>
  <c r="AL52" i="1"/>
  <c r="R52" i="1"/>
  <c r="O52" i="1"/>
  <c r="N52" i="1"/>
  <c r="BA52" i="1" s="1"/>
  <c r="BC52" i="1" s="1"/>
  <c r="BK60" i="1"/>
  <c r="BJ60" i="1"/>
  <c r="BN60" i="1" s="1"/>
  <c r="BO60" i="1" s="1"/>
  <c r="BI60" i="1"/>
  <c r="O27" i="1"/>
  <c r="M27" i="1"/>
  <c r="L27" i="1" s="1"/>
  <c r="AL27" i="1"/>
  <c r="N30" i="1"/>
  <c r="BA30" i="1" s="1"/>
  <c r="BC30" i="1" s="1"/>
  <c r="M30" i="1"/>
  <c r="L30" i="1" s="1"/>
  <c r="R30" i="1"/>
  <c r="W18" i="1"/>
  <c r="BI18" i="1"/>
  <c r="M19" i="1"/>
  <c r="L19" i="1" s="1"/>
  <c r="AL19" i="1"/>
  <c r="BI22" i="1"/>
  <c r="AL24" i="1"/>
  <c r="AF25" i="1"/>
  <c r="R27" i="1"/>
  <c r="BJ27" i="1"/>
  <c r="BN27" i="1" s="1"/>
  <c r="BO27" i="1" s="1"/>
  <c r="M28" i="1"/>
  <c r="L28" i="1" s="1"/>
  <c r="BI29" i="1"/>
  <c r="BB30" i="1"/>
  <c r="AL32" i="1"/>
  <c r="O34" i="1"/>
  <c r="CY35" i="1"/>
  <c r="AZ35" i="1" s="1"/>
  <c r="BB35" i="1" s="1"/>
  <c r="W35" i="1"/>
  <c r="AA37" i="1"/>
  <c r="BB38" i="1"/>
  <c r="W41" i="1"/>
  <c r="M52" i="1"/>
  <c r="L52" i="1" s="1"/>
  <c r="N57" i="1"/>
  <c r="BA57" i="1" s="1"/>
  <c r="BC57" i="1" s="1"/>
  <c r="AL57" i="1"/>
  <c r="R57" i="1"/>
  <c r="O57" i="1"/>
  <c r="AL116" i="1"/>
  <c r="R116" i="1"/>
  <c r="O116" i="1"/>
  <c r="N116" i="1"/>
  <c r="BA116" i="1" s="1"/>
  <c r="M116" i="1"/>
  <c r="L116" i="1" s="1"/>
  <c r="BB26" i="1"/>
  <c r="AF33" i="1"/>
  <c r="R36" i="1"/>
  <c r="O36" i="1"/>
  <c r="N36" i="1"/>
  <c r="BA36" i="1" s="1"/>
  <c r="BC36" i="1" s="1"/>
  <c r="BB37" i="1"/>
  <c r="AF21" i="1"/>
  <c r="M17" i="1"/>
  <c r="L17" i="1" s="1"/>
  <c r="N17" i="1"/>
  <c r="BA17" i="1" s="1"/>
  <c r="BC17" i="1" s="1"/>
  <c r="BJ18" i="1"/>
  <c r="BN18" i="1" s="1"/>
  <c r="BO18" i="1" s="1"/>
  <c r="AA22" i="1"/>
  <c r="BJ22" i="1"/>
  <c r="BN22" i="1" s="1"/>
  <c r="BO22" i="1" s="1"/>
  <c r="BK25" i="1"/>
  <c r="BJ25" i="1"/>
  <c r="BN25" i="1" s="1"/>
  <c r="BO25" i="1" s="1"/>
  <c r="BK27" i="1"/>
  <c r="O30" i="1"/>
  <c r="R31" i="1"/>
  <c r="CY31" i="1"/>
  <c r="AZ31" i="1" s="1"/>
  <c r="BB31" i="1" s="1"/>
  <c r="W31" i="1"/>
  <c r="BK37" i="1"/>
  <c r="BJ37" i="1"/>
  <c r="BN37" i="1" s="1"/>
  <c r="BO37" i="1" s="1"/>
  <c r="O39" i="1"/>
  <c r="N39" i="1"/>
  <c r="BA39" i="1" s="1"/>
  <c r="BC39" i="1" s="1"/>
  <c r="M39" i="1"/>
  <c r="L39" i="1" s="1"/>
  <c r="AL39" i="1"/>
  <c r="BB42" i="1"/>
  <c r="BB45" i="1"/>
  <c r="N46" i="1"/>
  <c r="BA46" i="1" s="1"/>
  <c r="BC46" i="1" s="1"/>
  <c r="M46" i="1"/>
  <c r="L46" i="1" s="1"/>
  <c r="AL46" i="1"/>
  <c r="R46" i="1"/>
  <c r="BB52" i="1"/>
  <c r="U57" i="1"/>
  <c r="S57" i="1" s="1"/>
  <c r="V57" i="1" s="1"/>
  <c r="AE57" i="1"/>
  <c r="AH57" i="1" s="1"/>
  <c r="AL17" i="1"/>
  <c r="X21" i="1"/>
  <c r="Y21" i="1" s="1"/>
  <c r="BB22" i="1"/>
  <c r="M24" i="1"/>
  <c r="L24" i="1" s="1"/>
  <c r="X24" i="1" s="1"/>
  <c r="Y24" i="1" s="1"/>
  <c r="R28" i="1"/>
  <c r="O38" i="1"/>
  <c r="M41" i="1"/>
  <c r="L41" i="1" s="1"/>
  <c r="BK41" i="1"/>
  <c r="BJ41" i="1"/>
  <c r="BN41" i="1" s="1"/>
  <c r="BO41" i="1" s="1"/>
  <c r="X45" i="1"/>
  <c r="Y45" i="1" s="1"/>
  <c r="AH48" i="1"/>
  <c r="BK56" i="1"/>
  <c r="BJ56" i="1"/>
  <c r="BN56" i="1" s="1"/>
  <c r="BO56" i="1" s="1"/>
  <c r="BB57" i="1"/>
  <c r="R59" i="1"/>
  <c r="O59" i="1"/>
  <c r="N59" i="1"/>
  <c r="BA59" i="1" s="1"/>
  <c r="BC59" i="1" s="1"/>
  <c r="AL59" i="1"/>
  <c r="AL60" i="1"/>
  <c r="R60" i="1"/>
  <c r="N60" i="1"/>
  <c r="BA60" i="1" s="1"/>
  <c r="BC60" i="1" s="1"/>
  <c r="M60" i="1"/>
  <c r="L60" i="1" s="1"/>
  <c r="AE64" i="1"/>
  <c r="AL68" i="1"/>
  <c r="R68" i="1"/>
  <c r="O68" i="1"/>
  <c r="N68" i="1"/>
  <c r="BA68" i="1" s="1"/>
  <c r="BC68" i="1" s="1"/>
  <c r="M68" i="1"/>
  <c r="L68" i="1" s="1"/>
  <c r="O72" i="1"/>
  <c r="AL72" i="1"/>
  <c r="R72" i="1"/>
  <c r="N72" i="1"/>
  <c r="BA72" i="1" s="1"/>
  <c r="M72" i="1"/>
  <c r="L72" i="1" s="1"/>
  <c r="X83" i="1"/>
  <c r="Y83" i="1" s="1"/>
  <c r="AA69" i="1"/>
  <c r="O82" i="1"/>
  <c r="N82" i="1"/>
  <c r="BA82" i="1" s="1"/>
  <c r="AL82" i="1"/>
  <c r="R82" i="1"/>
  <c r="M82" i="1"/>
  <c r="L82" i="1" s="1"/>
  <c r="R88" i="1"/>
  <c r="O88" i="1"/>
  <c r="AL88" i="1"/>
  <c r="M88" i="1"/>
  <c r="L88" i="1" s="1"/>
  <c r="X89" i="1"/>
  <c r="Y89" i="1" s="1"/>
  <c r="U97" i="1"/>
  <c r="S97" i="1" s="1"/>
  <c r="V97" i="1" s="1"/>
  <c r="P97" i="1" s="1"/>
  <c r="Q97" i="1" s="1"/>
  <c r="X66" i="1"/>
  <c r="Y66" i="1" s="1"/>
  <c r="U74" i="1"/>
  <c r="S74" i="1" s="1"/>
  <c r="V74" i="1" s="1"/>
  <c r="P74" i="1" s="1"/>
  <c r="Q74" i="1" s="1"/>
  <c r="AE77" i="1"/>
  <c r="X77" i="1"/>
  <c r="Y77" i="1" s="1"/>
  <c r="AE80" i="1"/>
  <c r="X85" i="1"/>
  <c r="Y85" i="1" s="1"/>
  <c r="R96" i="1"/>
  <c r="O96" i="1"/>
  <c r="AL96" i="1"/>
  <c r="M96" i="1"/>
  <c r="L96" i="1" s="1"/>
  <c r="X97" i="1"/>
  <c r="Y97" i="1" s="1"/>
  <c r="AA57" i="1"/>
  <c r="BB61" i="1"/>
  <c r="N65" i="1"/>
  <c r="BA65" i="1" s="1"/>
  <c r="BC65" i="1" s="1"/>
  <c r="AL65" i="1"/>
  <c r="R65" i="1"/>
  <c r="N66" i="1"/>
  <c r="BA66" i="1" s="1"/>
  <c r="BC66" i="1" s="1"/>
  <c r="M66" i="1"/>
  <c r="L66" i="1" s="1"/>
  <c r="AL66" i="1"/>
  <c r="BB67" i="1"/>
  <c r="AL73" i="1"/>
  <c r="R73" i="1"/>
  <c r="O73" i="1"/>
  <c r="N76" i="1"/>
  <c r="BA76" i="1" s="1"/>
  <c r="CY77" i="1"/>
  <c r="AZ77" i="1" s="1"/>
  <c r="BC77" i="1" s="1"/>
  <c r="CY82" i="1"/>
  <c r="AZ82" i="1" s="1"/>
  <c r="BB82" i="1" s="1"/>
  <c r="AA84" i="1"/>
  <c r="BK84" i="1"/>
  <c r="BJ84" i="1"/>
  <c r="BN84" i="1" s="1"/>
  <c r="BO84" i="1" s="1"/>
  <c r="BI84" i="1"/>
  <c r="CY85" i="1"/>
  <c r="AZ85" i="1" s="1"/>
  <c r="BB85" i="1" s="1"/>
  <c r="N88" i="1"/>
  <c r="BA88" i="1" s="1"/>
  <c r="BC88" i="1" s="1"/>
  <c r="CY96" i="1"/>
  <c r="AZ96" i="1" s="1"/>
  <c r="BB96" i="1" s="1"/>
  <c r="W96" i="1"/>
  <c r="R119" i="1"/>
  <c r="O119" i="1"/>
  <c r="N119" i="1"/>
  <c r="BA119" i="1" s="1"/>
  <c r="BC119" i="1" s="1"/>
  <c r="AL119" i="1"/>
  <c r="M119" i="1"/>
  <c r="L119" i="1" s="1"/>
  <c r="CY47" i="1"/>
  <c r="AZ47" i="1" s="1"/>
  <c r="BB47" i="1" s="1"/>
  <c r="BB48" i="1"/>
  <c r="BB49" i="1"/>
  <c r="X55" i="1"/>
  <c r="Y55" i="1" s="1"/>
  <c r="W56" i="1"/>
  <c r="AA61" i="1"/>
  <c r="BK64" i="1"/>
  <c r="BJ64" i="1"/>
  <c r="BN64" i="1" s="1"/>
  <c r="BO64" i="1" s="1"/>
  <c r="X71" i="1"/>
  <c r="Y71" i="1" s="1"/>
  <c r="AE74" i="1"/>
  <c r="AH74" i="1" s="1"/>
  <c r="O76" i="1"/>
  <c r="M76" i="1"/>
  <c r="L76" i="1" s="1"/>
  <c r="O86" i="1"/>
  <c r="N86" i="1"/>
  <c r="BA86" i="1" s="1"/>
  <c r="BC86" i="1" s="1"/>
  <c r="M86" i="1"/>
  <c r="L86" i="1" s="1"/>
  <c r="AL86" i="1"/>
  <c r="R86" i="1"/>
  <c r="BC93" i="1"/>
  <c r="O105" i="1"/>
  <c r="N105" i="1"/>
  <c r="BA105" i="1" s="1"/>
  <c r="BC105" i="1" s="1"/>
  <c r="AL105" i="1"/>
  <c r="R105" i="1"/>
  <c r="M105" i="1"/>
  <c r="L105" i="1" s="1"/>
  <c r="N53" i="1"/>
  <c r="BA53" i="1" s="1"/>
  <c r="BC53" i="1" s="1"/>
  <c r="AL53" i="1"/>
  <c r="R53" i="1"/>
  <c r="N54" i="1"/>
  <c r="BA54" i="1" s="1"/>
  <c r="BC54" i="1" s="1"/>
  <c r="M54" i="1"/>
  <c r="L54" i="1" s="1"/>
  <c r="X54" i="1" s="1"/>
  <c r="Y54" i="1" s="1"/>
  <c r="AL54" i="1"/>
  <c r="BB56" i="1"/>
  <c r="R63" i="1"/>
  <c r="O63" i="1"/>
  <c r="N63" i="1"/>
  <c r="BA63" i="1" s="1"/>
  <c r="BC63" i="1" s="1"/>
  <c r="AL64" i="1"/>
  <c r="R64" i="1"/>
  <c r="BB65" i="1"/>
  <c r="N69" i="1"/>
  <c r="BA69" i="1" s="1"/>
  <c r="BC69" i="1" s="1"/>
  <c r="AL69" i="1"/>
  <c r="R69" i="1"/>
  <c r="N70" i="1"/>
  <c r="BA70" i="1" s="1"/>
  <c r="BC70" i="1" s="1"/>
  <c r="M70" i="1"/>
  <c r="L70" i="1" s="1"/>
  <c r="X70" i="1" s="1"/>
  <c r="Y70" i="1" s="1"/>
  <c r="AL70" i="1"/>
  <c r="X73" i="1"/>
  <c r="Y73" i="1" s="1"/>
  <c r="BB73" i="1"/>
  <c r="AE78" i="1"/>
  <c r="X91" i="1"/>
  <c r="Y91" i="1" s="1"/>
  <c r="AF91" i="1" s="1"/>
  <c r="BB93" i="1"/>
  <c r="X93" i="1"/>
  <c r="Y93" i="1" s="1"/>
  <c r="N96" i="1"/>
  <c r="BA96" i="1" s="1"/>
  <c r="BC96" i="1" s="1"/>
  <c r="N133" i="1"/>
  <c r="BA133" i="1" s="1"/>
  <c r="BC133" i="1" s="1"/>
  <c r="AL133" i="1"/>
  <c r="R133" i="1"/>
  <c r="O133" i="1"/>
  <c r="M133" i="1"/>
  <c r="L133" i="1" s="1"/>
  <c r="CY136" i="1"/>
  <c r="AZ136" i="1" s="1"/>
  <c r="W136" i="1"/>
  <c r="W39" i="1"/>
  <c r="BI39" i="1"/>
  <c r="W43" i="1"/>
  <c r="BI43" i="1"/>
  <c r="BJ47" i="1"/>
  <c r="BN47" i="1" s="1"/>
  <c r="BO47" i="1" s="1"/>
  <c r="BK52" i="1"/>
  <c r="BJ52" i="1"/>
  <c r="BN52" i="1" s="1"/>
  <c r="BO52" i="1" s="1"/>
  <c r="BB60" i="1"/>
  <c r="AL63" i="1"/>
  <c r="BK68" i="1"/>
  <c r="BJ68" i="1"/>
  <c r="BN68" i="1" s="1"/>
  <c r="BO68" i="1" s="1"/>
  <c r="CY81" i="1"/>
  <c r="AZ81" i="1" s="1"/>
  <c r="BC81" i="1" s="1"/>
  <c r="U89" i="1"/>
  <c r="S89" i="1" s="1"/>
  <c r="V89" i="1" s="1"/>
  <c r="P89" i="1" s="1"/>
  <c r="Q89" i="1" s="1"/>
  <c r="BK92" i="1"/>
  <c r="BJ92" i="1"/>
  <c r="BN92" i="1" s="1"/>
  <c r="BO92" i="1" s="1"/>
  <c r="BI92" i="1"/>
  <c r="CY93" i="1"/>
  <c r="AZ93" i="1" s="1"/>
  <c r="AE97" i="1"/>
  <c r="Z101" i="1"/>
  <c r="AD101" i="1" s="1"/>
  <c r="AG101" i="1"/>
  <c r="AH101" i="1" s="1"/>
  <c r="AF101" i="1"/>
  <c r="BK47" i="1"/>
  <c r="BI52" i="1"/>
  <c r="M53" i="1"/>
  <c r="L53" i="1" s="1"/>
  <c r="X53" i="1" s="1"/>
  <c r="Y53" i="1" s="1"/>
  <c r="BB53" i="1"/>
  <c r="O54" i="1"/>
  <c r="BI68" i="1"/>
  <c r="M69" i="1"/>
  <c r="L69" i="1" s="1"/>
  <c r="BB69" i="1"/>
  <c r="O70" i="1"/>
  <c r="O94" i="1"/>
  <c r="N94" i="1"/>
  <c r="BA94" i="1" s="1"/>
  <c r="M94" i="1"/>
  <c r="L94" i="1" s="1"/>
  <c r="AL94" i="1"/>
  <c r="R94" i="1"/>
  <c r="O122" i="1"/>
  <c r="N122" i="1"/>
  <c r="BA122" i="1" s="1"/>
  <c r="BC122" i="1" s="1"/>
  <c r="M122" i="1"/>
  <c r="L122" i="1" s="1"/>
  <c r="AL122" i="1"/>
  <c r="R122" i="1"/>
  <c r="O99" i="1"/>
  <c r="N99" i="1"/>
  <c r="BA99" i="1" s="1"/>
  <c r="BC99" i="1" s="1"/>
  <c r="M99" i="1"/>
  <c r="L99" i="1" s="1"/>
  <c r="CY100" i="1"/>
  <c r="AZ100" i="1" s="1"/>
  <c r="BB100" i="1" s="1"/>
  <c r="W100" i="1"/>
  <c r="U101" i="1"/>
  <c r="S101" i="1" s="1"/>
  <c r="V101" i="1" s="1"/>
  <c r="P101" i="1" s="1"/>
  <c r="Q101" i="1" s="1"/>
  <c r="O152" i="1"/>
  <c r="N152" i="1"/>
  <c r="BA152" i="1" s="1"/>
  <c r="AL152" i="1"/>
  <c r="R152" i="1"/>
  <c r="M152" i="1"/>
  <c r="L152" i="1" s="1"/>
  <c r="CY80" i="1"/>
  <c r="AZ80" i="1" s="1"/>
  <c r="BB80" i="1" s="1"/>
  <c r="W80" i="1"/>
  <c r="M84" i="1"/>
  <c r="L84" i="1" s="1"/>
  <c r="O87" i="1"/>
  <c r="N87" i="1"/>
  <c r="BA87" i="1" s="1"/>
  <c r="BC87" i="1" s="1"/>
  <c r="M87" i="1"/>
  <c r="L87" i="1" s="1"/>
  <c r="M92" i="1"/>
  <c r="L92" i="1" s="1"/>
  <c r="O95" i="1"/>
  <c r="N95" i="1"/>
  <c r="BA95" i="1" s="1"/>
  <c r="BC95" i="1" s="1"/>
  <c r="M95" i="1"/>
  <c r="L95" i="1" s="1"/>
  <c r="BK100" i="1"/>
  <c r="BJ100" i="1"/>
  <c r="BN100" i="1" s="1"/>
  <c r="BO100" i="1" s="1"/>
  <c r="BI100" i="1"/>
  <c r="BC101" i="1"/>
  <c r="BB101" i="1"/>
  <c r="BB108" i="1"/>
  <c r="M112" i="1"/>
  <c r="L112" i="1" s="1"/>
  <c r="AL112" i="1"/>
  <c r="R112" i="1"/>
  <c r="O112" i="1"/>
  <c r="N112" i="1"/>
  <c r="BA112" i="1" s="1"/>
  <c r="BC112" i="1" s="1"/>
  <c r="BB136" i="1"/>
  <c r="W51" i="1"/>
  <c r="BI51" i="1"/>
  <c r="W59" i="1"/>
  <c r="BI59" i="1"/>
  <c r="W63" i="1"/>
  <c r="W67" i="1"/>
  <c r="CY78" i="1"/>
  <c r="AZ78" i="1" s="1"/>
  <c r="BB78" i="1" s="1"/>
  <c r="W78" i="1"/>
  <c r="M81" i="1"/>
  <c r="L81" i="1" s="1"/>
  <c r="X81" i="1" s="1"/>
  <c r="Y81" i="1" s="1"/>
  <c r="AL81" i="1"/>
  <c r="R81" i="1"/>
  <c r="R84" i="1"/>
  <c r="O84" i="1"/>
  <c r="AA88" i="1"/>
  <c r="R92" i="1"/>
  <c r="O92" i="1"/>
  <c r="AL95" i="1"/>
  <c r="AA96" i="1"/>
  <c r="AL103" i="1"/>
  <c r="O103" i="1"/>
  <c r="N103" i="1"/>
  <c r="BA103" i="1" s="1"/>
  <c r="BC103" i="1" s="1"/>
  <c r="M103" i="1"/>
  <c r="L103" i="1" s="1"/>
  <c r="X117" i="1"/>
  <c r="Y117" i="1" s="1"/>
  <c r="BB129" i="1"/>
  <c r="CY72" i="1"/>
  <c r="AZ72" i="1" s="1"/>
  <c r="BB72" i="1" s="1"/>
  <c r="W72" i="1"/>
  <c r="AA74" i="1"/>
  <c r="BJ80" i="1"/>
  <c r="BN80" i="1" s="1"/>
  <c r="BO80" i="1" s="1"/>
  <c r="BI80" i="1"/>
  <c r="X87" i="1"/>
  <c r="Y87" i="1" s="1"/>
  <c r="BK88" i="1"/>
  <c r="BJ88" i="1"/>
  <c r="BN88" i="1" s="1"/>
  <c r="BO88" i="1" s="1"/>
  <c r="BI88" i="1"/>
  <c r="BC89" i="1"/>
  <c r="BB89" i="1"/>
  <c r="O90" i="1"/>
  <c r="N90" i="1"/>
  <c r="BA90" i="1" s="1"/>
  <c r="BC90" i="1" s="1"/>
  <c r="M90" i="1"/>
  <c r="L90" i="1" s="1"/>
  <c r="AL90" i="1"/>
  <c r="BK96" i="1"/>
  <c r="BJ96" i="1"/>
  <c r="BN96" i="1" s="1"/>
  <c r="BO96" i="1" s="1"/>
  <c r="BI96" i="1"/>
  <c r="BC97" i="1"/>
  <c r="BB97" i="1"/>
  <c r="O98" i="1"/>
  <c r="N98" i="1"/>
  <c r="BA98" i="1" s="1"/>
  <c r="BC98" i="1" s="1"/>
  <c r="M98" i="1"/>
  <c r="L98" i="1" s="1"/>
  <c r="AL98" i="1"/>
  <c r="M100" i="1"/>
  <c r="L100" i="1" s="1"/>
  <c r="X124" i="1"/>
  <c r="Y124" i="1" s="1"/>
  <c r="O78" i="1"/>
  <c r="AL78" i="1"/>
  <c r="N79" i="1"/>
  <c r="BA79" i="1" s="1"/>
  <c r="BC79" i="1" s="1"/>
  <c r="M79" i="1"/>
  <c r="L79" i="1" s="1"/>
  <c r="CY84" i="1"/>
  <c r="AZ84" i="1" s="1"/>
  <c r="BB84" i="1" s="1"/>
  <c r="W84" i="1"/>
  <c r="U85" i="1"/>
  <c r="S85" i="1" s="1"/>
  <c r="V85" i="1" s="1"/>
  <c r="P85" i="1" s="1"/>
  <c r="Q85" i="1" s="1"/>
  <c r="CY92" i="1"/>
  <c r="AZ92" i="1" s="1"/>
  <c r="BB92" i="1" s="1"/>
  <c r="W92" i="1"/>
  <c r="U93" i="1"/>
  <c r="S93" i="1" s="1"/>
  <c r="V93" i="1" s="1"/>
  <c r="P93" i="1" s="1"/>
  <c r="Q93" i="1" s="1"/>
  <c r="CY94" i="1"/>
  <c r="AZ94" i="1" s="1"/>
  <c r="BB94" i="1" s="1"/>
  <c r="BC100" i="1"/>
  <c r="R100" i="1"/>
  <c r="O100" i="1"/>
  <c r="AE101" i="1"/>
  <c r="BB103" i="1"/>
  <c r="AE107" i="1"/>
  <c r="X108" i="1"/>
  <c r="Y108" i="1" s="1"/>
  <c r="BJ72" i="1"/>
  <c r="BN72" i="1" s="1"/>
  <c r="BO72" i="1" s="1"/>
  <c r="BJ73" i="1"/>
  <c r="BN73" i="1" s="1"/>
  <c r="BO73" i="1" s="1"/>
  <c r="CY76" i="1"/>
  <c r="AZ76" i="1" s="1"/>
  <c r="BB76" i="1" s="1"/>
  <c r="W76" i="1"/>
  <c r="BB77" i="1"/>
  <c r="BJ78" i="1"/>
  <c r="BN78" i="1" s="1"/>
  <c r="BO78" i="1" s="1"/>
  <c r="AL79" i="1"/>
  <c r="R80" i="1"/>
  <c r="O80" i="1"/>
  <c r="O81" i="1"/>
  <c r="BB81" i="1"/>
  <c r="N83" i="1"/>
  <c r="BA83" i="1" s="1"/>
  <c r="BC83" i="1" s="1"/>
  <c r="M83" i="1"/>
  <c r="L83" i="1" s="1"/>
  <c r="O91" i="1"/>
  <c r="N91" i="1"/>
  <c r="BA91" i="1" s="1"/>
  <c r="BC91" i="1" s="1"/>
  <c r="M91" i="1"/>
  <c r="L91" i="1" s="1"/>
  <c r="R99" i="1"/>
  <c r="BI101" i="1"/>
  <c r="R102" i="1"/>
  <c r="AL102" i="1"/>
  <c r="O102" i="1"/>
  <c r="N102" i="1"/>
  <c r="BA102" i="1" s="1"/>
  <c r="BC102" i="1" s="1"/>
  <c r="M102" i="1"/>
  <c r="L102" i="1" s="1"/>
  <c r="X103" i="1"/>
  <c r="Y103" i="1" s="1"/>
  <c r="AF103" i="1" s="1"/>
  <c r="X106" i="1"/>
  <c r="Y106" i="1" s="1"/>
  <c r="AE113" i="1"/>
  <c r="R127" i="1"/>
  <c r="O127" i="1"/>
  <c r="N127" i="1"/>
  <c r="BA127" i="1" s="1"/>
  <c r="BC127" i="1" s="1"/>
  <c r="M127" i="1"/>
  <c r="L127" i="1" s="1"/>
  <c r="BK128" i="1"/>
  <c r="BJ128" i="1"/>
  <c r="BN128" i="1" s="1"/>
  <c r="BO128" i="1" s="1"/>
  <c r="BI128" i="1"/>
  <c r="N137" i="1"/>
  <c r="BA137" i="1" s="1"/>
  <c r="BC137" i="1" s="1"/>
  <c r="M137" i="1"/>
  <c r="L137" i="1" s="1"/>
  <c r="AL137" i="1"/>
  <c r="R137" i="1"/>
  <c r="O137" i="1"/>
  <c r="M106" i="1"/>
  <c r="L106" i="1" s="1"/>
  <c r="BK110" i="1"/>
  <c r="BJ110" i="1"/>
  <c r="BN110" i="1" s="1"/>
  <c r="BO110" i="1" s="1"/>
  <c r="BI110" i="1"/>
  <c r="BK132" i="1"/>
  <c r="BJ132" i="1"/>
  <c r="BN132" i="1" s="1"/>
  <c r="BO132" i="1" s="1"/>
  <c r="X143" i="1"/>
  <c r="Y143" i="1" s="1"/>
  <c r="U143" i="1" s="1"/>
  <c r="S143" i="1" s="1"/>
  <c r="V143" i="1" s="1"/>
  <c r="P143" i="1" s="1"/>
  <c r="Q143" i="1" s="1"/>
  <c r="R85" i="1"/>
  <c r="R89" i="1"/>
  <c r="R93" i="1"/>
  <c r="R97" i="1"/>
  <c r="R101" i="1"/>
  <c r="BB104" i="1"/>
  <c r="AL107" i="1"/>
  <c r="R107" i="1"/>
  <c r="O109" i="1"/>
  <c r="N109" i="1"/>
  <c r="BA109" i="1" s="1"/>
  <c r="BC109" i="1" s="1"/>
  <c r="M109" i="1"/>
  <c r="L109" i="1" s="1"/>
  <c r="AL109" i="1"/>
  <c r="R110" i="1"/>
  <c r="O110" i="1"/>
  <c r="N110" i="1"/>
  <c r="BA110" i="1" s="1"/>
  <c r="BC110" i="1" s="1"/>
  <c r="CY116" i="1"/>
  <c r="AZ116" i="1" s="1"/>
  <c r="BB116" i="1" s="1"/>
  <c r="R123" i="1"/>
  <c r="O123" i="1"/>
  <c r="N123" i="1"/>
  <c r="BA123" i="1" s="1"/>
  <c r="BC123" i="1" s="1"/>
  <c r="AL123" i="1"/>
  <c r="M123" i="1"/>
  <c r="L123" i="1" s="1"/>
  <c r="R106" i="1"/>
  <c r="N106" i="1"/>
  <c r="BA106" i="1" s="1"/>
  <c r="BC106" i="1" s="1"/>
  <c r="O111" i="1"/>
  <c r="N111" i="1"/>
  <c r="BA111" i="1" s="1"/>
  <c r="M111" i="1"/>
  <c r="L111" i="1" s="1"/>
  <c r="N114" i="1"/>
  <c r="BA114" i="1" s="1"/>
  <c r="BC114" i="1" s="1"/>
  <c r="M114" i="1"/>
  <c r="L114" i="1" s="1"/>
  <c r="R114" i="1"/>
  <c r="AL120" i="1"/>
  <c r="R120" i="1"/>
  <c r="M120" i="1"/>
  <c r="L120" i="1" s="1"/>
  <c r="AE132" i="1"/>
  <c r="U132" i="1"/>
  <c r="S132" i="1" s="1"/>
  <c r="V132" i="1" s="1"/>
  <c r="P132" i="1" s="1"/>
  <c r="Q132" i="1" s="1"/>
  <c r="AE139" i="1"/>
  <c r="AL85" i="1"/>
  <c r="AL89" i="1"/>
  <c r="AL93" i="1"/>
  <c r="AL97" i="1"/>
  <c r="AL101" i="1"/>
  <c r="X102" i="1"/>
  <c r="Y102" i="1" s="1"/>
  <c r="AF102" i="1" s="1"/>
  <c r="AF106" i="1"/>
  <c r="AL106" i="1"/>
  <c r="BB107" i="1"/>
  <c r="AL111" i="1"/>
  <c r="X113" i="1"/>
  <c r="Y113" i="1" s="1"/>
  <c r="AL114" i="1"/>
  <c r="N120" i="1"/>
  <c r="BA120" i="1" s="1"/>
  <c r="BC120" i="1" s="1"/>
  <c r="N125" i="1"/>
  <c r="BA125" i="1" s="1"/>
  <c r="BC125" i="1" s="1"/>
  <c r="M125" i="1"/>
  <c r="L125" i="1" s="1"/>
  <c r="X125" i="1" s="1"/>
  <c r="Y125" i="1" s="1"/>
  <c r="AL125" i="1"/>
  <c r="R125" i="1"/>
  <c r="O125" i="1"/>
  <c r="AL132" i="1"/>
  <c r="R132" i="1"/>
  <c r="O132" i="1"/>
  <c r="X137" i="1"/>
  <c r="Y137" i="1" s="1"/>
  <c r="W82" i="1"/>
  <c r="W86" i="1"/>
  <c r="W90" i="1"/>
  <c r="W94" i="1"/>
  <c r="X107" i="1"/>
  <c r="Y107" i="1" s="1"/>
  <c r="U107" i="1" s="1"/>
  <c r="S107" i="1" s="1"/>
  <c r="V107" i="1" s="1"/>
  <c r="P107" i="1" s="1"/>
  <c r="Q107" i="1" s="1"/>
  <c r="AF110" i="1"/>
  <c r="X110" i="1"/>
  <c r="Y110" i="1" s="1"/>
  <c r="O115" i="1"/>
  <c r="AL115" i="1"/>
  <c r="M115" i="1"/>
  <c r="L115" i="1" s="1"/>
  <c r="O120" i="1"/>
  <c r="X122" i="1"/>
  <c r="Y122" i="1" s="1"/>
  <c r="AF122" i="1" s="1"/>
  <c r="AE128" i="1"/>
  <c r="N132" i="1"/>
  <c r="BA132" i="1" s="1"/>
  <c r="BC132" i="1" s="1"/>
  <c r="R108" i="1"/>
  <c r="CY111" i="1"/>
  <c r="AZ111" i="1" s="1"/>
  <c r="BB111" i="1" s="1"/>
  <c r="W111" i="1"/>
  <c r="N117" i="1"/>
  <c r="BA117" i="1" s="1"/>
  <c r="BC117" i="1" s="1"/>
  <c r="AL117" i="1"/>
  <c r="R117" i="1"/>
  <c r="N118" i="1"/>
  <c r="BA118" i="1" s="1"/>
  <c r="BC118" i="1" s="1"/>
  <c r="M118" i="1"/>
  <c r="L118" i="1" s="1"/>
  <c r="AL118" i="1"/>
  <c r="BB125" i="1"/>
  <c r="O130" i="1"/>
  <c r="N130" i="1"/>
  <c r="BA130" i="1" s="1"/>
  <c r="BC130" i="1" s="1"/>
  <c r="M130" i="1"/>
  <c r="L130" i="1" s="1"/>
  <c r="AL130" i="1"/>
  <c r="R135" i="1"/>
  <c r="O135" i="1"/>
  <c r="N135" i="1"/>
  <c r="BA135" i="1" s="1"/>
  <c r="BC135" i="1" s="1"/>
  <c r="AL135" i="1"/>
  <c r="M135" i="1"/>
  <c r="L135" i="1" s="1"/>
  <c r="AE140" i="1"/>
  <c r="BK116" i="1"/>
  <c r="BJ116" i="1"/>
  <c r="BN116" i="1" s="1"/>
  <c r="BO116" i="1" s="1"/>
  <c r="BB120" i="1"/>
  <c r="N121" i="1"/>
  <c r="BA121" i="1" s="1"/>
  <c r="BC121" i="1" s="1"/>
  <c r="M121" i="1"/>
  <c r="L121" i="1" s="1"/>
  <c r="AL121" i="1"/>
  <c r="R121" i="1"/>
  <c r="BK124" i="1"/>
  <c r="BJ124" i="1"/>
  <c r="BN124" i="1" s="1"/>
  <c r="BO124" i="1" s="1"/>
  <c r="AL128" i="1"/>
  <c r="R128" i="1"/>
  <c r="BB142" i="1"/>
  <c r="AL108" i="1"/>
  <c r="BJ111" i="1"/>
  <c r="BN111" i="1" s="1"/>
  <c r="BO111" i="1" s="1"/>
  <c r="BI112" i="1"/>
  <c r="R113" i="1"/>
  <c r="BI113" i="1"/>
  <c r="BI116" i="1"/>
  <c r="BB117" i="1"/>
  <c r="W120" i="1"/>
  <c r="BC124" i="1"/>
  <c r="O126" i="1"/>
  <c r="N126" i="1"/>
  <c r="BA126" i="1" s="1"/>
  <c r="BC126" i="1" s="1"/>
  <c r="M126" i="1"/>
  <c r="L126" i="1" s="1"/>
  <c r="AL126" i="1"/>
  <c r="AE131" i="1"/>
  <c r="R139" i="1"/>
  <c r="O139" i="1"/>
  <c r="N139" i="1"/>
  <c r="BA139" i="1" s="1"/>
  <c r="BC139" i="1" s="1"/>
  <c r="M144" i="1"/>
  <c r="L144" i="1" s="1"/>
  <c r="O144" i="1"/>
  <c r="R144" i="1"/>
  <c r="AL144" i="1"/>
  <c r="N144" i="1"/>
  <c r="BA144" i="1" s="1"/>
  <c r="BC154" i="1"/>
  <c r="W105" i="1"/>
  <c r="BI105" i="1"/>
  <c r="M108" i="1"/>
  <c r="L108" i="1" s="1"/>
  <c r="W109" i="1"/>
  <c r="BI109" i="1"/>
  <c r="BK111" i="1"/>
  <c r="BJ112" i="1"/>
  <c r="BN112" i="1" s="1"/>
  <c r="BO112" i="1" s="1"/>
  <c r="BJ113" i="1"/>
  <c r="BN113" i="1" s="1"/>
  <c r="BO113" i="1" s="1"/>
  <c r="BB121" i="1"/>
  <c r="BB128" i="1"/>
  <c r="N129" i="1"/>
  <c r="BA129" i="1" s="1"/>
  <c r="BC129" i="1" s="1"/>
  <c r="M129" i="1"/>
  <c r="L129" i="1" s="1"/>
  <c r="AL129" i="1"/>
  <c r="R129" i="1"/>
  <c r="X132" i="1"/>
  <c r="Y132" i="1" s="1"/>
  <c r="AL139" i="1"/>
  <c r="BC147" i="1"/>
  <c r="X157" i="1"/>
  <c r="Y157" i="1" s="1"/>
  <c r="BJ115" i="1"/>
  <c r="BN115" i="1" s="1"/>
  <c r="BO115" i="1" s="1"/>
  <c r="BI115" i="1"/>
  <c r="R118" i="1"/>
  <c r="BK120" i="1"/>
  <c r="BJ120" i="1"/>
  <c r="BN120" i="1" s="1"/>
  <c r="BO120" i="1" s="1"/>
  <c r="AL124" i="1"/>
  <c r="R124" i="1"/>
  <c r="W128" i="1"/>
  <c r="X129" i="1"/>
  <c r="Y129" i="1" s="1"/>
  <c r="N134" i="1"/>
  <c r="BA134" i="1" s="1"/>
  <c r="BC134" i="1" s="1"/>
  <c r="M134" i="1"/>
  <c r="L134" i="1" s="1"/>
  <c r="X134" i="1" s="1"/>
  <c r="Y134" i="1" s="1"/>
  <c r="AL134" i="1"/>
  <c r="R134" i="1"/>
  <c r="O134" i="1"/>
  <c r="AL136" i="1"/>
  <c r="R136" i="1"/>
  <c r="O136" i="1"/>
  <c r="N136" i="1"/>
  <c r="BA136" i="1" s="1"/>
  <c r="BC136" i="1" s="1"/>
  <c r="M136" i="1"/>
  <c r="L136" i="1" s="1"/>
  <c r="BK140" i="1"/>
  <c r="BJ140" i="1"/>
  <c r="BN140" i="1" s="1"/>
  <c r="BO140" i="1" s="1"/>
  <c r="BB143" i="1"/>
  <c r="O145" i="1"/>
  <c r="N145" i="1"/>
  <c r="BA145" i="1" s="1"/>
  <c r="BC145" i="1" s="1"/>
  <c r="AL145" i="1"/>
  <c r="M145" i="1"/>
  <c r="L145" i="1" s="1"/>
  <c r="BB133" i="1"/>
  <c r="X161" i="1"/>
  <c r="Y161" i="1" s="1"/>
  <c r="W115" i="1"/>
  <c r="W119" i="1"/>
  <c r="BI119" i="1"/>
  <c r="W123" i="1"/>
  <c r="BI123" i="1"/>
  <c r="W127" i="1"/>
  <c r="BI127" i="1"/>
  <c r="R131" i="1"/>
  <c r="AL131" i="1"/>
  <c r="BB132" i="1"/>
  <c r="BB137" i="1"/>
  <c r="AL140" i="1"/>
  <c r="R140" i="1"/>
  <c r="AE143" i="1"/>
  <c r="M153" i="1"/>
  <c r="L153" i="1" s="1"/>
  <c r="O153" i="1"/>
  <c r="N153" i="1"/>
  <c r="BA153" i="1" s="1"/>
  <c r="BC153" i="1" s="1"/>
  <c r="AL153" i="1"/>
  <c r="AL155" i="1"/>
  <c r="R155" i="1"/>
  <c r="O155" i="1"/>
  <c r="N155" i="1"/>
  <c r="BA155" i="1" s="1"/>
  <c r="BC155" i="1" s="1"/>
  <c r="M155" i="1"/>
  <c r="L155" i="1" s="1"/>
  <c r="X156" i="1"/>
  <c r="Y156" i="1" s="1"/>
  <c r="BK157" i="1"/>
  <c r="BI157" i="1"/>
  <c r="AE162" i="1"/>
  <c r="CY131" i="1"/>
  <c r="AZ131" i="1" s="1"/>
  <c r="BB131" i="1" s="1"/>
  <c r="W131" i="1"/>
  <c r="BK136" i="1"/>
  <c r="BJ136" i="1"/>
  <c r="BN136" i="1" s="1"/>
  <c r="BO136" i="1" s="1"/>
  <c r="AL146" i="1"/>
  <c r="R146" i="1"/>
  <c r="O146" i="1"/>
  <c r="U161" i="1"/>
  <c r="S161" i="1" s="1"/>
  <c r="V161" i="1" s="1"/>
  <c r="P161" i="1" s="1"/>
  <c r="Q161" i="1" s="1"/>
  <c r="AE161" i="1"/>
  <c r="O138" i="1"/>
  <c r="N138" i="1"/>
  <c r="BA138" i="1" s="1"/>
  <c r="BC138" i="1" s="1"/>
  <c r="M138" i="1"/>
  <c r="L138" i="1" s="1"/>
  <c r="AL138" i="1"/>
  <c r="BB140" i="1"/>
  <c r="N141" i="1"/>
  <c r="BA141" i="1" s="1"/>
  <c r="BC141" i="1" s="1"/>
  <c r="M141" i="1"/>
  <c r="L141" i="1" s="1"/>
  <c r="AL141" i="1"/>
  <c r="R141" i="1"/>
  <c r="CY144" i="1"/>
  <c r="AZ144" i="1" s="1"/>
  <c r="BB144" i="1" s="1"/>
  <c r="W144" i="1"/>
  <c r="M146" i="1"/>
  <c r="L146" i="1" s="1"/>
  <c r="BJ147" i="1"/>
  <c r="BN147" i="1" s="1"/>
  <c r="BO147" i="1" s="1"/>
  <c r="BK147" i="1"/>
  <c r="BI147" i="1"/>
  <c r="AE150" i="1"/>
  <c r="X151" i="1"/>
  <c r="Y151" i="1" s="1"/>
  <c r="BC161" i="1"/>
  <c r="BJ131" i="1"/>
  <c r="BN131" i="1" s="1"/>
  <c r="BO131" i="1" s="1"/>
  <c r="X138" i="1"/>
  <c r="Y138" i="1" s="1"/>
  <c r="W140" i="1"/>
  <c r="X141" i="1"/>
  <c r="Y141" i="1" s="1"/>
  <c r="AF142" i="1"/>
  <c r="AL142" i="1"/>
  <c r="R142" i="1"/>
  <c r="O142" i="1"/>
  <c r="N142" i="1"/>
  <c r="BA142" i="1" s="1"/>
  <c r="BC142" i="1" s="1"/>
  <c r="N146" i="1"/>
  <c r="BA146" i="1" s="1"/>
  <c r="BC146" i="1" s="1"/>
  <c r="R153" i="1"/>
  <c r="X155" i="1"/>
  <c r="Y155" i="1" s="1"/>
  <c r="BC157" i="1"/>
  <c r="X153" i="1"/>
  <c r="Y153" i="1" s="1"/>
  <c r="AF153" i="1" s="1"/>
  <c r="W135" i="1"/>
  <c r="BI135" i="1"/>
  <c r="W139" i="1"/>
  <c r="BI139" i="1"/>
  <c r="X142" i="1"/>
  <c r="Y142" i="1" s="1"/>
  <c r="O143" i="1"/>
  <c r="X152" i="1"/>
  <c r="Y152" i="1" s="1"/>
  <c r="BK163" i="1"/>
  <c r="BJ163" i="1"/>
  <c r="BN163" i="1" s="1"/>
  <c r="BO163" i="1" s="1"/>
  <c r="BI163" i="1"/>
  <c r="AL143" i="1"/>
  <c r="BJ144" i="1"/>
  <c r="BN144" i="1" s="1"/>
  <c r="BO144" i="1" s="1"/>
  <c r="AL147" i="1"/>
  <c r="R147" i="1"/>
  <c r="M147" i="1"/>
  <c r="L147" i="1" s="1"/>
  <c r="BC148" i="1"/>
  <c r="AF152" i="1"/>
  <c r="CY152" i="1"/>
  <c r="AZ152" i="1" s="1"/>
  <c r="BB152" i="1" s="1"/>
  <c r="AF157" i="1"/>
  <c r="CY157" i="1"/>
  <c r="AZ157" i="1" s="1"/>
  <c r="BK144" i="1"/>
  <c r="BK146" i="1"/>
  <c r="BJ146" i="1"/>
  <c r="BN146" i="1" s="1"/>
  <c r="BO146" i="1" s="1"/>
  <c r="BC151" i="1"/>
  <c r="AL151" i="1"/>
  <c r="R151" i="1"/>
  <c r="O151" i="1"/>
  <c r="M151" i="1"/>
  <c r="L151" i="1" s="1"/>
  <c r="BB157" i="1"/>
  <c r="M159" i="1"/>
  <c r="L159" i="1" s="1"/>
  <c r="AL159" i="1"/>
  <c r="R159" i="1"/>
  <c r="N159" i="1"/>
  <c r="BA159" i="1" s="1"/>
  <c r="BC159" i="1" s="1"/>
  <c r="U160" i="1"/>
  <c r="S160" i="1" s="1"/>
  <c r="V160" i="1" s="1"/>
  <c r="P160" i="1" s="1"/>
  <c r="Q160" i="1" s="1"/>
  <c r="AE160" i="1"/>
  <c r="AH160" i="1" s="1"/>
  <c r="O166" i="1"/>
  <c r="R166" i="1"/>
  <c r="N166" i="1"/>
  <c r="BA166" i="1" s="1"/>
  <c r="BC166" i="1" s="1"/>
  <c r="M166" i="1"/>
  <c r="L166" i="1" s="1"/>
  <c r="R143" i="1"/>
  <c r="BB147" i="1"/>
  <c r="BB148" i="1"/>
  <c r="M149" i="1"/>
  <c r="L149" i="1" s="1"/>
  <c r="AL149" i="1"/>
  <c r="N149" i="1"/>
  <c r="BA149" i="1" s="1"/>
  <c r="BC149" i="1" s="1"/>
  <c r="AA152" i="1"/>
  <c r="BK153" i="1"/>
  <c r="BJ153" i="1"/>
  <c r="BN153" i="1" s="1"/>
  <c r="BO153" i="1" s="1"/>
  <c r="BI153" i="1"/>
  <c r="O158" i="1"/>
  <c r="N158" i="1"/>
  <c r="BA158" i="1" s="1"/>
  <c r="M158" i="1"/>
  <c r="L158" i="1" s="1"/>
  <c r="AF160" i="1"/>
  <c r="BB161" i="1"/>
  <c r="O165" i="1"/>
  <c r="N165" i="1"/>
  <c r="BA165" i="1" s="1"/>
  <c r="BC165" i="1" s="1"/>
  <c r="M165" i="1"/>
  <c r="L165" i="1" s="1"/>
  <c r="R165" i="1"/>
  <c r="BK145" i="1"/>
  <c r="O148" i="1"/>
  <c r="W149" i="1"/>
  <c r="M154" i="1"/>
  <c r="L154" i="1" s="1"/>
  <c r="R162" i="1"/>
  <c r="BK166" i="1"/>
  <c r="BJ166" i="1"/>
  <c r="BN166" i="1" s="1"/>
  <c r="BO166" i="1" s="1"/>
  <c r="BI166" i="1"/>
  <c r="AA148" i="1"/>
  <c r="U157" i="1"/>
  <c r="S157" i="1" s="1"/>
  <c r="V157" i="1" s="1"/>
  <c r="P157" i="1" s="1"/>
  <c r="Q157" i="1" s="1"/>
  <c r="CY158" i="1"/>
  <c r="AZ158" i="1" s="1"/>
  <c r="BB158" i="1" s="1"/>
  <c r="W158" i="1"/>
  <c r="CY162" i="1"/>
  <c r="AZ162" i="1" s="1"/>
  <c r="BB162" i="1" s="1"/>
  <c r="W162" i="1"/>
  <c r="M164" i="1"/>
  <c r="L164" i="1" s="1"/>
  <c r="AL164" i="1"/>
  <c r="N164" i="1"/>
  <c r="BA164" i="1" s="1"/>
  <c r="BC164" i="1" s="1"/>
  <c r="R163" i="1"/>
  <c r="AL163" i="1"/>
  <c r="BJ148" i="1"/>
  <c r="BN148" i="1" s="1"/>
  <c r="BO148" i="1" s="1"/>
  <c r="CY154" i="1"/>
  <c r="AZ154" i="1" s="1"/>
  <c r="BB154" i="1" s="1"/>
  <c r="W154" i="1"/>
  <c r="BJ158" i="1"/>
  <c r="BN158" i="1" s="1"/>
  <c r="BO158" i="1" s="1"/>
  <c r="BI159" i="1"/>
  <c r="N162" i="1"/>
  <c r="BA162" i="1" s="1"/>
  <c r="BC162" i="1" s="1"/>
  <c r="AL162" i="1"/>
  <c r="BK162" i="1"/>
  <c r="BI162" i="1"/>
  <c r="CY166" i="1"/>
  <c r="AZ166" i="1" s="1"/>
  <c r="BB166" i="1" s="1"/>
  <c r="W166" i="1"/>
  <c r="W145" i="1"/>
  <c r="M148" i="1"/>
  <c r="L148" i="1" s="1"/>
  <c r="R150" i="1"/>
  <c r="AL150" i="1"/>
  <c r="BK158" i="1"/>
  <c r="BJ159" i="1"/>
  <c r="BN159" i="1" s="1"/>
  <c r="BO159" i="1" s="1"/>
  <c r="BI160" i="1"/>
  <c r="BJ162" i="1"/>
  <c r="BN162" i="1" s="1"/>
  <c r="BO162" i="1" s="1"/>
  <c r="M163" i="1"/>
  <c r="L163" i="1" s="1"/>
  <c r="X163" i="1" s="1"/>
  <c r="Y163" i="1" s="1"/>
  <c r="BB163" i="1"/>
  <c r="CY150" i="1"/>
  <c r="AZ150" i="1" s="1"/>
  <c r="BB150" i="1" s="1"/>
  <c r="W150" i="1"/>
  <c r="BI155" i="1"/>
  <c r="AA156" i="1"/>
  <c r="AL161" i="1"/>
  <c r="N163" i="1"/>
  <c r="BA163" i="1" s="1"/>
  <c r="BC163" i="1" s="1"/>
  <c r="R164" i="1"/>
  <c r="Z125" i="1" l="1"/>
  <c r="AD125" i="1" s="1"/>
  <c r="AF125" i="1"/>
  <c r="AG125" i="1"/>
  <c r="Z54" i="1"/>
  <c r="AD54" i="1" s="1"/>
  <c r="AG54" i="1"/>
  <c r="AF54" i="1"/>
  <c r="Z81" i="1"/>
  <c r="AD81" i="1" s="1"/>
  <c r="AG81" i="1"/>
  <c r="AF81" i="1"/>
  <c r="Z163" i="1"/>
  <c r="AD163" i="1" s="1"/>
  <c r="AG163" i="1"/>
  <c r="AF163" i="1"/>
  <c r="Z70" i="1"/>
  <c r="AD70" i="1" s="1"/>
  <c r="AG70" i="1"/>
  <c r="AF70" i="1"/>
  <c r="Z53" i="1"/>
  <c r="AD53" i="1" s="1"/>
  <c r="AG53" i="1"/>
  <c r="AF53" i="1"/>
  <c r="AG24" i="1"/>
  <c r="Z24" i="1"/>
  <c r="AD24" i="1" s="1"/>
  <c r="AF24" i="1"/>
  <c r="Z61" i="1"/>
  <c r="AD61" i="1" s="1"/>
  <c r="AF61" i="1"/>
  <c r="AG61" i="1"/>
  <c r="AG134" i="1"/>
  <c r="Z134" i="1"/>
  <c r="AD134" i="1" s="1"/>
  <c r="AF134" i="1"/>
  <c r="AG83" i="1"/>
  <c r="Z83" i="1"/>
  <c r="AD83" i="1" s="1"/>
  <c r="AE148" i="1"/>
  <c r="AE159" i="1"/>
  <c r="X159" i="1"/>
  <c r="Y159" i="1" s="1"/>
  <c r="AE147" i="1"/>
  <c r="AE146" i="1"/>
  <c r="X148" i="1"/>
  <c r="Y148" i="1" s="1"/>
  <c r="X115" i="1"/>
  <c r="Y115" i="1" s="1"/>
  <c r="Z129" i="1"/>
  <c r="AD129" i="1" s="1"/>
  <c r="AG129" i="1"/>
  <c r="AF129" i="1"/>
  <c r="Z132" i="1"/>
  <c r="AD132" i="1" s="1"/>
  <c r="AG132" i="1"/>
  <c r="AF132" i="1"/>
  <c r="X105" i="1"/>
  <c r="Y105" i="1" s="1"/>
  <c r="AE144" i="1"/>
  <c r="AE126" i="1"/>
  <c r="AE121" i="1"/>
  <c r="AE114" i="1"/>
  <c r="U137" i="1"/>
  <c r="S137" i="1" s="1"/>
  <c r="V137" i="1" s="1"/>
  <c r="P137" i="1" s="1"/>
  <c r="Q137" i="1" s="1"/>
  <c r="AE137" i="1"/>
  <c r="Z124" i="1"/>
  <c r="AD124" i="1" s="1"/>
  <c r="AG124" i="1"/>
  <c r="AF124" i="1"/>
  <c r="U124" i="1"/>
  <c r="S124" i="1" s="1"/>
  <c r="V124" i="1" s="1"/>
  <c r="P124" i="1" s="1"/>
  <c r="Q124" i="1" s="1"/>
  <c r="AE90" i="1"/>
  <c r="AG87" i="1"/>
  <c r="Z87" i="1"/>
  <c r="AD87" i="1" s="1"/>
  <c r="Z117" i="1"/>
  <c r="AD117" i="1" s="1"/>
  <c r="AF117" i="1"/>
  <c r="U117" i="1"/>
  <c r="S117" i="1" s="1"/>
  <c r="V117" i="1" s="1"/>
  <c r="P117" i="1" s="1"/>
  <c r="Q117" i="1" s="1"/>
  <c r="AG117" i="1"/>
  <c r="AH117" i="1" s="1"/>
  <c r="BC84" i="1"/>
  <c r="X63" i="1"/>
  <c r="Y63" i="1" s="1"/>
  <c r="BC152" i="1"/>
  <c r="AG73" i="1"/>
  <c r="Z73" i="1"/>
  <c r="AD73" i="1" s="1"/>
  <c r="AF73" i="1"/>
  <c r="AE17" i="1"/>
  <c r="X35" i="1"/>
  <c r="Y35" i="1" s="1"/>
  <c r="Z65" i="1"/>
  <c r="AD65" i="1" s="1"/>
  <c r="AG65" i="1"/>
  <c r="U65" i="1"/>
  <c r="S65" i="1" s="1"/>
  <c r="V65" i="1" s="1"/>
  <c r="P65" i="1" s="1"/>
  <c r="Q65" i="1" s="1"/>
  <c r="AF65" i="1"/>
  <c r="AF47" i="1"/>
  <c r="Z47" i="1"/>
  <c r="AD47" i="1" s="1"/>
  <c r="AG47" i="1"/>
  <c r="AE71" i="1"/>
  <c r="U71" i="1"/>
  <c r="S71" i="1" s="1"/>
  <c r="V71" i="1" s="1"/>
  <c r="P71" i="1" s="1"/>
  <c r="Q71" i="1" s="1"/>
  <c r="AE50" i="1"/>
  <c r="Z44" i="1"/>
  <c r="AD44" i="1" s="1"/>
  <c r="AG44" i="1"/>
  <c r="AH44" i="1" s="1"/>
  <c r="BB29" i="1"/>
  <c r="AG155" i="1"/>
  <c r="Z155" i="1"/>
  <c r="AD155" i="1" s="1"/>
  <c r="AF155" i="1"/>
  <c r="X144" i="1"/>
  <c r="Y144" i="1" s="1"/>
  <c r="X128" i="1"/>
  <c r="Y128" i="1" s="1"/>
  <c r="AE115" i="1"/>
  <c r="U115" i="1"/>
  <c r="S115" i="1" s="1"/>
  <c r="V115" i="1" s="1"/>
  <c r="P115" i="1" s="1"/>
  <c r="Q115" i="1" s="1"/>
  <c r="AE99" i="1"/>
  <c r="AE96" i="1"/>
  <c r="AE68" i="1"/>
  <c r="AE116" i="1"/>
  <c r="Z49" i="1"/>
  <c r="AD49" i="1" s="1"/>
  <c r="AF49" i="1"/>
  <c r="AG49" i="1"/>
  <c r="AE34" i="1"/>
  <c r="X88" i="1"/>
  <c r="Y88" i="1" s="1"/>
  <c r="AE75" i="1"/>
  <c r="AE40" i="1"/>
  <c r="X166" i="1"/>
  <c r="Y166" i="1" s="1"/>
  <c r="BC158" i="1"/>
  <c r="AE151" i="1"/>
  <c r="U151" i="1"/>
  <c r="S151" i="1" s="1"/>
  <c r="V151" i="1" s="1"/>
  <c r="P151" i="1" s="1"/>
  <c r="Q151" i="1" s="1"/>
  <c r="AG152" i="1"/>
  <c r="Z152" i="1"/>
  <c r="AD152" i="1" s="1"/>
  <c r="Z141" i="1"/>
  <c r="AD141" i="1" s="1"/>
  <c r="AG141" i="1"/>
  <c r="AF141" i="1"/>
  <c r="AE138" i="1"/>
  <c r="U138" i="1"/>
  <c r="S138" i="1" s="1"/>
  <c r="V138" i="1" s="1"/>
  <c r="P138" i="1" s="1"/>
  <c r="Q138" i="1" s="1"/>
  <c r="Z161" i="1"/>
  <c r="AD161" i="1" s="1"/>
  <c r="AG161" i="1"/>
  <c r="AH161" i="1" s="1"/>
  <c r="AF161" i="1"/>
  <c r="X126" i="1"/>
  <c r="Y126" i="1" s="1"/>
  <c r="U126" i="1" s="1"/>
  <c r="S126" i="1" s="1"/>
  <c r="V126" i="1" s="1"/>
  <c r="P126" i="1" s="1"/>
  <c r="Q126" i="1" s="1"/>
  <c r="Z157" i="1"/>
  <c r="AD157" i="1" s="1"/>
  <c r="AG157" i="1"/>
  <c r="AH157" i="1" s="1"/>
  <c r="AE130" i="1"/>
  <c r="X94" i="1"/>
  <c r="Y94" i="1" s="1"/>
  <c r="X114" i="1"/>
  <c r="Y114" i="1" s="1"/>
  <c r="U114" i="1" s="1"/>
  <c r="S114" i="1" s="1"/>
  <c r="V114" i="1" s="1"/>
  <c r="P114" i="1" s="1"/>
  <c r="Q114" i="1" s="1"/>
  <c r="AE123" i="1"/>
  <c r="U83" i="1"/>
  <c r="S83" i="1" s="1"/>
  <c r="V83" i="1" s="1"/>
  <c r="P83" i="1" s="1"/>
  <c r="Q83" i="1" s="1"/>
  <c r="AE83" i="1"/>
  <c r="X79" i="1"/>
  <c r="Y79" i="1" s="1"/>
  <c r="U79" i="1" s="1"/>
  <c r="S79" i="1" s="1"/>
  <c r="V79" i="1" s="1"/>
  <c r="P79" i="1" s="1"/>
  <c r="Q79" i="1" s="1"/>
  <c r="AE79" i="1"/>
  <c r="AE103" i="1"/>
  <c r="U103" i="1"/>
  <c r="S103" i="1" s="1"/>
  <c r="V103" i="1" s="1"/>
  <c r="P103" i="1" s="1"/>
  <c r="Q103" i="1" s="1"/>
  <c r="X59" i="1"/>
  <c r="Y59" i="1" s="1"/>
  <c r="AE95" i="1"/>
  <c r="X80" i="1"/>
  <c r="Y80" i="1" s="1"/>
  <c r="BC131" i="1"/>
  <c r="AE69" i="1"/>
  <c r="X43" i="1"/>
  <c r="Y43" i="1" s="1"/>
  <c r="AE105" i="1"/>
  <c r="U105" i="1"/>
  <c r="S105" i="1" s="1"/>
  <c r="V105" i="1" s="1"/>
  <c r="P105" i="1" s="1"/>
  <c r="Q105" i="1" s="1"/>
  <c r="Z55" i="1"/>
  <c r="AD55" i="1" s="1"/>
  <c r="AG55" i="1"/>
  <c r="Z77" i="1"/>
  <c r="AD77" i="1" s="1"/>
  <c r="AG77" i="1"/>
  <c r="BC78" i="1"/>
  <c r="BC116" i="1"/>
  <c r="AE52" i="1"/>
  <c r="AE42" i="1"/>
  <c r="X68" i="1"/>
  <c r="Y68" i="1" s="1"/>
  <c r="U68" i="1" s="1"/>
  <c r="S68" i="1" s="1"/>
  <c r="V68" i="1" s="1"/>
  <c r="P68" i="1" s="1"/>
  <c r="Q68" i="1" s="1"/>
  <c r="BC35" i="1"/>
  <c r="Z22" i="1"/>
  <c r="AD22" i="1" s="1"/>
  <c r="AG22" i="1"/>
  <c r="AH22" i="1" s="1"/>
  <c r="X34" i="1"/>
  <c r="Y34" i="1" s="1"/>
  <c r="X27" i="1"/>
  <c r="Y27" i="1" s="1"/>
  <c r="Z32" i="1"/>
  <c r="AD32" i="1" s="1"/>
  <c r="AG32" i="1"/>
  <c r="AH32" i="1" s="1"/>
  <c r="AF32" i="1"/>
  <c r="Z108" i="1"/>
  <c r="AD108" i="1" s="1"/>
  <c r="AG108" i="1"/>
  <c r="AF108" i="1"/>
  <c r="X154" i="1"/>
  <c r="Y154" i="1" s="1"/>
  <c r="AE164" i="1"/>
  <c r="AE149" i="1"/>
  <c r="X135" i="1"/>
  <c r="Y135" i="1" s="1"/>
  <c r="X140" i="1"/>
  <c r="Y140" i="1" s="1"/>
  <c r="X127" i="1"/>
  <c r="Y127" i="1" s="1"/>
  <c r="U129" i="1"/>
  <c r="S129" i="1" s="1"/>
  <c r="V129" i="1" s="1"/>
  <c r="P129" i="1" s="1"/>
  <c r="Q129" i="1" s="1"/>
  <c r="AE129" i="1"/>
  <c r="X146" i="1"/>
  <c r="Y146" i="1" s="1"/>
  <c r="AE135" i="1"/>
  <c r="U135" i="1"/>
  <c r="S135" i="1" s="1"/>
  <c r="V135" i="1" s="1"/>
  <c r="P135" i="1" s="1"/>
  <c r="Q135" i="1" s="1"/>
  <c r="X90" i="1"/>
  <c r="Y90" i="1" s="1"/>
  <c r="Z113" i="1"/>
  <c r="AD113" i="1" s="1"/>
  <c r="AG113" i="1"/>
  <c r="AH113" i="1" s="1"/>
  <c r="AF113" i="1"/>
  <c r="AE120" i="1"/>
  <c r="Z106" i="1"/>
  <c r="AD106" i="1" s="1"/>
  <c r="AG106" i="1"/>
  <c r="AE100" i="1"/>
  <c r="BC92" i="1"/>
  <c r="U81" i="1"/>
  <c r="S81" i="1" s="1"/>
  <c r="V81" i="1" s="1"/>
  <c r="P81" i="1" s="1"/>
  <c r="Q81" i="1" s="1"/>
  <c r="AE81" i="1"/>
  <c r="AE112" i="1"/>
  <c r="U112" i="1"/>
  <c r="S112" i="1" s="1"/>
  <c r="V112" i="1" s="1"/>
  <c r="P112" i="1" s="1"/>
  <c r="Q112" i="1" s="1"/>
  <c r="X112" i="1"/>
  <c r="Y112" i="1" s="1"/>
  <c r="U113" i="1"/>
  <c r="S113" i="1" s="1"/>
  <c r="V113" i="1" s="1"/>
  <c r="P113" i="1" s="1"/>
  <c r="Q113" i="1" s="1"/>
  <c r="U70" i="1"/>
  <c r="S70" i="1" s="1"/>
  <c r="V70" i="1" s="1"/>
  <c r="P70" i="1" s="1"/>
  <c r="Q70" i="1" s="1"/>
  <c r="AE70" i="1"/>
  <c r="Z89" i="1"/>
  <c r="AD89" i="1" s="1"/>
  <c r="AG89" i="1"/>
  <c r="AH89" i="1" s="1"/>
  <c r="AF89" i="1"/>
  <c r="U77" i="1"/>
  <c r="S77" i="1" s="1"/>
  <c r="V77" i="1" s="1"/>
  <c r="P77" i="1" s="1"/>
  <c r="Q77" i="1" s="1"/>
  <c r="P57" i="1"/>
  <c r="Q57" i="1" s="1"/>
  <c r="X42" i="1"/>
  <c r="Y42" i="1" s="1"/>
  <c r="U23" i="1"/>
  <c r="S23" i="1" s="1"/>
  <c r="V23" i="1" s="1"/>
  <c r="P23" i="1" s="1"/>
  <c r="Q23" i="1" s="1"/>
  <c r="AE23" i="1"/>
  <c r="AE38" i="1"/>
  <c r="AG25" i="1"/>
  <c r="AH25" i="1" s="1"/>
  <c r="Z25" i="1"/>
  <c r="AD25" i="1" s="1"/>
  <c r="AE49" i="1"/>
  <c r="U49" i="1"/>
  <c r="S49" i="1" s="1"/>
  <c r="V49" i="1" s="1"/>
  <c r="P49" i="1" s="1"/>
  <c r="Q49" i="1" s="1"/>
  <c r="Z36" i="1"/>
  <c r="AD36" i="1" s="1"/>
  <c r="AG36" i="1"/>
  <c r="AF36" i="1"/>
  <c r="Z66" i="1"/>
  <c r="AD66" i="1" s="1"/>
  <c r="AG66" i="1"/>
  <c r="U41" i="1"/>
  <c r="S41" i="1" s="1"/>
  <c r="V41" i="1" s="1"/>
  <c r="P41" i="1" s="1"/>
  <c r="Q41" i="1" s="1"/>
  <c r="AE41" i="1"/>
  <c r="AE62" i="1"/>
  <c r="AE18" i="1"/>
  <c r="AE165" i="1"/>
  <c r="AG138" i="1"/>
  <c r="AH138" i="1" s="1"/>
  <c r="Z138" i="1"/>
  <c r="AD138" i="1" s="1"/>
  <c r="Z156" i="1"/>
  <c r="AD156" i="1" s="1"/>
  <c r="AF156" i="1"/>
  <c r="AG156" i="1"/>
  <c r="U156" i="1"/>
  <c r="S156" i="1" s="1"/>
  <c r="V156" i="1" s="1"/>
  <c r="P156" i="1" s="1"/>
  <c r="Q156" i="1" s="1"/>
  <c r="BC144" i="1"/>
  <c r="Z110" i="1"/>
  <c r="AD110" i="1" s="1"/>
  <c r="AG110" i="1"/>
  <c r="AH110" i="1" s="1"/>
  <c r="U110" i="1"/>
  <c r="S110" i="1" s="1"/>
  <c r="V110" i="1" s="1"/>
  <c r="P110" i="1" s="1"/>
  <c r="Q110" i="1" s="1"/>
  <c r="X86" i="1"/>
  <c r="Y86" i="1" s="1"/>
  <c r="AE111" i="1"/>
  <c r="U106" i="1"/>
  <c r="S106" i="1" s="1"/>
  <c r="V106" i="1" s="1"/>
  <c r="P106" i="1" s="1"/>
  <c r="Q106" i="1" s="1"/>
  <c r="AE106" i="1"/>
  <c r="AF83" i="1"/>
  <c r="X76" i="1"/>
  <c r="Y76" i="1" s="1"/>
  <c r="X92" i="1"/>
  <c r="Y92" i="1" s="1"/>
  <c r="X78" i="1"/>
  <c r="Y78" i="1" s="1"/>
  <c r="X51" i="1"/>
  <c r="Y51" i="1" s="1"/>
  <c r="U51" i="1" s="1"/>
  <c r="S51" i="1" s="1"/>
  <c r="V51" i="1" s="1"/>
  <c r="P51" i="1" s="1"/>
  <c r="Q51" i="1" s="1"/>
  <c r="AE94" i="1"/>
  <c r="U94" i="1"/>
  <c r="S94" i="1" s="1"/>
  <c r="V94" i="1" s="1"/>
  <c r="P94" i="1" s="1"/>
  <c r="Q94" i="1" s="1"/>
  <c r="X39" i="1"/>
  <c r="Y39" i="1" s="1"/>
  <c r="X99" i="1"/>
  <c r="Y99" i="1" s="1"/>
  <c r="BC80" i="1"/>
  <c r="U54" i="1"/>
  <c r="S54" i="1" s="1"/>
  <c r="V54" i="1" s="1"/>
  <c r="P54" i="1" s="1"/>
  <c r="Q54" i="1" s="1"/>
  <c r="AE54" i="1"/>
  <c r="Z71" i="1"/>
  <c r="AD71" i="1" s="1"/>
  <c r="AG71" i="1"/>
  <c r="BC82" i="1"/>
  <c r="AE72" i="1"/>
  <c r="AE24" i="1"/>
  <c r="U24" i="1"/>
  <c r="S24" i="1" s="1"/>
  <c r="V24" i="1" s="1"/>
  <c r="P24" i="1" s="1"/>
  <c r="Q24" i="1" s="1"/>
  <c r="X40" i="1"/>
  <c r="Y40" i="1" s="1"/>
  <c r="U40" i="1" s="1"/>
  <c r="S40" i="1" s="1"/>
  <c r="V40" i="1" s="1"/>
  <c r="P40" i="1" s="1"/>
  <c r="Q40" i="1" s="1"/>
  <c r="X41" i="1"/>
  <c r="Y41" i="1" s="1"/>
  <c r="AE27" i="1"/>
  <c r="U27" i="1"/>
  <c r="S27" i="1" s="1"/>
  <c r="V27" i="1" s="1"/>
  <c r="P27" i="1" s="1"/>
  <c r="Q27" i="1" s="1"/>
  <c r="AE67" i="1"/>
  <c r="X62" i="1"/>
  <c r="Y62" i="1" s="1"/>
  <c r="U58" i="1"/>
  <c r="S58" i="1" s="1"/>
  <c r="V58" i="1" s="1"/>
  <c r="P58" i="1" s="1"/>
  <c r="Q58" i="1" s="1"/>
  <c r="AE58" i="1"/>
  <c r="X64" i="1"/>
  <c r="Y64" i="1" s="1"/>
  <c r="X58" i="1"/>
  <c r="Y58" i="1" s="1"/>
  <c r="AE51" i="1"/>
  <c r="AE26" i="1"/>
  <c r="X26" i="1"/>
  <c r="Y26" i="1" s="1"/>
  <c r="U26" i="1" s="1"/>
  <c r="S26" i="1" s="1"/>
  <c r="V26" i="1" s="1"/>
  <c r="P26" i="1" s="1"/>
  <c r="Q26" i="1" s="1"/>
  <c r="AE43" i="1"/>
  <c r="U43" i="1"/>
  <c r="S43" i="1" s="1"/>
  <c r="V43" i="1" s="1"/>
  <c r="P43" i="1" s="1"/>
  <c r="Q43" i="1" s="1"/>
  <c r="X52" i="1"/>
  <c r="Y52" i="1" s="1"/>
  <c r="U52" i="1" s="1"/>
  <c r="S52" i="1" s="1"/>
  <c r="V52" i="1" s="1"/>
  <c r="P52" i="1" s="1"/>
  <c r="Q52" i="1" s="1"/>
  <c r="X145" i="1"/>
  <c r="Y145" i="1" s="1"/>
  <c r="AG151" i="1"/>
  <c r="Z151" i="1"/>
  <c r="AD151" i="1" s="1"/>
  <c r="AE118" i="1"/>
  <c r="AE84" i="1"/>
  <c r="X150" i="1"/>
  <c r="Y150" i="1" s="1"/>
  <c r="AG153" i="1"/>
  <c r="Z153" i="1"/>
  <c r="AD153" i="1" s="1"/>
  <c r="U141" i="1"/>
  <c r="S141" i="1" s="1"/>
  <c r="V141" i="1" s="1"/>
  <c r="P141" i="1" s="1"/>
  <c r="Q141" i="1" s="1"/>
  <c r="AE141" i="1"/>
  <c r="AF138" i="1"/>
  <c r="U155" i="1"/>
  <c r="S155" i="1" s="1"/>
  <c r="V155" i="1" s="1"/>
  <c r="P155" i="1" s="1"/>
  <c r="Q155" i="1" s="1"/>
  <c r="AE155" i="1"/>
  <c r="U153" i="1"/>
  <c r="S153" i="1" s="1"/>
  <c r="V153" i="1" s="1"/>
  <c r="P153" i="1" s="1"/>
  <c r="Q153" i="1" s="1"/>
  <c r="AE153" i="1"/>
  <c r="X123" i="1"/>
  <c r="Y123" i="1" s="1"/>
  <c r="U123" i="1" s="1"/>
  <c r="S123" i="1" s="1"/>
  <c r="V123" i="1" s="1"/>
  <c r="P123" i="1" s="1"/>
  <c r="Q123" i="1" s="1"/>
  <c r="X109" i="1"/>
  <c r="Y109" i="1" s="1"/>
  <c r="X121" i="1"/>
  <c r="Y121" i="1" s="1"/>
  <c r="U121" i="1" s="1"/>
  <c r="S121" i="1" s="1"/>
  <c r="V121" i="1" s="1"/>
  <c r="P121" i="1" s="1"/>
  <c r="Q121" i="1" s="1"/>
  <c r="X130" i="1"/>
  <c r="Y130" i="1" s="1"/>
  <c r="U130" i="1" s="1"/>
  <c r="S130" i="1" s="1"/>
  <c r="V130" i="1" s="1"/>
  <c r="P130" i="1" s="1"/>
  <c r="Q130" i="1" s="1"/>
  <c r="X82" i="1"/>
  <c r="Y82" i="1" s="1"/>
  <c r="BC111" i="1"/>
  <c r="AE109" i="1"/>
  <c r="U109" i="1"/>
  <c r="S109" i="1" s="1"/>
  <c r="V109" i="1" s="1"/>
  <c r="P109" i="1" s="1"/>
  <c r="Q109" i="1" s="1"/>
  <c r="AE127" i="1"/>
  <c r="U127" i="1"/>
  <c r="S127" i="1" s="1"/>
  <c r="V127" i="1" s="1"/>
  <c r="P127" i="1" s="1"/>
  <c r="Q127" i="1" s="1"/>
  <c r="AE98" i="1"/>
  <c r="X98" i="1"/>
  <c r="Y98" i="1" s="1"/>
  <c r="X95" i="1"/>
  <c r="Y95" i="1" s="1"/>
  <c r="U95" i="1" s="1"/>
  <c r="S95" i="1" s="1"/>
  <c r="V95" i="1" s="1"/>
  <c r="P95" i="1" s="1"/>
  <c r="Q95" i="1" s="1"/>
  <c r="X72" i="1"/>
  <c r="Y72" i="1" s="1"/>
  <c r="U72" i="1" s="1"/>
  <c r="S72" i="1" s="1"/>
  <c r="V72" i="1" s="1"/>
  <c r="P72" i="1" s="1"/>
  <c r="Q72" i="1" s="1"/>
  <c r="AF87" i="1"/>
  <c r="AE92" i="1"/>
  <c r="U92" i="1"/>
  <c r="S92" i="1" s="1"/>
  <c r="V92" i="1" s="1"/>
  <c r="P92" i="1" s="1"/>
  <c r="Q92" i="1" s="1"/>
  <c r="U152" i="1"/>
  <c r="S152" i="1" s="1"/>
  <c r="V152" i="1" s="1"/>
  <c r="P152" i="1" s="1"/>
  <c r="Q152" i="1" s="1"/>
  <c r="AE152" i="1"/>
  <c r="BC94" i="1"/>
  <c r="X136" i="1"/>
  <c r="Y136" i="1" s="1"/>
  <c r="X96" i="1"/>
  <c r="Y96" i="1" s="1"/>
  <c r="AF55" i="1"/>
  <c r="Z85" i="1"/>
  <c r="AD85" i="1" s="1"/>
  <c r="AG85" i="1"/>
  <c r="AF85" i="1"/>
  <c r="X75" i="1"/>
  <c r="Y75" i="1" s="1"/>
  <c r="AE88" i="1"/>
  <c r="U88" i="1"/>
  <c r="S88" i="1" s="1"/>
  <c r="V88" i="1" s="1"/>
  <c r="P88" i="1" s="1"/>
  <c r="Q88" i="1" s="1"/>
  <c r="BC72" i="1"/>
  <c r="Z45" i="1"/>
  <c r="AD45" i="1" s="1"/>
  <c r="AG45" i="1"/>
  <c r="X31" i="1"/>
  <c r="Y31" i="1" s="1"/>
  <c r="AE19" i="1"/>
  <c r="BC31" i="1"/>
  <c r="AE47" i="1"/>
  <c r="U47" i="1"/>
  <c r="S47" i="1" s="1"/>
  <c r="V47" i="1" s="1"/>
  <c r="P47" i="1" s="1"/>
  <c r="Q47" i="1" s="1"/>
  <c r="AE61" i="1"/>
  <c r="U61" i="1"/>
  <c r="S61" i="1" s="1"/>
  <c r="V61" i="1" s="1"/>
  <c r="P61" i="1" s="1"/>
  <c r="Q61" i="1" s="1"/>
  <c r="BB64" i="1"/>
  <c r="AE35" i="1"/>
  <c r="U35" i="1"/>
  <c r="S35" i="1" s="1"/>
  <c r="V35" i="1" s="1"/>
  <c r="P35" i="1" s="1"/>
  <c r="Q35" i="1" s="1"/>
  <c r="X29" i="1"/>
  <c r="Y29" i="1" s="1"/>
  <c r="Z143" i="1"/>
  <c r="AD143" i="1" s="1"/>
  <c r="AG143" i="1"/>
  <c r="AE76" i="1"/>
  <c r="U76" i="1"/>
  <c r="S76" i="1" s="1"/>
  <c r="V76" i="1" s="1"/>
  <c r="P76" i="1" s="1"/>
  <c r="Q76" i="1" s="1"/>
  <c r="AE60" i="1"/>
  <c r="AE20" i="1"/>
  <c r="X20" i="1"/>
  <c r="Y20" i="1" s="1"/>
  <c r="X165" i="1"/>
  <c r="Y165" i="1" s="1"/>
  <c r="U165" i="1" s="1"/>
  <c r="S165" i="1" s="1"/>
  <c r="V165" i="1" s="1"/>
  <c r="P165" i="1" s="1"/>
  <c r="Q165" i="1" s="1"/>
  <c r="X158" i="1"/>
  <c r="Y158" i="1" s="1"/>
  <c r="AE154" i="1"/>
  <c r="U154" i="1"/>
  <c r="S154" i="1" s="1"/>
  <c r="V154" i="1" s="1"/>
  <c r="P154" i="1" s="1"/>
  <c r="Q154" i="1" s="1"/>
  <c r="BC150" i="1"/>
  <c r="X131" i="1"/>
  <c r="Y131" i="1" s="1"/>
  <c r="AF151" i="1"/>
  <c r="AE145" i="1"/>
  <c r="U145" i="1"/>
  <c r="S145" i="1" s="1"/>
  <c r="V145" i="1" s="1"/>
  <c r="P145" i="1" s="1"/>
  <c r="Q145" i="1" s="1"/>
  <c r="AE136" i="1"/>
  <c r="U136" i="1"/>
  <c r="S136" i="1" s="1"/>
  <c r="V136" i="1" s="1"/>
  <c r="P136" i="1" s="1"/>
  <c r="Q136" i="1" s="1"/>
  <c r="U134" i="1"/>
  <c r="S134" i="1" s="1"/>
  <c r="V134" i="1" s="1"/>
  <c r="P134" i="1" s="1"/>
  <c r="Q134" i="1" s="1"/>
  <c r="AE134" i="1"/>
  <c r="U108" i="1"/>
  <c r="S108" i="1" s="1"/>
  <c r="V108" i="1" s="1"/>
  <c r="P108" i="1" s="1"/>
  <c r="Q108" i="1" s="1"/>
  <c r="AE108" i="1"/>
  <c r="X120" i="1"/>
  <c r="Y120" i="1" s="1"/>
  <c r="X111" i="1"/>
  <c r="Y111" i="1" s="1"/>
  <c r="U111" i="1" s="1"/>
  <c r="S111" i="1" s="1"/>
  <c r="V111" i="1" s="1"/>
  <c r="P111" i="1" s="1"/>
  <c r="Q111" i="1" s="1"/>
  <c r="Z137" i="1"/>
  <c r="AD137" i="1" s="1"/>
  <c r="AG137" i="1"/>
  <c r="AF137" i="1"/>
  <c r="U125" i="1"/>
  <c r="S125" i="1" s="1"/>
  <c r="V125" i="1" s="1"/>
  <c r="P125" i="1" s="1"/>
  <c r="Q125" i="1" s="1"/>
  <c r="AE125" i="1"/>
  <c r="X116" i="1"/>
  <c r="Y116" i="1" s="1"/>
  <c r="U116" i="1" s="1"/>
  <c r="S116" i="1" s="1"/>
  <c r="V116" i="1" s="1"/>
  <c r="P116" i="1" s="1"/>
  <c r="Q116" i="1" s="1"/>
  <c r="Z103" i="1"/>
  <c r="AD103" i="1" s="1"/>
  <c r="AG103" i="1"/>
  <c r="AH103" i="1" s="1"/>
  <c r="AF143" i="1"/>
  <c r="AE87" i="1"/>
  <c r="U87" i="1"/>
  <c r="S87" i="1" s="1"/>
  <c r="V87" i="1" s="1"/>
  <c r="P87" i="1" s="1"/>
  <c r="Q87" i="1" s="1"/>
  <c r="AE122" i="1"/>
  <c r="U122" i="1"/>
  <c r="S122" i="1" s="1"/>
  <c r="V122" i="1" s="1"/>
  <c r="P122" i="1" s="1"/>
  <c r="Q122" i="1" s="1"/>
  <c r="X69" i="1"/>
  <c r="Y69" i="1" s="1"/>
  <c r="Z93" i="1"/>
  <c r="AD93" i="1" s="1"/>
  <c r="AG93" i="1"/>
  <c r="AF93" i="1"/>
  <c r="AE86" i="1"/>
  <c r="U86" i="1"/>
  <c r="S86" i="1" s="1"/>
  <c r="V86" i="1" s="1"/>
  <c r="P86" i="1" s="1"/>
  <c r="Q86" i="1" s="1"/>
  <c r="U66" i="1"/>
  <c r="S66" i="1" s="1"/>
  <c r="V66" i="1" s="1"/>
  <c r="P66" i="1" s="1"/>
  <c r="Q66" i="1" s="1"/>
  <c r="AE66" i="1"/>
  <c r="AF66" i="1"/>
  <c r="AG21" i="1"/>
  <c r="Z21" i="1"/>
  <c r="AD21" i="1" s="1"/>
  <c r="AE28" i="1"/>
  <c r="X28" i="1"/>
  <c r="Y28" i="1" s="1"/>
  <c r="U28" i="1"/>
  <c r="S28" i="1" s="1"/>
  <c r="V28" i="1" s="1"/>
  <c r="P28" i="1" s="1"/>
  <c r="Q28" i="1" s="1"/>
  <c r="BC85" i="1"/>
  <c r="X38" i="1"/>
  <c r="Y38" i="1" s="1"/>
  <c r="AF77" i="1"/>
  <c r="BC47" i="1"/>
  <c r="U73" i="1"/>
  <c r="S73" i="1" s="1"/>
  <c r="V73" i="1" s="1"/>
  <c r="P73" i="1" s="1"/>
  <c r="Q73" i="1" s="1"/>
  <c r="AE31" i="1"/>
  <c r="U31" i="1"/>
  <c r="S31" i="1" s="1"/>
  <c r="V31" i="1" s="1"/>
  <c r="P31" i="1" s="1"/>
  <c r="Q31" i="1" s="1"/>
  <c r="X19" i="1"/>
  <c r="Y19" i="1" s="1"/>
  <c r="AE37" i="1"/>
  <c r="X17" i="1"/>
  <c r="Y17" i="1" s="1"/>
  <c r="U17" i="1" s="1"/>
  <c r="S17" i="1" s="1"/>
  <c r="V17" i="1" s="1"/>
  <c r="P17" i="1" s="1"/>
  <c r="Q17" i="1" s="1"/>
  <c r="U25" i="1"/>
  <c r="S25" i="1" s="1"/>
  <c r="V25" i="1" s="1"/>
  <c r="P25" i="1" s="1"/>
  <c r="Q25" i="1" s="1"/>
  <c r="U163" i="1"/>
  <c r="S163" i="1" s="1"/>
  <c r="V163" i="1" s="1"/>
  <c r="P163" i="1" s="1"/>
  <c r="Q163" i="1" s="1"/>
  <c r="AE163" i="1"/>
  <c r="AE158" i="1"/>
  <c r="U158" i="1"/>
  <c r="S158" i="1" s="1"/>
  <c r="V158" i="1" s="1"/>
  <c r="P158" i="1" s="1"/>
  <c r="Q158" i="1" s="1"/>
  <c r="X139" i="1"/>
  <c r="Y139" i="1" s="1"/>
  <c r="Z102" i="1"/>
  <c r="AD102" i="1" s="1"/>
  <c r="AG102" i="1"/>
  <c r="AG91" i="1"/>
  <c r="Z91" i="1"/>
  <c r="AD91" i="1" s="1"/>
  <c r="X56" i="1"/>
  <c r="Y56" i="1" s="1"/>
  <c r="AE82" i="1"/>
  <c r="U82" i="1"/>
  <c r="S82" i="1" s="1"/>
  <c r="V82" i="1" s="1"/>
  <c r="P82" i="1" s="1"/>
  <c r="Q82" i="1" s="1"/>
  <c r="U30" i="1"/>
  <c r="S30" i="1" s="1"/>
  <c r="V30" i="1" s="1"/>
  <c r="P30" i="1" s="1"/>
  <c r="Q30" i="1" s="1"/>
  <c r="AE30" i="1"/>
  <c r="Z23" i="1"/>
  <c r="AD23" i="1" s="1"/>
  <c r="AG23" i="1"/>
  <c r="AH23" i="1" s="1"/>
  <c r="AF23" i="1"/>
  <c r="P55" i="1"/>
  <c r="Q55" i="1" s="1"/>
  <c r="X162" i="1"/>
  <c r="Y162" i="1" s="1"/>
  <c r="X149" i="1"/>
  <c r="Y149" i="1" s="1"/>
  <c r="U149" i="1" s="1"/>
  <c r="S149" i="1" s="1"/>
  <c r="V149" i="1" s="1"/>
  <c r="P149" i="1" s="1"/>
  <c r="Q149" i="1" s="1"/>
  <c r="AE166" i="1"/>
  <c r="U166" i="1"/>
  <c r="S166" i="1" s="1"/>
  <c r="V166" i="1" s="1"/>
  <c r="P166" i="1" s="1"/>
  <c r="Q166" i="1" s="1"/>
  <c r="AG142" i="1"/>
  <c r="AH142" i="1" s="1"/>
  <c r="Z142" i="1"/>
  <c r="AD142" i="1" s="1"/>
  <c r="U142" i="1"/>
  <c r="S142" i="1" s="1"/>
  <c r="V142" i="1" s="1"/>
  <c r="P142" i="1" s="1"/>
  <c r="Q142" i="1" s="1"/>
  <c r="X164" i="1"/>
  <c r="Y164" i="1" s="1"/>
  <c r="X119" i="1"/>
  <c r="Y119" i="1" s="1"/>
  <c r="X147" i="1"/>
  <c r="Y147" i="1" s="1"/>
  <c r="AG122" i="1"/>
  <c r="AH122" i="1" s="1"/>
  <c r="Z122" i="1"/>
  <c r="AD122" i="1" s="1"/>
  <c r="Z107" i="1"/>
  <c r="AD107" i="1" s="1"/>
  <c r="AG107" i="1"/>
  <c r="AF107" i="1"/>
  <c r="X118" i="1"/>
  <c r="Y118" i="1" s="1"/>
  <c r="U102" i="1"/>
  <c r="S102" i="1" s="1"/>
  <c r="V102" i="1" s="1"/>
  <c r="P102" i="1" s="1"/>
  <c r="Q102" i="1" s="1"/>
  <c r="AE102" i="1"/>
  <c r="AE91" i="1"/>
  <c r="U91" i="1"/>
  <c r="S91" i="1" s="1"/>
  <c r="V91" i="1" s="1"/>
  <c r="P91" i="1" s="1"/>
  <c r="Q91" i="1" s="1"/>
  <c r="X84" i="1"/>
  <c r="Y84" i="1" s="1"/>
  <c r="X67" i="1"/>
  <c r="Y67" i="1" s="1"/>
  <c r="U67" i="1" s="1"/>
  <c r="S67" i="1" s="1"/>
  <c r="V67" i="1" s="1"/>
  <c r="P67" i="1" s="1"/>
  <c r="Q67" i="1" s="1"/>
  <c r="X100" i="1"/>
  <c r="Y100" i="1" s="1"/>
  <c r="U100" i="1" s="1"/>
  <c r="S100" i="1" s="1"/>
  <c r="V100" i="1" s="1"/>
  <c r="P100" i="1" s="1"/>
  <c r="Q100" i="1" s="1"/>
  <c r="U53" i="1"/>
  <c r="S53" i="1" s="1"/>
  <c r="V53" i="1" s="1"/>
  <c r="P53" i="1" s="1"/>
  <c r="Q53" i="1" s="1"/>
  <c r="AE53" i="1"/>
  <c r="AE133" i="1"/>
  <c r="X133" i="1"/>
  <c r="Y133" i="1" s="1"/>
  <c r="U133" i="1"/>
  <c r="S133" i="1" s="1"/>
  <c r="V133" i="1" s="1"/>
  <c r="P133" i="1" s="1"/>
  <c r="Q133" i="1" s="1"/>
  <c r="X60" i="1"/>
  <c r="Y60" i="1" s="1"/>
  <c r="AE119" i="1"/>
  <c r="U119" i="1"/>
  <c r="S119" i="1" s="1"/>
  <c r="V119" i="1" s="1"/>
  <c r="P119" i="1" s="1"/>
  <c r="Q119" i="1" s="1"/>
  <c r="BC76" i="1"/>
  <c r="Z97" i="1"/>
  <c r="AD97" i="1" s="1"/>
  <c r="AG97" i="1"/>
  <c r="AH97" i="1" s="1"/>
  <c r="AF97" i="1"/>
  <c r="AF71" i="1"/>
  <c r="U46" i="1"/>
  <c r="S46" i="1" s="1"/>
  <c r="V46" i="1" s="1"/>
  <c r="P46" i="1" s="1"/>
  <c r="Q46" i="1" s="1"/>
  <c r="X46" i="1"/>
  <c r="Y46" i="1" s="1"/>
  <c r="AE46" i="1"/>
  <c r="AE39" i="1"/>
  <c r="U39" i="1"/>
  <c r="S39" i="1" s="1"/>
  <c r="V39" i="1" s="1"/>
  <c r="P39" i="1" s="1"/>
  <c r="Q39" i="1" s="1"/>
  <c r="X18" i="1"/>
  <c r="Y18" i="1" s="1"/>
  <c r="U18" i="1" s="1"/>
  <c r="S18" i="1" s="1"/>
  <c r="V18" i="1" s="1"/>
  <c r="P18" i="1" s="1"/>
  <c r="Q18" i="1" s="1"/>
  <c r="AF45" i="1"/>
  <c r="X37" i="1"/>
  <c r="Y37" i="1" s="1"/>
  <c r="U37" i="1" s="1"/>
  <c r="S37" i="1" s="1"/>
  <c r="V37" i="1" s="1"/>
  <c r="P37" i="1" s="1"/>
  <c r="Q37" i="1" s="1"/>
  <c r="X50" i="1"/>
  <c r="Y50" i="1" s="1"/>
  <c r="U50" i="1" s="1"/>
  <c r="S50" i="1" s="1"/>
  <c r="V50" i="1" s="1"/>
  <c r="P50" i="1" s="1"/>
  <c r="Q50" i="1" s="1"/>
  <c r="U104" i="1"/>
  <c r="S104" i="1" s="1"/>
  <c r="V104" i="1" s="1"/>
  <c r="P104" i="1" s="1"/>
  <c r="Q104" i="1" s="1"/>
  <c r="AE104" i="1"/>
  <c r="X104" i="1"/>
  <c r="Y104" i="1" s="1"/>
  <c r="AE21" i="1"/>
  <c r="U21" i="1"/>
  <c r="S21" i="1" s="1"/>
  <c r="V21" i="1" s="1"/>
  <c r="P21" i="1" s="1"/>
  <c r="Q21" i="1" s="1"/>
  <c r="U44" i="1"/>
  <c r="S44" i="1" s="1"/>
  <c r="V44" i="1" s="1"/>
  <c r="P44" i="1" s="1"/>
  <c r="Q44" i="1" s="1"/>
  <c r="X30" i="1"/>
  <c r="Y30" i="1" s="1"/>
  <c r="U56" i="1"/>
  <c r="S56" i="1" s="1"/>
  <c r="V56" i="1" s="1"/>
  <c r="P56" i="1" s="1"/>
  <c r="Q56" i="1" s="1"/>
  <c r="AE56" i="1"/>
  <c r="AG33" i="1"/>
  <c r="AH33" i="1" s="1"/>
  <c r="Z33" i="1"/>
  <c r="AD33" i="1" s="1"/>
  <c r="U33" i="1"/>
  <c r="S33" i="1" s="1"/>
  <c r="V33" i="1" s="1"/>
  <c r="P33" i="1" s="1"/>
  <c r="Q33" i="1" s="1"/>
  <c r="U22" i="1"/>
  <c r="S22" i="1" s="1"/>
  <c r="V22" i="1" s="1"/>
  <c r="P22" i="1" s="1"/>
  <c r="Q22" i="1" s="1"/>
  <c r="Z120" i="1" l="1"/>
  <c r="AD120" i="1" s="1"/>
  <c r="AG120" i="1"/>
  <c r="AH120" i="1" s="1"/>
  <c r="AF120" i="1"/>
  <c r="Z164" i="1"/>
  <c r="AD164" i="1" s="1"/>
  <c r="AF164" i="1"/>
  <c r="AG164" i="1"/>
  <c r="AH164" i="1" s="1"/>
  <c r="AG162" i="1"/>
  <c r="AH162" i="1" s="1"/>
  <c r="Z162" i="1"/>
  <c r="AD162" i="1" s="1"/>
  <c r="AF162" i="1"/>
  <c r="U162" i="1"/>
  <c r="S162" i="1" s="1"/>
  <c r="V162" i="1" s="1"/>
  <c r="P162" i="1" s="1"/>
  <c r="Q162" i="1" s="1"/>
  <c r="Z139" i="1"/>
  <c r="AD139" i="1" s="1"/>
  <c r="AG139" i="1"/>
  <c r="U139" i="1"/>
  <c r="S139" i="1" s="1"/>
  <c r="V139" i="1" s="1"/>
  <c r="P139" i="1" s="1"/>
  <c r="Q139" i="1" s="1"/>
  <c r="AF139" i="1"/>
  <c r="Z38" i="1"/>
  <c r="AD38" i="1" s="1"/>
  <c r="AG38" i="1"/>
  <c r="AH38" i="1" s="1"/>
  <c r="AF38" i="1"/>
  <c r="AG158" i="1"/>
  <c r="AH158" i="1" s="1"/>
  <c r="Z158" i="1"/>
  <c r="AD158" i="1" s="1"/>
  <c r="AF158" i="1"/>
  <c r="AF31" i="1"/>
  <c r="Z31" i="1"/>
  <c r="AD31" i="1" s="1"/>
  <c r="AG31" i="1"/>
  <c r="AH85" i="1"/>
  <c r="Z98" i="1"/>
  <c r="AD98" i="1" s="1"/>
  <c r="AG98" i="1"/>
  <c r="AH98" i="1" s="1"/>
  <c r="AF98" i="1"/>
  <c r="AF82" i="1"/>
  <c r="Z82" i="1"/>
  <c r="AD82" i="1" s="1"/>
  <c r="AG82" i="1"/>
  <c r="AH82" i="1" s="1"/>
  <c r="AH153" i="1"/>
  <c r="AH151" i="1"/>
  <c r="AG62" i="1"/>
  <c r="AH62" i="1" s="1"/>
  <c r="Z62" i="1"/>
  <c r="AD62" i="1" s="1"/>
  <c r="AF62" i="1"/>
  <c r="AH66" i="1"/>
  <c r="Z135" i="1"/>
  <c r="AD135" i="1" s="1"/>
  <c r="AG135" i="1"/>
  <c r="AF135" i="1"/>
  <c r="Z34" i="1"/>
  <c r="AD34" i="1" s="1"/>
  <c r="AG34" i="1"/>
  <c r="AF34" i="1"/>
  <c r="Z88" i="1"/>
  <c r="AD88" i="1" s="1"/>
  <c r="AG88" i="1"/>
  <c r="AF88" i="1"/>
  <c r="AG105" i="1"/>
  <c r="AH105" i="1" s="1"/>
  <c r="Z105" i="1"/>
  <c r="AD105" i="1" s="1"/>
  <c r="AF105" i="1"/>
  <c r="AH61" i="1"/>
  <c r="AH81" i="1"/>
  <c r="Z118" i="1"/>
  <c r="AD118" i="1" s="1"/>
  <c r="AG118" i="1"/>
  <c r="AF118" i="1"/>
  <c r="Z133" i="1"/>
  <c r="AD133" i="1" s="1"/>
  <c r="AF133" i="1"/>
  <c r="AG133" i="1"/>
  <c r="Z84" i="1"/>
  <c r="AD84" i="1" s="1"/>
  <c r="AG84" i="1"/>
  <c r="AH84" i="1" s="1"/>
  <c r="AF84" i="1"/>
  <c r="AH107" i="1"/>
  <c r="AG165" i="1"/>
  <c r="AH165" i="1" s="1"/>
  <c r="Z165" i="1"/>
  <c r="AD165" i="1" s="1"/>
  <c r="AF165" i="1"/>
  <c r="AH143" i="1"/>
  <c r="AH45" i="1"/>
  <c r="U98" i="1"/>
  <c r="S98" i="1" s="1"/>
  <c r="V98" i="1" s="1"/>
  <c r="P98" i="1" s="1"/>
  <c r="Q98" i="1" s="1"/>
  <c r="Z78" i="1"/>
  <c r="AD78" i="1" s="1"/>
  <c r="AG78" i="1"/>
  <c r="AF78" i="1"/>
  <c r="U78" i="1"/>
  <c r="S78" i="1" s="1"/>
  <c r="V78" i="1" s="1"/>
  <c r="P78" i="1" s="1"/>
  <c r="Q78" i="1" s="1"/>
  <c r="U120" i="1"/>
  <c r="S120" i="1" s="1"/>
  <c r="V120" i="1" s="1"/>
  <c r="P120" i="1" s="1"/>
  <c r="Q120" i="1" s="1"/>
  <c r="AG146" i="1"/>
  <c r="Z146" i="1"/>
  <c r="AD146" i="1" s="1"/>
  <c r="AF146" i="1"/>
  <c r="AH108" i="1"/>
  <c r="Z128" i="1"/>
  <c r="AD128" i="1" s="1"/>
  <c r="AG128" i="1"/>
  <c r="AF128" i="1"/>
  <c r="U128" i="1"/>
  <c r="S128" i="1" s="1"/>
  <c r="V128" i="1" s="1"/>
  <c r="P128" i="1" s="1"/>
  <c r="Q128" i="1" s="1"/>
  <c r="AG148" i="1"/>
  <c r="Z148" i="1"/>
  <c r="AD148" i="1" s="1"/>
  <c r="AF148" i="1"/>
  <c r="U148" i="1"/>
  <c r="S148" i="1" s="1"/>
  <c r="V148" i="1" s="1"/>
  <c r="P148" i="1" s="1"/>
  <c r="Q148" i="1" s="1"/>
  <c r="Z67" i="1"/>
  <c r="AD67" i="1" s="1"/>
  <c r="AG67" i="1"/>
  <c r="AF67" i="1"/>
  <c r="Z69" i="1"/>
  <c r="AD69" i="1" s="1"/>
  <c r="AG69" i="1"/>
  <c r="AH69" i="1" s="1"/>
  <c r="AF69" i="1"/>
  <c r="Z104" i="1"/>
  <c r="AD104" i="1" s="1"/>
  <c r="AG104" i="1"/>
  <c r="AH104" i="1" s="1"/>
  <c r="AF104" i="1"/>
  <c r="Z56" i="1"/>
  <c r="AD56" i="1" s="1"/>
  <c r="AG56" i="1"/>
  <c r="AF56" i="1"/>
  <c r="AG19" i="1"/>
  <c r="Z19" i="1"/>
  <c r="AD19" i="1" s="1"/>
  <c r="AF19" i="1"/>
  <c r="AG20" i="1"/>
  <c r="AH20" i="1" s="1"/>
  <c r="Z20" i="1"/>
  <c r="AD20" i="1" s="1"/>
  <c r="AF20" i="1"/>
  <c r="Z130" i="1"/>
  <c r="AD130" i="1" s="1"/>
  <c r="AG130" i="1"/>
  <c r="AH130" i="1" s="1"/>
  <c r="AF130" i="1"/>
  <c r="Z150" i="1"/>
  <c r="AD150" i="1" s="1"/>
  <c r="AG150" i="1"/>
  <c r="AH150" i="1" s="1"/>
  <c r="AF150" i="1"/>
  <c r="U150" i="1"/>
  <c r="S150" i="1" s="1"/>
  <c r="V150" i="1" s="1"/>
  <c r="P150" i="1" s="1"/>
  <c r="Q150" i="1" s="1"/>
  <c r="AG145" i="1"/>
  <c r="Z145" i="1"/>
  <c r="AD145" i="1" s="1"/>
  <c r="AF145" i="1"/>
  <c r="AG99" i="1"/>
  <c r="Z99" i="1"/>
  <c r="AD99" i="1" s="1"/>
  <c r="AF99" i="1"/>
  <c r="U38" i="1"/>
  <c r="S38" i="1" s="1"/>
  <c r="V38" i="1" s="1"/>
  <c r="P38" i="1" s="1"/>
  <c r="Q38" i="1" s="1"/>
  <c r="AF43" i="1"/>
  <c r="AG43" i="1"/>
  <c r="Z43" i="1"/>
  <c r="AD43" i="1" s="1"/>
  <c r="Z59" i="1"/>
  <c r="AD59" i="1" s="1"/>
  <c r="AG59" i="1"/>
  <c r="AH59" i="1" s="1"/>
  <c r="AF59" i="1"/>
  <c r="U59" i="1"/>
  <c r="S59" i="1" s="1"/>
  <c r="V59" i="1" s="1"/>
  <c r="P59" i="1" s="1"/>
  <c r="Q59" i="1" s="1"/>
  <c r="AH132" i="1"/>
  <c r="AH70" i="1"/>
  <c r="Z17" i="1"/>
  <c r="AD17" i="1" s="1"/>
  <c r="AF17" i="1"/>
  <c r="AG17" i="1"/>
  <c r="AH17" i="1" s="1"/>
  <c r="Z116" i="1"/>
  <c r="AD116" i="1" s="1"/>
  <c r="AG116" i="1"/>
  <c r="AF116" i="1"/>
  <c r="AG18" i="1"/>
  <c r="AH18" i="1" s="1"/>
  <c r="Z18" i="1"/>
  <c r="AD18" i="1" s="1"/>
  <c r="AF18" i="1"/>
  <c r="AG28" i="1"/>
  <c r="AH28" i="1" s="1"/>
  <c r="Z28" i="1"/>
  <c r="AD28" i="1" s="1"/>
  <c r="AF28" i="1"/>
  <c r="AH137" i="1"/>
  <c r="Z131" i="1"/>
  <c r="AD131" i="1" s="1"/>
  <c r="AG131" i="1"/>
  <c r="AH131" i="1" s="1"/>
  <c r="AF131" i="1"/>
  <c r="U131" i="1"/>
  <c r="S131" i="1" s="1"/>
  <c r="V131" i="1" s="1"/>
  <c r="P131" i="1" s="1"/>
  <c r="Q131" i="1" s="1"/>
  <c r="U20" i="1"/>
  <c r="S20" i="1" s="1"/>
  <c r="V20" i="1" s="1"/>
  <c r="P20" i="1" s="1"/>
  <c r="Q20" i="1" s="1"/>
  <c r="Z96" i="1"/>
  <c r="AD96" i="1" s="1"/>
  <c r="AG96" i="1"/>
  <c r="AH96" i="1" s="1"/>
  <c r="AF96" i="1"/>
  <c r="Z121" i="1"/>
  <c r="AD121" i="1" s="1"/>
  <c r="AG121" i="1"/>
  <c r="AH121" i="1" s="1"/>
  <c r="AF121" i="1"/>
  <c r="U84" i="1"/>
  <c r="S84" i="1" s="1"/>
  <c r="V84" i="1" s="1"/>
  <c r="P84" i="1" s="1"/>
  <c r="Q84" i="1" s="1"/>
  <c r="Z52" i="1"/>
  <c r="AD52" i="1" s="1"/>
  <c r="AG52" i="1"/>
  <c r="AH52" i="1" s="1"/>
  <c r="AF52" i="1"/>
  <c r="AG58" i="1"/>
  <c r="Z58" i="1"/>
  <c r="AD58" i="1" s="1"/>
  <c r="AF58" i="1"/>
  <c r="Z92" i="1"/>
  <c r="AD92" i="1" s="1"/>
  <c r="AG92" i="1"/>
  <c r="AH92" i="1" s="1"/>
  <c r="AF92" i="1"/>
  <c r="AH156" i="1"/>
  <c r="AH36" i="1"/>
  <c r="AH77" i="1"/>
  <c r="AH141" i="1"/>
  <c r="AG166" i="1"/>
  <c r="Z166" i="1"/>
  <c r="AD166" i="1" s="1"/>
  <c r="AF166" i="1"/>
  <c r="U34" i="1"/>
  <c r="S34" i="1" s="1"/>
  <c r="V34" i="1" s="1"/>
  <c r="P34" i="1" s="1"/>
  <c r="Q34" i="1" s="1"/>
  <c r="U96" i="1"/>
  <c r="S96" i="1" s="1"/>
  <c r="V96" i="1" s="1"/>
  <c r="P96" i="1" s="1"/>
  <c r="Q96" i="1" s="1"/>
  <c r="AH124" i="1"/>
  <c r="U146" i="1"/>
  <c r="S146" i="1" s="1"/>
  <c r="V146" i="1" s="1"/>
  <c r="P146" i="1" s="1"/>
  <c r="Q146" i="1" s="1"/>
  <c r="AH54" i="1"/>
  <c r="AG29" i="1"/>
  <c r="Z29" i="1"/>
  <c r="AD29" i="1" s="1"/>
  <c r="U29" i="1"/>
  <c r="S29" i="1" s="1"/>
  <c r="V29" i="1" s="1"/>
  <c r="P29" i="1" s="1"/>
  <c r="Q29" i="1" s="1"/>
  <c r="AF29" i="1"/>
  <c r="Z64" i="1"/>
  <c r="AD64" i="1" s="1"/>
  <c r="AG64" i="1"/>
  <c r="AF64" i="1"/>
  <c r="U64" i="1"/>
  <c r="S64" i="1" s="1"/>
  <c r="V64" i="1" s="1"/>
  <c r="P64" i="1" s="1"/>
  <c r="Q64" i="1" s="1"/>
  <c r="AF39" i="1"/>
  <c r="AG39" i="1"/>
  <c r="Z39" i="1"/>
  <c r="AD39" i="1" s="1"/>
  <c r="Z127" i="1"/>
  <c r="AD127" i="1" s="1"/>
  <c r="AG127" i="1"/>
  <c r="AH127" i="1" s="1"/>
  <c r="AF127" i="1"/>
  <c r="Z68" i="1"/>
  <c r="AD68" i="1" s="1"/>
  <c r="AG68" i="1"/>
  <c r="AH68" i="1" s="1"/>
  <c r="AF68" i="1"/>
  <c r="U69" i="1"/>
  <c r="S69" i="1" s="1"/>
  <c r="V69" i="1" s="1"/>
  <c r="P69" i="1" s="1"/>
  <c r="Q69" i="1" s="1"/>
  <c r="Z126" i="1"/>
  <c r="AD126" i="1" s="1"/>
  <c r="AG126" i="1"/>
  <c r="AF126" i="1"/>
  <c r="AH49" i="1"/>
  <c r="Z144" i="1"/>
  <c r="AD144" i="1" s="1"/>
  <c r="AG144" i="1"/>
  <c r="AH144" i="1" s="1"/>
  <c r="AF144" i="1"/>
  <c r="AH65" i="1"/>
  <c r="AH73" i="1"/>
  <c r="AH83" i="1"/>
  <c r="Z100" i="1"/>
  <c r="AD100" i="1" s="1"/>
  <c r="AG100" i="1"/>
  <c r="AF100" i="1"/>
  <c r="Z147" i="1"/>
  <c r="AD147" i="1" s="1"/>
  <c r="AG147" i="1"/>
  <c r="AF147" i="1"/>
  <c r="AH91" i="1"/>
  <c r="AH93" i="1"/>
  <c r="Z136" i="1"/>
  <c r="AD136" i="1" s="1"/>
  <c r="AG136" i="1"/>
  <c r="AF136" i="1"/>
  <c r="Z109" i="1"/>
  <c r="AD109" i="1" s="1"/>
  <c r="AG109" i="1"/>
  <c r="AF109" i="1"/>
  <c r="Z41" i="1"/>
  <c r="AD41" i="1" s="1"/>
  <c r="AG41" i="1"/>
  <c r="AF41" i="1"/>
  <c r="AH71" i="1"/>
  <c r="AG86" i="1"/>
  <c r="AF86" i="1"/>
  <c r="Z86" i="1"/>
  <c r="AD86" i="1" s="1"/>
  <c r="U62" i="1"/>
  <c r="S62" i="1" s="1"/>
  <c r="V62" i="1" s="1"/>
  <c r="P62" i="1" s="1"/>
  <c r="Q62" i="1" s="1"/>
  <c r="Z42" i="1"/>
  <c r="AD42" i="1" s="1"/>
  <c r="AG42" i="1"/>
  <c r="AH42" i="1" s="1"/>
  <c r="AF42" i="1"/>
  <c r="U164" i="1"/>
  <c r="S164" i="1" s="1"/>
  <c r="V164" i="1" s="1"/>
  <c r="P164" i="1" s="1"/>
  <c r="Q164" i="1" s="1"/>
  <c r="AH55" i="1"/>
  <c r="AG114" i="1"/>
  <c r="Z114" i="1"/>
  <c r="AD114" i="1" s="1"/>
  <c r="AF114" i="1"/>
  <c r="U99" i="1"/>
  <c r="S99" i="1" s="1"/>
  <c r="V99" i="1" s="1"/>
  <c r="P99" i="1" s="1"/>
  <c r="Q99" i="1" s="1"/>
  <c r="AH129" i="1"/>
  <c r="U147" i="1"/>
  <c r="S147" i="1" s="1"/>
  <c r="V147" i="1" s="1"/>
  <c r="P147" i="1" s="1"/>
  <c r="Q147" i="1" s="1"/>
  <c r="AH24" i="1"/>
  <c r="AH163" i="1"/>
  <c r="AH125" i="1"/>
  <c r="Z60" i="1"/>
  <c r="AD60" i="1" s="1"/>
  <c r="AG60" i="1"/>
  <c r="AF60" i="1"/>
  <c r="Z50" i="1"/>
  <c r="AD50" i="1" s="1"/>
  <c r="AG50" i="1"/>
  <c r="AH50" i="1" s="1"/>
  <c r="AF50" i="1"/>
  <c r="Z30" i="1"/>
  <c r="AD30" i="1" s="1"/>
  <c r="AG30" i="1"/>
  <c r="AH30" i="1" s="1"/>
  <c r="AF30" i="1"/>
  <c r="Z37" i="1"/>
  <c r="AD37" i="1" s="1"/>
  <c r="AG37" i="1"/>
  <c r="AH37" i="1" s="1"/>
  <c r="AF37" i="1"/>
  <c r="Z46" i="1"/>
  <c r="AD46" i="1" s="1"/>
  <c r="AG46" i="1"/>
  <c r="AF46" i="1"/>
  <c r="Z119" i="1"/>
  <c r="AD119" i="1" s="1"/>
  <c r="AG119" i="1"/>
  <c r="AF119" i="1"/>
  <c r="Z149" i="1"/>
  <c r="AD149" i="1" s="1"/>
  <c r="AG149" i="1"/>
  <c r="AF149" i="1"/>
  <c r="AH102" i="1"/>
  <c r="AH21" i="1"/>
  <c r="AG111" i="1"/>
  <c r="Z111" i="1"/>
  <c r="AD111" i="1" s="1"/>
  <c r="AF111" i="1"/>
  <c r="U60" i="1"/>
  <c r="S60" i="1" s="1"/>
  <c r="V60" i="1" s="1"/>
  <c r="P60" i="1" s="1"/>
  <c r="Q60" i="1" s="1"/>
  <c r="U19" i="1"/>
  <c r="S19" i="1" s="1"/>
  <c r="V19" i="1" s="1"/>
  <c r="P19" i="1" s="1"/>
  <c r="Q19" i="1" s="1"/>
  <c r="AG75" i="1"/>
  <c r="AH75" i="1" s="1"/>
  <c r="AF75" i="1"/>
  <c r="Z75" i="1"/>
  <c r="AD75" i="1" s="1"/>
  <c r="Z72" i="1"/>
  <c r="AD72" i="1" s="1"/>
  <c r="AG72" i="1"/>
  <c r="AF72" i="1"/>
  <c r="Z123" i="1"/>
  <c r="AD123" i="1" s="1"/>
  <c r="AG123" i="1"/>
  <c r="AF123" i="1"/>
  <c r="U118" i="1"/>
  <c r="S118" i="1" s="1"/>
  <c r="V118" i="1" s="1"/>
  <c r="P118" i="1" s="1"/>
  <c r="Q118" i="1" s="1"/>
  <c r="Z26" i="1"/>
  <c r="AD26" i="1" s="1"/>
  <c r="AG26" i="1"/>
  <c r="AH26" i="1" s="1"/>
  <c r="AF26" i="1"/>
  <c r="AG76" i="1"/>
  <c r="AH76" i="1" s="1"/>
  <c r="Z76" i="1"/>
  <c r="AD76" i="1" s="1"/>
  <c r="AF76" i="1"/>
  <c r="AG112" i="1"/>
  <c r="AH112" i="1" s="1"/>
  <c r="AF112" i="1"/>
  <c r="Z112" i="1"/>
  <c r="AD112" i="1" s="1"/>
  <c r="AH106" i="1"/>
  <c r="Z90" i="1"/>
  <c r="AD90" i="1" s="1"/>
  <c r="AG90" i="1"/>
  <c r="AF90" i="1"/>
  <c r="Z140" i="1"/>
  <c r="AD140" i="1" s="1"/>
  <c r="AG140" i="1"/>
  <c r="AH140" i="1" s="1"/>
  <c r="AF140" i="1"/>
  <c r="U140" i="1"/>
  <c r="S140" i="1" s="1"/>
  <c r="V140" i="1" s="1"/>
  <c r="P140" i="1" s="1"/>
  <c r="Q140" i="1" s="1"/>
  <c r="Z27" i="1"/>
  <c r="AD27" i="1" s="1"/>
  <c r="AG27" i="1"/>
  <c r="AF27" i="1"/>
  <c r="U42" i="1"/>
  <c r="S42" i="1" s="1"/>
  <c r="V42" i="1" s="1"/>
  <c r="P42" i="1" s="1"/>
  <c r="Q42" i="1" s="1"/>
  <c r="Z80" i="1"/>
  <c r="AD80" i="1" s="1"/>
  <c r="AG80" i="1"/>
  <c r="AH80" i="1" s="1"/>
  <c r="AF80" i="1"/>
  <c r="U80" i="1"/>
  <c r="S80" i="1" s="1"/>
  <c r="V80" i="1" s="1"/>
  <c r="P80" i="1" s="1"/>
  <c r="Q80" i="1" s="1"/>
  <c r="AG94" i="1"/>
  <c r="AF94" i="1"/>
  <c r="Z94" i="1"/>
  <c r="AD94" i="1" s="1"/>
  <c r="AH152" i="1"/>
  <c r="Z63" i="1"/>
  <c r="AD63" i="1" s="1"/>
  <c r="AG63" i="1"/>
  <c r="AH63" i="1" s="1"/>
  <c r="U63" i="1"/>
  <c r="S63" i="1" s="1"/>
  <c r="V63" i="1" s="1"/>
  <c r="P63" i="1" s="1"/>
  <c r="Q63" i="1" s="1"/>
  <c r="AF63" i="1"/>
  <c r="AH87" i="1"/>
  <c r="U144" i="1"/>
  <c r="S144" i="1" s="1"/>
  <c r="V144" i="1" s="1"/>
  <c r="P144" i="1" s="1"/>
  <c r="Q144" i="1" s="1"/>
  <c r="AG159" i="1"/>
  <c r="AH159" i="1" s="1"/>
  <c r="Z159" i="1"/>
  <c r="AD159" i="1" s="1"/>
  <c r="AF159" i="1"/>
  <c r="AG95" i="1"/>
  <c r="AH95" i="1" s="1"/>
  <c r="Z95" i="1"/>
  <c r="AD95" i="1" s="1"/>
  <c r="AF95" i="1"/>
  <c r="Z40" i="1"/>
  <c r="AD40" i="1" s="1"/>
  <c r="AG40" i="1"/>
  <c r="AF40" i="1"/>
  <c r="Z51" i="1"/>
  <c r="AD51" i="1" s="1"/>
  <c r="AG51" i="1"/>
  <c r="AF51" i="1"/>
  <c r="Z154" i="1"/>
  <c r="AD154" i="1" s="1"/>
  <c r="AF154" i="1"/>
  <c r="AG154" i="1"/>
  <c r="AH154" i="1" s="1"/>
  <c r="AG79" i="1"/>
  <c r="Z79" i="1"/>
  <c r="AD79" i="1" s="1"/>
  <c r="AF79" i="1"/>
  <c r="U75" i="1"/>
  <c r="S75" i="1" s="1"/>
  <c r="V75" i="1" s="1"/>
  <c r="P75" i="1" s="1"/>
  <c r="Q75" i="1" s="1"/>
  <c r="AH155" i="1"/>
  <c r="AH47" i="1"/>
  <c r="AF35" i="1"/>
  <c r="AG35" i="1"/>
  <c r="AH35" i="1" s="1"/>
  <c r="Z35" i="1"/>
  <c r="AD35" i="1" s="1"/>
  <c r="U90" i="1"/>
  <c r="S90" i="1" s="1"/>
  <c r="V90" i="1" s="1"/>
  <c r="P90" i="1" s="1"/>
  <c r="Q90" i="1" s="1"/>
  <c r="AG115" i="1"/>
  <c r="AH115" i="1" s="1"/>
  <c r="Z115" i="1"/>
  <c r="AD115" i="1" s="1"/>
  <c r="AF115" i="1"/>
  <c r="U159" i="1"/>
  <c r="S159" i="1" s="1"/>
  <c r="V159" i="1" s="1"/>
  <c r="P159" i="1" s="1"/>
  <c r="Q159" i="1" s="1"/>
  <c r="AH134" i="1"/>
  <c r="AH53" i="1"/>
  <c r="AH79" i="1" l="1"/>
  <c r="AH46" i="1"/>
  <c r="AH136" i="1"/>
  <c r="AH100" i="1"/>
  <c r="AH64" i="1"/>
  <c r="AH99" i="1"/>
  <c r="AH19" i="1"/>
  <c r="AH148" i="1"/>
  <c r="AH146" i="1"/>
  <c r="AH133" i="1"/>
  <c r="AH31" i="1"/>
  <c r="AH51" i="1"/>
  <c r="AH123" i="1"/>
  <c r="AH149" i="1"/>
  <c r="AH41" i="1"/>
  <c r="AH126" i="1"/>
  <c r="AH56" i="1"/>
  <c r="AH135" i="1"/>
  <c r="AH43" i="1"/>
  <c r="AH145" i="1"/>
  <c r="AH67" i="1"/>
  <c r="AH128" i="1"/>
  <c r="AH90" i="1"/>
  <c r="AH60" i="1"/>
  <c r="AH39" i="1"/>
  <c r="AH78" i="1"/>
  <c r="AH118" i="1"/>
  <c r="AH88" i="1"/>
  <c r="AH139" i="1"/>
  <c r="AH27" i="1"/>
  <c r="AH72" i="1"/>
  <c r="AH119" i="1"/>
  <c r="AH109" i="1"/>
  <c r="AH147" i="1"/>
  <c r="AH29" i="1"/>
  <c r="AH166" i="1"/>
  <c r="AH111" i="1"/>
  <c r="AH114" i="1"/>
  <c r="AH40" i="1"/>
  <c r="AH94" i="1"/>
  <c r="AH86" i="1"/>
  <c r="AH58" i="1"/>
  <c r="AH116" i="1"/>
  <c r="AH34" i="1"/>
</calcChain>
</file>

<file path=xl/sharedStrings.xml><?xml version="1.0" encoding="utf-8"?>
<sst xmlns="http://schemas.openxmlformats.org/spreadsheetml/2006/main" count="3692" uniqueCount="1181">
  <si>
    <t>File opened</t>
  </si>
  <si>
    <t>2023-07-10 08:48:14</t>
  </si>
  <si>
    <t>Console s/n</t>
  </si>
  <si>
    <t>68C-831494</t>
  </si>
  <si>
    <t>Console ver</t>
  </si>
  <si>
    <t>Bluestem v.2.1.08</t>
  </si>
  <si>
    <t>Scripts ver</t>
  </si>
  <si>
    <t>2022.05  2.1.08, Aug 2022</t>
  </si>
  <si>
    <t>Head s/n</t>
  </si>
  <si>
    <t>68H-581494</t>
  </si>
  <si>
    <t>Head ver</t>
  </si>
  <si>
    <t>1.4.22</t>
  </si>
  <si>
    <t>Head cal</t>
  </si>
  <si>
    <t>{"oxygen": "21", "co2azero": "1.02392", "co2aspan1": "1.00118", "co2aspan2": "-0.0279131", "co2aspan2a": "0.281237", "co2aspan2b": "0.279361", "co2aspanconc1": "2491", "co2aspanconc2": "299.3", "co2bzero": "0.995604", "co2bspan1": "1.00089", "co2bspan2": "-0.0278489", "co2bspan2a": "0.281984", "co2bspan2b": "0.280019", "co2bspanconc1": "2491", "co2bspanconc2": "299.3", "h2oazero": "1.00192", "h2oaspan1": "1.00805", "h2oaspan2": "0", "h2oaspan2a": "0.0686909", "h2oaspan2b": "0.0692439", "h2oaspanconc1": "12.09", "h2oaspanconc2": "0", "h2obzero": "0.9945", "h2obspan1": "1.00834", "h2obspan2": "0", "h2obspan2a": "0.0689774", "h2obspan2b": "0.0695529", "h2obspanconc1": "12.09", "h2obspanconc2": "0", "tazero": "-0.0737305", "tbzero": "0.041193", "flowmeterzero": "0.985962", "flowazero": "0.31101", "flowbzero": "0.3164", "chamberpressurezero": "2.56022", "ssa_ref": "41704.6", "ssb_ref": "39177.8"}</t>
  </si>
  <si>
    <t>CO2 rangematch</t>
  </si>
  <si>
    <t>Tue May 16 10:43</t>
  </si>
  <si>
    <t>H2O rangematch</t>
  </si>
  <si>
    <t>Tue May 16 10:48</t>
  </si>
  <si>
    <t>Chamber type</t>
  </si>
  <si>
    <t>6800-01A</t>
  </si>
  <si>
    <t>Chamber s/n</t>
  </si>
  <si>
    <t>MPF-651393</t>
  </si>
  <si>
    <t>Chamber rev</t>
  </si>
  <si>
    <t>0</t>
  </si>
  <si>
    <t>Chamber cal</t>
  </si>
  <si>
    <t>Fluorometer</t>
  </si>
  <si>
    <t>Flr. Version</t>
  </si>
  <si>
    <t>08:48:14</t>
  </si>
  <si>
    <t>Stability Definition:	A (GasEx): Slp&lt;0.7 Std&lt;0.2 Per=15	gsw (GasEx): Slp&lt;0.05 Std&lt;0.05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</si>
  <si>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</si>
  <si>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</si>
  <si>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</si>
  <si>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</si>
  <si>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</si>
  <si>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</si>
  <si>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</si>
  <si>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</si>
  <si>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</si>
  <si>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</si>
  <si>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</si>
  <si>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</si>
  <si>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</si>
  <si>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</si>
  <si>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</si>
  <si>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</si>
  <si>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</si>
  <si>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</si>
  <si>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</si>
  <si>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</si>
  <si>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</si>
  <si>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</si>
  <si>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</si>
  <si>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</si>
  <si>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</si>
  <si>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</si>
  <si>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</si>
  <si>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</si>
  <si>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</si>
  <si>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</si>
  <si>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</si>
  <si>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</si>
  <si>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</si>
  <si>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</si>
  <si>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</si>
  <si>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</si>
  <si>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</si>
  <si>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</si>
  <si>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</si>
  <si>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</si>
  <si>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</si>
  <si>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</si>
  <si>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</si>
  <si>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</si>
  <si>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</si>
  <si>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</si>
  <si>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</si>
  <si>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</si>
  <si>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</si>
  <si>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</si>
  <si>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</si>
  <si>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</si>
  <si>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4.28276 83.5588 375.214 620.683 852.603 1070.05 1257.85 1446.35</t>
  </si>
  <si>
    <t>Fs_true</t>
  </si>
  <si>
    <t>0.337188 102.684 400.593 601.128 800.269 1000.89 1200.77 1400.84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</si>
  <si>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</si>
  <si>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</si>
  <si>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</si>
  <si>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</si>
  <si>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</si>
  <si>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</si>
  <si>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</si>
  <si>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</si>
  <si>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</si>
  <si>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</si>
  <si>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</si>
  <si>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</si>
  <si>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</si>
  <si>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</si>
  <si>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</si>
  <si>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</si>
  <si>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</si>
  <si>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</si>
  <si>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</si>
  <si>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</si>
  <si>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</si>
  <si>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</si>
  <si>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</si>
  <si>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</si>
  <si>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</si>
  <si>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</si>
  <si>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</si>
  <si>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</si>
  <si>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type</t>
  </si>
  <si>
    <t>plot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</si>
  <si>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</si>
  <si>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</si>
  <si>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</si>
  <si>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</si>
  <si>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</si>
  <si>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</si>
  <si>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</si>
  <si>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</si>
  <si>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</si>
  <si>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</si>
  <si>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</si>
  <si>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</si>
  <si>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</si>
  <si>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</si>
  <si>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</si>
  <si>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</si>
  <si>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</si>
  <si>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</si>
  <si>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</si>
  <si>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</si>
  <si>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</si>
  <si>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</si>
  <si>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</si>
  <si>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</si>
  <si>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</si>
  <si>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</si>
  <si>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</si>
  <si>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</si>
  <si>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</si>
  <si>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</si>
  <si>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</si>
  <si>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</si>
  <si>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</si>
  <si>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</si>
  <si>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</si>
  <si>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</si>
  <si>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</si>
  <si>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</si>
  <si>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</si>
  <si>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</si>
  <si>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</si>
  <si>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</si>
  <si>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</si>
  <si>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</si>
  <si>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</si>
  <si>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</si>
  <si>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</si>
  <si>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</si>
  <si>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</si>
  <si>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</si>
  <si>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</si>
  <si>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</si>
  <si>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</si>
  <si>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</si>
  <si>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</si>
  <si>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</si>
  <si>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</si>
  <si>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</si>
  <si>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</si>
  <si>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</si>
  <si>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</si>
  <si>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</si>
  <si>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</si>
  <si>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</si>
  <si>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</si>
  <si>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</si>
  <si>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</si>
  <si>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</si>
  <si>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</si>
  <si>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</si>
  <si>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</si>
  <si>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</si>
  <si>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</si>
  <si>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</si>
  <si>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</si>
  <si>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</si>
  <si>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</si>
  <si>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</si>
  <si>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</si>
  <si>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</si>
  <si>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</si>
  <si>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</si>
  <si>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</si>
  <si>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</si>
  <si>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</si>
  <si>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</si>
  <si>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</si>
  <si>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</si>
  <si>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</si>
  <si>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</si>
  <si>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</si>
  <si>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</si>
  <si>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</si>
  <si>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</si>
  <si>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</si>
  <si>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</si>
  <si>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</si>
  <si>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</si>
  <si>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</si>
  <si>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</si>
  <si>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</si>
  <si>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</si>
  <si>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</si>
  <si>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</si>
  <si>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</si>
  <si>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</si>
  <si>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</si>
  <si>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</si>
  <si>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</si>
  <si>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</si>
  <si>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</si>
  <si>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</si>
  <si>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</si>
  <si>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</si>
  <si>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</si>
  <si>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</si>
  <si>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</si>
  <si>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</si>
  <si>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</si>
  <si>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</si>
  <si>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</si>
  <si>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</si>
  <si>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</si>
  <si>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</si>
  <si>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</si>
  <si>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</si>
  <si>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</si>
  <si>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</si>
  <si>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</si>
  <si>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</si>
  <si>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</si>
  <si>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</si>
  <si>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</si>
  <si>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</si>
  <si>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</si>
  <si>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</si>
  <si>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</si>
  <si>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</si>
  <si>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</si>
  <si>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</si>
  <si>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</si>
  <si>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</si>
  <si>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</si>
  <si>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</si>
  <si>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</si>
  <si>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</si>
  <si>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</si>
  <si>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</si>
  <si>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</si>
  <si>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</si>
  <si>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</si>
  <si>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</si>
  <si>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</si>
  <si>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</si>
  <si>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</si>
  <si>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</si>
  <si>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</si>
  <si>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</si>
  <si>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</si>
  <si>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</si>
  <si>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</si>
  <si>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</si>
  <si>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</si>
  <si>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</si>
  <si>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</si>
  <si>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</si>
  <si>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</si>
  <si>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</si>
  <si>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</si>
  <si>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</si>
  <si>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</si>
  <si>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</si>
  <si>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</si>
  <si>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</si>
  <si>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</si>
  <si>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</si>
  <si>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</si>
  <si>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</si>
  <si>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</si>
  <si>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</si>
  <si>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</si>
  <si>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</si>
  <si>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</si>
  <si>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</si>
  <si>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</si>
  <si>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</si>
  <si>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</si>
  <si>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</si>
  <si>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</si>
  <si>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</si>
  <si>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</si>
  <si>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</si>
  <si>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</si>
  <si>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</si>
  <si>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</si>
  <si>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</si>
  <si>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</si>
  <si>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</si>
  <si>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</si>
  <si>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</si>
  <si>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</si>
  <si>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</si>
  <si>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</si>
  <si>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</si>
  <si>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</si>
  <si>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</si>
  <si>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</si>
  <si>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</si>
  <si>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</si>
  <si>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</si>
  <si>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</si>
  <si>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</si>
  <si>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</si>
  <si>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</si>
  <si>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</si>
  <si>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</si>
  <si>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</si>
  <si>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</si>
  <si>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</si>
  <si>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</si>
  <si>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</si>
  <si>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</si>
  <si>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</si>
  <si>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</si>
  <si>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</si>
  <si>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</si>
  <si>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</si>
  <si>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</si>
  <si>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</si>
  <si>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</si>
  <si>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</si>
  <si>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</si>
  <si>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</si>
  <si>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</si>
  <si>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</si>
  <si>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</si>
  <si>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</si>
  <si>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</si>
  <si>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</si>
  <si>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</si>
  <si>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</si>
  <si>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</si>
  <si>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</si>
  <si>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</si>
  <si>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</si>
  <si>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</si>
  <si>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</si>
  <si>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</si>
  <si>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</si>
  <si>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</si>
  <si>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</si>
  <si>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</si>
  <si>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</si>
  <si>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</si>
  <si>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</si>
  <si>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</si>
  <si>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</si>
  <si>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</si>
  <si>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</si>
  <si>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</si>
  <si>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</si>
  <si>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</si>
  <si>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</si>
  <si>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</si>
  <si>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</si>
  <si>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</si>
  <si>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</si>
  <si>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</si>
  <si>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</si>
  <si>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</si>
  <si>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</si>
  <si>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</si>
  <si>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</si>
  <si>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</si>
  <si>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</si>
  <si>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</si>
  <si>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</si>
  <si>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</si>
  <si>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</si>
  <si>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</si>
  <si>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</si>
  <si>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</si>
  <si>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</si>
  <si>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</si>
  <si>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</si>
  <si>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</si>
  <si>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</si>
  <si>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</si>
  <si>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</si>
  <si>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</si>
  <si>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</si>
  <si>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</si>
  <si>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</si>
  <si>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</si>
  <si>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</si>
  <si>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</si>
  <si>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</si>
  <si>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</si>
  <si>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20230710 09:26:17</t>
  </si>
  <si>
    <t>09:26:17</t>
  </si>
  <si>
    <t>none</t>
  </si>
  <si>
    <t>aci</t>
  </si>
  <si>
    <t>1</t>
  </si>
  <si>
    <t>zg12a</t>
  </si>
  <si>
    <t>RECT-8581-20230524-14_02_07</t>
  </si>
  <si>
    <t>MPF-9055-20230710-09_23_54</t>
  </si>
  <si>
    <t>DARK-9056-20230710-09_24_01</t>
  </si>
  <si>
    <t>0: Broadleaf</t>
  </si>
  <si>
    <t>09:25:41</t>
  </si>
  <si>
    <t>2/2</t>
  </si>
  <si>
    <t>00000000</t>
  </si>
  <si>
    <t>iiiiiiii</t>
  </si>
  <si>
    <t>off</t>
  </si>
  <si>
    <t>20230710 09:29:15</t>
  </si>
  <si>
    <t>09:29:15</t>
  </si>
  <si>
    <t>MPF-9057-20230710-09_26_52</t>
  </si>
  <si>
    <t>DARK-9058-20230710-09_27_00</t>
  </si>
  <si>
    <t>09:27:37</t>
  </si>
  <si>
    <t>20230710 09:31:25</t>
  </si>
  <si>
    <t>09:31:25</t>
  </si>
  <si>
    <t>MPF-9059-20230710-09_29_02</t>
  </si>
  <si>
    <t>DARK-9060-20230710-09_29_10</t>
  </si>
  <si>
    <t>09:30:54</t>
  </si>
  <si>
    <t>20230710 09:33:30</t>
  </si>
  <si>
    <t>09:33:30</t>
  </si>
  <si>
    <t>MPF-9061-20230710-09_31_07</t>
  </si>
  <si>
    <t>DARK-9062-20230710-09_31_15</t>
  </si>
  <si>
    <t>09:32:45</t>
  </si>
  <si>
    <t>20230710 09:35:36</t>
  </si>
  <si>
    <t>09:35:36</t>
  </si>
  <si>
    <t>MPF-9063-20230710-09_33_13</t>
  </si>
  <si>
    <t>DARK-9064-20230710-09_33_20</t>
  </si>
  <si>
    <t>09:35:04</t>
  </si>
  <si>
    <t>20230710 09:37:32</t>
  </si>
  <si>
    <t>09:37:32</t>
  </si>
  <si>
    <t>MPF-9065-20230710-09_35_09</t>
  </si>
  <si>
    <t>DARK-9066-20230710-09_35_16</t>
  </si>
  <si>
    <t>09:37:01</t>
  </si>
  <si>
    <t>20230710 09:39:23</t>
  </si>
  <si>
    <t>09:39:23</t>
  </si>
  <si>
    <t>MPF-9067-20230710-09_37_01</t>
  </si>
  <si>
    <t>DARK-9068-20230710-09_37_08</t>
  </si>
  <si>
    <t>09:38:53</t>
  </si>
  <si>
    <t>20230710 09:42:33</t>
  </si>
  <si>
    <t>09:42:33</t>
  </si>
  <si>
    <t>MPF-9069-20230710-09_40_10</t>
  </si>
  <si>
    <t>DARK-9070-20230710-09_40_17</t>
  </si>
  <si>
    <t>09:40:50</t>
  </si>
  <si>
    <t>1/2</t>
  </si>
  <si>
    <t>20230710 09:44:27</t>
  </si>
  <si>
    <t>09:44:27</t>
  </si>
  <si>
    <t>MPF-9071-20230710-09_42_04</t>
  </si>
  <si>
    <t>DARK-9072-20230710-09_42_11</t>
  </si>
  <si>
    <t>09:43:56</t>
  </si>
  <si>
    <t>20230710 09:46:14</t>
  </si>
  <si>
    <t>09:46:14</t>
  </si>
  <si>
    <t>MPF-9073-20230710-09_43_52</t>
  </si>
  <si>
    <t>DARK-9074-20230710-09_43_59</t>
  </si>
  <si>
    <t>09:45:36</t>
  </si>
  <si>
    <t>20230710 09:48:12</t>
  </si>
  <si>
    <t>09:48:12</t>
  </si>
  <si>
    <t>MPF-9075-20230710-09_45_50</t>
  </si>
  <si>
    <t>DARK-9076-20230710-09_45_57</t>
  </si>
  <si>
    <t>09:47:38</t>
  </si>
  <si>
    <t>20230710 09:50:06</t>
  </si>
  <si>
    <t>09:50:06</t>
  </si>
  <si>
    <t>MPF-9077-20230710-09_47_43</t>
  </si>
  <si>
    <t>DARK-9078-20230710-09_47_50</t>
  </si>
  <si>
    <t>09:49:30</t>
  </si>
  <si>
    <t>20230710 09:52:03</t>
  </si>
  <si>
    <t>09:52:03</t>
  </si>
  <si>
    <t>MPF-9079-20230710-09_49_40</t>
  </si>
  <si>
    <t>DARK-9080-20230710-09_49_47</t>
  </si>
  <si>
    <t>09:51:29</t>
  </si>
  <si>
    <t>20230710 09:54:31</t>
  </si>
  <si>
    <t>09:54:31</t>
  </si>
  <si>
    <t>MPF-9081-20230710-09_52_09</t>
  </si>
  <si>
    <t>DARK-9082-20230710-09_52_16</t>
  </si>
  <si>
    <t>09:53:45</t>
  </si>
  <si>
    <t>20230710 09:56:20</t>
  </si>
  <si>
    <t>09:56:20</t>
  </si>
  <si>
    <t>MPF-9083-20230710-09_53_58</t>
  </si>
  <si>
    <t>DARK-9084-20230710-09_54_05</t>
  </si>
  <si>
    <t>09:55:46</t>
  </si>
  <si>
    <t>20230710 10:14:37</t>
  </si>
  <si>
    <t>10:14:37</t>
  </si>
  <si>
    <t>2</t>
  </si>
  <si>
    <t>hn1a</t>
  </si>
  <si>
    <t>MPF-9085-20230710-10_12_14</t>
  </si>
  <si>
    <t>DARK-9086-20230710-10_12_21</t>
  </si>
  <si>
    <t>10:14:06</t>
  </si>
  <si>
    <t>20230710 10:17:28</t>
  </si>
  <si>
    <t>10:17:28</t>
  </si>
  <si>
    <t>MPF-9087-20230710-10_15_06</t>
  </si>
  <si>
    <t>DARK-9088-20230710-10_15_13</t>
  </si>
  <si>
    <t>10:16:08</t>
  </si>
  <si>
    <t>20230710 10:19:38</t>
  </si>
  <si>
    <t>10:19:38</t>
  </si>
  <si>
    <t>MPF-9089-20230710-10_17_16</t>
  </si>
  <si>
    <t>DARK-9090-20230710-10_17_23</t>
  </si>
  <si>
    <t>10:18:53</t>
  </si>
  <si>
    <t>20230710 10:21:59</t>
  </si>
  <si>
    <t>10:21:59</t>
  </si>
  <si>
    <t>MPF-9091-20230710-10_19_37</t>
  </si>
  <si>
    <t>DARK-9092-20230710-10_19_44</t>
  </si>
  <si>
    <t>10:21:26</t>
  </si>
  <si>
    <t>20230710 10:23:56</t>
  </si>
  <si>
    <t>10:23:56</t>
  </si>
  <si>
    <t>MPF-9093-20230710-10_21_34</t>
  </si>
  <si>
    <t>DARK-9094-20230710-10_21_41</t>
  </si>
  <si>
    <t>10:23:24</t>
  </si>
  <si>
    <t>20230710 10:26:06</t>
  </si>
  <si>
    <t>10:26:06</t>
  </si>
  <si>
    <t>MPF-9095-20230710-10_23_44</t>
  </si>
  <si>
    <t>DARK-9096-20230710-10_23_51</t>
  </si>
  <si>
    <t>10:25:34</t>
  </si>
  <si>
    <t>20230710 10:28:12</t>
  </si>
  <si>
    <t>10:28:12</t>
  </si>
  <si>
    <t>MPF-9097-20230710-10_25_49</t>
  </si>
  <si>
    <t>DARK-9098-20230710-10_25_56</t>
  </si>
  <si>
    <t>10:27:38</t>
  </si>
  <si>
    <t>20230710 10:31:21</t>
  </si>
  <si>
    <t>10:31:21</t>
  </si>
  <si>
    <t>MPF-9099-20230710-10_28_59</t>
  </si>
  <si>
    <t>DARK-9100-20230710-10_29_06</t>
  </si>
  <si>
    <t>10:29:35</t>
  </si>
  <si>
    <t>0/2</t>
  </si>
  <si>
    <t>20230710 10:33:12</t>
  </si>
  <si>
    <t>10:33:12</t>
  </si>
  <si>
    <t>MPF-9101-20230710-10_30_49</t>
  </si>
  <si>
    <t>DARK-9102-20230710-10_30_56</t>
  </si>
  <si>
    <t>10:32:40</t>
  </si>
  <si>
    <t>20230710 10:34:58</t>
  </si>
  <si>
    <t>10:34:58</t>
  </si>
  <si>
    <t>MPF-9103-20230710-10_32_36</t>
  </si>
  <si>
    <t>DARK-9104-20230710-10_32_43</t>
  </si>
  <si>
    <t>10:34:27</t>
  </si>
  <si>
    <t>20230710 10:36:55</t>
  </si>
  <si>
    <t>10:36:55</t>
  </si>
  <si>
    <t>MPF-9105-20230710-10_34_33</t>
  </si>
  <si>
    <t>DARK-9106-20230710-10_34_40</t>
  </si>
  <si>
    <t>10:36:24</t>
  </si>
  <si>
    <t>20230710 10:39:35</t>
  </si>
  <si>
    <t>10:39:35</t>
  </si>
  <si>
    <t>MPF-9107-20230710-10_37_13</t>
  </si>
  <si>
    <t>DARK-9108-20230710-10_37_20</t>
  </si>
  <si>
    <t>10:39:00</t>
  </si>
  <si>
    <t>20230710 10:41:50</t>
  </si>
  <si>
    <t>10:41:50</t>
  </si>
  <si>
    <t>MPF-9109-20230710-10_39_28</t>
  </si>
  <si>
    <t>DARK-9110-20230710-10_39_35</t>
  </si>
  <si>
    <t>10:41:14</t>
  </si>
  <si>
    <t>20230710 10:43:46</t>
  </si>
  <si>
    <t>10:43:46</t>
  </si>
  <si>
    <t>MPF-9111-20230710-10_41_23</t>
  </si>
  <si>
    <t>DARK-9112-20230710-10_41_31</t>
  </si>
  <si>
    <t>10:43:12</t>
  </si>
  <si>
    <t>20230710 10:45:41</t>
  </si>
  <si>
    <t>10:45:41</t>
  </si>
  <si>
    <t>MPF-9113-20230710-10_43_19</t>
  </si>
  <si>
    <t>DARK-9114-20230710-10_43_26</t>
  </si>
  <si>
    <t>10:45:09</t>
  </si>
  <si>
    <t>20230710 10:59:58</t>
  </si>
  <si>
    <t>10:59:58</t>
  </si>
  <si>
    <t>3</t>
  </si>
  <si>
    <t>zg5b</t>
  </si>
  <si>
    <t>MPF-9115-20230710-10_57_35</t>
  </si>
  <si>
    <t>DARK-9116-20230710-10_57_43</t>
  </si>
  <si>
    <t>10:59:20</t>
  </si>
  <si>
    <t>20230710 11:03:07</t>
  </si>
  <si>
    <t>11:03:07</t>
  </si>
  <si>
    <t>MPF-9117-20230710-11_00_45</t>
  </si>
  <si>
    <t>DARK-9118-20230710-11_00_52</t>
  </si>
  <si>
    <t>11:01:21</t>
  </si>
  <si>
    <t>20230710 11:05:21</t>
  </si>
  <si>
    <t>11:05:21</t>
  </si>
  <si>
    <t>MPF-9119-20230710-11_02_59</t>
  </si>
  <si>
    <t>DARK-9120-20230710-11_03_06</t>
  </si>
  <si>
    <t>11:04:49</t>
  </si>
  <si>
    <t>20230710 11:07:39</t>
  </si>
  <si>
    <t>11:07:39</t>
  </si>
  <si>
    <t>MPF-9121-20230710-11_05_17</t>
  </si>
  <si>
    <t>DARK-9122-20230710-11_05_24</t>
  </si>
  <si>
    <t>11:07:00</t>
  </si>
  <si>
    <t>20230710 11:09:36</t>
  </si>
  <si>
    <t>11:09:36</t>
  </si>
  <si>
    <t>MPF-9123-20230710-11_07_14</t>
  </si>
  <si>
    <t>DARK-9124-20230710-11_07_21</t>
  </si>
  <si>
    <t>11:09:03</t>
  </si>
  <si>
    <t>20230710 11:11:35</t>
  </si>
  <si>
    <t>11:11:35</t>
  </si>
  <si>
    <t>MPF-9125-20230710-11_09_13</t>
  </si>
  <si>
    <t>DARK-9126-20230710-11_09_20</t>
  </si>
  <si>
    <t>11:11:02</t>
  </si>
  <si>
    <t>20230710 11:13:43</t>
  </si>
  <si>
    <t>11:13:43</t>
  </si>
  <si>
    <t>MPF-9127-20230710-11_11_21</t>
  </si>
  <si>
    <t>DARK-9128-20230710-11_11_28</t>
  </si>
  <si>
    <t>11:13:09</t>
  </si>
  <si>
    <t>20230710 11:16:53</t>
  </si>
  <si>
    <t>11:16:53</t>
  </si>
  <si>
    <t>MPF-9129-20230710-11_14_30</t>
  </si>
  <si>
    <t>DARK-9130-20230710-11_14_38</t>
  </si>
  <si>
    <t>11:15:25</t>
  </si>
  <si>
    <t>20230710 11:18:32</t>
  </si>
  <si>
    <t>11:18:32</t>
  </si>
  <si>
    <t>MPF-9131-20230710-11_16_10</t>
  </si>
  <si>
    <t>DARK-9132-20230710-11_16_17</t>
  </si>
  <si>
    <t>11:19:00</t>
  </si>
  <si>
    <t>20230710 11:20:51</t>
  </si>
  <si>
    <t>11:20:51</t>
  </si>
  <si>
    <t>MPF-9133-20230710-11_18_29</t>
  </si>
  <si>
    <t>DARK-9134-20230710-11_18_36</t>
  </si>
  <si>
    <t>11:20:18</t>
  </si>
  <si>
    <t>20230710 11:22:54</t>
  </si>
  <si>
    <t>11:22:54</t>
  </si>
  <si>
    <t>MPF-9135-20230710-11_20_32</t>
  </si>
  <si>
    <t>DARK-9136-20230710-11_20_39</t>
  </si>
  <si>
    <t>11:22:21</t>
  </si>
  <si>
    <t>20230710 11:24:44</t>
  </si>
  <si>
    <t>11:24:44</t>
  </si>
  <si>
    <t>MPF-9137-20230710-11_22_21</t>
  </si>
  <si>
    <t>DARK-9138-20230710-11_22_29</t>
  </si>
  <si>
    <t>11:24:12</t>
  </si>
  <si>
    <t>20230710 11:26:38</t>
  </si>
  <si>
    <t>11:26:38</t>
  </si>
  <si>
    <t>MPF-9139-20230710-11_24_16</t>
  </si>
  <si>
    <t>DARK-9140-20230710-11_24_23</t>
  </si>
  <si>
    <t>11:26:05</t>
  </si>
  <si>
    <t>20230710 11:28:33</t>
  </si>
  <si>
    <t>11:28:33</t>
  </si>
  <si>
    <t>MPF-9141-20230710-11_26_11</t>
  </si>
  <si>
    <t>DARK-9142-20230710-11_26_18</t>
  </si>
  <si>
    <t>11:27:56</t>
  </si>
  <si>
    <t>20230710 11:31:17</t>
  </si>
  <si>
    <t>11:31:17</t>
  </si>
  <si>
    <t>MPF-9143-20230710-11_28_54</t>
  </si>
  <si>
    <t>DARK-9144-20230710-11_29_02</t>
  </si>
  <si>
    <t>11:30:43</t>
  </si>
  <si>
    <t>20230710 12:00:26</t>
  </si>
  <si>
    <t>12:00:26</t>
  </si>
  <si>
    <t>6</t>
  </si>
  <si>
    <t>wt</t>
  </si>
  <si>
    <t>MPF-9145-20230710-11_58_03</t>
  </si>
  <si>
    <t>DARK-9146-20230710-11_58_11</t>
  </si>
  <si>
    <t>11:59:43</t>
  </si>
  <si>
    <t>20230710 12:02:43</t>
  </si>
  <si>
    <t>12:02:43</t>
  </si>
  <si>
    <t>MPF-9147-20230710-12_00_20</t>
  </si>
  <si>
    <t>DARK-9148-20230710-12_00_28</t>
  </si>
  <si>
    <t>12:02:04</t>
  </si>
  <si>
    <t>20230710 12:04:45</t>
  </si>
  <si>
    <t>12:04:45</t>
  </si>
  <si>
    <t>MPF-9149-20230710-12_02_23</t>
  </si>
  <si>
    <t>DARK-9150-20230710-12_02_30</t>
  </si>
  <si>
    <t>12:04:09</t>
  </si>
  <si>
    <t>20230710 12:06:47</t>
  </si>
  <si>
    <t>12:06:47</t>
  </si>
  <si>
    <t>MPF-9151-20230710-12_04_24</t>
  </si>
  <si>
    <t>DARK-9152-20230710-12_04_32</t>
  </si>
  <si>
    <t>12:06:09</t>
  </si>
  <si>
    <t>20230710 12:08:54</t>
  </si>
  <si>
    <t>12:08:54</t>
  </si>
  <si>
    <t>MPF-9153-20230710-12_06_31</t>
  </si>
  <si>
    <t>DARK-9154-20230710-12_06_39</t>
  </si>
  <si>
    <t>12:08:19</t>
  </si>
  <si>
    <t>20230710 12:10:44</t>
  </si>
  <si>
    <t>12:10:44</t>
  </si>
  <si>
    <t>MPF-9155-20230710-12_08_21</t>
  </si>
  <si>
    <t>DARK-9156-20230710-12_08_29</t>
  </si>
  <si>
    <t>12:10:06</t>
  </si>
  <si>
    <t>20230710 12:12:36</t>
  </si>
  <si>
    <t>12:12:36</t>
  </si>
  <si>
    <t>MPF-9157-20230710-12_10_14</t>
  </si>
  <si>
    <t>DARK-9158-20230710-12_10_21</t>
  </si>
  <si>
    <t>12:12:02</t>
  </si>
  <si>
    <t>20230710 12:15:46</t>
  </si>
  <si>
    <t>12:15:46</t>
  </si>
  <si>
    <t>MPF-9159-20230710-12_13_23</t>
  </si>
  <si>
    <t>DARK-9160-20230710-12_13_31</t>
  </si>
  <si>
    <t>12:14:07</t>
  </si>
  <si>
    <t>20230710 12:17:44</t>
  </si>
  <si>
    <t>12:17:44</t>
  </si>
  <si>
    <t>MPF-9161-20230710-12_15_21</t>
  </si>
  <si>
    <t>DARK-9162-20230710-12_15_29</t>
  </si>
  <si>
    <t>12:17:14</t>
  </si>
  <si>
    <t>20230710 12:19:26</t>
  </si>
  <si>
    <t>12:19:26</t>
  </si>
  <si>
    <t>MPF-9163-20230710-12_17_04</t>
  </si>
  <si>
    <t>DARK-9164-20230710-12_17_11</t>
  </si>
  <si>
    <t>12:18:55</t>
  </si>
  <si>
    <t>20230710 12:21:26</t>
  </si>
  <si>
    <t>12:21:26</t>
  </si>
  <si>
    <t>MPF-9165-20230710-12_19_03</t>
  </si>
  <si>
    <t>DARK-9166-20230710-12_19_11</t>
  </si>
  <si>
    <t>12:20:55</t>
  </si>
  <si>
    <t>20230710 12:23:21</t>
  </si>
  <si>
    <t>12:23:21</t>
  </si>
  <si>
    <t>MPF-9167-20230710-12_20_59</t>
  </si>
  <si>
    <t>DARK-9168-20230710-12_21_06</t>
  </si>
  <si>
    <t>12:22:43</t>
  </si>
  <si>
    <t>20230710 12:25:06</t>
  </si>
  <si>
    <t>12:25:06</t>
  </si>
  <si>
    <t>MPF-9169-20230710-12_22_44</t>
  </si>
  <si>
    <t>DARK-9170-20230710-12_22_51</t>
  </si>
  <si>
    <t>12:24:35</t>
  </si>
  <si>
    <t>20230710 12:27:10</t>
  </si>
  <si>
    <t>12:27:10</t>
  </si>
  <si>
    <t>MPF-9171-20230710-12_24_48</t>
  </si>
  <si>
    <t>DARK-9172-20230710-12_24_55</t>
  </si>
  <si>
    <t>12:26:40</t>
  </si>
  <si>
    <t>20230710 12:28:57</t>
  </si>
  <si>
    <t>12:28:57</t>
  </si>
  <si>
    <t>MPF-9173-20230710-12_26_34</t>
  </si>
  <si>
    <t>DARK-9174-20230710-12_26_42</t>
  </si>
  <si>
    <t>12:28:27</t>
  </si>
  <si>
    <t>20230710 12:54:07</t>
  </si>
  <si>
    <t>12:54:07</t>
  </si>
  <si>
    <t>5</t>
  </si>
  <si>
    <t>MPF-9175-20230710-12_51_45</t>
  </si>
  <si>
    <t>DARK-9176-20230710-12_51_52</t>
  </si>
  <si>
    <t>12:53:32</t>
  </si>
  <si>
    <t>20230710 12:55:59</t>
  </si>
  <si>
    <t>12:55:59</t>
  </si>
  <si>
    <t>MPF-9177-20230710-12_53_36</t>
  </si>
  <si>
    <t>DARK-9178-20230710-12_53_44</t>
  </si>
  <si>
    <t>12:55:23</t>
  </si>
  <si>
    <t>20230710 12:58:06</t>
  </si>
  <si>
    <t>12:58:06</t>
  </si>
  <si>
    <t>MPF-9179-20230710-12_55_44</t>
  </si>
  <si>
    <t>DARK-9180-20230710-12_55_51</t>
  </si>
  <si>
    <t>12:57:21</t>
  </si>
  <si>
    <t>20230710 13:00:08</t>
  </si>
  <si>
    <t>13:00:08</t>
  </si>
  <si>
    <t>MPF-9181-20230710-12_57_46</t>
  </si>
  <si>
    <t>DARK-9182-20230710-12_57_53</t>
  </si>
  <si>
    <t>12:59:23</t>
  </si>
  <si>
    <t>20230710 13:02:07</t>
  </si>
  <si>
    <t>13:02:07</t>
  </si>
  <si>
    <t>MPF-9183-20230710-12_59_45</t>
  </si>
  <si>
    <t>DARK-9184-20230710-12_59_52</t>
  </si>
  <si>
    <t>13:01:29</t>
  </si>
  <si>
    <t>20230710 13:04:19</t>
  </si>
  <si>
    <t>13:04:19</t>
  </si>
  <si>
    <t>MPF-9185-20230710-13_01_57</t>
  </si>
  <si>
    <t>DARK-9186-20230710-13_02_04</t>
  </si>
  <si>
    <t>13:03:31</t>
  </si>
  <si>
    <t>20230710 13:06:15</t>
  </si>
  <si>
    <t>13:06:15</t>
  </si>
  <si>
    <t>MPF-9187-20230710-13_03_53</t>
  </si>
  <si>
    <t>DARK-9188-20230710-13_04_00</t>
  </si>
  <si>
    <t>13:05:30</t>
  </si>
  <si>
    <t>20230710 13:09:25</t>
  </si>
  <si>
    <t>13:09:25</t>
  </si>
  <si>
    <t>MPF-9189-20230710-13_07_02</t>
  </si>
  <si>
    <t>DARK-9190-20230710-13_07_10</t>
  </si>
  <si>
    <t>13:07:36</t>
  </si>
  <si>
    <t>20230710 13:11:10</t>
  </si>
  <si>
    <t>13:11:10</t>
  </si>
  <si>
    <t>MPF-9191-20230710-13_08_48</t>
  </si>
  <si>
    <t>DARK-9192-20230710-13_08_55</t>
  </si>
  <si>
    <t>13:10:37</t>
  </si>
  <si>
    <t>20230710 13:13:31</t>
  </si>
  <si>
    <t>13:13:31</t>
  </si>
  <si>
    <t>MPF-9193-20230710-13_11_09</t>
  </si>
  <si>
    <t>DARK-9194-20230710-13_11_16</t>
  </si>
  <si>
    <t>13:12:38</t>
  </si>
  <si>
    <t>20230710 13:15:27</t>
  </si>
  <si>
    <t>13:15:27</t>
  </si>
  <si>
    <t>MPF-9195-20230710-13_13_05</t>
  </si>
  <si>
    <t>DARK-9196-20230710-13_13_12</t>
  </si>
  <si>
    <t>13:14:50</t>
  </si>
  <si>
    <t>20230710 13:17:33</t>
  </si>
  <si>
    <t>13:17:33</t>
  </si>
  <si>
    <t>MPF-9197-20230710-13_15_11</t>
  </si>
  <si>
    <t>DARK-9198-20230710-13_15_18</t>
  </si>
  <si>
    <t>13:16:57</t>
  </si>
  <si>
    <t>20230710 13:19:34</t>
  </si>
  <si>
    <t>13:19:34</t>
  </si>
  <si>
    <t>MPF-9199-20230710-13_17_12</t>
  </si>
  <si>
    <t>DARK-9200-20230710-13_17_19</t>
  </si>
  <si>
    <t>13:18:58</t>
  </si>
  <si>
    <t>20230710 13:21:28</t>
  </si>
  <si>
    <t>13:21:28</t>
  </si>
  <si>
    <t>MPF-9201-20230710-13_19_06</t>
  </si>
  <si>
    <t>DARK-9202-20230710-13_19_13</t>
  </si>
  <si>
    <t>13:20:56</t>
  </si>
  <si>
    <t>20230710 13:23:38</t>
  </si>
  <si>
    <t>13:23:38</t>
  </si>
  <si>
    <t>MPF-9203-20230710-13_21_16</t>
  </si>
  <si>
    <t>DARK-9204-20230710-13_21_23</t>
  </si>
  <si>
    <t>13:23:02</t>
  </si>
  <si>
    <t>20230710 13:31:07</t>
  </si>
  <si>
    <t>13:31:07</t>
  </si>
  <si>
    <t>MPF-9205-20230710-13_28_45</t>
  </si>
  <si>
    <t>DARK-9206-20230710-13_28_52</t>
  </si>
  <si>
    <t>13:30:18</t>
  </si>
  <si>
    <t>20230710 13:32:46</t>
  </si>
  <si>
    <t>13:32:46</t>
  </si>
  <si>
    <t>MPF-9207-20230710-13_30_24</t>
  </si>
  <si>
    <t>DARK-9208-20230710-13_30_31</t>
  </si>
  <si>
    <t>13:33:19</t>
  </si>
  <si>
    <t>20230710 13:35:22</t>
  </si>
  <si>
    <t>13:35:22</t>
  </si>
  <si>
    <t>MPF-9209-20230710-13_33_00</t>
  </si>
  <si>
    <t>DARK-9210-20230710-13_33_07</t>
  </si>
  <si>
    <t>13:34:44</t>
  </si>
  <si>
    <t>20230710 13:37:24</t>
  </si>
  <si>
    <t>13:37:24</t>
  </si>
  <si>
    <t>MPF-9211-20230710-13_35_02</t>
  </si>
  <si>
    <t>DARK-9212-20230710-13_35_09</t>
  </si>
  <si>
    <t>13:36:44</t>
  </si>
  <si>
    <t>20230710 13:39:31</t>
  </si>
  <si>
    <t>13:39:31</t>
  </si>
  <si>
    <t>MPF-9213-20230710-13_37_09</t>
  </si>
  <si>
    <t>DARK-9214-20230710-13_37_16</t>
  </si>
  <si>
    <t>13:38:50</t>
  </si>
  <si>
    <t>20230710 13:41:50</t>
  </si>
  <si>
    <t>13:41:50</t>
  </si>
  <si>
    <t>MPF-9215-20230710-13_39_28</t>
  </si>
  <si>
    <t>DARK-9216-20230710-13_39_35</t>
  </si>
  <si>
    <t>13:41:10</t>
  </si>
  <si>
    <t>20230710 13:43:56</t>
  </si>
  <si>
    <t>13:43:56</t>
  </si>
  <si>
    <t>MPF-9217-20230710-13_41_34</t>
  </si>
  <si>
    <t>DARK-9218-20230710-13_41_41</t>
  </si>
  <si>
    <t>13:43:15</t>
  </si>
  <si>
    <t>20230710 13:47:06</t>
  </si>
  <si>
    <t>13:47:06</t>
  </si>
  <si>
    <t>MPF-9219-20230710-13_44_44</t>
  </si>
  <si>
    <t>DARK-9220-20230710-13_44_51</t>
  </si>
  <si>
    <t>13:45:16</t>
  </si>
  <si>
    <t>20230710 13:48:56</t>
  </si>
  <si>
    <t>13:48:56</t>
  </si>
  <si>
    <t>MPF-9221-20230710-13_46_34</t>
  </si>
  <si>
    <t>DARK-9222-20230710-13_46_41</t>
  </si>
  <si>
    <t>13:48:24</t>
  </si>
  <si>
    <t>20230710 13:50:46</t>
  </si>
  <si>
    <t>13:50:46</t>
  </si>
  <si>
    <t>MPF-9223-20230710-13_48_24</t>
  </si>
  <si>
    <t>DARK-9224-20230710-13_48_31</t>
  </si>
  <si>
    <t>13:50:06</t>
  </si>
  <si>
    <t>20230710 13:52:53</t>
  </si>
  <si>
    <t>13:52:53</t>
  </si>
  <si>
    <t>MPF-9225-20230710-13_50_31</t>
  </si>
  <si>
    <t>DARK-9226-20230710-13_50_38</t>
  </si>
  <si>
    <t>13:52:12</t>
  </si>
  <si>
    <t>20230710 13:55:03</t>
  </si>
  <si>
    <t>13:55:03</t>
  </si>
  <si>
    <t>MPF-9227-20230710-13_52_41</t>
  </si>
  <si>
    <t>DARK-9228-20230710-13_52_48</t>
  </si>
  <si>
    <t>13:54:24</t>
  </si>
  <si>
    <t>20230710 13:57:14</t>
  </si>
  <si>
    <t>13:57:14</t>
  </si>
  <si>
    <t>MPF-9229-20230710-13_54_52</t>
  </si>
  <si>
    <t>DARK-9230-20230710-13_54_59</t>
  </si>
  <si>
    <t>13:56:19</t>
  </si>
  <si>
    <t>20230710 13:59:22</t>
  </si>
  <si>
    <t>13:59:22</t>
  </si>
  <si>
    <t>MPF-9231-20230710-13_57_00</t>
  </si>
  <si>
    <t>DARK-9232-20230710-13_57_07</t>
  </si>
  <si>
    <t>13:58:41</t>
  </si>
  <si>
    <t>20230710 14:01:32</t>
  </si>
  <si>
    <t>14:01:32</t>
  </si>
  <si>
    <t>MPF-9233-20230710-13_59_10</t>
  </si>
  <si>
    <t>DARK-9234-20230710-13_59_17</t>
  </si>
  <si>
    <t>14:00:48</t>
  </si>
  <si>
    <t>20230710 14:29:27</t>
  </si>
  <si>
    <t>14:29:27</t>
  </si>
  <si>
    <t>MPF-9235-20230710-14_27_05</t>
  </si>
  <si>
    <t>DARK-9236-20230710-14_27_12</t>
  </si>
  <si>
    <t>14:28:47</t>
  </si>
  <si>
    <t>20230710 14:32:22</t>
  </si>
  <si>
    <t>14:32:22</t>
  </si>
  <si>
    <t>MPF-9237-20230710-14_30_00</t>
  </si>
  <si>
    <t>DARK-9238-20230710-14_30_08</t>
  </si>
  <si>
    <t>14:30:44</t>
  </si>
  <si>
    <t>20230710 14:34:54</t>
  </si>
  <si>
    <t>14:34:54</t>
  </si>
  <si>
    <t>MPF-9239-20230710-14_32_32</t>
  </si>
  <si>
    <t>DARK-9240-20230710-14_32_39</t>
  </si>
  <si>
    <t>14:34:17</t>
  </si>
  <si>
    <t>20230710 14:36:56</t>
  </si>
  <si>
    <t>14:36:56</t>
  </si>
  <si>
    <t>MPF-9241-20230710-14_34_34</t>
  </si>
  <si>
    <t>DARK-9242-20230710-14_34_41</t>
  </si>
  <si>
    <t>14:36:17</t>
  </si>
  <si>
    <t>20230710 14:39:02</t>
  </si>
  <si>
    <t>14:39:02</t>
  </si>
  <si>
    <t>MPF-9243-20230710-14_36_40</t>
  </si>
  <si>
    <t>DARK-9244-20230710-14_36_47</t>
  </si>
  <si>
    <t>14:38:23</t>
  </si>
  <si>
    <t>20230710 14:41:12</t>
  </si>
  <si>
    <t>14:41:12</t>
  </si>
  <si>
    <t>MPF-9245-20230710-14_38_50</t>
  </si>
  <si>
    <t>DARK-9246-20230710-14_38_57</t>
  </si>
  <si>
    <t>14:40:33</t>
  </si>
  <si>
    <t>20230710 14:43:17</t>
  </si>
  <si>
    <t>14:43:17</t>
  </si>
  <si>
    <t>MPF-9247-20230710-14_40_55</t>
  </si>
  <si>
    <t>DARK-9248-20230710-14_41_02</t>
  </si>
  <si>
    <t>14:42:36</t>
  </si>
  <si>
    <t>20230710 14:46:26</t>
  </si>
  <si>
    <t>14:46:26</t>
  </si>
  <si>
    <t>MPF-9249-20230710-14_44_04</t>
  </si>
  <si>
    <t>DARK-9250-20230710-14_44_12</t>
  </si>
  <si>
    <t>14:47:00</t>
  </si>
  <si>
    <t>20230710 14:49:22</t>
  </si>
  <si>
    <t>14:49:22</t>
  </si>
  <si>
    <t>MPF-9251-20230710-14_47_00</t>
  </si>
  <si>
    <t>DARK-9252-20230710-14_47_08</t>
  </si>
  <si>
    <t>14:48:40</t>
  </si>
  <si>
    <t>20230710 14:52:01</t>
  </si>
  <si>
    <t>14:52:01</t>
  </si>
  <si>
    <t>MPF-9253-20230710-14_49_39</t>
  </si>
  <si>
    <t>DARK-9254-20230710-14_49_47</t>
  </si>
  <si>
    <t>14:50:49</t>
  </si>
  <si>
    <t>20230710 14:54:50</t>
  </si>
  <si>
    <t>14:54:50</t>
  </si>
  <si>
    <t>MPF-9255-20230710-14_52_28</t>
  </si>
  <si>
    <t>DARK-9256-20230710-14_52_36</t>
  </si>
  <si>
    <t>14:53:56</t>
  </si>
  <si>
    <t>20230710 14:56:54</t>
  </si>
  <si>
    <t>14:56:54</t>
  </si>
  <si>
    <t>MPF-9257-20230710-14_54_32</t>
  </si>
  <si>
    <t>DARK-9258-20230710-14_54_39</t>
  </si>
  <si>
    <t>14:56:14</t>
  </si>
  <si>
    <t>20230710 14:59:12</t>
  </si>
  <si>
    <t>14:59:12</t>
  </si>
  <si>
    <t>MPF-9259-20230710-14_56_50</t>
  </si>
  <si>
    <t>DARK-9260-20230710-14_56_58</t>
  </si>
  <si>
    <t>14:58:30</t>
  </si>
  <si>
    <t>20230710 15:01:25</t>
  </si>
  <si>
    <t>15:01:25</t>
  </si>
  <si>
    <t>MPF-9261-20230710-14_59_03</t>
  </si>
  <si>
    <t>DARK-9262-20230710-14_59_10</t>
  </si>
  <si>
    <t>15:00:43</t>
  </si>
  <si>
    <t>20230710 15:03:36</t>
  </si>
  <si>
    <t>15:03:36</t>
  </si>
  <si>
    <t>MPF-9263-20230710-15_01_14</t>
  </si>
  <si>
    <t>DARK-9264-20230710-15_01_22</t>
  </si>
  <si>
    <t>15:02:51</t>
  </si>
  <si>
    <t>20230710 15:23:01</t>
  </si>
  <si>
    <t>15:23:01</t>
  </si>
  <si>
    <t>MPF-9265-20230710-15_20_39</t>
  </si>
  <si>
    <t>DARK-9266-20230710-15_20_47</t>
  </si>
  <si>
    <t>15:22:19</t>
  </si>
  <si>
    <t>20230710 15:25:01</t>
  </si>
  <si>
    <t>15:25:01</t>
  </si>
  <si>
    <t>MPF-9267-20230710-15_22_39</t>
  </si>
  <si>
    <t>DARK-9268-20230710-15_22_47</t>
  </si>
  <si>
    <t>15:24:21</t>
  </si>
  <si>
    <t>20230710 15:26:57</t>
  </si>
  <si>
    <t>15:26:57</t>
  </si>
  <si>
    <t>MPF-9269-20230710-15_24_35</t>
  </si>
  <si>
    <t>DARK-9270-20230710-15_24_42</t>
  </si>
  <si>
    <t>15:26:26</t>
  </si>
  <si>
    <t>20230710 15:28:36</t>
  </si>
  <si>
    <t>15:28:36</t>
  </si>
  <si>
    <t>MPF-9271-20230710-15_26_14</t>
  </si>
  <si>
    <t>DARK-9272-20230710-15_26_22</t>
  </si>
  <si>
    <t>15:29:07</t>
  </si>
  <si>
    <t>20230710 15:31:45</t>
  </si>
  <si>
    <t>15:31:45</t>
  </si>
  <si>
    <t>MPF-9273-20230710-15_29_23</t>
  </si>
  <si>
    <t>DARK-9274-20230710-15_29_31</t>
  </si>
  <si>
    <t>15:30:32</t>
  </si>
  <si>
    <t>20230710 15:33:25</t>
  </si>
  <si>
    <t>15:33:25</t>
  </si>
  <si>
    <t>MPF-9275-20230710-15_31_03</t>
  </si>
  <si>
    <t>DARK-9276-20230710-15_31_10</t>
  </si>
  <si>
    <t>15:33:56</t>
  </si>
  <si>
    <t>20230710 15:36:20</t>
  </si>
  <si>
    <t>15:36:20</t>
  </si>
  <si>
    <t>MPF-9277-20230710-15_33_58</t>
  </si>
  <si>
    <t>DARK-9278-20230710-15_34_06</t>
  </si>
  <si>
    <t>15:35:28</t>
  </si>
  <si>
    <t>20230710 15:39:30</t>
  </si>
  <si>
    <t>15:39:30</t>
  </si>
  <si>
    <t>MPF-9279-20230710-15_37_08</t>
  </si>
  <si>
    <t>DARK-9280-20230710-15_37_15</t>
  </si>
  <si>
    <t>15:37:44</t>
  </si>
  <si>
    <t>20230710 15:41:42</t>
  </si>
  <si>
    <t>15:41:42</t>
  </si>
  <si>
    <t>MPF-9281-20230710-15_39_20</t>
  </si>
  <si>
    <t>DARK-9282-20230710-15_39_28</t>
  </si>
  <si>
    <t>15:41:03</t>
  </si>
  <si>
    <t>20230710 15:43:40</t>
  </si>
  <si>
    <t>15:43:40</t>
  </si>
  <si>
    <t>MPF-9283-20230710-15_41_18</t>
  </si>
  <si>
    <t>DARK-9284-20230710-15_41_25</t>
  </si>
  <si>
    <t>15:42:57</t>
  </si>
  <si>
    <t>20230710 15:46:08</t>
  </si>
  <si>
    <t>15:46:08</t>
  </si>
  <si>
    <t>MPF-9285-20230710-15_43_46</t>
  </si>
  <si>
    <t>DARK-9286-20230710-15_43_54</t>
  </si>
  <si>
    <t>15:45:28</t>
  </si>
  <si>
    <t>20230710 15:49:01</t>
  </si>
  <si>
    <t>15:49:01</t>
  </si>
  <si>
    <t>MPF-9287-20230710-15_46_39</t>
  </si>
  <si>
    <t>DARK-9288-20230710-15_46_47</t>
  </si>
  <si>
    <t>15:48:14</t>
  </si>
  <si>
    <t>20230710 15:51:16</t>
  </si>
  <si>
    <t>15:51:16</t>
  </si>
  <si>
    <t>MPF-9289-20230710-15_48_54</t>
  </si>
  <si>
    <t>DARK-9290-20230710-15_49_02</t>
  </si>
  <si>
    <t>15:50:30</t>
  </si>
  <si>
    <t>20230710 15:53:20</t>
  </si>
  <si>
    <t>15:53:20</t>
  </si>
  <si>
    <t>MPF-9291-20230710-15_50_58</t>
  </si>
  <si>
    <t>DARK-9292-20230710-15_51_06</t>
  </si>
  <si>
    <t>15:52:39</t>
  </si>
  <si>
    <t>20230710 15:55:37</t>
  </si>
  <si>
    <t>15:55:37</t>
  </si>
  <si>
    <t>MPF-9293-20230710-15_53_15</t>
  </si>
  <si>
    <t>DARK-9294-20230710-15_53_22</t>
  </si>
  <si>
    <t>15:54:50</t>
  </si>
  <si>
    <t>20230710 16:23:40</t>
  </si>
  <si>
    <t>16:23:40</t>
  </si>
  <si>
    <t>MPF-9295-20230710-16_21_18</t>
  </si>
  <si>
    <t>DARK-9296-20230710-16_21_26</t>
  </si>
  <si>
    <t>16:23:06</t>
  </si>
  <si>
    <t>20230710 16:26:14</t>
  </si>
  <si>
    <t>16:26:14</t>
  </si>
  <si>
    <t>MPF-9297-20230710-16_23_52</t>
  </si>
  <si>
    <t>DARK-9298-20230710-16_23_59</t>
  </si>
  <si>
    <t>16:24:55</t>
  </si>
  <si>
    <t>20230710 16:28:24</t>
  </si>
  <si>
    <t>16:28:24</t>
  </si>
  <si>
    <t>MPF-9299-20230710-16_26_02</t>
  </si>
  <si>
    <t>DARK-9300-20230710-16_26_09</t>
  </si>
  <si>
    <t>16:27:47</t>
  </si>
  <si>
    <t>20230710 16:30:32</t>
  </si>
  <si>
    <t>16:30:32</t>
  </si>
  <si>
    <t>MPF-9301-20230710-16_28_10</t>
  </si>
  <si>
    <t>DARK-9302-20230710-16_28_18</t>
  </si>
  <si>
    <t>16:29:59</t>
  </si>
  <si>
    <t>20230710 16:32:23</t>
  </si>
  <si>
    <t>16:32:23</t>
  </si>
  <si>
    <t>MPF-9303-20230710-16_30_01</t>
  </si>
  <si>
    <t>DARK-9304-20230710-16_30_09</t>
  </si>
  <si>
    <t>16:31:48</t>
  </si>
  <si>
    <t>20230710 16:34:28</t>
  </si>
  <si>
    <t>16:34:28</t>
  </si>
  <si>
    <t>MPF-9305-20230710-16_32_06</t>
  </si>
  <si>
    <t>DARK-9306-20230710-16_32_13</t>
  </si>
  <si>
    <t>16:33:51</t>
  </si>
  <si>
    <t>20230710 16:36:25</t>
  </si>
  <si>
    <t>16:36:25</t>
  </si>
  <si>
    <t>MPF-9307-20230710-16_34_03</t>
  </si>
  <si>
    <t>DARK-9308-20230710-16_34_10</t>
  </si>
  <si>
    <t>16:35:37</t>
  </si>
  <si>
    <t>20230710 16:39:34</t>
  </si>
  <si>
    <t>16:39:34</t>
  </si>
  <si>
    <t>MPF-9309-20230710-16_37_12</t>
  </si>
  <si>
    <t>DARK-9310-20230710-16_37_20</t>
  </si>
  <si>
    <t>16:37:56</t>
  </si>
  <si>
    <t>20230710 16:41:49</t>
  </si>
  <si>
    <t>16:41:49</t>
  </si>
  <si>
    <t>MPF-9311-20230710-16_39_27</t>
  </si>
  <si>
    <t>DARK-9312-20230710-16_39_34</t>
  </si>
  <si>
    <t>16:40:41</t>
  </si>
  <si>
    <t>20230710 16:43:35</t>
  </si>
  <si>
    <t>16:43:35</t>
  </si>
  <si>
    <t>MPF-9313-20230710-16_41_14</t>
  </si>
  <si>
    <t>DARK-9314-20230710-16_41_21</t>
  </si>
  <si>
    <t>16:43:00</t>
  </si>
  <si>
    <t>20230710 16:46:24</t>
  </si>
  <si>
    <t>16:46:24</t>
  </si>
  <si>
    <t>MPF-9315-20230710-16_44_02</t>
  </si>
  <si>
    <t>DARK-9316-20230710-16_44_10</t>
  </si>
  <si>
    <t>16:45:42</t>
  </si>
  <si>
    <t>20230710 16:49:20</t>
  </si>
  <si>
    <t>16:49:20</t>
  </si>
  <si>
    <t>MPF-9317-20230710-16_46_58</t>
  </si>
  <si>
    <t>DARK-9318-20230710-16_47_05</t>
  </si>
  <si>
    <t>16:48:40</t>
  </si>
  <si>
    <t>20230710 16:51:32</t>
  </si>
  <si>
    <t>16:51:32</t>
  </si>
  <si>
    <t>MPF-9319-20230710-16_49_10</t>
  </si>
  <si>
    <t>DARK-9320-20230710-16_49_17</t>
  </si>
  <si>
    <t>16:50:55</t>
  </si>
  <si>
    <t>20230710 16:53:44</t>
  </si>
  <si>
    <t>16:53:44</t>
  </si>
  <si>
    <t>MPF-9321-20230710-16_51_22</t>
  </si>
  <si>
    <t>DARK-9322-20230710-16_51_29</t>
  </si>
  <si>
    <t>16:53:07</t>
  </si>
  <si>
    <t>20230710 16:55:57</t>
  </si>
  <si>
    <t>16:55:57</t>
  </si>
  <si>
    <t>MPF-9323-20230710-16_53_35</t>
  </si>
  <si>
    <t>DARK-9324-20230710-16_53_42</t>
  </si>
  <si>
    <t>16:55:15</t>
  </si>
  <si>
    <t>20230710 17:06:56</t>
  </si>
  <si>
    <t>17:06:56</t>
  </si>
  <si>
    <t>MPF-9325-20230710-17_04_35</t>
  </si>
  <si>
    <t>DARK-9326-20230710-17_04_42</t>
  </si>
  <si>
    <t>17:06:15</t>
  </si>
  <si>
    <t>20230710 17:09:24</t>
  </si>
  <si>
    <t>17:09:24</t>
  </si>
  <si>
    <t>MPF-9327-20230710-17_07_02</t>
  </si>
  <si>
    <t>DARK-9328-20230710-17_07_10</t>
  </si>
  <si>
    <t>17:08:46</t>
  </si>
  <si>
    <t>20230710 17:12:00</t>
  </si>
  <si>
    <t>17:12:00</t>
  </si>
  <si>
    <t>MPF-9329-20230710-17_09_39</t>
  </si>
  <si>
    <t>DARK-9330-20230710-17_09_46</t>
  </si>
  <si>
    <t>17:10:48</t>
  </si>
  <si>
    <t>20230710 17:14:19</t>
  </si>
  <si>
    <t>17:14:19</t>
  </si>
  <si>
    <t>MPF-9331-20230710-17_11_57</t>
  </si>
  <si>
    <t>DARK-9332-20230710-17_12_04</t>
  </si>
  <si>
    <t>17:13:20</t>
  </si>
  <si>
    <t>20230710 17:16:09</t>
  </si>
  <si>
    <t>17:16:09</t>
  </si>
  <si>
    <t>MPF-9333-20230710-17_13_48</t>
  </si>
  <si>
    <t>DARK-9334-20230710-17_13_55</t>
  </si>
  <si>
    <t>17:15:35</t>
  </si>
  <si>
    <t>20230710 17:18:47</t>
  </si>
  <si>
    <t>17:18:47</t>
  </si>
  <si>
    <t>MPF-9335-20230710-17_16_26</t>
  </si>
  <si>
    <t>DARK-9336-20230710-17_16_33</t>
  </si>
  <si>
    <t>17:18:05</t>
  </si>
  <si>
    <t>20230710 17:20:30</t>
  </si>
  <si>
    <t>17:20:30</t>
  </si>
  <si>
    <t>MPF-9337-20230710-17_18_08</t>
  </si>
  <si>
    <t>DARK-9338-20230710-17_18_15</t>
  </si>
  <si>
    <t>17:19:55</t>
  </si>
  <si>
    <t>20230710 17:23:03</t>
  </si>
  <si>
    <t>17:23:03</t>
  </si>
  <si>
    <t>MPF-9339-20230710-17_20_41</t>
  </si>
  <si>
    <t>DARK-9340-20230710-17_20_48</t>
  </si>
  <si>
    <t>17:21:48</t>
  </si>
  <si>
    <t>20230710 17:25:56</t>
  </si>
  <si>
    <t>17:25:56</t>
  </si>
  <si>
    <t>MPF-9341-20230710-17_23_34</t>
  </si>
  <si>
    <t>DARK-9342-20230710-17_23_41</t>
  </si>
  <si>
    <t>17:24:19</t>
  </si>
  <si>
    <t>20230710 17:27:40</t>
  </si>
  <si>
    <t>17:27:40</t>
  </si>
  <si>
    <t>MPF-9343-20230710-17_25_19</t>
  </si>
  <si>
    <t>DARK-9344-20230710-17_25_26</t>
  </si>
  <si>
    <t>17:27:08</t>
  </si>
  <si>
    <t>20230710 17:29:46</t>
  </si>
  <si>
    <t>17:29:46</t>
  </si>
  <si>
    <t>MPF-9345-20230710-17_27_25</t>
  </si>
  <si>
    <t>DARK-9346-20230710-17_27_32</t>
  </si>
  <si>
    <t>17:29:10</t>
  </si>
  <si>
    <t>20230710 17:31:37</t>
  </si>
  <si>
    <t>17:31:37</t>
  </si>
  <si>
    <t>MPF-9347-20230710-17_29_15</t>
  </si>
  <si>
    <t>DARK-9348-20230710-17_29_22</t>
  </si>
  <si>
    <t>17:31:04</t>
  </si>
  <si>
    <t>20230710 17:33:30</t>
  </si>
  <si>
    <t>17:33:30</t>
  </si>
  <si>
    <t>MPF-9349-20230710-17_31_09</t>
  </si>
  <si>
    <t>DARK-9350-20230710-17_31_16</t>
  </si>
  <si>
    <t>17:32:54</t>
  </si>
  <si>
    <t>20230710 17:36:20</t>
  </si>
  <si>
    <t>17:36:20</t>
  </si>
  <si>
    <t>MPF-9351-20230710-17_33_58</t>
  </si>
  <si>
    <t>DARK-9352-20230710-17_34_05</t>
  </si>
  <si>
    <t>17:35:47</t>
  </si>
  <si>
    <t>20230710 17:38:07</t>
  </si>
  <si>
    <t>17:38:07</t>
  </si>
  <si>
    <t>MPF-9353-20230710-17_35_45</t>
  </si>
  <si>
    <t>DARK-9354-20230710-17_35_52</t>
  </si>
  <si>
    <t>17:38:38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</si>
</sst>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V166"/>
  <sheetViews>
    <sheetView tabSelected="1" topLeftCell="A129" workbookViewId="0"/>
  </sheetViews>
  <sheetFormatPr defaultRowHeight="15" x14ac:dyDescent="0.25"/>
  <sheetData>
    <row r="2" spans="1:282" x14ac:dyDescent="0.25">
      <c r="A2" t="s">
        <v>29</v>
      </c>
      <c r="B2" t="s">
        <v>30</v>
      </c>
      <c r="C2" t="s">
        <v>32</v>
      </c>
    </row>
    <row r="3" spans="1:282" x14ac:dyDescent="0.25">
      <c r="B3" t="s">
        <v>31</v>
      </c>
      <c r="C3">
        <v>21</v>
      </c>
    </row>
    <row r="4" spans="1:282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2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2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2" x14ac:dyDescent="0.25">
      <c r="B7">
        <v>0</v>
      </c>
      <c r="C7">
        <v>1</v>
      </c>
      <c r="D7">
        <v>0</v>
      </c>
      <c r="E7">
        <v>0</v>
      </c>
    </row>
    <row r="8" spans="1:282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2" x14ac:dyDescent="0.25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2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2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2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2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2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86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87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90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91</v>
      </c>
      <c r="CX14" t="s">
        <v>92</v>
      </c>
      <c r="CY14" t="s">
        <v>92</v>
      </c>
      <c r="CZ14" t="s">
        <v>92</v>
      </c>
      <c r="DA14" t="s">
        <v>92</v>
      </c>
      <c r="DB14" t="s">
        <v>93</v>
      </c>
      <c r="DC14" t="s">
        <v>93</v>
      </c>
      <c r="DD14" t="s">
        <v>93</v>
      </c>
      <c r="DE14" t="s">
        <v>93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97</v>
      </c>
      <c r="FA14" t="s">
        <v>97</v>
      </c>
      <c r="FB14" t="s">
        <v>97</v>
      </c>
      <c r="FC14" t="s">
        <v>97</v>
      </c>
      <c r="FD14" t="s">
        <v>97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100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101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102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103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104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  <c r="JV14" t="s">
        <v>105</v>
      </c>
    </row>
    <row r="15" spans="1:282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88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192</v>
      </c>
      <c r="CK15" t="s">
        <v>172</v>
      </c>
      <c r="CL15" t="s">
        <v>193</v>
      </c>
      <c r="CM15" t="s">
        <v>194</v>
      </c>
      <c r="CN15" t="s">
        <v>195</v>
      </c>
      <c r="CO15" t="s">
        <v>146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211</v>
      </c>
      <c r="DF15" t="s">
        <v>116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107</v>
      </c>
      <c r="FF15" t="s">
        <v>110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  <c r="JV15" t="s">
        <v>381</v>
      </c>
    </row>
    <row r="16" spans="1:282" x14ac:dyDescent="0.25">
      <c r="B16" t="s">
        <v>382</v>
      </c>
      <c r="C16" t="s">
        <v>382</v>
      </c>
      <c r="F16" t="s">
        <v>382</v>
      </c>
      <c r="K16" t="s">
        <v>382</v>
      </c>
      <c r="L16" t="s">
        <v>383</v>
      </c>
      <c r="M16" t="s">
        <v>384</v>
      </c>
      <c r="N16" t="s">
        <v>385</v>
      </c>
      <c r="O16" t="s">
        <v>386</v>
      </c>
      <c r="P16" t="s">
        <v>386</v>
      </c>
      <c r="Q16" t="s">
        <v>219</v>
      </c>
      <c r="R16" t="s">
        <v>219</v>
      </c>
      <c r="S16" t="s">
        <v>383</v>
      </c>
      <c r="T16" t="s">
        <v>383</v>
      </c>
      <c r="U16" t="s">
        <v>383</v>
      </c>
      <c r="V16" t="s">
        <v>383</v>
      </c>
      <c r="W16" t="s">
        <v>387</v>
      </c>
      <c r="X16" t="s">
        <v>388</v>
      </c>
      <c r="Y16" t="s">
        <v>388</v>
      </c>
      <c r="Z16" t="s">
        <v>389</v>
      </c>
      <c r="AA16" t="s">
        <v>390</v>
      </c>
      <c r="AB16" t="s">
        <v>389</v>
      </c>
      <c r="AC16" t="s">
        <v>389</v>
      </c>
      <c r="AD16" t="s">
        <v>389</v>
      </c>
      <c r="AE16" t="s">
        <v>387</v>
      </c>
      <c r="AF16" t="s">
        <v>387</v>
      </c>
      <c r="AG16" t="s">
        <v>387</v>
      </c>
      <c r="AH16" t="s">
        <v>387</v>
      </c>
      <c r="AI16" t="s">
        <v>391</v>
      </c>
      <c r="AJ16" t="s">
        <v>390</v>
      </c>
      <c r="AL16" t="s">
        <v>390</v>
      </c>
      <c r="AM16" t="s">
        <v>391</v>
      </c>
      <c r="AS16" t="s">
        <v>385</v>
      </c>
      <c r="AZ16" t="s">
        <v>385</v>
      </c>
      <c r="BA16" t="s">
        <v>385</v>
      </c>
      <c r="BB16" t="s">
        <v>385</v>
      </c>
      <c r="BC16" t="s">
        <v>392</v>
      </c>
      <c r="BQ16" t="s">
        <v>393</v>
      </c>
      <c r="BS16" t="s">
        <v>393</v>
      </c>
      <c r="BT16" t="s">
        <v>385</v>
      </c>
      <c r="BW16" t="s">
        <v>393</v>
      </c>
      <c r="BX16" t="s">
        <v>390</v>
      </c>
      <c r="CA16" t="s">
        <v>394</v>
      </c>
      <c r="CB16" t="s">
        <v>394</v>
      </c>
      <c r="CD16" t="s">
        <v>395</v>
      </c>
      <c r="CE16" t="s">
        <v>393</v>
      </c>
      <c r="CG16" t="s">
        <v>393</v>
      </c>
      <c r="CH16" t="s">
        <v>385</v>
      </c>
      <c r="CL16" t="s">
        <v>393</v>
      </c>
      <c r="CN16" t="s">
        <v>396</v>
      </c>
      <c r="CQ16" t="s">
        <v>393</v>
      </c>
      <c r="CR16" t="s">
        <v>393</v>
      </c>
      <c r="CT16" t="s">
        <v>393</v>
      </c>
      <c r="CV16" t="s">
        <v>393</v>
      </c>
      <c r="CX16" t="s">
        <v>385</v>
      </c>
      <c r="CY16" t="s">
        <v>385</v>
      </c>
      <c r="DA16" t="s">
        <v>397</v>
      </c>
      <c r="DB16" t="s">
        <v>398</v>
      </c>
      <c r="DE16" t="s">
        <v>383</v>
      </c>
      <c r="DF16" t="s">
        <v>382</v>
      </c>
      <c r="DG16" t="s">
        <v>386</v>
      </c>
      <c r="DH16" t="s">
        <v>386</v>
      </c>
      <c r="DI16" t="s">
        <v>399</v>
      </c>
      <c r="DJ16" t="s">
        <v>399</v>
      </c>
      <c r="DK16" t="s">
        <v>386</v>
      </c>
      <c r="DL16" t="s">
        <v>399</v>
      </c>
      <c r="DM16" t="s">
        <v>391</v>
      </c>
      <c r="DN16" t="s">
        <v>389</v>
      </c>
      <c r="DO16" t="s">
        <v>389</v>
      </c>
      <c r="DP16" t="s">
        <v>388</v>
      </c>
      <c r="DQ16" t="s">
        <v>388</v>
      </c>
      <c r="DR16" t="s">
        <v>388</v>
      </c>
      <c r="DS16" t="s">
        <v>388</v>
      </c>
      <c r="DT16" t="s">
        <v>388</v>
      </c>
      <c r="DU16" t="s">
        <v>400</v>
      </c>
      <c r="DV16" t="s">
        <v>385</v>
      </c>
      <c r="DW16" t="s">
        <v>385</v>
      </c>
      <c r="DX16" t="s">
        <v>386</v>
      </c>
      <c r="DY16" t="s">
        <v>386</v>
      </c>
      <c r="DZ16" t="s">
        <v>386</v>
      </c>
      <c r="EA16" t="s">
        <v>399</v>
      </c>
      <c r="EB16" t="s">
        <v>386</v>
      </c>
      <c r="EC16" t="s">
        <v>399</v>
      </c>
      <c r="ED16" t="s">
        <v>389</v>
      </c>
      <c r="EE16" t="s">
        <v>389</v>
      </c>
      <c r="EF16" t="s">
        <v>388</v>
      </c>
      <c r="EG16" t="s">
        <v>388</v>
      </c>
      <c r="EH16" t="s">
        <v>385</v>
      </c>
      <c r="EM16" t="s">
        <v>385</v>
      </c>
      <c r="EP16" t="s">
        <v>388</v>
      </c>
      <c r="EQ16" t="s">
        <v>388</v>
      </c>
      <c r="ER16" t="s">
        <v>388</v>
      </c>
      <c r="ES16" t="s">
        <v>388</v>
      </c>
      <c r="ET16" t="s">
        <v>388</v>
      </c>
      <c r="EU16" t="s">
        <v>385</v>
      </c>
      <c r="EV16" t="s">
        <v>385</v>
      </c>
      <c r="EW16" t="s">
        <v>385</v>
      </c>
      <c r="EX16" t="s">
        <v>382</v>
      </c>
      <c r="FA16" t="s">
        <v>401</v>
      </c>
      <c r="FB16" t="s">
        <v>401</v>
      </c>
      <c r="FD16" t="s">
        <v>382</v>
      </c>
      <c r="FE16" t="s">
        <v>402</v>
      </c>
      <c r="FG16" t="s">
        <v>382</v>
      </c>
      <c r="FH16" t="s">
        <v>382</v>
      </c>
      <c r="FJ16" t="s">
        <v>403</v>
      </c>
      <c r="FK16" t="s">
        <v>404</v>
      </c>
      <c r="FL16" t="s">
        <v>403</v>
      </c>
      <c r="FM16" t="s">
        <v>404</v>
      </c>
      <c r="FN16" t="s">
        <v>403</v>
      </c>
      <c r="FO16" t="s">
        <v>404</v>
      </c>
      <c r="FP16" t="s">
        <v>390</v>
      </c>
      <c r="FQ16" t="s">
        <v>390</v>
      </c>
      <c r="FR16" t="s">
        <v>385</v>
      </c>
      <c r="FS16" t="s">
        <v>405</v>
      </c>
      <c r="FT16" t="s">
        <v>385</v>
      </c>
      <c r="FV16" t="s">
        <v>383</v>
      </c>
      <c r="FW16" t="s">
        <v>406</v>
      </c>
      <c r="FX16" t="s">
        <v>383</v>
      </c>
      <c r="GC16" t="s">
        <v>407</v>
      </c>
      <c r="GD16" t="s">
        <v>407</v>
      </c>
      <c r="GQ16" t="s">
        <v>407</v>
      </c>
      <c r="GR16" t="s">
        <v>407</v>
      </c>
      <c r="GS16" t="s">
        <v>408</v>
      </c>
      <c r="GT16" t="s">
        <v>408</v>
      </c>
      <c r="GU16" t="s">
        <v>388</v>
      </c>
      <c r="GV16" t="s">
        <v>388</v>
      </c>
      <c r="GW16" t="s">
        <v>390</v>
      </c>
      <c r="GX16" t="s">
        <v>388</v>
      </c>
      <c r="GY16" t="s">
        <v>399</v>
      </c>
      <c r="GZ16" t="s">
        <v>390</v>
      </c>
      <c r="HA16" t="s">
        <v>390</v>
      </c>
      <c r="HC16" t="s">
        <v>407</v>
      </c>
      <c r="HD16" t="s">
        <v>407</v>
      </c>
      <c r="HE16" t="s">
        <v>407</v>
      </c>
      <c r="HF16" t="s">
        <v>407</v>
      </c>
      <c r="HG16" t="s">
        <v>407</v>
      </c>
      <c r="HH16" t="s">
        <v>407</v>
      </c>
      <c r="HI16" t="s">
        <v>407</v>
      </c>
      <c r="HJ16" t="s">
        <v>409</v>
      </c>
      <c r="HK16" t="s">
        <v>409</v>
      </c>
      <c r="HL16" t="s">
        <v>409</v>
      </c>
      <c r="HM16" t="s">
        <v>410</v>
      </c>
      <c r="HN16" t="s">
        <v>407</v>
      </c>
      <c r="HO16" t="s">
        <v>407</v>
      </c>
      <c r="HP16" t="s">
        <v>407</v>
      </c>
      <c r="HQ16" t="s">
        <v>407</v>
      </c>
      <c r="HR16" t="s">
        <v>407</v>
      </c>
      <c r="HS16" t="s">
        <v>407</v>
      </c>
      <c r="HT16" t="s">
        <v>407</v>
      </c>
      <c r="HU16" t="s">
        <v>407</v>
      </c>
      <c r="HV16" t="s">
        <v>407</v>
      </c>
      <c r="HW16" t="s">
        <v>407</v>
      </c>
      <c r="HX16" t="s">
        <v>407</v>
      </c>
      <c r="HY16" t="s">
        <v>407</v>
      </c>
      <c r="IF16" t="s">
        <v>407</v>
      </c>
      <c r="IG16" t="s">
        <v>390</v>
      </c>
      <c r="IH16" t="s">
        <v>390</v>
      </c>
      <c r="II16" t="s">
        <v>403</v>
      </c>
      <c r="IJ16" t="s">
        <v>404</v>
      </c>
      <c r="IK16" t="s">
        <v>404</v>
      </c>
      <c r="IO16" t="s">
        <v>404</v>
      </c>
      <c r="IS16" t="s">
        <v>386</v>
      </c>
      <c r="IT16" t="s">
        <v>386</v>
      </c>
      <c r="IU16" t="s">
        <v>399</v>
      </c>
      <c r="IV16" t="s">
        <v>399</v>
      </c>
      <c r="IW16" t="s">
        <v>411</v>
      </c>
      <c r="IX16" t="s">
        <v>411</v>
      </c>
      <c r="IY16" t="s">
        <v>407</v>
      </c>
      <c r="IZ16" t="s">
        <v>407</v>
      </c>
      <c r="JA16" t="s">
        <v>407</v>
      </c>
      <c r="JB16" t="s">
        <v>407</v>
      </c>
      <c r="JC16" t="s">
        <v>407</v>
      </c>
      <c r="JD16" t="s">
        <v>407</v>
      </c>
      <c r="JE16" t="s">
        <v>388</v>
      </c>
      <c r="JF16" t="s">
        <v>407</v>
      </c>
      <c r="JH16" t="s">
        <v>391</v>
      </c>
      <c r="JI16" t="s">
        <v>391</v>
      </c>
      <c r="JJ16" t="s">
        <v>388</v>
      </c>
      <c r="JK16" t="s">
        <v>388</v>
      </c>
      <c r="JL16" t="s">
        <v>388</v>
      </c>
      <c r="JM16" t="s">
        <v>388</v>
      </c>
      <c r="JN16" t="s">
        <v>388</v>
      </c>
      <c r="JO16" t="s">
        <v>390</v>
      </c>
      <c r="JP16" t="s">
        <v>390</v>
      </c>
      <c r="JQ16" t="s">
        <v>390</v>
      </c>
      <c r="JR16" t="s">
        <v>388</v>
      </c>
      <c r="JS16" t="s">
        <v>386</v>
      </c>
      <c r="JT16" t="s">
        <v>399</v>
      </c>
      <c r="JU16" t="s">
        <v>390</v>
      </c>
      <c r="JV16" t="s">
        <v>390</v>
      </c>
    </row>
    <row r="17" spans="1:282" x14ac:dyDescent="0.25">
      <c r="A17">
        <v>1</v>
      </c>
      <c r="B17">
        <v>1688999177</v>
      </c>
      <c r="C17">
        <v>0</v>
      </c>
      <c r="D17" t="s">
        <v>412</v>
      </c>
      <c r="E17" t="s">
        <v>413</v>
      </c>
      <c r="F17" t="s">
        <v>414</v>
      </c>
      <c r="G17" t="s">
        <v>415</v>
      </c>
      <c r="H17" t="s">
        <v>416</v>
      </c>
      <c r="I17" t="s">
        <v>416</v>
      </c>
      <c r="J17" t="s">
        <v>417</v>
      </c>
      <c r="K17">
        <v>1688999177</v>
      </c>
      <c r="L17">
        <f t="shared" ref="L17:L48" si="0">(M17)/1000</f>
        <v>4.2064322218140918E-3</v>
      </c>
      <c r="M17">
        <f t="shared" ref="M17:M48" si="1">1000*DM17*AK17*(DI17-DJ17)/(100*DB17*(1000-AK17*DI17))</f>
        <v>4.2064322218140919</v>
      </c>
      <c r="N17">
        <f t="shared" ref="N17:N48" si="2">DM17*AK17*(DH17-DG17*(1000-AK17*DJ17)/(1000-AK17*DI17))/(100*DB17)</f>
        <v>42.148215808111942</v>
      </c>
      <c r="O17">
        <f t="shared" ref="O17:O48" si="3">DG17 - IF(AK17&gt;1, N17*DB17*100/(AM17*DU17), 0)</f>
        <v>347.64299999999997</v>
      </c>
      <c r="P17">
        <f t="shared" ref="P17:P48" si="4">((V17-L17/2)*O17-N17)/(V17+L17/2)</f>
        <v>97.245644662531674</v>
      </c>
      <c r="Q17">
        <f t="shared" ref="Q17:Q48" si="5">P17*(DN17+DO17)/1000</f>
        <v>9.6523270075248409</v>
      </c>
      <c r="R17">
        <f t="shared" ref="R17:R48" si="6">(DG17 - IF(AK17&gt;1, N17*DB17*100/(AM17*DU17), 0))*(DN17+DO17)/1000</f>
        <v>34.506058646859302</v>
      </c>
      <c r="S17">
        <f t="shared" ref="S17:S48" si="7">2/((1/U17-1/T17)+SIGN(U17)*SQRT((1/U17-1/T17)*(1/U17-1/T17) + 4*DC17/((DC17+1)*(DC17+1))*(2*1/U17*1/T17-1/T17*1/T17)))</f>
        <v>0.28820091584196211</v>
      </c>
      <c r="T17">
        <f t="shared" ref="T17:T48" si="8">IF(LEFT(DD17,1)&lt;&gt;"0",IF(LEFT(DD17,1)="1",3,DE17),$D$5+$E$5*(DU17*DN17/($K$5*1000))+$F$5*(DU17*DN17/($K$5*1000))*MAX(MIN(DB17,$J$5),$I$5)*MAX(MIN(DB17,$J$5),$I$5)+$G$5*MAX(MIN(DB17,$J$5),$I$5)*(DU17*DN17/($K$5*1000))+$H$5*(DU17*DN17/($K$5*1000))*(DU17*DN17/($K$5*1000)))</f>
        <v>2.9148275896238949</v>
      </c>
      <c r="U17">
        <f t="shared" ref="U17:U48" si="9">L17*(1000-(1000*0.61365*EXP(17.502*Y17/(240.97+Y17))/(DN17+DO17)+DI17)/2)/(1000*0.61365*EXP(17.502*Y17/(240.97+Y17))/(DN17+DO17)-DI17)</f>
        <v>0.27325423069631338</v>
      </c>
      <c r="V17">
        <f t="shared" ref="V17:V48" si="10">1/((DC17+1)/(S17/1.6)+1/(T17/1.37)) + DC17/((DC17+1)/(S17/1.6) + DC17/(T17/1.37))</f>
        <v>0.17206217180313368</v>
      </c>
      <c r="W17">
        <f t="shared" ref="W17:W48" si="11">(CX17*DA17)</f>
        <v>289.54572195831059</v>
      </c>
      <c r="X17">
        <f t="shared" ref="X17:X48" si="12">(DP17+(W17+2*0.95*0.0000000567*(((DP17+$B$7)+273)^4-(DP17+273)^4)-44100*L17)/(1.84*29.3*T17+8*0.95*0.0000000567*(DP17+273)^3))</f>
        <v>30.615354491619218</v>
      </c>
      <c r="Y17">
        <f t="shared" ref="Y17:Y48" si="13">($C$7*DQ17+$D$7*DR17+$E$7*X17)</f>
        <v>30.0044</v>
      </c>
      <c r="Z17">
        <f t="shared" ref="Z17:Z48" si="14">0.61365*EXP(17.502*Y17/(240.97+Y17))</f>
        <v>4.2615266446801447</v>
      </c>
      <c r="AA17">
        <f t="shared" ref="AA17:AA48" si="15">(AB17/AC17*100)</f>
        <v>65.434499151096759</v>
      </c>
      <c r="AB17">
        <f t="shared" ref="AB17:AB48" si="16">DI17*(DN17+DO17)/1000</f>
        <v>2.7878359961637003</v>
      </c>
      <c r="AC17">
        <f t="shared" ref="AC17:AC48" si="17">0.61365*EXP(17.502*DP17/(240.97+DP17))</f>
        <v>4.2604987160155758</v>
      </c>
      <c r="AD17">
        <f t="shared" ref="AD17:AD48" si="18">(Z17-DI17*(DN17+DO17)/1000)</f>
        <v>1.4736906485164445</v>
      </c>
      <c r="AE17">
        <f t="shared" ref="AE17:AE48" si="19">(-L17*44100)</f>
        <v>-185.50366098200143</v>
      </c>
      <c r="AF17">
        <f t="shared" ref="AF17:AF48" si="20">2*29.3*T17*0.92*(DP17-Y17)</f>
        <v>-0.66000557704971108</v>
      </c>
      <c r="AG17">
        <f t="shared" ref="AG17:AG48" si="21">2*0.95*0.0000000567*(((DP17+$B$7)+273)^4-(Y17+273)^4)</f>
        <v>-5.0348173132016623E-2</v>
      </c>
      <c r="AH17">
        <f t="shared" ref="AH17:AH48" si="22">W17+AG17+AE17+AF17</f>
        <v>103.33170722612742</v>
      </c>
      <c r="AI17">
        <v>0</v>
      </c>
      <c r="AJ17">
        <v>0</v>
      </c>
      <c r="AK17">
        <f t="shared" ref="AK17:AK48" si="23">IF(AI17*$H$13&gt;=AM17,1,(AM17/(AM17-AI17*$H$13)))</f>
        <v>1</v>
      </c>
      <c r="AL17">
        <f t="shared" ref="AL17:AL48" si="24">(AK17-1)*100</f>
        <v>0</v>
      </c>
      <c r="AM17">
        <f t="shared" ref="AM17:AM48" si="25">MAX(0,($B$13+$C$13*DU17)/(1+$D$13*DU17)*DN17/(DP17+273)*$E$13)</f>
        <v>51915.351761942256</v>
      </c>
      <c r="AN17" t="s">
        <v>418</v>
      </c>
      <c r="AO17">
        <v>10076.700000000001</v>
      </c>
      <c r="AP17">
        <v>185.01599999999999</v>
      </c>
      <c r="AQ17">
        <v>473.06</v>
      </c>
      <c r="AR17">
        <f t="shared" ref="AR17:AR48" si="26">1-AP17/AQ17</f>
        <v>0.60889527755464423</v>
      </c>
      <c r="AS17">
        <v>-1.4827006201179751</v>
      </c>
      <c r="AT17" t="s">
        <v>419</v>
      </c>
      <c r="AU17">
        <v>8076.08</v>
      </c>
      <c r="AV17">
        <v>747.3600769230768</v>
      </c>
      <c r="AW17">
        <v>1032.542219896616</v>
      </c>
      <c r="AX17">
        <f t="shared" ref="AX17:AX48" si="27">1-AV17/AW17</f>
        <v>0.27619417151009407</v>
      </c>
      <c r="AY17">
        <v>0.5</v>
      </c>
      <c r="AZ17">
        <f t="shared" ref="AZ17:AZ48" si="28">CY17</f>
        <v>1513.0754994602644</v>
      </c>
      <c r="BA17">
        <f t="shared" ref="BA17:BA48" si="29">N17</f>
        <v>42.148215808111942</v>
      </c>
      <c r="BB17">
        <f t="shared" ref="BB17:BB48" si="30">AX17*AY17*AZ17</f>
        <v>208.95131700282474</v>
      </c>
      <c r="BC17">
        <f t="shared" ref="BC17:BC48" si="31">(BA17-AS17)/AZ17</f>
        <v>2.8835914958502525E-2</v>
      </c>
      <c r="BD17">
        <f t="shared" ref="BD17:BD48" si="32">(AQ17-AW17)/AW17</f>
        <v>-0.54184924269017742</v>
      </c>
      <c r="BE17">
        <f t="shared" ref="BE17:BE48" si="33">AP17/(AR17+AP17/AW17)</f>
        <v>234.76798357944938</v>
      </c>
      <c r="BF17" t="s">
        <v>420</v>
      </c>
      <c r="BG17">
        <v>547.04</v>
      </c>
      <c r="BH17">
        <f t="shared" ref="BH17:BH48" si="34">IF(BG17&lt;&gt;0, BG17, BE17)</f>
        <v>547.04</v>
      </c>
      <c r="BI17">
        <f t="shared" ref="BI17:BI48" si="35">1-BH17/AW17</f>
        <v>0.47020084074162827</v>
      </c>
      <c r="BJ17">
        <f t="shared" ref="BJ17:BJ48" si="36">(AW17-AV17)/(AW17-BH17)</f>
        <v>0.58739616686874574</v>
      </c>
      <c r="BK17">
        <f t="shared" ref="BK17:BK48" si="37">(AQ17-AW17)/(AQ17-BH17)</f>
        <v>7.562614489005357</v>
      </c>
      <c r="BL17">
        <f t="shared" ref="BL17:BL48" si="38">(AW17-AV17)/(AW17-AP17)</f>
        <v>0.33648769357050284</v>
      </c>
      <c r="BM17">
        <f t="shared" ref="BM17:BM48" si="39">(AQ17-AW17)/(AQ17-AP17)</f>
        <v>-1.9423498489696576</v>
      </c>
      <c r="BN17">
        <f t="shared" ref="BN17:BN48" si="40">(BJ17*BH17/AV17)</f>
        <v>0.42995232023472396</v>
      </c>
      <c r="BO17">
        <f t="shared" ref="BO17:BO48" si="41">(1-BN17)</f>
        <v>0.57004767976527604</v>
      </c>
      <c r="BP17">
        <v>9055</v>
      </c>
      <c r="BQ17">
        <v>290.00000000000011</v>
      </c>
      <c r="BR17">
        <v>947.55</v>
      </c>
      <c r="BS17">
        <v>285</v>
      </c>
      <c r="BT17">
        <v>8076.08</v>
      </c>
      <c r="BU17">
        <v>949.45</v>
      </c>
      <c r="BV17">
        <v>-1.9</v>
      </c>
      <c r="BW17">
        <v>300.00000000000011</v>
      </c>
      <c r="BX17">
        <v>19.2</v>
      </c>
      <c r="BY17">
        <v>1032.542219896616</v>
      </c>
      <c r="BZ17">
        <v>2.684357327100229</v>
      </c>
      <c r="CA17">
        <v>-67.107878568139299</v>
      </c>
      <c r="CB17">
        <v>1.992120033938019</v>
      </c>
      <c r="CC17">
        <v>0.97592001336117806</v>
      </c>
      <c r="CD17">
        <v>-4.1594291434927707E-3</v>
      </c>
      <c r="CE17">
        <v>289.99999999999989</v>
      </c>
      <c r="CF17">
        <v>949.11</v>
      </c>
      <c r="CG17">
        <v>655</v>
      </c>
      <c r="CH17">
        <v>8069.38</v>
      </c>
      <c r="CI17">
        <v>949.38</v>
      </c>
      <c r="CJ17">
        <v>-0.27</v>
      </c>
      <c r="CX17">
        <f t="shared" ref="CX17:CX48" si="42">$B$11*DV17+$C$11*DW17+$F$11*EH17*(1-EK17)</f>
        <v>1799.87</v>
      </c>
      <c r="CY17">
        <f t="shared" ref="CY17:CY48" si="43">CX17*CZ17</f>
        <v>1513.0754994602644</v>
      </c>
      <c r="CZ17">
        <f t="shared" ref="CZ17:CZ48" si="44">($B$11*$D$9+$C$11*$D$9+$F$11*((EU17+EM17)/MAX(EU17+EM17+EV17, 0.1)*$I$9+EV17/MAX(EU17+EM17+EV17, 0.1)*$J$9))/($B$11+$C$11+$F$11)</f>
        <v>0.84065821390448447</v>
      </c>
      <c r="DA17">
        <f t="shared" ref="DA17:DA48" si="45">($B$11*$K$9+$C$11*$K$9+$F$11*((EU17+EM17)/MAX(EU17+EM17+EV17, 0.1)*$P$9+EV17/MAX(EU17+EM17+EV17, 0.1)*$Q$9))/($B$11+$C$11+$F$11)</f>
        <v>0.16087035283565515</v>
      </c>
      <c r="DB17">
        <v>6</v>
      </c>
      <c r="DC17">
        <v>0.5</v>
      </c>
      <c r="DD17" t="s">
        <v>421</v>
      </c>
      <c r="DE17">
        <v>2</v>
      </c>
      <c r="DF17">
        <v>1688999177</v>
      </c>
      <c r="DG17">
        <v>347.64299999999997</v>
      </c>
      <c r="DH17">
        <v>399.97199999999998</v>
      </c>
      <c r="DI17">
        <v>28.087</v>
      </c>
      <c r="DJ17">
        <v>23.1814</v>
      </c>
      <c r="DK17">
        <v>348.93099999999998</v>
      </c>
      <c r="DL17">
        <v>28.028700000000001</v>
      </c>
      <c r="DM17">
        <v>500.03500000000003</v>
      </c>
      <c r="DN17">
        <v>99.157200000000003</v>
      </c>
      <c r="DO17">
        <v>9.9965100000000001E-2</v>
      </c>
      <c r="DP17">
        <v>30.0002</v>
      </c>
      <c r="DQ17">
        <v>30.0044</v>
      </c>
      <c r="DR17">
        <v>999.9</v>
      </c>
      <c r="DS17">
        <v>0</v>
      </c>
      <c r="DT17">
        <v>0</v>
      </c>
      <c r="DU17">
        <v>10000.6</v>
      </c>
      <c r="DV17">
        <v>0</v>
      </c>
      <c r="DW17">
        <v>1529.36</v>
      </c>
      <c r="DX17">
        <v>-52.328800000000001</v>
      </c>
      <c r="DY17">
        <v>357.68900000000002</v>
      </c>
      <c r="DZ17">
        <v>409.464</v>
      </c>
      <c r="EA17">
        <v>4.9056199999999999</v>
      </c>
      <c r="EB17">
        <v>399.97199999999998</v>
      </c>
      <c r="EC17">
        <v>23.1814</v>
      </c>
      <c r="ED17">
        <v>2.7850299999999999</v>
      </c>
      <c r="EE17">
        <v>2.2986</v>
      </c>
      <c r="EF17">
        <v>22.7956</v>
      </c>
      <c r="EG17">
        <v>19.666599999999999</v>
      </c>
      <c r="EH17">
        <v>1799.87</v>
      </c>
      <c r="EI17">
        <v>0.97800100000000001</v>
      </c>
      <c r="EJ17">
        <v>2.1998899999999998E-2</v>
      </c>
      <c r="EK17">
        <v>0</v>
      </c>
      <c r="EL17">
        <v>747.58299999999997</v>
      </c>
      <c r="EM17">
        <v>5.00082</v>
      </c>
      <c r="EN17">
        <v>16059.4</v>
      </c>
      <c r="EO17">
        <v>14128.8</v>
      </c>
      <c r="EP17">
        <v>46.625</v>
      </c>
      <c r="EQ17">
        <v>48.311999999999998</v>
      </c>
      <c r="ER17">
        <v>47.75</v>
      </c>
      <c r="ES17">
        <v>47.375</v>
      </c>
      <c r="ET17">
        <v>48.061999999999998</v>
      </c>
      <c r="EU17">
        <v>1755.38</v>
      </c>
      <c r="EV17">
        <v>39.49</v>
      </c>
      <c r="EW17">
        <v>0</v>
      </c>
      <c r="EX17">
        <v>1688999159.2</v>
      </c>
      <c r="EY17">
        <v>0</v>
      </c>
      <c r="EZ17">
        <v>747.3600769230768</v>
      </c>
      <c r="FA17">
        <v>-0.62133333050524964</v>
      </c>
      <c r="FB17">
        <v>6.7042734676018556</v>
      </c>
      <c r="FC17">
        <v>16059.626923076919</v>
      </c>
      <c r="FD17">
        <v>15</v>
      </c>
      <c r="FE17">
        <v>1688999141.5</v>
      </c>
      <c r="FF17" t="s">
        <v>422</v>
      </c>
      <c r="FG17">
        <v>1688999141.5</v>
      </c>
      <c r="FH17">
        <v>1688999140</v>
      </c>
      <c r="FI17">
        <v>3</v>
      </c>
      <c r="FJ17">
        <v>3.5999999999999997E-2</v>
      </c>
      <c r="FK17">
        <v>-4.0000000000000001E-3</v>
      </c>
      <c r="FL17">
        <v>-1.339</v>
      </c>
      <c r="FM17">
        <v>5.8000000000000003E-2</v>
      </c>
      <c r="FN17">
        <v>400</v>
      </c>
      <c r="FO17">
        <v>23</v>
      </c>
      <c r="FP17">
        <v>0.06</v>
      </c>
      <c r="FQ17">
        <v>0.02</v>
      </c>
      <c r="FR17">
        <v>42.094995987968218</v>
      </c>
      <c r="FS17">
        <v>0.2006222095162076</v>
      </c>
      <c r="FT17">
        <v>3.2307797556142027E-2</v>
      </c>
      <c r="FU17">
        <v>1</v>
      </c>
      <c r="FV17">
        <v>0.29127286070911912</v>
      </c>
      <c r="FW17">
        <v>-2.3160858060901918E-2</v>
      </c>
      <c r="FX17">
        <v>1.724612469759256E-3</v>
      </c>
      <c r="FY17">
        <v>1</v>
      </c>
      <c r="FZ17">
        <v>2</v>
      </c>
      <c r="GA17">
        <v>2</v>
      </c>
      <c r="GB17" t="s">
        <v>423</v>
      </c>
      <c r="GC17">
        <v>2.94693</v>
      </c>
      <c r="GD17">
        <v>2.7086299999999999</v>
      </c>
      <c r="GE17">
        <v>7.9565800000000006E-2</v>
      </c>
      <c r="GF17">
        <v>8.8645799999999997E-2</v>
      </c>
      <c r="GG17">
        <v>0.12718099999999999</v>
      </c>
      <c r="GH17">
        <v>0.11141</v>
      </c>
      <c r="GI17">
        <v>30516.6</v>
      </c>
      <c r="GJ17">
        <v>29413.7</v>
      </c>
      <c r="GK17">
        <v>34138.9</v>
      </c>
      <c r="GL17">
        <v>32297.5</v>
      </c>
      <c r="GM17">
        <v>42952</v>
      </c>
      <c r="GN17">
        <v>40812.699999999997</v>
      </c>
      <c r="GO17">
        <v>49386.8</v>
      </c>
      <c r="GP17">
        <v>45704.3</v>
      </c>
      <c r="GQ17">
        <v>2.0245299999999999</v>
      </c>
      <c r="GR17">
        <v>1.8927499999999999</v>
      </c>
      <c r="GS17">
        <v>7.2784699999999994E-2</v>
      </c>
      <c r="GT17">
        <v>0</v>
      </c>
      <c r="GU17">
        <v>28.8188</v>
      </c>
      <c r="GV17">
        <v>999.9</v>
      </c>
      <c r="GW17">
        <v>59.1</v>
      </c>
      <c r="GX17">
        <v>33.200000000000003</v>
      </c>
      <c r="GY17">
        <v>30.450500000000002</v>
      </c>
      <c r="GZ17">
        <v>60.4101</v>
      </c>
      <c r="HA17">
        <v>25.761199999999999</v>
      </c>
      <c r="HB17">
        <v>1</v>
      </c>
      <c r="HC17">
        <v>0.15034</v>
      </c>
      <c r="HD17">
        <v>1.1283399999999999</v>
      </c>
      <c r="HE17">
        <v>20.2257</v>
      </c>
      <c r="HF17">
        <v>5.2694000000000001</v>
      </c>
      <c r="HG17">
        <v>12.039899999999999</v>
      </c>
      <c r="HH17">
        <v>4.9664999999999999</v>
      </c>
      <c r="HI17">
        <v>3.3004699999999998</v>
      </c>
      <c r="HJ17">
        <v>9999</v>
      </c>
      <c r="HK17">
        <v>9999</v>
      </c>
      <c r="HL17">
        <v>9999</v>
      </c>
      <c r="HM17">
        <v>999.9</v>
      </c>
      <c r="HN17">
        <v>1.8685400000000001</v>
      </c>
      <c r="HO17">
        <v>1.87222</v>
      </c>
      <c r="HP17">
        <v>1.87208</v>
      </c>
      <c r="HQ17">
        <v>1.8714999999999999</v>
      </c>
      <c r="HR17">
        <v>1.8648</v>
      </c>
      <c r="HS17">
        <v>1.86599</v>
      </c>
      <c r="HT17">
        <v>1.86798</v>
      </c>
      <c r="HU17">
        <v>1.87252</v>
      </c>
      <c r="HV17">
        <v>0</v>
      </c>
      <c r="HW17">
        <v>0</v>
      </c>
      <c r="HX17">
        <v>0</v>
      </c>
      <c r="HY17">
        <v>0</v>
      </c>
      <c r="HZ17" t="s">
        <v>424</v>
      </c>
      <c r="IA17" t="s">
        <v>425</v>
      </c>
      <c r="IB17" t="s">
        <v>426</v>
      </c>
      <c r="IC17" t="s">
        <v>426</v>
      </c>
      <c r="ID17" t="s">
        <v>426</v>
      </c>
      <c r="IE17" t="s">
        <v>426</v>
      </c>
      <c r="IF17">
        <v>0</v>
      </c>
      <c r="IG17">
        <v>100</v>
      </c>
      <c r="IH17">
        <v>100</v>
      </c>
      <c r="II17">
        <v>-1.288</v>
      </c>
      <c r="IJ17">
        <v>5.8299999999999998E-2</v>
      </c>
      <c r="IK17">
        <v>-0.91228674786304875</v>
      </c>
      <c r="IL17">
        <v>-1.171017271736434E-3</v>
      </c>
      <c r="IM17">
        <v>2.801297040296544E-7</v>
      </c>
      <c r="IN17">
        <v>-3.6238253961199429E-11</v>
      </c>
      <c r="IO17">
        <v>5.8340000000004721E-2</v>
      </c>
      <c r="IP17">
        <v>0</v>
      </c>
      <c r="IQ17">
        <v>0</v>
      </c>
      <c r="IR17">
        <v>0</v>
      </c>
      <c r="IS17">
        <v>0</v>
      </c>
      <c r="IT17">
        <v>2161</v>
      </c>
      <c r="IU17">
        <v>1</v>
      </c>
      <c r="IV17">
        <v>19</v>
      </c>
      <c r="IW17">
        <v>0.6</v>
      </c>
      <c r="IX17">
        <v>0.6</v>
      </c>
      <c r="IY17">
        <v>1.02173</v>
      </c>
      <c r="IZ17">
        <v>2.4694799999999999</v>
      </c>
      <c r="JA17">
        <v>1.4440900000000001</v>
      </c>
      <c r="JB17">
        <v>2.2888199999999999</v>
      </c>
      <c r="JC17">
        <v>1.54419</v>
      </c>
      <c r="JD17">
        <v>2.2753899999999998</v>
      </c>
      <c r="JE17">
        <v>40.963799999999999</v>
      </c>
      <c r="JF17">
        <v>24.052499999999998</v>
      </c>
      <c r="JG17">
        <v>18</v>
      </c>
      <c r="JH17">
        <v>508.99099999999999</v>
      </c>
      <c r="JI17">
        <v>464.31599999999997</v>
      </c>
      <c r="JJ17">
        <v>26.964200000000002</v>
      </c>
      <c r="JK17">
        <v>29.257200000000001</v>
      </c>
      <c r="JL17">
        <v>30.000399999999999</v>
      </c>
      <c r="JM17">
        <v>29.013200000000001</v>
      </c>
      <c r="JN17">
        <v>28.9528</v>
      </c>
      <c r="JO17">
        <v>20.58</v>
      </c>
      <c r="JP17">
        <v>32.7879</v>
      </c>
      <c r="JQ17">
        <v>54.016599999999997</v>
      </c>
      <c r="JR17">
        <v>26.967099999999999</v>
      </c>
      <c r="JS17">
        <v>400</v>
      </c>
      <c r="JT17">
        <v>23.128</v>
      </c>
      <c r="JU17">
        <v>100.14</v>
      </c>
      <c r="JV17">
        <v>99.548500000000004</v>
      </c>
    </row>
    <row r="18" spans="1:282" x14ac:dyDescent="0.25">
      <c r="A18">
        <v>2</v>
      </c>
      <c r="B18">
        <v>1688999355.5</v>
      </c>
      <c r="C18">
        <v>178.5</v>
      </c>
      <c r="D18" t="s">
        <v>427</v>
      </c>
      <c r="E18" t="s">
        <v>428</v>
      </c>
      <c r="F18" t="s">
        <v>414</v>
      </c>
      <c r="G18" t="s">
        <v>415</v>
      </c>
      <c r="H18" t="s">
        <v>416</v>
      </c>
      <c r="I18" t="s">
        <v>416</v>
      </c>
      <c r="J18" t="s">
        <v>417</v>
      </c>
      <c r="K18">
        <v>1688999355.5</v>
      </c>
      <c r="L18">
        <f t="shared" si="0"/>
        <v>4.7074916964719837E-3</v>
      </c>
      <c r="M18">
        <f t="shared" si="1"/>
        <v>4.7074916964719833</v>
      </c>
      <c r="N18">
        <f t="shared" si="2"/>
        <v>35.804716514458271</v>
      </c>
      <c r="O18">
        <f t="shared" si="3"/>
        <v>255.54900000000001</v>
      </c>
      <c r="P18">
        <f t="shared" si="4"/>
        <v>70.999415263854772</v>
      </c>
      <c r="Q18">
        <f t="shared" si="5"/>
        <v>7.047669626885769</v>
      </c>
      <c r="R18">
        <f t="shared" si="6"/>
        <v>25.366757159729996</v>
      </c>
      <c r="S18">
        <f t="shared" si="7"/>
        <v>0.33433077232249125</v>
      </c>
      <c r="T18">
        <f t="shared" si="8"/>
        <v>2.9113324913679404</v>
      </c>
      <c r="U18">
        <f t="shared" si="9"/>
        <v>0.31437165515596927</v>
      </c>
      <c r="V18">
        <f t="shared" si="10"/>
        <v>0.1981761624845883</v>
      </c>
      <c r="W18">
        <f t="shared" si="11"/>
        <v>289.56110295863232</v>
      </c>
      <c r="X18">
        <f t="shared" si="12"/>
        <v>30.462445617100521</v>
      </c>
      <c r="Y18">
        <f t="shared" si="13"/>
        <v>29.828600000000002</v>
      </c>
      <c r="Z18">
        <f t="shared" si="14"/>
        <v>4.2186848316030199</v>
      </c>
      <c r="AA18">
        <f t="shared" si="15"/>
        <v>65.447306085737452</v>
      </c>
      <c r="AB18">
        <f t="shared" si="16"/>
        <v>2.7847160244489997</v>
      </c>
      <c r="AC18">
        <f t="shared" si="17"/>
        <v>4.2548978575236669</v>
      </c>
      <c r="AD18">
        <f t="shared" si="18"/>
        <v>1.4339688071540202</v>
      </c>
      <c r="AE18">
        <f t="shared" si="19"/>
        <v>-207.60038381441447</v>
      </c>
      <c r="AF18">
        <f t="shared" si="20"/>
        <v>23.339321106736939</v>
      </c>
      <c r="AG18">
        <f t="shared" si="21"/>
        <v>1.7808123334986325</v>
      </c>
      <c r="AH18">
        <f t="shared" si="22"/>
        <v>107.08085258445345</v>
      </c>
      <c r="AI18">
        <v>0</v>
      </c>
      <c r="AJ18">
        <v>0</v>
      </c>
      <c r="AK18">
        <f t="shared" si="23"/>
        <v>1</v>
      </c>
      <c r="AL18">
        <f t="shared" si="24"/>
        <v>0</v>
      </c>
      <c r="AM18">
        <f t="shared" si="25"/>
        <v>51819.962518659348</v>
      </c>
      <c r="AN18" t="s">
        <v>418</v>
      </c>
      <c r="AO18">
        <v>10076.700000000001</v>
      </c>
      <c r="AP18">
        <v>185.01599999999999</v>
      </c>
      <c r="AQ18">
        <v>473.06</v>
      </c>
      <c r="AR18">
        <f t="shared" si="26"/>
        <v>0.60889527755464423</v>
      </c>
      <c r="AS18">
        <v>-1.4827006201179751</v>
      </c>
      <c r="AT18" t="s">
        <v>429</v>
      </c>
      <c r="AU18">
        <v>8074.81</v>
      </c>
      <c r="AV18">
        <v>744.7481600000001</v>
      </c>
      <c r="AW18">
        <v>983.45494562921624</v>
      </c>
      <c r="AX18">
        <f t="shared" si="27"/>
        <v>0.24272264498755569</v>
      </c>
      <c r="AY18">
        <v>0.5</v>
      </c>
      <c r="AZ18">
        <f t="shared" si="28"/>
        <v>1513.1591994604312</v>
      </c>
      <c r="BA18">
        <f t="shared" si="29"/>
        <v>35.804716514458271</v>
      </c>
      <c r="BB18">
        <f t="shared" si="30"/>
        <v>183.63900159014409</v>
      </c>
      <c r="BC18">
        <f t="shared" si="31"/>
        <v>2.4642097902105971E-2</v>
      </c>
      <c r="BD18">
        <f t="shared" si="32"/>
        <v>-0.51898152314711743</v>
      </c>
      <c r="BE18">
        <f t="shared" si="33"/>
        <v>232.13357303626219</v>
      </c>
      <c r="BF18" t="s">
        <v>430</v>
      </c>
      <c r="BG18">
        <v>540.29999999999995</v>
      </c>
      <c r="BH18">
        <f t="shared" si="34"/>
        <v>540.29999999999995</v>
      </c>
      <c r="BI18">
        <f t="shared" si="35"/>
        <v>0.45061031783788019</v>
      </c>
      <c r="BJ18">
        <f t="shared" si="36"/>
        <v>0.53865310087036677</v>
      </c>
      <c r="BK18">
        <f t="shared" si="37"/>
        <v>7.5906446405296935</v>
      </c>
      <c r="BL18">
        <f t="shared" si="38"/>
        <v>0.29896686144374046</v>
      </c>
      <c r="BM18">
        <f t="shared" si="39"/>
        <v>-1.7719339601908606</v>
      </c>
      <c r="BN18">
        <f t="shared" si="40"/>
        <v>0.39078212747817875</v>
      </c>
      <c r="BO18">
        <f t="shared" si="41"/>
        <v>0.60921787252182125</v>
      </c>
      <c r="BP18">
        <v>9057</v>
      </c>
      <c r="BQ18">
        <v>290.00000000000011</v>
      </c>
      <c r="BR18">
        <v>911.33</v>
      </c>
      <c r="BS18">
        <v>285</v>
      </c>
      <c r="BT18">
        <v>8074.81</v>
      </c>
      <c r="BU18">
        <v>912.64</v>
      </c>
      <c r="BV18">
        <v>-1.31</v>
      </c>
      <c r="BW18">
        <v>300.00000000000011</v>
      </c>
      <c r="BX18">
        <v>19.2</v>
      </c>
      <c r="BY18">
        <v>983.45494562921624</v>
      </c>
      <c r="BZ18">
        <v>2.5426578509014668</v>
      </c>
      <c r="CA18">
        <v>-57.180591000433637</v>
      </c>
      <c r="CB18">
        <v>1.8866527802515249</v>
      </c>
      <c r="CC18">
        <v>0.9704195848778997</v>
      </c>
      <c r="CD18">
        <v>-4.1588967741935379E-3</v>
      </c>
      <c r="CE18">
        <v>289.99999999999989</v>
      </c>
      <c r="CF18">
        <v>912.45</v>
      </c>
      <c r="CG18">
        <v>665</v>
      </c>
      <c r="CH18">
        <v>8067.77</v>
      </c>
      <c r="CI18">
        <v>912.58</v>
      </c>
      <c r="CJ18">
        <v>-0.13</v>
      </c>
      <c r="CX18">
        <f t="shared" si="42"/>
        <v>1799.97</v>
      </c>
      <c r="CY18">
        <f t="shared" si="43"/>
        <v>1513.1591994604312</v>
      </c>
      <c r="CZ18">
        <f t="shared" si="44"/>
        <v>0.84065801066708401</v>
      </c>
      <c r="DA18">
        <f t="shared" si="45"/>
        <v>0.16086996058747219</v>
      </c>
      <c r="DB18">
        <v>6</v>
      </c>
      <c r="DC18">
        <v>0.5</v>
      </c>
      <c r="DD18" t="s">
        <v>421</v>
      </c>
      <c r="DE18">
        <v>2</v>
      </c>
      <c r="DF18">
        <v>1688999355.5</v>
      </c>
      <c r="DG18">
        <v>255.54900000000001</v>
      </c>
      <c r="DH18">
        <v>299.94600000000003</v>
      </c>
      <c r="DI18">
        <v>28.053699999999999</v>
      </c>
      <c r="DJ18">
        <v>22.564699999999998</v>
      </c>
      <c r="DK18">
        <v>256.59500000000003</v>
      </c>
      <c r="DL18">
        <v>27.998200000000001</v>
      </c>
      <c r="DM18">
        <v>500.13799999999998</v>
      </c>
      <c r="DN18">
        <v>99.163499999999999</v>
      </c>
      <c r="DO18">
        <v>0.10027</v>
      </c>
      <c r="DP18">
        <v>29.9773</v>
      </c>
      <c r="DQ18">
        <v>29.828600000000002</v>
      </c>
      <c r="DR18">
        <v>999.9</v>
      </c>
      <c r="DS18">
        <v>0</v>
      </c>
      <c r="DT18">
        <v>0</v>
      </c>
      <c r="DU18">
        <v>9980</v>
      </c>
      <c r="DV18">
        <v>0</v>
      </c>
      <c r="DW18">
        <v>1539.64</v>
      </c>
      <c r="DX18">
        <v>-44.397199999999998</v>
      </c>
      <c r="DY18">
        <v>262.92500000000001</v>
      </c>
      <c r="DZ18">
        <v>306.87</v>
      </c>
      <c r="EA18">
        <v>5.48902</v>
      </c>
      <c r="EB18">
        <v>299.94600000000003</v>
      </c>
      <c r="EC18">
        <v>22.564699999999998</v>
      </c>
      <c r="ED18">
        <v>2.7818999999999998</v>
      </c>
      <c r="EE18">
        <v>2.23759</v>
      </c>
      <c r="EF18">
        <v>22.777100000000001</v>
      </c>
      <c r="EG18">
        <v>19.234000000000002</v>
      </c>
      <c r="EH18">
        <v>1799.97</v>
      </c>
      <c r="EI18">
        <v>0.97800500000000001</v>
      </c>
      <c r="EJ18">
        <v>2.1995299999999999E-2</v>
      </c>
      <c r="EK18">
        <v>0</v>
      </c>
      <c r="EL18">
        <v>744.726</v>
      </c>
      <c r="EM18">
        <v>5.00082</v>
      </c>
      <c r="EN18">
        <v>16025.6</v>
      </c>
      <c r="EO18">
        <v>14129.6</v>
      </c>
      <c r="EP18">
        <v>46.936999999999998</v>
      </c>
      <c r="EQ18">
        <v>48.625</v>
      </c>
      <c r="ER18">
        <v>48.061999999999998</v>
      </c>
      <c r="ES18">
        <v>47.686999999999998</v>
      </c>
      <c r="ET18">
        <v>48.375</v>
      </c>
      <c r="EU18">
        <v>1755.49</v>
      </c>
      <c r="EV18">
        <v>39.479999999999997</v>
      </c>
      <c r="EW18">
        <v>0</v>
      </c>
      <c r="EX18">
        <v>176.4000000953674</v>
      </c>
      <c r="EY18">
        <v>0</v>
      </c>
      <c r="EZ18">
        <v>744.7481600000001</v>
      </c>
      <c r="FA18">
        <v>-1.399461546004704</v>
      </c>
      <c r="FB18">
        <v>205.23846085483339</v>
      </c>
      <c r="FC18">
        <v>16005.84</v>
      </c>
      <c r="FD18">
        <v>15</v>
      </c>
      <c r="FE18">
        <v>1688999257.5</v>
      </c>
      <c r="FF18" t="s">
        <v>431</v>
      </c>
      <c r="FG18">
        <v>1688999245.5</v>
      </c>
      <c r="FH18">
        <v>1688999257.5</v>
      </c>
      <c r="FI18">
        <v>4</v>
      </c>
      <c r="FJ18">
        <v>0.14899999999999999</v>
      </c>
      <c r="FK18">
        <v>-3.0000000000000001E-3</v>
      </c>
      <c r="FL18">
        <v>-1.0920000000000001</v>
      </c>
      <c r="FM18">
        <v>5.6000000000000001E-2</v>
      </c>
      <c r="FN18">
        <v>300</v>
      </c>
      <c r="FO18">
        <v>23</v>
      </c>
      <c r="FP18">
        <v>0.05</v>
      </c>
      <c r="FQ18">
        <v>0.03</v>
      </c>
      <c r="FR18">
        <v>35.762945718160992</v>
      </c>
      <c r="FS18">
        <v>0.49809599352652267</v>
      </c>
      <c r="FT18">
        <v>4.5854744333302763E-2</v>
      </c>
      <c r="FU18">
        <v>1</v>
      </c>
      <c r="FV18">
        <v>0.33384995344352508</v>
      </c>
      <c r="FW18">
        <v>1.9215204143398331E-2</v>
      </c>
      <c r="FX18">
        <v>1.6358444906057581E-3</v>
      </c>
      <c r="FY18">
        <v>1</v>
      </c>
      <c r="FZ18">
        <v>2</v>
      </c>
      <c r="GA18">
        <v>2</v>
      </c>
      <c r="GB18" t="s">
        <v>423</v>
      </c>
      <c r="GC18">
        <v>2.9470999999999998</v>
      </c>
      <c r="GD18">
        <v>2.7087599999999998</v>
      </c>
      <c r="GE18">
        <v>6.1907700000000003E-2</v>
      </c>
      <c r="GF18">
        <v>7.0616799999999993E-2</v>
      </c>
      <c r="GG18">
        <v>0.127054</v>
      </c>
      <c r="GH18">
        <v>0.109302</v>
      </c>
      <c r="GI18">
        <v>31092</v>
      </c>
      <c r="GJ18">
        <v>29988.1</v>
      </c>
      <c r="GK18">
        <v>34129</v>
      </c>
      <c r="GL18">
        <v>32290.400000000001</v>
      </c>
      <c r="GM18">
        <v>42947.5</v>
      </c>
      <c r="GN18">
        <v>40901.300000000003</v>
      </c>
      <c r="GO18">
        <v>49374.1</v>
      </c>
      <c r="GP18">
        <v>45694.7</v>
      </c>
      <c r="GQ18">
        <v>2.0232700000000001</v>
      </c>
      <c r="GR18">
        <v>1.88568</v>
      </c>
      <c r="GS18">
        <v>6.6842899999999997E-2</v>
      </c>
      <c r="GT18">
        <v>0</v>
      </c>
      <c r="GU18">
        <v>28.739599999999999</v>
      </c>
      <c r="GV18">
        <v>999.9</v>
      </c>
      <c r="GW18">
        <v>57.3</v>
      </c>
      <c r="GX18">
        <v>33.700000000000003</v>
      </c>
      <c r="GY18">
        <v>30.361699999999999</v>
      </c>
      <c r="GZ18">
        <v>60.070099999999996</v>
      </c>
      <c r="HA18">
        <v>25.3766</v>
      </c>
      <c r="HB18">
        <v>1</v>
      </c>
      <c r="HC18">
        <v>0.15997</v>
      </c>
      <c r="HD18">
        <v>-4.8494000000000002E-2</v>
      </c>
      <c r="HE18">
        <v>20.230499999999999</v>
      </c>
      <c r="HF18">
        <v>5.2712000000000003</v>
      </c>
      <c r="HG18">
        <v>12.039899999999999</v>
      </c>
      <c r="HH18">
        <v>4.9675000000000002</v>
      </c>
      <c r="HI18">
        <v>3.3010000000000002</v>
      </c>
      <c r="HJ18">
        <v>9999</v>
      </c>
      <c r="HK18">
        <v>9999</v>
      </c>
      <c r="HL18">
        <v>9999</v>
      </c>
      <c r="HM18">
        <v>999.9</v>
      </c>
      <c r="HN18">
        <v>1.8684799999999999</v>
      </c>
      <c r="HO18">
        <v>1.8721399999999999</v>
      </c>
      <c r="HP18">
        <v>1.8720600000000001</v>
      </c>
      <c r="HQ18">
        <v>1.8714900000000001</v>
      </c>
      <c r="HR18">
        <v>1.8647800000000001</v>
      </c>
      <c r="HS18">
        <v>1.8658699999999999</v>
      </c>
      <c r="HT18">
        <v>1.86798</v>
      </c>
      <c r="HU18">
        <v>1.87243</v>
      </c>
      <c r="HV18">
        <v>0</v>
      </c>
      <c r="HW18">
        <v>0</v>
      </c>
      <c r="HX18">
        <v>0</v>
      </c>
      <c r="HY18">
        <v>0</v>
      </c>
      <c r="HZ18" t="s">
        <v>424</v>
      </c>
      <c r="IA18" t="s">
        <v>425</v>
      </c>
      <c r="IB18" t="s">
        <v>426</v>
      </c>
      <c r="IC18" t="s">
        <v>426</v>
      </c>
      <c r="ID18" t="s">
        <v>426</v>
      </c>
      <c r="IE18" t="s">
        <v>426</v>
      </c>
      <c r="IF18">
        <v>0</v>
      </c>
      <c r="IG18">
        <v>100</v>
      </c>
      <c r="IH18">
        <v>100</v>
      </c>
      <c r="II18">
        <v>-1.046</v>
      </c>
      <c r="IJ18">
        <v>5.5500000000000001E-2</v>
      </c>
      <c r="IK18">
        <v>-0.76363406192393213</v>
      </c>
      <c r="IL18">
        <v>-1.171017271736434E-3</v>
      </c>
      <c r="IM18">
        <v>2.801297040296544E-7</v>
      </c>
      <c r="IN18">
        <v>-3.6238253961199429E-11</v>
      </c>
      <c r="IO18">
        <v>5.5514285714284739E-2</v>
      </c>
      <c r="IP18">
        <v>0</v>
      </c>
      <c r="IQ18">
        <v>0</v>
      </c>
      <c r="IR18">
        <v>0</v>
      </c>
      <c r="IS18">
        <v>0</v>
      </c>
      <c r="IT18">
        <v>2161</v>
      </c>
      <c r="IU18">
        <v>1</v>
      </c>
      <c r="IV18">
        <v>19</v>
      </c>
      <c r="IW18">
        <v>1.8</v>
      </c>
      <c r="IX18">
        <v>1.6</v>
      </c>
      <c r="IY18">
        <v>0.81420899999999996</v>
      </c>
      <c r="IZ18">
        <v>2.4645999999999999</v>
      </c>
      <c r="JA18">
        <v>1.4440900000000001</v>
      </c>
      <c r="JB18">
        <v>2.2875999999999999</v>
      </c>
      <c r="JC18">
        <v>1.54419</v>
      </c>
      <c r="JD18">
        <v>2.3547400000000001</v>
      </c>
      <c r="JE18">
        <v>41.326099999999997</v>
      </c>
      <c r="JF18">
        <v>24.096299999999999</v>
      </c>
      <c r="JG18">
        <v>18</v>
      </c>
      <c r="JH18">
        <v>509.35300000000001</v>
      </c>
      <c r="JI18">
        <v>460.77800000000002</v>
      </c>
      <c r="JJ18">
        <v>27.721699999999998</v>
      </c>
      <c r="JK18">
        <v>29.410599999999999</v>
      </c>
      <c r="JL18">
        <v>30.0001</v>
      </c>
      <c r="JM18">
        <v>29.148599999999998</v>
      </c>
      <c r="JN18">
        <v>29.085999999999999</v>
      </c>
      <c r="JO18">
        <v>16.435199999999998</v>
      </c>
      <c r="JP18">
        <v>34.043900000000001</v>
      </c>
      <c r="JQ18">
        <v>50.7913</v>
      </c>
      <c r="JR18">
        <v>27.831600000000002</v>
      </c>
      <c r="JS18">
        <v>300</v>
      </c>
      <c r="JT18">
        <v>22.4968</v>
      </c>
      <c r="JU18">
        <v>100.113</v>
      </c>
      <c r="JV18">
        <v>99.527199999999993</v>
      </c>
    </row>
    <row r="19" spans="1:282" x14ac:dyDescent="0.25">
      <c r="A19">
        <v>3</v>
      </c>
      <c r="B19">
        <v>1688999485.5</v>
      </c>
      <c r="C19">
        <v>308.5</v>
      </c>
      <c r="D19" t="s">
        <v>432</v>
      </c>
      <c r="E19" t="s">
        <v>433</v>
      </c>
      <c r="F19" t="s">
        <v>414</v>
      </c>
      <c r="G19" t="s">
        <v>415</v>
      </c>
      <c r="H19" t="s">
        <v>416</v>
      </c>
      <c r="I19" t="s">
        <v>416</v>
      </c>
      <c r="J19" t="s">
        <v>417</v>
      </c>
      <c r="K19">
        <v>1688999485.5</v>
      </c>
      <c r="L19">
        <f t="shared" si="0"/>
        <v>5.1073168424374269E-3</v>
      </c>
      <c r="M19">
        <f t="shared" si="1"/>
        <v>5.1073168424374265</v>
      </c>
      <c r="N19">
        <f t="shared" si="2"/>
        <v>26.152089983956589</v>
      </c>
      <c r="O19">
        <f t="shared" si="3"/>
        <v>167.60499999999999</v>
      </c>
      <c r="P19">
        <f t="shared" si="4"/>
        <v>44.726362846765227</v>
      </c>
      <c r="Q19">
        <f t="shared" si="5"/>
        <v>4.4399456966190964</v>
      </c>
      <c r="R19">
        <f t="shared" si="6"/>
        <v>16.637997170289999</v>
      </c>
      <c r="S19">
        <f t="shared" si="7"/>
        <v>0.36842423728503398</v>
      </c>
      <c r="T19">
        <f t="shared" si="8"/>
        <v>2.909896140798129</v>
      </c>
      <c r="U19">
        <f t="shared" si="9"/>
        <v>0.34433310837482145</v>
      </c>
      <c r="V19">
        <f t="shared" si="10"/>
        <v>0.2172412746040645</v>
      </c>
      <c r="W19">
        <f t="shared" si="11"/>
        <v>289.55950695862646</v>
      </c>
      <c r="X19">
        <f t="shared" si="12"/>
        <v>30.664358896177252</v>
      </c>
      <c r="Y19">
        <f t="shared" si="13"/>
        <v>29.986799999999999</v>
      </c>
      <c r="Z19">
        <f t="shared" si="14"/>
        <v>4.2572205784432855</v>
      </c>
      <c r="AA19">
        <f t="shared" si="15"/>
        <v>65.524665241954011</v>
      </c>
      <c r="AB19">
        <f t="shared" si="16"/>
        <v>2.8374284819536002</v>
      </c>
      <c r="AC19">
        <f t="shared" si="17"/>
        <v>4.3303212179355892</v>
      </c>
      <c r="AD19">
        <f t="shared" si="18"/>
        <v>1.4197920964896853</v>
      </c>
      <c r="AE19">
        <f t="shared" si="19"/>
        <v>-225.23267275149053</v>
      </c>
      <c r="AF19">
        <f t="shared" si="20"/>
        <v>46.545797764361893</v>
      </c>
      <c r="AG19">
        <f t="shared" si="21"/>
        <v>3.5614200148005226</v>
      </c>
      <c r="AH19">
        <f t="shared" si="22"/>
        <v>114.43405198629837</v>
      </c>
      <c r="AI19">
        <v>0</v>
      </c>
      <c r="AJ19">
        <v>0</v>
      </c>
      <c r="AK19">
        <f t="shared" si="23"/>
        <v>1</v>
      </c>
      <c r="AL19">
        <f t="shared" si="24"/>
        <v>0</v>
      </c>
      <c r="AM19">
        <f t="shared" si="25"/>
        <v>51726.953253564752</v>
      </c>
      <c r="AN19" t="s">
        <v>418</v>
      </c>
      <c r="AO19">
        <v>10076.700000000001</v>
      </c>
      <c r="AP19">
        <v>185.01599999999999</v>
      </c>
      <c r="AQ19">
        <v>473.06</v>
      </c>
      <c r="AR19">
        <f t="shared" si="26"/>
        <v>0.60889527755464423</v>
      </c>
      <c r="AS19">
        <v>-1.4827006201179751</v>
      </c>
      <c r="AT19" t="s">
        <v>434</v>
      </c>
      <c r="AU19">
        <v>8074.29</v>
      </c>
      <c r="AV19">
        <v>752.30832000000009</v>
      </c>
      <c r="AW19">
        <v>939.06535140553069</v>
      </c>
      <c r="AX19">
        <f t="shared" si="27"/>
        <v>0.19887543622603587</v>
      </c>
      <c r="AY19">
        <v>0.5</v>
      </c>
      <c r="AZ19">
        <f t="shared" si="28"/>
        <v>1513.1507994604281</v>
      </c>
      <c r="BA19">
        <f t="shared" si="29"/>
        <v>26.152089983956589</v>
      </c>
      <c r="BB19">
        <f t="shared" si="30"/>
        <v>150.46426265923378</v>
      </c>
      <c r="BC19">
        <f t="shared" si="31"/>
        <v>1.8263077687913729E-2</v>
      </c>
      <c r="BD19">
        <f t="shared" si="32"/>
        <v>-0.49624379251991868</v>
      </c>
      <c r="BE19">
        <f t="shared" si="33"/>
        <v>229.57211070805644</v>
      </c>
      <c r="BF19" t="s">
        <v>435</v>
      </c>
      <c r="BG19">
        <v>537.19000000000005</v>
      </c>
      <c r="BH19">
        <f t="shared" si="34"/>
        <v>537.19000000000005</v>
      </c>
      <c r="BI19">
        <f t="shared" si="35"/>
        <v>0.42795248573917699</v>
      </c>
      <c r="BJ19">
        <f t="shared" si="36"/>
        <v>0.46471382420534396</v>
      </c>
      <c r="BK19">
        <f t="shared" si="37"/>
        <v>7.2665733885159876</v>
      </c>
      <c r="BL19">
        <f t="shared" si="38"/>
        <v>0.24767215972989004</v>
      </c>
      <c r="BM19">
        <f t="shared" si="39"/>
        <v>-1.6178269688156348</v>
      </c>
      <c r="BN19">
        <f t="shared" si="40"/>
        <v>0.33183152783006403</v>
      </c>
      <c r="BO19">
        <f t="shared" si="41"/>
        <v>0.66816847216993591</v>
      </c>
      <c r="BP19">
        <v>9059</v>
      </c>
      <c r="BQ19">
        <v>290.00000000000011</v>
      </c>
      <c r="BR19">
        <v>877.09</v>
      </c>
      <c r="BS19">
        <v>295</v>
      </c>
      <c r="BT19">
        <v>8074.29</v>
      </c>
      <c r="BU19">
        <v>878.63</v>
      </c>
      <c r="BV19">
        <v>-1.54</v>
      </c>
      <c r="BW19">
        <v>300.00000000000011</v>
      </c>
      <c r="BX19">
        <v>19.2</v>
      </c>
      <c r="BY19">
        <v>939.06535140553069</v>
      </c>
      <c r="BZ19">
        <v>2.549854330922078</v>
      </c>
      <c r="CA19">
        <v>-48.800819068091563</v>
      </c>
      <c r="CB19">
        <v>1.8918762689710431</v>
      </c>
      <c r="CC19">
        <v>0.95961801523253176</v>
      </c>
      <c r="CD19">
        <v>-4.1585913236930044E-3</v>
      </c>
      <c r="CE19">
        <v>289.99999999999989</v>
      </c>
      <c r="CF19">
        <v>876.56</v>
      </c>
      <c r="CG19">
        <v>665</v>
      </c>
      <c r="CH19">
        <v>8067.29</v>
      </c>
      <c r="CI19">
        <v>878.57</v>
      </c>
      <c r="CJ19">
        <v>-2.0099999999999998</v>
      </c>
      <c r="CX19">
        <f t="shared" si="42"/>
        <v>1799.96</v>
      </c>
      <c r="CY19">
        <f t="shared" si="43"/>
        <v>1513.1507994604281</v>
      </c>
      <c r="CZ19">
        <f t="shared" si="44"/>
        <v>0.84065801432277831</v>
      </c>
      <c r="DA19">
        <f t="shared" si="45"/>
        <v>0.16086996764296232</v>
      </c>
      <c r="DB19">
        <v>6</v>
      </c>
      <c r="DC19">
        <v>0.5</v>
      </c>
      <c r="DD19" t="s">
        <v>421</v>
      </c>
      <c r="DE19">
        <v>2</v>
      </c>
      <c r="DF19">
        <v>1688999485.5</v>
      </c>
      <c r="DG19">
        <v>167.60499999999999</v>
      </c>
      <c r="DH19">
        <v>200.012</v>
      </c>
      <c r="DI19">
        <v>28.583200000000001</v>
      </c>
      <c r="DJ19">
        <v>22.630099999999999</v>
      </c>
      <c r="DK19">
        <v>168.703</v>
      </c>
      <c r="DL19">
        <v>28.5306</v>
      </c>
      <c r="DM19">
        <v>500.04199999999997</v>
      </c>
      <c r="DN19">
        <v>99.168999999999997</v>
      </c>
      <c r="DO19">
        <v>0.10009800000000001</v>
      </c>
      <c r="DP19">
        <v>30.2835</v>
      </c>
      <c r="DQ19">
        <v>29.986799999999999</v>
      </c>
      <c r="DR19">
        <v>999.9</v>
      </c>
      <c r="DS19">
        <v>0</v>
      </c>
      <c r="DT19">
        <v>0</v>
      </c>
      <c r="DU19">
        <v>9971.25</v>
      </c>
      <c r="DV19">
        <v>0</v>
      </c>
      <c r="DW19">
        <v>1548.6</v>
      </c>
      <c r="DX19">
        <v>-32.407400000000003</v>
      </c>
      <c r="DY19">
        <v>172.53700000000001</v>
      </c>
      <c r="DZ19">
        <v>204.643</v>
      </c>
      <c r="EA19">
        <v>5.9530500000000002</v>
      </c>
      <c r="EB19">
        <v>200.012</v>
      </c>
      <c r="EC19">
        <v>22.630099999999999</v>
      </c>
      <c r="ED19">
        <v>2.8345699999999998</v>
      </c>
      <c r="EE19">
        <v>2.2442099999999998</v>
      </c>
      <c r="EF19">
        <v>23.0868</v>
      </c>
      <c r="EG19">
        <v>19.281400000000001</v>
      </c>
      <c r="EH19">
        <v>1799.96</v>
      </c>
      <c r="EI19">
        <v>0.97800500000000001</v>
      </c>
      <c r="EJ19">
        <v>2.1995299999999999E-2</v>
      </c>
      <c r="EK19">
        <v>0</v>
      </c>
      <c r="EL19">
        <v>751.45500000000004</v>
      </c>
      <c r="EM19">
        <v>5.00082</v>
      </c>
      <c r="EN19">
        <v>16167</v>
      </c>
      <c r="EO19">
        <v>14129.5</v>
      </c>
      <c r="EP19">
        <v>47</v>
      </c>
      <c r="EQ19">
        <v>48.625</v>
      </c>
      <c r="ER19">
        <v>48.125</v>
      </c>
      <c r="ES19">
        <v>47.686999999999998</v>
      </c>
      <c r="ET19">
        <v>48.375</v>
      </c>
      <c r="EU19">
        <v>1755.48</v>
      </c>
      <c r="EV19">
        <v>39.479999999999997</v>
      </c>
      <c r="EW19">
        <v>0</v>
      </c>
      <c r="EX19">
        <v>128</v>
      </c>
      <c r="EY19">
        <v>0</v>
      </c>
      <c r="EZ19">
        <v>752.30832000000009</v>
      </c>
      <c r="FA19">
        <v>-1.957615386032131</v>
      </c>
      <c r="FB19">
        <v>-30.392307690586559</v>
      </c>
      <c r="FC19">
        <v>16172.204</v>
      </c>
      <c r="FD19">
        <v>15</v>
      </c>
      <c r="FE19">
        <v>1688999454</v>
      </c>
      <c r="FF19" t="s">
        <v>436</v>
      </c>
      <c r="FG19">
        <v>1688999451.5</v>
      </c>
      <c r="FH19">
        <v>1688999454</v>
      </c>
      <c r="FI19">
        <v>5</v>
      </c>
      <c r="FJ19">
        <v>-0.14399999999999999</v>
      </c>
      <c r="FK19">
        <v>-3.0000000000000001E-3</v>
      </c>
      <c r="FL19">
        <v>-1.1319999999999999</v>
      </c>
      <c r="FM19">
        <v>5.2999999999999999E-2</v>
      </c>
      <c r="FN19">
        <v>200</v>
      </c>
      <c r="FO19">
        <v>23</v>
      </c>
      <c r="FP19">
        <v>0.05</v>
      </c>
      <c r="FQ19">
        <v>0.02</v>
      </c>
      <c r="FR19">
        <v>26.038957852303469</v>
      </c>
      <c r="FS19">
        <v>0.69392461003375394</v>
      </c>
      <c r="FT19">
        <v>6.30191936653718E-2</v>
      </c>
      <c r="FU19">
        <v>1</v>
      </c>
      <c r="FV19">
        <v>0.36432449595743488</v>
      </c>
      <c r="FW19">
        <v>3.4208896311598902E-2</v>
      </c>
      <c r="FX19">
        <v>4.4798957823617546E-3</v>
      </c>
      <c r="FY19">
        <v>1</v>
      </c>
      <c r="FZ19">
        <v>2</v>
      </c>
      <c r="GA19">
        <v>2</v>
      </c>
      <c r="GB19" t="s">
        <v>423</v>
      </c>
      <c r="GC19">
        <v>2.9468100000000002</v>
      </c>
      <c r="GD19">
        <v>2.70851</v>
      </c>
      <c r="GE19">
        <v>4.2861900000000001E-2</v>
      </c>
      <c r="GF19">
        <v>5.0051999999999999E-2</v>
      </c>
      <c r="GG19">
        <v>0.12870500000000001</v>
      </c>
      <c r="GH19">
        <v>0.109515</v>
      </c>
      <c r="GI19">
        <v>31719.9</v>
      </c>
      <c r="GJ19">
        <v>30650.5</v>
      </c>
      <c r="GK19">
        <v>34125.9</v>
      </c>
      <c r="GL19">
        <v>32289.7</v>
      </c>
      <c r="GM19">
        <v>42862.3</v>
      </c>
      <c r="GN19">
        <v>40890.400000000001</v>
      </c>
      <c r="GO19">
        <v>49370.8</v>
      </c>
      <c r="GP19">
        <v>45693.9</v>
      </c>
      <c r="GQ19">
        <v>2.0224799999999998</v>
      </c>
      <c r="GR19">
        <v>1.8819999999999999</v>
      </c>
      <c r="GS19">
        <v>7.9684000000000005E-2</v>
      </c>
      <c r="GT19">
        <v>0</v>
      </c>
      <c r="GU19">
        <v>28.688600000000001</v>
      </c>
      <c r="GV19">
        <v>999.9</v>
      </c>
      <c r="GW19">
        <v>56.1</v>
      </c>
      <c r="GX19">
        <v>34.1</v>
      </c>
      <c r="GY19">
        <v>30.392199999999999</v>
      </c>
      <c r="GZ19">
        <v>60.330100000000002</v>
      </c>
      <c r="HA19">
        <v>25.4087</v>
      </c>
      <c r="HB19">
        <v>1</v>
      </c>
      <c r="HC19">
        <v>0.164383</v>
      </c>
      <c r="HD19">
        <v>0.36969200000000002</v>
      </c>
      <c r="HE19">
        <v>20.229299999999999</v>
      </c>
      <c r="HF19">
        <v>5.2689500000000002</v>
      </c>
      <c r="HG19">
        <v>12.039899999999999</v>
      </c>
      <c r="HH19">
        <v>4.9668000000000001</v>
      </c>
      <c r="HI19">
        <v>3.3002799999999999</v>
      </c>
      <c r="HJ19">
        <v>9999</v>
      </c>
      <c r="HK19">
        <v>9999</v>
      </c>
      <c r="HL19">
        <v>9999</v>
      </c>
      <c r="HM19">
        <v>999.9</v>
      </c>
      <c r="HN19">
        <v>1.8684700000000001</v>
      </c>
      <c r="HO19">
        <v>1.8721099999999999</v>
      </c>
      <c r="HP19">
        <v>1.87198</v>
      </c>
      <c r="HQ19">
        <v>1.8714900000000001</v>
      </c>
      <c r="HR19">
        <v>1.8647800000000001</v>
      </c>
      <c r="HS19">
        <v>1.86588</v>
      </c>
      <c r="HT19">
        <v>1.8679600000000001</v>
      </c>
      <c r="HU19">
        <v>1.87242</v>
      </c>
      <c r="HV19">
        <v>0</v>
      </c>
      <c r="HW19">
        <v>0</v>
      </c>
      <c r="HX19">
        <v>0</v>
      </c>
      <c r="HY19">
        <v>0</v>
      </c>
      <c r="HZ19" t="s">
        <v>424</v>
      </c>
      <c r="IA19" t="s">
        <v>425</v>
      </c>
      <c r="IB19" t="s">
        <v>426</v>
      </c>
      <c r="IC19" t="s">
        <v>426</v>
      </c>
      <c r="ID19" t="s">
        <v>426</v>
      </c>
      <c r="IE19" t="s">
        <v>426</v>
      </c>
      <c r="IF19">
        <v>0</v>
      </c>
      <c r="IG19">
        <v>100</v>
      </c>
      <c r="IH19">
        <v>100</v>
      </c>
      <c r="II19">
        <v>-1.0980000000000001</v>
      </c>
      <c r="IJ19">
        <v>5.2600000000000001E-2</v>
      </c>
      <c r="IK19">
        <v>-0.90798685394829715</v>
      </c>
      <c r="IL19">
        <v>-1.171017271736434E-3</v>
      </c>
      <c r="IM19">
        <v>2.801297040296544E-7</v>
      </c>
      <c r="IN19">
        <v>-3.6238253961199429E-11</v>
      </c>
      <c r="IO19">
        <v>5.2579999999998961E-2</v>
      </c>
      <c r="IP19">
        <v>0</v>
      </c>
      <c r="IQ19">
        <v>0</v>
      </c>
      <c r="IR19">
        <v>0</v>
      </c>
      <c r="IS19">
        <v>0</v>
      </c>
      <c r="IT19">
        <v>2161</v>
      </c>
      <c r="IU19">
        <v>1</v>
      </c>
      <c r="IV19">
        <v>19</v>
      </c>
      <c r="IW19">
        <v>0.6</v>
      </c>
      <c r="IX19">
        <v>0.5</v>
      </c>
      <c r="IY19">
        <v>0.59814500000000004</v>
      </c>
      <c r="IZ19">
        <v>2.48169</v>
      </c>
      <c r="JA19">
        <v>1.4440900000000001</v>
      </c>
      <c r="JB19">
        <v>2.2875999999999999</v>
      </c>
      <c r="JC19">
        <v>1.54419</v>
      </c>
      <c r="JD19">
        <v>2.3767100000000001</v>
      </c>
      <c r="JE19">
        <v>41.482199999999999</v>
      </c>
      <c r="JF19">
        <v>24.1313</v>
      </c>
      <c r="JG19">
        <v>18</v>
      </c>
      <c r="JH19">
        <v>509.38799999999998</v>
      </c>
      <c r="JI19">
        <v>458.86099999999999</v>
      </c>
      <c r="JJ19">
        <v>28.016500000000001</v>
      </c>
      <c r="JK19">
        <v>29.453099999999999</v>
      </c>
      <c r="JL19">
        <v>30.0002</v>
      </c>
      <c r="JM19">
        <v>29.212700000000002</v>
      </c>
      <c r="JN19">
        <v>29.1447</v>
      </c>
      <c r="JO19">
        <v>12.099600000000001</v>
      </c>
      <c r="JP19">
        <v>33.275700000000001</v>
      </c>
      <c r="JQ19">
        <v>48.45</v>
      </c>
      <c r="JR19">
        <v>28.0106</v>
      </c>
      <c r="JS19">
        <v>200</v>
      </c>
      <c r="JT19">
        <v>22.4953</v>
      </c>
      <c r="JU19">
        <v>100.105</v>
      </c>
      <c r="JV19">
        <v>99.525199999999998</v>
      </c>
    </row>
    <row r="20" spans="1:282" x14ac:dyDescent="0.25">
      <c r="A20">
        <v>4</v>
      </c>
      <c r="B20">
        <v>1688999610.5</v>
      </c>
      <c r="C20">
        <v>433.5</v>
      </c>
      <c r="D20" t="s">
        <v>437</v>
      </c>
      <c r="E20" t="s">
        <v>438</v>
      </c>
      <c r="F20" t="s">
        <v>414</v>
      </c>
      <c r="G20" t="s">
        <v>415</v>
      </c>
      <c r="H20" t="s">
        <v>416</v>
      </c>
      <c r="I20" t="s">
        <v>416</v>
      </c>
      <c r="J20" t="s">
        <v>417</v>
      </c>
      <c r="K20">
        <v>1688999610.5</v>
      </c>
      <c r="L20">
        <f t="shared" si="0"/>
        <v>5.608179615886358E-3</v>
      </c>
      <c r="M20">
        <f t="shared" si="1"/>
        <v>5.6081796158863577</v>
      </c>
      <c r="N20">
        <f t="shared" si="2"/>
        <v>16.910782308605043</v>
      </c>
      <c r="O20">
        <f t="shared" si="3"/>
        <v>98.973399999999998</v>
      </c>
      <c r="P20">
        <f t="shared" si="4"/>
        <v>28.108995480095047</v>
      </c>
      <c r="Q20">
        <f t="shared" si="5"/>
        <v>2.7903691199931817</v>
      </c>
      <c r="R20">
        <f t="shared" si="6"/>
        <v>9.8250511746782401</v>
      </c>
      <c r="S20">
        <f t="shared" si="7"/>
        <v>0.41619821433907034</v>
      </c>
      <c r="T20">
        <f t="shared" si="8"/>
        <v>2.9158212874457874</v>
      </c>
      <c r="U20">
        <f t="shared" si="9"/>
        <v>0.3857881614531895</v>
      </c>
      <c r="V20">
        <f t="shared" si="10"/>
        <v>0.24366440211445861</v>
      </c>
      <c r="W20">
        <f t="shared" si="11"/>
        <v>289.56908295866123</v>
      </c>
      <c r="X20">
        <f t="shared" si="12"/>
        <v>30.428085468072059</v>
      </c>
      <c r="Y20">
        <f t="shared" si="13"/>
        <v>29.863099999999999</v>
      </c>
      <c r="Z20">
        <f t="shared" si="14"/>
        <v>4.227062623137785</v>
      </c>
      <c r="AA20">
        <f t="shared" si="15"/>
        <v>65.871735064035306</v>
      </c>
      <c r="AB20">
        <f t="shared" si="16"/>
        <v>2.8353188497204802</v>
      </c>
      <c r="AC20">
        <f t="shared" si="17"/>
        <v>4.3043026678501892</v>
      </c>
      <c r="AD20">
        <f t="shared" si="18"/>
        <v>1.3917437734173048</v>
      </c>
      <c r="AE20">
        <f t="shared" si="19"/>
        <v>-247.3207210605884</v>
      </c>
      <c r="AF20">
        <f t="shared" si="20"/>
        <v>49.564452860539575</v>
      </c>
      <c r="AG20">
        <f t="shared" si="21"/>
        <v>3.7804007947161318</v>
      </c>
      <c r="AH20">
        <f t="shared" si="22"/>
        <v>95.59321555332852</v>
      </c>
      <c r="AI20">
        <v>0</v>
      </c>
      <c r="AJ20">
        <v>0</v>
      </c>
      <c r="AK20">
        <f t="shared" si="23"/>
        <v>1</v>
      </c>
      <c r="AL20">
        <f t="shared" si="24"/>
        <v>0</v>
      </c>
      <c r="AM20">
        <f t="shared" si="25"/>
        <v>51913.378701136411</v>
      </c>
      <c r="AN20" t="s">
        <v>418</v>
      </c>
      <c r="AO20">
        <v>10076.700000000001</v>
      </c>
      <c r="AP20">
        <v>185.01599999999999</v>
      </c>
      <c r="AQ20">
        <v>473.06</v>
      </c>
      <c r="AR20">
        <f t="shared" si="26"/>
        <v>0.60889527755464423</v>
      </c>
      <c r="AS20">
        <v>-1.4827006201179751</v>
      </c>
      <c r="AT20" t="s">
        <v>439</v>
      </c>
      <c r="AU20">
        <v>8075.19</v>
      </c>
      <c r="AV20">
        <v>765.48423076923075</v>
      </c>
      <c r="AW20">
        <v>903.64428698406448</v>
      </c>
      <c r="AX20">
        <f t="shared" si="27"/>
        <v>0.15289208176808866</v>
      </c>
      <c r="AY20">
        <v>0.5</v>
      </c>
      <c r="AZ20">
        <f t="shared" si="28"/>
        <v>1513.2011994604463</v>
      </c>
      <c r="BA20">
        <f t="shared" si="29"/>
        <v>16.910782308605043</v>
      </c>
      <c r="BB20">
        <f t="shared" si="30"/>
        <v>115.6782407597382</v>
      </c>
      <c r="BC20">
        <f t="shared" si="31"/>
        <v>1.2155345194863365E-2</v>
      </c>
      <c r="BD20">
        <f t="shared" si="32"/>
        <v>-0.47649754796895838</v>
      </c>
      <c r="BE20">
        <f t="shared" si="33"/>
        <v>227.3930735164148</v>
      </c>
      <c r="BF20" t="s">
        <v>440</v>
      </c>
      <c r="BG20">
        <v>540.61</v>
      </c>
      <c r="BH20">
        <f t="shared" si="34"/>
        <v>540.61</v>
      </c>
      <c r="BI20">
        <f t="shared" si="35"/>
        <v>0.40174468229716864</v>
      </c>
      <c r="BJ20">
        <f t="shared" si="36"/>
        <v>0.3805702688928066</v>
      </c>
      <c r="BK20">
        <f t="shared" si="37"/>
        <v>6.37430476660347</v>
      </c>
      <c r="BL20">
        <f t="shared" si="38"/>
        <v>0.19225524338133576</v>
      </c>
      <c r="BM20">
        <f t="shared" si="39"/>
        <v>-1.494855949035788</v>
      </c>
      <c r="BN20">
        <f t="shared" si="40"/>
        <v>0.26877117097421216</v>
      </c>
      <c r="BO20">
        <f t="shared" si="41"/>
        <v>0.73122882902578779</v>
      </c>
      <c r="BP20">
        <v>9061</v>
      </c>
      <c r="BQ20">
        <v>290.00000000000011</v>
      </c>
      <c r="BR20">
        <v>854.92</v>
      </c>
      <c r="BS20">
        <v>265</v>
      </c>
      <c r="BT20">
        <v>8075.19</v>
      </c>
      <c r="BU20">
        <v>856.81</v>
      </c>
      <c r="BV20">
        <v>-1.89</v>
      </c>
      <c r="BW20">
        <v>300.00000000000011</v>
      </c>
      <c r="BX20">
        <v>19.2</v>
      </c>
      <c r="BY20">
        <v>903.64428698406448</v>
      </c>
      <c r="BZ20">
        <v>2.8546335716150271</v>
      </c>
      <c r="CA20">
        <v>-37.816918460128093</v>
      </c>
      <c r="CB20">
        <v>2.1179999523089732</v>
      </c>
      <c r="CC20">
        <v>0.91926217605391547</v>
      </c>
      <c r="CD20">
        <v>-4.1585510567297059E-3</v>
      </c>
      <c r="CE20">
        <v>289.99999999999989</v>
      </c>
      <c r="CF20">
        <v>852.78</v>
      </c>
      <c r="CG20">
        <v>655</v>
      </c>
      <c r="CH20">
        <v>8067.48</v>
      </c>
      <c r="CI20">
        <v>856.77</v>
      </c>
      <c r="CJ20">
        <v>-3.99</v>
      </c>
      <c r="CX20">
        <f t="shared" si="42"/>
        <v>1800.02</v>
      </c>
      <c r="CY20">
        <f t="shared" si="43"/>
        <v>1513.2011994604463</v>
      </c>
      <c r="CZ20">
        <f t="shared" si="44"/>
        <v>0.84065799238922145</v>
      </c>
      <c r="DA20">
        <f t="shared" si="45"/>
        <v>0.16086992531119723</v>
      </c>
      <c r="DB20">
        <v>6</v>
      </c>
      <c r="DC20">
        <v>0.5</v>
      </c>
      <c r="DD20" t="s">
        <v>421</v>
      </c>
      <c r="DE20">
        <v>2</v>
      </c>
      <c r="DF20">
        <v>1688999610.5</v>
      </c>
      <c r="DG20">
        <v>98.973399999999998</v>
      </c>
      <c r="DH20">
        <v>119.926</v>
      </c>
      <c r="DI20">
        <v>28.561800000000002</v>
      </c>
      <c r="DJ20">
        <v>22.026199999999999</v>
      </c>
      <c r="DK20">
        <v>99.968299999999999</v>
      </c>
      <c r="DL20">
        <v>28.5121</v>
      </c>
      <c r="DM20">
        <v>500.15300000000002</v>
      </c>
      <c r="DN20">
        <v>99.169899999999998</v>
      </c>
      <c r="DO20">
        <v>9.9713599999999999E-2</v>
      </c>
      <c r="DP20">
        <v>30.1784</v>
      </c>
      <c r="DQ20">
        <v>29.863099999999999</v>
      </c>
      <c r="DR20">
        <v>999.9</v>
      </c>
      <c r="DS20">
        <v>0</v>
      </c>
      <c r="DT20">
        <v>0</v>
      </c>
      <c r="DU20">
        <v>10005</v>
      </c>
      <c r="DV20">
        <v>0</v>
      </c>
      <c r="DW20">
        <v>1558.41</v>
      </c>
      <c r="DX20">
        <v>-20.952200000000001</v>
      </c>
      <c r="DY20">
        <v>101.883</v>
      </c>
      <c r="DZ20">
        <v>122.627</v>
      </c>
      <c r="EA20">
        <v>6.5356399999999999</v>
      </c>
      <c r="EB20">
        <v>119.926</v>
      </c>
      <c r="EC20">
        <v>22.026199999999999</v>
      </c>
      <c r="ED20">
        <v>2.8324699999999998</v>
      </c>
      <c r="EE20">
        <v>2.1843300000000001</v>
      </c>
      <c r="EF20">
        <v>23.0746</v>
      </c>
      <c r="EG20">
        <v>18.847899999999999</v>
      </c>
      <c r="EH20">
        <v>1800.02</v>
      </c>
      <c r="EI20">
        <v>0.97800500000000001</v>
      </c>
      <c r="EJ20">
        <v>2.1995299999999999E-2</v>
      </c>
      <c r="EK20">
        <v>0</v>
      </c>
      <c r="EL20">
        <v>764.97900000000004</v>
      </c>
      <c r="EM20">
        <v>5.00082</v>
      </c>
      <c r="EN20">
        <v>16412.2</v>
      </c>
      <c r="EO20">
        <v>14129.9</v>
      </c>
      <c r="EP20">
        <v>47</v>
      </c>
      <c r="EQ20">
        <v>48.625</v>
      </c>
      <c r="ER20">
        <v>48.125</v>
      </c>
      <c r="ES20">
        <v>47.686999999999998</v>
      </c>
      <c r="ET20">
        <v>48.436999999999998</v>
      </c>
      <c r="EU20">
        <v>1755.54</v>
      </c>
      <c r="EV20">
        <v>39.479999999999997</v>
      </c>
      <c r="EW20">
        <v>0</v>
      </c>
      <c r="EX20">
        <v>123.2000000476837</v>
      </c>
      <c r="EY20">
        <v>0</v>
      </c>
      <c r="EZ20">
        <v>765.48423076923075</v>
      </c>
      <c r="FA20">
        <v>-2.4657777642114711</v>
      </c>
      <c r="FB20">
        <v>-42.2153846008949</v>
      </c>
      <c r="FC20">
        <v>16417.923076923082</v>
      </c>
      <c r="FD20">
        <v>15</v>
      </c>
      <c r="FE20">
        <v>1688999565</v>
      </c>
      <c r="FF20" t="s">
        <v>441</v>
      </c>
      <c r="FG20">
        <v>1688999552</v>
      </c>
      <c r="FH20">
        <v>1688999565</v>
      </c>
      <c r="FI20">
        <v>6</v>
      </c>
      <c r="FJ20">
        <v>2.7E-2</v>
      </c>
      <c r="FK20">
        <v>-3.0000000000000001E-3</v>
      </c>
      <c r="FL20">
        <v>-1.018</v>
      </c>
      <c r="FM20">
        <v>0.05</v>
      </c>
      <c r="FN20">
        <v>120</v>
      </c>
      <c r="FO20">
        <v>22</v>
      </c>
      <c r="FP20">
        <v>0.08</v>
      </c>
      <c r="FQ20">
        <v>0.02</v>
      </c>
      <c r="FR20">
        <v>16.81615389934224</v>
      </c>
      <c r="FS20">
        <v>0.38872465988008509</v>
      </c>
      <c r="FT20">
        <v>3.3570816049228167E-2</v>
      </c>
      <c r="FU20">
        <v>1</v>
      </c>
      <c r="FV20">
        <v>0.41803282316663781</v>
      </c>
      <c r="FW20">
        <v>4.1621506531411598E-2</v>
      </c>
      <c r="FX20">
        <v>3.722302017771459E-3</v>
      </c>
      <c r="FY20">
        <v>1</v>
      </c>
      <c r="FZ20">
        <v>2</v>
      </c>
      <c r="GA20">
        <v>2</v>
      </c>
      <c r="GB20" t="s">
        <v>423</v>
      </c>
      <c r="GC20">
        <v>2.9470900000000002</v>
      </c>
      <c r="GD20">
        <v>2.7084199999999998</v>
      </c>
      <c r="GE20">
        <v>2.6243800000000001E-2</v>
      </c>
      <c r="GF20">
        <v>3.1316900000000002E-2</v>
      </c>
      <c r="GG20">
        <v>0.128639</v>
      </c>
      <c r="GH20">
        <v>0.10745</v>
      </c>
      <c r="GI20">
        <v>32269.1</v>
      </c>
      <c r="GJ20">
        <v>31255.599999999999</v>
      </c>
      <c r="GK20">
        <v>34124.800000000003</v>
      </c>
      <c r="GL20">
        <v>32290.799999999999</v>
      </c>
      <c r="GM20">
        <v>42863.9</v>
      </c>
      <c r="GN20">
        <v>40986.800000000003</v>
      </c>
      <c r="GO20">
        <v>49369.2</v>
      </c>
      <c r="GP20">
        <v>45695.5</v>
      </c>
      <c r="GQ20">
        <v>2.0230700000000001</v>
      </c>
      <c r="GR20">
        <v>1.8782700000000001</v>
      </c>
      <c r="GS20">
        <v>7.1190299999999998E-2</v>
      </c>
      <c r="GT20">
        <v>0</v>
      </c>
      <c r="GU20">
        <v>28.703199999999999</v>
      </c>
      <c r="GV20">
        <v>999.9</v>
      </c>
      <c r="GW20">
        <v>54.9</v>
      </c>
      <c r="GX20">
        <v>34.299999999999997</v>
      </c>
      <c r="GY20">
        <v>30.076799999999999</v>
      </c>
      <c r="GZ20">
        <v>60.490099999999998</v>
      </c>
      <c r="HA20">
        <v>25.652999999999999</v>
      </c>
      <c r="HB20">
        <v>1</v>
      </c>
      <c r="HC20">
        <v>0.16486300000000001</v>
      </c>
      <c r="HD20">
        <v>1.13072E-2</v>
      </c>
      <c r="HE20">
        <v>20.230399999999999</v>
      </c>
      <c r="HF20">
        <v>5.2717999999999998</v>
      </c>
      <c r="HG20">
        <v>12.039899999999999</v>
      </c>
      <c r="HH20">
        <v>4.9675000000000002</v>
      </c>
      <c r="HI20">
        <v>3.3010000000000002</v>
      </c>
      <c r="HJ20">
        <v>9999</v>
      </c>
      <c r="HK20">
        <v>9999</v>
      </c>
      <c r="HL20">
        <v>9999</v>
      </c>
      <c r="HM20">
        <v>999.9</v>
      </c>
      <c r="HN20">
        <v>1.8684400000000001</v>
      </c>
      <c r="HO20">
        <v>1.8721000000000001</v>
      </c>
      <c r="HP20">
        <v>1.8719600000000001</v>
      </c>
      <c r="HQ20">
        <v>1.87147</v>
      </c>
      <c r="HR20">
        <v>1.8647400000000001</v>
      </c>
      <c r="HS20">
        <v>1.8658600000000001</v>
      </c>
      <c r="HT20">
        <v>1.8679300000000001</v>
      </c>
      <c r="HU20">
        <v>1.8724099999999999</v>
      </c>
      <c r="HV20">
        <v>0</v>
      </c>
      <c r="HW20">
        <v>0</v>
      </c>
      <c r="HX20">
        <v>0</v>
      </c>
      <c r="HY20">
        <v>0</v>
      </c>
      <c r="HZ20" t="s">
        <v>424</v>
      </c>
      <c r="IA20" t="s">
        <v>425</v>
      </c>
      <c r="IB20" t="s">
        <v>426</v>
      </c>
      <c r="IC20" t="s">
        <v>426</v>
      </c>
      <c r="ID20" t="s">
        <v>426</v>
      </c>
      <c r="IE20" t="s">
        <v>426</v>
      </c>
      <c r="IF20">
        <v>0</v>
      </c>
      <c r="IG20">
        <v>100</v>
      </c>
      <c r="IH20">
        <v>100</v>
      </c>
      <c r="II20">
        <v>-0.995</v>
      </c>
      <c r="IJ20">
        <v>4.9700000000000001E-2</v>
      </c>
      <c r="IK20">
        <v>-0.88066823123067461</v>
      </c>
      <c r="IL20">
        <v>-1.171017271736434E-3</v>
      </c>
      <c r="IM20">
        <v>2.801297040296544E-7</v>
      </c>
      <c r="IN20">
        <v>-3.6238253961199429E-11</v>
      </c>
      <c r="IO20">
        <v>4.9684999999996649E-2</v>
      </c>
      <c r="IP20">
        <v>0</v>
      </c>
      <c r="IQ20">
        <v>0</v>
      </c>
      <c r="IR20">
        <v>0</v>
      </c>
      <c r="IS20">
        <v>0</v>
      </c>
      <c r="IT20">
        <v>2161</v>
      </c>
      <c r="IU20">
        <v>1</v>
      </c>
      <c r="IV20">
        <v>19</v>
      </c>
      <c r="IW20">
        <v>1</v>
      </c>
      <c r="IX20">
        <v>0.8</v>
      </c>
      <c r="IY20">
        <v>0.41870099999999999</v>
      </c>
      <c r="IZ20">
        <v>2.50366</v>
      </c>
      <c r="JA20">
        <v>1.4440900000000001</v>
      </c>
      <c r="JB20">
        <v>2.2863799999999999</v>
      </c>
      <c r="JC20">
        <v>1.54419</v>
      </c>
      <c r="JD20">
        <v>2.2924799999999999</v>
      </c>
      <c r="JE20">
        <v>41.612699999999997</v>
      </c>
      <c r="JF20">
        <v>24.14</v>
      </c>
      <c r="JG20">
        <v>18</v>
      </c>
      <c r="JH20">
        <v>510.065</v>
      </c>
      <c r="JI20">
        <v>456.73500000000001</v>
      </c>
      <c r="JJ20">
        <v>27.904900000000001</v>
      </c>
      <c r="JK20">
        <v>29.478400000000001</v>
      </c>
      <c r="JL20">
        <v>30.0001</v>
      </c>
      <c r="JM20">
        <v>29.2454</v>
      </c>
      <c r="JN20">
        <v>29.1814</v>
      </c>
      <c r="JO20">
        <v>8.4998500000000003</v>
      </c>
      <c r="JP20">
        <v>34.0672</v>
      </c>
      <c r="JQ20">
        <v>46.290900000000001</v>
      </c>
      <c r="JR20">
        <v>27.945399999999999</v>
      </c>
      <c r="JS20">
        <v>120</v>
      </c>
      <c r="JT20">
        <v>21.9557</v>
      </c>
      <c r="JU20">
        <v>100.102</v>
      </c>
      <c r="JV20">
        <v>99.528700000000001</v>
      </c>
    </row>
    <row r="21" spans="1:282" x14ac:dyDescent="0.25">
      <c r="A21">
        <v>5</v>
      </c>
      <c r="B21">
        <v>1688999736</v>
      </c>
      <c r="C21">
        <v>559</v>
      </c>
      <c r="D21" t="s">
        <v>442</v>
      </c>
      <c r="E21" t="s">
        <v>443</v>
      </c>
      <c r="F21" t="s">
        <v>414</v>
      </c>
      <c r="G21" t="s">
        <v>415</v>
      </c>
      <c r="H21" t="s">
        <v>416</v>
      </c>
      <c r="I21" t="s">
        <v>416</v>
      </c>
      <c r="J21" t="s">
        <v>417</v>
      </c>
      <c r="K21">
        <v>1688999736</v>
      </c>
      <c r="L21">
        <f t="shared" si="0"/>
        <v>5.805058392238281E-3</v>
      </c>
      <c r="M21">
        <f t="shared" si="1"/>
        <v>5.8050583922382808</v>
      </c>
      <c r="N21">
        <f t="shared" si="2"/>
        <v>10.34902888301802</v>
      </c>
      <c r="O21">
        <f t="shared" si="3"/>
        <v>57.216200000000001</v>
      </c>
      <c r="P21">
        <f t="shared" si="4"/>
        <v>14.660468464806785</v>
      </c>
      <c r="Q21">
        <f t="shared" si="5"/>
        <v>1.4553064890582224</v>
      </c>
      <c r="R21">
        <f t="shared" si="6"/>
        <v>5.6797030285314598</v>
      </c>
      <c r="S21">
        <f t="shared" si="7"/>
        <v>0.42427575359257064</v>
      </c>
      <c r="T21">
        <f t="shared" si="8"/>
        <v>2.9157771761345801</v>
      </c>
      <c r="U21">
        <f t="shared" si="9"/>
        <v>0.39272136108921912</v>
      </c>
      <c r="V21">
        <f t="shared" si="10"/>
        <v>0.24809003701477467</v>
      </c>
      <c r="W21">
        <f t="shared" si="11"/>
        <v>289.54572195831059</v>
      </c>
      <c r="X21">
        <f t="shared" si="12"/>
        <v>30.60820570082457</v>
      </c>
      <c r="Y21">
        <f t="shared" si="13"/>
        <v>30.0092</v>
      </c>
      <c r="Z21">
        <f t="shared" si="14"/>
        <v>4.2627016849502768</v>
      </c>
      <c r="AA21">
        <f t="shared" si="15"/>
        <v>65.292067782491685</v>
      </c>
      <c r="AB21">
        <f t="shared" si="16"/>
        <v>2.8479219533410198</v>
      </c>
      <c r="AC21">
        <f t="shared" si="17"/>
        <v>4.3618192072402104</v>
      </c>
      <c r="AD21">
        <f t="shared" si="18"/>
        <v>1.414779731609257</v>
      </c>
      <c r="AE21">
        <f t="shared" si="19"/>
        <v>-256.00307509770818</v>
      </c>
      <c r="AF21">
        <f t="shared" si="20"/>
        <v>63.003907951202855</v>
      </c>
      <c r="AG21">
        <f t="shared" si="21"/>
        <v>4.8145244461923493</v>
      </c>
      <c r="AH21">
        <f t="shared" si="22"/>
        <v>101.36107925799763</v>
      </c>
      <c r="AI21">
        <v>0</v>
      </c>
      <c r="AJ21">
        <v>0</v>
      </c>
      <c r="AK21">
        <f t="shared" si="23"/>
        <v>1</v>
      </c>
      <c r="AL21">
        <f t="shared" si="24"/>
        <v>0</v>
      </c>
      <c r="AM21">
        <f t="shared" si="25"/>
        <v>51872.444297314454</v>
      </c>
      <c r="AN21" t="s">
        <v>418</v>
      </c>
      <c r="AO21">
        <v>10076.700000000001</v>
      </c>
      <c r="AP21">
        <v>185.01599999999999</v>
      </c>
      <c r="AQ21">
        <v>473.06</v>
      </c>
      <c r="AR21">
        <f t="shared" si="26"/>
        <v>0.60889527755464423</v>
      </c>
      <c r="AS21">
        <v>-1.4827006201179751</v>
      </c>
      <c r="AT21" t="s">
        <v>444</v>
      </c>
      <c r="AU21">
        <v>8075.72</v>
      </c>
      <c r="AV21">
        <v>772.73673076923069</v>
      </c>
      <c r="AW21">
        <v>871.62702628047202</v>
      </c>
      <c r="AX21">
        <f t="shared" si="27"/>
        <v>0.11345482933593709</v>
      </c>
      <c r="AY21">
        <v>0.5</v>
      </c>
      <c r="AZ21">
        <f t="shared" si="28"/>
        <v>1513.0754994602644</v>
      </c>
      <c r="BA21">
        <f t="shared" si="29"/>
        <v>10.34902888301802</v>
      </c>
      <c r="BB21">
        <f t="shared" si="30"/>
        <v>85.832861281826041</v>
      </c>
      <c r="BC21">
        <f t="shared" si="31"/>
        <v>7.8196557325503867E-3</v>
      </c>
      <c r="BD21">
        <f t="shared" si="32"/>
        <v>-0.4572678614398783</v>
      </c>
      <c r="BE21">
        <f t="shared" si="33"/>
        <v>225.31043205850412</v>
      </c>
      <c r="BF21" t="s">
        <v>445</v>
      </c>
      <c r="BG21">
        <v>558.39</v>
      </c>
      <c r="BH21">
        <f t="shared" si="34"/>
        <v>558.39</v>
      </c>
      <c r="BI21">
        <f t="shared" si="35"/>
        <v>0.35937048397542304</v>
      </c>
      <c r="BJ21">
        <f t="shared" si="36"/>
        <v>0.31570436191887191</v>
      </c>
      <c r="BK21">
        <f t="shared" si="37"/>
        <v>4.6708897958569331</v>
      </c>
      <c r="BL21">
        <f t="shared" si="38"/>
        <v>0.14402666389870336</v>
      </c>
      <c r="BM21">
        <f t="shared" si="39"/>
        <v>-1.3837018867967117</v>
      </c>
      <c r="BN21">
        <f t="shared" si="40"/>
        <v>0.22813223654632356</v>
      </c>
      <c r="BO21">
        <f t="shared" si="41"/>
        <v>0.77186776345367647</v>
      </c>
      <c r="BP21">
        <v>9063</v>
      </c>
      <c r="BQ21">
        <v>290.00000000000011</v>
      </c>
      <c r="BR21">
        <v>833.96</v>
      </c>
      <c r="BS21">
        <v>265</v>
      </c>
      <c r="BT21">
        <v>8075.72</v>
      </c>
      <c r="BU21">
        <v>834.08</v>
      </c>
      <c r="BV21">
        <v>-0.12</v>
      </c>
      <c r="BW21">
        <v>300.00000000000011</v>
      </c>
      <c r="BX21">
        <v>19.2</v>
      </c>
      <c r="BY21">
        <v>871.62702628047202</v>
      </c>
      <c r="BZ21">
        <v>2.064204601737925</v>
      </c>
      <c r="CA21">
        <v>-30.31826818416134</v>
      </c>
      <c r="CB21">
        <v>1.5316488499144261</v>
      </c>
      <c r="CC21">
        <v>0.93330528884493946</v>
      </c>
      <c r="CD21">
        <v>-4.1587870967741908E-3</v>
      </c>
      <c r="CE21">
        <v>289.99999999999989</v>
      </c>
      <c r="CF21">
        <v>830.7</v>
      </c>
      <c r="CG21">
        <v>635</v>
      </c>
      <c r="CH21">
        <v>8068.59</v>
      </c>
      <c r="CI21">
        <v>834.05</v>
      </c>
      <c r="CJ21">
        <v>-3.35</v>
      </c>
      <c r="CX21">
        <f t="shared" si="42"/>
        <v>1799.87</v>
      </c>
      <c r="CY21">
        <f t="shared" si="43"/>
        <v>1513.0754994602644</v>
      </c>
      <c r="CZ21">
        <f t="shared" si="44"/>
        <v>0.84065821390448447</v>
      </c>
      <c r="DA21">
        <f t="shared" si="45"/>
        <v>0.16087035283565515</v>
      </c>
      <c r="DB21">
        <v>6</v>
      </c>
      <c r="DC21">
        <v>0.5</v>
      </c>
      <c r="DD21" t="s">
        <v>421</v>
      </c>
      <c r="DE21">
        <v>2</v>
      </c>
      <c r="DF21">
        <v>1688999736</v>
      </c>
      <c r="DG21">
        <v>57.216200000000001</v>
      </c>
      <c r="DH21">
        <v>70.031300000000002</v>
      </c>
      <c r="DI21">
        <v>28.689399999999999</v>
      </c>
      <c r="DJ21">
        <v>21.924399999999999</v>
      </c>
      <c r="DK21">
        <v>58.180100000000003</v>
      </c>
      <c r="DL21">
        <v>28.6524</v>
      </c>
      <c r="DM21">
        <v>500.09</v>
      </c>
      <c r="DN21">
        <v>99.167400000000001</v>
      </c>
      <c r="DO21">
        <v>9.9993299999999993E-2</v>
      </c>
      <c r="DP21">
        <v>30.41</v>
      </c>
      <c r="DQ21">
        <v>30.0092</v>
      </c>
      <c r="DR21">
        <v>999.9</v>
      </c>
      <c r="DS21">
        <v>0</v>
      </c>
      <c r="DT21">
        <v>0</v>
      </c>
      <c r="DU21">
        <v>10005</v>
      </c>
      <c r="DV21">
        <v>0</v>
      </c>
      <c r="DW21">
        <v>1566.04</v>
      </c>
      <c r="DX21">
        <v>-12.815</v>
      </c>
      <c r="DY21">
        <v>58.906199999999998</v>
      </c>
      <c r="DZ21">
        <v>71.601100000000002</v>
      </c>
      <c r="EA21">
        <v>6.76492</v>
      </c>
      <c r="EB21">
        <v>70.031300000000002</v>
      </c>
      <c r="EC21">
        <v>21.924399999999999</v>
      </c>
      <c r="ED21">
        <v>2.8450500000000001</v>
      </c>
      <c r="EE21">
        <v>2.1741899999999998</v>
      </c>
      <c r="EF21">
        <v>23.1478</v>
      </c>
      <c r="EG21">
        <v>18.773399999999999</v>
      </c>
      <c r="EH21">
        <v>1799.87</v>
      </c>
      <c r="EI21">
        <v>0.97800100000000001</v>
      </c>
      <c r="EJ21">
        <v>2.1998899999999998E-2</v>
      </c>
      <c r="EK21">
        <v>0</v>
      </c>
      <c r="EL21">
        <v>772.24599999999998</v>
      </c>
      <c r="EM21">
        <v>5.00082</v>
      </c>
      <c r="EN21">
        <v>16550.400000000001</v>
      </c>
      <c r="EO21">
        <v>14128.7</v>
      </c>
      <c r="EP21">
        <v>46.936999999999998</v>
      </c>
      <c r="EQ21">
        <v>48.436999999999998</v>
      </c>
      <c r="ER21">
        <v>48</v>
      </c>
      <c r="ES21">
        <v>47.625</v>
      </c>
      <c r="ET21">
        <v>48.375</v>
      </c>
      <c r="EU21">
        <v>1755.38</v>
      </c>
      <c r="EV21">
        <v>39.49</v>
      </c>
      <c r="EW21">
        <v>0</v>
      </c>
      <c r="EX21">
        <v>123.5999999046326</v>
      </c>
      <c r="EY21">
        <v>0</v>
      </c>
      <c r="EZ21">
        <v>772.73673076923069</v>
      </c>
      <c r="FA21">
        <v>-3.5136068365111792</v>
      </c>
      <c r="FB21">
        <v>-46.96752134062001</v>
      </c>
      <c r="FC21">
        <v>16555.676923076921</v>
      </c>
      <c r="FD21">
        <v>15</v>
      </c>
      <c r="FE21">
        <v>1688999704.5</v>
      </c>
      <c r="FF21" t="s">
        <v>446</v>
      </c>
      <c r="FG21">
        <v>1688999699.5</v>
      </c>
      <c r="FH21">
        <v>1688999704.5</v>
      </c>
      <c r="FI21">
        <v>7</v>
      </c>
      <c r="FJ21">
        <v>-1.6E-2</v>
      </c>
      <c r="FK21">
        <v>-1.2999999999999999E-2</v>
      </c>
      <c r="FL21">
        <v>-0.97799999999999998</v>
      </c>
      <c r="FM21">
        <v>3.6999999999999998E-2</v>
      </c>
      <c r="FN21">
        <v>70</v>
      </c>
      <c r="FO21">
        <v>22</v>
      </c>
      <c r="FP21">
        <v>0.09</v>
      </c>
      <c r="FQ21">
        <v>0.01</v>
      </c>
      <c r="FR21">
        <v>10.443903518480649</v>
      </c>
      <c r="FS21">
        <v>-0.45994348092681181</v>
      </c>
      <c r="FT21">
        <v>3.9286130726176378E-2</v>
      </c>
      <c r="FU21">
        <v>1</v>
      </c>
      <c r="FV21">
        <v>0.42781522082873752</v>
      </c>
      <c r="FW21">
        <v>5.5666160804111681E-3</v>
      </c>
      <c r="FX21">
        <v>2.8773720612802348E-3</v>
      </c>
      <c r="FY21">
        <v>1</v>
      </c>
      <c r="FZ21">
        <v>2</v>
      </c>
      <c r="GA21">
        <v>2</v>
      </c>
      <c r="GB21" t="s">
        <v>423</v>
      </c>
      <c r="GC21">
        <v>2.94693</v>
      </c>
      <c r="GD21">
        <v>2.7086899999999998</v>
      </c>
      <c r="GE21">
        <v>1.5472100000000001E-2</v>
      </c>
      <c r="GF21">
        <v>1.8634100000000001E-2</v>
      </c>
      <c r="GG21">
        <v>0.12906899999999999</v>
      </c>
      <c r="GH21">
        <v>0.107097</v>
      </c>
      <c r="GI21">
        <v>32627.1</v>
      </c>
      <c r="GJ21">
        <v>31666.799999999999</v>
      </c>
      <c r="GK21">
        <v>34126.1</v>
      </c>
      <c r="GL21">
        <v>32293.1</v>
      </c>
      <c r="GM21">
        <v>42844.2</v>
      </c>
      <c r="GN21">
        <v>41005.9</v>
      </c>
      <c r="GO21">
        <v>49371.4</v>
      </c>
      <c r="GP21">
        <v>45698.9</v>
      </c>
      <c r="GQ21">
        <v>2.0226999999999999</v>
      </c>
      <c r="GR21">
        <v>1.8755299999999999</v>
      </c>
      <c r="GS21">
        <v>9.1083300000000006E-2</v>
      </c>
      <c r="GT21">
        <v>0</v>
      </c>
      <c r="GU21">
        <v>28.525099999999998</v>
      </c>
      <c r="GV21">
        <v>999.9</v>
      </c>
      <c r="GW21">
        <v>53.7</v>
      </c>
      <c r="GX21">
        <v>34.6</v>
      </c>
      <c r="GY21">
        <v>29.917300000000001</v>
      </c>
      <c r="GZ21">
        <v>60.190100000000001</v>
      </c>
      <c r="HA21">
        <v>25.244399999999999</v>
      </c>
      <c r="HB21">
        <v>1</v>
      </c>
      <c r="HC21">
        <v>0.164136</v>
      </c>
      <c r="HD21">
        <v>0.169131</v>
      </c>
      <c r="HE21">
        <v>20.2302</v>
      </c>
      <c r="HF21">
        <v>5.2712000000000003</v>
      </c>
      <c r="HG21">
        <v>12.039899999999999</v>
      </c>
      <c r="HH21">
        <v>4.9662499999999996</v>
      </c>
      <c r="HI21">
        <v>3.3010000000000002</v>
      </c>
      <c r="HJ21">
        <v>9999</v>
      </c>
      <c r="HK21">
        <v>9999</v>
      </c>
      <c r="HL21">
        <v>9999</v>
      </c>
      <c r="HM21">
        <v>999.9</v>
      </c>
      <c r="HN21">
        <v>1.8684400000000001</v>
      </c>
      <c r="HO21">
        <v>1.8721000000000001</v>
      </c>
      <c r="HP21">
        <v>1.8719600000000001</v>
      </c>
      <c r="HQ21">
        <v>1.8714500000000001</v>
      </c>
      <c r="HR21">
        <v>1.8647400000000001</v>
      </c>
      <c r="HS21">
        <v>1.8658399999999999</v>
      </c>
      <c r="HT21">
        <v>1.8678699999999999</v>
      </c>
      <c r="HU21">
        <v>1.8724099999999999</v>
      </c>
      <c r="HV21">
        <v>0</v>
      </c>
      <c r="HW21">
        <v>0</v>
      </c>
      <c r="HX21">
        <v>0</v>
      </c>
      <c r="HY21">
        <v>0</v>
      </c>
      <c r="HZ21" t="s">
        <v>424</v>
      </c>
      <c r="IA21" t="s">
        <v>425</v>
      </c>
      <c r="IB21" t="s">
        <v>426</v>
      </c>
      <c r="IC21" t="s">
        <v>426</v>
      </c>
      <c r="ID21" t="s">
        <v>426</v>
      </c>
      <c r="IE21" t="s">
        <v>426</v>
      </c>
      <c r="IF21">
        <v>0</v>
      </c>
      <c r="IG21">
        <v>100</v>
      </c>
      <c r="IH21">
        <v>100</v>
      </c>
      <c r="II21">
        <v>-0.96399999999999997</v>
      </c>
      <c r="IJ21">
        <v>3.6999999999999998E-2</v>
      </c>
      <c r="IK21">
        <v>-0.89670685593729871</v>
      </c>
      <c r="IL21">
        <v>-1.171017271736434E-3</v>
      </c>
      <c r="IM21">
        <v>2.801297040296544E-7</v>
      </c>
      <c r="IN21">
        <v>-3.6238253961199429E-11</v>
      </c>
      <c r="IO21">
        <v>3.6999999999999027E-2</v>
      </c>
      <c r="IP21">
        <v>0</v>
      </c>
      <c r="IQ21">
        <v>0</v>
      </c>
      <c r="IR21">
        <v>0</v>
      </c>
      <c r="IS21">
        <v>0</v>
      </c>
      <c r="IT21">
        <v>2161</v>
      </c>
      <c r="IU21">
        <v>1</v>
      </c>
      <c r="IV21">
        <v>19</v>
      </c>
      <c r="IW21">
        <v>0.6</v>
      </c>
      <c r="IX21">
        <v>0.5</v>
      </c>
      <c r="IY21">
        <v>0.305176</v>
      </c>
      <c r="IZ21">
        <v>2.51709</v>
      </c>
      <c r="JA21">
        <v>1.4440900000000001</v>
      </c>
      <c r="JB21">
        <v>2.2863799999999999</v>
      </c>
      <c r="JC21">
        <v>1.54419</v>
      </c>
      <c r="JD21">
        <v>2.4243199999999998</v>
      </c>
      <c r="JE21">
        <v>41.7699</v>
      </c>
      <c r="JF21">
        <v>24.1751</v>
      </c>
      <c r="JG21">
        <v>18</v>
      </c>
      <c r="JH21">
        <v>509.88600000000002</v>
      </c>
      <c r="JI21">
        <v>455.00599999999997</v>
      </c>
      <c r="JJ21">
        <v>28.508800000000001</v>
      </c>
      <c r="JK21">
        <v>29.4633</v>
      </c>
      <c r="JL21">
        <v>30</v>
      </c>
      <c r="JM21">
        <v>29.253</v>
      </c>
      <c r="JN21">
        <v>29.187999999999999</v>
      </c>
      <c r="JO21">
        <v>6.23813</v>
      </c>
      <c r="JP21">
        <v>33.915599999999998</v>
      </c>
      <c r="JQ21">
        <v>43.6203</v>
      </c>
      <c r="JR21">
        <v>28.5077</v>
      </c>
      <c r="JS21">
        <v>70</v>
      </c>
      <c r="JT21">
        <v>21.852699999999999</v>
      </c>
      <c r="JU21">
        <v>100.10599999999999</v>
      </c>
      <c r="JV21">
        <v>99.536000000000001</v>
      </c>
    </row>
    <row r="22" spans="1:282" x14ac:dyDescent="0.25">
      <c r="A22">
        <v>6</v>
      </c>
      <c r="B22">
        <v>1688999852</v>
      </c>
      <c r="C22">
        <v>675</v>
      </c>
      <c r="D22" t="s">
        <v>447</v>
      </c>
      <c r="E22" t="s">
        <v>448</v>
      </c>
      <c r="F22" t="s">
        <v>414</v>
      </c>
      <c r="G22" t="s">
        <v>415</v>
      </c>
      <c r="H22" t="s">
        <v>416</v>
      </c>
      <c r="I22" t="s">
        <v>416</v>
      </c>
      <c r="J22" t="s">
        <v>417</v>
      </c>
      <c r="K22">
        <v>1688999852</v>
      </c>
      <c r="L22">
        <f t="shared" si="0"/>
        <v>5.9846186593258063E-3</v>
      </c>
      <c r="M22">
        <f t="shared" si="1"/>
        <v>5.9846186593258066</v>
      </c>
      <c r="N22">
        <f t="shared" si="2"/>
        <v>4.7104483058717648</v>
      </c>
      <c r="O22">
        <f t="shared" si="3"/>
        <v>24.233899999999998</v>
      </c>
      <c r="P22">
        <f t="shared" si="4"/>
        <v>5.5170658418044471</v>
      </c>
      <c r="Q22">
        <f t="shared" si="5"/>
        <v>0.54765681399825006</v>
      </c>
      <c r="R22">
        <f t="shared" si="6"/>
        <v>2.4056012462616199</v>
      </c>
      <c r="S22">
        <f t="shared" si="7"/>
        <v>0.43954929606427934</v>
      </c>
      <c r="T22">
        <f t="shared" si="8"/>
        <v>2.9150878089743442</v>
      </c>
      <c r="U22">
        <f t="shared" si="9"/>
        <v>0.40577168441513295</v>
      </c>
      <c r="V22">
        <f t="shared" si="10"/>
        <v>0.25642543808217322</v>
      </c>
      <c r="W22">
        <f t="shared" si="11"/>
        <v>289.60317795851898</v>
      </c>
      <c r="X22">
        <f t="shared" si="12"/>
        <v>30.649577597345587</v>
      </c>
      <c r="Y22">
        <f t="shared" si="13"/>
        <v>30.0608</v>
      </c>
      <c r="Z22">
        <f t="shared" si="14"/>
        <v>4.2753512118575898</v>
      </c>
      <c r="AA22">
        <f t="shared" si="15"/>
        <v>65.330375937144552</v>
      </c>
      <c r="AB22">
        <f t="shared" si="16"/>
        <v>2.86395187057254</v>
      </c>
      <c r="AC22">
        <f t="shared" si="17"/>
        <v>4.3837982400835962</v>
      </c>
      <c r="AD22">
        <f t="shared" si="18"/>
        <v>1.4113993412850498</v>
      </c>
      <c r="AE22">
        <f t="shared" si="19"/>
        <v>-263.92168287626805</v>
      </c>
      <c r="AF22">
        <f t="shared" si="20"/>
        <v>68.678139499394845</v>
      </c>
      <c r="AG22">
        <f t="shared" si="21"/>
        <v>5.2529905635333805</v>
      </c>
      <c r="AH22">
        <f t="shared" si="22"/>
        <v>99.612625145179166</v>
      </c>
      <c r="AI22">
        <v>0</v>
      </c>
      <c r="AJ22">
        <v>0</v>
      </c>
      <c r="AK22">
        <f t="shared" si="23"/>
        <v>1</v>
      </c>
      <c r="AL22">
        <f t="shared" si="24"/>
        <v>0</v>
      </c>
      <c r="AM22">
        <f t="shared" si="25"/>
        <v>51837.816465937205</v>
      </c>
      <c r="AN22" t="s">
        <v>418</v>
      </c>
      <c r="AO22">
        <v>10076.700000000001</v>
      </c>
      <c r="AP22">
        <v>185.01599999999999</v>
      </c>
      <c r="AQ22">
        <v>473.06</v>
      </c>
      <c r="AR22">
        <f t="shared" si="26"/>
        <v>0.60889527755464423</v>
      </c>
      <c r="AS22">
        <v>-1.4827006201179751</v>
      </c>
      <c r="AT22" t="s">
        <v>449</v>
      </c>
      <c r="AU22">
        <v>8084.48</v>
      </c>
      <c r="AV22">
        <v>778.81342307692307</v>
      </c>
      <c r="AW22">
        <v>849.59413543072719</v>
      </c>
      <c r="AX22">
        <f t="shared" si="27"/>
        <v>8.3311206377289504E-2</v>
      </c>
      <c r="AY22">
        <v>0.5</v>
      </c>
      <c r="AZ22">
        <f t="shared" si="28"/>
        <v>1513.3778994603724</v>
      </c>
      <c r="BA22">
        <f t="shared" si="29"/>
        <v>4.7104483058717648</v>
      </c>
      <c r="BB22">
        <f t="shared" si="30"/>
        <v>63.040669254385989</v>
      </c>
      <c r="BC22">
        <f t="shared" si="31"/>
        <v>4.0922686449947768E-3</v>
      </c>
      <c r="BD22">
        <f t="shared" si="32"/>
        <v>-0.44319295499824979</v>
      </c>
      <c r="BE22">
        <f t="shared" si="33"/>
        <v>223.81009011099081</v>
      </c>
      <c r="BF22" t="s">
        <v>450</v>
      </c>
      <c r="BG22">
        <v>578.79</v>
      </c>
      <c r="BH22">
        <f t="shared" si="34"/>
        <v>578.79</v>
      </c>
      <c r="BI22">
        <f t="shared" si="35"/>
        <v>0.31874529747481717</v>
      </c>
      <c r="BJ22">
        <f t="shared" si="36"/>
        <v>0.26137234662692255</v>
      </c>
      <c r="BK22">
        <f t="shared" si="37"/>
        <v>3.5612800097486743</v>
      </c>
      <c r="BL22">
        <f t="shared" si="38"/>
        <v>0.10650472620187788</v>
      </c>
      <c r="BM22">
        <f t="shared" si="39"/>
        <v>-1.3072104797556179</v>
      </c>
      <c r="BN22">
        <f t="shared" si="40"/>
        <v>0.19424382788180919</v>
      </c>
      <c r="BO22">
        <f t="shared" si="41"/>
        <v>0.80575617211819084</v>
      </c>
      <c r="BP22">
        <v>9065</v>
      </c>
      <c r="BQ22">
        <v>290.00000000000011</v>
      </c>
      <c r="BR22">
        <v>820.12</v>
      </c>
      <c r="BS22">
        <v>125</v>
      </c>
      <c r="BT22">
        <v>8084.48</v>
      </c>
      <c r="BU22">
        <v>820.13</v>
      </c>
      <c r="BV22">
        <v>-0.01</v>
      </c>
      <c r="BW22">
        <v>300.00000000000011</v>
      </c>
      <c r="BX22">
        <v>19.2</v>
      </c>
      <c r="BY22">
        <v>849.59413543072719</v>
      </c>
      <c r="BZ22">
        <v>2.2559522702838879</v>
      </c>
      <c r="CA22">
        <v>-23.821667615227351</v>
      </c>
      <c r="CB22">
        <v>1.6739665199388469</v>
      </c>
      <c r="CC22">
        <v>0.87853127522337626</v>
      </c>
      <c r="CD22">
        <v>-4.1587931034482821E-3</v>
      </c>
      <c r="CE22">
        <v>289.99999999999989</v>
      </c>
      <c r="CF22">
        <v>818.29</v>
      </c>
      <c r="CG22">
        <v>725</v>
      </c>
      <c r="CH22">
        <v>8066.66</v>
      </c>
      <c r="CI22">
        <v>820.06</v>
      </c>
      <c r="CJ22">
        <v>-1.77</v>
      </c>
      <c r="CX22">
        <f t="shared" si="42"/>
        <v>1800.23</v>
      </c>
      <c r="CY22">
        <f t="shared" si="43"/>
        <v>1513.3778994603724</v>
      </c>
      <c r="CZ22">
        <f t="shared" si="44"/>
        <v>0.84065808227858241</v>
      </c>
      <c r="DA22">
        <f t="shared" si="45"/>
        <v>0.16087009879766417</v>
      </c>
      <c r="DB22">
        <v>6</v>
      </c>
      <c r="DC22">
        <v>0.5</v>
      </c>
      <c r="DD22" t="s">
        <v>421</v>
      </c>
      <c r="DE22">
        <v>2</v>
      </c>
      <c r="DF22">
        <v>1688999852</v>
      </c>
      <c r="DG22">
        <v>24.233899999999998</v>
      </c>
      <c r="DH22">
        <v>30.059100000000001</v>
      </c>
      <c r="DI22">
        <v>28.851299999999998</v>
      </c>
      <c r="DJ22">
        <v>21.878599999999999</v>
      </c>
      <c r="DK22">
        <v>25.155999999999999</v>
      </c>
      <c r="DL22">
        <v>28.808900000000001</v>
      </c>
      <c r="DM22">
        <v>500.11799999999999</v>
      </c>
      <c r="DN22">
        <v>99.165999999999997</v>
      </c>
      <c r="DO22">
        <v>9.9955799999999997E-2</v>
      </c>
      <c r="DP22">
        <v>30.497800000000002</v>
      </c>
      <c r="DQ22">
        <v>30.0608</v>
      </c>
      <c r="DR22">
        <v>999.9</v>
      </c>
      <c r="DS22">
        <v>0</v>
      </c>
      <c r="DT22">
        <v>0</v>
      </c>
      <c r="DU22">
        <v>10001.200000000001</v>
      </c>
      <c r="DV22">
        <v>0</v>
      </c>
      <c r="DW22">
        <v>1574.79</v>
      </c>
      <c r="DX22">
        <v>-5.8252100000000002</v>
      </c>
      <c r="DY22">
        <v>24.953900000000001</v>
      </c>
      <c r="DZ22">
        <v>30.7315</v>
      </c>
      <c r="EA22">
        <v>6.9726900000000001</v>
      </c>
      <c r="EB22">
        <v>30.059100000000001</v>
      </c>
      <c r="EC22">
        <v>21.878599999999999</v>
      </c>
      <c r="ED22">
        <v>2.8610699999999998</v>
      </c>
      <c r="EE22">
        <v>2.1696200000000001</v>
      </c>
      <c r="EF22">
        <v>23.2407</v>
      </c>
      <c r="EG22">
        <v>18.739699999999999</v>
      </c>
      <c r="EH22">
        <v>1800.23</v>
      </c>
      <c r="EI22">
        <v>0.97800500000000001</v>
      </c>
      <c r="EJ22">
        <v>2.1995299999999999E-2</v>
      </c>
      <c r="EK22">
        <v>0</v>
      </c>
      <c r="EL22">
        <v>778.48199999999997</v>
      </c>
      <c r="EM22">
        <v>5.00082</v>
      </c>
      <c r="EN22">
        <v>16662.8</v>
      </c>
      <c r="EO22">
        <v>14131.6</v>
      </c>
      <c r="EP22">
        <v>46.875</v>
      </c>
      <c r="EQ22">
        <v>48.375</v>
      </c>
      <c r="ER22">
        <v>48</v>
      </c>
      <c r="ES22">
        <v>47.561999999999998</v>
      </c>
      <c r="ET22">
        <v>48.311999999999998</v>
      </c>
      <c r="EU22">
        <v>1755.74</v>
      </c>
      <c r="EV22">
        <v>39.49</v>
      </c>
      <c r="EW22">
        <v>0</v>
      </c>
      <c r="EX22">
        <v>114.2000000476837</v>
      </c>
      <c r="EY22">
        <v>0</v>
      </c>
      <c r="EZ22">
        <v>778.81342307692307</v>
      </c>
      <c r="FA22">
        <v>-2.926256423992232</v>
      </c>
      <c r="FB22">
        <v>-25.131623956274549</v>
      </c>
      <c r="FC22">
        <v>16663.165384615389</v>
      </c>
      <c r="FD22">
        <v>15</v>
      </c>
      <c r="FE22">
        <v>1688999821.5</v>
      </c>
      <c r="FF22" t="s">
        <v>451</v>
      </c>
      <c r="FG22">
        <v>1688999809.5</v>
      </c>
      <c r="FH22">
        <v>1688999821.5</v>
      </c>
      <c r="FI22">
        <v>8</v>
      </c>
      <c r="FJ22">
        <v>4.0000000000000001E-3</v>
      </c>
      <c r="FK22">
        <v>5.0000000000000001E-3</v>
      </c>
      <c r="FL22">
        <v>-0.92900000000000005</v>
      </c>
      <c r="FM22">
        <v>4.2000000000000003E-2</v>
      </c>
      <c r="FN22">
        <v>30</v>
      </c>
      <c r="FO22">
        <v>22</v>
      </c>
      <c r="FP22">
        <v>0.18</v>
      </c>
      <c r="FQ22">
        <v>0.02</v>
      </c>
      <c r="FR22">
        <v>4.7970658911436939</v>
      </c>
      <c r="FS22">
        <v>-0.40319576602616369</v>
      </c>
      <c r="FT22">
        <v>3.3425152058504201E-2</v>
      </c>
      <c r="FU22">
        <v>1</v>
      </c>
      <c r="FV22">
        <v>0.4394696584149117</v>
      </c>
      <c r="FW22">
        <v>1.966182125517733E-2</v>
      </c>
      <c r="FX22">
        <v>3.2250895997408529E-3</v>
      </c>
      <c r="FY22">
        <v>1</v>
      </c>
      <c r="FZ22">
        <v>2</v>
      </c>
      <c r="GA22">
        <v>2</v>
      </c>
      <c r="GB22" t="s">
        <v>423</v>
      </c>
      <c r="GC22">
        <v>2.9470000000000001</v>
      </c>
      <c r="GD22">
        <v>2.7086299999999999</v>
      </c>
      <c r="GE22">
        <v>6.7215900000000004E-3</v>
      </c>
      <c r="GF22">
        <v>8.0607000000000005E-3</v>
      </c>
      <c r="GG22">
        <v>0.129553</v>
      </c>
      <c r="GH22">
        <v>0.10693800000000001</v>
      </c>
      <c r="GI22">
        <v>32918.199999999997</v>
      </c>
      <c r="GJ22">
        <v>32010.1</v>
      </c>
      <c r="GK22">
        <v>34127.4</v>
      </c>
      <c r="GL22">
        <v>32295.4</v>
      </c>
      <c r="GM22">
        <v>42821.599999999999</v>
      </c>
      <c r="GN22">
        <v>41016</v>
      </c>
      <c r="GO22">
        <v>49373.4</v>
      </c>
      <c r="GP22">
        <v>45702.400000000001</v>
      </c>
      <c r="GQ22">
        <v>2.0232299999999999</v>
      </c>
      <c r="GR22">
        <v>1.8729499999999999</v>
      </c>
      <c r="GS22">
        <v>9.2349899999999999E-2</v>
      </c>
      <c r="GT22">
        <v>0</v>
      </c>
      <c r="GU22">
        <v>28.5562</v>
      </c>
      <c r="GV22">
        <v>999.9</v>
      </c>
      <c r="GW22">
        <v>52.7</v>
      </c>
      <c r="GX22">
        <v>34.9</v>
      </c>
      <c r="GY22">
        <v>29.8535</v>
      </c>
      <c r="GZ22">
        <v>60.260100000000001</v>
      </c>
      <c r="HA22">
        <v>26.089700000000001</v>
      </c>
      <c r="HB22">
        <v>1</v>
      </c>
      <c r="HC22">
        <v>0.16354199999999999</v>
      </c>
      <c r="HD22">
        <v>0.58429200000000003</v>
      </c>
      <c r="HE22">
        <v>20.2286</v>
      </c>
      <c r="HF22">
        <v>5.2716500000000002</v>
      </c>
      <c r="HG22">
        <v>12.039899999999999</v>
      </c>
      <c r="HH22">
        <v>4.9672999999999998</v>
      </c>
      <c r="HI22">
        <v>3.3010000000000002</v>
      </c>
      <c r="HJ22">
        <v>9999</v>
      </c>
      <c r="HK22">
        <v>9999</v>
      </c>
      <c r="HL22">
        <v>9999</v>
      </c>
      <c r="HM22">
        <v>999.9</v>
      </c>
      <c r="HN22">
        <v>1.8684400000000001</v>
      </c>
      <c r="HO22">
        <v>1.8721000000000001</v>
      </c>
      <c r="HP22">
        <v>1.8719600000000001</v>
      </c>
      <c r="HQ22">
        <v>1.87148</v>
      </c>
      <c r="HR22">
        <v>1.8647400000000001</v>
      </c>
      <c r="HS22">
        <v>1.86585</v>
      </c>
      <c r="HT22">
        <v>1.8678699999999999</v>
      </c>
      <c r="HU22">
        <v>1.8724099999999999</v>
      </c>
      <c r="HV22">
        <v>0</v>
      </c>
      <c r="HW22">
        <v>0</v>
      </c>
      <c r="HX22">
        <v>0</v>
      </c>
      <c r="HY22">
        <v>0</v>
      </c>
      <c r="HZ22" t="s">
        <v>424</v>
      </c>
      <c r="IA22" t="s">
        <v>425</v>
      </c>
      <c r="IB22" t="s">
        <v>426</v>
      </c>
      <c r="IC22" t="s">
        <v>426</v>
      </c>
      <c r="ID22" t="s">
        <v>426</v>
      </c>
      <c r="IE22" t="s">
        <v>426</v>
      </c>
      <c r="IF22">
        <v>0</v>
      </c>
      <c r="IG22">
        <v>100</v>
      </c>
      <c r="IH22">
        <v>100</v>
      </c>
      <c r="II22">
        <v>-0.92200000000000004</v>
      </c>
      <c r="IJ22">
        <v>4.24E-2</v>
      </c>
      <c r="IK22">
        <v>-0.8928106461366826</v>
      </c>
      <c r="IL22">
        <v>-1.171017271736434E-3</v>
      </c>
      <c r="IM22">
        <v>2.801297040296544E-7</v>
      </c>
      <c r="IN22">
        <v>-3.6238253961199429E-11</v>
      </c>
      <c r="IO22">
        <v>4.2399999999997107E-2</v>
      </c>
      <c r="IP22">
        <v>0</v>
      </c>
      <c r="IQ22">
        <v>0</v>
      </c>
      <c r="IR22">
        <v>0</v>
      </c>
      <c r="IS22">
        <v>0</v>
      </c>
      <c r="IT22">
        <v>2161</v>
      </c>
      <c r="IU22">
        <v>1</v>
      </c>
      <c r="IV22">
        <v>19</v>
      </c>
      <c r="IW22">
        <v>0.7</v>
      </c>
      <c r="IX22">
        <v>0.5</v>
      </c>
      <c r="IY22">
        <v>0.21606400000000001</v>
      </c>
      <c r="IZ22">
        <v>2.5500500000000001</v>
      </c>
      <c r="JA22">
        <v>1.4440900000000001</v>
      </c>
      <c r="JB22">
        <v>2.2863799999999999</v>
      </c>
      <c r="JC22">
        <v>1.54419</v>
      </c>
      <c r="JD22">
        <v>2.2924799999999999</v>
      </c>
      <c r="JE22">
        <v>41.901200000000003</v>
      </c>
      <c r="JF22">
        <v>24.1751</v>
      </c>
      <c r="JG22">
        <v>18</v>
      </c>
      <c r="JH22">
        <v>510.23</v>
      </c>
      <c r="JI22">
        <v>453.35399999999998</v>
      </c>
      <c r="JJ22">
        <v>28.3291</v>
      </c>
      <c r="JK22">
        <v>29.453099999999999</v>
      </c>
      <c r="JL22">
        <v>30.0001</v>
      </c>
      <c r="JM22">
        <v>29.253</v>
      </c>
      <c r="JN22">
        <v>29.189800000000002</v>
      </c>
      <c r="JO22">
        <v>4.45587</v>
      </c>
      <c r="JP22">
        <v>33.7911</v>
      </c>
      <c r="JQ22">
        <v>41.529499999999999</v>
      </c>
      <c r="JR22">
        <v>28.296199999999999</v>
      </c>
      <c r="JS22">
        <v>30</v>
      </c>
      <c r="JT22">
        <v>21.8338</v>
      </c>
      <c r="JU22">
        <v>100.11</v>
      </c>
      <c r="JV22">
        <v>99.543400000000005</v>
      </c>
    </row>
    <row r="23" spans="1:282" x14ac:dyDescent="0.25">
      <c r="A23">
        <v>7</v>
      </c>
      <c r="B23">
        <v>1688999963.5999999</v>
      </c>
      <c r="C23">
        <v>786.59999990463257</v>
      </c>
      <c r="D23" t="s">
        <v>452</v>
      </c>
      <c r="E23" t="s">
        <v>453</v>
      </c>
      <c r="F23" t="s">
        <v>414</v>
      </c>
      <c r="G23" t="s">
        <v>415</v>
      </c>
      <c r="H23" t="s">
        <v>416</v>
      </c>
      <c r="I23" t="s">
        <v>416</v>
      </c>
      <c r="J23" t="s">
        <v>417</v>
      </c>
      <c r="K23">
        <v>1688999963.5999999</v>
      </c>
      <c r="L23">
        <f t="shared" si="0"/>
        <v>6.0807400719772708E-3</v>
      </c>
      <c r="M23">
        <f t="shared" si="1"/>
        <v>6.0807400719772708</v>
      </c>
      <c r="N23">
        <f t="shared" si="2"/>
        <v>1.6922192823970965</v>
      </c>
      <c r="O23">
        <f t="shared" si="3"/>
        <v>7.9595000000000002</v>
      </c>
      <c r="P23">
        <f t="shared" si="4"/>
        <v>1.4757987632227885</v>
      </c>
      <c r="Q23">
        <f t="shared" si="5"/>
        <v>0.14650207524933839</v>
      </c>
      <c r="R23">
        <f t="shared" si="6"/>
        <v>0.79013704104255</v>
      </c>
      <c r="S23">
        <f t="shared" si="7"/>
        <v>0.45608652484743989</v>
      </c>
      <c r="T23">
        <f t="shared" si="8"/>
        <v>2.9164857908687347</v>
      </c>
      <c r="U23">
        <f t="shared" si="9"/>
        <v>0.41984762259809838</v>
      </c>
      <c r="V23">
        <f t="shared" si="10"/>
        <v>0.26542032385390923</v>
      </c>
      <c r="W23">
        <f t="shared" si="11"/>
        <v>289.55689395835117</v>
      </c>
      <c r="X23">
        <f t="shared" si="12"/>
        <v>30.471109152586148</v>
      </c>
      <c r="Y23">
        <f t="shared" si="13"/>
        <v>29.950800000000001</v>
      </c>
      <c r="Z23">
        <f t="shared" si="14"/>
        <v>4.2484245249608277</v>
      </c>
      <c r="AA23">
        <f t="shared" si="15"/>
        <v>65.864693801086588</v>
      </c>
      <c r="AB23">
        <f t="shared" si="16"/>
        <v>2.8621732782776697</v>
      </c>
      <c r="AC23">
        <f t="shared" si="17"/>
        <v>4.3455349339686009</v>
      </c>
      <c r="AD23">
        <f t="shared" si="18"/>
        <v>1.386251246683158</v>
      </c>
      <c r="AE23">
        <f t="shared" si="19"/>
        <v>-268.16063717419763</v>
      </c>
      <c r="AF23">
        <f t="shared" si="20"/>
        <v>61.93430793298625</v>
      </c>
      <c r="AG23">
        <f t="shared" si="21"/>
        <v>4.7287446492474858</v>
      </c>
      <c r="AH23">
        <f t="shared" si="22"/>
        <v>88.059309366387254</v>
      </c>
      <c r="AI23">
        <v>0</v>
      </c>
      <c r="AJ23">
        <v>0</v>
      </c>
      <c r="AK23">
        <f t="shared" si="23"/>
        <v>1</v>
      </c>
      <c r="AL23">
        <f t="shared" si="24"/>
        <v>0</v>
      </c>
      <c r="AM23">
        <f t="shared" si="25"/>
        <v>51903.816226925184</v>
      </c>
      <c r="AN23" t="s">
        <v>418</v>
      </c>
      <c r="AO23">
        <v>10076.700000000001</v>
      </c>
      <c r="AP23">
        <v>185.01599999999999</v>
      </c>
      <c r="AQ23">
        <v>473.06</v>
      </c>
      <c r="AR23">
        <f t="shared" si="26"/>
        <v>0.60889527755464423</v>
      </c>
      <c r="AS23">
        <v>-1.4827006201179751</v>
      </c>
      <c r="AT23" t="s">
        <v>454</v>
      </c>
      <c r="AU23">
        <v>8085.23</v>
      </c>
      <c r="AV23">
        <v>781.34211538461557</v>
      </c>
      <c r="AW23">
        <v>838.93686810431905</v>
      </c>
      <c r="AX23">
        <f t="shared" si="27"/>
        <v>6.8652070149027855E-2</v>
      </c>
      <c r="AY23">
        <v>0.5</v>
      </c>
      <c r="AZ23">
        <f t="shared" si="28"/>
        <v>1513.1342994602855</v>
      </c>
      <c r="BA23">
        <f t="shared" si="29"/>
        <v>1.6922192823970965</v>
      </c>
      <c r="BB23">
        <f t="shared" si="30"/>
        <v>51.939901035723821</v>
      </c>
      <c r="BC23">
        <f t="shared" si="31"/>
        <v>2.09824065428133E-3</v>
      </c>
      <c r="BD23">
        <f t="shared" si="32"/>
        <v>-0.43611966765873905</v>
      </c>
      <c r="BE23">
        <f t="shared" si="33"/>
        <v>223.06361818697775</v>
      </c>
      <c r="BF23" t="s">
        <v>455</v>
      </c>
      <c r="BG23">
        <v>590.19000000000005</v>
      </c>
      <c r="BH23">
        <f t="shared" si="34"/>
        <v>590.19000000000005</v>
      </c>
      <c r="BI23">
        <f t="shared" si="35"/>
        <v>0.29650248732826956</v>
      </c>
      <c r="BJ23">
        <f t="shared" si="36"/>
        <v>0.23153960955821765</v>
      </c>
      <c r="BK23">
        <f t="shared" si="37"/>
        <v>3.1236819611057705</v>
      </c>
      <c r="BL23">
        <f t="shared" si="38"/>
        <v>8.8076028047044175E-2</v>
      </c>
      <c r="BM23">
        <f t="shared" si="39"/>
        <v>-1.2702117319031783</v>
      </c>
      <c r="BN23">
        <f t="shared" si="40"/>
        <v>0.17489440217605237</v>
      </c>
      <c r="BO23">
        <f t="shared" si="41"/>
        <v>0.82510559782394766</v>
      </c>
      <c r="BP23">
        <v>9067</v>
      </c>
      <c r="BQ23">
        <v>290.00000000000011</v>
      </c>
      <c r="BR23">
        <v>816.36</v>
      </c>
      <c r="BS23">
        <v>115</v>
      </c>
      <c r="BT23">
        <v>8085.23</v>
      </c>
      <c r="BU23">
        <v>814.77</v>
      </c>
      <c r="BV23">
        <v>1.59</v>
      </c>
      <c r="BW23">
        <v>300.00000000000011</v>
      </c>
      <c r="BX23">
        <v>19.2</v>
      </c>
      <c r="BY23">
        <v>838.93686810431905</v>
      </c>
      <c r="BZ23">
        <v>2.3784160791238431</v>
      </c>
      <c r="CA23">
        <v>-19.535512020835348</v>
      </c>
      <c r="CB23">
        <v>1.764815703045399</v>
      </c>
      <c r="CC23">
        <v>0.81399351073628523</v>
      </c>
      <c r="CD23">
        <v>-4.1588037819799833E-3</v>
      </c>
      <c r="CE23">
        <v>289.99999999999989</v>
      </c>
      <c r="CF23">
        <v>812.6</v>
      </c>
      <c r="CG23">
        <v>885</v>
      </c>
      <c r="CH23">
        <v>8064.04</v>
      </c>
      <c r="CI23">
        <v>814.71</v>
      </c>
      <c r="CJ23">
        <v>-2.11</v>
      </c>
      <c r="CX23">
        <f t="shared" si="42"/>
        <v>1799.94</v>
      </c>
      <c r="CY23">
        <f t="shared" si="43"/>
        <v>1513.1342994602855</v>
      </c>
      <c r="CZ23">
        <f t="shared" si="44"/>
        <v>0.84065818830643546</v>
      </c>
      <c r="DA23">
        <f t="shared" si="45"/>
        <v>0.16087030343142059</v>
      </c>
      <c r="DB23">
        <v>6</v>
      </c>
      <c r="DC23">
        <v>0.5</v>
      </c>
      <c r="DD23" t="s">
        <v>421</v>
      </c>
      <c r="DE23">
        <v>2</v>
      </c>
      <c r="DF23">
        <v>1688999963.5999999</v>
      </c>
      <c r="DG23">
        <v>7.9595000000000002</v>
      </c>
      <c r="DH23">
        <v>10.047800000000001</v>
      </c>
      <c r="DI23">
        <v>28.8323</v>
      </c>
      <c r="DJ23">
        <v>21.747299999999999</v>
      </c>
      <c r="DK23">
        <v>8.8259100000000004</v>
      </c>
      <c r="DL23">
        <v>28.7942</v>
      </c>
      <c r="DM23">
        <v>500.10599999999999</v>
      </c>
      <c r="DN23">
        <v>99.169899999999998</v>
      </c>
      <c r="DO23">
        <v>9.9782899999999994E-2</v>
      </c>
      <c r="DP23">
        <v>30.3447</v>
      </c>
      <c r="DQ23">
        <v>29.950800000000001</v>
      </c>
      <c r="DR23">
        <v>999.9</v>
      </c>
      <c r="DS23">
        <v>0</v>
      </c>
      <c r="DT23">
        <v>0</v>
      </c>
      <c r="DU23">
        <v>10008.799999999999</v>
      </c>
      <c r="DV23">
        <v>0</v>
      </c>
      <c r="DW23">
        <v>1582.17</v>
      </c>
      <c r="DX23">
        <v>-2.0882700000000001</v>
      </c>
      <c r="DY23">
        <v>8.1958099999999998</v>
      </c>
      <c r="DZ23">
        <v>10.271100000000001</v>
      </c>
      <c r="EA23">
        <v>7.0849900000000003</v>
      </c>
      <c r="EB23">
        <v>10.047800000000001</v>
      </c>
      <c r="EC23">
        <v>21.747299999999999</v>
      </c>
      <c r="ED23">
        <v>2.8593000000000002</v>
      </c>
      <c r="EE23">
        <v>2.1566800000000002</v>
      </c>
      <c r="EF23">
        <v>23.230499999999999</v>
      </c>
      <c r="EG23">
        <v>18.644100000000002</v>
      </c>
      <c r="EH23">
        <v>1799.94</v>
      </c>
      <c r="EI23">
        <v>0.97800100000000001</v>
      </c>
      <c r="EJ23">
        <v>2.1998899999999998E-2</v>
      </c>
      <c r="EK23">
        <v>0</v>
      </c>
      <c r="EL23">
        <v>780.82799999999997</v>
      </c>
      <c r="EM23">
        <v>5.00082</v>
      </c>
      <c r="EN23">
        <v>16709.3</v>
      </c>
      <c r="EO23">
        <v>14129.3</v>
      </c>
      <c r="EP23">
        <v>46.936999999999998</v>
      </c>
      <c r="EQ23">
        <v>48.436999999999998</v>
      </c>
      <c r="ER23">
        <v>48</v>
      </c>
      <c r="ES23">
        <v>47.561999999999998</v>
      </c>
      <c r="ET23">
        <v>48.375</v>
      </c>
      <c r="EU23">
        <v>1755.45</v>
      </c>
      <c r="EV23">
        <v>39.49</v>
      </c>
      <c r="EW23">
        <v>0</v>
      </c>
      <c r="EX23">
        <v>109.80000019073491</v>
      </c>
      <c r="EY23">
        <v>0</v>
      </c>
      <c r="EZ23">
        <v>781.34211538461557</v>
      </c>
      <c r="FA23">
        <v>-2.0820854855072559</v>
      </c>
      <c r="FB23">
        <v>-3.651282162693676</v>
      </c>
      <c r="FC23">
        <v>16713.65384615384</v>
      </c>
      <c r="FD23">
        <v>15</v>
      </c>
      <c r="FE23">
        <v>1688999933.5999999</v>
      </c>
      <c r="FF23" t="s">
        <v>456</v>
      </c>
      <c r="FG23">
        <v>1688999933.5999999</v>
      </c>
      <c r="FH23">
        <v>1688999932.0999999</v>
      </c>
      <c r="FI23">
        <v>9</v>
      </c>
      <c r="FJ23">
        <v>3.6999999999999998E-2</v>
      </c>
      <c r="FK23">
        <v>-4.0000000000000001E-3</v>
      </c>
      <c r="FL23">
        <v>-0.86899999999999999</v>
      </c>
      <c r="FM23">
        <v>3.7999999999999999E-2</v>
      </c>
      <c r="FN23">
        <v>10</v>
      </c>
      <c r="FO23">
        <v>22</v>
      </c>
      <c r="FP23">
        <v>0.35</v>
      </c>
      <c r="FQ23">
        <v>0.02</v>
      </c>
      <c r="FR23">
        <v>1.7959747432394679</v>
      </c>
      <c r="FS23">
        <v>-0.57428583582229509</v>
      </c>
      <c r="FT23">
        <v>4.5901355745388249E-2</v>
      </c>
      <c r="FU23">
        <v>1</v>
      </c>
      <c r="FV23">
        <v>0.45281386276012509</v>
      </c>
      <c r="FW23">
        <v>4.7111609802212691E-2</v>
      </c>
      <c r="FX23">
        <v>4.0077503171856909E-3</v>
      </c>
      <c r="FY23">
        <v>1</v>
      </c>
      <c r="FZ23">
        <v>2</v>
      </c>
      <c r="GA23">
        <v>2</v>
      </c>
      <c r="GB23" t="s">
        <v>423</v>
      </c>
      <c r="GC23">
        <v>2.9469599999999998</v>
      </c>
      <c r="GD23">
        <v>2.70852</v>
      </c>
      <c r="GE23">
        <v>2.3587199999999999E-3</v>
      </c>
      <c r="GF23">
        <v>2.6966099999999999E-3</v>
      </c>
      <c r="GG23">
        <v>0.12950800000000001</v>
      </c>
      <c r="GH23">
        <v>0.106486</v>
      </c>
      <c r="GI23">
        <v>33062.1</v>
      </c>
      <c r="GJ23">
        <v>32182.6</v>
      </c>
      <c r="GK23">
        <v>34127</v>
      </c>
      <c r="GL23">
        <v>32295.1</v>
      </c>
      <c r="GM23">
        <v>42823</v>
      </c>
      <c r="GN23">
        <v>41037</v>
      </c>
      <c r="GO23">
        <v>49372.5</v>
      </c>
      <c r="GP23">
        <v>45702.6</v>
      </c>
      <c r="GQ23">
        <v>2.0231300000000001</v>
      </c>
      <c r="GR23">
        <v>1.87005</v>
      </c>
      <c r="GS23">
        <v>7.3298799999999997E-2</v>
      </c>
      <c r="GT23">
        <v>0</v>
      </c>
      <c r="GU23">
        <v>28.756699999999999</v>
      </c>
      <c r="GV23">
        <v>999.9</v>
      </c>
      <c r="GW23">
        <v>51.7</v>
      </c>
      <c r="GX23">
        <v>35.1</v>
      </c>
      <c r="GY23">
        <v>29.610800000000001</v>
      </c>
      <c r="GZ23">
        <v>59.848300000000002</v>
      </c>
      <c r="HA23">
        <v>25.8934</v>
      </c>
      <c r="HB23">
        <v>1</v>
      </c>
      <c r="HC23">
        <v>0.16420499999999999</v>
      </c>
      <c r="HD23">
        <v>-0.14296800000000001</v>
      </c>
      <c r="HE23">
        <v>20.229700000000001</v>
      </c>
      <c r="HF23">
        <v>5.2719500000000004</v>
      </c>
      <c r="HG23">
        <v>12.039899999999999</v>
      </c>
      <c r="HH23">
        <v>4.96685</v>
      </c>
      <c r="HI23">
        <v>3.3010000000000002</v>
      </c>
      <c r="HJ23">
        <v>9999</v>
      </c>
      <c r="HK23">
        <v>9999</v>
      </c>
      <c r="HL23">
        <v>9999</v>
      </c>
      <c r="HM23">
        <v>999.9</v>
      </c>
      <c r="HN23">
        <v>1.8684499999999999</v>
      </c>
      <c r="HO23">
        <v>1.8721000000000001</v>
      </c>
      <c r="HP23">
        <v>1.87195</v>
      </c>
      <c r="HQ23">
        <v>1.8714599999999999</v>
      </c>
      <c r="HR23">
        <v>1.86469</v>
      </c>
      <c r="HS23">
        <v>1.8658399999999999</v>
      </c>
      <c r="HT23">
        <v>1.8678600000000001</v>
      </c>
      <c r="HU23">
        <v>1.8724099999999999</v>
      </c>
      <c r="HV23">
        <v>0</v>
      </c>
      <c r="HW23">
        <v>0</v>
      </c>
      <c r="HX23">
        <v>0</v>
      </c>
      <c r="HY23">
        <v>0</v>
      </c>
      <c r="HZ23" t="s">
        <v>424</v>
      </c>
      <c r="IA23" t="s">
        <v>425</v>
      </c>
      <c r="IB23" t="s">
        <v>426</v>
      </c>
      <c r="IC23" t="s">
        <v>426</v>
      </c>
      <c r="ID23" t="s">
        <v>426</v>
      </c>
      <c r="IE23" t="s">
        <v>426</v>
      </c>
      <c r="IF23">
        <v>0</v>
      </c>
      <c r="IG23">
        <v>100</v>
      </c>
      <c r="IH23">
        <v>100</v>
      </c>
      <c r="II23">
        <v>-0.86599999999999999</v>
      </c>
      <c r="IJ23">
        <v>3.8100000000000002E-2</v>
      </c>
      <c r="IK23">
        <v>-0.85609464767869625</v>
      </c>
      <c r="IL23">
        <v>-1.171017271736434E-3</v>
      </c>
      <c r="IM23">
        <v>2.801297040296544E-7</v>
      </c>
      <c r="IN23">
        <v>-3.6238253961199429E-11</v>
      </c>
      <c r="IO23">
        <v>3.8100000000000023E-2</v>
      </c>
      <c r="IP23">
        <v>0</v>
      </c>
      <c r="IQ23">
        <v>0</v>
      </c>
      <c r="IR23">
        <v>0</v>
      </c>
      <c r="IS23">
        <v>0</v>
      </c>
      <c r="IT23">
        <v>2161</v>
      </c>
      <c r="IU23">
        <v>1</v>
      </c>
      <c r="IV23">
        <v>19</v>
      </c>
      <c r="IW23">
        <v>0.5</v>
      </c>
      <c r="IX23">
        <v>0.5</v>
      </c>
      <c r="IY23">
        <v>0.17333999999999999</v>
      </c>
      <c r="IZ23">
        <v>2.5598100000000001</v>
      </c>
      <c r="JA23">
        <v>1.4440900000000001</v>
      </c>
      <c r="JB23">
        <v>2.2851599999999999</v>
      </c>
      <c r="JC23">
        <v>1.54419</v>
      </c>
      <c r="JD23">
        <v>2.3913600000000002</v>
      </c>
      <c r="JE23">
        <v>42.085700000000003</v>
      </c>
      <c r="JF23">
        <v>24.1751</v>
      </c>
      <c r="JG23">
        <v>18</v>
      </c>
      <c r="JH23">
        <v>510.29700000000003</v>
      </c>
      <c r="JI23">
        <v>451.63600000000002</v>
      </c>
      <c r="JJ23">
        <v>27.867599999999999</v>
      </c>
      <c r="JK23">
        <v>29.4756</v>
      </c>
      <c r="JL23">
        <v>29.999500000000001</v>
      </c>
      <c r="JM23">
        <v>29.2682</v>
      </c>
      <c r="JN23">
        <v>29.2088</v>
      </c>
      <c r="JO23">
        <v>3.58372</v>
      </c>
      <c r="JP23">
        <v>34.054099999999998</v>
      </c>
      <c r="JQ23">
        <v>39.241700000000002</v>
      </c>
      <c r="JR23">
        <v>27.8596</v>
      </c>
      <c r="JS23">
        <v>10</v>
      </c>
      <c r="JT23">
        <v>21.590499999999999</v>
      </c>
      <c r="JU23">
        <v>100.108</v>
      </c>
      <c r="JV23">
        <v>99.543199999999999</v>
      </c>
    </row>
    <row r="24" spans="1:282" x14ac:dyDescent="0.25">
      <c r="A24">
        <v>8</v>
      </c>
      <c r="B24">
        <v>1689000153.0999999</v>
      </c>
      <c r="C24">
        <v>976.09999990463257</v>
      </c>
      <c r="D24" t="s">
        <v>457</v>
      </c>
      <c r="E24" t="s">
        <v>458</v>
      </c>
      <c r="F24" t="s">
        <v>414</v>
      </c>
      <c r="G24" t="s">
        <v>415</v>
      </c>
      <c r="H24" t="s">
        <v>416</v>
      </c>
      <c r="I24" t="s">
        <v>416</v>
      </c>
      <c r="J24" t="s">
        <v>417</v>
      </c>
      <c r="K24">
        <v>1689000153.0999999</v>
      </c>
      <c r="L24">
        <f t="shared" si="0"/>
        <v>5.6100342801111468E-3</v>
      </c>
      <c r="M24">
        <f t="shared" si="1"/>
        <v>5.6100342801111465</v>
      </c>
      <c r="N24">
        <f t="shared" si="2"/>
        <v>45.465086594838908</v>
      </c>
      <c r="O24">
        <f t="shared" si="3"/>
        <v>343.15800000000002</v>
      </c>
      <c r="P24">
        <f t="shared" si="4"/>
        <v>147.47158845676773</v>
      </c>
      <c r="Q24">
        <f t="shared" si="5"/>
        <v>14.639570727110753</v>
      </c>
      <c r="R24">
        <f t="shared" si="6"/>
        <v>34.065448566362996</v>
      </c>
      <c r="S24">
        <f t="shared" si="7"/>
        <v>0.4083598185909767</v>
      </c>
      <c r="T24">
        <f t="shared" si="8"/>
        <v>2.9177916925338407</v>
      </c>
      <c r="U24">
        <f t="shared" si="9"/>
        <v>0.37905946464486728</v>
      </c>
      <c r="V24">
        <f t="shared" si="10"/>
        <v>0.23936925732592362</v>
      </c>
      <c r="W24">
        <f t="shared" si="11"/>
        <v>289.52976195825278</v>
      </c>
      <c r="X24">
        <f t="shared" si="12"/>
        <v>30.692967051913747</v>
      </c>
      <c r="Y24">
        <f t="shared" si="13"/>
        <v>29.969799999999999</v>
      </c>
      <c r="Z24">
        <f t="shared" si="14"/>
        <v>4.2530649107011325</v>
      </c>
      <c r="AA24">
        <f t="shared" si="15"/>
        <v>64.899219100632223</v>
      </c>
      <c r="AB24">
        <f t="shared" si="16"/>
        <v>2.8363354004522994</v>
      </c>
      <c r="AC24">
        <f t="shared" si="17"/>
        <v>4.3703690734002514</v>
      </c>
      <c r="AD24">
        <f t="shared" si="18"/>
        <v>1.4167295102488331</v>
      </c>
      <c r="AE24">
        <f t="shared" si="19"/>
        <v>-247.40251175290157</v>
      </c>
      <c r="AF24">
        <f t="shared" si="20"/>
        <v>74.625010829308252</v>
      </c>
      <c r="AG24">
        <f t="shared" si="21"/>
        <v>5.6984831392190944</v>
      </c>
      <c r="AH24">
        <f t="shared" si="22"/>
        <v>122.45074417387855</v>
      </c>
      <c r="AI24">
        <v>0</v>
      </c>
      <c r="AJ24">
        <v>0</v>
      </c>
      <c r="AK24">
        <f t="shared" si="23"/>
        <v>1</v>
      </c>
      <c r="AL24">
        <f t="shared" si="24"/>
        <v>0</v>
      </c>
      <c r="AM24">
        <f t="shared" si="25"/>
        <v>51923.94575824718</v>
      </c>
      <c r="AN24" t="s">
        <v>418</v>
      </c>
      <c r="AO24">
        <v>10076.700000000001</v>
      </c>
      <c r="AP24">
        <v>185.01599999999999</v>
      </c>
      <c r="AQ24">
        <v>473.06</v>
      </c>
      <c r="AR24">
        <f t="shared" si="26"/>
        <v>0.60889527755464423</v>
      </c>
      <c r="AS24">
        <v>-1.4827006201179751</v>
      </c>
      <c r="AT24" t="s">
        <v>459</v>
      </c>
      <c r="AU24">
        <v>8076.84</v>
      </c>
      <c r="AV24">
        <v>726.33532000000002</v>
      </c>
      <c r="AW24">
        <v>1118.099460353005</v>
      </c>
      <c r="AX24">
        <f t="shared" si="27"/>
        <v>0.35038398125093251</v>
      </c>
      <c r="AY24">
        <v>0.5</v>
      </c>
      <c r="AZ24">
        <f t="shared" si="28"/>
        <v>1512.9914994602345</v>
      </c>
      <c r="BA24">
        <f t="shared" si="29"/>
        <v>45.465086594838908</v>
      </c>
      <c r="BB24">
        <f t="shared" si="30"/>
        <v>265.06399258984754</v>
      </c>
      <c r="BC24">
        <f t="shared" si="31"/>
        <v>3.1029775931791872E-2</v>
      </c>
      <c r="BD24">
        <f t="shared" si="32"/>
        <v>-0.5769070491719529</v>
      </c>
      <c r="BE24">
        <f t="shared" si="33"/>
        <v>238.92487566735886</v>
      </c>
      <c r="BF24" t="s">
        <v>460</v>
      </c>
      <c r="BG24">
        <v>556.12</v>
      </c>
      <c r="BH24">
        <f t="shared" si="34"/>
        <v>556.12</v>
      </c>
      <c r="BI24">
        <f t="shared" si="35"/>
        <v>0.50262027688983735</v>
      </c>
      <c r="BJ24">
        <f t="shared" si="36"/>
        <v>0.69711469544975901</v>
      </c>
      <c r="BK24">
        <f t="shared" si="37"/>
        <v>7.7659458265471359</v>
      </c>
      <c r="BL24">
        <f t="shared" si="38"/>
        <v>0.41985969851484928</v>
      </c>
      <c r="BM24">
        <f t="shared" si="39"/>
        <v>-2.2393782212196927</v>
      </c>
      <c r="BN24">
        <f t="shared" si="40"/>
        <v>0.5337471740098223</v>
      </c>
      <c r="BO24">
        <f t="shared" si="41"/>
        <v>0.4662528259901777</v>
      </c>
      <c r="BP24">
        <v>9069</v>
      </c>
      <c r="BQ24">
        <v>290.00000000000011</v>
      </c>
      <c r="BR24">
        <v>940.08</v>
      </c>
      <c r="BS24">
        <v>285</v>
      </c>
      <c r="BT24">
        <v>8076.84</v>
      </c>
      <c r="BU24">
        <v>941.66</v>
      </c>
      <c r="BV24">
        <v>-1.58</v>
      </c>
      <c r="BW24">
        <v>300.00000000000011</v>
      </c>
      <c r="BX24">
        <v>19.2</v>
      </c>
      <c r="BY24">
        <v>1118.099460353005</v>
      </c>
      <c r="BZ24">
        <v>3.1737938881547252</v>
      </c>
      <c r="CA24">
        <v>-142.51014320656591</v>
      </c>
      <c r="CB24">
        <v>2.3555301861876341</v>
      </c>
      <c r="CC24">
        <v>0.99240838367544493</v>
      </c>
      <c r="CD24">
        <v>-4.1602660734149054E-3</v>
      </c>
      <c r="CE24">
        <v>289.99999999999989</v>
      </c>
      <c r="CF24">
        <v>921.79</v>
      </c>
      <c r="CG24">
        <v>615</v>
      </c>
      <c r="CH24">
        <v>8071.12</v>
      </c>
      <c r="CI24">
        <v>941.53</v>
      </c>
      <c r="CJ24">
        <v>-19.739999999999998</v>
      </c>
      <c r="CX24">
        <f t="shared" si="42"/>
        <v>1799.77</v>
      </c>
      <c r="CY24">
        <f t="shared" si="43"/>
        <v>1512.9914994602345</v>
      </c>
      <c r="CZ24">
        <f t="shared" si="44"/>
        <v>0.84065825047658005</v>
      </c>
      <c r="DA24">
        <f t="shared" si="45"/>
        <v>0.16087042341979962</v>
      </c>
      <c r="DB24">
        <v>6</v>
      </c>
      <c r="DC24">
        <v>0.5</v>
      </c>
      <c r="DD24" t="s">
        <v>421</v>
      </c>
      <c r="DE24">
        <v>2</v>
      </c>
      <c r="DF24">
        <v>1689000153.0999999</v>
      </c>
      <c r="DG24">
        <v>343.15800000000002</v>
      </c>
      <c r="DH24">
        <v>400.01499999999999</v>
      </c>
      <c r="DI24">
        <v>28.5718</v>
      </c>
      <c r="DJ24">
        <v>22.0334</v>
      </c>
      <c r="DK24">
        <v>344.375</v>
      </c>
      <c r="DL24">
        <v>28.5352</v>
      </c>
      <c r="DM24">
        <v>500.09899999999999</v>
      </c>
      <c r="DN24">
        <v>99.170599999999993</v>
      </c>
      <c r="DO24">
        <v>9.9848500000000007E-2</v>
      </c>
      <c r="DP24">
        <v>30.444199999999999</v>
      </c>
      <c r="DQ24">
        <v>29.969799999999999</v>
      </c>
      <c r="DR24">
        <v>999.9</v>
      </c>
      <c r="DS24">
        <v>0</v>
      </c>
      <c r="DT24">
        <v>0</v>
      </c>
      <c r="DU24">
        <v>10016.200000000001</v>
      </c>
      <c r="DV24">
        <v>0</v>
      </c>
      <c r="DW24">
        <v>1590.47</v>
      </c>
      <c r="DX24">
        <v>-56.8568</v>
      </c>
      <c r="DY24">
        <v>353.25099999999998</v>
      </c>
      <c r="DZ24">
        <v>409.02699999999999</v>
      </c>
      <c r="EA24">
        <v>6.5384200000000003</v>
      </c>
      <c r="EB24">
        <v>400.01499999999999</v>
      </c>
      <c r="EC24">
        <v>22.0334</v>
      </c>
      <c r="ED24">
        <v>2.8334899999999998</v>
      </c>
      <c r="EE24">
        <v>2.1850700000000001</v>
      </c>
      <c r="EF24">
        <v>23.080500000000001</v>
      </c>
      <c r="EG24">
        <v>18.853200000000001</v>
      </c>
      <c r="EH24">
        <v>1799.77</v>
      </c>
      <c r="EI24">
        <v>0.97799700000000001</v>
      </c>
      <c r="EJ24">
        <v>2.2002500000000001E-2</v>
      </c>
      <c r="EK24">
        <v>0</v>
      </c>
      <c r="EL24">
        <v>725.976</v>
      </c>
      <c r="EM24">
        <v>5.00082</v>
      </c>
      <c r="EN24">
        <v>15703.3</v>
      </c>
      <c r="EO24">
        <v>14128</v>
      </c>
      <c r="EP24">
        <v>46.875</v>
      </c>
      <c r="EQ24">
        <v>48.375</v>
      </c>
      <c r="ER24">
        <v>47.936999999999998</v>
      </c>
      <c r="ES24">
        <v>47.561999999999998</v>
      </c>
      <c r="ET24">
        <v>48.311999999999998</v>
      </c>
      <c r="EU24">
        <v>1755.28</v>
      </c>
      <c r="EV24">
        <v>39.49</v>
      </c>
      <c r="EW24">
        <v>0</v>
      </c>
      <c r="EX24">
        <v>187.80000019073489</v>
      </c>
      <c r="EY24">
        <v>0</v>
      </c>
      <c r="EZ24">
        <v>726.33532000000002</v>
      </c>
      <c r="FA24">
        <v>-0.69084616325803616</v>
      </c>
      <c r="FB24">
        <v>21.423076477380899</v>
      </c>
      <c r="FC24">
        <v>15703.232</v>
      </c>
      <c r="FD24">
        <v>15</v>
      </c>
      <c r="FE24">
        <v>1689000050.0999999</v>
      </c>
      <c r="FF24" t="s">
        <v>461</v>
      </c>
      <c r="FG24">
        <v>1689000050.0999999</v>
      </c>
      <c r="FH24">
        <v>1689000049.0999999</v>
      </c>
      <c r="FI24">
        <v>10</v>
      </c>
      <c r="FJ24">
        <v>1.0999999999999999E-2</v>
      </c>
      <c r="FK24">
        <v>-1E-3</v>
      </c>
      <c r="FL24">
        <v>-1.272</v>
      </c>
      <c r="FM24">
        <v>3.6999999999999998E-2</v>
      </c>
      <c r="FN24">
        <v>400</v>
      </c>
      <c r="FO24">
        <v>22</v>
      </c>
      <c r="FP24">
        <v>0.03</v>
      </c>
      <c r="FQ24">
        <v>0.01</v>
      </c>
      <c r="FR24">
        <v>44.943779727910787</v>
      </c>
      <c r="FS24">
        <v>3.6494078751740959</v>
      </c>
      <c r="FT24">
        <v>0.26455404882837003</v>
      </c>
      <c r="FU24">
        <v>0</v>
      </c>
      <c r="FV24">
        <v>0.40514965322209512</v>
      </c>
      <c r="FW24">
        <v>2.1274376559503559E-2</v>
      </c>
      <c r="FX24">
        <v>1.880230189598552E-3</v>
      </c>
      <c r="FY24">
        <v>1</v>
      </c>
      <c r="FZ24">
        <v>1</v>
      </c>
      <c r="GA24">
        <v>2</v>
      </c>
      <c r="GB24" t="s">
        <v>462</v>
      </c>
      <c r="GC24">
        <v>2.9469099999999999</v>
      </c>
      <c r="GD24">
        <v>2.70865</v>
      </c>
      <c r="GE24">
        <v>7.8701199999999999E-2</v>
      </c>
      <c r="GF24">
        <v>8.8592299999999999E-2</v>
      </c>
      <c r="GG24">
        <v>0.12869800000000001</v>
      </c>
      <c r="GH24">
        <v>0.107463</v>
      </c>
      <c r="GI24">
        <v>30531</v>
      </c>
      <c r="GJ24">
        <v>29412.1</v>
      </c>
      <c r="GK24">
        <v>34124.400000000001</v>
      </c>
      <c r="GL24">
        <v>32295.200000000001</v>
      </c>
      <c r="GM24">
        <v>42863.199999999997</v>
      </c>
      <c r="GN24">
        <v>40994.6</v>
      </c>
      <c r="GO24">
        <v>49370.2</v>
      </c>
      <c r="GP24">
        <v>45703.3</v>
      </c>
      <c r="GQ24">
        <v>2.0227200000000001</v>
      </c>
      <c r="GR24">
        <v>1.8682799999999999</v>
      </c>
      <c r="GS24">
        <v>7.9091599999999998E-2</v>
      </c>
      <c r="GT24">
        <v>0</v>
      </c>
      <c r="GU24">
        <v>28.6813</v>
      </c>
      <c r="GV24">
        <v>999.9</v>
      </c>
      <c r="GW24">
        <v>50.1</v>
      </c>
      <c r="GX24">
        <v>35.6</v>
      </c>
      <c r="GY24">
        <v>29.4969</v>
      </c>
      <c r="GZ24">
        <v>60.078299999999999</v>
      </c>
      <c r="HA24">
        <v>25.877400000000002</v>
      </c>
      <c r="HB24">
        <v>1</v>
      </c>
      <c r="HC24">
        <v>0.16702700000000001</v>
      </c>
      <c r="HD24">
        <v>1.1413400000000001E-2</v>
      </c>
      <c r="HE24">
        <v>20.2287</v>
      </c>
      <c r="HF24">
        <v>5.2712000000000003</v>
      </c>
      <c r="HG24">
        <v>12.039899999999999</v>
      </c>
      <c r="HH24">
        <v>4.9661</v>
      </c>
      <c r="HI24">
        <v>3.3010000000000002</v>
      </c>
      <c r="HJ24">
        <v>9999</v>
      </c>
      <c r="HK24">
        <v>9999</v>
      </c>
      <c r="HL24">
        <v>9999</v>
      </c>
      <c r="HM24">
        <v>999.9</v>
      </c>
      <c r="HN24">
        <v>1.8684499999999999</v>
      </c>
      <c r="HO24">
        <v>1.8721000000000001</v>
      </c>
      <c r="HP24">
        <v>1.87195</v>
      </c>
      <c r="HQ24">
        <v>1.87141</v>
      </c>
      <c r="HR24">
        <v>1.8646799999999999</v>
      </c>
      <c r="HS24">
        <v>1.8658399999999999</v>
      </c>
      <c r="HT24">
        <v>1.86788</v>
      </c>
      <c r="HU24">
        <v>1.8724099999999999</v>
      </c>
      <c r="HV24">
        <v>0</v>
      </c>
      <c r="HW24">
        <v>0</v>
      </c>
      <c r="HX24">
        <v>0</v>
      </c>
      <c r="HY24">
        <v>0</v>
      </c>
      <c r="HZ24" t="s">
        <v>424</v>
      </c>
      <c r="IA24" t="s">
        <v>425</v>
      </c>
      <c r="IB24" t="s">
        <v>426</v>
      </c>
      <c r="IC24" t="s">
        <v>426</v>
      </c>
      <c r="ID24" t="s">
        <v>426</v>
      </c>
      <c r="IE24" t="s">
        <v>426</v>
      </c>
      <c r="IF24">
        <v>0</v>
      </c>
      <c r="IG24">
        <v>100</v>
      </c>
      <c r="IH24">
        <v>100</v>
      </c>
      <c r="II24">
        <v>-1.2170000000000001</v>
      </c>
      <c r="IJ24">
        <v>3.6600000000000001E-2</v>
      </c>
      <c r="IK24">
        <v>-0.84501208113553461</v>
      </c>
      <c r="IL24">
        <v>-1.171017271736434E-3</v>
      </c>
      <c r="IM24">
        <v>2.801297040296544E-7</v>
      </c>
      <c r="IN24">
        <v>-3.6238253961199429E-11</v>
      </c>
      <c r="IO24">
        <v>3.665238095238621E-2</v>
      </c>
      <c r="IP24">
        <v>0</v>
      </c>
      <c r="IQ24">
        <v>0</v>
      </c>
      <c r="IR24">
        <v>0</v>
      </c>
      <c r="IS24">
        <v>0</v>
      </c>
      <c r="IT24">
        <v>2161</v>
      </c>
      <c r="IU24">
        <v>1</v>
      </c>
      <c r="IV24">
        <v>19</v>
      </c>
      <c r="IW24">
        <v>1.7</v>
      </c>
      <c r="IX24">
        <v>1.7</v>
      </c>
      <c r="IY24">
        <v>1.02661</v>
      </c>
      <c r="IZ24">
        <v>2.48291</v>
      </c>
      <c r="JA24">
        <v>1.4440900000000001</v>
      </c>
      <c r="JB24">
        <v>2.2851599999999999</v>
      </c>
      <c r="JC24">
        <v>1.54419</v>
      </c>
      <c r="JD24">
        <v>2.4096700000000002</v>
      </c>
      <c r="JE24">
        <v>42.324100000000001</v>
      </c>
      <c r="JF24">
        <v>24.183800000000002</v>
      </c>
      <c r="JG24">
        <v>18</v>
      </c>
      <c r="JH24">
        <v>510.23200000000003</v>
      </c>
      <c r="JI24">
        <v>450.68299999999999</v>
      </c>
      <c r="JJ24">
        <v>28.1142</v>
      </c>
      <c r="JK24">
        <v>29.496200000000002</v>
      </c>
      <c r="JL24">
        <v>30.0001</v>
      </c>
      <c r="JM24">
        <v>29.290800000000001</v>
      </c>
      <c r="JN24">
        <v>29.232299999999999</v>
      </c>
      <c r="JO24">
        <v>20.665800000000001</v>
      </c>
      <c r="JP24">
        <v>31.713200000000001</v>
      </c>
      <c r="JQ24">
        <v>35.853900000000003</v>
      </c>
      <c r="JR24">
        <v>28.319199999999999</v>
      </c>
      <c r="JS24">
        <v>400</v>
      </c>
      <c r="JT24">
        <v>22.103899999999999</v>
      </c>
      <c r="JU24">
        <v>100.102</v>
      </c>
      <c r="JV24">
        <v>99.544200000000004</v>
      </c>
    </row>
    <row r="25" spans="1:282" x14ac:dyDescent="0.25">
      <c r="A25">
        <v>9</v>
      </c>
      <c r="B25">
        <v>1689000267.0999999</v>
      </c>
      <c r="C25">
        <v>1090.099999904633</v>
      </c>
      <c r="D25" t="s">
        <v>463</v>
      </c>
      <c r="E25" t="s">
        <v>464</v>
      </c>
      <c r="F25" t="s">
        <v>414</v>
      </c>
      <c r="G25" t="s">
        <v>415</v>
      </c>
      <c r="H25" t="s">
        <v>416</v>
      </c>
      <c r="I25" t="s">
        <v>416</v>
      </c>
      <c r="J25" t="s">
        <v>417</v>
      </c>
      <c r="K25">
        <v>1689000267.0999999</v>
      </c>
      <c r="L25">
        <f t="shared" si="0"/>
        <v>5.3687544860540658E-3</v>
      </c>
      <c r="M25">
        <f t="shared" si="1"/>
        <v>5.3687544860540655</v>
      </c>
      <c r="N25">
        <f t="shared" si="2"/>
        <v>47.811779476476843</v>
      </c>
      <c r="O25">
        <f t="shared" si="3"/>
        <v>340.54199999999997</v>
      </c>
      <c r="P25">
        <f t="shared" si="4"/>
        <v>125.29201719504168</v>
      </c>
      <c r="Q25">
        <f t="shared" si="5"/>
        <v>12.437268326011255</v>
      </c>
      <c r="R25">
        <f t="shared" si="6"/>
        <v>33.804326285873998</v>
      </c>
      <c r="S25">
        <f t="shared" si="7"/>
        <v>0.38771468927718394</v>
      </c>
      <c r="T25">
        <f t="shared" si="8"/>
        <v>2.9072073709821504</v>
      </c>
      <c r="U25">
        <f t="shared" si="9"/>
        <v>0.36110953759411291</v>
      </c>
      <c r="V25">
        <f t="shared" si="10"/>
        <v>0.22793151047876842</v>
      </c>
      <c r="W25">
        <f t="shared" si="11"/>
        <v>289.57285395840904</v>
      </c>
      <c r="X25">
        <f t="shared" si="12"/>
        <v>30.790201804792979</v>
      </c>
      <c r="Y25">
        <f t="shared" si="13"/>
        <v>30.084599999999998</v>
      </c>
      <c r="Z25">
        <f t="shared" si="14"/>
        <v>4.2811966989847763</v>
      </c>
      <c r="AA25">
        <f t="shared" si="15"/>
        <v>65.281215608843752</v>
      </c>
      <c r="AB25">
        <f t="shared" si="16"/>
        <v>2.8584410687379003</v>
      </c>
      <c r="AC25">
        <f t="shared" si="17"/>
        <v>4.3786578452602569</v>
      </c>
      <c r="AD25">
        <f t="shared" si="18"/>
        <v>1.422755630246876</v>
      </c>
      <c r="AE25">
        <f t="shared" si="19"/>
        <v>-236.76207283498431</v>
      </c>
      <c r="AF25">
        <f t="shared" si="20"/>
        <v>61.549191958130059</v>
      </c>
      <c r="AG25">
        <f t="shared" si="21"/>
        <v>4.720555737675447</v>
      </c>
      <c r="AH25">
        <f t="shared" si="22"/>
        <v>119.08052881923024</v>
      </c>
      <c r="AI25">
        <v>0</v>
      </c>
      <c r="AJ25">
        <v>0</v>
      </c>
      <c r="AK25">
        <f t="shared" si="23"/>
        <v>1</v>
      </c>
      <c r="AL25">
        <f t="shared" si="24"/>
        <v>0</v>
      </c>
      <c r="AM25">
        <f t="shared" si="25"/>
        <v>51617.546527560888</v>
      </c>
      <c r="AN25" t="s">
        <v>418</v>
      </c>
      <c r="AO25">
        <v>10076.700000000001</v>
      </c>
      <c r="AP25">
        <v>185.01599999999999</v>
      </c>
      <c r="AQ25">
        <v>473.06</v>
      </c>
      <c r="AR25">
        <f t="shared" si="26"/>
        <v>0.60889527755464423</v>
      </c>
      <c r="AS25">
        <v>-1.4827006201179751</v>
      </c>
      <c r="AT25" t="s">
        <v>465</v>
      </c>
      <c r="AU25">
        <v>8079.17</v>
      </c>
      <c r="AV25">
        <v>727.86428000000001</v>
      </c>
      <c r="AW25">
        <v>1062.9904633911451</v>
      </c>
      <c r="AX25">
        <f t="shared" si="27"/>
        <v>0.31526734710490989</v>
      </c>
      <c r="AY25">
        <v>0.5</v>
      </c>
      <c r="AZ25">
        <f t="shared" si="28"/>
        <v>1513.2182994603154</v>
      </c>
      <c r="BA25">
        <f t="shared" si="29"/>
        <v>47.811779476476843</v>
      </c>
      <c r="BB25">
        <f t="shared" si="30"/>
        <v>238.53415943072835</v>
      </c>
      <c r="BC25">
        <f t="shared" si="31"/>
        <v>3.2575921209897829E-2</v>
      </c>
      <c r="BD25">
        <f t="shared" si="32"/>
        <v>-0.55497248913141983</v>
      </c>
      <c r="BE25">
        <f t="shared" si="33"/>
        <v>236.30699022666897</v>
      </c>
      <c r="BF25" t="s">
        <v>466</v>
      </c>
      <c r="BG25">
        <v>554.02</v>
      </c>
      <c r="BH25">
        <f t="shared" si="34"/>
        <v>554.02</v>
      </c>
      <c r="BI25">
        <f t="shared" si="35"/>
        <v>0.47880999963765525</v>
      </c>
      <c r="BJ25">
        <f t="shared" si="36"/>
        <v>0.65843935453205216</v>
      </c>
      <c r="BK25">
        <f t="shared" si="37"/>
        <v>7.2866905063135539</v>
      </c>
      <c r="BL25">
        <f t="shared" si="38"/>
        <v>0.38170379363510432</v>
      </c>
      <c r="BM25">
        <f t="shared" si="39"/>
        <v>-2.048056766990964</v>
      </c>
      <c r="BN25">
        <f t="shared" si="40"/>
        <v>0.50117663583909844</v>
      </c>
      <c r="BO25">
        <f t="shared" si="41"/>
        <v>0.49882336416090156</v>
      </c>
      <c r="BP25">
        <v>9071</v>
      </c>
      <c r="BQ25">
        <v>290.00000000000011</v>
      </c>
      <c r="BR25">
        <v>943.89</v>
      </c>
      <c r="BS25">
        <v>235</v>
      </c>
      <c r="BT25">
        <v>8079.17</v>
      </c>
      <c r="BU25">
        <v>946</v>
      </c>
      <c r="BV25">
        <v>-2.11</v>
      </c>
      <c r="BW25">
        <v>300.00000000000011</v>
      </c>
      <c r="BX25">
        <v>19.2</v>
      </c>
      <c r="BY25">
        <v>1062.9904633911451</v>
      </c>
      <c r="BZ25">
        <v>3.1883648895556909</v>
      </c>
      <c r="CA25">
        <v>-94.522453141013926</v>
      </c>
      <c r="CB25">
        <v>2.366347124108767</v>
      </c>
      <c r="CC25">
        <v>0.98275394513069325</v>
      </c>
      <c r="CD25">
        <v>-4.1600634037819934E-3</v>
      </c>
      <c r="CE25">
        <v>289.99999999999989</v>
      </c>
      <c r="CF25">
        <v>938.31</v>
      </c>
      <c r="CG25">
        <v>645</v>
      </c>
      <c r="CH25">
        <v>8070.26</v>
      </c>
      <c r="CI25">
        <v>945.87</v>
      </c>
      <c r="CJ25">
        <v>-7.56</v>
      </c>
      <c r="CX25">
        <f t="shared" si="42"/>
        <v>1800.04</v>
      </c>
      <c r="CY25">
        <f t="shared" si="43"/>
        <v>1513.2182994603154</v>
      </c>
      <c r="CZ25">
        <f t="shared" si="44"/>
        <v>0.84065815174124769</v>
      </c>
      <c r="DA25">
        <f t="shared" si="45"/>
        <v>0.16087023286060811</v>
      </c>
      <c r="DB25">
        <v>6</v>
      </c>
      <c r="DC25">
        <v>0.5</v>
      </c>
      <c r="DD25" t="s">
        <v>421</v>
      </c>
      <c r="DE25">
        <v>2</v>
      </c>
      <c r="DF25">
        <v>1689000267.0999999</v>
      </c>
      <c r="DG25">
        <v>340.54199999999997</v>
      </c>
      <c r="DH25">
        <v>400.09399999999999</v>
      </c>
      <c r="DI25">
        <v>28.7957</v>
      </c>
      <c r="DJ25">
        <v>22.540400000000002</v>
      </c>
      <c r="DK25">
        <v>341.75299999999999</v>
      </c>
      <c r="DL25">
        <v>28.748200000000001</v>
      </c>
      <c r="DM25">
        <v>500.13499999999999</v>
      </c>
      <c r="DN25">
        <v>99.165700000000001</v>
      </c>
      <c r="DO25">
        <v>0.100547</v>
      </c>
      <c r="DP25">
        <v>30.4773</v>
      </c>
      <c r="DQ25">
        <v>30.084599999999998</v>
      </c>
      <c r="DR25">
        <v>999.9</v>
      </c>
      <c r="DS25">
        <v>0</v>
      </c>
      <c r="DT25">
        <v>0</v>
      </c>
      <c r="DU25">
        <v>9956.25</v>
      </c>
      <c r="DV25">
        <v>0</v>
      </c>
      <c r="DW25">
        <v>1598.62</v>
      </c>
      <c r="DX25">
        <v>-59.551600000000001</v>
      </c>
      <c r="DY25">
        <v>350.63900000000001</v>
      </c>
      <c r="DZ25">
        <v>409.32</v>
      </c>
      <c r="EA25">
        <v>6.2552899999999996</v>
      </c>
      <c r="EB25">
        <v>400.09399999999999</v>
      </c>
      <c r="EC25">
        <v>22.540400000000002</v>
      </c>
      <c r="ED25">
        <v>2.85555</v>
      </c>
      <c r="EE25">
        <v>2.2352400000000001</v>
      </c>
      <c r="EF25">
        <v>23.2088</v>
      </c>
      <c r="EG25">
        <v>19.217099999999999</v>
      </c>
      <c r="EH25">
        <v>1800.04</v>
      </c>
      <c r="EI25">
        <v>0.97800100000000001</v>
      </c>
      <c r="EJ25">
        <v>2.1998899999999998E-2</v>
      </c>
      <c r="EK25">
        <v>0</v>
      </c>
      <c r="EL25">
        <v>727.98900000000003</v>
      </c>
      <c r="EM25">
        <v>5.00082</v>
      </c>
      <c r="EN25">
        <v>15757.1</v>
      </c>
      <c r="EO25">
        <v>14130.1</v>
      </c>
      <c r="EP25">
        <v>46.875</v>
      </c>
      <c r="EQ25">
        <v>48.311999999999998</v>
      </c>
      <c r="ER25">
        <v>47.936999999999998</v>
      </c>
      <c r="ES25">
        <v>47.5</v>
      </c>
      <c r="ET25">
        <v>48.311999999999998</v>
      </c>
      <c r="EU25">
        <v>1755.55</v>
      </c>
      <c r="EV25">
        <v>39.49</v>
      </c>
      <c r="EW25">
        <v>0</v>
      </c>
      <c r="EX25">
        <v>112.2000000476837</v>
      </c>
      <c r="EY25">
        <v>0</v>
      </c>
      <c r="EZ25">
        <v>727.86428000000001</v>
      </c>
      <c r="FA25">
        <v>2.882384641489339</v>
      </c>
      <c r="FB25">
        <v>59.38461538515589</v>
      </c>
      <c r="FC25">
        <v>15751.072</v>
      </c>
      <c r="FD25">
        <v>15</v>
      </c>
      <c r="FE25">
        <v>1689000236.5999999</v>
      </c>
      <c r="FF25" t="s">
        <v>467</v>
      </c>
      <c r="FG25">
        <v>1689000223.5999999</v>
      </c>
      <c r="FH25">
        <v>1689000236.5999999</v>
      </c>
      <c r="FI25">
        <v>11</v>
      </c>
      <c r="FJ25">
        <v>3.0000000000000001E-3</v>
      </c>
      <c r="FK25">
        <v>1.0999999999999999E-2</v>
      </c>
      <c r="FL25">
        <v>-1.2689999999999999</v>
      </c>
      <c r="FM25">
        <v>4.8000000000000001E-2</v>
      </c>
      <c r="FN25">
        <v>400</v>
      </c>
      <c r="FO25">
        <v>22</v>
      </c>
      <c r="FP25">
        <v>0.02</v>
      </c>
      <c r="FQ25">
        <v>0.01</v>
      </c>
      <c r="FR25">
        <v>47.890948205227389</v>
      </c>
      <c r="FS25">
        <v>-0.63987013612641452</v>
      </c>
      <c r="FT25">
        <v>5.3953724638106909E-2</v>
      </c>
      <c r="FU25">
        <v>1</v>
      </c>
      <c r="FV25">
        <v>0.39009924215199943</v>
      </c>
      <c r="FW25">
        <v>1.9551147926164619E-2</v>
      </c>
      <c r="FX25">
        <v>4.5159023819854273E-3</v>
      </c>
      <c r="FY25">
        <v>1</v>
      </c>
      <c r="FZ25">
        <v>2</v>
      </c>
      <c r="GA25">
        <v>2</v>
      </c>
      <c r="GB25" t="s">
        <v>423</v>
      </c>
      <c r="GC25">
        <v>2.9469799999999999</v>
      </c>
      <c r="GD25">
        <v>2.7088299999999998</v>
      </c>
      <c r="GE25">
        <v>7.8223299999999996E-2</v>
      </c>
      <c r="GF25">
        <v>8.8604699999999995E-2</v>
      </c>
      <c r="GG25">
        <v>0.12935199999999999</v>
      </c>
      <c r="GH25">
        <v>0.109184</v>
      </c>
      <c r="GI25">
        <v>30547.7</v>
      </c>
      <c r="GJ25">
        <v>29412.1</v>
      </c>
      <c r="GK25">
        <v>34125.300000000003</v>
      </c>
      <c r="GL25">
        <v>32295.599999999999</v>
      </c>
      <c r="GM25">
        <v>42832.2</v>
      </c>
      <c r="GN25">
        <v>40915.800000000003</v>
      </c>
      <c r="GO25">
        <v>49371.9</v>
      </c>
      <c r="GP25">
        <v>45704.1</v>
      </c>
      <c r="GQ25">
        <v>2.0220500000000001</v>
      </c>
      <c r="GR25">
        <v>1.8667</v>
      </c>
      <c r="GS25">
        <v>8.3565700000000007E-2</v>
      </c>
      <c r="GT25">
        <v>0</v>
      </c>
      <c r="GU25">
        <v>28.723299999999998</v>
      </c>
      <c r="GV25">
        <v>999.9</v>
      </c>
      <c r="GW25">
        <v>49.4</v>
      </c>
      <c r="GX25">
        <v>35.799999999999997</v>
      </c>
      <c r="GY25">
        <v>29.407499999999999</v>
      </c>
      <c r="GZ25">
        <v>60.438299999999998</v>
      </c>
      <c r="HA25">
        <v>25.448699999999999</v>
      </c>
      <c r="HB25">
        <v>1</v>
      </c>
      <c r="HC25">
        <v>0.16789100000000001</v>
      </c>
      <c r="HD25">
        <v>1.2485299999999999</v>
      </c>
      <c r="HE25">
        <v>20.2239</v>
      </c>
      <c r="HF25">
        <v>5.2732999999999999</v>
      </c>
      <c r="HG25">
        <v>12.039899999999999</v>
      </c>
      <c r="HH25">
        <v>4.9669499999999998</v>
      </c>
      <c r="HI25">
        <v>3.3010000000000002</v>
      </c>
      <c r="HJ25">
        <v>9999</v>
      </c>
      <c r="HK25">
        <v>9999</v>
      </c>
      <c r="HL25">
        <v>9999</v>
      </c>
      <c r="HM25">
        <v>999.9</v>
      </c>
      <c r="HN25">
        <v>1.8684400000000001</v>
      </c>
      <c r="HO25">
        <v>1.8721000000000001</v>
      </c>
      <c r="HP25">
        <v>1.87195</v>
      </c>
      <c r="HQ25">
        <v>1.87134</v>
      </c>
      <c r="HR25">
        <v>1.86466</v>
      </c>
      <c r="HS25">
        <v>1.8658399999999999</v>
      </c>
      <c r="HT25">
        <v>1.8678300000000001</v>
      </c>
      <c r="HU25">
        <v>1.8724000000000001</v>
      </c>
      <c r="HV25">
        <v>0</v>
      </c>
      <c r="HW25">
        <v>0</v>
      </c>
      <c r="HX25">
        <v>0</v>
      </c>
      <c r="HY25">
        <v>0</v>
      </c>
      <c r="HZ25" t="s">
        <v>424</v>
      </c>
      <c r="IA25" t="s">
        <v>425</v>
      </c>
      <c r="IB25" t="s">
        <v>426</v>
      </c>
      <c r="IC25" t="s">
        <v>426</v>
      </c>
      <c r="ID25" t="s">
        <v>426</v>
      </c>
      <c r="IE25" t="s">
        <v>426</v>
      </c>
      <c r="IF25">
        <v>0</v>
      </c>
      <c r="IG25">
        <v>100</v>
      </c>
      <c r="IH25">
        <v>100</v>
      </c>
      <c r="II25">
        <v>-1.2110000000000001</v>
      </c>
      <c r="IJ25">
        <v>4.7500000000000001E-2</v>
      </c>
      <c r="IK25">
        <v>-0.84174916954568269</v>
      </c>
      <c r="IL25">
        <v>-1.171017271736434E-3</v>
      </c>
      <c r="IM25">
        <v>2.801297040296544E-7</v>
      </c>
      <c r="IN25">
        <v>-3.6238253961199429E-11</v>
      </c>
      <c r="IO25">
        <v>4.7549999999997539E-2</v>
      </c>
      <c r="IP25">
        <v>0</v>
      </c>
      <c r="IQ25">
        <v>0</v>
      </c>
      <c r="IR25">
        <v>0</v>
      </c>
      <c r="IS25">
        <v>0</v>
      </c>
      <c r="IT25">
        <v>2161</v>
      </c>
      <c r="IU25">
        <v>1</v>
      </c>
      <c r="IV25">
        <v>19</v>
      </c>
      <c r="IW25">
        <v>0.7</v>
      </c>
      <c r="IX25">
        <v>0.5</v>
      </c>
      <c r="IY25">
        <v>1.02661</v>
      </c>
      <c r="IZ25">
        <v>2.4877899999999999</v>
      </c>
      <c r="JA25">
        <v>1.4440900000000001</v>
      </c>
      <c r="JB25">
        <v>2.2851599999999999</v>
      </c>
      <c r="JC25">
        <v>1.54419</v>
      </c>
      <c r="JD25">
        <v>2.3718300000000001</v>
      </c>
      <c r="JE25">
        <v>42.483699999999999</v>
      </c>
      <c r="JF25">
        <v>24.218800000000002</v>
      </c>
      <c r="JG25">
        <v>18</v>
      </c>
      <c r="JH25">
        <v>509.83300000000003</v>
      </c>
      <c r="JI25">
        <v>449.71100000000001</v>
      </c>
      <c r="JJ25">
        <v>27.790800000000001</v>
      </c>
      <c r="JK25">
        <v>29.496200000000002</v>
      </c>
      <c r="JL25">
        <v>30.0002</v>
      </c>
      <c r="JM25">
        <v>29.2959</v>
      </c>
      <c r="JN25">
        <v>29.237300000000001</v>
      </c>
      <c r="JO25">
        <v>20.671800000000001</v>
      </c>
      <c r="JP25">
        <v>30.013000000000002</v>
      </c>
      <c r="JQ25">
        <v>34.613300000000002</v>
      </c>
      <c r="JR25">
        <v>27.721900000000002</v>
      </c>
      <c r="JS25">
        <v>400</v>
      </c>
      <c r="JT25">
        <v>22.4907</v>
      </c>
      <c r="JU25">
        <v>100.10599999999999</v>
      </c>
      <c r="JV25">
        <v>99.5458</v>
      </c>
    </row>
    <row r="26" spans="1:282" x14ac:dyDescent="0.25">
      <c r="A26">
        <v>10</v>
      </c>
      <c r="B26">
        <v>1689000374.5999999</v>
      </c>
      <c r="C26">
        <v>1197.599999904633</v>
      </c>
      <c r="D26" t="s">
        <v>468</v>
      </c>
      <c r="E26" t="s">
        <v>469</v>
      </c>
      <c r="F26" t="s">
        <v>414</v>
      </c>
      <c r="G26" t="s">
        <v>415</v>
      </c>
      <c r="H26" t="s">
        <v>416</v>
      </c>
      <c r="I26" t="s">
        <v>416</v>
      </c>
      <c r="J26" t="s">
        <v>417</v>
      </c>
      <c r="K26">
        <v>1689000374.5999999</v>
      </c>
      <c r="L26">
        <f t="shared" si="0"/>
        <v>5.3823113376520546E-3</v>
      </c>
      <c r="M26">
        <f t="shared" si="1"/>
        <v>5.3823113376520544</v>
      </c>
      <c r="N26">
        <f t="shared" si="2"/>
        <v>47.494567468062208</v>
      </c>
      <c r="O26">
        <f t="shared" si="3"/>
        <v>340.79700000000003</v>
      </c>
      <c r="P26">
        <f t="shared" si="4"/>
        <v>128.35883210698333</v>
      </c>
      <c r="Q26">
        <f t="shared" si="5"/>
        <v>12.741951372591931</v>
      </c>
      <c r="R26">
        <f t="shared" si="6"/>
        <v>33.830307822572998</v>
      </c>
      <c r="S26">
        <f t="shared" si="7"/>
        <v>0.39047037210258562</v>
      </c>
      <c r="T26">
        <f t="shared" si="8"/>
        <v>2.9193933123212608</v>
      </c>
      <c r="U26">
        <f t="shared" si="9"/>
        <v>0.36360406093779052</v>
      </c>
      <c r="V26">
        <f t="shared" si="10"/>
        <v>0.22951214147993249</v>
      </c>
      <c r="W26">
        <f t="shared" si="11"/>
        <v>289.56168195836852</v>
      </c>
      <c r="X26">
        <f t="shared" si="12"/>
        <v>30.616830556412545</v>
      </c>
      <c r="Y26">
        <f t="shared" si="13"/>
        <v>29.957599999999999</v>
      </c>
      <c r="Z26">
        <f t="shared" si="14"/>
        <v>4.2500847873286096</v>
      </c>
      <c r="AA26">
        <f t="shared" si="15"/>
        <v>65.329705412260381</v>
      </c>
      <c r="AB26">
        <f t="shared" si="16"/>
        <v>2.8330749775763997</v>
      </c>
      <c r="AC26">
        <f t="shared" si="17"/>
        <v>4.3365800590992993</v>
      </c>
      <c r="AD26">
        <f t="shared" si="18"/>
        <v>1.4170098097522099</v>
      </c>
      <c r="AE26">
        <f t="shared" si="19"/>
        <v>-237.35992999045561</v>
      </c>
      <c r="AF26">
        <f t="shared" si="20"/>
        <v>55.259745654331965</v>
      </c>
      <c r="AG26">
        <f t="shared" si="21"/>
        <v>4.2143240229244423</v>
      </c>
      <c r="AH26">
        <f t="shared" si="22"/>
        <v>111.67582164516929</v>
      </c>
      <c r="AI26">
        <v>0</v>
      </c>
      <c r="AJ26">
        <v>0</v>
      </c>
      <c r="AK26">
        <f t="shared" si="23"/>
        <v>1</v>
      </c>
      <c r="AL26">
        <f t="shared" si="24"/>
        <v>0</v>
      </c>
      <c r="AM26">
        <f t="shared" si="25"/>
        <v>51992.669708539448</v>
      </c>
      <c r="AN26" t="s">
        <v>418</v>
      </c>
      <c r="AO26">
        <v>10076.700000000001</v>
      </c>
      <c r="AP26">
        <v>185.01599999999999</v>
      </c>
      <c r="AQ26">
        <v>473.06</v>
      </c>
      <c r="AR26">
        <f t="shared" si="26"/>
        <v>0.60889527755464423</v>
      </c>
      <c r="AS26">
        <v>-1.4827006201179751</v>
      </c>
      <c r="AT26" t="s">
        <v>470</v>
      </c>
      <c r="AU26">
        <v>8076.5</v>
      </c>
      <c r="AV26">
        <v>729.76988461538474</v>
      </c>
      <c r="AW26">
        <v>1063.6015583252449</v>
      </c>
      <c r="AX26">
        <f t="shared" si="27"/>
        <v>0.31386910925131972</v>
      </c>
      <c r="AY26">
        <v>0.5</v>
      </c>
      <c r="AZ26">
        <f t="shared" si="28"/>
        <v>1513.1594994602945</v>
      </c>
      <c r="BA26">
        <f t="shared" si="29"/>
        <v>47.494567468062208</v>
      </c>
      <c r="BB26">
        <f t="shared" si="30"/>
        <v>237.46701212538773</v>
      </c>
      <c r="BC26">
        <f t="shared" si="31"/>
        <v>3.2367551540765614E-2</v>
      </c>
      <c r="BD26">
        <f t="shared" si="32"/>
        <v>-0.55522818080025771</v>
      </c>
      <c r="BE26">
        <f t="shared" si="33"/>
        <v>236.33717646257008</v>
      </c>
      <c r="BF26" t="s">
        <v>471</v>
      </c>
      <c r="BG26">
        <v>552.63</v>
      </c>
      <c r="BH26">
        <f t="shared" si="34"/>
        <v>552.63</v>
      </c>
      <c r="BI26">
        <f t="shared" si="35"/>
        <v>0.48041633102702919</v>
      </c>
      <c r="BJ26">
        <f t="shared" si="36"/>
        <v>0.65332731004446398</v>
      </c>
      <c r="BK26">
        <f t="shared" si="37"/>
        <v>7.4216609064376655</v>
      </c>
      <c r="BL26">
        <f t="shared" si="38"/>
        <v>0.37996489988545717</v>
      </c>
      <c r="BM26">
        <f t="shared" si="39"/>
        <v>-2.0501783002778917</v>
      </c>
      <c r="BN26">
        <f t="shared" si="40"/>
        <v>0.4947426290962359</v>
      </c>
      <c r="BO26">
        <f t="shared" si="41"/>
        <v>0.5052573709037641</v>
      </c>
      <c r="BP26">
        <v>9073</v>
      </c>
      <c r="BQ26">
        <v>290.00000000000011</v>
      </c>
      <c r="BR26">
        <v>950.36</v>
      </c>
      <c r="BS26">
        <v>295</v>
      </c>
      <c r="BT26">
        <v>8076.5</v>
      </c>
      <c r="BU26">
        <v>951.53</v>
      </c>
      <c r="BV26">
        <v>-1.17</v>
      </c>
      <c r="BW26">
        <v>300.00000000000011</v>
      </c>
      <c r="BX26">
        <v>19.2</v>
      </c>
      <c r="BY26">
        <v>1063.6015583252449</v>
      </c>
      <c r="BZ26">
        <v>3.6578263107483822</v>
      </c>
      <c r="CA26">
        <v>-90.515809398608354</v>
      </c>
      <c r="CB26">
        <v>2.714667199273638</v>
      </c>
      <c r="CC26">
        <v>0.9754336807684586</v>
      </c>
      <c r="CD26">
        <v>-4.1599933259176894E-3</v>
      </c>
      <c r="CE26">
        <v>289.99999999999989</v>
      </c>
      <c r="CF26">
        <v>945.86</v>
      </c>
      <c r="CG26">
        <v>655</v>
      </c>
      <c r="CH26">
        <v>8069.69</v>
      </c>
      <c r="CI26">
        <v>951.43</v>
      </c>
      <c r="CJ26">
        <v>-5.57</v>
      </c>
      <c r="CX26">
        <f t="shared" si="42"/>
        <v>1799.97</v>
      </c>
      <c r="CY26">
        <f t="shared" si="43"/>
        <v>1513.1594994602945</v>
      </c>
      <c r="CZ26">
        <f t="shared" si="44"/>
        <v>0.84065817733645254</v>
      </c>
      <c r="DA26">
        <f t="shared" si="45"/>
        <v>0.16087028225935351</v>
      </c>
      <c r="DB26">
        <v>6</v>
      </c>
      <c r="DC26">
        <v>0.5</v>
      </c>
      <c r="DD26" t="s">
        <v>421</v>
      </c>
      <c r="DE26">
        <v>2</v>
      </c>
      <c r="DF26">
        <v>1689000374.5999999</v>
      </c>
      <c r="DG26">
        <v>340.79700000000003</v>
      </c>
      <c r="DH26">
        <v>399.97800000000001</v>
      </c>
      <c r="DI26">
        <v>28.5396</v>
      </c>
      <c r="DJ26">
        <v>22.2666</v>
      </c>
      <c r="DK26">
        <v>342.029</v>
      </c>
      <c r="DL26">
        <v>28.491599999999998</v>
      </c>
      <c r="DM26">
        <v>500.11500000000001</v>
      </c>
      <c r="DN26">
        <v>99.168300000000002</v>
      </c>
      <c r="DO26">
        <v>9.9908999999999998E-2</v>
      </c>
      <c r="DP26">
        <v>30.308700000000002</v>
      </c>
      <c r="DQ26">
        <v>29.957599999999999</v>
      </c>
      <c r="DR26">
        <v>999.9</v>
      </c>
      <c r="DS26">
        <v>0</v>
      </c>
      <c r="DT26">
        <v>0</v>
      </c>
      <c r="DU26">
        <v>10025.6</v>
      </c>
      <c r="DV26">
        <v>0</v>
      </c>
      <c r="DW26">
        <v>1606.96</v>
      </c>
      <c r="DX26">
        <v>-59.180999999999997</v>
      </c>
      <c r="DY26">
        <v>350.80900000000003</v>
      </c>
      <c r="DZ26">
        <v>409.08699999999999</v>
      </c>
      <c r="EA26">
        <v>6.2729799999999996</v>
      </c>
      <c r="EB26">
        <v>399.97800000000001</v>
      </c>
      <c r="EC26">
        <v>22.2666</v>
      </c>
      <c r="ED26">
        <v>2.8302200000000002</v>
      </c>
      <c r="EE26">
        <v>2.2081400000000002</v>
      </c>
      <c r="EF26">
        <v>23.061399999999999</v>
      </c>
      <c r="EG26">
        <v>19.0215</v>
      </c>
      <c r="EH26">
        <v>1799.97</v>
      </c>
      <c r="EI26">
        <v>0.97800100000000001</v>
      </c>
      <c r="EJ26">
        <v>2.1998899999999998E-2</v>
      </c>
      <c r="EK26">
        <v>0</v>
      </c>
      <c r="EL26">
        <v>730.21699999999998</v>
      </c>
      <c r="EM26">
        <v>5.00082</v>
      </c>
      <c r="EN26">
        <v>15806.8</v>
      </c>
      <c r="EO26">
        <v>14129.5</v>
      </c>
      <c r="EP26">
        <v>46.936999999999998</v>
      </c>
      <c r="EQ26">
        <v>48.436999999999998</v>
      </c>
      <c r="ER26">
        <v>48</v>
      </c>
      <c r="ES26">
        <v>47.625</v>
      </c>
      <c r="ET26">
        <v>48.375</v>
      </c>
      <c r="EU26">
        <v>1755.48</v>
      </c>
      <c r="EV26">
        <v>39.49</v>
      </c>
      <c r="EW26">
        <v>0</v>
      </c>
      <c r="EX26">
        <v>105.6000001430511</v>
      </c>
      <c r="EY26">
        <v>0</v>
      </c>
      <c r="EZ26">
        <v>729.76988461538474</v>
      </c>
      <c r="FA26">
        <v>1.3712478703450559</v>
      </c>
      <c r="FB26">
        <v>62.054700937098637</v>
      </c>
      <c r="FC26">
        <v>15803.45</v>
      </c>
      <c r="FD26">
        <v>15</v>
      </c>
      <c r="FE26">
        <v>1689000336.5999999</v>
      </c>
      <c r="FF26" t="s">
        <v>472</v>
      </c>
      <c r="FG26">
        <v>1689000334.5999999</v>
      </c>
      <c r="FH26">
        <v>1689000336.5999999</v>
      </c>
      <c r="FI26">
        <v>12</v>
      </c>
      <c r="FJ26">
        <v>-2.1000000000000001E-2</v>
      </c>
      <c r="FK26">
        <v>0</v>
      </c>
      <c r="FL26">
        <v>-1.29</v>
      </c>
      <c r="FM26">
        <v>4.8000000000000001E-2</v>
      </c>
      <c r="FN26">
        <v>400</v>
      </c>
      <c r="FO26">
        <v>22</v>
      </c>
      <c r="FP26">
        <v>0.05</v>
      </c>
      <c r="FQ26">
        <v>0.01</v>
      </c>
      <c r="FR26">
        <v>47.581582767237848</v>
      </c>
      <c r="FS26">
        <v>-0.27708470818742781</v>
      </c>
      <c r="FT26">
        <v>4.6221646963372512E-2</v>
      </c>
      <c r="FU26">
        <v>1</v>
      </c>
      <c r="FV26">
        <v>0.39348730466567639</v>
      </c>
      <c r="FW26">
        <v>-4.4407499673387488E-2</v>
      </c>
      <c r="FX26">
        <v>3.32949439974268E-3</v>
      </c>
      <c r="FY26">
        <v>1</v>
      </c>
      <c r="FZ26">
        <v>2</v>
      </c>
      <c r="GA26">
        <v>2</v>
      </c>
      <c r="GB26" t="s">
        <v>423</v>
      </c>
      <c r="GC26">
        <v>2.9468999999999999</v>
      </c>
      <c r="GD26">
        <v>2.70879</v>
      </c>
      <c r="GE26">
        <v>7.8265399999999999E-2</v>
      </c>
      <c r="GF26">
        <v>8.8575399999999999E-2</v>
      </c>
      <c r="GG26">
        <v>0.12854599999999999</v>
      </c>
      <c r="GH26">
        <v>0.10824499999999999</v>
      </c>
      <c r="GI26">
        <v>30542.7</v>
      </c>
      <c r="GJ26">
        <v>29410.799999999999</v>
      </c>
      <c r="GK26">
        <v>34121.599999999999</v>
      </c>
      <c r="GL26">
        <v>32293.5</v>
      </c>
      <c r="GM26">
        <v>42867.8</v>
      </c>
      <c r="GN26">
        <v>40956.9</v>
      </c>
      <c r="GO26">
        <v>49366.6</v>
      </c>
      <c r="GP26">
        <v>45701.4</v>
      </c>
      <c r="GQ26">
        <v>2.0215700000000001</v>
      </c>
      <c r="GR26">
        <v>1.8635999999999999</v>
      </c>
      <c r="GS26">
        <v>6.8269700000000003E-2</v>
      </c>
      <c r="GT26">
        <v>0</v>
      </c>
      <c r="GU26">
        <v>28.845500000000001</v>
      </c>
      <c r="GV26">
        <v>999.9</v>
      </c>
      <c r="GW26">
        <v>48.7</v>
      </c>
      <c r="GX26">
        <v>36</v>
      </c>
      <c r="GY26">
        <v>29.310500000000001</v>
      </c>
      <c r="GZ26">
        <v>60.328299999999999</v>
      </c>
      <c r="HA26">
        <v>25.468800000000002</v>
      </c>
      <c r="HB26">
        <v>1</v>
      </c>
      <c r="HC26">
        <v>0.17136899999999999</v>
      </c>
      <c r="HD26">
        <v>0.72152000000000005</v>
      </c>
      <c r="HE26">
        <v>20.227799999999998</v>
      </c>
      <c r="HF26">
        <v>5.2731500000000002</v>
      </c>
      <c r="HG26">
        <v>12.039899999999999</v>
      </c>
      <c r="HH26">
        <v>4.9669999999999996</v>
      </c>
      <c r="HI26">
        <v>3.3010000000000002</v>
      </c>
      <c r="HJ26">
        <v>9999</v>
      </c>
      <c r="HK26">
        <v>9999</v>
      </c>
      <c r="HL26">
        <v>9999</v>
      </c>
      <c r="HM26">
        <v>999.9</v>
      </c>
      <c r="HN26">
        <v>1.8684000000000001</v>
      </c>
      <c r="HO26">
        <v>1.8720699999999999</v>
      </c>
      <c r="HP26">
        <v>1.8718999999999999</v>
      </c>
      <c r="HQ26">
        <v>1.8713500000000001</v>
      </c>
      <c r="HR26">
        <v>1.8646199999999999</v>
      </c>
      <c r="HS26">
        <v>1.86581</v>
      </c>
      <c r="HT26">
        <v>1.8678300000000001</v>
      </c>
      <c r="HU26">
        <v>1.87235</v>
      </c>
      <c r="HV26">
        <v>0</v>
      </c>
      <c r="HW26">
        <v>0</v>
      </c>
      <c r="HX26">
        <v>0</v>
      </c>
      <c r="HY26">
        <v>0</v>
      </c>
      <c r="HZ26" t="s">
        <v>424</v>
      </c>
      <c r="IA26" t="s">
        <v>425</v>
      </c>
      <c r="IB26" t="s">
        <v>426</v>
      </c>
      <c r="IC26" t="s">
        <v>426</v>
      </c>
      <c r="ID26" t="s">
        <v>426</v>
      </c>
      <c r="IE26" t="s">
        <v>426</v>
      </c>
      <c r="IF26">
        <v>0</v>
      </c>
      <c r="IG26">
        <v>100</v>
      </c>
      <c r="IH26">
        <v>100</v>
      </c>
      <c r="II26">
        <v>-1.232</v>
      </c>
      <c r="IJ26">
        <v>4.8000000000000001E-2</v>
      </c>
      <c r="IK26">
        <v>-0.8628059637914014</v>
      </c>
      <c r="IL26">
        <v>-1.171017271736434E-3</v>
      </c>
      <c r="IM26">
        <v>2.801297040296544E-7</v>
      </c>
      <c r="IN26">
        <v>-3.6238253961199429E-11</v>
      </c>
      <c r="IO26">
        <v>4.7959999999999781E-2</v>
      </c>
      <c r="IP26">
        <v>0</v>
      </c>
      <c r="IQ26">
        <v>0</v>
      </c>
      <c r="IR26">
        <v>0</v>
      </c>
      <c r="IS26">
        <v>0</v>
      </c>
      <c r="IT26">
        <v>2161</v>
      </c>
      <c r="IU26">
        <v>1</v>
      </c>
      <c r="IV26">
        <v>19</v>
      </c>
      <c r="IW26">
        <v>0.7</v>
      </c>
      <c r="IX26">
        <v>0.6</v>
      </c>
      <c r="IY26">
        <v>1.02661</v>
      </c>
      <c r="IZ26">
        <v>2.4877899999999999</v>
      </c>
      <c r="JA26">
        <v>1.4440900000000001</v>
      </c>
      <c r="JB26">
        <v>2.2851599999999999</v>
      </c>
      <c r="JC26">
        <v>1.54419</v>
      </c>
      <c r="JD26">
        <v>2.36816</v>
      </c>
      <c r="JE26">
        <v>42.590400000000002</v>
      </c>
      <c r="JF26">
        <v>24.218800000000002</v>
      </c>
      <c r="JG26">
        <v>18</v>
      </c>
      <c r="JH26">
        <v>509.87400000000002</v>
      </c>
      <c r="JI26">
        <v>448.06299999999999</v>
      </c>
      <c r="JJ26">
        <v>27.6191</v>
      </c>
      <c r="JK26">
        <v>29.553100000000001</v>
      </c>
      <c r="JL26">
        <v>29.9999</v>
      </c>
      <c r="JM26">
        <v>29.336300000000001</v>
      </c>
      <c r="JN26">
        <v>29.279900000000001</v>
      </c>
      <c r="JO26">
        <v>20.671500000000002</v>
      </c>
      <c r="JP26">
        <v>31.0444</v>
      </c>
      <c r="JQ26">
        <v>33.014400000000002</v>
      </c>
      <c r="JR26">
        <v>27.654299999999999</v>
      </c>
      <c r="JS26">
        <v>400</v>
      </c>
      <c r="JT26">
        <v>22.208300000000001</v>
      </c>
      <c r="JU26">
        <v>100.095</v>
      </c>
      <c r="JV26">
        <v>99.539599999999993</v>
      </c>
    </row>
    <row r="27" spans="1:282" x14ac:dyDescent="0.25">
      <c r="A27">
        <v>11</v>
      </c>
      <c r="B27">
        <v>1689000492.5999999</v>
      </c>
      <c r="C27">
        <v>1315.599999904633</v>
      </c>
      <c r="D27" t="s">
        <v>473</v>
      </c>
      <c r="E27" t="s">
        <v>474</v>
      </c>
      <c r="F27" t="s">
        <v>414</v>
      </c>
      <c r="G27" t="s">
        <v>415</v>
      </c>
      <c r="H27" t="s">
        <v>416</v>
      </c>
      <c r="I27" t="s">
        <v>416</v>
      </c>
      <c r="J27" t="s">
        <v>417</v>
      </c>
      <c r="K27">
        <v>1689000492.5999999</v>
      </c>
      <c r="L27">
        <f t="shared" si="0"/>
        <v>5.3122663405433968E-3</v>
      </c>
      <c r="M27">
        <f t="shared" si="1"/>
        <v>5.3122663405433972</v>
      </c>
      <c r="N27">
        <f t="shared" si="2"/>
        <v>49.755835509221363</v>
      </c>
      <c r="O27">
        <f t="shared" si="3"/>
        <v>437.52800000000002</v>
      </c>
      <c r="P27">
        <f t="shared" si="4"/>
        <v>207.80970106388824</v>
      </c>
      <c r="Q27">
        <f t="shared" si="5"/>
        <v>20.629783270498436</v>
      </c>
      <c r="R27">
        <f t="shared" si="6"/>
        <v>43.4344872667888</v>
      </c>
      <c r="S27">
        <f t="shared" si="7"/>
        <v>0.38070369439223423</v>
      </c>
      <c r="T27">
        <f t="shared" si="8"/>
        <v>2.9088620369188156</v>
      </c>
      <c r="U27">
        <f t="shared" si="9"/>
        <v>0.35503142018668993</v>
      </c>
      <c r="V27">
        <f t="shared" si="10"/>
        <v>0.22405676265850558</v>
      </c>
      <c r="W27">
        <f t="shared" si="11"/>
        <v>289.55689395835117</v>
      </c>
      <c r="X27">
        <f t="shared" si="12"/>
        <v>30.660927212546884</v>
      </c>
      <c r="Y27">
        <f t="shared" si="13"/>
        <v>30.007300000000001</v>
      </c>
      <c r="Z27">
        <f t="shared" si="14"/>
        <v>4.2622365310844108</v>
      </c>
      <c r="AA27">
        <f t="shared" si="15"/>
        <v>65.163840039506255</v>
      </c>
      <c r="AB27">
        <f t="shared" si="16"/>
        <v>2.8299008699374397</v>
      </c>
      <c r="AC27">
        <f t="shared" si="17"/>
        <v>4.3427472478935902</v>
      </c>
      <c r="AD27">
        <f t="shared" si="18"/>
        <v>1.4323356611469711</v>
      </c>
      <c r="AE27">
        <f t="shared" si="19"/>
        <v>-234.2709456179638</v>
      </c>
      <c r="AF27">
        <f t="shared" si="20"/>
        <v>51.155522377830586</v>
      </c>
      <c r="AG27">
        <f t="shared" si="21"/>
        <v>3.9168877327223854</v>
      </c>
      <c r="AH27">
        <f t="shared" si="22"/>
        <v>110.35835845094033</v>
      </c>
      <c r="AI27">
        <v>0</v>
      </c>
      <c r="AJ27">
        <v>0</v>
      </c>
      <c r="AK27">
        <f t="shared" si="23"/>
        <v>1</v>
      </c>
      <c r="AL27">
        <f t="shared" si="24"/>
        <v>0</v>
      </c>
      <c r="AM27">
        <f t="shared" si="25"/>
        <v>51689.133496271257</v>
      </c>
      <c r="AN27" t="s">
        <v>418</v>
      </c>
      <c r="AO27">
        <v>10076.700000000001</v>
      </c>
      <c r="AP27">
        <v>185.01599999999999</v>
      </c>
      <c r="AQ27">
        <v>473.06</v>
      </c>
      <c r="AR27">
        <f t="shared" si="26"/>
        <v>0.60889527755464423</v>
      </c>
      <c r="AS27">
        <v>-1.4827006201179751</v>
      </c>
      <c r="AT27" t="s">
        <v>475</v>
      </c>
      <c r="AU27">
        <v>8076.46</v>
      </c>
      <c r="AV27">
        <v>736.7944399999999</v>
      </c>
      <c r="AW27">
        <v>1095.40202196634</v>
      </c>
      <c r="AX27">
        <f t="shared" si="27"/>
        <v>0.32737531497578298</v>
      </c>
      <c r="AY27">
        <v>0.5</v>
      </c>
      <c r="AZ27">
        <f t="shared" si="28"/>
        <v>1513.1342994602855</v>
      </c>
      <c r="BA27">
        <f t="shared" si="29"/>
        <v>49.755835509221363</v>
      </c>
      <c r="BB27">
        <f t="shared" si="30"/>
        <v>247.68140894323585</v>
      </c>
      <c r="BC27">
        <f t="shared" si="31"/>
        <v>3.3862517125952021E-2</v>
      </c>
      <c r="BD27">
        <f t="shared" si="32"/>
        <v>-0.56814028957987783</v>
      </c>
      <c r="BE27">
        <f t="shared" si="33"/>
        <v>237.87163674679707</v>
      </c>
      <c r="BF27" t="s">
        <v>476</v>
      </c>
      <c r="BG27">
        <v>556.27</v>
      </c>
      <c r="BH27">
        <f t="shared" si="34"/>
        <v>556.27</v>
      </c>
      <c r="BI27">
        <f t="shared" si="35"/>
        <v>0.49217731130215747</v>
      </c>
      <c r="BJ27">
        <f t="shared" si="36"/>
        <v>0.66515726641206507</v>
      </c>
      <c r="BK27">
        <f t="shared" si="37"/>
        <v>7.4791734402877088</v>
      </c>
      <c r="BL27">
        <f t="shared" si="38"/>
        <v>0.39390717048992546</v>
      </c>
      <c r="BM27">
        <f t="shared" si="39"/>
        <v>-2.160579709927442</v>
      </c>
      <c r="BN27">
        <f t="shared" si="40"/>
        <v>0.50218488699105746</v>
      </c>
      <c r="BO27">
        <f t="shared" si="41"/>
        <v>0.49781511300894254</v>
      </c>
      <c r="BP27">
        <v>9075</v>
      </c>
      <c r="BQ27">
        <v>290.00000000000011</v>
      </c>
      <c r="BR27">
        <v>972.37</v>
      </c>
      <c r="BS27">
        <v>295</v>
      </c>
      <c r="BT27">
        <v>8076.46</v>
      </c>
      <c r="BU27">
        <v>974.64</v>
      </c>
      <c r="BV27">
        <v>-2.27</v>
      </c>
      <c r="BW27">
        <v>300.00000000000011</v>
      </c>
      <c r="BX27">
        <v>19.2</v>
      </c>
      <c r="BY27">
        <v>1095.40202196634</v>
      </c>
      <c r="BZ27">
        <v>4.0794904229601219</v>
      </c>
      <c r="CA27">
        <v>-97.535678914267393</v>
      </c>
      <c r="CB27">
        <v>3.0275892731707308</v>
      </c>
      <c r="CC27">
        <v>0.97372979961013983</v>
      </c>
      <c r="CD27">
        <v>-4.1599572858732033E-3</v>
      </c>
      <c r="CE27">
        <v>289.99999999999989</v>
      </c>
      <c r="CF27">
        <v>966.96</v>
      </c>
      <c r="CG27">
        <v>695</v>
      </c>
      <c r="CH27">
        <v>8068.7</v>
      </c>
      <c r="CI27">
        <v>974.52</v>
      </c>
      <c r="CJ27">
        <v>-7.56</v>
      </c>
      <c r="CX27">
        <f t="shared" si="42"/>
        <v>1799.94</v>
      </c>
      <c r="CY27">
        <f t="shared" si="43"/>
        <v>1513.1342994602855</v>
      </c>
      <c r="CZ27">
        <f t="shared" si="44"/>
        <v>0.84065818830643546</v>
      </c>
      <c r="DA27">
        <f t="shared" si="45"/>
        <v>0.16087030343142059</v>
      </c>
      <c r="DB27">
        <v>6</v>
      </c>
      <c r="DC27">
        <v>0.5</v>
      </c>
      <c r="DD27" t="s">
        <v>421</v>
      </c>
      <c r="DE27">
        <v>2</v>
      </c>
      <c r="DF27">
        <v>1689000492.5999999</v>
      </c>
      <c r="DG27">
        <v>437.52800000000002</v>
      </c>
      <c r="DH27">
        <v>500.01</v>
      </c>
      <c r="DI27">
        <v>28.506399999999999</v>
      </c>
      <c r="DJ27">
        <v>22.314800000000002</v>
      </c>
      <c r="DK27">
        <v>438.95400000000001</v>
      </c>
      <c r="DL27">
        <v>28.459700000000002</v>
      </c>
      <c r="DM27">
        <v>500.113</v>
      </c>
      <c r="DN27">
        <v>99.172499999999999</v>
      </c>
      <c r="DO27">
        <v>9.9974599999999997E-2</v>
      </c>
      <c r="DP27">
        <v>30.333500000000001</v>
      </c>
      <c r="DQ27">
        <v>30.007300000000001</v>
      </c>
      <c r="DR27">
        <v>999.9</v>
      </c>
      <c r="DS27">
        <v>0</v>
      </c>
      <c r="DT27">
        <v>0</v>
      </c>
      <c r="DU27">
        <v>9965</v>
      </c>
      <c r="DV27">
        <v>0</v>
      </c>
      <c r="DW27">
        <v>1612.63</v>
      </c>
      <c r="DX27">
        <v>-62.481999999999999</v>
      </c>
      <c r="DY27">
        <v>450.36599999999999</v>
      </c>
      <c r="DZ27">
        <v>511.42200000000003</v>
      </c>
      <c r="EA27">
        <v>6.1915899999999997</v>
      </c>
      <c r="EB27">
        <v>500.01</v>
      </c>
      <c r="EC27">
        <v>22.314800000000002</v>
      </c>
      <c r="ED27">
        <v>2.8270499999999998</v>
      </c>
      <c r="EE27">
        <v>2.2130200000000002</v>
      </c>
      <c r="EF27">
        <v>23.042899999999999</v>
      </c>
      <c r="EG27">
        <v>19.056799999999999</v>
      </c>
      <c r="EH27">
        <v>1799.94</v>
      </c>
      <c r="EI27">
        <v>0.97800100000000001</v>
      </c>
      <c r="EJ27">
        <v>2.1998899999999998E-2</v>
      </c>
      <c r="EK27">
        <v>0</v>
      </c>
      <c r="EL27">
        <v>736.67600000000004</v>
      </c>
      <c r="EM27">
        <v>5.00082</v>
      </c>
      <c r="EN27">
        <v>15941</v>
      </c>
      <c r="EO27">
        <v>14129.3</v>
      </c>
      <c r="EP27">
        <v>47</v>
      </c>
      <c r="EQ27">
        <v>48.561999999999998</v>
      </c>
      <c r="ER27">
        <v>48.061999999999998</v>
      </c>
      <c r="ES27">
        <v>47.75</v>
      </c>
      <c r="ET27">
        <v>48.436999999999998</v>
      </c>
      <c r="EU27">
        <v>1755.45</v>
      </c>
      <c r="EV27">
        <v>39.49</v>
      </c>
      <c r="EW27">
        <v>0</v>
      </c>
      <c r="EX27">
        <v>116</v>
      </c>
      <c r="EY27">
        <v>0</v>
      </c>
      <c r="EZ27">
        <v>736.7944399999999</v>
      </c>
      <c r="FA27">
        <v>0.71923076982480816</v>
      </c>
      <c r="FB27">
        <v>1.5846154365093621</v>
      </c>
      <c r="FC27">
        <v>15941.368</v>
      </c>
      <c r="FD27">
        <v>15</v>
      </c>
      <c r="FE27">
        <v>1689000458.5999999</v>
      </c>
      <c r="FF27" t="s">
        <v>477</v>
      </c>
      <c r="FG27">
        <v>1689000454.0999999</v>
      </c>
      <c r="FH27">
        <v>1689000458.5999999</v>
      </c>
      <c r="FI27">
        <v>13</v>
      </c>
      <c r="FJ27">
        <v>-0.10100000000000001</v>
      </c>
      <c r="FK27">
        <v>-1E-3</v>
      </c>
      <c r="FL27">
        <v>-1.4850000000000001</v>
      </c>
      <c r="FM27">
        <v>4.7E-2</v>
      </c>
      <c r="FN27">
        <v>500</v>
      </c>
      <c r="FO27">
        <v>22</v>
      </c>
      <c r="FP27">
        <v>0.02</v>
      </c>
      <c r="FQ27">
        <v>0.02</v>
      </c>
      <c r="FR27">
        <v>49.880556084788807</v>
      </c>
      <c r="FS27">
        <v>-0.55140057392676778</v>
      </c>
      <c r="FT27">
        <v>4.8440937964847122E-2</v>
      </c>
      <c r="FU27">
        <v>1</v>
      </c>
      <c r="FV27">
        <v>0.385316483666933</v>
      </c>
      <c r="FW27">
        <v>-1.9808806965048359E-2</v>
      </c>
      <c r="FX27">
        <v>1.6545228013097441E-3</v>
      </c>
      <c r="FY27">
        <v>1</v>
      </c>
      <c r="FZ27">
        <v>2</v>
      </c>
      <c r="GA27">
        <v>2</v>
      </c>
      <c r="GB27" t="s">
        <v>423</v>
      </c>
      <c r="GC27">
        <v>2.94685</v>
      </c>
      <c r="GD27">
        <v>2.7083300000000001</v>
      </c>
      <c r="GE27">
        <v>9.48296E-2</v>
      </c>
      <c r="GF27">
        <v>0.10459</v>
      </c>
      <c r="GG27">
        <v>0.12843199999999999</v>
      </c>
      <c r="GH27">
        <v>0.10839699999999999</v>
      </c>
      <c r="GI27">
        <v>29988.400000000001</v>
      </c>
      <c r="GJ27">
        <v>28890</v>
      </c>
      <c r="GK27">
        <v>34115.9</v>
      </c>
      <c r="GL27">
        <v>32289.4</v>
      </c>
      <c r="GM27">
        <v>42868</v>
      </c>
      <c r="GN27">
        <v>40945.5</v>
      </c>
      <c r="GO27">
        <v>49359.3</v>
      </c>
      <c r="GP27">
        <v>45695.9</v>
      </c>
      <c r="GQ27">
        <v>2.02047</v>
      </c>
      <c r="GR27">
        <v>1.8608499999999999</v>
      </c>
      <c r="GS27">
        <v>7.1980100000000005E-2</v>
      </c>
      <c r="GT27">
        <v>0</v>
      </c>
      <c r="GU27">
        <v>28.834800000000001</v>
      </c>
      <c r="GV27">
        <v>999.9</v>
      </c>
      <c r="GW27">
        <v>48.1</v>
      </c>
      <c r="GX27">
        <v>36.299999999999997</v>
      </c>
      <c r="GY27">
        <v>29.43</v>
      </c>
      <c r="GZ27">
        <v>60.468400000000003</v>
      </c>
      <c r="HA27">
        <v>25.640999999999998</v>
      </c>
      <c r="HB27">
        <v>1</v>
      </c>
      <c r="HC27">
        <v>0.17847099999999999</v>
      </c>
      <c r="HD27">
        <v>0.77943399999999996</v>
      </c>
      <c r="HE27">
        <v>20.225999999999999</v>
      </c>
      <c r="HF27">
        <v>5.2679099999999996</v>
      </c>
      <c r="HG27">
        <v>12.039899999999999</v>
      </c>
      <c r="HH27">
        <v>4.9664000000000001</v>
      </c>
      <c r="HI27">
        <v>3.3002500000000001</v>
      </c>
      <c r="HJ27">
        <v>9999</v>
      </c>
      <c r="HK27">
        <v>9999</v>
      </c>
      <c r="HL27">
        <v>9999</v>
      </c>
      <c r="HM27">
        <v>999.9</v>
      </c>
      <c r="HN27">
        <v>1.8684099999999999</v>
      </c>
      <c r="HO27">
        <v>1.8720699999999999</v>
      </c>
      <c r="HP27">
        <v>1.8719300000000001</v>
      </c>
      <c r="HQ27">
        <v>1.8713500000000001</v>
      </c>
      <c r="HR27">
        <v>1.8646199999999999</v>
      </c>
      <c r="HS27">
        <v>1.8658399999999999</v>
      </c>
      <c r="HT27">
        <v>1.8678300000000001</v>
      </c>
      <c r="HU27">
        <v>1.8724099999999999</v>
      </c>
      <c r="HV27">
        <v>0</v>
      </c>
      <c r="HW27">
        <v>0</v>
      </c>
      <c r="HX27">
        <v>0</v>
      </c>
      <c r="HY27">
        <v>0</v>
      </c>
      <c r="HZ27" t="s">
        <v>424</v>
      </c>
      <c r="IA27" t="s">
        <v>425</v>
      </c>
      <c r="IB27" t="s">
        <v>426</v>
      </c>
      <c r="IC27" t="s">
        <v>426</v>
      </c>
      <c r="ID27" t="s">
        <v>426</v>
      </c>
      <c r="IE27" t="s">
        <v>426</v>
      </c>
      <c r="IF27">
        <v>0</v>
      </c>
      <c r="IG27">
        <v>100</v>
      </c>
      <c r="IH27">
        <v>100</v>
      </c>
      <c r="II27">
        <v>-1.4259999999999999</v>
      </c>
      <c r="IJ27">
        <v>4.6699999999999998E-2</v>
      </c>
      <c r="IK27">
        <v>-0.96378781152945958</v>
      </c>
      <c r="IL27">
        <v>-1.171017271736434E-3</v>
      </c>
      <c r="IM27">
        <v>2.801297040296544E-7</v>
      </c>
      <c r="IN27">
        <v>-3.6238253961199429E-11</v>
      </c>
      <c r="IO27">
        <v>4.6754999999997437E-2</v>
      </c>
      <c r="IP27">
        <v>0</v>
      </c>
      <c r="IQ27">
        <v>0</v>
      </c>
      <c r="IR27">
        <v>0</v>
      </c>
      <c r="IS27">
        <v>0</v>
      </c>
      <c r="IT27">
        <v>2161</v>
      </c>
      <c r="IU27">
        <v>1</v>
      </c>
      <c r="IV27">
        <v>19</v>
      </c>
      <c r="IW27">
        <v>0.6</v>
      </c>
      <c r="IX27">
        <v>0.6</v>
      </c>
      <c r="IY27">
        <v>1.22803</v>
      </c>
      <c r="IZ27">
        <v>2.48291</v>
      </c>
      <c r="JA27">
        <v>1.4440900000000001</v>
      </c>
      <c r="JB27">
        <v>2.2851599999999999</v>
      </c>
      <c r="JC27">
        <v>1.54419</v>
      </c>
      <c r="JD27">
        <v>2.3864700000000001</v>
      </c>
      <c r="JE27">
        <v>42.6706</v>
      </c>
      <c r="JF27">
        <v>24.227599999999999</v>
      </c>
      <c r="JG27">
        <v>18</v>
      </c>
      <c r="JH27">
        <v>509.76499999999999</v>
      </c>
      <c r="JI27">
        <v>446.84199999999998</v>
      </c>
      <c r="JJ27">
        <v>27.891100000000002</v>
      </c>
      <c r="JK27">
        <v>29.634</v>
      </c>
      <c r="JL27">
        <v>30.000299999999999</v>
      </c>
      <c r="JM27">
        <v>29.407</v>
      </c>
      <c r="JN27">
        <v>29.347799999999999</v>
      </c>
      <c r="JO27">
        <v>24.7163</v>
      </c>
      <c r="JP27">
        <v>30.7515</v>
      </c>
      <c r="JQ27">
        <v>31.4283</v>
      </c>
      <c r="JR27">
        <v>27.883800000000001</v>
      </c>
      <c r="JS27">
        <v>500</v>
      </c>
      <c r="JT27">
        <v>22.322500000000002</v>
      </c>
      <c r="JU27">
        <v>100.07899999999999</v>
      </c>
      <c r="JV27">
        <v>99.5274</v>
      </c>
    </row>
    <row r="28" spans="1:282" x14ac:dyDescent="0.25">
      <c r="A28">
        <v>12</v>
      </c>
      <c r="B28">
        <v>1689000606.0999999</v>
      </c>
      <c r="C28">
        <v>1429.099999904633</v>
      </c>
      <c r="D28" t="s">
        <v>478</v>
      </c>
      <c r="E28" t="s">
        <v>479</v>
      </c>
      <c r="F28" t="s">
        <v>414</v>
      </c>
      <c r="G28" t="s">
        <v>415</v>
      </c>
      <c r="H28" t="s">
        <v>416</v>
      </c>
      <c r="I28" t="s">
        <v>416</v>
      </c>
      <c r="J28" t="s">
        <v>417</v>
      </c>
      <c r="K28">
        <v>1689000606.0999999</v>
      </c>
      <c r="L28">
        <f t="shared" si="0"/>
        <v>5.2157234668810401E-3</v>
      </c>
      <c r="M28">
        <f t="shared" si="1"/>
        <v>5.2157234668810402</v>
      </c>
      <c r="N28">
        <f t="shared" si="2"/>
        <v>50.519604078598483</v>
      </c>
      <c r="O28">
        <f t="shared" si="3"/>
        <v>635.61500000000001</v>
      </c>
      <c r="P28">
        <f t="shared" si="4"/>
        <v>399.24467832338075</v>
      </c>
      <c r="Q28">
        <f t="shared" si="5"/>
        <v>39.634235276527711</v>
      </c>
      <c r="R28">
        <f t="shared" si="6"/>
        <v>63.099437069728495</v>
      </c>
      <c r="S28">
        <f t="shared" si="7"/>
        <v>0.38260121878412984</v>
      </c>
      <c r="T28">
        <f t="shared" si="8"/>
        <v>2.9177327247964318</v>
      </c>
      <c r="U28">
        <f t="shared" si="9"/>
        <v>0.35675482766885752</v>
      </c>
      <c r="V28">
        <f t="shared" si="10"/>
        <v>0.2251482955038121</v>
      </c>
      <c r="W28">
        <f t="shared" si="11"/>
        <v>289.57706295869008</v>
      </c>
      <c r="X28">
        <f t="shared" si="12"/>
        <v>30.622180929962031</v>
      </c>
      <c r="Y28">
        <f t="shared" si="13"/>
        <v>29.915199999999999</v>
      </c>
      <c r="Z28">
        <f t="shared" si="14"/>
        <v>4.2397417856678237</v>
      </c>
      <c r="AA28">
        <f t="shared" si="15"/>
        <v>65.636374648731902</v>
      </c>
      <c r="AB28">
        <f t="shared" si="16"/>
        <v>2.8401323520668704</v>
      </c>
      <c r="AC28">
        <f t="shared" si="17"/>
        <v>4.3270707245281139</v>
      </c>
      <c r="AD28">
        <f t="shared" si="18"/>
        <v>1.3996094336009532</v>
      </c>
      <c r="AE28">
        <f t="shared" si="19"/>
        <v>-230.01340488945388</v>
      </c>
      <c r="AF28">
        <f t="shared" si="20"/>
        <v>55.873246525356798</v>
      </c>
      <c r="AG28">
        <f t="shared" si="21"/>
        <v>4.2618348533526715</v>
      </c>
      <c r="AH28">
        <f t="shared" si="22"/>
        <v>119.69873944794568</v>
      </c>
      <c r="AI28">
        <v>0</v>
      </c>
      <c r="AJ28">
        <v>0</v>
      </c>
      <c r="AK28">
        <f t="shared" si="23"/>
        <v>1</v>
      </c>
      <c r="AL28">
        <f t="shared" si="24"/>
        <v>0</v>
      </c>
      <c r="AM28">
        <f t="shared" si="25"/>
        <v>51952.080865840588</v>
      </c>
      <c r="AN28" t="s">
        <v>418</v>
      </c>
      <c r="AO28">
        <v>10076.700000000001</v>
      </c>
      <c r="AP28">
        <v>185.01599999999999</v>
      </c>
      <c r="AQ28">
        <v>473.06</v>
      </c>
      <c r="AR28">
        <f t="shared" si="26"/>
        <v>0.60889527755464423</v>
      </c>
      <c r="AS28">
        <v>-1.4827006201179751</v>
      </c>
      <c r="AT28" t="s">
        <v>480</v>
      </c>
      <c r="AU28">
        <v>8076.17</v>
      </c>
      <c r="AV28">
        <v>737.55139999999994</v>
      </c>
      <c r="AW28">
        <v>1110.7750369426381</v>
      </c>
      <c r="AX28">
        <f t="shared" si="27"/>
        <v>0.33600290295496793</v>
      </c>
      <c r="AY28">
        <v>0.5</v>
      </c>
      <c r="AZ28">
        <f t="shared" si="28"/>
        <v>1513.243199460461</v>
      </c>
      <c r="BA28">
        <f t="shared" si="29"/>
        <v>50.519604078598483</v>
      </c>
      <c r="BB28">
        <f t="shared" si="30"/>
        <v>254.22705394778924</v>
      </c>
      <c r="BC28">
        <f t="shared" si="31"/>
        <v>3.4364803170605758E-2</v>
      </c>
      <c r="BD28">
        <f t="shared" si="32"/>
        <v>-0.57411718460825523</v>
      </c>
      <c r="BE28">
        <f t="shared" si="33"/>
        <v>238.58869083462602</v>
      </c>
      <c r="BF28" t="s">
        <v>481</v>
      </c>
      <c r="BG28">
        <v>559.41999999999996</v>
      </c>
      <c r="BH28">
        <f t="shared" si="34"/>
        <v>559.41999999999996</v>
      </c>
      <c r="BI28">
        <f t="shared" si="35"/>
        <v>0.49636966856963205</v>
      </c>
      <c r="BJ28">
        <f t="shared" si="36"/>
        <v>0.67692069888801532</v>
      </c>
      <c r="BK28">
        <f t="shared" si="37"/>
        <v>7.3843797700629743</v>
      </c>
      <c r="BL28">
        <f t="shared" si="38"/>
        <v>0.40315419245079842</v>
      </c>
      <c r="BM28">
        <f t="shared" si="39"/>
        <v>-2.2139500803441075</v>
      </c>
      <c r="BN28">
        <f t="shared" si="40"/>
        <v>0.51343266024840239</v>
      </c>
      <c r="BO28">
        <f t="shared" si="41"/>
        <v>0.48656733975159761</v>
      </c>
      <c r="BP28">
        <v>9077</v>
      </c>
      <c r="BQ28">
        <v>290.00000000000011</v>
      </c>
      <c r="BR28">
        <v>978.25</v>
      </c>
      <c r="BS28">
        <v>275</v>
      </c>
      <c r="BT28">
        <v>8076.17</v>
      </c>
      <c r="BU28">
        <v>979.94</v>
      </c>
      <c r="BV28">
        <v>-1.69</v>
      </c>
      <c r="BW28">
        <v>300.00000000000011</v>
      </c>
      <c r="BX28">
        <v>19.2</v>
      </c>
      <c r="BY28">
        <v>1110.7750369426381</v>
      </c>
      <c r="BZ28">
        <v>3.4501234840666539</v>
      </c>
      <c r="CA28">
        <v>-105.6634342647622</v>
      </c>
      <c r="CB28">
        <v>2.560267560970912</v>
      </c>
      <c r="CC28">
        <v>0.98382672722291953</v>
      </c>
      <c r="CD28">
        <v>-4.159795773081198E-3</v>
      </c>
      <c r="CE28">
        <v>289.99999999999989</v>
      </c>
      <c r="CF28">
        <v>972.5</v>
      </c>
      <c r="CG28">
        <v>645</v>
      </c>
      <c r="CH28">
        <v>8069.14</v>
      </c>
      <c r="CI28">
        <v>979.83</v>
      </c>
      <c r="CJ28">
        <v>-7.33</v>
      </c>
      <c r="CX28">
        <f t="shared" si="42"/>
        <v>1800.07</v>
      </c>
      <c r="CY28">
        <f t="shared" si="43"/>
        <v>1513.243199460461</v>
      </c>
      <c r="CZ28">
        <f t="shared" si="44"/>
        <v>0.84065797411237397</v>
      </c>
      <c r="DA28">
        <f t="shared" si="45"/>
        <v>0.16086989003688196</v>
      </c>
      <c r="DB28">
        <v>6</v>
      </c>
      <c r="DC28">
        <v>0.5</v>
      </c>
      <c r="DD28" t="s">
        <v>421</v>
      </c>
      <c r="DE28">
        <v>2</v>
      </c>
      <c r="DF28">
        <v>1689000606.0999999</v>
      </c>
      <c r="DG28">
        <v>635.61500000000001</v>
      </c>
      <c r="DH28">
        <v>700.20500000000004</v>
      </c>
      <c r="DI28">
        <v>28.609300000000001</v>
      </c>
      <c r="DJ28">
        <v>22.5306</v>
      </c>
      <c r="DK28">
        <v>637.15700000000004</v>
      </c>
      <c r="DL28">
        <v>28.559799999999999</v>
      </c>
      <c r="DM28">
        <v>500.09100000000001</v>
      </c>
      <c r="DN28">
        <v>99.173199999999994</v>
      </c>
      <c r="DO28">
        <v>9.9845900000000001E-2</v>
      </c>
      <c r="DP28">
        <v>30.270399999999999</v>
      </c>
      <c r="DQ28">
        <v>29.915199999999999</v>
      </c>
      <c r="DR28">
        <v>999.9</v>
      </c>
      <c r="DS28">
        <v>0</v>
      </c>
      <c r="DT28">
        <v>0</v>
      </c>
      <c r="DU28">
        <v>10015.6</v>
      </c>
      <c r="DV28">
        <v>0</v>
      </c>
      <c r="DW28">
        <v>1605.75</v>
      </c>
      <c r="DX28">
        <v>-64.59</v>
      </c>
      <c r="DY28">
        <v>654.33500000000004</v>
      </c>
      <c r="DZ28">
        <v>716.34500000000003</v>
      </c>
      <c r="EA28">
        <v>6.0786800000000003</v>
      </c>
      <c r="EB28">
        <v>700.20500000000004</v>
      </c>
      <c r="EC28">
        <v>22.5306</v>
      </c>
      <c r="ED28">
        <v>2.8372700000000002</v>
      </c>
      <c r="EE28">
        <v>2.2344300000000001</v>
      </c>
      <c r="EF28">
        <v>23.102599999999999</v>
      </c>
      <c r="EG28">
        <v>19.211300000000001</v>
      </c>
      <c r="EH28">
        <v>1800.07</v>
      </c>
      <c r="EI28">
        <v>0.97800500000000001</v>
      </c>
      <c r="EJ28">
        <v>2.1995299999999999E-2</v>
      </c>
      <c r="EK28">
        <v>0</v>
      </c>
      <c r="EL28">
        <v>737.46900000000005</v>
      </c>
      <c r="EM28">
        <v>5.00082</v>
      </c>
      <c r="EN28">
        <v>15903.6</v>
      </c>
      <c r="EO28">
        <v>14130.4</v>
      </c>
      <c r="EP28">
        <v>47.125</v>
      </c>
      <c r="EQ28">
        <v>48.75</v>
      </c>
      <c r="ER28">
        <v>48.25</v>
      </c>
      <c r="ES28">
        <v>47.875</v>
      </c>
      <c r="ET28">
        <v>48.561999999999998</v>
      </c>
      <c r="EU28">
        <v>1755.59</v>
      </c>
      <c r="EV28">
        <v>39.479999999999997</v>
      </c>
      <c r="EW28">
        <v>0</v>
      </c>
      <c r="EX28">
        <v>111.7999999523163</v>
      </c>
      <c r="EY28">
        <v>0</v>
      </c>
      <c r="EZ28">
        <v>737.55139999999994</v>
      </c>
      <c r="FA28">
        <v>-2.473538458035025</v>
      </c>
      <c r="FB28">
        <v>103.4846147344367</v>
      </c>
      <c r="FC28">
        <v>15916.02</v>
      </c>
      <c r="FD28">
        <v>15</v>
      </c>
      <c r="FE28">
        <v>1689000570.5999999</v>
      </c>
      <c r="FF28" t="s">
        <v>482</v>
      </c>
      <c r="FG28">
        <v>1689000570.5999999</v>
      </c>
      <c r="FH28">
        <v>1689000568.0999999</v>
      </c>
      <c r="FI28">
        <v>14</v>
      </c>
      <c r="FJ28">
        <v>6.3E-2</v>
      </c>
      <c r="FK28">
        <v>3.0000000000000001E-3</v>
      </c>
      <c r="FL28">
        <v>-1.597</v>
      </c>
      <c r="FM28">
        <v>4.9000000000000002E-2</v>
      </c>
      <c r="FN28">
        <v>700</v>
      </c>
      <c r="FO28">
        <v>22</v>
      </c>
      <c r="FP28">
        <v>0.05</v>
      </c>
      <c r="FQ28">
        <v>0.02</v>
      </c>
      <c r="FR28">
        <v>50.583875198544249</v>
      </c>
      <c r="FS28">
        <v>-0.6690253343104815</v>
      </c>
      <c r="FT28">
        <v>7.3110556350425279E-2</v>
      </c>
      <c r="FU28">
        <v>1</v>
      </c>
      <c r="FV28">
        <v>0.36659904868950322</v>
      </c>
      <c r="FW28">
        <v>7.0721352927635411E-3</v>
      </c>
      <c r="FX28">
        <v>2.9272412093885852E-3</v>
      </c>
      <c r="FY28">
        <v>1</v>
      </c>
      <c r="FZ28">
        <v>2</v>
      </c>
      <c r="GA28">
        <v>2</v>
      </c>
      <c r="GB28" t="s">
        <v>423</v>
      </c>
      <c r="GC28">
        <v>2.94672</v>
      </c>
      <c r="GD28">
        <v>2.7086399999999999</v>
      </c>
      <c r="GE28">
        <v>0.123941</v>
      </c>
      <c r="GF28">
        <v>0.13244900000000001</v>
      </c>
      <c r="GG28">
        <v>0.128719</v>
      </c>
      <c r="GH28">
        <v>0.109109</v>
      </c>
      <c r="GI28">
        <v>29018.400000000001</v>
      </c>
      <c r="GJ28">
        <v>27985.9</v>
      </c>
      <c r="GK28">
        <v>34110.199999999997</v>
      </c>
      <c r="GL28">
        <v>32284.2</v>
      </c>
      <c r="GM28">
        <v>42848.2</v>
      </c>
      <c r="GN28">
        <v>40907.1</v>
      </c>
      <c r="GO28">
        <v>49351.7</v>
      </c>
      <c r="GP28">
        <v>45688.800000000003</v>
      </c>
      <c r="GQ28">
        <v>2.0190299999999999</v>
      </c>
      <c r="GR28">
        <v>1.85893</v>
      </c>
      <c r="GS28">
        <v>5.8572699999999998E-2</v>
      </c>
      <c r="GT28">
        <v>0</v>
      </c>
      <c r="GU28">
        <v>28.961200000000002</v>
      </c>
      <c r="GV28">
        <v>999.9</v>
      </c>
      <c r="GW28">
        <v>47.5</v>
      </c>
      <c r="GX28">
        <v>36.5</v>
      </c>
      <c r="GY28">
        <v>29.381</v>
      </c>
      <c r="GZ28">
        <v>60.048400000000001</v>
      </c>
      <c r="HA28">
        <v>25.645</v>
      </c>
      <c r="HB28">
        <v>1</v>
      </c>
      <c r="HC28">
        <v>0.18517</v>
      </c>
      <c r="HD28">
        <v>0.38845000000000002</v>
      </c>
      <c r="HE28">
        <v>20.227799999999998</v>
      </c>
      <c r="HF28">
        <v>5.2685000000000004</v>
      </c>
      <c r="HG28">
        <v>12.039899999999999</v>
      </c>
      <c r="HH28">
        <v>4.9667500000000002</v>
      </c>
      <c r="HI28">
        <v>3.3003200000000001</v>
      </c>
      <c r="HJ28">
        <v>9999</v>
      </c>
      <c r="HK28">
        <v>9999</v>
      </c>
      <c r="HL28">
        <v>9999</v>
      </c>
      <c r="HM28">
        <v>999.9</v>
      </c>
      <c r="HN28">
        <v>1.86843</v>
      </c>
      <c r="HO28">
        <v>1.87209</v>
      </c>
      <c r="HP28">
        <v>1.8719399999999999</v>
      </c>
      <c r="HQ28">
        <v>1.8713500000000001</v>
      </c>
      <c r="HR28">
        <v>1.8646199999999999</v>
      </c>
      <c r="HS28">
        <v>1.8658399999999999</v>
      </c>
      <c r="HT28">
        <v>1.8678300000000001</v>
      </c>
      <c r="HU28">
        <v>1.8724099999999999</v>
      </c>
      <c r="HV28">
        <v>0</v>
      </c>
      <c r="HW28">
        <v>0</v>
      </c>
      <c r="HX28">
        <v>0</v>
      </c>
      <c r="HY28">
        <v>0</v>
      </c>
      <c r="HZ28" t="s">
        <v>424</v>
      </c>
      <c r="IA28" t="s">
        <v>425</v>
      </c>
      <c r="IB28" t="s">
        <v>426</v>
      </c>
      <c r="IC28" t="s">
        <v>426</v>
      </c>
      <c r="ID28" t="s">
        <v>426</v>
      </c>
      <c r="IE28" t="s">
        <v>426</v>
      </c>
      <c r="IF28">
        <v>0</v>
      </c>
      <c r="IG28">
        <v>100</v>
      </c>
      <c r="IH28">
        <v>100</v>
      </c>
      <c r="II28">
        <v>-1.542</v>
      </c>
      <c r="IJ28">
        <v>4.9500000000000002E-2</v>
      </c>
      <c r="IK28">
        <v>-0.90044139002571066</v>
      </c>
      <c r="IL28">
        <v>-1.171017271736434E-3</v>
      </c>
      <c r="IM28">
        <v>2.801297040296544E-7</v>
      </c>
      <c r="IN28">
        <v>-3.6238253961199429E-11</v>
      </c>
      <c r="IO28">
        <v>4.9459999999999837E-2</v>
      </c>
      <c r="IP28">
        <v>0</v>
      </c>
      <c r="IQ28">
        <v>0</v>
      </c>
      <c r="IR28">
        <v>0</v>
      </c>
      <c r="IS28">
        <v>0</v>
      </c>
      <c r="IT28">
        <v>2161</v>
      </c>
      <c r="IU28">
        <v>1</v>
      </c>
      <c r="IV28">
        <v>19</v>
      </c>
      <c r="IW28">
        <v>0.6</v>
      </c>
      <c r="IX28">
        <v>0.6</v>
      </c>
      <c r="IY28">
        <v>1.6137699999999999</v>
      </c>
      <c r="IZ28">
        <v>2.48047</v>
      </c>
      <c r="JA28">
        <v>1.4440900000000001</v>
      </c>
      <c r="JB28">
        <v>2.2851599999999999</v>
      </c>
      <c r="JC28">
        <v>1.54419</v>
      </c>
      <c r="JD28">
        <v>2.2583000000000002</v>
      </c>
      <c r="JE28">
        <v>42.804600000000001</v>
      </c>
      <c r="JF28">
        <v>24.218800000000002</v>
      </c>
      <c r="JG28">
        <v>18</v>
      </c>
      <c r="JH28">
        <v>509.54399999999998</v>
      </c>
      <c r="JI28">
        <v>446.27300000000002</v>
      </c>
      <c r="JJ28">
        <v>27.455100000000002</v>
      </c>
      <c r="JK28">
        <v>29.733499999999999</v>
      </c>
      <c r="JL28">
        <v>29.999700000000001</v>
      </c>
      <c r="JM28">
        <v>29.491199999999999</v>
      </c>
      <c r="JN28">
        <v>29.4316</v>
      </c>
      <c r="JO28">
        <v>32.451799999999999</v>
      </c>
      <c r="JP28">
        <v>30.101700000000001</v>
      </c>
      <c r="JQ28">
        <v>30.159199999999998</v>
      </c>
      <c r="JR28">
        <v>27.4742</v>
      </c>
      <c r="JS28">
        <v>700</v>
      </c>
      <c r="JT28">
        <v>22.3979</v>
      </c>
      <c r="JU28">
        <v>100.063</v>
      </c>
      <c r="JV28">
        <v>99.511700000000005</v>
      </c>
    </row>
    <row r="29" spans="1:282" x14ac:dyDescent="0.25">
      <c r="A29">
        <v>13</v>
      </c>
      <c r="B29">
        <v>1689000723.0999999</v>
      </c>
      <c r="C29">
        <v>1546.099999904633</v>
      </c>
      <c r="D29" t="s">
        <v>483</v>
      </c>
      <c r="E29" t="s">
        <v>484</v>
      </c>
      <c r="F29" t="s">
        <v>414</v>
      </c>
      <c r="G29" t="s">
        <v>415</v>
      </c>
      <c r="H29" t="s">
        <v>416</v>
      </c>
      <c r="I29" t="s">
        <v>416</v>
      </c>
      <c r="J29" t="s">
        <v>417</v>
      </c>
      <c r="K29">
        <v>1689000723.0999999</v>
      </c>
      <c r="L29">
        <f t="shared" si="0"/>
        <v>4.7332286527208226E-3</v>
      </c>
      <c r="M29">
        <f t="shared" si="1"/>
        <v>4.7332286527208227</v>
      </c>
      <c r="N29">
        <f t="shared" si="2"/>
        <v>50.142358904608727</v>
      </c>
      <c r="O29">
        <f t="shared" si="3"/>
        <v>835.09199999999998</v>
      </c>
      <c r="P29">
        <f t="shared" si="4"/>
        <v>561.93889195270003</v>
      </c>
      <c r="Q29">
        <f t="shared" si="5"/>
        <v>55.786281818735972</v>
      </c>
      <c r="R29">
        <f t="shared" si="6"/>
        <v>82.903458585481189</v>
      </c>
      <c r="S29">
        <f t="shared" si="7"/>
        <v>0.32982685367477454</v>
      </c>
      <c r="T29">
        <f t="shared" si="8"/>
        <v>2.9203847235327114</v>
      </c>
      <c r="U29">
        <f t="shared" si="9"/>
        <v>0.31044155276081509</v>
      </c>
      <c r="V29">
        <f t="shared" si="10"/>
        <v>0.1956726489768395</v>
      </c>
      <c r="W29">
        <f t="shared" si="11"/>
        <v>289.55950695862646</v>
      </c>
      <c r="X29">
        <f t="shared" si="12"/>
        <v>30.788527992512329</v>
      </c>
      <c r="Y29">
        <f t="shared" si="13"/>
        <v>30.088000000000001</v>
      </c>
      <c r="Z29">
        <f t="shared" si="14"/>
        <v>4.282032336878288</v>
      </c>
      <c r="AA29">
        <f t="shared" si="15"/>
        <v>65.07680024156322</v>
      </c>
      <c r="AB29">
        <f t="shared" si="16"/>
        <v>2.8225765957552</v>
      </c>
      <c r="AC29">
        <f t="shared" si="17"/>
        <v>4.3373008280644969</v>
      </c>
      <c r="AD29">
        <f t="shared" si="18"/>
        <v>1.459455741123088</v>
      </c>
      <c r="AE29">
        <f t="shared" si="19"/>
        <v>-208.73538358498828</v>
      </c>
      <c r="AF29">
        <f t="shared" si="20"/>
        <v>35.20442947969498</v>
      </c>
      <c r="AG29">
        <f t="shared" si="21"/>
        <v>2.6856860347656144</v>
      </c>
      <c r="AH29">
        <f t="shared" si="22"/>
        <v>118.71423888809879</v>
      </c>
      <c r="AI29">
        <v>0</v>
      </c>
      <c r="AJ29">
        <v>0</v>
      </c>
      <c r="AK29">
        <f t="shared" si="23"/>
        <v>1</v>
      </c>
      <c r="AL29">
        <f t="shared" si="24"/>
        <v>0</v>
      </c>
      <c r="AM29">
        <f t="shared" si="25"/>
        <v>52020.539087425394</v>
      </c>
      <c r="AN29" t="s">
        <v>418</v>
      </c>
      <c r="AO29">
        <v>10076.700000000001</v>
      </c>
      <c r="AP29">
        <v>185.01599999999999</v>
      </c>
      <c r="AQ29">
        <v>473.06</v>
      </c>
      <c r="AR29">
        <f t="shared" si="26"/>
        <v>0.60889527755464423</v>
      </c>
      <c r="AS29">
        <v>-1.4827006201179751</v>
      </c>
      <c r="AT29" t="s">
        <v>485</v>
      </c>
      <c r="AU29">
        <v>8075.09</v>
      </c>
      <c r="AV29">
        <v>735.20876923076935</v>
      </c>
      <c r="AW29">
        <v>1102.574639246945</v>
      </c>
      <c r="AX29">
        <f t="shared" si="27"/>
        <v>0.33318911658179029</v>
      </c>
      <c r="AY29">
        <v>0.5</v>
      </c>
      <c r="AZ29">
        <f t="shared" si="28"/>
        <v>1513.1507994604281</v>
      </c>
      <c r="BA29">
        <f t="shared" si="29"/>
        <v>50.142358904608727</v>
      </c>
      <c r="BB29">
        <f t="shared" si="30"/>
        <v>252.08268906362488</v>
      </c>
      <c r="BC29">
        <f t="shared" si="31"/>
        <v>3.4117590621592767E-2</v>
      </c>
      <c r="BD29">
        <f t="shared" si="32"/>
        <v>-0.57094968162600002</v>
      </c>
      <c r="BE29">
        <f t="shared" si="33"/>
        <v>238.20814474307622</v>
      </c>
      <c r="BF29" t="s">
        <v>486</v>
      </c>
      <c r="BG29">
        <v>555.45000000000005</v>
      </c>
      <c r="BH29">
        <f t="shared" si="34"/>
        <v>555.45000000000005</v>
      </c>
      <c r="BI29">
        <f t="shared" si="35"/>
        <v>0.49622458178489337</v>
      </c>
      <c r="BJ29">
        <f t="shared" si="36"/>
        <v>0.67144822891144718</v>
      </c>
      <c r="BK29">
        <f t="shared" si="37"/>
        <v>7.6406680330980068</v>
      </c>
      <c r="BL29">
        <f t="shared" si="38"/>
        <v>0.40037317976503245</v>
      </c>
      <c r="BM29">
        <f t="shared" si="39"/>
        <v>-2.1854808267033685</v>
      </c>
      <c r="BN29">
        <f t="shared" si="40"/>
        <v>0.50727893131508472</v>
      </c>
      <c r="BO29">
        <f t="shared" si="41"/>
        <v>0.49272106868491528</v>
      </c>
      <c r="BP29">
        <v>9079</v>
      </c>
      <c r="BQ29">
        <v>290.00000000000011</v>
      </c>
      <c r="BR29">
        <v>976.11</v>
      </c>
      <c r="BS29">
        <v>295</v>
      </c>
      <c r="BT29">
        <v>8075.09</v>
      </c>
      <c r="BU29">
        <v>977.75</v>
      </c>
      <c r="BV29">
        <v>-1.64</v>
      </c>
      <c r="BW29">
        <v>300.00000000000011</v>
      </c>
      <c r="BX29">
        <v>19.2</v>
      </c>
      <c r="BY29">
        <v>1102.574639246945</v>
      </c>
      <c r="BZ29">
        <v>3.481162201894906</v>
      </c>
      <c r="CA29">
        <v>-100.79421286145759</v>
      </c>
      <c r="CB29">
        <v>2.5830926883578331</v>
      </c>
      <c r="CC29">
        <v>0.98194269392714939</v>
      </c>
      <c r="CD29">
        <v>-4.1593446051167993E-3</v>
      </c>
      <c r="CE29">
        <v>289.99999999999989</v>
      </c>
      <c r="CF29">
        <v>971.81</v>
      </c>
      <c r="CG29">
        <v>655</v>
      </c>
      <c r="CH29">
        <v>8068.24</v>
      </c>
      <c r="CI29">
        <v>977.65</v>
      </c>
      <c r="CJ29">
        <v>-5.84</v>
      </c>
      <c r="CX29">
        <f t="shared" si="42"/>
        <v>1799.96</v>
      </c>
      <c r="CY29">
        <f t="shared" si="43"/>
        <v>1513.1507994604281</v>
      </c>
      <c r="CZ29">
        <f t="shared" si="44"/>
        <v>0.84065801432277831</v>
      </c>
      <c r="DA29">
        <f t="shared" si="45"/>
        <v>0.16086996764296232</v>
      </c>
      <c r="DB29">
        <v>6</v>
      </c>
      <c r="DC29">
        <v>0.5</v>
      </c>
      <c r="DD29" t="s">
        <v>421</v>
      </c>
      <c r="DE29">
        <v>2</v>
      </c>
      <c r="DF29">
        <v>1689000723.0999999</v>
      </c>
      <c r="DG29">
        <v>835.09199999999998</v>
      </c>
      <c r="DH29">
        <v>899.99800000000005</v>
      </c>
      <c r="DI29">
        <v>28.431999999999999</v>
      </c>
      <c r="DJ29">
        <v>22.914300000000001</v>
      </c>
      <c r="DK29">
        <v>836.88</v>
      </c>
      <c r="DL29">
        <v>28.386900000000001</v>
      </c>
      <c r="DM29">
        <v>500.06200000000001</v>
      </c>
      <c r="DN29">
        <v>99.174999999999997</v>
      </c>
      <c r="DO29">
        <v>9.9641099999999996E-2</v>
      </c>
      <c r="DP29">
        <v>30.311599999999999</v>
      </c>
      <c r="DQ29">
        <v>30.088000000000001</v>
      </c>
      <c r="DR29">
        <v>999.9</v>
      </c>
      <c r="DS29">
        <v>0</v>
      </c>
      <c r="DT29">
        <v>0</v>
      </c>
      <c r="DU29">
        <v>10030.6</v>
      </c>
      <c r="DV29">
        <v>0</v>
      </c>
      <c r="DW29">
        <v>1623.12</v>
      </c>
      <c r="DX29">
        <v>-64.906599999999997</v>
      </c>
      <c r="DY29">
        <v>859.53</v>
      </c>
      <c r="DZ29">
        <v>921.10500000000002</v>
      </c>
      <c r="EA29">
        <v>5.5177100000000001</v>
      </c>
      <c r="EB29">
        <v>899.99800000000005</v>
      </c>
      <c r="EC29">
        <v>22.914300000000001</v>
      </c>
      <c r="ED29">
        <v>2.8197399999999999</v>
      </c>
      <c r="EE29">
        <v>2.2725300000000002</v>
      </c>
      <c r="EF29">
        <v>23.0001</v>
      </c>
      <c r="EG29">
        <v>19.483000000000001</v>
      </c>
      <c r="EH29">
        <v>1799.96</v>
      </c>
      <c r="EI29">
        <v>0.97800500000000001</v>
      </c>
      <c r="EJ29">
        <v>2.1995299999999999E-2</v>
      </c>
      <c r="EK29">
        <v>0</v>
      </c>
      <c r="EL29">
        <v>735.755</v>
      </c>
      <c r="EM29">
        <v>5.00082</v>
      </c>
      <c r="EN29">
        <v>15922.1</v>
      </c>
      <c r="EO29">
        <v>14129.5</v>
      </c>
      <c r="EP29">
        <v>47.25</v>
      </c>
      <c r="EQ29">
        <v>48.875</v>
      </c>
      <c r="ER29">
        <v>48.375</v>
      </c>
      <c r="ES29">
        <v>48</v>
      </c>
      <c r="ET29">
        <v>48.625</v>
      </c>
      <c r="EU29">
        <v>1755.48</v>
      </c>
      <c r="EV29">
        <v>39.479999999999997</v>
      </c>
      <c r="EW29">
        <v>0</v>
      </c>
      <c r="EX29">
        <v>115.2000000476837</v>
      </c>
      <c r="EY29">
        <v>0</v>
      </c>
      <c r="EZ29">
        <v>735.20876923076935</v>
      </c>
      <c r="FA29">
        <v>-0.53299145417577309</v>
      </c>
      <c r="FB29">
        <v>0.48547009378930878</v>
      </c>
      <c r="FC29">
        <v>15922.115384615379</v>
      </c>
      <c r="FD29">
        <v>15</v>
      </c>
      <c r="FE29">
        <v>1689000689.0999999</v>
      </c>
      <c r="FF29" t="s">
        <v>487</v>
      </c>
      <c r="FG29">
        <v>1689000675.5999999</v>
      </c>
      <c r="FH29">
        <v>1689000689.0999999</v>
      </c>
      <c r="FI29">
        <v>15</v>
      </c>
      <c r="FJ29">
        <v>-8.3000000000000004E-2</v>
      </c>
      <c r="FK29">
        <v>-4.0000000000000001E-3</v>
      </c>
      <c r="FL29">
        <v>-1.8380000000000001</v>
      </c>
      <c r="FM29">
        <v>4.4999999999999998E-2</v>
      </c>
      <c r="FN29">
        <v>900</v>
      </c>
      <c r="FO29">
        <v>22</v>
      </c>
      <c r="FP29">
        <v>0.06</v>
      </c>
      <c r="FQ29">
        <v>0.02</v>
      </c>
      <c r="FR29">
        <v>50.301408145302567</v>
      </c>
      <c r="FS29">
        <v>-0.54028578050624265</v>
      </c>
      <c r="FT29">
        <v>4.9630468751498569E-2</v>
      </c>
      <c r="FU29">
        <v>1</v>
      </c>
      <c r="FV29">
        <v>0.33290625174442379</v>
      </c>
      <c r="FW29">
        <v>-6.1266130310816463E-3</v>
      </c>
      <c r="FX29">
        <v>1.847087978233516E-3</v>
      </c>
      <c r="FY29">
        <v>1</v>
      </c>
      <c r="FZ29">
        <v>2</v>
      </c>
      <c r="GA29">
        <v>2</v>
      </c>
      <c r="GB29" t="s">
        <v>423</v>
      </c>
      <c r="GC29">
        <v>2.9465599999999998</v>
      </c>
      <c r="GD29">
        <v>2.7085699999999999</v>
      </c>
      <c r="GE29">
        <v>0.14888899999999999</v>
      </c>
      <c r="GF29">
        <v>0.15640299999999999</v>
      </c>
      <c r="GG29">
        <v>0.128159</v>
      </c>
      <c r="GH29">
        <v>0.110387</v>
      </c>
      <c r="GI29">
        <v>28185.5</v>
      </c>
      <c r="GJ29">
        <v>27207.3</v>
      </c>
      <c r="GK29">
        <v>34103.300000000003</v>
      </c>
      <c r="GL29">
        <v>32278.2</v>
      </c>
      <c r="GM29">
        <v>42869.4</v>
      </c>
      <c r="GN29">
        <v>40841.599999999999</v>
      </c>
      <c r="GO29">
        <v>49342.9</v>
      </c>
      <c r="GP29">
        <v>45680.6</v>
      </c>
      <c r="GQ29">
        <v>2.0170499999999998</v>
      </c>
      <c r="GR29">
        <v>1.8571800000000001</v>
      </c>
      <c r="GS29">
        <v>7.0050399999999999E-2</v>
      </c>
      <c r="GT29">
        <v>0</v>
      </c>
      <c r="GU29">
        <v>28.947099999999999</v>
      </c>
      <c r="GV29">
        <v>999.9</v>
      </c>
      <c r="GW29">
        <v>46.9</v>
      </c>
      <c r="GX29">
        <v>36.799999999999997</v>
      </c>
      <c r="GY29">
        <v>29.491299999999999</v>
      </c>
      <c r="GZ29">
        <v>60.108400000000003</v>
      </c>
      <c r="HA29">
        <v>25.837299999999999</v>
      </c>
      <c r="HB29">
        <v>1</v>
      </c>
      <c r="HC29">
        <v>0.19676099999999999</v>
      </c>
      <c r="HD29">
        <v>2.04312</v>
      </c>
      <c r="HE29">
        <v>20.214700000000001</v>
      </c>
      <c r="HF29">
        <v>5.2683499999999999</v>
      </c>
      <c r="HG29">
        <v>12.039899999999999</v>
      </c>
      <c r="HH29">
        <v>4.9664999999999999</v>
      </c>
      <c r="HI29">
        <v>3.30023</v>
      </c>
      <c r="HJ29">
        <v>9999</v>
      </c>
      <c r="HK29">
        <v>9999</v>
      </c>
      <c r="HL29">
        <v>9999</v>
      </c>
      <c r="HM29">
        <v>999.9</v>
      </c>
      <c r="HN29">
        <v>1.8684400000000001</v>
      </c>
      <c r="HO29">
        <v>1.8720699999999999</v>
      </c>
      <c r="HP29">
        <v>1.87192</v>
      </c>
      <c r="HQ29">
        <v>1.8713500000000001</v>
      </c>
      <c r="HR29">
        <v>1.8646199999999999</v>
      </c>
      <c r="HS29">
        <v>1.8658300000000001</v>
      </c>
      <c r="HT29">
        <v>1.8678300000000001</v>
      </c>
      <c r="HU29">
        <v>1.8724000000000001</v>
      </c>
      <c r="HV29">
        <v>0</v>
      </c>
      <c r="HW29">
        <v>0</v>
      </c>
      <c r="HX29">
        <v>0</v>
      </c>
      <c r="HY29">
        <v>0</v>
      </c>
      <c r="HZ29" t="s">
        <v>424</v>
      </c>
      <c r="IA29" t="s">
        <v>425</v>
      </c>
      <c r="IB29" t="s">
        <v>426</v>
      </c>
      <c r="IC29" t="s">
        <v>426</v>
      </c>
      <c r="ID29" t="s">
        <v>426</v>
      </c>
      <c r="IE29" t="s">
        <v>426</v>
      </c>
      <c r="IF29">
        <v>0</v>
      </c>
      <c r="IG29">
        <v>100</v>
      </c>
      <c r="IH29">
        <v>100</v>
      </c>
      <c r="II29">
        <v>-1.788</v>
      </c>
      <c r="IJ29">
        <v>4.5100000000000001E-2</v>
      </c>
      <c r="IK29">
        <v>-0.98324873043099736</v>
      </c>
      <c r="IL29">
        <v>-1.171017271736434E-3</v>
      </c>
      <c r="IM29">
        <v>2.801297040296544E-7</v>
      </c>
      <c r="IN29">
        <v>-3.6238253961199429E-11</v>
      </c>
      <c r="IO29">
        <v>4.5066666666667032E-2</v>
      </c>
      <c r="IP29">
        <v>0</v>
      </c>
      <c r="IQ29">
        <v>0</v>
      </c>
      <c r="IR29">
        <v>0</v>
      </c>
      <c r="IS29">
        <v>0</v>
      </c>
      <c r="IT29">
        <v>2161</v>
      </c>
      <c r="IU29">
        <v>1</v>
      </c>
      <c r="IV29">
        <v>19</v>
      </c>
      <c r="IW29">
        <v>0.8</v>
      </c>
      <c r="IX29">
        <v>0.6</v>
      </c>
      <c r="IY29">
        <v>1.9836400000000001</v>
      </c>
      <c r="IZ29">
        <v>2.4609399999999999</v>
      </c>
      <c r="JA29">
        <v>1.4440900000000001</v>
      </c>
      <c r="JB29">
        <v>2.2839399999999999</v>
      </c>
      <c r="JC29">
        <v>1.54419</v>
      </c>
      <c r="JD29">
        <v>2.4316399999999998</v>
      </c>
      <c r="JE29">
        <v>42.912100000000002</v>
      </c>
      <c r="JF29">
        <v>24.227599999999999</v>
      </c>
      <c r="JG29">
        <v>18</v>
      </c>
      <c r="JH29">
        <v>508.988</v>
      </c>
      <c r="JI29">
        <v>445.81299999999999</v>
      </c>
      <c r="JJ29">
        <v>26.9633</v>
      </c>
      <c r="JK29">
        <v>29.821999999999999</v>
      </c>
      <c r="JL29">
        <v>30.000900000000001</v>
      </c>
      <c r="JM29">
        <v>29.576499999999999</v>
      </c>
      <c r="JN29">
        <v>29.5151</v>
      </c>
      <c r="JO29">
        <v>39.859400000000001</v>
      </c>
      <c r="JP29">
        <v>28.5745</v>
      </c>
      <c r="JQ29">
        <v>29.258099999999999</v>
      </c>
      <c r="JR29">
        <v>26.8523</v>
      </c>
      <c r="JS29">
        <v>900</v>
      </c>
      <c r="JT29">
        <v>22.911300000000001</v>
      </c>
      <c r="JU29">
        <v>100.044</v>
      </c>
      <c r="JV29">
        <v>99.493600000000001</v>
      </c>
    </row>
    <row r="30" spans="1:282" x14ac:dyDescent="0.25">
      <c r="A30">
        <v>14</v>
      </c>
      <c r="B30">
        <v>1689000871.5999999</v>
      </c>
      <c r="C30">
        <v>1694.599999904633</v>
      </c>
      <c r="D30" t="s">
        <v>488</v>
      </c>
      <c r="E30" t="s">
        <v>489</v>
      </c>
      <c r="F30" t="s">
        <v>414</v>
      </c>
      <c r="G30" t="s">
        <v>415</v>
      </c>
      <c r="H30" t="s">
        <v>416</v>
      </c>
      <c r="I30" t="s">
        <v>416</v>
      </c>
      <c r="J30" t="s">
        <v>417</v>
      </c>
      <c r="K30">
        <v>1689000871.5999999</v>
      </c>
      <c r="L30">
        <f t="shared" si="0"/>
        <v>4.387513819516492E-3</v>
      </c>
      <c r="M30">
        <f t="shared" si="1"/>
        <v>4.3875138195164922</v>
      </c>
      <c r="N30">
        <f t="shared" si="2"/>
        <v>48.988817730686335</v>
      </c>
      <c r="O30">
        <f t="shared" si="3"/>
        <v>1135.06</v>
      </c>
      <c r="P30">
        <f t="shared" si="4"/>
        <v>841.58942814677494</v>
      </c>
      <c r="Q30">
        <f t="shared" si="5"/>
        <v>83.543668566011391</v>
      </c>
      <c r="R30">
        <f t="shared" si="6"/>
        <v>112.67617352484001</v>
      </c>
      <c r="S30">
        <f t="shared" si="7"/>
        <v>0.30516635924683505</v>
      </c>
      <c r="T30">
        <f t="shared" si="8"/>
        <v>2.911863857004898</v>
      </c>
      <c r="U30">
        <f t="shared" si="9"/>
        <v>0.28844691523328858</v>
      </c>
      <c r="V30">
        <f t="shared" si="10"/>
        <v>0.18170512203357414</v>
      </c>
      <c r="W30">
        <f t="shared" si="11"/>
        <v>289.56589095864967</v>
      </c>
      <c r="X30">
        <f t="shared" si="12"/>
        <v>30.728131324618772</v>
      </c>
      <c r="Y30">
        <f t="shared" si="13"/>
        <v>29.953199999999999</v>
      </c>
      <c r="Z30">
        <f t="shared" si="14"/>
        <v>4.2490104353592519</v>
      </c>
      <c r="AA30">
        <f t="shared" si="15"/>
        <v>64.949354203715941</v>
      </c>
      <c r="AB30">
        <f t="shared" si="16"/>
        <v>2.7926033079738</v>
      </c>
      <c r="AC30">
        <f t="shared" si="17"/>
        <v>4.2996629330827538</v>
      </c>
      <c r="AD30">
        <f t="shared" si="18"/>
        <v>1.456407127385452</v>
      </c>
      <c r="AE30">
        <f t="shared" si="19"/>
        <v>-193.4893594406773</v>
      </c>
      <c r="AF30">
        <f t="shared" si="20"/>
        <v>32.401581039026574</v>
      </c>
      <c r="AG30">
        <f t="shared" si="21"/>
        <v>2.4755789109183319</v>
      </c>
      <c r="AH30">
        <f t="shared" si="22"/>
        <v>130.95369146791728</v>
      </c>
      <c r="AI30">
        <v>0</v>
      </c>
      <c r="AJ30">
        <v>0</v>
      </c>
      <c r="AK30">
        <f t="shared" si="23"/>
        <v>1</v>
      </c>
      <c r="AL30">
        <f t="shared" si="24"/>
        <v>0</v>
      </c>
      <c r="AM30">
        <f t="shared" si="25"/>
        <v>51804.018768472517</v>
      </c>
      <c r="AN30" t="s">
        <v>418</v>
      </c>
      <c r="AO30">
        <v>10076.700000000001</v>
      </c>
      <c r="AP30">
        <v>185.01599999999999</v>
      </c>
      <c r="AQ30">
        <v>473.06</v>
      </c>
      <c r="AR30">
        <f t="shared" si="26"/>
        <v>0.60889527755464423</v>
      </c>
      <c r="AS30">
        <v>-1.4827006201179751</v>
      </c>
      <c r="AT30" t="s">
        <v>490</v>
      </c>
      <c r="AU30">
        <v>8075.24</v>
      </c>
      <c r="AV30">
        <v>734.47873076923088</v>
      </c>
      <c r="AW30">
        <v>1094.727870415943</v>
      </c>
      <c r="AX30">
        <f t="shared" si="27"/>
        <v>0.32907643020893873</v>
      </c>
      <c r="AY30">
        <v>0.5</v>
      </c>
      <c r="AZ30">
        <f t="shared" si="28"/>
        <v>1513.1843994604403</v>
      </c>
      <c r="BA30">
        <f t="shared" si="29"/>
        <v>48.988817730686335</v>
      </c>
      <c r="BB30">
        <f t="shared" si="30"/>
        <v>248.97666021114924</v>
      </c>
      <c r="BC30">
        <f t="shared" si="31"/>
        <v>3.3354506145319138E-2</v>
      </c>
      <c r="BD30">
        <f t="shared" si="32"/>
        <v>-0.5678743432189588</v>
      </c>
      <c r="BE30">
        <f t="shared" si="33"/>
        <v>237.83983103838443</v>
      </c>
      <c r="BF30" t="s">
        <v>491</v>
      </c>
      <c r="BG30">
        <v>556.25</v>
      </c>
      <c r="BH30">
        <f t="shared" si="34"/>
        <v>556.25</v>
      </c>
      <c r="BI30">
        <f t="shared" si="35"/>
        <v>0.49188285506182261</v>
      </c>
      <c r="BJ30">
        <f t="shared" si="36"/>
        <v>0.6690138247806553</v>
      </c>
      <c r="BK30">
        <f t="shared" si="37"/>
        <v>7.4728677775687355</v>
      </c>
      <c r="BL30">
        <f t="shared" si="38"/>
        <v>0.39600356042622287</v>
      </c>
      <c r="BM30">
        <f t="shared" si="39"/>
        <v>-2.158239263501212</v>
      </c>
      <c r="BN30">
        <f t="shared" si="40"/>
        <v>0.50667081896911115</v>
      </c>
      <c r="BO30">
        <f t="shared" si="41"/>
        <v>0.49332918103088885</v>
      </c>
      <c r="BP30">
        <v>9081</v>
      </c>
      <c r="BQ30">
        <v>290.00000000000011</v>
      </c>
      <c r="BR30">
        <v>971.63</v>
      </c>
      <c r="BS30">
        <v>285</v>
      </c>
      <c r="BT30">
        <v>8075.24</v>
      </c>
      <c r="BU30">
        <v>974.33</v>
      </c>
      <c r="BV30">
        <v>-2.7</v>
      </c>
      <c r="BW30">
        <v>300.00000000000011</v>
      </c>
      <c r="BX30">
        <v>19.2</v>
      </c>
      <c r="BY30">
        <v>1094.727870415943</v>
      </c>
      <c r="BZ30">
        <v>3.2443539928010989</v>
      </c>
      <c r="CA30">
        <v>-97.228137315142561</v>
      </c>
      <c r="CB30">
        <v>2.407426872336774</v>
      </c>
      <c r="CC30">
        <v>0.98312327072023253</v>
      </c>
      <c r="CD30">
        <v>-4.1595328142380482E-3</v>
      </c>
      <c r="CE30">
        <v>289.99999999999989</v>
      </c>
      <c r="CF30">
        <v>969.84</v>
      </c>
      <c r="CG30">
        <v>645</v>
      </c>
      <c r="CH30">
        <v>8068.68</v>
      </c>
      <c r="CI30">
        <v>974.23</v>
      </c>
      <c r="CJ30">
        <v>-4.3899999999999997</v>
      </c>
      <c r="CX30">
        <f t="shared" si="42"/>
        <v>1800</v>
      </c>
      <c r="CY30">
        <f t="shared" si="43"/>
        <v>1513.1843994604403</v>
      </c>
      <c r="CZ30">
        <f t="shared" si="44"/>
        <v>0.84065799970024457</v>
      </c>
      <c r="DA30">
        <f t="shared" si="45"/>
        <v>0.16086993942147204</v>
      </c>
      <c r="DB30">
        <v>6</v>
      </c>
      <c r="DC30">
        <v>0.5</v>
      </c>
      <c r="DD30" t="s">
        <v>421</v>
      </c>
      <c r="DE30">
        <v>2</v>
      </c>
      <c r="DF30">
        <v>1689000871.5999999</v>
      </c>
      <c r="DG30">
        <v>1135.06</v>
      </c>
      <c r="DH30">
        <v>1199.81</v>
      </c>
      <c r="DI30">
        <v>28.131699999999999</v>
      </c>
      <c r="DJ30">
        <v>23.015799999999999</v>
      </c>
      <c r="DK30">
        <v>1137.2</v>
      </c>
      <c r="DL30">
        <v>28.0901</v>
      </c>
      <c r="DM30">
        <v>500.09800000000001</v>
      </c>
      <c r="DN30">
        <v>99.168800000000005</v>
      </c>
      <c r="DO30">
        <v>0.10011399999999999</v>
      </c>
      <c r="DP30">
        <v>30.159600000000001</v>
      </c>
      <c r="DQ30">
        <v>29.953199999999999</v>
      </c>
      <c r="DR30">
        <v>999.9</v>
      </c>
      <c r="DS30">
        <v>0</v>
      </c>
      <c r="DT30">
        <v>0</v>
      </c>
      <c r="DU30">
        <v>9982.5</v>
      </c>
      <c r="DV30">
        <v>0</v>
      </c>
      <c r="DW30">
        <v>1633.32</v>
      </c>
      <c r="DX30">
        <v>-64.745000000000005</v>
      </c>
      <c r="DY30">
        <v>1167.92</v>
      </c>
      <c r="DZ30">
        <v>1228.07</v>
      </c>
      <c r="EA30">
        <v>5.1158299999999999</v>
      </c>
      <c r="EB30">
        <v>1199.81</v>
      </c>
      <c r="EC30">
        <v>23.015799999999999</v>
      </c>
      <c r="ED30">
        <v>2.78979</v>
      </c>
      <c r="EE30">
        <v>2.2824499999999999</v>
      </c>
      <c r="EF30">
        <v>22.823799999999999</v>
      </c>
      <c r="EG30">
        <v>19.553100000000001</v>
      </c>
      <c r="EH30">
        <v>1800</v>
      </c>
      <c r="EI30">
        <v>0.97800500000000001</v>
      </c>
      <c r="EJ30">
        <v>2.1995299999999999E-2</v>
      </c>
      <c r="EK30">
        <v>0</v>
      </c>
      <c r="EL30">
        <v>734.43200000000002</v>
      </c>
      <c r="EM30">
        <v>5.00082</v>
      </c>
      <c r="EN30">
        <v>15918.9</v>
      </c>
      <c r="EO30">
        <v>14129.8</v>
      </c>
      <c r="EP30">
        <v>47.186999999999998</v>
      </c>
      <c r="EQ30">
        <v>48.811999999999998</v>
      </c>
      <c r="ER30">
        <v>48.311999999999998</v>
      </c>
      <c r="ES30">
        <v>48</v>
      </c>
      <c r="ET30">
        <v>48.625</v>
      </c>
      <c r="EU30">
        <v>1755.52</v>
      </c>
      <c r="EV30">
        <v>39.479999999999997</v>
      </c>
      <c r="EW30">
        <v>0</v>
      </c>
      <c r="EX30">
        <v>146.4000000953674</v>
      </c>
      <c r="EY30">
        <v>0</v>
      </c>
      <c r="EZ30">
        <v>734.47873076923088</v>
      </c>
      <c r="FA30">
        <v>-0.97446153448925332</v>
      </c>
      <c r="FB30">
        <v>-16.071794708018992</v>
      </c>
      <c r="FC30">
        <v>15921.95</v>
      </c>
      <c r="FD30">
        <v>15</v>
      </c>
      <c r="FE30">
        <v>1689000825.0999999</v>
      </c>
      <c r="FF30" t="s">
        <v>492</v>
      </c>
      <c r="FG30">
        <v>1689000825.0999999</v>
      </c>
      <c r="FH30">
        <v>1689000817.5999999</v>
      </c>
      <c r="FI30">
        <v>16</v>
      </c>
      <c r="FJ30">
        <v>-0.13800000000000001</v>
      </c>
      <c r="FK30">
        <v>-3.0000000000000001E-3</v>
      </c>
      <c r="FL30">
        <v>-2.1869999999999998</v>
      </c>
      <c r="FM30">
        <v>4.2000000000000003E-2</v>
      </c>
      <c r="FN30">
        <v>1200</v>
      </c>
      <c r="FO30">
        <v>23</v>
      </c>
      <c r="FP30">
        <v>7.0000000000000007E-2</v>
      </c>
      <c r="FQ30">
        <v>0.02</v>
      </c>
      <c r="FR30">
        <v>49.058212932801567</v>
      </c>
      <c r="FS30">
        <v>-4.4433667672128557E-2</v>
      </c>
      <c r="FT30">
        <v>7.1555443739963642E-2</v>
      </c>
      <c r="FU30">
        <v>1</v>
      </c>
      <c r="FV30">
        <v>0.31003925660967829</v>
      </c>
      <c r="FW30">
        <v>-3.9643423892041278E-2</v>
      </c>
      <c r="FX30">
        <v>3.0330034503061958E-3</v>
      </c>
      <c r="FY30">
        <v>1</v>
      </c>
      <c r="FZ30">
        <v>2</v>
      </c>
      <c r="GA30">
        <v>2</v>
      </c>
      <c r="GB30" t="s">
        <v>423</v>
      </c>
      <c r="GC30">
        <v>2.9466299999999999</v>
      </c>
      <c r="GD30">
        <v>2.7086199999999998</v>
      </c>
      <c r="GE30">
        <v>0.18110399999999999</v>
      </c>
      <c r="GF30">
        <v>0.18756800000000001</v>
      </c>
      <c r="GG30">
        <v>0.12720899999999999</v>
      </c>
      <c r="GH30">
        <v>0.110709</v>
      </c>
      <c r="GI30">
        <v>27114.799999999999</v>
      </c>
      <c r="GJ30">
        <v>26200.7</v>
      </c>
      <c r="GK30">
        <v>34099.9</v>
      </c>
      <c r="GL30">
        <v>32277.8</v>
      </c>
      <c r="GM30">
        <v>42914.6</v>
      </c>
      <c r="GN30">
        <v>40826.800000000003</v>
      </c>
      <c r="GO30">
        <v>49339.6</v>
      </c>
      <c r="GP30">
        <v>45679.8</v>
      </c>
      <c r="GQ30">
        <v>2.0169299999999999</v>
      </c>
      <c r="GR30">
        <v>1.85588</v>
      </c>
      <c r="GS30">
        <v>7.7754299999999998E-2</v>
      </c>
      <c r="GT30">
        <v>0</v>
      </c>
      <c r="GU30">
        <v>28.686499999999999</v>
      </c>
      <c r="GV30">
        <v>999.9</v>
      </c>
      <c r="GW30">
        <v>46.2</v>
      </c>
      <c r="GX30">
        <v>37.1</v>
      </c>
      <c r="GY30">
        <v>29.534800000000001</v>
      </c>
      <c r="GZ30">
        <v>60.278399999999998</v>
      </c>
      <c r="HA30">
        <v>25.989599999999999</v>
      </c>
      <c r="HB30">
        <v>1</v>
      </c>
      <c r="HC30">
        <v>0.19620899999999999</v>
      </c>
      <c r="HD30">
        <v>0.92988599999999999</v>
      </c>
      <c r="HE30">
        <v>20.270299999999999</v>
      </c>
      <c r="HF30">
        <v>5.2712000000000003</v>
      </c>
      <c r="HG30">
        <v>12.039899999999999</v>
      </c>
      <c r="HH30">
        <v>4.9667500000000002</v>
      </c>
      <c r="HI30">
        <v>3.3010000000000002</v>
      </c>
      <c r="HJ30">
        <v>9999</v>
      </c>
      <c r="HK30">
        <v>9999</v>
      </c>
      <c r="HL30">
        <v>9999</v>
      </c>
      <c r="HM30">
        <v>999.9</v>
      </c>
      <c r="HN30">
        <v>1.86829</v>
      </c>
      <c r="HO30">
        <v>1.8719600000000001</v>
      </c>
      <c r="HP30">
        <v>1.8717999999999999</v>
      </c>
      <c r="HQ30">
        <v>1.8713</v>
      </c>
      <c r="HR30">
        <v>1.8645799999999999</v>
      </c>
      <c r="HS30">
        <v>1.8656999999999999</v>
      </c>
      <c r="HT30">
        <v>1.86774</v>
      </c>
      <c r="HU30">
        <v>1.87225</v>
      </c>
      <c r="HV30">
        <v>0</v>
      </c>
      <c r="HW30">
        <v>0</v>
      </c>
      <c r="HX30">
        <v>0</v>
      </c>
      <c r="HY30">
        <v>0</v>
      </c>
      <c r="HZ30" t="s">
        <v>424</v>
      </c>
      <c r="IA30" t="s">
        <v>425</v>
      </c>
      <c r="IB30" t="s">
        <v>426</v>
      </c>
      <c r="IC30" t="s">
        <v>426</v>
      </c>
      <c r="ID30" t="s">
        <v>426</v>
      </c>
      <c r="IE30" t="s">
        <v>426</v>
      </c>
      <c r="IF30">
        <v>0</v>
      </c>
      <c r="IG30">
        <v>100</v>
      </c>
      <c r="IH30">
        <v>100</v>
      </c>
      <c r="II30">
        <v>-2.14</v>
      </c>
      <c r="IJ30">
        <v>4.1599999999999998E-2</v>
      </c>
      <c r="IK30">
        <v>-1.1212171935601909</v>
      </c>
      <c r="IL30">
        <v>-1.171017271736434E-3</v>
      </c>
      <c r="IM30">
        <v>2.801297040296544E-7</v>
      </c>
      <c r="IN30">
        <v>-3.6238253961199429E-11</v>
      </c>
      <c r="IO30">
        <v>4.1615000000003732E-2</v>
      </c>
      <c r="IP30">
        <v>0</v>
      </c>
      <c r="IQ30">
        <v>0</v>
      </c>
      <c r="IR30">
        <v>0</v>
      </c>
      <c r="IS30">
        <v>0</v>
      </c>
      <c r="IT30">
        <v>2161</v>
      </c>
      <c r="IU30">
        <v>1</v>
      </c>
      <c r="IV30">
        <v>19</v>
      </c>
      <c r="IW30">
        <v>0.8</v>
      </c>
      <c r="IX30">
        <v>0.9</v>
      </c>
      <c r="IY30">
        <v>2.5122100000000001</v>
      </c>
      <c r="IZ30">
        <v>2.4609399999999999</v>
      </c>
      <c r="JA30">
        <v>1.4440900000000001</v>
      </c>
      <c r="JB30">
        <v>2.2827099999999998</v>
      </c>
      <c r="JC30">
        <v>1.54419</v>
      </c>
      <c r="JD30">
        <v>2.3010299999999999</v>
      </c>
      <c r="JE30">
        <v>43.046900000000001</v>
      </c>
      <c r="JF30">
        <v>16.434799999999999</v>
      </c>
      <c r="JG30">
        <v>18</v>
      </c>
      <c r="JH30">
        <v>509.358</v>
      </c>
      <c r="JI30">
        <v>445.39800000000002</v>
      </c>
      <c r="JJ30">
        <v>27.462199999999999</v>
      </c>
      <c r="JK30">
        <v>29.860199999999999</v>
      </c>
      <c r="JL30">
        <v>29.999099999999999</v>
      </c>
      <c r="JM30">
        <v>29.628900000000002</v>
      </c>
      <c r="JN30">
        <v>29.567799999999998</v>
      </c>
      <c r="JO30">
        <v>50.455399999999997</v>
      </c>
      <c r="JP30">
        <v>27.828399999999998</v>
      </c>
      <c r="JQ30">
        <v>27.601800000000001</v>
      </c>
      <c r="JR30">
        <v>27.523900000000001</v>
      </c>
      <c r="JS30">
        <v>1200</v>
      </c>
      <c r="JT30">
        <v>23.1311</v>
      </c>
      <c r="JU30">
        <v>100.036</v>
      </c>
      <c r="JV30">
        <v>99.492099999999994</v>
      </c>
    </row>
    <row r="31" spans="1:282" x14ac:dyDescent="0.25">
      <c r="A31">
        <v>15</v>
      </c>
      <c r="B31">
        <v>1689000980.5999999</v>
      </c>
      <c r="C31">
        <v>1803.599999904633</v>
      </c>
      <c r="D31" t="s">
        <v>493</v>
      </c>
      <c r="E31" t="s">
        <v>494</v>
      </c>
      <c r="F31" t="s">
        <v>414</v>
      </c>
      <c r="G31" t="s">
        <v>415</v>
      </c>
      <c r="H31" t="s">
        <v>416</v>
      </c>
      <c r="I31" t="s">
        <v>416</v>
      </c>
      <c r="J31" t="s">
        <v>417</v>
      </c>
      <c r="K31">
        <v>1689000980.5999999</v>
      </c>
      <c r="L31">
        <f t="shared" si="0"/>
        <v>4.2529537015165699E-3</v>
      </c>
      <c r="M31">
        <f t="shared" si="1"/>
        <v>4.2529537015165699</v>
      </c>
      <c r="N31">
        <f t="shared" si="2"/>
        <v>48.052778531564627</v>
      </c>
      <c r="O31">
        <f t="shared" si="3"/>
        <v>1435.07</v>
      </c>
      <c r="P31">
        <f t="shared" si="4"/>
        <v>1127.4227629766215</v>
      </c>
      <c r="Q31">
        <f t="shared" si="5"/>
        <v>111.91679538937487</v>
      </c>
      <c r="R31">
        <f t="shared" si="6"/>
        <v>142.45626470712</v>
      </c>
      <c r="S31">
        <f t="shared" si="7"/>
        <v>0.29146568573905068</v>
      </c>
      <c r="T31">
        <f t="shared" si="8"/>
        <v>2.908556484345814</v>
      </c>
      <c r="U31">
        <f t="shared" si="9"/>
        <v>0.27615700527621562</v>
      </c>
      <c r="V31">
        <f t="shared" si="10"/>
        <v>0.17390651900509144</v>
      </c>
      <c r="W31">
        <f t="shared" si="11"/>
        <v>289.5499309585918</v>
      </c>
      <c r="X31">
        <f t="shared" si="12"/>
        <v>30.820765085510612</v>
      </c>
      <c r="Y31">
        <f t="shared" si="13"/>
        <v>30.1372</v>
      </c>
      <c r="Z31">
        <f t="shared" si="14"/>
        <v>4.2941404289786931</v>
      </c>
      <c r="AA31">
        <f t="shared" si="15"/>
        <v>65.3759065038399</v>
      </c>
      <c r="AB31">
        <f t="shared" si="16"/>
        <v>2.8201490186520002</v>
      </c>
      <c r="AC31">
        <f t="shared" si="17"/>
        <v>4.3137436549141492</v>
      </c>
      <c r="AD31">
        <f t="shared" si="18"/>
        <v>1.4739914103266929</v>
      </c>
      <c r="AE31">
        <f t="shared" si="19"/>
        <v>-187.55525823688075</v>
      </c>
      <c r="AF31">
        <f t="shared" si="20"/>
        <v>12.450404116413644</v>
      </c>
      <c r="AG31">
        <f t="shared" si="21"/>
        <v>0.95346660141626316</v>
      </c>
      <c r="AH31">
        <f t="shared" si="22"/>
        <v>115.39854343954096</v>
      </c>
      <c r="AI31">
        <v>0</v>
      </c>
      <c r="AJ31">
        <v>0</v>
      </c>
      <c r="AK31">
        <f t="shared" si="23"/>
        <v>1</v>
      </c>
      <c r="AL31">
        <f t="shared" si="24"/>
        <v>0</v>
      </c>
      <c r="AM31">
        <f t="shared" si="25"/>
        <v>51700.279971769036</v>
      </c>
      <c r="AN31" t="s">
        <v>418</v>
      </c>
      <c r="AO31">
        <v>10076.700000000001</v>
      </c>
      <c r="AP31">
        <v>185.01599999999999</v>
      </c>
      <c r="AQ31">
        <v>473.06</v>
      </c>
      <c r="AR31">
        <f t="shared" si="26"/>
        <v>0.60889527755464423</v>
      </c>
      <c r="AS31">
        <v>-1.4827006201179751</v>
      </c>
      <c r="AT31" t="s">
        <v>495</v>
      </c>
      <c r="AU31">
        <v>8074.77</v>
      </c>
      <c r="AV31">
        <v>733.89034615384617</v>
      </c>
      <c r="AW31">
        <v>1091.80427075496</v>
      </c>
      <c r="AX31">
        <f t="shared" si="27"/>
        <v>0.3278187621977553</v>
      </c>
      <c r="AY31">
        <v>0.5</v>
      </c>
      <c r="AZ31">
        <f t="shared" si="28"/>
        <v>1513.1003994604102</v>
      </c>
      <c r="BA31">
        <f t="shared" si="29"/>
        <v>48.052778531564627</v>
      </c>
      <c r="BB31">
        <f t="shared" si="30"/>
        <v>248.0113500160204</v>
      </c>
      <c r="BC31">
        <f t="shared" si="31"/>
        <v>3.2737734501522536E-2</v>
      </c>
      <c r="BD31">
        <f t="shared" si="32"/>
        <v>-0.56671721051897994</v>
      </c>
      <c r="BE31">
        <f t="shared" si="33"/>
        <v>237.70154334636476</v>
      </c>
      <c r="BF31" t="s">
        <v>496</v>
      </c>
      <c r="BG31">
        <v>554.79999999999995</v>
      </c>
      <c r="BH31">
        <f t="shared" si="34"/>
        <v>554.79999999999995</v>
      </c>
      <c r="BI31">
        <f t="shared" si="35"/>
        <v>0.49185031157977865</v>
      </c>
      <c r="BJ31">
        <f t="shared" si="36"/>
        <v>0.6665010766077003</v>
      </c>
      <c r="BK31">
        <f t="shared" si="37"/>
        <v>7.5696632096276053</v>
      </c>
      <c r="BL31">
        <f t="shared" si="38"/>
        <v>0.3947050663801896</v>
      </c>
      <c r="BM31">
        <f t="shared" si="39"/>
        <v>-2.1480894264590136</v>
      </c>
      <c r="BN31">
        <f t="shared" si="40"/>
        <v>0.50385564987992881</v>
      </c>
      <c r="BO31">
        <f t="shared" si="41"/>
        <v>0.49614435012007119</v>
      </c>
      <c r="BP31">
        <v>9083</v>
      </c>
      <c r="BQ31">
        <v>290.00000000000011</v>
      </c>
      <c r="BR31">
        <v>970.81</v>
      </c>
      <c r="BS31">
        <v>295</v>
      </c>
      <c r="BT31">
        <v>8074.77</v>
      </c>
      <c r="BU31">
        <v>973.03</v>
      </c>
      <c r="BV31">
        <v>-2.2200000000000002</v>
      </c>
      <c r="BW31">
        <v>300.00000000000011</v>
      </c>
      <c r="BX31">
        <v>19.2</v>
      </c>
      <c r="BY31">
        <v>1091.80427075496</v>
      </c>
      <c r="BZ31">
        <v>2.908308169086478</v>
      </c>
      <c r="CA31">
        <v>-95.903791544988863</v>
      </c>
      <c r="CB31">
        <v>2.157938616275306</v>
      </c>
      <c r="CC31">
        <v>0.98602180262959882</v>
      </c>
      <c r="CD31">
        <v>-4.1592858731924346E-3</v>
      </c>
      <c r="CE31">
        <v>289.99999999999989</v>
      </c>
      <c r="CF31">
        <v>968.12</v>
      </c>
      <c r="CG31">
        <v>635</v>
      </c>
      <c r="CH31">
        <v>8068.46</v>
      </c>
      <c r="CI31">
        <v>972.94</v>
      </c>
      <c r="CJ31">
        <v>-4.82</v>
      </c>
      <c r="CX31">
        <f t="shared" si="42"/>
        <v>1799.9</v>
      </c>
      <c r="CY31">
        <f t="shared" si="43"/>
        <v>1513.1003994604102</v>
      </c>
      <c r="CZ31">
        <f t="shared" si="44"/>
        <v>0.84065803625779778</v>
      </c>
      <c r="DA31">
        <f t="shared" si="45"/>
        <v>0.16087000997754974</v>
      </c>
      <c r="DB31">
        <v>6</v>
      </c>
      <c r="DC31">
        <v>0.5</v>
      </c>
      <c r="DD31" t="s">
        <v>421</v>
      </c>
      <c r="DE31">
        <v>2</v>
      </c>
      <c r="DF31">
        <v>1689000980.5999999</v>
      </c>
      <c r="DG31">
        <v>1435.07</v>
      </c>
      <c r="DH31">
        <v>1500.05</v>
      </c>
      <c r="DI31">
        <v>28.409500000000001</v>
      </c>
      <c r="DJ31">
        <v>23.451499999999999</v>
      </c>
      <c r="DK31">
        <v>1437.26</v>
      </c>
      <c r="DL31">
        <v>28.3614</v>
      </c>
      <c r="DM31">
        <v>500.05599999999998</v>
      </c>
      <c r="DN31">
        <v>99.167599999999993</v>
      </c>
      <c r="DO31">
        <v>0.100216</v>
      </c>
      <c r="DP31">
        <v>30.2166</v>
      </c>
      <c r="DQ31">
        <v>30.1372</v>
      </c>
      <c r="DR31">
        <v>999.9</v>
      </c>
      <c r="DS31">
        <v>0</v>
      </c>
      <c r="DT31">
        <v>0</v>
      </c>
      <c r="DU31">
        <v>9963.75</v>
      </c>
      <c r="DV31">
        <v>0</v>
      </c>
      <c r="DW31">
        <v>1636.91</v>
      </c>
      <c r="DX31">
        <v>-64.982399999999998</v>
      </c>
      <c r="DY31">
        <v>1477.03</v>
      </c>
      <c r="DZ31">
        <v>1536.07</v>
      </c>
      <c r="EA31">
        <v>4.9579500000000003</v>
      </c>
      <c r="EB31">
        <v>1500.05</v>
      </c>
      <c r="EC31">
        <v>23.451499999999999</v>
      </c>
      <c r="ED31">
        <v>2.8172999999999999</v>
      </c>
      <c r="EE31">
        <v>2.3256299999999999</v>
      </c>
      <c r="EF31">
        <v>22.985800000000001</v>
      </c>
      <c r="EG31">
        <v>19.855</v>
      </c>
      <c r="EH31">
        <v>1799.9</v>
      </c>
      <c r="EI31">
        <v>0.97800500000000001</v>
      </c>
      <c r="EJ31">
        <v>2.1995299999999999E-2</v>
      </c>
      <c r="EK31">
        <v>0</v>
      </c>
      <c r="EL31">
        <v>734.02</v>
      </c>
      <c r="EM31">
        <v>5.00082</v>
      </c>
      <c r="EN31">
        <v>15892.8</v>
      </c>
      <c r="EO31">
        <v>14129</v>
      </c>
      <c r="EP31">
        <v>47.311999999999998</v>
      </c>
      <c r="EQ31">
        <v>48.875</v>
      </c>
      <c r="ER31">
        <v>48.375</v>
      </c>
      <c r="ES31">
        <v>48</v>
      </c>
      <c r="ET31">
        <v>48.686999999999998</v>
      </c>
      <c r="EU31">
        <v>1755.42</v>
      </c>
      <c r="EV31">
        <v>39.479999999999997</v>
      </c>
      <c r="EW31">
        <v>0</v>
      </c>
      <c r="EX31">
        <v>107</v>
      </c>
      <c r="EY31">
        <v>0</v>
      </c>
      <c r="EZ31">
        <v>733.89034615384617</v>
      </c>
      <c r="FA31">
        <v>-0.19422221339888451</v>
      </c>
      <c r="FB31">
        <v>-55.907692496040632</v>
      </c>
      <c r="FC31">
        <v>15907.01923076923</v>
      </c>
      <c r="FD31">
        <v>15</v>
      </c>
      <c r="FE31">
        <v>1689000946.5999999</v>
      </c>
      <c r="FF31" t="s">
        <v>497</v>
      </c>
      <c r="FG31">
        <v>1689000946.5999999</v>
      </c>
      <c r="FH31">
        <v>1689000943.5999999</v>
      </c>
      <c r="FI31">
        <v>17</v>
      </c>
      <c r="FJ31">
        <v>0.14399999999999999</v>
      </c>
      <c r="FK31">
        <v>6.0000000000000001E-3</v>
      </c>
      <c r="FL31">
        <v>-2.2280000000000002</v>
      </c>
      <c r="FM31">
        <v>4.8000000000000001E-2</v>
      </c>
      <c r="FN31">
        <v>1500</v>
      </c>
      <c r="FO31">
        <v>23</v>
      </c>
      <c r="FP31">
        <v>0.04</v>
      </c>
      <c r="FQ31">
        <v>0.02</v>
      </c>
      <c r="FR31">
        <v>48.001862579023907</v>
      </c>
      <c r="FS31">
        <v>-0.49119973155312491</v>
      </c>
      <c r="FT31">
        <v>0.11302252641018409</v>
      </c>
      <c r="FU31">
        <v>1</v>
      </c>
      <c r="FV31">
        <v>0.29640621208082579</v>
      </c>
      <c r="FW31">
        <v>-1.177798009212199E-3</v>
      </c>
      <c r="FX31">
        <v>2.244895124159815E-3</v>
      </c>
      <c r="FY31">
        <v>1</v>
      </c>
      <c r="FZ31">
        <v>2</v>
      </c>
      <c r="GA31">
        <v>2</v>
      </c>
      <c r="GB31" t="s">
        <v>423</v>
      </c>
      <c r="GC31">
        <v>2.94651</v>
      </c>
      <c r="GD31">
        <v>2.7085599999999999</v>
      </c>
      <c r="GE31">
        <v>0.20895</v>
      </c>
      <c r="GF31">
        <v>0.21473400000000001</v>
      </c>
      <c r="GG31">
        <v>0.12804499999999999</v>
      </c>
      <c r="GH31">
        <v>0.11215700000000001</v>
      </c>
      <c r="GI31">
        <v>26191.3</v>
      </c>
      <c r="GJ31">
        <v>25322.7</v>
      </c>
      <c r="GK31">
        <v>34099.800000000003</v>
      </c>
      <c r="GL31">
        <v>32277.1</v>
      </c>
      <c r="GM31">
        <v>42873.4</v>
      </c>
      <c r="GN31">
        <v>40759.800000000003</v>
      </c>
      <c r="GO31">
        <v>49339</v>
      </c>
      <c r="GP31">
        <v>45678.8</v>
      </c>
      <c r="GQ31">
        <v>2.0161500000000001</v>
      </c>
      <c r="GR31">
        <v>1.85548</v>
      </c>
      <c r="GS31">
        <v>7.4189199999999997E-2</v>
      </c>
      <c r="GT31">
        <v>0</v>
      </c>
      <c r="GU31">
        <v>28.928999999999998</v>
      </c>
      <c r="GV31">
        <v>999.9</v>
      </c>
      <c r="GW31">
        <v>45.8</v>
      </c>
      <c r="GX31">
        <v>37.299999999999997</v>
      </c>
      <c r="GY31">
        <v>29.6021</v>
      </c>
      <c r="GZ31">
        <v>60.388399999999997</v>
      </c>
      <c r="HA31">
        <v>26.085699999999999</v>
      </c>
      <c r="HB31">
        <v>1</v>
      </c>
      <c r="HC31">
        <v>0.20098299999999999</v>
      </c>
      <c r="HD31">
        <v>2.0649899999999999</v>
      </c>
      <c r="HE31">
        <v>20.214400000000001</v>
      </c>
      <c r="HF31">
        <v>5.2689500000000002</v>
      </c>
      <c r="HG31">
        <v>12.039899999999999</v>
      </c>
      <c r="HH31">
        <v>4.9668999999999999</v>
      </c>
      <c r="HI31">
        <v>3.3002500000000001</v>
      </c>
      <c r="HJ31">
        <v>9999</v>
      </c>
      <c r="HK31">
        <v>9999</v>
      </c>
      <c r="HL31">
        <v>9999</v>
      </c>
      <c r="HM31">
        <v>999.9</v>
      </c>
      <c r="HN31">
        <v>1.86836</v>
      </c>
      <c r="HO31">
        <v>1.8720600000000001</v>
      </c>
      <c r="HP31">
        <v>1.8718699999999999</v>
      </c>
      <c r="HQ31">
        <v>1.8713500000000001</v>
      </c>
      <c r="HR31">
        <v>1.8646199999999999</v>
      </c>
      <c r="HS31">
        <v>1.8658300000000001</v>
      </c>
      <c r="HT31">
        <v>1.8678300000000001</v>
      </c>
      <c r="HU31">
        <v>1.87232</v>
      </c>
      <c r="HV31">
        <v>0</v>
      </c>
      <c r="HW31">
        <v>0</v>
      </c>
      <c r="HX31">
        <v>0</v>
      </c>
      <c r="HY31">
        <v>0</v>
      </c>
      <c r="HZ31" t="s">
        <v>424</v>
      </c>
      <c r="IA31" t="s">
        <v>425</v>
      </c>
      <c r="IB31" t="s">
        <v>426</v>
      </c>
      <c r="IC31" t="s">
        <v>426</v>
      </c>
      <c r="ID31" t="s">
        <v>426</v>
      </c>
      <c r="IE31" t="s">
        <v>426</v>
      </c>
      <c r="IF31">
        <v>0</v>
      </c>
      <c r="IG31">
        <v>100</v>
      </c>
      <c r="IH31">
        <v>100</v>
      </c>
      <c r="II31">
        <v>-2.19</v>
      </c>
      <c r="IJ31">
        <v>4.8099999999999997E-2</v>
      </c>
      <c r="IK31">
        <v>-0.97815663992889501</v>
      </c>
      <c r="IL31">
        <v>-1.171017271736434E-3</v>
      </c>
      <c r="IM31">
        <v>2.801297040296544E-7</v>
      </c>
      <c r="IN31">
        <v>-3.6238253961199429E-11</v>
      </c>
      <c r="IO31">
        <v>4.8028571428567091E-2</v>
      </c>
      <c r="IP31">
        <v>0</v>
      </c>
      <c r="IQ31">
        <v>0</v>
      </c>
      <c r="IR31">
        <v>0</v>
      </c>
      <c r="IS31">
        <v>0</v>
      </c>
      <c r="IT31">
        <v>2161</v>
      </c>
      <c r="IU31">
        <v>1</v>
      </c>
      <c r="IV31">
        <v>19</v>
      </c>
      <c r="IW31">
        <v>0.6</v>
      </c>
      <c r="IX31">
        <v>0.6</v>
      </c>
      <c r="IY31">
        <v>3.0163600000000002</v>
      </c>
      <c r="IZ31">
        <v>2.4365199999999998</v>
      </c>
      <c r="JA31">
        <v>1.4440900000000001</v>
      </c>
      <c r="JB31">
        <v>2.2814899999999998</v>
      </c>
      <c r="JC31">
        <v>1.54419</v>
      </c>
      <c r="JD31">
        <v>2.4438499999999999</v>
      </c>
      <c r="JE31">
        <v>43.100900000000003</v>
      </c>
      <c r="JF31">
        <v>24.218800000000002</v>
      </c>
      <c r="JG31">
        <v>18</v>
      </c>
      <c r="JH31">
        <v>509.13400000000001</v>
      </c>
      <c r="JI31">
        <v>445.42200000000003</v>
      </c>
      <c r="JJ31">
        <v>26.645499999999998</v>
      </c>
      <c r="JK31">
        <v>29.8841</v>
      </c>
      <c r="JL31">
        <v>30.000399999999999</v>
      </c>
      <c r="JM31">
        <v>29.661899999999999</v>
      </c>
      <c r="JN31">
        <v>29.603400000000001</v>
      </c>
      <c r="JO31">
        <v>60.551600000000001</v>
      </c>
      <c r="JP31">
        <v>26.4754</v>
      </c>
      <c r="JQ31">
        <v>27.049499999999998</v>
      </c>
      <c r="JR31">
        <v>26.572199999999999</v>
      </c>
      <c r="JS31">
        <v>1500</v>
      </c>
      <c r="JT31">
        <v>23.452200000000001</v>
      </c>
      <c r="JU31">
        <v>100.035</v>
      </c>
      <c r="JV31">
        <v>99.489900000000006</v>
      </c>
    </row>
    <row r="32" spans="1:282" x14ac:dyDescent="0.25">
      <c r="A32">
        <v>16</v>
      </c>
      <c r="B32">
        <v>1689002077</v>
      </c>
      <c r="C32">
        <v>2900</v>
      </c>
      <c r="D32" t="s">
        <v>498</v>
      </c>
      <c r="E32" t="s">
        <v>499</v>
      </c>
      <c r="F32" t="s">
        <v>414</v>
      </c>
      <c r="G32" t="s">
        <v>415</v>
      </c>
      <c r="H32" t="s">
        <v>500</v>
      </c>
      <c r="I32" t="s">
        <v>416</v>
      </c>
      <c r="J32" t="s">
        <v>501</v>
      </c>
      <c r="K32">
        <v>1689002077</v>
      </c>
      <c r="L32">
        <f t="shared" si="0"/>
        <v>5.5951699920381397E-3</v>
      </c>
      <c r="M32">
        <f t="shared" si="1"/>
        <v>5.5951699920381399</v>
      </c>
      <c r="N32">
        <f t="shared" si="2"/>
        <v>53.644230161195644</v>
      </c>
      <c r="O32">
        <f t="shared" si="3"/>
        <v>333.53800000000001</v>
      </c>
      <c r="P32">
        <f t="shared" si="4"/>
        <v>112.80086349736034</v>
      </c>
      <c r="Q32">
        <f t="shared" si="5"/>
        <v>11.196829070156575</v>
      </c>
      <c r="R32">
        <f t="shared" si="6"/>
        <v>33.107618670749595</v>
      </c>
      <c r="S32">
        <f t="shared" si="7"/>
        <v>0.42535586873361642</v>
      </c>
      <c r="T32">
        <f t="shared" si="8"/>
        <v>2.9155787232883945</v>
      </c>
      <c r="U32">
        <f t="shared" si="9"/>
        <v>0.39364505684986112</v>
      </c>
      <c r="V32">
        <f t="shared" si="10"/>
        <v>0.2486799545313465</v>
      </c>
      <c r="W32">
        <f t="shared" si="11"/>
        <v>289.57125795840324</v>
      </c>
      <c r="X32">
        <f t="shared" si="12"/>
        <v>30.740153644042707</v>
      </c>
      <c r="Y32">
        <f t="shared" si="13"/>
        <v>29.91</v>
      </c>
      <c r="Z32">
        <f t="shared" si="14"/>
        <v>4.2384748157856418</v>
      </c>
      <c r="AA32">
        <f t="shared" si="15"/>
        <v>65.694893577658888</v>
      </c>
      <c r="AB32">
        <f t="shared" si="16"/>
        <v>2.8781685405904396</v>
      </c>
      <c r="AC32">
        <f t="shared" si="17"/>
        <v>4.38111454916677</v>
      </c>
      <c r="AD32">
        <f t="shared" si="18"/>
        <v>1.3603062751952022</v>
      </c>
      <c r="AE32">
        <f t="shared" si="19"/>
        <v>-246.74699664888195</v>
      </c>
      <c r="AF32">
        <f t="shared" si="20"/>
        <v>90.711278902979345</v>
      </c>
      <c r="AG32">
        <f t="shared" si="21"/>
        <v>6.9315359318084111</v>
      </c>
      <c r="AH32">
        <f t="shared" si="22"/>
        <v>140.46707614430903</v>
      </c>
      <c r="AI32">
        <v>0</v>
      </c>
      <c r="AJ32">
        <v>0</v>
      </c>
      <c r="AK32">
        <f t="shared" si="23"/>
        <v>1</v>
      </c>
      <c r="AL32">
        <f t="shared" si="24"/>
        <v>0</v>
      </c>
      <c r="AM32">
        <f t="shared" si="25"/>
        <v>51853.512259488059</v>
      </c>
      <c r="AN32" t="s">
        <v>418</v>
      </c>
      <c r="AO32">
        <v>10076.700000000001</v>
      </c>
      <c r="AP32">
        <v>185.01599999999999</v>
      </c>
      <c r="AQ32">
        <v>473.06</v>
      </c>
      <c r="AR32">
        <f t="shared" si="26"/>
        <v>0.60889527755464423</v>
      </c>
      <c r="AS32">
        <v>-1.4827006201179751</v>
      </c>
      <c r="AT32" t="s">
        <v>502</v>
      </c>
      <c r="AU32">
        <v>8088.96</v>
      </c>
      <c r="AV32">
        <v>692.18103999999994</v>
      </c>
      <c r="AW32">
        <v>1084.6202708878341</v>
      </c>
      <c r="AX32">
        <f t="shared" si="27"/>
        <v>0.36182177433084151</v>
      </c>
      <c r="AY32">
        <v>0.5</v>
      </c>
      <c r="AZ32">
        <f t="shared" si="28"/>
        <v>1513.2098994603123</v>
      </c>
      <c r="BA32">
        <f t="shared" si="29"/>
        <v>53.644230161195644</v>
      </c>
      <c r="BB32">
        <f t="shared" si="30"/>
        <v>273.75614537886224</v>
      </c>
      <c r="BC32">
        <f t="shared" si="31"/>
        <v>3.6430458722861048E-2</v>
      </c>
      <c r="BD32">
        <f t="shared" si="32"/>
        <v>-0.56384735497081506</v>
      </c>
      <c r="BE32">
        <f t="shared" si="33"/>
        <v>237.35926297361482</v>
      </c>
      <c r="BF32" t="s">
        <v>503</v>
      </c>
      <c r="BG32">
        <v>535.26</v>
      </c>
      <c r="BH32">
        <f t="shared" si="34"/>
        <v>535.26</v>
      </c>
      <c r="BI32">
        <f t="shared" si="35"/>
        <v>0.50650009559395937</v>
      </c>
      <c r="BJ32">
        <f t="shared" si="36"/>
        <v>0.71435677402299924</v>
      </c>
      <c r="BK32">
        <f t="shared" si="37"/>
        <v>9.8321586959458873</v>
      </c>
      <c r="BL32">
        <f t="shared" si="38"/>
        <v>0.4362354021513587</v>
      </c>
      <c r="BM32">
        <f t="shared" si="39"/>
        <v>-2.1231487928505164</v>
      </c>
      <c r="BN32">
        <f t="shared" si="40"/>
        <v>0.55240837984171098</v>
      </c>
      <c r="BO32">
        <f t="shared" si="41"/>
        <v>0.44759162015828902</v>
      </c>
      <c r="BP32">
        <v>9085</v>
      </c>
      <c r="BQ32">
        <v>290.00000000000011</v>
      </c>
      <c r="BR32">
        <v>967.14</v>
      </c>
      <c r="BS32">
        <v>295</v>
      </c>
      <c r="BT32">
        <v>8088.96</v>
      </c>
      <c r="BU32">
        <v>970.43</v>
      </c>
      <c r="BV32">
        <v>-3.29</v>
      </c>
      <c r="BW32">
        <v>300.00000000000011</v>
      </c>
      <c r="BX32">
        <v>19.2</v>
      </c>
      <c r="BY32">
        <v>1084.6202708878341</v>
      </c>
      <c r="BZ32">
        <v>3.8474396281415899</v>
      </c>
      <c r="CA32">
        <v>-92.366019079739289</v>
      </c>
      <c r="CB32">
        <v>2.8597161172609251</v>
      </c>
      <c r="CC32">
        <v>0.97386173674595289</v>
      </c>
      <c r="CD32">
        <v>-4.1674687430478391E-3</v>
      </c>
      <c r="CE32">
        <v>289.99999999999989</v>
      </c>
      <c r="CF32">
        <v>968.89</v>
      </c>
      <c r="CG32">
        <v>625</v>
      </c>
      <c r="CH32">
        <v>8082.74</v>
      </c>
      <c r="CI32">
        <v>970.34</v>
      </c>
      <c r="CJ32">
        <v>-1.45</v>
      </c>
      <c r="CX32">
        <f t="shared" si="42"/>
        <v>1800.03</v>
      </c>
      <c r="CY32">
        <f t="shared" si="43"/>
        <v>1513.2098994603123</v>
      </c>
      <c r="CZ32">
        <f t="shared" si="44"/>
        <v>0.8406581553975836</v>
      </c>
      <c r="DA32">
        <f t="shared" si="45"/>
        <v>0.16087023991733651</v>
      </c>
      <c r="DB32">
        <v>6</v>
      </c>
      <c r="DC32">
        <v>0.5</v>
      </c>
      <c r="DD32" t="s">
        <v>421</v>
      </c>
      <c r="DE32">
        <v>2</v>
      </c>
      <c r="DF32">
        <v>1689002077</v>
      </c>
      <c r="DG32">
        <v>333.53800000000001</v>
      </c>
      <c r="DH32">
        <v>400.13600000000002</v>
      </c>
      <c r="DI32">
        <v>28.995699999999999</v>
      </c>
      <c r="DJ32">
        <v>22.477599999999999</v>
      </c>
      <c r="DK32">
        <v>334.822</v>
      </c>
      <c r="DL32">
        <v>28.9497</v>
      </c>
      <c r="DM32">
        <v>500.10899999999998</v>
      </c>
      <c r="DN32">
        <v>99.162099999999995</v>
      </c>
      <c r="DO32">
        <v>9.9809200000000001E-2</v>
      </c>
      <c r="DP32">
        <v>30.487100000000002</v>
      </c>
      <c r="DQ32">
        <v>29.91</v>
      </c>
      <c r="DR32">
        <v>999.9</v>
      </c>
      <c r="DS32">
        <v>0</v>
      </c>
      <c r="DT32">
        <v>0</v>
      </c>
      <c r="DU32">
        <v>10004.4</v>
      </c>
      <c r="DV32">
        <v>0</v>
      </c>
      <c r="DW32">
        <v>1801.73</v>
      </c>
      <c r="DX32">
        <v>-66.598399999999998</v>
      </c>
      <c r="DY32">
        <v>343.49799999999999</v>
      </c>
      <c r="DZ32">
        <v>409.33699999999999</v>
      </c>
      <c r="EA32">
        <v>6.5181199999999997</v>
      </c>
      <c r="EB32">
        <v>400.13600000000002</v>
      </c>
      <c r="EC32">
        <v>22.477599999999999</v>
      </c>
      <c r="ED32">
        <v>2.8752800000000001</v>
      </c>
      <c r="EE32">
        <v>2.2289300000000001</v>
      </c>
      <c r="EF32">
        <v>23.322700000000001</v>
      </c>
      <c r="EG32">
        <v>19.171700000000001</v>
      </c>
      <c r="EH32">
        <v>1800.03</v>
      </c>
      <c r="EI32">
        <v>0.97800299999999996</v>
      </c>
      <c r="EJ32">
        <v>2.1997200000000001E-2</v>
      </c>
      <c r="EK32">
        <v>0</v>
      </c>
      <c r="EL32">
        <v>692.25900000000001</v>
      </c>
      <c r="EM32">
        <v>5.00082</v>
      </c>
      <c r="EN32">
        <v>15400.2</v>
      </c>
      <c r="EO32">
        <v>14130</v>
      </c>
      <c r="EP32">
        <v>48.436999999999998</v>
      </c>
      <c r="EQ32">
        <v>49.811999999999998</v>
      </c>
      <c r="ER32">
        <v>49.25</v>
      </c>
      <c r="ES32">
        <v>49.311999999999998</v>
      </c>
      <c r="ET32">
        <v>49.75</v>
      </c>
      <c r="EU32">
        <v>1755.54</v>
      </c>
      <c r="EV32">
        <v>39.49</v>
      </c>
      <c r="EW32">
        <v>0</v>
      </c>
      <c r="EX32">
        <v>1094.599999904633</v>
      </c>
      <c r="EY32">
        <v>0</v>
      </c>
      <c r="EZ32">
        <v>692.18103999999994</v>
      </c>
      <c r="FA32">
        <v>1.188538458728432</v>
      </c>
      <c r="FB32">
        <v>96.423076209700085</v>
      </c>
      <c r="FC32">
        <v>15388.828</v>
      </c>
      <c r="FD32">
        <v>15</v>
      </c>
      <c r="FE32">
        <v>1689002046.5</v>
      </c>
      <c r="FF32" t="s">
        <v>504</v>
      </c>
      <c r="FG32">
        <v>1689002038.5</v>
      </c>
      <c r="FH32">
        <v>1689002046.5</v>
      </c>
      <c r="FI32">
        <v>19</v>
      </c>
      <c r="FJ32">
        <v>0.193</v>
      </c>
      <c r="FK32">
        <v>-0.11799999999999999</v>
      </c>
      <c r="FL32">
        <v>-1.35</v>
      </c>
      <c r="FM32">
        <v>4.5999999999999999E-2</v>
      </c>
      <c r="FN32">
        <v>400</v>
      </c>
      <c r="FO32">
        <v>23</v>
      </c>
      <c r="FP32">
        <v>0.02</v>
      </c>
      <c r="FQ32">
        <v>0.01</v>
      </c>
      <c r="FR32">
        <v>53.576709040454681</v>
      </c>
      <c r="FS32">
        <v>-0.31192502548969631</v>
      </c>
      <c r="FT32">
        <v>5.8528946096390588E-2</v>
      </c>
      <c r="FU32">
        <v>1</v>
      </c>
      <c r="FV32">
        <v>0.42590871260591862</v>
      </c>
      <c r="FW32">
        <v>3.6679083462964022E-2</v>
      </c>
      <c r="FX32">
        <v>3.589799145441283E-3</v>
      </c>
      <c r="FY32">
        <v>1</v>
      </c>
      <c r="FZ32">
        <v>2</v>
      </c>
      <c r="GA32">
        <v>2</v>
      </c>
      <c r="GB32" t="s">
        <v>423</v>
      </c>
      <c r="GC32">
        <v>2.9460600000000001</v>
      </c>
      <c r="GD32">
        <v>2.70851</v>
      </c>
      <c r="GE32">
        <v>7.6713299999999998E-2</v>
      </c>
      <c r="GF32">
        <v>8.8335899999999995E-2</v>
      </c>
      <c r="GG32">
        <v>0.12961</v>
      </c>
      <c r="GH32">
        <v>0.10866000000000001</v>
      </c>
      <c r="GI32">
        <v>30513</v>
      </c>
      <c r="GJ32">
        <v>29350.6</v>
      </c>
      <c r="GK32">
        <v>34038.5</v>
      </c>
      <c r="GL32">
        <v>32225.1</v>
      </c>
      <c r="GM32">
        <v>42729.7</v>
      </c>
      <c r="GN32">
        <v>40858.699999999997</v>
      </c>
      <c r="GO32">
        <v>49261.9</v>
      </c>
      <c r="GP32">
        <v>45610.2</v>
      </c>
      <c r="GQ32">
        <v>2.0057999999999998</v>
      </c>
      <c r="GR32">
        <v>1.83148</v>
      </c>
      <c r="GS32">
        <v>5.9478000000000003E-2</v>
      </c>
      <c r="GT32">
        <v>0</v>
      </c>
      <c r="GU32">
        <v>28.941199999999998</v>
      </c>
      <c r="GV32">
        <v>999.9</v>
      </c>
      <c r="GW32">
        <v>41.2</v>
      </c>
      <c r="GX32">
        <v>38.799999999999997</v>
      </c>
      <c r="GY32">
        <v>28.883299999999998</v>
      </c>
      <c r="GZ32">
        <v>60.188499999999998</v>
      </c>
      <c r="HA32">
        <v>25.749199999999998</v>
      </c>
      <c r="HB32">
        <v>1</v>
      </c>
      <c r="HC32">
        <v>0.269677</v>
      </c>
      <c r="HD32">
        <v>0.87112999999999996</v>
      </c>
      <c r="HE32">
        <v>20.226299999999998</v>
      </c>
      <c r="HF32">
        <v>5.2695499999999997</v>
      </c>
      <c r="HG32">
        <v>12.039899999999999</v>
      </c>
      <c r="HH32">
        <v>4.9659500000000003</v>
      </c>
      <c r="HI32">
        <v>3.3010000000000002</v>
      </c>
      <c r="HJ32">
        <v>9999</v>
      </c>
      <c r="HK32">
        <v>9999</v>
      </c>
      <c r="HL32">
        <v>9999</v>
      </c>
      <c r="HM32">
        <v>999.9</v>
      </c>
      <c r="HN32">
        <v>1.86843</v>
      </c>
      <c r="HO32">
        <v>1.87208</v>
      </c>
      <c r="HP32">
        <v>1.8719300000000001</v>
      </c>
      <c r="HQ32">
        <v>1.8713599999999999</v>
      </c>
      <c r="HR32">
        <v>1.86463</v>
      </c>
      <c r="HS32">
        <v>1.8658300000000001</v>
      </c>
      <c r="HT32">
        <v>1.8678300000000001</v>
      </c>
      <c r="HU32">
        <v>1.8724099999999999</v>
      </c>
      <c r="HV32">
        <v>0</v>
      </c>
      <c r="HW32">
        <v>0</v>
      </c>
      <c r="HX32">
        <v>0</v>
      </c>
      <c r="HY32">
        <v>0</v>
      </c>
      <c r="HZ32" t="s">
        <v>424</v>
      </c>
      <c r="IA32" t="s">
        <v>425</v>
      </c>
      <c r="IB32" t="s">
        <v>426</v>
      </c>
      <c r="IC32" t="s">
        <v>426</v>
      </c>
      <c r="ID32" t="s">
        <v>426</v>
      </c>
      <c r="IE32" t="s">
        <v>426</v>
      </c>
      <c r="IF32">
        <v>0</v>
      </c>
      <c r="IG32">
        <v>100</v>
      </c>
      <c r="IH32">
        <v>100</v>
      </c>
      <c r="II32">
        <v>-1.284</v>
      </c>
      <c r="IJ32">
        <v>4.5999999999999999E-2</v>
      </c>
      <c r="IK32">
        <v>-0.92236162665561161</v>
      </c>
      <c r="IL32">
        <v>-1.171017271736434E-3</v>
      </c>
      <c r="IM32">
        <v>2.801297040296544E-7</v>
      </c>
      <c r="IN32">
        <v>-3.6238253961199429E-11</v>
      </c>
      <c r="IO32">
        <v>4.6054999999999069E-2</v>
      </c>
      <c r="IP32">
        <v>0</v>
      </c>
      <c r="IQ32">
        <v>0</v>
      </c>
      <c r="IR32">
        <v>0</v>
      </c>
      <c r="IS32">
        <v>0</v>
      </c>
      <c r="IT32">
        <v>2161</v>
      </c>
      <c r="IU32">
        <v>1</v>
      </c>
      <c r="IV32">
        <v>19</v>
      </c>
      <c r="IW32">
        <v>0.6</v>
      </c>
      <c r="IX32">
        <v>0.5</v>
      </c>
      <c r="IY32">
        <v>1.03149</v>
      </c>
      <c r="IZ32">
        <v>2.4694799999999999</v>
      </c>
      <c r="JA32">
        <v>1.4440900000000001</v>
      </c>
      <c r="JB32">
        <v>2.2827099999999998</v>
      </c>
      <c r="JC32">
        <v>1.54419</v>
      </c>
      <c r="JD32">
        <v>2.4548299999999998</v>
      </c>
      <c r="JE32">
        <v>43.371899999999997</v>
      </c>
      <c r="JF32">
        <v>24.227599999999999</v>
      </c>
      <c r="JG32">
        <v>18</v>
      </c>
      <c r="JH32">
        <v>509.63099999999997</v>
      </c>
      <c r="JI32">
        <v>436.73500000000001</v>
      </c>
      <c r="JJ32">
        <v>27.824300000000001</v>
      </c>
      <c r="JK32">
        <v>30.767900000000001</v>
      </c>
      <c r="JL32">
        <v>30.000399999999999</v>
      </c>
      <c r="JM32">
        <v>30.514800000000001</v>
      </c>
      <c r="JN32">
        <v>30.4542</v>
      </c>
      <c r="JO32">
        <v>20.7668</v>
      </c>
      <c r="JP32">
        <v>26.3871</v>
      </c>
      <c r="JQ32">
        <v>14.9572</v>
      </c>
      <c r="JR32">
        <v>27.8446</v>
      </c>
      <c r="JS32">
        <v>400</v>
      </c>
      <c r="JT32">
        <v>22.358899999999998</v>
      </c>
      <c r="JU32">
        <v>99.869600000000005</v>
      </c>
      <c r="JV32">
        <v>99.335999999999999</v>
      </c>
    </row>
    <row r="33" spans="1:282" x14ac:dyDescent="0.25">
      <c r="A33">
        <v>17</v>
      </c>
      <c r="B33">
        <v>1689002248.5</v>
      </c>
      <c r="C33">
        <v>3071.5</v>
      </c>
      <c r="D33" t="s">
        <v>505</v>
      </c>
      <c r="E33" t="s">
        <v>506</v>
      </c>
      <c r="F33" t="s">
        <v>414</v>
      </c>
      <c r="G33" t="s">
        <v>415</v>
      </c>
      <c r="H33" t="s">
        <v>500</v>
      </c>
      <c r="I33" t="s">
        <v>416</v>
      </c>
      <c r="J33" t="s">
        <v>501</v>
      </c>
      <c r="K33">
        <v>1689002248.5</v>
      </c>
      <c r="L33">
        <f t="shared" si="0"/>
        <v>6.1677860273596091E-3</v>
      </c>
      <c r="M33">
        <f t="shared" si="1"/>
        <v>6.1677860273596092</v>
      </c>
      <c r="N33">
        <f t="shared" si="2"/>
        <v>46.166535561215007</v>
      </c>
      <c r="O33">
        <f t="shared" si="3"/>
        <v>242.828</v>
      </c>
      <c r="P33">
        <f t="shared" si="4"/>
        <v>72.40050723173573</v>
      </c>
      <c r="Q33">
        <f t="shared" si="5"/>
        <v>7.1870297321130634</v>
      </c>
      <c r="R33">
        <f t="shared" si="6"/>
        <v>24.104970013588002</v>
      </c>
      <c r="S33">
        <f t="shared" si="7"/>
        <v>0.47677390721650365</v>
      </c>
      <c r="T33">
        <f t="shared" si="8"/>
        <v>2.9151125085560268</v>
      </c>
      <c r="U33">
        <f t="shared" si="9"/>
        <v>0.43730824955622433</v>
      </c>
      <c r="V33">
        <f t="shared" si="10"/>
        <v>0.27659074123959343</v>
      </c>
      <c r="W33">
        <f t="shared" si="11"/>
        <v>289.53556695853973</v>
      </c>
      <c r="X33">
        <f t="shared" si="12"/>
        <v>30.645934872712949</v>
      </c>
      <c r="Y33">
        <f t="shared" si="13"/>
        <v>29.902899999999999</v>
      </c>
      <c r="Z33">
        <f t="shared" si="14"/>
        <v>4.2367454474615132</v>
      </c>
      <c r="AA33">
        <f t="shared" si="15"/>
        <v>65.686664778236576</v>
      </c>
      <c r="AB33">
        <f t="shared" si="16"/>
        <v>2.8869123347891006</v>
      </c>
      <c r="AC33">
        <f t="shared" si="17"/>
        <v>4.3949747555847853</v>
      </c>
      <c r="AD33">
        <f t="shared" si="18"/>
        <v>1.3498331126724126</v>
      </c>
      <c r="AE33">
        <f t="shared" si="19"/>
        <v>-271.99936380655879</v>
      </c>
      <c r="AF33">
        <f t="shared" si="20"/>
        <v>100.48781343187797</v>
      </c>
      <c r="AG33">
        <f t="shared" si="21"/>
        <v>7.6816491570950571</v>
      </c>
      <c r="AH33">
        <f t="shared" si="22"/>
        <v>125.70566574095399</v>
      </c>
      <c r="AI33">
        <v>0</v>
      </c>
      <c r="AJ33">
        <v>0</v>
      </c>
      <c r="AK33">
        <f t="shared" si="23"/>
        <v>1</v>
      </c>
      <c r="AL33">
        <f t="shared" si="24"/>
        <v>0</v>
      </c>
      <c r="AM33">
        <f t="shared" si="25"/>
        <v>51830.948648330101</v>
      </c>
      <c r="AN33" t="s">
        <v>418</v>
      </c>
      <c r="AO33">
        <v>10076.700000000001</v>
      </c>
      <c r="AP33">
        <v>185.01599999999999</v>
      </c>
      <c r="AQ33">
        <v>473.06</v>
      </c>
      <c r="AR33">
        <f t="shared" si="26"/>
        <v>0.60889527755464423</v>
      </c>
      <c r="AS33">
        <v>-1.4827006201179751</v>
      </c>
      <c r="AT33" t="s">
        <v>507</v>
      </c>
      <c r="AU33">
        <v>8087.47</v>
      </c>
      <c r="AV33">
        <v>672.30488000000003</v>
      </c>
      <c r="AW33">
        <v>997.32923276317149</v>
      </c>
      <c r="AX33">
        <f t="shared" si="27"/>
        <v>0.32589474176212441</v>
      </c>
      <c r="AY33">
        <v>0.5</v>
      </c>
      <c r="AZ33">
        <f t="shared" si="28"/>
        <v>1513.0247994603833</v>
      </c>
      <c r="BA33">
        <f t="shared" si="29"/>
        <v>46.166535561215007</v>
      </c>
      <c r="BB33">
        <f t="shared" si="30"/>
        <v>246.54341314991584</v>
      </c>
      <c r="BC33">
        <f t="shared" si="31"/>
        <v>3.149270005245583E-2</v>
      </c>
      <c r="BD33">
        <f t="shared" si="32"/>
        <v>-0.52567318347888614</v>
      </c>
      <c r="BE33">
        <f t="shared" si="33"/>
        <v>232.8983274399765</v>
      </c>
      <c r="BF33" t="s">
        <v>508</v>
      </c>
      <c r="BG33">
        <v>530.98</v>
      </c>
      <c r="BH33">
        <f t="shared" si="34"/>
        <v>530.98</v>
      </c>
      <c r="BI33">
        <f t="shared" si="35"/>
        <v>0.46759807839094192</v>
      </c>
      <c r="BJ33">
        <f t="shared" si="36"/>
        <v>0.69695483540814629</v>
      </c>
      <c r="BK33">
        <f t="shared" si="37"/>
        <v>9.051609681684587</v>
      </c>
      <c r="BL33">
        <f t="shared" si="38"/>
        <v>0.40012194761073372</v>
      </c>
      <c r="BM33">
        <f t="shared" si="39"/>
        <v>-1.8201012094095745</v>
      </c>
      <c r="BN33">
        <f t="shared" si="40"/>
        <v>0.55044830033811076</v>
      </c>
      <c r="BO33">
        <f t="shared" si="41"/>
        <v>0.44955169966188924</v>
      </c>
      <c r="BP33">
        <v>9087</v>
      </c>
      <c r="BQ33">
        <v>290.00000000000011</v>
      </c>
      <c r="BR33">
        <v>898.17</v>
      </c>
      <c r="BS33">
        <v>295</v>
      </c>
      <c r="BT33">
        <v>8087.47</v>
      </c>
      <c r="BU33">
        <v>899.83</v>
      </c>
      <c r="BV33">
        <v>-1.66</v>
      </c>
      <c r="BW33">
        <v>300.00000000000011</v>
      </c>
      <c r="BX33">
        <v>19.2</v>
      </c>
      <c r="BY33">
        <v>997.32923276317149</v>
      </c>
      <c r="BZ33">
        <v>4.2597882494464736</v>
      </c>
      <c r="CA33">
        <v>-78.848700859769124</v>
      </c>
      <c r="CB33">
        <v>3.1655985816673842</v>
      </c>
      <c r="CC33">
        <v>0.95681731347097476</v>
      </c>
      <c r="CD33">
        <v>-4.1667081201334829E-3</v>
      </c>
      <c r="CE33">
        <v>289.99999999999989</v>
      </c>
      <c r="CF33">
        <v>898.18</v>
      </c>
      <c r="CG33">
        <v>635</v>
      </c>
      <c r="CH33">
        <v>8080.83</v>
      </c>
      <c r="CI33">
        <v>899.75</v>
      </c>
      <c r="CJ33">
        <v>-1.57</v>
      </c>
      <c r="CX33">
        <f t="shared" si="42"/>
        <v>1799.81</v>
      </c>
      <c r="CY33">
        <f t="shared" si="43"/>
        <v>1513.0247994603833</v>
      </c>
      <c r="CZ33">
        <f t="shared" si="44"/>
        <v>0.84065806916306907</v>
      </c>
      <c r="DA33">
        <f t="shared" si="45"/>
        <v>0.16087007348472324</v>
      </c>
      <c r="DB33">
        <v>6</v>
      </c>
      <c r="DC33">
        <v>0.5</v>
      </c>
      <c r="DD33" t="s">
        <v>421</v>
      </c>
      <c r="DE33">
        <v>2</v>
      </c>
      <c r="DF33">
        <v>1689002248.5</v>
      </c>
      <c r="DG33">
        <v>242.828</v>
      </c>
      <c r="DH33">
        <v>300.01</v>
      </c>
      <c r="DI33">
        <v>29.082100000000001</v>
      </c>
      <c r="DJ33">
        <v>21.8979</v>
      </c>
      <c r="DK33">
        <v>243.86099999999999</v>
      </c>
      <c r="DL33">
        <v>29.040800000000001</v>
      </c>
      <c r="DM33">
        <v>500.13200000000001</v>
      </c>
      <c r="DN33">
        <v>99.167400000000001</v>
      </c>
      <c r="DO33">
        <v>0.100271</v>
      </c>
      <c r="DP33">
        <v>30.542300000000001</v>
      </c>
      <c r="DQ33">
        <v>29.902899999999999</v>
      </c>
      <c r="DR33">
        <v>999.9</v>
      </c>
      <c r="DS33">
        <v>0</v>
      </c>
      <c r="DT33">
        <v>0</v>
      </c>
      <c r="DU33">
        <v>10001.200000000001</v>
      </c>
      <c r="DV33">
        <v>0</v>
      </c>
      <c r="DW33">
        <v>1808.96</v>
      </c>
      <c r="DX33">
        <v>-57.181699999999999</v>
      </c>
      <c r="DY33">
        <v>250.102</v>
      </c>
      <c r="DZ33">
        <v>306.72699999999998</v>
      </c>
      <c r="EA33">
        <v>7.18424</v>
      </c>
      <c r="EB33">
        <v>300.01</v>
      </c>
      <c r="EC33">
        <v>21.8979</v>
      </c>
      <c r="ED33">
        <v>2.8839999999999999</v>
      </c>
      <c r="EE33">
        <v>2.1715499999999999</v>
      </c>
      <c r="EF33">
        <v>23.372900000000001</v>
      </c>
      <c r="EG33">
        <v>18.754000000000001</v>
      </c>
      <c r="EH33">
        <v>1799.81</v>
      </c>
      <c r="EI33">
        <v>0.97800299999999996</v>
      </c>
      <c r="EJ33">
        <v>2.1997200000000001E-2</v>
      </c>
      <c r="EK33">
        <v>0</v>
      </c>
      <c r="EL33">
        <v>672.13300000000004</v>
      </c>
      <c r="EM33">
        <v>5.00082</v>
      </c>
      <c r="EN33">
        <v>14986.6</v>
      </c>
      <c r="EO33">
        <v>14128.3</v>
      </c>
      <c r="EP33">
        <v>48.625</v>
      </c>
      <c r="EQ33">
        <v>50.061999999999998</v>
      </c>
      <c r="ER33">
        <v>49.436999999999998</v>
      </c>
      <c r="ES33">
        <v>49.561999999999998</v>
      </c>
      <c r="ET33">
        <v>50</v>
      </c>
      <c r="EU33">
        <v>1755.33</v>
      </c>
      <c r="EV33">
        <v>39.479999999999997</v>
      </c>
      <c r="EW33">
        <v>0</v>
      </c>
      <c r="EX33">
        <v>169.39999985694891</v>
      </c>
      <c r="EY33">
        <v>0</v>
      </c>
      <c r="EZ33">
        <v>672.30488000000003</v>
      </c>
      <c r="FA33">
        <v>2.1296153919431671</v>
      </c>
      <c r="FB33">
        <v>-202.79230747586871</v>
      </c>
      <c r="FC33">
        <v>14969.224</v>
      </c>
      <c r="FD33">
        <v>15</v>
      </c>
      <c r="FE33">
        <v>1689002168.5</v>
      </c>
      <c r="FF33" t="s">
        <v>509</v>
      </c>
      <c r="FG33">
        <v>1689002149.5</v>
      </c>
      <c r="FH33">
        <v>1689002168.5</v>
      </c>
      <c r="FI33">
        <v>20</v>
      </c>
      <c r="FJ33">
        <v>0.159</v>
      </c>
      <c r="FK33">
        <v>-5.0000000000000001E-3</v>
      </c>
      <c r="FL33">
        <v>-1.0920000000000001</v>
      </c>
      <c r="FM33">
        <v>4.1000000000000002E-2</v>
      </c>
      <c r="FN33">
        <v>300</v>
      </c>
      <c r="FO33">
        <v>22</v>
      </c>
      <c r="FP33">
        <v>0.04</v>
      </c>
      <c r="FQ33">
        <v>0.01</v>
      </c>
      <c r="FR33">
        <v>46.107695845024203</v>
      </c>
      <c r="FS33">
        <v>0.32044542778240481</v>
      </c>
      <c r="FT33">
        <v>3.7520668059572312E-2</v>
      </c>
      <c r="FU33">
        <v>1</v>
      </c>
      <c r="FV33">
        <v>0.4780111537945016</v>
      </c>
      <c r="FW33">
        <v>4.2447663295114381E-2</v>
      </c>
      <c r="FX33">
        <v>4.8632749759983567E-3</v>
      </c>
      <c r="FY33">
        <v>1</v>
      </c>
      <c r="FZ33">
        <v>2</v>
      </c>
      <c r="GA33">
        <v>2</v>
      </c>
      <c r="GB33" t="s">
        <v>423</v>
      </c>
      <c r="GC33">
        <v>2.9460500000000001</v>
      </c>
      <c r="GD33">
        <v>2.7089500000000002</v>
      </c>
      <c r="GE33">
        <v>5.9054299999999997E-2</v>
      </c>
      <c r="GF33">
        <v>7.0344900000000002E-2</v>
      </c>
      <c r="GG33">
        <v>0.12986200000000001</v>
      </c>
      <c r="GH33">
        <v>0.10666100000000001</v>
      </c>
      <c r="GI33">
        <v>31087.4</v>
      </c>
      <c r="GJ33">
        <v>29923.200000000001</v>
      </c>
      <c r="GK33">
        <v>34029.4</v>
      </c>
      <c r="GL33">
        <v>32218.7</v>
      </c>
      <c r="GM33">
        <v>42706.9</v>
      </c>
      <c r="GN33">
        <v>40942.199999999997</v>
      </c>
      <c r="GO33">
        <v>49249.8</v>
      </c>
      <c r="GP33">
        <v>45600.9</v>
      </c>
      <c r="GQ33">
        <v>2.0052500000000002</v>
      </c>
      <c r="GR33">
        <v>1.8275999999999999</v>
      </c>
      <c r="GS33">
        <v>5.4080000000000003E-2</v>
      </c>
      <c r="GT33">
        <v>0</v>
      </c>
      <c r="GU33">
        <v>29.022099999999998</v>
      </c>
      <c r="GV33">
        <v>999.9</v>
      </c>
      <c r="GW33">
        <v>40.799999999999997</v>
      </c>
      <c r="GX33">
        <v>39</v>
      </c>
      <c r="GY33">
        <v>28.91</v>
      </c>
      <c r="GZ33">
        <v>59.888500000000001</v>
      </c>
      <c r="HA33">
        <v>26.165900000000001</v>
      </c>
      <c r="HB33">
        <v>1</v>
      </c>
      <c r="HC33">
        <v>0.279611</v>
      </c>
      <c r="HD33">
        <v>0.79553099999999999</v>
      </c>
      <c r="HE33">
        <v>20.226600000000001</v>
      </c>
      <c r="HF33">
        <v>5.2706</v>
      </c>
      <c r="HG33">
        <v>12.039899999999999</v>
      </c>
      <c r="HH33">
        <v>4.9671000000000003</v>
      </c>
      <c r="HI33">
        <v>3.3010000000000002</v>
      </c>
      <c r="HJ33">
        <v>9999</v>
      </c>
      <c r="HK33">
        <v>9999</v>
      </c>
      <c r="HL33">
        <v>9999</v>
      </c>
      <c r="HM33">
        <v>999.9</v>
      </c>
      <c r="HN33">
        <v>1.8684400000000001</v>
      </c>
      <c r="HO33">
        <v>1.8721000000000001</v>
      </c>
      <c r="HP33">
        <v>1.8718999999999999</v>
      </c>
      <c r="HQ33">
        <v>1.87137</v>
      </c>
      <c r="HR33">
        <v>1.8646199999999999</v>
      </c>
      <c r="HS33">
        <v>1.8658399999999999</v>
      </c>
      <c r="HT33">
        <v>1.8678300000000001</v>
      </c>
      <c r="HU33">
        <v>1.87239</v>
      </c>
      <c r="HV33">
        <v>0</v>
      </c>
      <c r="HW33">
        <v>0</v>
      </c>
      <c r="HX33">
        <v>0</v>
      </c>
      <c r="HY33">
        <v>0</v>
      </c>
      <c r="HZ33" t="s">
        <v>424</v>
      </c>
      <c r="IA33" t="s">
        <v>425</v>
      </c>
      <c r="IB33" t="s">
        <v>426</v>
      </c>
      <c r="IC33" t="s">
        <v>426</v>
      </c>
      <c r="ID33" t="s">
        <v>426</v>
      </c>
      <c r="IE33" t="s">
        <v>426</v>
      </c>
      <c r="IF33">
        <v>0</v>
      </c>
      <c r="IG33">
        <v>100</v>
      </c>
      <c r="IH33">
        <v>100</v>
      </c>
      <c r="II33">
        <v>-1.0329999999999999</v>
      </c>
      <c r="IJ33">
        <v>4.1300000000000003E-2</v>
      </c>
      <c r="IK33">
        <v>-0.7636966004385235</v>
      </c>
      <c r="IL33">
        <v>-1.171017271736434E-3</v>
      </c>
      <c r="IM33">
        <v>2.801297040296544E-7</v>
      </c>
      <c r="IN33">
        <v>-3.6238253961199429E-11</v>
      </c>
      <c r="IO33">
        <v>4.1285000000002008E-2</v>
      </c>
      <c r="IP33">
        <v>0</v>
      </c>
      <c r="IQ33">
        <v>0</v>
      </c>
      <c r="IR33">
        <v>0</v>
      </c>
      <c r="IS33">
        <v>0</v>
      </c>
      <c r="IT33">
        <v>2161</v>
      </c>
      <c r="IU33">
        <v>1</v>
      </c>
      <c r="IV33">
        <v>19</v>
      </c>
      <c r="IW33">
        <v>1.6</v>
      </c>
      <c r="IX33">
        <v>1.3</v>
      </c>
      <c r="IY33">
        <v>0.82031200000000004</v>
      </c>
      <c r="IZ33">
        <v>2.49512</v>
      </c>
      <c r="JA33">
        <v>1.4440900000000001</v>
      </c>
      <c r="JB33">
        <v>2.2827099999999998</v>
      </c>
      <c r="JC33">
        <v>1.54419</v>
      </c>
      <c r="JD33">
        <v>2.2888199999999999</v>
      </c>
      <c r="JE33">
        <v>43.453600000000002</v>
      </c>
      <c r="JF33">
        <v>24.218800000000002</v>
      </c>
      <c r="JG33">
        <v>18</v>
      </c>
      <c r="JH33">
        <v>510.31700000000001</v>
      </c>
      <c r="JI33">
        <v>435.24099999999999</v>
      </c>
      <c r="JJ33">
        <v>27.811699999999998</v>
      </c>
      <c r="JK33">
        <v>30.889700000000001</v>
      </c>
      <c r="JL33">
        <v>30.000299999999999</v>
      </c>
      <c r="JM33">
        <v>30.638400000000001</v>
      </c>
      <c r="JN33">
        <v>30.580200000000001</v>
      </c>
      <c r="JO33">
        <v>16.549700000000001</v>
      </c>
      <c r="JP33">
        <v>28.3584</v>
      </c>
      <c r="JQ33">
        <v>12.8317</v>
      </c>
      <c r="JR33">
        <v>27.826499999999999</v>
      </c>
      <c r="JS33">
        <v>300</v>
      </c>
      <c r="JT33">
        <v>21.8154</v>
      </c>
      <c r="JU33">
        <v>99.844200000000001</v>
      </c>
      <c r="JV33">
        <v>99.316000000000003</v>
      </c>
    </row>
    <row r="34" spans="1:282" x14ac:dyDescent="0.25">
      <c r="A34">
        <v>18</v>
      </c>
      <c r="B34">
        <v>1689002378.5</v>
      </c>
      <c r="C34">
        <v>3201.5</v>
      </c>
      <c r="D34" t="s">
        <v>510</v>
      </c>
      <c r="E34" t="s">
        <v>511</v>
      </c>
      <c r="F34" t="s">
        <v>414</v>
      </c>
      <c r="G34" t="s">
        <v>415</v>
      </c>
      <c r="H34" t="s">
        <v>500</v>
      </c>
      <c r="I34" t="s">
        <v>416</v>
      </c>
      <c r="J34" t="s">
        <v>501</v>
      </c>
      <c r="K34">
        <v>1689002378.5</v>
      </c>
      <c r="L34">
        <f t="shared" si="0"/>
        <v>6.5348504917124139E-3</v>
      </c>
      <c r="M34">
        <f t="shared" si="1"/>
        <v>6.5348504917124135</v>
      </c>
      <c r="N34">
        <f t="shared" si="2"/>
        <v>33.309057674928319</v>
      </c>
      <c r="O34">
        <f t="shared" si="3"/>
        <v>158.809</v>
      </c>
      <c r="P34">
        <f t="shared" si="4"/>
        <v>42.498736085360406</v>
      </c>
      <c r="Q34">
        <f t="shared" si="5"/>
        <v>4.218806607470281</v>
      </c>
      <c r="R34">
        <f t="shared" si="6"/>
        <v>15.76480903291</v>
      </c>
      <c r="S34">
        <f t="shared" si="7"/>
        <v>0.50562796588285641</v>
      </c>
      <c r="T34">
        <f t="shared" si="8"/>
        <v>2.9108757727579291</v>
      </c>
      <c r="U34">
        <f t="shared" si="9"/>
        <v>0.46141934379965527</v>
      </c>
      <c r="V34">
        <f t="shared" si="10"/>
        <v>0.29203627015177369</v>
      </c>
      <c r="W34">
        <f t="shared" si="11"/>
        <v>289.53875895855128</v>
      </c>
      <c r="X34">
        <f t="shared" si="12"/>
        <v>30.787498592168493</v>
      </c>
      <c r="Y34">
        <f t="shared" si="13"/>
        <v>30.037800000000001</v>
      </c>
      <c r="Z34">
        <f t="shared" si="14"/>
        <v>4.2697088216784334</v>
      </c>
      <c r="AA34">
        <f t="shared" si="15"/>
        <v>65.425513100710305</v>
      </c>
      <c r="AB34">
        <f t="shared" si="16"/>
        <v>2.914686449885</v>
      </c>
      <c r="AC34">
        <f t="shared" si="17"/>
        <v>4.4549691882406588</v>
      </c>
      <c r="AD34">
        <f t="shared" si="18"/>
        <v>1.3550223717934333</v>
      </c>
      <c r="AE34">
        <f t="shared" si="19"/>
        <v>-288.18690668451745</v>
      </c>
      <c r="AF34">
        <f t="shared" si="20"/>
        <v>116.39582257800814</v>
      </c>
      <c r="AG34">
        <f t="shared" si="21"/>
        <v>8.9270805467564358</v>
      </c>
      <c r="AH34">
        <f t="shared" si="22"/>
        <v>126.6747553987984</v>
      </c>
      <c r="AI34">
        <v>0</v>
      </c>
      <c r="AJ34">
        <v>0</v>
      </c>
      <c r="AK34">
        <f t="shared" si="23"/>
        <v>1</v>
      </c>
      <c r="AL34">
        <f t="shared" si="24"/>
        <v>0</v>
      </c>
      <c r="AM34">
        <f t="shared" si="25"/>
        <v>51670.271657903868</v>
      </c>
      <c r="AN34" t="s">
        <v>418</v>
      </c>
      <c r="AO34">
        <v>10076.700000000001</v>
      </c>
      <c r="AP34">
        <v>185.01599999999999</v>
      </c>
      <c r="AQ34">
        <v>473.06</v>
      </c>
      <c r="AR34">
        <f t="shared" si="26"/>
        <v>0.60889527755464423</v>
      </c>
      <c r="AS34">
        <v>-1.4827006201179751</v>
      </c>
      <c r="AT34" t="s">
        <v>512</v>
      </c>
      <c r="AU34">
        <v>8086.85</v>
      </c>
      <c r="AV34">
        <v>662.65388000000007</v>
      </c>
      <c r="AW34">
        <v>909.90930693341056</v>
      </c>
      <c r="AX34">
        <f t="shared" si="27"/>
        <v>0.2717363423468151</v>
      </c>
      <c r="AY34">
        <v>0.5</v>
      </c>
      <c r="AZ34">
        <f t="shared" si="28"/>
        <v>1513.0415994603891</v>
      </c>
      <c r="BA34">
        <f t="shared" si="29"/>
        <v>33.309057674928319</v>
      </c>
      <c r="BB34">
        <f t="shared" si="30"/>
        <v>205.57419502797049</v>
      </c>
      <c r="BC34">
        <f t="shared" si="31"/>
        <v>2.2994581449349721E-2</v>
      </c>
      <c r="BD34">
        <f t="shared" si="32"/>
        <v>-0.48010203171312354</v>
      </c>
      <c r="BE34">
        <f t="shared" si="33"/>
        <v>227.78774380075299</v>
      </c>
      <c r="BF34" t="s">
        <v>513</v>
      </c>
      <c r="BG34">
        <v>517.69000000000005</v>
      </c>
      <c r="BH34">
        <f t="shared" si="34"/>
        <v>517.69000000000005</v>
      </c>
      <c r="BI34">
        <f t="shared" si="35"/>
        <v>0.43105318732838738</v>
      </c>
      <c r="BJ34">
        <f t="shared" si="36"/>
        <v>0.63040095824601661</v>
      </c>
      <c r="BK34">
        <f t="shared" si="37"/>
        <v>9.7882434894333414</v>
      </c>
      <c r="BL34">
        <f t="shared" si="38"/>
        <v>0.34109216427918215</v>
      </c>
      <c r="BM34">
        <f t="shared" si="39"/>
        <v>-1.5166061675765181</v>
      </c>
      <c r="BN34">
        <f t="shared" si="40"/>
        <v>0.49249281098962305</v>
      </c>
      <c r="BO34">
        <f t="shared" si="41"/>
        <v>0.50750718901037695</v>
      </c>
      <c r="BP34">
        <v>9089</v>
      </c>
      <c r="BQ34">
        <v>290.00000000000011</v>
      </c>
      <c r="BR34">
        <v>828.78</v>
      </c>
      <c r="BS34">
        <v>295</v>
      </c>
      <c r="BT34">
        <v>8086.85</v>
      </c>
      <c r="BU34">
        <v>831.06</v>
      </c>
      <c r="BV34">
        <v>-2.2799999999999998</v>
      </c>
      <c r="BW34">
        <v>300.00000000000011</v>
      </c>
      <c r="BX34">
        <v>19.2</v>
      </c>
      <c r="BY34">
        <v>909.90930693341056</v>
      </c>
      <c r="BZ34">
        <v>2.8408809667328798</v>
      </c>
      <c r="CA34">
        <v>-63.763373928647802</v>
      </c>
      <c r="CB34">
        <v>2.1110011572119891</v>
      </c>
      <c r="CC34">
        <v>0.97022412946051484</v>
      </c>
      <c r="CD34">
        <v>-4.1662932146829769E-3</v>
      </c>
      <c r="CE34">
        <v>289.99999999999989</v>
      </c>
      <c r="CF34">
        <v>827.82</v>
      </c>
      <c r="CG34">
        <v>625</v>
      </c>
      <c r="CH34">
        <v>8080.51</v>
      </c>
      <c r="CI34">
        <v>831</v>
      </c>
      <c r="CJ34">
        <v>-3.18</v>
      </c>
      <c r="CX34">
        <f t="shared" si="42"/>
        <v>1799.83</v>
      </c>
      <c r="CY34">
        <f t="shared" si="43"/>
        <v>1513.0415994603891</v>
      </c>
      <c r="CZ34">
        <f t="shared" si="44"/>
        <v>0.84065806185050207</v>
      </c>
      <c r="DA34">
        <f t="shared" si="45"/>
        <v>0.16087005937146914</v>
      </c>
      <c r="DB34">
        <v>6</v>
      </c>
      <c r="DC34">
        <v>0.5</v>
      </c>
      <c r="DD34" t="s">
        <v>421</v>
      </c>
      <c r="DE34">
        <v>2</v>
      </c>
      <c r="DF34">
        <v>1689002378.5</v>
      </c>
      <c r="DG34">
        <v>158.809</v>
      </c>
      <c r="DH34">
        <v>200.001</v>
      </c>
      <c r="DI34">
        <v>29.361499999999999</v>
      </c>
      <c r="DJ34">
        <v>21.7544</v>
      </c>
      <c r="DK34">
        <v>159.88499999999999</v>
      </c>
      <c r="DL34">
        <v>29.334099999999999</v>
      </c>
      <c r="DM34">
        <v>500.29399999999998</v>
      </c>
      <c r="DN34">
        <v>99.168599999999998</v>
      </c>
      <c r="DO34">
        <v>0.10038999999999999</v>
      </c>
      <c r="DP34">
        <v>30.779499999999999</v>
      </c>
      <c r="DQ34">
        <v>30.037800000000001</v>
      </c>
      <c r="DR34">
        <v>999.9</v>
      </c>
      <c r="DS34">
        <v>0</v>
      </c>
      <c r="DT34">
        <v>0</v>
      </c>
      <c r="DU34">
        <v>9976.8799999999992</v>
      </c>
      <c r="DV34">
        <v>0</v>
      </c>
      <c r="DW34">
        <v>1817.45</v>
      </c>
      <c r="DX34">
        <v>-41.191499999999998</v>
      </c>
      <c r="DY34">
        <v>163.613</v>
      </c>
      <c r="DZ34">
        <v>204.44900000000001</v>
      </c>
      <c r="EA34">
        <v>7.6070799999999998</v>
      </c>
      <c r="EB34">
        <v>200.001</v>
      </c>
      <c r="EC34">
        <v>21.7544</v>
      </c>
      <c r="ED34">
        <v>2.91174</v>
      </c>
      <c r="EE34">
        <v>2.1573600000000002</v>
      </c>
      <c r="EF34">
        <v>23.531600000000001</v>
      </c>
      <c r="EG34">
        <v>18.649100000000001</v>
      </c>
      <c r="EH34">
        <v>1799.83</v>
      </c>
      <c r="EI34">
        <v>0.97800299999999996</v>
      </c>
      <c r="EJ34">
        <v>2.1997200000000001E-2</v>
      </c>
      <c r="EK34">
        <v>0</v>
      </c>
      <c r="EL34">
        <v>662.375</v>
      </c>
      <c r="EM34">
        <v>5.00082</v>
      </c>
      <c r="EN34">
        <v>14817.2</v>
      </c>
      <c r="EO34">
        <v>14128.4</v>
      </c>
      <c r="EP34">
        <v>48.625</v>
      </c>
      <c r="EQ34">
        <v>50.061999999999998</v>
      </c>
      <c r="ER34">
        <v>49.5</v>
      </c>
      <c r="ES34">
        <v>49.561999999999998</v>
      </c>
      <c r="ET34">
        <v>50</v>
      </c>
      <c r="EU34">
        <v>1755.35</v>
      </c>
      <c r="EV34">
        <v>39.479999999999997</v>
      </c>
      <c r="EW34">
        <v>0</v>
      </c>
      <c r="EX34">
        <v>128</v>
      </c>
      <c r="EY34">
        <v>0</v>
      </c>
      <c r="EZ34">
        <v>662.65388000000007</v>
      </c>
      <c r="FA34">
        <v>-0.73646154073109538</v>
      </c>
      <c r="FB34">
        <v>33.930769311826488</v>
      </c>
      <c r="FC34">
        <v>14814.72</v>
      </c>
      <c r="FD34">
        <v>15</v>
      </c>
      <c r="FE34">
        <v>1689002333.5</v>
      </c>
      <c r="FF34" t="s">
        <v>514</v>
      </c>
      <c r="FG34">
        <v>1689002320</v>
      </c>
      <c r="FH34">
        <v>1689002333.5</v>
      </c>
      <c r="FI34">
        <v>21</v>
      </c>
      <c r="FJ34">
        <v>-0.13200000000000001</v>
      </c>
      <c r="FK34">
        <v>-1.4E-2</v>
      </c>
      <c r="FL34">
        <v>-1.1200000000000001</v>
      </c>
      <c r="FM34">
        <v>2.7E-2</v>
      </c>
      <c r="FN34">
        <v>200</v>
      </c>
      <c r="FO34">
        <v>22</v>
      </c>
      <c r="FP34">
        <v>0.04</v>
      </c>
      <c r="FQ34">
        <v>0.01</v>
      </c>
      <c r="FR34">
        <v>33.21140311504741</v>
      </c>
      <c r="FS34">
        <v>0.68074516452818712</v>
      </c>
      <c r="FT34">
        <v>6.3105740603650456E-2</v>
      </c>
      <c r="FU34">
        <v>1</v>
      </c>
      <c r="FV34">
        <v>0.50391830947191063</v>
      </c>
      <c r="FW34">
        <v>3.0431557580684769E-2</v>
      </c>
      <c r="FX34">
        <v>2.7152868715582461E-3</v>
      </c>
      <c r="FY34">
        <v>1</v>
      </c>
      <c r="FZ34">
        <v>2</v>
      </c>
      <c r="GA34">
        <v>2</v>
      </c>
      <c r="GB34" t="s">
        <v>423</v>
      </c>
      <c r="GC34">
        <v>2.9464199999999998</v>
      </c>
      <c r="GD34">
        <v>2.70885</v>
      </c>
      <c r="GE34">
        <v>4.0632300000000003E-2</v>
      </c>
      <c r="GF34">
        <v>4.9828299999999999E-2</v>
      </c>
      <c r="GG34">
        <v>0.130744</v>
      </c>
      <c r="GH34">
        <v>0.106153</v>
      </c>
      <c r="GI34">
        <v>31690.9</v>
      </c>
      <c r="GJ34">
        <v>30579.599999999999</v>
      </c>
      <c r="GK34">
        <v>34024.800000000003</v>
      </c>
      <c r="GL34">
        <v>32215.3</v>
      </c>
      <c r="GM34">
        <v>42658.2</v>
      </c>
      <c r="GN34">
        <v>40961.1</v>
      </c>
      <c r="GO34">
        <v>49244</v>
      </c>
      <c r="GP34">
        <v>45596.3</v>
      </c>
      <c r="GQ34">
        <v>2.0045999999999999</v>
      </c>
      <c r="GR34">
        <v>1.8253699999999999</v>
      </c>
      <c r="GS34">
        <v>6.0819100000000001E-2</v>
      </c>
      <c r="GT34">
        <v>0</v>
      </c>
      <c r="GU34">
        <v>29.0473</v>
      </c>
      <c r="GV34">
        <v>999.9</v>
      </c>
      <c r="GW34">
        <v>40.299999999999997</v>
      </c>
      <c r="GX34">
        <v>39.1</v>
      </c>
      <c r="GY34">
        <v>28.7087</v>
      </c>
      <c r="GZ34">
        <v>60.268599999999999</v>
      </c>
      <c r="HA34">
        <v>25.5168</v>
      </c>
      <c r="HB34">
        <v>1</v>
      </c>
      <c r="HC34">
        <v>0.28674300000000003</v>
      </c>
      <c r="HD34">
        <v>1.6926000000000001</v>
      </c>
      <c r="HE34">
        <v>20.2197</v>
      </c>
      <c r="HF34">
        <v>5.2701500000000001</v>
      </c>
      <c r="HG34">
        <v>12.039899999999999</v>
      </c>
      <c r="HH34">
        <v>4.9659500000000003</v>
      </c>
      <c r="HI34">
        <v>3.3010000000000002</v>
      </c>
      <c r="HJ34">
        <v>9999</v>
      </c>
      <c r="HK34">
        <v>9999</v>
      </c>
      <c r="HL34">
        <v>9999</v>
      </c>
      <c r="HM34">
        <v>999.9</v>
      </c>
      <c r="HN34">
        <v>1.8684400000000001</v>
      </c>
      <c r="HO34">
        <v>1.8721000000000001</v>
      </c>
      <c r="HP34">
        <v>1.8718699999999999</v>
      </c>
      <c r="HQ34">
        <v>1.8713599999999999</v>
      </c>
      <c r="HR34">
        <v>1.8646199999999999</v>
      </c>
      <c r="HS34">
        <v>1.8658300000000001</v>
      </c>
      <c r="HT34">
        <v>1.8678300000000001</v>
      </c>
      <c r="HU34">
        <v>1.87239</v>
      </c>
      <c r="HV34">
        <v>0</v>
      </c>
      <c r="HW34">
        <v>0</v>
      </c>
      <c r="HX34">
        <v>0</v>
      </c>
      <c r="HY34">
        <v>0</v>
      </c>
      <c r="HZ34" t="s">
        <v>424</v>
      </c>
      <c r="IA34" t="s">
        <v>425</v>
      </c>
      <c r="IB34" t="s">
        <v>426</v>
      </c>
      <c r="IC34" t="s">
        <v>426</v>
      </c>
      <c r="ID34" t="s">
        <v>426</v>
      </c>
      <c r="IE34" t="s">
        <v>426</v>
      </c>
      <c r="IF34">
        <v>0</v>
      </c>
      <c r="IG34">
        <v>100</v>
      </c>
      <c r="IH34">
        <v>100</v>
      </c>
      <c r="II34">
        <v>-1.0760000000000001</v>
      </c>
      <c r="IJ34">
        <v>2.7400000000000001E-2</v>
      </c>
      <c r="IK34">
        <v>-0.89530280366048309</v>
      </c>
      <c r="IL34">
        <v>-1.171017271736434E-3</v>
      </c>
      <c r="IM34">
        <v>2.801297040296544E-7</v>
      </c>
      <c r="IN34">
        <v>-3.6238253961199429E-11</v>
      </c>
      <c r="IO34">
        <v>2.7390476190475969E-2</v>
      </c>
      <c r="IP34">
        <v>0</v>
      </c>
      <c r="IQ34">
        <v>0</v>
      </c>
      <c r="IR34">
        <v>0</v>
      </c>
      <c r="IS34">
        <v>0</v>
      </c>
      <c r="IT34">
        <v>2161</v>
      </c>
      <c r="IU34">
        <v>1</v>
      </c>
      <c r="IV34">
        <v>19</v>
      </c>
      <c r="IW34">
        <v>1</v>
      </c>
      <c r="IX34">
        <v>0.8</v>
      </c>
      <c r="IY34">
        <v>0.60058599999999995</v>
      </c>
      <c r="IZ34">
        <v>2.49512</v>
      </c>
      <c r="JA34">
        <v>1.4440900000000001</v>
      </c>
      <c r="JB34">
        <v>2.2827099999999998</v>
      </c>
      <c r="JC34">
        <v>1.54419</v>
      </c>
      <c r="JD34">
        <v>2.4279799999999998</v>
      </c>
      <c r="JE34">
        <v>43.5627</v>
      </c>
      <c r="JF34">
        <v>24.227599999999999</v>
      </c>
      <c r="JG34">
        <v>18</v>
      </c>
      <c r="JH34">
        <v>510.50299999999999</v>
      </c>
      <c r="JI34">
        <v>434.358</v>
      </c>
      <c r="JJ34">
        <v>27.541799999999999</v>
      </c>
      <c r="JK34">
        <v>30.956199999999999</v>
      </c>
      <c r="JL34">
        <v>30.0001</v>
      </c>
      <c r="JM34">
        <v>30.710699999999999</v>
      </c>
      <c r="JN34">
        <v>30.6494</v>
      </c>
      <c r="JO34">
        <v>12.1554</v>
      </c>
      <c r="JP34">
        <v>28.771000000000001</v>
      </c>
      <c r="JQ34">
        <v>11.350099999999999</v>
      </c>
      <c r="JR34">
        <v>27.5486</v>
      </c>
      <c r="JS34">
        <v>200</v>
      </c>
      <c r="JT34">
        <v>21.645199999999999</v>
      </c>
      <c r="JU34">
        <v>99.831699999999998</v>
      </c>
      <c r="JV34">
        <v>99.305800000000005</v>
      </c>
    </row>
    <row r="35" spans="1:282" x14ac:dyDescent="0.25">
      <c r="A35">
        <v>19</v>
      </c>
      <c r="B35">
        <v>1689002519.5</v>
      </c>
      <c r="C35">
        <v>3342.5</v>
      </c>
      <c r="D35" t="s">
        <v>515</v>
      </c>
      <c r="E35" t="s">
        <v>516</v>
      </c>
      <c r="F35" t="s">
        <v>414</v>
      </c>
      <c r="G35" t="s">
        <v>415</v>
      </c>
      <c r="H35" t="s">
        <v>500</v>
      </c>
      <c r="I35" t="s">
        <v>416</v>
      </c>
      <c r="J35" t="s">
        <v>501</v>
      </c>
      <c r="K35">
        <v>1689002519.5</v>
      </c>
      <c r="L35">
        <f t="shared" si="0"/>
        <v>7.1727094476953827E-3</v>
      </c>
      <c r="M35">
        <f t="shared" si="1"/>
        <v>7.1727094476953823</v>
      </c>
      <c r="N35">
        <f t="shared" si="2"/>
        <v>21.04368885185157</v>
      </c>
      <c r="O35">
        <f t="shared" si="3"/>
        <v>94.039699999999996</v>
      </c>
      <c r="P35">
        <f t="shared" si="4"/>
        <v>28.126651559688113</v>
      </c>
      <c r="Q35">
        <f t="shared" si="5"/>
        <v>2.7921824873161651</v>
      </c>
      <c r="R35">
        <f t="shared" si="6"/>
        <v>9.3354874786729685</v>
      </c>
      <c r="S35">
        <f t="shared" si="7"/>
        <v>0.56961284074408691</v>
      </c>
      <c r="T35">
        <f t="shared" si="8"/>
        <v>2.9138935797115315</v>
      </c>
      <c r="U35">
        <f t="shared" si="9"/>
        <v>0.51421500425048938</v>
      </c>
      <c r="V35">
        <f t="shared" si="10"/>
        <v>0.3259115035972876</v>
      </c>
      <c r="W35">
        <f t="shared" si="11"/>
        <v>289.57546695868439</v>
      </c>
      <c r="X35">
        <f t="shared" si="12"/>
        <v>30.541722951409909</v>
      </c>
      <c r="Y35">
        <f t="shared" si="13"/>
        <v>29.9467</v>
      </c>
      <c r="Z35">
        <f t="shared" si="14"/>
        <v>4.2474237575874669</v>
      </c>
      <c r="AA35">
        <f t="shared" si="15"/>
        <v>65.677788211293432</v>
      </c>
      <c r="AB35">
        <f t="shared" si="16"/>
        <v>2.9126337347339999</v>
      </c>
      <c r="AC35">
        <f t="shared" si="17"/>
        <v>4.4347317625308929</v>
      </c>
      <c r="AD35">
        <f t="shared" si="18"/>
        <v>1.334790022853467</v>
      </c>
      <c r="AE35">
        <f t="shared" si="19"/>
        <v>-316.31648664336637</v>
      </c>
      <c r="AF35">
        <f t="shared" si="20"/>
        <v>118.30736387713122</v>
      </c>
      <c r="AG35">
        <f t="shared" si="21"/>
        <v>9.0566392715626485</v>
      </c>
      <c r="AH35">
        <f t="shared" si="22"/>
        <v>100.62298346401187</v>
      </c>
      <c r="AI35">
        <v>0</v>
      </c>
      <c r="AJ35">
        <v>0</v>
      </c>
      <c r="AK35">
        <f t="shared" si="23"/>
        <v>1</v>
      </c>
      <c r="AL35">
        <f t="shared" si="24"/>
        <v>0</v>
      </c>
      <c r="AM35">
        <f t="shared" si="25"/>
        <v>51769.559523320568</v>
      </c>
      <c r="AN35" t="s">
        <v>418</v>
      </c>
      <c r="AO35">
        <v>10076.700000000001</v>
      </c>
      <c r="AP35">
        <v>185.01599999999999</v>
      </c>
      <c r="AQ35">
        <v>473.06</v>
      </c>
      <c r="AR35">
        <f t="shared" si="26"/>
        <v>0.60889527755464423</v>
      </c>
      <c r="AS35">
        <v>-1.4827006201179751</v>
      </c>
      <c r="AT35" t="s">
        <v>517</v>
      </c>
      <c r="AU35">
        <v>8086.48</v>
      </c>
      <c r="AV35">
        <v>670.07856000000004</v>
      </c>
      <c r="AW35">
        <v>826.88385208298519</v>
      </c>
      <c r="AX35">
        <f t="shared" si="27"/>
        <v>0.18963399960947402</v>
      </c>
      <c r="AY35">
        <v>0.5</v>
      </c>
      <c r="AZ35">
        <f t="shared" si="28"/>
        <v>1513.2347994604584</v>
      </c>
      <c r="BA35">
        <f t="shared" si="29"/>
        <v>21.04368885185157</v>
      </c>
      <c r="BB35">
        <f t="shared" si="30"/>
        <v>143.48038368496353</v>
      </c>
      <c r="BC35">
        <f t="shared" si="31"/>
        <v>1.4886248637687486E-2</v>
      </c>
      <c r="BD35">
        <f t="shared" si="32"/>
        <v>-0.42790030448856292</v>
      </c>
      <c r="BE35">
        <f t="shared" si="33"/>
        <v>222.20242718499333</v>
      </c>
      <c r="BF35" t="s">
        <v>518</v>
      </c>
      <c r="BG35">
        <v>518.57000000000005</v>
      </c>
      <c r="BH35">
        <f t="shared" si="34"/>
        <v>518.57000000000005</v>
      </c>
      <c r="BI35">
        <f t="shared" si="35"/>
        <v>0.37286234494278536</v>
      </c>
      <c r="BJ35">
        <f t="shared" si="36"/>
        <v>0.5085898379965742</v>
      </c>
      <c r="BK35">
        <f t="shared" si="37"/>
        <v>7.7746396854094666</v>
      </c>
      <c r="BL35">
        <f t="shared" si="38"/>
        <v>0.2442952884680572</v>
      </c>
      <c r="BM35">
        <f t="shared" si="39"/>
        <v>-1.2283673747170059</v>
      </c>
      <c r="BN35">
        <f t="shared" si="40"/>
        <v>0.39359479325809721</v>
      </c>
      <c r="BO35">
        <f t="shared" si="41"/>
        <v>0.60640520674190279</v>
      </c>
      <c r="BP35">
        <v>9091</v>
      </c>
      <c r="BQ35">
        <v>290.00000000000011</v>
      </c>
      <c r="BR35">
        <v>773.72</v>
      </c>
      <c r="BS35">
        <v>275</v>
      </c>
      <c r="BT35">
        <v>8086.48</v>
      </c>
      <c r="BU35">
        <v>773.61</v>
      </c>
      <c r="BV35">
        <v>0.11</v>
      </c>
      <c r="BW35">
        <v>300.00000000000011</v>
      </c>
      <c r="BX35">
        <v>19.2</v>
      </c>
      <c r="BY35">
        <v>826.88385208298519</v>
      </c>
      <c r="BZ35">
        <v>2.5716934546331638</v>
      </c>
      <c r="CA35">
        <v>-43.079305007034698</v>
      </c>
      <c r="CB35">
        <v>1.910782132579572</v>
      </c>
      <c r="CC35">
        <v>0.94778983740178635</v>
      </c>
      <c r="CD35">
        <v>-4.1657145717463899E-3</v>
      </c>
      <c r="CE35">
        <v>289.99999999999989</v>
      </c>
      <c r="CF35">
        <v>768.91</v>
      </c>
      <c r="CG35">
        <v>635</v>
      </c>
      <c r="CH35">
        <v>8079.38</v>
      </c>
      <c r="CI35">
        <v>773.56</v>
      </c>
      <c r="CJ35">
        <v>-4.6500000000000004</v>
      </c>
      <c r="CX35">
        <f t="shared" si="42"/>
        <v>1800.06</v>
      </c>
      <c r="CY35">
        <f t="shared" si="43"/>
        <v>1513.2347994604584</v>
      </c>
      <c r="CZ35">
        <f t="shared" si="44"/>
        <v>0.84065797776766238</v>
      </c>
      <c r="DA35">
        <f t="shared" si="45"/>
        <v>0.16086989709158828</v>
      </c>
      <c r="DB35">
        <v>6</v>
      </c>
      <c r="DC35">
        <v>0.5</v>
      </c>
      <c r="DD35" t="s">
        <v>421</v>
      </c>
      <c r="DE35">
        <v>2</v>
      </c>
      <c r="DF35">
        <v>1689002519.5</v>
      </c>
      <c r="DG35">
        <v>94.039699999999996</v>
      </c>
      <c r="DH35">
        <v>120.104</v>
      </c>
      <c r="DI35">
        <v>29.34</v>
      </c>
      <c r="DJ35">
        <v>20.984500000000001</v>
      </c>
      <c r="DK35">
        <v>95.030299999999997</v>
      </c>
      <c r="DL35">
        <v>29.316400000000002</v>
      </c>
      <c r="DM35">
        <v>499.95299999999997</v>
      </c>
      <c r="DN35">
        <v>99.172200000000004</v>
      </c>
      <c r="DO35">
        <v>9.9570099999999995E-2</v>
      </c>
      <c r="DP35">
        <v>30.6998</v>
      </c>
      <c r="DQ35">
        <v>29.9467</v>
      </c>
      <c r="DR35">
        <v>999.9</v>
      </c>
      <c r="DS35">
        <v>0</v>
      </c>
      <c r="DT35">
        <v>0</v>
      </c>
      <c r="DU35">
        <v>9993.75</v>
      </c>
      <c r="DV35">
        <v>0</v>
      </c>
      <c r="DW35">
        <v>1823.03</v>
      </c>
      <c r="DX35">
        <v>-26.064299999999999</v>
      </c>
      <c r="DY35">
        <v>96.882300000000001</v>
      </c>
      <c r="DZ35">
        <v>122.678</v>
      </c>
      <c r="EA35">
        <v>8.3555200000000003</v>
      </c>
      <c r="EB35">
        <v>120.104</v>
      </c>
      <c r="EC35">
        <v>20.984500000000001</v>
      </c>
      <c r="ED35">
        <v>2.9097200000000001</v>
      </c>
      <c r="EE35">
        <v>2.08108</v>
      </c>
      <c r="EF35">
        <v>23.520099999999999</v>
      </c>
      <c r="EG35">
        <v>18.075099999999999</v>
      </c>
      <c r="EH35">
        <v>1800.06</v>
      </c>
      <c r="EI35">
        <v>0.97800600000000004</v>
      </c>
      <c r="EJ35">
        <v>2.1993599999999999E-2</v>
      </c>
      <c r="EK35">
        <v>0</v>
      </c>
      <c r="EL35">
        <v>669.64099999999996</v>
      </c>
      <c r="EM35">
        <v>5.00082</v>
      </c>
      <c r="EN35">
        <v>14933.3</v>
      </c>
      <c r="EO35">
        <v>14130.2</v>
      </c>
      <c r="EP35">
        <v>48.75</v>
      </c>
      <c r="EQ35">
        <v>50.25</v>
      </c>
      <c r="ER35">
        <v>49.686999999999998</v>
      </c>
      <c r="ES35">
        <v>49.75</v>
      </c>
      <c r="ET35">
        <v>50.125</v>
      </c>
      <c r="EU35">
        <v>1755.58</v>
      </c>
      <c r="EV35">
        <v>39.479999999999997</v>
      </c>
      <c r="EW35">
        <v>0</v>
      </c>
      <c r="EX35">
        <v>138.80000019073489</v>
      </c>
      <c r="EY35">
        <v>0</v>
      </c>
      <c r="EZ35">
        <v>670.07856000000004</v>
      </c>
      <c r="FA35">
        <v>-2.0750769083213632</v>
      </c>
      <c r="FB35">
        <v>-98.838461359247248</v>
      </c>
      <c r="FC35">
        <v>14949.364</v>
      </c>
      <c r="FD35">
        <v>15</v>
      </c>
      <c r="FE35">
        <v>1689002486.5</v>
      </c>
      <c r="FF35" t="s">
        <v>519</v>
      </c>
      <c r="FG35">
        <v>1689002465</v>
      </c>
      <c r="FH35">
        <v>1689002486.5</v>
      </c>
      <c r="FI35">
        <v>22</v>
      </c>
      <c r="FJ35">
        <v>1.2999999999999999E-2</v>
      </c>
      <c r="FK35">
        <v>-4.0000000000000001E-3</v>
      </c>
      <c r="FL35">
        <v>-1.0189999999999999</v>
      </c>
      <c r="FM35">
        <v>2.4E-2</v>
      </c>
      <c r="FN35">
        <v>120</v>
      </c>
      <c r="FO35">
        <v>21</v>
      </c>
      <c r="FP35">
        <v>0.06</v>
      </c>
      <c r="FQ35">
        <v>0.02</v>
      </c>
      <c r="FR35">
        <v>21.14057848700584</v>
      </c>
      <c r="FS35">
        <v>-7.0705331967258575E-2</v>
      </c>
      <c r="FT35">
        <v>2.1586381854995659E-2</v>
      </c>
      <c r="FU35">
        <v>1</v>
      </c>
      <c r="FV35">
        <v>0.57062704101252182</v>
      </c>
      <c r="FW35">
        <v>4.7473735339315898E-2</v>
      </c>
      <c r="FX35">
        <v>4.0680739974059254E-3</v>
      </c>
      <c r="FY35">
        <v>1</v>
      </c>
      <c r="FZ35">
        <v>2</v>
      </c>
      <c r="GA35">
        <v>2</v>
      </c>
      <c r="GB35" t="s">
        <v>423</v>
      </c>
      <c r="GC35">
        <v>2.9455300000000002</v>
      </c>
      <c r="GD35">
        <v>2.70817</v>
      </c>
      <c r="GE35">
        <v>2.4871899999999999E-2</v>
      </c>
      <c r="GF35">
        <v>3.1209299999999999E-2</v>
      </c>
      <c r="GG35">
        <v>0.13066800000000001</v>
      </c>
      <c r="GH35">
        <v>0.103475</v>
      </c>
      <c r="GI35">
        <v>32206.2</v>
      </c>
      <c r="GJ35">
        <v>31175.5</v>
      </c>
      <c r="GK35">
        <v>34020.400000000001</v>
      </c>
      <c r="GL35">
        <v>32212.9</v>
      </c>
      <c r="GM35">
        <v>42656.9</v>
      </c>
      <c r="GN35">
        <v>41080.9</v>
      </c>
      <c r="GO35">
        <v>49238.2</v>
      </c>
      <c r="GP35">
        <v>45592.9</v>
      </c>
      <c r="GQ35">
        <v>2.0032999999999999</v>
      </c>
      <c r="GR35">
        <v>1.8221799999999999</v>
      </c>
      <c r="GS35">
        <v>5.0347299999999998E-2</v>
      </c>
      <c r="GT35">
        <v>0</v>
      </c>
      <c r="GU35">
        <v>29.126799999999999</v>
      </c>
      <c r="GV35">
        <v>999.9</v>
      </c>
      <c r="GW35">
        <v>39.9</v>
      </c>
      <c r="GX35">
        <v>39.299999999999997</v>
      </c>
      <c r="GY35">
        <v>28.7286</v>
      </c>
      <c r="GZ35">
        <v>60.328600000000002</v>
      </c>
      <c r="HA35">
        <v>26.398199999999999</v>
      </c>
      <c r="HB35">
        <v>1</v>
      </c>
      <c r="HC35">
        <v>0.29144100000000001</v>
      </c>
      <c r="HD35">
        <v>1.06613</v>
      </c>
      <c r="HE35">
        <v>20.223700000000001</v>
      </c>
      <c r="HF35">
        <v>5.2662599999999999</v>
      </c>
      <c r="HG35">
        <v>12.039899999999999</v>
      </c>
      <c r="HH35">
        <v>4.9661999999999997</v>
      </c>
      <c r="HI35">
        <v>3.30023</v>
      </c>
      <c r="HJ35">
        <v>9999</v>
      </c>
      <c r="HK35">
        <v>9999</v>
      </c>
      <c r="HL35">
        <v>9999</v>
      </c>
      <c r="HM35">
        <v>999.9</v>
      </c>
      <c r="HN35">
        <v>1.8684400000000001</v>
      </c>
      <c r="HO35">
        <v>1.8721000000000001</v>
      </c>
      <c r="HP35">
        <v>1.87191</v>
      </c>
      <c r="HQ35">
        <v>1.87137</v>
      </c>
      <c r="HR35">
        <v>1.86463</v>
      </c>
      <c r="HS35">
        <v>1.8658399999999999</v>
      </c>
      <c r="HT35">
        <v>1.8678300000000001</v>
      </c>
      <c r="HU35">
        <v>1.8723799999999999</v>
      </c>
      <c r="HV35">
        <v>0</v>
      </c>
      <c r="HW35">
        <v>0</v>
      </c>
      <c r="HX35">
        <v>0</v>
      </c>
      <c r="HY35">
        <v>0</v>
      </c>
      <c r="HZ35" t="s">
        <v>424</v>
      </c>
      <c r="IA35" t="s">
        <v>425</v>
      </c>
      <c r="IB35" t="s">
        <v>426</v>
      </c>
      <c r="IC35" t="s">
        <v>426</v>
      </c>
      <c r="ID35" t="s">
        <v>426</v>
      </c>
      <c r="IE35" t="s">
        <v>426</v>
      </c>
      <c r="IF35">
        <v>0</v>
      </c>
      <c r="IG35">
        <v>100</v>
      </c>
      <c r="IH35">
        <v>100</v>
      </c>
      <c r="II35">
        <v>-0.99099999999999999</v>
      </c>
      <c r="IJ35">
        <v>2.3599999999999999E-2</v>
      </c>
      <c r="IK35">
        <v>-0.88175469711251853</v>
      </c>
      <c r="IL35">
        <v>-1.171017271736434E-3</v>
      </c>
      <c r="IM35">
        <v>2.801297040296544E-7</v>
      </c>
      <c r="IN35">
        <v>-3.6238253961199429E-11</v>
      </c>
      <c r="IO35">
        <v>2.365238095238453E-2</v>
      </c>
      <c r="IP35">
        <v>0</v>
      </c>
      <c r="IQ35">
        <v>0</v>
      </c>
      <c r="IR35">
        <v>0</v>
      </c>
      <c r="IS35">
        <v>0</v>
      </c>
      <c r="IT35">
        <v>2161</v>
      </c>
      <c r="IU35">
        <v>1</v>
      </c>
      <c r="IV35">
        <v>19</v>
      </c>
      <c r="IW35">
        <v>0.9</v>
      </c>
      <c r="IX35">
        <v>0.6</v>
      </c>
      <c r="IY35">
        <v>0.41870099999999999</v>
      </c>
      <c r="IZ35">
        <v>2.5280800000000001</v>
      </c>
      <c r="JA35">
        <v>1.4440900000000001</v>
      </c>
      <c r="JB35">
        <v>2.2839399999999999</v>
      </c>
      <c r="JC35">
        <v>1.54419</v>
      </c>
      <c r="JD35">
        <v>2.3132299999999999</v>
      </c>
      <c r="JE35">
        <v>43.6995</v>
      </c>
      <c r="JF35">
        <v>24.218800000000002</v>
      </c>
      <c r="JG35">
        <v>18</v>
      </c>
      <c r="JH35">
        <v>510.37700000000001</v>
      </c>
      <c r="JI35">
        <v>432.98200000000003</v>
      </c>
      <c r="JJ35">
        <v>27.9102</v>
      </c>
      <c r="JK35">
        <v>31.045000000000002</v>
      </c>
      <c r="JL35">
        <v>30.000299999999999</v>
      </c>
      <c r="JM35">
        <v>30.7972</v>
      </c>
      <c r="JN35">
        <v>30.734500000000001</v>
      </c>
      <c r="JO35">
        <v>8.5057799999999997</v>
      </c>
      <c r="JP35">
        <v>31.519600000000001</v>
      </c>
      <c r="JQ35">
        <v>8.6678200000000007</v>
      </c>
      <c r="JR35">
        <v>27.9222</v>
      </c>
      <c r="JS35">
        <v>120</v>
      </c>
      <c r="JT35">
        <v>20.8414</v>
      </c>
      <c r="JU35">
        <v>99.819400000000002</v>
      </c>
      <c r="JV35">
        <v>99.298400000000001</v>
      </c>
    </row>
    <row r="36" spans="1:282" x14ac:dyDescent="0.25">
      <c r="A36">
        <v>20</v>
      </c>
      <c r="B36">
        <v>1689002636.5</v>
      </c>
      <c r="C36">
        <v>3459.5</v>
      </c>
      <c r="D36" t="s">
        <v>520</v>
      </c>
      <c r="E36" t="s">
        <v>521</v>
      </c>
      <c r="F36" t="s">
        <v>414</v>
      </c>
      <c r="G36" t="s">
        <v>415</v>
      </c>
      <c r="H36" t="s">
        <v>500</v>
      </c>
      <c r="I36" t="s">
        <v>416</v>
      </c>
      <c r="J36" t="s">
        <v>501</v>
      </c>
      <c r="K36">
        <v>1689002636.5</v>
      </c>
      <c r="L36">
        <f t="shared" si="0"/>
        <v>7.2886730872311562E-3</v>
      </c>
      <c r="M36">
        <f t="shared" si="1"/>
        <v>7.2886730872311558</v>
      </c>
      <c r="N36">
        <f t="shared" si="2"/>
        <v>12.873228107180907</v>
      </c>
      <c r="O36">
        <f t="shared" si="3"/>
        <v>54.276499999999999</v>
      </c>
      <c r="P36">
        <f t="shared" si="4"/>
        <v>14.382956807568895</v>
      </c>
      <c r="Q36">
        <f t="shared" si="5"/>
        <v>1.4279038793997667</v>
      </c>
      <c r="R36">
        <f t="shared" si="6"/>
        <v>5.3884347945380009</v>
      </c>
      <c r="S36">
        <f t="shared" si="7"/>
        <v>0.57549601543439999</v>
      </c>
      <c r="T36">
        <f t="shared" si="8"/>
        <v>2.9106996870824142</v>
      </c>
      <c r="U36">
        <f t="shared" si="9"/>
        <v>0.51895309801079892</v>
      </c>
      <c r="V36">
        <f t="shared" si="10"/>
        <v>0.32896166207616784</v>
      </c>
      <c r="W36">
        <f t="shared" si="11"/>
        <v>289.5148189584645</v>
      </c>
      <c r="X36">
        <f t="shared" si="12"/>
        <v>30.660261188965936</v>
      </c>
      <c r="Y36">
        <f t="shared" si="13"/>
        <v>30.0547</v>
      </c>
      <c r="Z36">
        <f t="shared" si="14"/>
        <v>4.2738541190614185</v>
      </c>
      <c r="AA36">
        <f t="shared" si="15"/>
        <v>65.510556474140785</v>
      </c>
      <c r="AB36">
        <f t="shared" si="16"/>
        <v>2.9300957543864001</v>
      </c>
      <c r="AC36">
        <f t="shared" si="17"/>
        <v>4.4727077773228912</v>
      </c>
      <c r="AD36">
        <f t="shared" si="18"/>
        <v>1.3437583646750184</v>
      </c>
      <c r="AE36">
        <f t="shared" si="19"/>
        <v>-321.43048314689401</v>
      </c>
      <c r="AF36">
        <f t="shared" si="20"/>
        <v>124.65855203142172</v>
      </c>
      <c r="AG36">
        <f t="shared" si="21"/>
        <v>9.5654677975851019</v>
      </c>
      <c r="AH36">
        <f t="shared" si="22"/>
        <v>102.3083556405773</v>
      </c>
      <c r="AI36">
        <v>0</v>
      </c>
      <c r="AJ36">
        <v>0</v>
      </c>
      <c r="AK36">
        <f t="shared" si="23"/>
        <v>1</v>
      </c>
      <c r="AL36">
        <f t="shared" si="24"/>
        <v>0</v>
      </c>
      <c r="AM36">
        <f t="shared" si="25"/>
        <v>51653.625045624249</v>
      </c>
      <c r="AN36" t="s">
        <v>418</v>
      </c>
      <c r="AO36">
        <v>10076.700000000001</v>
      </c>
      <c r="AP36">
        <v>185.01599999999999</v>
      </c>
      <c r="AQ36">
        <v>473.06</v>
      </c>
      <c r="AR36">
        <f t="shared" si="26"/>
        <v>0.60889527755464423</v>
      </c>
      <c r="AS36">
        <v>-1.4827006201179751</v>
      </c>
      <c r="AT36" t="s">
        <v>522</v>
      </c>
      <c r="AU36">
        <v>8085.88</v>
      </c>
      <c r="AV36">
        <v>681.23446153846146</v>
      </c>
      <c r="AW36">
        <v>782.07257481775468</v>
      </c>
      <c r="AX36">
        <f t="shared" si="27"/>
        <v>0.12893702774680649</v>
      </c>
      <c r="AY36">
        <v>0.5</v>
      </c>
      <c r="AZ36">
        <f t="shared" si="28"/>
        <v>1512.9155994603441</v>
      </c>
      <c r="BA36">
        <f t="shared" si="29"/>
        <v>12.873228107180907</v>
      </c>
      <c r="BB36">
        <f t="shared" si="30"/>
        <v>97.535420313097376</v>
      </c>
      <c r="BC36">
        <f t="shared" si="31"/>
        <v>9.4889157943904012E-3</v>
      </c>
      <c r="BD36">
        <f t="shared" si="32"/>
        <v>-0.39512007551187112</v>
      </c>
      <c r="BE36">
        <f t="shared" si="33"/>
        <v>218.83299012296067</v>
      </c>
      <c r="BF36" t="s">
        <v>523</v>
      </c>
      <c r="BG36">
        <v>540.94000000000005</v>
      </c>
      <c r="BH36">
        <f t="shared" si="34"/>
        <v>540.94000000000005</v>
      </c>
      <c r="BI36">
        <f t="shared" si="35"/>
        <v>0.3083250616145764</v>
      </c>
      <c r="BJ36">
        <f t="shared" si="36"/>
        <v>0.41818536278437524</v>
      </c>
      <c r="BK36">
        <f t="shared" si="37"/>
        <v>4.5523361051525404</v>
      </c>
      <c r="BL36">
        <f t="shared" si="38"/>
        <v>0.16889205735666341</v>
      </c>
      <c r="BM36">
        <f t="shared" si="39"/>
        <v>-1.0727964297737662</v>
      </c>
      <c r="BN36">
        <f t="shared" si="40"/>
        <v>0.3320636328845033</v>
      </c>
      <c r="BO36">
        <f t="shared" si="41"/>
        <v>0.66793636711549675</v>
      </c>
      <c r="BP36">
        <v>9093</v>
      </c>
      <c r="BQ36">
        <v>290.00000000000011</v>
      </c>
      <c r="BR36">
        <v>746.34</v>
      </c>
      <c r="BS36">
        <v>295</v>
      </c>
      <c r="BT36">
        <v>8085.88</v>
      </c>
      <c r="BU36">
        <v>747.06</v>
      </c>
      <c r="BV36">
        <v>-0.72</v>
      </c>
      <c r="BW36">
        <v>300.00000000000011</v>
      </c>
      <c r="BX36">
        <v>19.2</v>
      </c>
      <c r="BY36">
        <v>782.07257481775468</v>
      </c>
      <c r="BZ36">
        <v>2.5321985255586932</v>
      </c>
      <c r="CA36">
        <v>-28.313369013364731</v>
      </c>
      <c r="CB36">
        <v>1.8814044654083639</v>
      </c>
      <c r="CC36">
        <v>0.88996920450281303</v>
      </c>
      <c r="CD36">
        <v>-4.1654565072302557E-3</v>
      </c>
      <c r="CE36">
        <v>289.99999999999989</v>
      </c>
      <c r="CF36">
        <v>744.82</v>
      </c>
      <c r="CG36">
        <v>645</v>
      </c>
      <c r="CH36">
        <v>8078.99</v>
      </c>
      <c r="CI36">
        <v>747.03</v>
      </c>
      <c r="CJ36">
        <v>-2.21</v>
      </c>
      <c r="CX36">
        <f t="shared" si="42"/>
        <v>1799.68</v>
      </c>
      <c r="CY36">
        <f t="shared" si="43"/>
        <v>1512.9155994603441</v>
      </c>
      <c r="CZ36">
        <f t="shared" si="44"/>
        <v>0.84065811669871537</v>
      </c>
      <c r="DA36">
        <f t="shared" si="45"/>
        <v>0.16087016522852091</v>
      </c>
      <c r="DB36">
        <v>6</v>
      </c>
      <c r="DC36">
        <v>0.5</v>
      </c>
      <c r="DD36" t="s">
        <v>421</v>
      </c>
      <c r="DE36">
        <v>2</v>
      </c>
      <c r="DF36">
        <v>1689002636.5</v>
      </c>
      <c r="DG36">
        <v>54.276499999999999</v>
      </c>
      <c r="DH36">
        <v>70.194100000000006</v>
      </c>
      <c r="DI36">
        <v>29.514199999999999</v>
      </c>
      <c r="DJ36">
        <v>21.028600000000001</v>
      </c>
      <c r="DK36">
        <v>55.226900000000001</v>
      </c>
      <c r="DL36">
        <v>29.500499999999999</v>
      </c>
      <c r="DM36">
        <v>500.15699999999998</v>
      </c>
      <c r="DN36">
        <v>99.177300000000002</v>
      </c>
      <c r="DO36">
        <v>0.100192</v>
      </c>
      <c r="DP36">
        <v>30.8491</v>
      </c>
      <c r="DQ36">
        <v>30.0547</v>
      </c>
      <c r="DR36">
        <v>999.9</v>
      </c>
      <c r="DS36">
        <v>0</v>
      </c>
      <c r="DT36">
        <v>0</v>
      </c>
      <c r="DU36">
        <v>9975</v>
      </c>
      <c r="DV36">
        <v>0</v>
      </c>
      <c r="DW36">
        <v>1820.4</v>
      </c>
      <c r="DX36">
        <v>-15.9175</v>
      </c>
      <c r="DY36">
        <v>55.927199999999999</v>
      </c>
      <c r="DZ36">
        <v>71.701899999999995</v>
      </c>
      <c r="EA36">
        <v>8.4856300000000005</v>
      </c>
      <c r="EB36">
        <v>70.194100000000006</v>
      </c>
      <c r="EC36">
        <v>21.028600000000001</v>
      </c>
      <c r="ED36">
        <v>2.9271400000000001</v>
      </c>
      <c r="EE36">
        <v>2.0855600000000001</v>
      </c>
      <c r="EF36">
        <v>23.619199999999999</v>
      </c>
      <c r="EG36">
        <v>18.109300000000001</v>
      </c>
      <c r="EH36">
        <v>1799.68</v>
      </c>
      <c r="EI36">
        <v>0.97800299999999996</v>
      </c>
      <c r="EJ36">
        <v>2.1997200000000001E-2</v>
      </c>
      <c r="EK36">
        <v>0</v>
      </c>
      <c r="EL36">
        <v>681.1</v>
      </c>
      <c r="EM36">
        <v>5.00082</v>
      </c>
      <c r="EN36">
        <v>14686.1</v>
      </c>
      <c r="EO36">
        <v>14127.3</v>
      </c>
      <c r="EP36">
        <v>48.75</v>
      </c>
      <c r="EQ36">
        <v>50.25</v>
      </c>
      <c r="ER36">
        <v>49.686999999999998</v>
      </c>
      <c r="ES36">
        <v>49.75</v>
      </c>
      <c r="ET36">
        <v>50.125</v>
      </c>
      <c r="EU36">
        <v>1755.2</v>
      </c>
      <c r="EV36">
        <v>39.479999999999997</v>
      </c>
      <c r="EW36">
        <v>0</v>
      </c>
      <c r="EX36">
        <v>115.2000000476837</v>
      </c>
      <c r="EY36">
        <v>0</v>
      </c>
      <c r="EZ36">
        <v>681.23446153846146</v>
      </c>
      <c r="FA36">
        <v>-2.641572648410254</v>
      </c>
      <c r="FB36">
        <v>-570.91623803294567</v>
      </c>
      <c r="FC36">
        <v>15114.89615384615</v>
      </c>
      <c r="FD36">
        <v>15</v>
      </c>
      <c r="FE36">
        <v>1689002604</v>
      </c>
      <c r="FF36" t="s">
        <v>524</v>
      </c>
      <c r="FG36">
        <v>1689002595</v>
      </c>
      <c r="FH36">
        <v>1689002604</v>
      </c>
      <c r="FI36">
        <v>23</v>
      </c>
      <c r="FJ36">
        <v>-5.0000000000000001E-3</v>
      </c>
      <c r="FK36">
        <v>-0.01</v>
      </c>
      <c r="FL36">
        <v>-0.96799999999999997</v>
      </c>
      <c r="FM36">
        <v>1.4E-2</v>
      </c>
      <c r="FN36">
        <v>70</v>
      </c>
      <c r="FO36">
        <v>21</v>
      </c>
      <c r="FP36">
        <v>0.09</v>
      </c>
      <c r="FQ36">
        <v>0.01</v>
      </c>
      <c r="FR36">
        <v>12.91366743094189</v>
      </c>
      <c r="FS36">
        <v>-0.34114048780393241</v>
      </c>
      <c r="FT36">
        <v>3.1639676678975451E-2</v>
      </c>
      <c r="FU36">
        <v>1</v>
      </c>
      <c r="FV36">
        <v>0.57580625742877278</v>
      </c>
      <c r="FW36">
        <v>4.0914039862323212E-2</v>
      </c>
      <c r="FX36">
        <v>3.4916414908784752E-3</v>
      </c>
      <c r="FY36">
        <v>1</v>
      </c>
      <c r="FZ36">
        <v>2</v>
      </c>
      <c r="GA36">
        <v>2</v>
      </c>
      <c r="GB36" t="s">
        <v>423</v>
      </c>
      <c r="GC36">
        <v>2.9460199999999999</v>
      </c>
      <c r="GD36">
        <v>2.7086299999999999</v>
      </c>
      <c r="GE36">
        <v>1.4621500000000001E-2</v>
      </c>
      <c r="GF36">
        <v>1.8582100000000001E-2</v>
      </c>
      <c r="GG36">
        <v>0.13122400000000001</v>
      </c>
      <c r="GH36">
        <v>0.10362200000000001</v>
      </c>
      <c r="GI36">
        <v>32541.9</v>
      </c>
      <c r="GJ36">
        <v>31579.599999999999</v>
      </c>
      <c r="GK36">
        <v>34018</v>
      </c>
      <c r="GL36">
        <v>32211.4</v>
      </c>
      <c r="GM36">
        <v>42626.5</v>
      </c>
      <c r="GN36">
        <v>41072.300000000003</v>
      </c>
      <c r="GO36">
        <v>49234.9</v>
      </c>
      <c r="GP36">
        <v>45591.1</v>
      </c>
      <c r="GQ36">
        <v>2.0032700000000001</v>
      </c>
      <c r="GR36">
        <v>1.82047</v>
      </c>
      <c r="GS36">
        <v>5.4985300000000001E-2</v>
      </c>
      <c r="GT36">
        <v>0</v>
      </c>
      <c r="GU36">
        <v>29.159300000000002</v>
      </c>
      <c r="GV36">
        <v>999.9</v>
      </c>
      <c r="GW36">
        <v>39.4</v>
      </c>
      <c r="GX36">
        <v>39.4</v>
      </c>
      <c r="GY36">
        <v>28.5214</v>
      </c>
      <c r="GZ36">
        <v>60.118600000000001</v>
      </c>
      <c r="HA36">
        <v>26.1098</v>
      </c>
      <c r="HB36">
        <v>1</v>
      </c>
      <c r="HC36">
        <v>0.296153</v>
      </c>
      <c r="HD36">
        <v>1.75779</v>
      </c>
      <c r="HE36">
        <v>20.217700000000001</v>
      </c>
      <c r="HF36">
        <v>5.2673100000000002</v>
      </c>
      <c r="HG36">
        <v>12.039899999999999</v>
      </c>
      <c r="HH36">
        <v>4.9663000000000004</v>
      </c>
      <c r="HI36">
        <v>3.3003200000000001</v>
      </c>
      <c r="HJ36">
        <v>9999</v>
      </c>
      <c r="HK36">
        <v>9999</v>
      </c>
      <c r="HL36">
        <v>9999</v>
      </c>
      <c r="HM36">
        <v>999.9</v>
      </c>
      <c r="HN36">
        <v>1.8684400000000001</v>
      </c>
      <c r="HO36">
        <v>1.8721000000000001</v>
      </c>
      <c r="HP36">
        <v>1.8719399999999999</v>
      </c>
      <c r="HQ36">
        <v>1.8713900000000001</v>
      </c>
      <c r="HR36">
        <v>1.8646400000000001</v>
      </c>
      <c r="HS36">
        <v>1.8658399999999999</v>
      </c>
      <c r="HT36">
        <v>1.8678300000000001</v>
      </c>
      <c r="HU36">
        <v>1.8724099999999999</v>
      </c>
      <c r="HV36">
        <v>0</v>
      </c>
      <c r="HW36">
        <v>0</v>
      </c>
      <c r="HX36">
        <v>0</v>
      </c>
      <c r="HY36">
        <v>0</v>
      </c>
      <c r="HZ36" t="s">
        <v>424</v>
      </c>
      <c r="IA36" t="s">
        <v>425</v>
      </c>
      <c r="IB36" t="s">
        <v>426</v>
      </c>
      <c r="IC36" t="s">
        <v>426</v>
      </c>
      <c r="ID36" t="s">
        <v>426</v>
      </c>
      <c r="IE36" t="s">
        <v>426</v>
      </c>
      <c r="IF36">
        <v>0</v>
      </c>
      <c r="IG36">
        <v>100</v>
      </c>
      <c r="IH36">
        <v>100</v>
      </c>
      <c r="II36">
        <v>-0.95</v>
      </c>
      <c r="IJ36">
        <v>1.37E-2</v>
      </c>
      <c r="IK36">
        <v>-0.88653940557836652</v>
      </c>
      <c r="IL36">
        <v>-1.171017271736434E-3</v>
      </c>
      <c r="IM36">
        <v>2.801297040296544E-7</v>
      </c>
      <c r="IN36">
        <v>-3.6238253961199429E-11</v>
      </c>
      <c r="IO36">
        <v>1.37350000000005E-2</v>
      </c>
      <c r="IP36">
        <v>0</v>
      </c>
      <c r="IQ36">
        <v>0</v>
      </c>
      <c r="IR36">
        <v>0</v>
      </c>
      <c r="IS36">
        <v>0</v>
      </c>
      <c r="IT36">
        <v>2161</v>
      </c>
      <c r="IU36">
        <v>1</v>
      </c>
      <c r="IV36">
        <v>19</v>
      </c>
      <c r="IW36">
        <v>0.7</v>
      </c>
      <c r="IX36">
        <v>0.5</v>
      </c>
      <c r="IY36">
        <v>0.305176</v>
      </c>
      <c r="IZ36">
        <v>2.5402800000000001</v>
      </c>
      <c r="JA36">
        <v>1.4440900000000001</v>
      </c>
      <c r="JB36">
        <v>2.2839399999999999</v>
      </c>
      <c r="JC36">
        <v>1.54419</v>
      </c>
      <c r="JD36">
        <v>2.36328</v>
      </c>
      <c r="JE36">
        <v>43.809199999999997</v>
      </c>
      <c r="JF36">
        <v>24.218800000000002</v>
      </c>
      <c r="JG36">
        <v>18</v>
      </c>
      <c r="JH36">
        <v>510.78500000000003</v>
      </c>
      <c r="JI36">
        <v>432.28800000000001</v>
      </c>
      <c r="JJ36">
        <v>27.8887</v>
      </c>
      <c r="JK36">
        <v>31.0823</v>
      </c>
      <c r="JL36">
        <v>30.000599999999999</v>
      </c>
      <c r="JM36">
        <v>30.8474</v>
      </c>
      <c r="JN36">
        <v>30.784700000000001</v>
      </c>
      <c r="JO36">
        <v>6.2294700000000001</v>
      </c>
      <c r="JP36">
        <v>30.758099999999999</v>
      </c>
      <c r="JQ36">
        <v>7.0765099999999999</v>
      </c>
      <c r="JR36">
        <v>27.8687</v>
      </c>
      <c r="JS36">
        <v>70</v>
      </c>
      <c r="JT36">
        <v>20.918399999999998</v>
      </c>
      <c r="JU36">
        <v>99.812700000000007</v>
      </c>
      <c r="JV36">
        <v>99.2941</v>
      </c>
    </row>
    <row r="37" spans="1:282" x14ac:dyDescent="0.25">
      <c r="A37">
        <v>21</v>
      </c>
      <c r="B37">
        <v>1689002766.5</v>
      </c>
      <c r="C37">
        <v>3589.5</v>
      </c>
      <c r="D37" t="s">
        <v>525</v>
      </c>
      <c r="E37" t="s">
        <v>526</v>
      </c>
      <c r="F37" t="s">
        <v>414</v>
      </c>
      <c r="G37" t="s">
        <v>415</v>
      </c>
      <c r="H37" t="s">
        <v>500</v>
      </c>
      <c r="I37" t="s">
        <v>416</v>
      </c>
      <c r="J37" t="s">
        <v>501</v>
      </c>
      <c r="K37">
        <v>1689002766.5</v>
      </c>
      <c r="L37">
        <f t="shared" si="0"/>
        <v>7.5899553251109605E-3</v>
      </c>
      <c r="M37">
        <f t="shared" si="1"/>
        <v>7.5899553251109602</v>
      </c>
      <c r="N37">
        <f t="shared" si="2"/>
        <v>5.872136149680995</v>
      </c>
      <c r="O37">
        <f t="shared" si="3"/>
        <v>22.839400000000001</v>
      </c>
      <c r="P37">
        <f t="shared" si="4"/>
        <v>5.5982378036433502</v>
      </c>
      <c r="Q37">
        <f t="shared" si="5"/>
        <v>0.55575873194797543</v>
      </c>
      <c r="R37">
        <f t="shared" si="6"/>
        <v>2.2673556264779999</v>
      </c>
      <c r="S37">
        <f t="shared" si="7"/>
        <v>0.60980713483466931</v>
      </c>
      <c r="T37">
        <f t="shared" si="8"/>
        <v>2.9132600786860223</v>
      </c>
      <c r="U37">
        <f t="shared" si="9"/>
        <v>0.54676522328145938</v>
      </c>
      <c r="V37">
        <f t="shared" si="10"/>
        <v>0.34684763601292212</v>
      </c>
      <c r="W37">
        <f t="shared" si="11"/>
        <v>289.548334958586</v>
      </c>
      <c r="X37">
        <f t="shared" si="12"/>
        <v>30.601167266139576</v>
      </c>
      <c r="Y37">
        <f t="shared" si="13"/>
        <v>30.011700000000001</v>
      </c>
      <c r="Z37">
        <f t="shared" si="14"/>
        <v>4.2633137969128736</v>
      </c>
      <c r="AA37">
        <f t="shared" si="15"/>
        <v>65.553189672335719</v>
      </c>
      <c r="AB37">
        <f t="shared" si="16"/>
        <v>2.9352007321290001</v>
      </c>
      <c r="AC37">
        <f t="shared" si="17"/>
        <v>4.4775864405690271</v>
      </c>
      <c r="AD37">
        <f t="shared" si="18"/>
        <v>1.3281130647838735</v>
      </c>
      <c r="AE37">
        <f t="shared" si="19"/>
        <v>-334.71702983739334</v>
      </c>
      <c r="AF37">
        <f t="shared" si="20"/>
        <v>134.52161366065658</v>
      </c>
      <c r="AG37">
        <f t="shared" si="21"/>
        <v>10.31200602065257</v>
      </c>
      <c r="AH37">
        <f t="shared" si="22"/>
        <v>99.664924802501815</v>
      </c>
      <c r="AI37">
        <v>0</v>
      </c>
      <c r="AJ37">
        <v>0</v>
      </c>
      <c r="AK37">
        <f t="shared" si="23"/>
        <v>1</v>
      </c>
      <c r="AL37">
        <f t="shared" si="24"/>
        <v>0</v>
      </c>
      <c r="AM37">
        <f t="shared" si="25"/>
        <v>51722.922114561625</v>
      </c>
      <c r="AN37" t="s">
        <v>418</v>
      </c>
      <c r="AO37">
        <v>10076.700000000001</v>
      </c>
      <c r="AP37">
        <v>185.01599999999999</v>
      </c>
      <c r="AQ37">
        <v>473.06</v>
      </c>
      <c r="AR37">
        <f t="shared" si="26"/>
        <v>0.60889527755464423</v>
      </c>
      <c r="AS37">
        <v>-1.4827006201179751</v>
      </c>
      <c r="AT37" t="s">
        <v>527</v>
      </c>
      <c r="AU37">
        <v>8094.64</v>
      </c>
      <c r="AV37">
        <v>696.78596000000005</v>
      </c>
      <c r="AW37">
        <v>764.02486298194447</v>
      </c>
      <c r="AX37">
        <f t="shared" si="27"/>
        <v>8.8006171316879489E-2</v>
      </c>
      <c r="AY37">
        <v>0.5</v>
      </c>
      <c r="AZ37">
        <f t="shared" si="28"/>
        <v>1513.0919994604071</v>
      </c>
      <c r="BA37">
        <f t="shared" si="29"/>
        <v>5.872136149680995</v>
      </c>
      <c r="BB37">
        <f t="shared" si="30"/>
        <v>66.580716861356152</v>
      </c>
      <c r="BC37">
        <f t="shared" si="31"/>
        <v>4.8607994572847013E-3</v>
      </c>
      <c r="BD37">
        <f t="shared" si="32"/>
        <v>-0.38083166802494567</v>
      </c>
      <c r="BE37">
        <f t="shared" si="33"/>
        <v>217.39607178678173</v>
      </c>
      <c r="BF37" t="s">
        <v>528</v>
      </c>
      <c r="BG37">
        <v>573.34</v>
      </c>
      <c r="BH37">
        <f t="shared" si="34"/>
        <v>573.34</v>
      </c>
      <c r="BI37">
        <f t="shared" si="35"/>
        <v>0.24957939488737646</v>
      </c>
      <c r="BJ37">
        <f t="shared" si="36"/>
        <v>0.3526179368957626</v>
      </c>
      <c r="BK37">
        <f t="shared" si="37"/>
        <v>2.9015243616069442</v>
      </c>
      <c r="BL37">
        <f t="shared" si="38"/>
        <v>0.11612758850643218</v>
      </c>
      <c r="BM37">
        <f t="shared" si="39"/>
        <v>-1.0101403361359531</v>
      </c>
      <c r="BN37">
        <f t="shared" si="40"/>
        <v>0.29014644316285665</v>
      </c>
      <c r="BO37">
        <f t="shared" si="41"/>
        <v>0.70985355683714335</v>
      </c>
      <c r="BP37">
        <v>9095</v>
      </c>
      <c r="BQ37">
        <v>290.00000000000011</v>
      </c>
      <c r="BR37">
        <v>742.85</v>
      </c>
      <c r="BS37">
        <v>145</v>
      </c>
      <c r="BT37">
        <v>8094.64</v>
      </c>
      <c r="BU37">
        <v>741.66</v>
      </c>
      <c r="BV37">
        <v>1.19</v>
      </c>
      <c r="BW37">
        <v>300.00000000000011</v>
      </c>
      <c r="BX37">
        <v>19.2</v>
      </c>
      <c r="BY37">
        <v>764.02486298194447</v>
      </c>
      <c r="BZ37">
        <v>2.400355560555159</v>
      </c>
      <c r="CA37">
        <v>-18.107156412826001</v>
      </c>
      <c r="CB37">
        <v>1.783531790222658</v>
      </c>
      <c r="CC37">
        <v>0.78637621571768201</v>
      </c>
      <c r="CD37">
        <v>-4.1658004449388192E-3</v>
      </c>
      <c r="CE37">
        <v>289.99999999999989</v>
      </c>
      <c r="CF37">
        <v>740.7</v>
      </c>
      <c r="CG37">
        <v>625</v>
      </c>
      <c r="CH37">
        <v>8079.92</v>
      </c>
      <c r="CI37">
        <v>741.61</v>
      </c>
      <c r="CJ37">
        <v>-0.91</v>
      </c>
      <c r="CX37">
        <f t="shared" si="42"/>
        <v>1799.89</v>
      </c>
      <c r="CY37">
        <f t="shared" si="43"/>
        <v>1513.0919994604071</v>
      </c>
      <c r="CZ37">
        <f t="shared" si="44"/>
        <v>0.84065803991377641</v>
      </c>
      <c r="DA37">
        <f t="shared" si="45"/>
        <v>0.16087001703358872</v>
      </c>
      <c r="DB37">
        <v>6</v>
      </c>
      <c r="DC37">
        <v>0.5</v>
      </c>
      <c r="DD37" t="s">
        <v>421</v>
      </c>
      <c r="DE37">
        <v>2</v>
      </c>
      <c r="DF37">
        <v>1689002766.5</v>
      </c>
      <c r="DG37">
        <v>22.839400000000001</v>
      </c>
      <c r="DH37">
        <v>30.0932</v>
      </c>
      <c r="DI37">
        <v>29.566700000000001</v>
      </c>
      <c r="DJ37">
        <v>20.728999999999999</v>
      </c>
      <c r="DK37">
        <v>23.781400000000001</v>
      </c>
      <c r="DL37">
        <v>29.552399999999999</v>
      </c>
      <c r="DM37">
        <v>500.05399999999997</v>
      </c>
      <c r="DN37">
        <v>99.173500000000004</v>
      </c>
      <c r="DO37">
        <v>0.10037</v>
      </c>
      <c r="DP37">
        <v>30.868200000000002</v>
      </c>
      <c r="DQ37">
        <v>30.011700000000001</v>
      </c>
      <c r="DR37">
        <v>999.9</v>
      </c>
      <c r="DS37">
        <v>0</v>
      </c>
      <c r="DT37">
        <v>0</v>
      </c>
      <c r="DU37">
        <v>9990</v>
      </c>
      <c r="DV37">
        <v>0</v>
      </c>
      <c r="DW37">
        <v>1841.96</v>
      </c>
      <c r="DX37">
        <v>-7.2538400000000003</v>
      </c>
      <c r="DY37">
        <v>23.5352</v>
      </c>
      <c r="DZ37">
        <v>30.7302</v>
      </c>
      <c r="EA37">
        <v>8.8377499999999998</v>
      </c>
      <c r="EB37">
        <v>30.0932</v>
      </c>
      <c r="EC37">
        <v>20.728999999999999</v>
      </c>
      <c r="ED37">
        <v>2.9322400000000002</v>
      </c>
      <c r="EE37">
        <v>2.0557699999999999</v>
      </c>
      <c r="EF37">
        <v>23.648099999999999</v>
      </c>
      <c r="EG37">
        <v>17.880500000000001</v>
      </c>
      <c r="EH37">
        <v>1799.89</v>
      </c>
      <c r="EI37">
        <v>0.97800299999999996</v>
      </c>
      <c r="EJ37">
        <v>2.1997200000000001E-2</v>
      </c>
      <c r="EK37">
        <v>0</v>
      </c>
      <c r="EL37">
        <v>697.22</v>
      </c>
      <c r="EM37">
        <v>5.00082</v>
      </c>
      <c r="EN37">
        <v>15345.2</v>
      </c>
      <c r="EO37">
        <v>14128.9</v>
      </c>
      <c r="EP37">
        <v>48.686999999999998</v>
      </c>
      <c r="EQ37">
        <v>50.186999999999998</v>
      </c>
      <c r="ER37">
        <v>49.625</v>
      </c>
      <c r="ES37">
        <v>49.686999999999998</v>
      </c>
      <c r="ET37">
        <v>50.061999999999998</v>
      </c>
      <c r="EU37">
        <v>1755.41</v>
      </c>
      <c r="EV37">
        <v>39.479999999999997</v>
      </c>
      <c r="EW37">
        <v>0</v>
      </c>
      <c r="EX37">
        <v>127.80000019073491</v>
      </c>
      <c r="EY37">
        <v>0</v>
      </c>
      <c r="EZ37">
        <v>696.78596000000005</v>
      </c>
      <c r="FA37">
        <v>-0.68276921791516398</v>
      </c>
      <c r="FB37">
        <v>-345.3538452840325</v>
      </c>
      <c r="FC37">
        <v>15392.736000000001</v>
      </c>
      <c r="FD37">
        <v>15</v>
      </c>
      <c r="FE37">
        <v>1689002734.5</v>
      </c>
      <c r="FF37" t="s">
        <v>529</v>
      </c>
      <c r="FG37">
        <v>1689002726.5</v>
      </c>
      <c r="FH37">
        <v>1689002734.5</v>
      </c>
      <c r="FI37">
        <v>24</v>
      </c>
      <c r="FJ37">
        <v>-2.8000000000000001E-2</v>
      </c>
      <c r="FK37">
        <v>1E-3</v>
      </c>
      <c r="FL37">
        <v>-0.95</v>
      </c>
      <c r="FM37">
        <v>1.4E-2</v>
      </c>
      <c r="FN37">
        <v>30</v>
      </c>
      <c r="FO37">
        <v>21</v>
      </c>
      <c r="FP37">
        <v>0.28999999999999998</v>
      </c>
      <c r="FQ37">
        <v>0.01</v>
      </c>
      <c r="FR37">
        <v>5.9949066440887826</v>
      </c>
      <c r="FS37">
        <v>-0.27771833691863562</v>
      </c>
      <c r="FT37">
        <v>3.692745439522626E-2</v>
      </c>
      <c r="FU37">
        <v>1</v>
      </c>
      <c r="FV37">
        <v>0.61286468750141831</v>
      </c>
      <c r="FW37">
        <v>3.77087418758323E-2</v>
      </c>
      <c r="FX37">
        <v>4.7349916463089283E-3</v>
      </c>
      <c r="FY37">
        <v>1</v>
      </c>
      <c r="FZ37">
        <v>2</v>
      </c>
      <c r="GA37">
        <v>2</v>
      </c>
      <c r="GB37" t="s">
        <v>423</v>
      </c>
      <c r="GC37">
        <v>2.9457499999999999</v>
      </c>
      <c r="GD37">
        <v>2.7089400000000001</v>
      </c>
      <c r="GE37">
        <v>6.3214500000000002E-3</v>
      </c>
      <c r="GF37">
        <v>8.0275099999999999E-3</v>
      </c>
      <c r="GG37">
        <v>0.13136999999999999</v>
      </c>
      <c r="GH37">
        <v>0.10256700000000001</v>
      </c>
      <c r="GI37">
        <v>32816</v>
      </c>
      <c r="GJ37">
        <v>31919.200000000001</v>
      </c>
      <c r="GK37">
        <v>34018.5</v>
      </c>
      <c r="GL37">
        <v>32211.9</v>
      </c>
      <c r="GM37">
        <v>42620.1</v>
      </c>
      <c r="GN37">
        <v>41121.4</v>
      </c>
      <c r="GO37">
        <v>49236</v>
      </c>
      <c r="GP37">
        <v>45592</v>
      </c>
      <c r="GQ37">
        <v>2.00332</v>
      </c>
      <c r="GR37">
        <v>1.8190299999999999</v>
      </c>
      <c r="GS37">
        <v>5.5566400000000002E-2</v>
      </c>
      <c r="GT37">
        <v>0</v>
      </c>
      <c r="GU37">
        <v>29.1068</v>
      </c>
      <c r="GV37">
        <v>999.9</v>
      </c>
      <c r="GW37">
        <v>38.9</v>
      </c>
      <c r="GX37">
        <v>39.5</v>
      </c>
      <c r="GY37">
        <v>28.311599999999999</v>
      </c>
      <c r="GZ37">
        <v>60.468600000000002</v>
      </c>
      <c r="HA37">
        <v>26.482399999999998</v>
      </c>
      <c r="HB37">
        <v>1</v>
      </c>
      <c r="HC37">
        <v>0.29536600000000002</v>
      </c>
      <c r="HD37">
        <v>1.3551299999999999</v>
      </c>
      <c r="HE37">
        <v>20.221800000000002</v>
      </c>
      <c r="HF37">
        <v>5.2685000000000004</v>
      </c>
      <c r="HG37">
        <v>12.039899999999999</v>
      </c>
      <c r="HH37">
        <v>4.9668000000000001</v>
      </c>
      <c r="HI37">
        <v>3.3007</v>
      </c>
      <c r="HJ37">
        <v>9999</v>
      </c>
      <c r="HK37">
        <v>9999</v>
      </c>
      <c r="HL37">
        <v>9999</v>
      </c>
      <c r="HM37">
        <v>999.9</v>
      </c>
      <c r="HN37">
        <v>1.8684400000000001</v>
      </c>
      <c r="HO37">
        <v>1.8721000000000001</v>
      </c>
      <c r="HP37">
        <v>1.8719399999999999</v>
      </c>
      <c r="HQ37">
        <v>1.87141</v>
      </c>
      <c r="HR37">
        <v>1.86463</v>
      </c>
      <c r="HS37">
        <v>1.8658300000000001</v>
      </c>
      <c r="HT37">
        <v>1.8678300000000001</v>
      </c>
      <c r="HU37">
        <v>1.8724099999999999</v>
      </c>
      <c r="HV37">
        <v>0</v>
      </c>
      <c r="HW37">
        <v>0</v>
      </c>
      <c r="HX37">
        <v>0</v>
      </c>
      <c r="HY37">
        <v>0</v>
      </c>
      <c r="HZ37" t="s">
        <v>424</v>
      </c>
      <c r="IA37" t="s">
        <v>425</v>
      </c>
      <c r="IB37" t="s">
        <v>426</v>
      </c>
      <c r="IC37" t="s">
        <v>426</v>
      </c>
      <c r="ID37" t="s">
        <v>426</v>
      </c>
      <c r="IE37" t="s">
        <v>426</v>
      </c>
      <c r="IF37">
        <v>0</v>
      </c>
      <c r="IG37">
        <v>100</v>
      </c>
      <c r="IH37">
        <v>100</v>
      </c>
      <c r="II37">
        <v>-0.94199999999999995</v>
      </c>
      <c r="IJ37">
        <v>1.43E-2</v>
      </c>
      <c r="IK37">
        <v>-0.91437005705183727</v>
      </c>
      <c r="IL37">
        <v>-1.171017271736434E-3</v>
      </c>
      <c r="IM37">
        <v>2.801297040296544E-7</v>
      </c>
      <c r="IN37">
        <v>-3.6238253961199429E-11</v>
      </c>
      <c r="IO37">
        <v>1.43349999999991E-2</v>
      </c>
      <c r="IP37">
        <v>0</v>
      </c>
      <c r="IQ37">
        <v>0</v>
      </c>
      <c r="IR37">
        <v>0</v>
      </c>
      <c r="IS37">
        <v>0</v>
      </c>
      <c r="IT37">
        <v>2161</v>
      </c>
      <c r="IU37">
        <v>1</v>
      </c>
      <c r="IV37">
        <v>19</v>
      </c>
      <c r="IW37">
        <v>0.7</v>
      </c>
      <c r="IX37">
        <v>0.5</v>
      </c>
      <c r="IY37">
        <v>0.21606400000000001</v>
      </c>
      <c r="IZ37">
        <v>2.5659200000000002</v>
      </c>
      <c r="JA37">
        <v>1.4440900000000001</v>
      </c>
      <c r="JB37">
        <v>2.2839399999999999</v>
      </c>
      <c r="JC37">
        <v>1.54419</v>
      </c>
      <c r="JD37">
        <v>2.3022499999999999</v>
      </c>
      <c r="JE37">
        <v>43.864100000000001</v>
      </c>
      <c r="JF37">
        <v>24.218800000000002</v>
      </c>
      <c r="JG37">
        <v>18</v>
      </c>
      <c r="JH37">
        <v>511.02499999999998</v>
      </c>
      <c r="JI37">
        <v>431.56099999999998</v>
      </c>
      <c r="JJ37">
        <v>28.101500000000001</v>
      </c>
      <c r="JK37">
        <v>31.096900000000002</v>
      </c>
      <c r="JL37">
        <v>30.0001</v>
      </c>
      <c r="JM37">
        <v>30.871600000000001</v>
      </c>
      <c r="JN37">
        <v>30.809200000000001</v>
      </c>
      <c r="JO37">
        <v>4.4317099999999998</v>
      </c>
      <c r="JP37">
        <v>31.126300000000001</v>
      </c>
      <c r="JQ37">
        <v>4.7471100000000002</v>
      </c>
      <c r="JR37">
        <v>28.093499999999999</v>
      </c>
      <c r="JS37">
        <v>30</v>
      </c>
      <c r="JT37">
        <v>20.633700000000001</v>
      </c>
      <c r="JU37">
        <v>99.814499999999995</v>
      </c>
      <c r="JV37">
        <v>99.296000000000006</v>
      </c>
    </row>
    <row r="38" spans="1:282" x14ac:dyDescent="0.25">
      <c r="A38">
        <v>22</v>
      </c>
      <c r="B38">
        <v>1689002892</v>
      </c>
      <c r="C38">
        <v>3715</v>
      </c>
      <c r="D38" t="s">
        <v>530</v>
      </c>
      <c r="E38" t="s">
        <v>531</v>
      </c>
      <c r="F38" t="s">
        <v>414</v>
      </c>
      <c r="G38" t="s">
        <v>415</v>
      </c>
      <c r="H38" t="s">
        <v>500</v>
      </c>
      <c r="I38" t="s">
        <v>416</v>
      </c>
      <c r="J38" t="s">
        <v>501</v>
      </c>
      <c r="K38">
        <v>1689002892</v>
      </c>
      <c r="L38">
        <f t="shared" si="0"/>
        <v>7.7651984308403496E-3</v>
      </c>
      <c r="M38">
        <f t="shared" si="1"/>
        <v>7.7651984308403499</v>
      </c>
      <c r="N38">
        <f t="shared" si="2"/>
        <v>2.2471763111551923</v>
      </c>
      <c r="O38">
        <f t="shared" si="3"/>
        <v>7.4132199999999999</v>
      </c>
      <c r="P38">
        <f t="shared" si="4"/>
        <v>1.0210420424668898</v>
      </c>
      <c r="Q38">
        <f t="shared" si="5"/>
        <v>0.10136565084298528</v>
      </c>
      <c r="R38">
        <f t="shared" si="6"/>
        <v>0.73595977333773999</v>
      </c>
      <c r="S38">
        <f t="shared" si="7"/>
        <v>0.62890568003564473</v>
      </c>
      <c r="T38">
        <f t="shared" si="8"/>
        <v>2.9098074371439431</v>
      </c>
      <c r="U38">
        <f t="shared" si="9"/>
        <v>0.56201388461763679</v>
      </c>
      <c r="V38">
        <f t="shared" si="10"/>
        <v>0.35667392013970112</v>
      </c>
      <c r="W38">
        <f t="shared" si="11"/>
        <v>289.56110295863232</v>
      </c>
      <c r="X38">
        <f t="shared" si="12"/>
        <v>30.703242605394689</v>
      </c>
      <c r="Y38">
        <f t="shared" si="13"/>
        <v>30.039200000000001</v>
      </c>
      <c r="Z38">
        <f t="shared" si="14"/>
        <v>4.2700520859351476</v>
      </c>
      <c r="AA38">
        <f t="shared" si="15"/>
        <v>65.290849260139453</v>
      </c>
      <c r="AB38">
        <f t="shared" si="16"/>
        <v>2.9482390352324002</v>
      </c>
      <c r="AC38">
        <f t="shared" si="17"/>
        <v>4.5155470768739443</v>
      </c>
      <c r="AD38">
        <f t="shared" si="18"/>
        <v>1.3218130507027475</v>
      </c>
      <c r="AE38">
        <f t="shared" si="19"/>
        <v>-342.4452508000594</v>
      </c>
      <c r="AF38">
        <f t="shared" si="20"/>
        <v>153.26544716462431</v>
      </c>
      <c r="AG38">
        <f t="shared" si="21"/>
        <v>11.773005119392728</v>
      </c>
      <c r="AH38">
        <f t="shared" si="22"/>
        <v>112.15430444258996</v>
      </c>
      <c r="AI38">
        <v>0</v>
      </c>
      <c r="AJ38">
        <v>0</v>
      </c>
      <c r="AK38">
        <f t="shared" si="23"/>
        <v>1</v>
      </c>
      <c r="AL38">
        <f t="shared" si="24"/>
        <v>0</v>
      </c>
      <c r="AM38">
        <f t="shared" si="25"/>
        <v>51599.928752169704</v>
      </c>
      <c r="AN38" t="s">
        <v>418</v>
      </c>
      <c r="AO38">
        <v>10076.700000000001</v>
      </c>
      <c r="AP38">
        <v>185.01599999999999</v>
      </c>
      <c r="AQ38">
        <v>473.06</v>
      </c>
      <c r="AR38">
        <f t="shared" si="26"/>
        <v>0.60889527755464423</v>
      </c>
      <c r="AS38">
        <v>-1.4827006201179751</v>
      </c>
      <c r="AT38" t="s">
        <v>532</v>
      </c>
      <c r="AU38">
        <v>8094.94</v>
      </c>
      <c r="AV38">
        <v>704.57761538461523</v>
      </c>
      <c r="AW38">
        <v>758.78446976053885</v>
      </c>
      <c r="AX38">
        <f t="shared" si="27"/>
        <v>7.1439066739242163E-2</v>
      </c>
      <c r="AY38">
        <v>0.5</v>
      </c>
      <c r="AZ38">
        <f t="shared" si="28"/>
        <v>1513.1591994604312</v>
      </c>
      <c r="BA38">
        <f t="shared" si="29"/>
        <v>2.2471763111551923</v>
      </c>
      <c r="BB38">
        <f t="shared" si="30"/>
        <v>54.04934051867599</v>
      </c>
      <c r="BC38">
        <f t="shared" si="31"/>
        <v>2.4649600204678947E-3</v>
      </c>
      <c r="BD38">
        <f t="shared" si="32"/>
        <v>-0.37655550574290125</v>
      </c>
      <c r="BE38">
        <f t="shared" si="33"/>
        <v>216.96969973307091</v>
      </c>
      <c r="BF38" t="s">
        <v>533</v>
      </c>
      <c r="BG38">
        <v>582.69000000000005</v>
      </c>
      <c r="BH38">
        <f t="shared" si="34"/>
        <v>582.69000000000005</v>
      </c>
      <c r="BI38">
        <f t="shared" si="35"/>
        <v>0.23207442531884137</v>
      </c>
      <c r="BJ38">
        <f t="shared" si="36"/>
        <v>0.30782826087404419</v>
      </c>
      <c r="BK38">
        <f t="shared" si="37"/>
        <v>2.60626169625594</v>
      </c>
      <c r="BL38">
        <f t="shared" si="38"/>
        <v>9.4475136283711694E-2</v>
      </c>
      <c r="BM38">
        <f t="shared" si="39"/>
        <v>-0.99194730583014701</v>
      </c>
      <c r="BN38">
        <f t="shared" si="40"/>
        <v>0.2545758556788425</v>
      </c>
      <c r="BO38">
        <f t="shared" si="41"/>
        <v>0.74542414432115756</v>
      </c>
      <c r="BP38">
        <v>9097</v>
      </c>
      <c r="BQ38">
        <v>290.00000000000011</v>
      </c>
      <c r="BR38">
        <v>741.35</v>
      </c>
      <c r="BS38">
        <v>145</v>
      </c>
      <c r="BT38">
        <v>8094.94</v>
      </c>
      <c r="BU38">
        <v>739.65</v>
      </c>
      <c r="BV38">
        <v>1.7</v>
      </c>
      <c r="BW38">
        <v>300.00000000000011</v>
      </c>
      <c r="BX38">
        <v>19.2</v>
      </c>
      <c r="BY38">
        <v>758.78446976053885</v>
      </c>
      <c r="BZ38">
        <v>2.1539802586745451</v>
      </c>
      <c r="CA38">
        <v>-15.489408062048669</v>
      </c>
      <c r="CB38">
        <v>1.6005299206688151</v>
      </c>
      <c r="CC38">
        <v>0.76984546386911401</v>
      </c>
      <c r="CD38">
        <v>-4.1659779755283659E-3</v>
      </c>
      <c r="CE38">
        <v>289.99999999999989</v>
      </c>
      <c r="CF38">
        <v>738.36</v>
      </c>
      <c r="CG38">
        <v>645</v>
      </c>
      <c r="CH38">
        <v>8079.64</v>
      </c>
      <c r="CI38">
        <v>739.61</v>
      </c>
      <c r="CJ38">
        <v>-1.25</v>
      </c>
      <c r="CX38">
        <f t="shared" si="42"/>
        <v>1799.97</v>
      </c>
      <c r="CY38">
        <f t="shared" si="43"/>
        <v>1513.1591994604312</v>
      </c>
      <c r="CZ38">
        <f t="shared" si="44"/>
        <v>0.84065801066708401</v>
      </c>
      <c r="DA38">
        <f t="shared" si="45"/>
        <v>0.16086996058747219</v>
      </c>
      <c r="DB38">
        <v>6</v>
      </c>
      <c r="DC38">
        <v>0.5</v>
      </c>
      <c r="DD38" t="s">
        <v>421</v>
      </c>
      <c r="DE38">
        <v>2</v>
      </c>
      <c r="DF38">
        <v>1689002892</v>
      </c>
      <c r="DG38">
        <v>7.4132199999999999</v>
      </c>
      <c r="DH38">
        <v>10.178599999999999</v>
      </c>
      <c r="DI38">
        <v>29.697199999999999</v>
      </c>
      <c r="DJ38">
        <v>20.656700000000001</v>
      </c>
      <c r="DK38">
        <v>8.3376800000000006</v>
      </c>
      <c r="DL38">
        <v>29.687200000000001</v>
      </c>
      <c r="DM38">
        <v>500.05599999999998</v>
      </c>
      <c r="DN38">
        <v>99.176400000000001</v>
      </c>
      <c r="DO38">
        <v>0.100267</v>
      </c>
      <c r="DP38">
        <v>31.016200000000001</v>
      </c>
      <c r="DQ38">
        <v>30.039200000000001</v>
      </c>
      <c r="DR38">
        <v>999.9</v>
      </c>
      <c r="DS38">
        <v>0</v>
      </c>
      <c r="DT38">
        <v>0</v>
      </c>
      <c r="DU38">
        <v>9970</v>
      </c>
      <c r="DV38">
        <v>0</v>
      </c>
      <c r="DW38">
        <v>1847.51</v>
      </c>
      <c r="DX38">
        <v>-2.7653300000000001</v>
      </c>
      <c r="DY38">
        <v>7.64011</v>
      </c>
      <c r="DZ38">
        <v>10.3932</v>
      </c>
      <c r="EA38">
        <v>9.0405800000000003</v>
      </c>
      <c r="EB38">
        <v>10.178599999999999</v>
      </c>
      <c r="EC38">
        <v>20.656700000000001</v>
      </c>
      <c r="ED38">
        <v>2.9452600000000002</v>
      </c>
      <c r="EE38">
        <v>2.0486499999999999</v>
      </c>
      <c r="EF38">
        <v>23.721699999999998</v>
      </c>
      <c r="EG38">
        <v>17.825500000000002</v>
      </c>
      <c r="EH38">
        <v>1799.97</v>
      </c>
      <c r="EI38">
        <v>0.97800299999999996</v>
      </c>
      <c r="EJ38">
        <v>2.1997200000000001E-2</v>
      </c>
      <c r="EK38">
        <v>0</v>
      </c>
      <c r="EL38">
        <v>704.39800000000002</v>
      </c>
      <c r="EM38">
        <v>5.00082</v>
      </c>
      <c r="EN38">
        <v>15543.2</v>
      </c>
      <c r="EO38">
        <v>14129.5</v>
      </c>
      <c r="EP38">
        <v>48.625</v>
      </c>
      <c r="EQ38">
        <v>50.061999999999998</v>
      </c>
      <c r="ER38">
        <v>49.561999999999998</v>
      </c>
      <c r="ES38">
        <v>49.561999999999998</v>
      </c>
      <c r="ET38">
        <v>50</v>
      </c>
      <c r="EU38">
        <v>1755.49</v>
      </c>
      <c r="EV38">
        <v>39.479999999999997</v>
      </c>
      <c r="EW38">
        <v>0</v>
      </c>
      <c r="EX38">
        <v>123.6000001430511</v>
      </c>
      <c r="EY38">
        <v>0</v>
      </c>
      <c r="EZ38">
        <v>704.57761538461523</v>
      </c>
      <c r="FA38">
        <v>-1.828170930922157</v>
      </c>
      <c r="FB38">
        <v>-82.543589613581929</v>
      </c>
      <c r="FC38">
        <v>15576.04615384615</v>
      </c>
      <c r="FD38">
        <v>15</v>
      </c>
      <c r="FE38">
        <v>1689002858.5</v>
      </c>
      <c r="FF38" t="s">
        <v>534</v>
      </c>
      <c r="FG38">
        <v>1689002852</v>
      </c>
      <c r="FH38">
        <v>1689002858.5</v>
      </c>
      <c r="FI38">
        <v>25</v>
      </c>
      <c r="FJ38">
        <v>0</v>
      </c>
      <c r="FK38">
        <v>-4.0000000000000001E-3</v>
      </c>
      <c r="FL38">
        <v>-0.92700000000000005</v>
      </c>
      <c r="FM38">
        <v>0.01</v>
      </c>
      <c r="FN38">
        <v>10</v>
      </c>
      <c r="FO38">
        <v>20</v>
      </c>
      <c r="FP38">
        <v>0.12</v>
      </c>
      <c r="FQ38">
        <v>0.01</v>
      </c>
      <c r="FR38">
        <v>2.316131581761895</v>
      </c>
      <c r="FS38">
        <v>-0.35281301120396041</v>
      </c>
      <c r="FT38">
        <v>2.6675140455004982E-2</v>
      </c>
      <c r="FU38">
        <v>1</v>
      </c>
      <c r="FV38">
        <v>0.63070762015967863</v>
      </c>
      <c r="FW38">
        <v>1.919938055030421E-2</v>
      </c>
      <c r="FX38">
        <v>2.817910131163697E-3</v>
      </c>
      <c r="FY38">
        <v>1</v>
      </c>
      <c r="FZ38">
        <v>2</v>
      </c>
      <c r="GA38">
        <v>2</v>
      </c>
      <c r="GB38" t="s">
        <v>423</v>
      </c>
      <c r="GC38">
        <v>2.9457800000000001</v>
      </c>
      <c r="GD38">
        <v>2.7086700000000001</v>
      </c>
      <c r="GE38">
        <v>2.2165900000000001E-3</v>
      </c>
      <c r="GF38">
        <v>2.7174899999999999E-3</v>
      </c>
      <c r="GG38">
        <v>0.13178599999999999</v>
      </c>
      <c r="GH38">
        <v>0.102316</v>
      </c>
      <c r="GI38">
        <v>32951.9</v>
      </c>
      <c r="GJ38">
        <v>32092.5</v>
      </c>
      <c r="GK38">
        <v>34018.9</v>
      </c>
      <c r="GL38">
        <v>32214.5</v>
      </c>
      <c r="GM38">
        <v>42600.4</v>
      </c>
      <c r="GN38">
        <v>41135.9</v>
      </c>
      <c r="GO38">
        <v>49237.2</v>
      </c>
      <c r="GP38">
        <v>45595.5</v>
      </c>
      <c r="GQ38">
        <v>2.0039500000000001</v>
      </c>
      <c r="GR38">
        <v>1.81925</v>
      </c>
      <c r="GS38">
        <v>6.3806799999999997E-2</v>
      </c>
      <c r="GT38">
        <v>0</v>
      </c>
      <c r="GU38">
        <v>29</v>
      </c>
      <c r="GV38">
        <v>999.9</v>
      </c>
      <c r="GW38">
        <v>38.5</v>
      </c>
      <c r="GX38">
        <v>39.6</v>
      </c>
      <c r="GY38">
        <v>28.171600000000002</v>
      </c>
      <c r="GZ38">
        <v>60.318600000000004</v>
      </c>
      <c r="HA38">
        <v>26.3902</v>
      </c>
      <c r="HB38">
        <v>1</v>
      </c>
      <c r="HC38">
        <v>0.29382900000000001</v>
      </c>
      <c r="HD38">
        <v>1.21811</v>
      </c>
      <c r="HE38">
        <v>20.2226</v>
      </c>
      <c r="HF38">
        <v>5.2652099999999997</v>
      </c>
      <c r="HG38">
        <v>12.039899999999999</v>
      </c>
      <c r="HH38">
        <v>4.9663000000000004</v>
      </c>
      <c r="HI38">
        <v>3.3002500000000001</v>
      </c>
      <c r="HJ38">
        <v>9999</v>
      </c>
      <c r="HK38">
        <v>9999</v>
      </c>
      <c r="HL38">
        <v>9999</v>
      </c>
      <c r="HM38">
        <v>999.9</v>
      </c>
      <c r="HN38">
        <v>1.8684400000000001</v>
      </c>
      <c r="HO38">
        <v>1.8721000000000001</v>
      </c>
      <c r="HP38">
        <v>1.87195</v>
      </c>
      <c r="HQ38">
        <v>1.8714500000000001</v>
      </c>
      <c r="HR38">
        <v>1.8646400000000001</v>
      </c>
      <c r="HS38">
        <v>1.8658399999999999</v>
      </c>
      <c r="HT38">
        <v>1.8678300000000001</v>
      </c>
      <c r="HU38">
        <v>1.8724099999999999</v>
      </c>
      <c r="HV38">
        <v>0</v>
      </c>
      <c r="HW38">
        <v>0</v>
      </c>
      <c r="HX38">
        <v>0</v>
      </c>
      <c r="HY38">
        <v>0</v>
      </c>
      <c r="HZ38" t="s">
        <v>424</v>
      </c>
      <c r="IA38" t="s">
        <v>425</v>
      </c>
      <c r="IB38" t="s">
        <v>426</v>
      </c>
      <c r="IC38" t="s">
        <v>426</v>
      </c>
      <c r="ID38" t="s">
        <v>426</v>
      </c>
      <c r="IE38" t="s">
        <v>426</v>
      </c>
      <c r="IF38">
        <v>0</v>
      </c>
      <c r="IG38">
        <v>100</v>
      </c>
      <c r="IH38">
        <v>100</v>
      </c>
      <c r="II38">
        <v>-0.92400000000000004</v>
      </c>
      <c r="IJ38">
        <v>0.01</v>
      </c>
      <c r="IK38">
        <v>-0.91471612314472139</v>
      </c>
      <c r="IL38">
        <v>-1.171017271736434E-3</v>
      </c>
      <c r="IM38">
        <v>2.801297040296544E-7</v>
      </c>
      <c r="IN38">
        <v>-3.6238253961199429E-11</v>
      </c>
      <c r="IO38">
        <v>1.002499999999884E-2</v>
      </c>
      <c r="IP38">
        <v>0</v>
      </c>
      <c r="IQ38">
        <v>0</v>
      </c>
      <c r="IR38">
        <v>0</v>
      </c>
      <c r="IS38">
        <v>0</v>
      </c>
      <c r="IT38">
        <v>2161</v>
      </c>
      <c r="IU38">
        <v>1</v>
      </c>
      <c r="IV38">
        <v>19</v>
      </c>
      <c r="IW38">
        <v>0.7</v>
      </c>
      <c r="IX38">
        <v>0.6</v>
      </c>
      <c r="IY38">
        <v>0.17211899999999999</v>
      </c>
      <c r="IZ38">
        <v>2.5927699999999998</v>
      </c>
      <c r="JA38">
        <v>1.4440900000000001</v>
      </c>
      <c r="JB38">
        <v>2.2851599999999999</v>
      </c>
      <c r="JC38">
        <v>1.54419</v>
      </c>
      <c r="JD38">
        <v>2.2570800000000002</v>
      </c>
      <c r="JE38">
        <v>43.919199999999996</v>
      </c>
      <c r="JF38">
        <v>24.218800000000002</v>
      </c>
      <c r="JG38">
        <v>18</v>
      </c>
      <c r="JH38">
        <v>511.43799999999999</v>
      </c>
      <c r="JI38">
        <v>431.702</v>
      </c>
      <c r="JJ38">
        <v>28.511099999999999</v>
      </c>
      <c r="JK38">
        <v>31.0779</v>
      </c>
      <c r="JL38">
        <v>30.000299999999999</v>
      </c>
      <c r="JM38">
        <v>30.871600000000001</v>
      </c>
      <c r="JN38">
        <v>30.809200000000001</v>
      </c>
      <c r="JO38">
        <v>3.5569899999999999</v>
      </c>
      <c r="JP38">
        <v>30.666899999999998</v>
      </c>
      <c r="JQ38">
        <v>2.43763</v>
      </c>
      <c r="JR38">
        <v>28.4756</v>
      </c>
      <c r="JS38">
        <v>10</v>
      </c>
      <c r="JT38">
        <v>20.537199999999999</v>
      </c>
      <c r="JU38">
        <v>99.816500000000005</v>
      </c>
      <c r="JV38">
        <v>99.303700000000006</v>
      </c>
    </row>
    <row r="39" spans="1:282" x14ac:dyDescent="0.25">
      <c r="A39">
        <v>23</v>
      </c>
      <c r="B39">
        <v>1689003081.5</v>
      </c>
      <c r="C39">
        <v>3904.5</v>
      </c>
      <c r="D39" t="s">
        <v>535</v>
      </c>
      <c r="E39" t="s">
        <v>536</v>
      </c>
      <c r="F39" t="s">
        <v>414</v>
      </c>
      <c r="G39" t="s">
        <v>415</v>
      </c>
      <c r="H39" t="s">
        <v>500</v>
      </c>
      <c r="I39" t="s">
        <v>416</v>
      </c>
      <c r="J39" t="s">
        <v>501</v>
      </c>
      <c r="K39">
        <v>1689003081.5</v>
      </c>
      <c r="L39">
        <f t="shared" si="0"/>
        <v>7.249638596814793E-3</v>
      </c>
      <c r="M39">
        <f t="shared" si="1"/>
        <v>7.2496385968147932</v>
      </c>
      <c r="N39">
        <f t="shared" si="2"/>
        <v>51.873651902000375</v>
      </c>
      <c r="O39">
        <f t="shared" si="3"/>
        <v>334.86700000000002</v>
      </c>
      <c r="P39">
        <f t="shared" si="4"/>
        <v>168.23846509381474</v>
      </c>
      <c r="Q39">
        <f t="shared" si="5"/>
        <v>16.702010063583646</v>
      </c>
      <c r="R39">
        <f t="shared" si="6"/>
        <v>33.244193002136996</v>
      </c>
      <c r="S39">
        <f t="shared" si="7"/>
        <v>0.56267022013063406</v>
      </c>
      <c r="T39">
        <f t="shared" si="8"/>
        <v>2.9126440394050119</v>
      </c>
      <c r="U39">
        <f t="shared" si="9"/>
        <v>0.50852515867789916</v>
      </c>
      <c r="V39">
        <f t="shared" si="10"/>
        <v>0.32225763931273343</v>
      </c>
      <c r="W39">
        <f t="shared" si="11"/>
        <v>289.56589095864967</v>
      </c>
      <c r="X39">
        <f t="shared" si="12"/>
        <v>30.740167955392121</v>
      </c>
      <c r="Y39">
        <f t="shared" si="13"/>
        <v>30.110900000000001</v>
      </c>
      <c r="Z39">
        <f t="shared" si="14"/>
        <v>4.2876643075123475</v>
      </c>
      <c r="AA39">
        <f t="shared" si="15"/>
        <v>65.111164315787846</v>
      </c>
      <c r="AB39">
        <f t="shared" si="16"/>
        <v>2.9237719097609998</v>
      </c>
      <c r="AC39">
        <f t="shared" si="17"/>
        <v>4.4904310043985145</v>
      </c>
      <c r="AD39">
        <f t="shared" si="18"/>
        <v>1.3638923977513477</v>
      </c>
      <c r="AE39">
        <f t="shared" si="19"/>
        <v>-319.70906211953235</v>
      </c>
      <c r="AF39">
        <f t="shared" si="20"/>
        <v>126.79887085281503</v>
      </c>
      <c r="AG39">
        <f t="shared" si="21"/>
        <v>9.7292402052495</v>
      </c>
      <c r="AH39">
        <f t="shared" si="22"/>
        <v>106.38493989718184</v>
      </c>
      <c r="AI39">
        <v>0</v>
      </c>
      <c r="AJ39">
        <v>0</v>
      </c>
      <c r="AK39">
        <f t="shared" si="23"/>
        <v>1</v>
      </c>
      <c r="AL39">
        <f t="shared" si="24"/>
        <v>0</v>
      </c>
      <c r="AM39">
        <f t="shared" si="25"/>
        <v>51696.953077756159</v>
      </c>
      <c r="AN39" t="s">
        <v>418</v>
      </c>
      <c r="AO39">
        <v>10076.700000000001</v>
      </c>
      <c r="AP39">
        <v>185.01599999999999</v>
      </c>
      <c r="AQ39">
        <v>473.06</v>
      </c>
      <c r="AR39">
        <f t="shared" si="26"/>
        <v>0.60889527755464423</v>
      </c>
      <c r="AS39">
        <v>-1.4827006201179751</v>
      </c>
      <c r="AT39" t="s">
        <v>537</v>
      </c>
      <c r="AU39">
        <v>8086.99</v>
      </c>
      <c r="AV39">
        <v>674.49438461538455</v>
      </c>
      <c r="AW39">
        <v>1105.386979977043</v>
      </c>
      <c r="AX39">
        <f t="shared" si="27"/>
        <v>0.38981153493467724</v>
      </c>
      <c r="AY39">
        <v>0.5</v>
      </c>
      <c r="AZ39">
        <f t="shared" si="28"/>
        <v>1513.1843994604403</v>
      </c>
      <c r="BA39">
        <f t="shared" si="29"/>
        <v>51.873651902000375</v>
      </c>
      <c r="BB39">
        <f t="shared" si="30"/>
        <v>294.928366696441</v>
      </c>
      <c r="BC39">
        <f t="shared" si="31"/>
        <v>3.5260971855871466E-2</v>
      </c>
      <c r="BD39">
        <f t="shared" si="32"/>
        <v>-0.57204127733635457</v>
      </c>
      <c r="BE39">
        <f t="shared" si="33"/>
        <v>238.33915267489127</v>
      </c>
      <c r="BF39" t="s">
        <v>538</v>
      </c>
      <c r="BG39">
        <v>532.1</v>
      </c>
      <c r="BH39">
        <f t="shared" si="34"/>
        <v>532.1</v>
      </c>
      <c r="BI39">
        <f t="shared" si="35"/>
        <v>0.51863011810483706</v>
      </c>
      <c r="BJ39">
        <f t="shared" si="36"/>
        <v>0.75161761981566955</v>
      </c>
      <c r="BK39">
        <f t="shared" si="37"/>
        <v>10.710145324814411</v>
      </c>
      <c r="BL39">
        <f t="shared" si="38"/>
        <v>0.46817273114413743</v>
      </c>
      <c r="BM39">
        <f t="shared" si="39"/>
        <v>-2.195244407024771</v>
      </c>
      <c r="BN39">
        <f t="shared" si="40"/>
        <v>0.59294153461629229</v>
      </c>
      <c r="BO39">
        <f t="shared" si="41"/>
        <v>0.40705846538370771</v>
      </c>
      <c r="BP39">
        <v>9099</v>
      </c>
      <c r="BQ39">
        <v>290.00000000000011</v>
      </c>
      <c r="BR39">
        <v>921.22</v>
      </c>
      <c r="BS39">
        <v>295</v>
      </c>
      <c r="BT39">
        <v>8086.99</v>
      </c>
      <c r="BU39">
        <v>924.29</v>
      </c>
      <c r="BV39">
        <v>-3.07</v>
      </c>
      <c r="BW39">
        <v>300.00000000000011</v>
      </c>
      <c r="BX39">
        <v>19.2</v>
      </c>
      <c r="BY39">
        <v>1105.386979977043</v>
      </c>
      <c r="BZ39">
        <v>3.9926799959197359</v>
      </c>
      <c r="CA39">
        <v>-146.4554080960815</v>
      </c>
      <c r="CB39">
        <v>2.966895136514724</v>
      </c>
      <c r="CC39">
        <v>0.98863970403851475</v>
      </c>
      <c r="CD39">
        <v>-4.166839154616242E-3</v>
      </c>
      <c r="CE39">
        <v>289.99999999999989</v>
      </c>
      <c r="CF39">
        <v>906.03</v>
      </c>
      <c r="CG39">
        <v>645</v>
      </c>
      <c r="CH39">
        <v>8079.9</v>
      </c>
      <c r="CI39">
        <v>924.13</v>
      </c>
      <c r="CJ39">
        <v>-18.100000000000001</v>
      </c>
      <c r="CX39">
        <f t="shared" si="42"/>
        <v>1800</v>
      </c>
      <c r="CY39">
        <f t="shared" si="43"/>
        <v>1513.1843994604403</v>
      </c>
      <c r="CZ39">
        <f t="shared" si="44"/>
        <v>0.84065799970024457</v>
      </c>
      <c r="DA39">
        <f t="shared" si="45"/>
        <v>0.16086993942147204</v>
      </c>
      <c r="DB39">
        <v>6</v>
      </c>
      <c r="DC39">
        <v>0.5</v>
      </c>
      <c r="DD39" t="s">
        <v>421</v>
      </c>
      <c r="DE39">
        <v>2</v>
      </c>
      <c r="DF39">
        <v>1689003081.5</v>
      </c>
      <c r="DG39">
        <v>334.86700000000002</v>
      </c>
      <c r="DH39">
        <v>400.005</v>
      </c>
      <c r="DI39">
        <v>29.451000000000001</v>
      </c>
      <c r="DJ39">
        <v>21.0107</v>
      </c>
      <c r="DK39">
        <v>336.08100000000002</v>
      </c>
      <c r="DL39">
        <v>29.433599999999998</v>
      </c>
      <c r="DM39">
        <v>500.18099999999998</v>
      </c>
      <c r="DN39">
        <v>99.175799999999995</v>
      </c>
      <c r="DO39">
        <v>0.100011</v>
      </c>
      <c r="DP39">
        <v>30.918399999999998</v>
      </c>
      <c r="DQ39">
        <v>30.110900000000001</v>
      </c>
      <c r="DR39">
        <v>999.9</v>
      </c>
      <c r="DS39">
        <v>0</v>
      </c>
      <c r="DT39">
        <v>0</v>
      </c>
      <c r="DU39">
        <v>9986.25</v>
      </c>
      <c r="DV39">
        <v>0</v>
      </c>
      <c r="DW39">
        <v>1875.14</v>
      </c>
      <c r="DX39">
        <v>-65.138400000000004</v>
      </c>
      <c r="DY39">
        <v>345.02800000000002</v>
      </c>
      <c r="DZ39">
        <v>408.59</v>
      </c>
      <c r="EA39">
        <v>8.4403400000000008</v>
      </c>
      <c r="EB39">
        <v>400.005</v>
      </c>
      <c r="EC39">
        <v>21.0107</v>
      </c>
      <c r="ED39">
        <v>2.92083</v>
      </c>
      <c r="EE39">
        <v>2.0837500000000002</v>
      </c>
      <c r="EF39">
        <v>23.583400000000001</v>
      </c>
      <c r="EG39">
        <v>18.095500000000001</v>
      </c>
      <c r="EH39">
        <v>1800</v>
      </c>
      <c r="EI39">
        <v>0.97800600000000004</v>
      </c>
      <c r="EJ39">
        <v>2.1993599999999999E-2</v>
      </c>
      <c r="EK39">
        <v>0</v>
      </c>
      <c r="EL39">
        <v>675.28800000000001</v>
      </c>
      <c r="EM39">
        <v>5.00082</v>
      </c>
      <c r="EN39">
        <v>15089</v>
      </c>
      <c r="EO39">
        <v>14129.8</v>
      </c>
      <c r="EP39">
        <v>48.811999999999998</v>
      </c>
      <c r="EQ39">
        <v>50.186999999999998</v>
      </c>
      <c r="ER39">
        <v>49.686999999999998</v>
      </c>
      <c r="ES39">
        <v>49.686999999999998</v>
      </c>
      <c r="ET39">
        <v>50.186999999999998</v>
      </c>
      <c r="EU39">
        <v>1755.52</v>
      </c>
      <c r="EV39">
        <v>39.479999999999997</v>
      </c>
      <c r="EW39">
        <v>0</v>
      </c>
      <c r="EX39">
        <v>187.4000000953674</v>
      </c>
      <c r="EY39">
        <v>0</v>
      </c>
      <c r="EZ39">
        <v>674.49438461538455</v>
      </c>
      <c r="FA39">
        <v>5.8060170986183239</v>
      </c>
      <c r="FB39">
        <v>46.659829181442618</v>
      </c>
      <c r="FC39">
        <v>15093.123076923081</v>
      </c>
      <c r="FD39">
        <v>15</v>
      </c>
      <c r="FE39">
        <v>1689002975</v>
      </c>
      <c r="FF39" t="s">
        <v>539</v>
      </c>
      <c r="FG39">
        <v>1689002965.5</v>
      </c>
      <c r="FH39">
        <v>1689002975</v>
      </c>
      <c r="FI39">
        <v>26</v>
      </c>
      <c r="FJ39">
        <v>6.4000000000000001E-2</v>
      </c>
      <c r="FK39">
        <v>7.0000000000000001E-3</v>
      </c>
      <c r="FL39">
        <v>-1.278</v>
      </c>
      <c r="FM39">
        <v>1.7000000000000001E-2</v>
      </c>
      <c r="FN39">
        <v>400</v>
      </c>
      <c r="FO39">
        <v>21</v>
      </c>
      <c r="FP39">
        <v>7.0000000000000007E-2</v>
      </c>
      <c r="FQ39">
        <v>0.01</v>
      </c>
      <c r="FR39">
        <v>51.268471883867512</v>
      </c>
      <c r="FS39">
        <v>4.0572548453749828</v>
      </c>
      <c r="FT39">
        <v>0.29449447739628948</v>
      </c>
      <c r="FU39">
        <v>0</v>
      </c>
      <c r="FV39">
        <v>0.57135543504629416</v>
      </c>
      <c r="FW39">
        <v>-7.7175013716680479E-2</v>
      </c>
      <c r="FX39">
        <v>5.7520187404443528E-3</v>
      </c>
      <c r="FY39">
        <v>0</v>
      </c>
      <c r="FZ39">
        <v>0</v>
      </c>
      <c r="GA39">
        <v>2</v>
      </c>
      <c r="GB39" t="s">
        <v>540</v>
      </c>
      <c r="GC39">
        <v>2.9460500000000001</v>
      </c>
      <c r="GD39">
        <v>2.7085599999999999</v>
      </c>
      <c r="GE39">
        <v>7.68784E-2</v>
      </c>
      <c r="GF39">
        <v>8.8225499999999998E-2</v>
      </c>
      <c r="GG39">
        <v>0.13100000000000001</v>
      </c>
      <c r="GH39">
        <v>0.103542</v>
      </c>
      <c r="GI39">
        <v>30483.200000000001</v>
      </c>
      <c r="GJ39">
        <v>29338.7</v>
      </c>
      <c r="GK39">
        <v>34013.4</v>
      </c>
      <c r="GL39">
        <v>32210</v>
      </c>
      <c r="GM39">
        <v>42634.7</v>
      </c>
      <c r="GN39">
        <v>41076.800000000003</v>
      </c>
      <c r="GO39">
        <v>49229.7</v>
      </c>
      <c r="GP39">
        <v>45590.1</v>
      </c>
      <c r="GQ39">
        <v>2.0033799999999999</v>
      </c>
      <c r="GR39">
        <v>1.81918</v>
      </c>
      <c r="GS39">
        <v>5.5767600000000001E-2</v>
      </c>
      <c r="GT39">
        <v>0</v>
      </c>
      <c r="GU39">
        <v>29.2028</v>
      </c>
      <c r="GV39">
        <v>999.9</v>
      </c>
      <c r="GW39">
        <v>38</v>
      </c>
      <c r="GX39">
        <v>39.799999999999997</v>
      </c>
      <c r="GY39">
        <v>28.102900000000002</v>
      </c>
      <c r="GZ39">
        <v>60.198599999999999</v>
      </c>
      <c r="HA39">
        <v>25.617000000000001</v>
      </c>
      <c r="HB39">
        <v>1</v>
      </c>
      <c r="HC39">
        <v>0.299431</v>
      </c>
      <c r="HD39">
        <v>1.6930000000000001</v>
      </c>
      <c r="HE39">
        <v>20.218699999999998</v>
      </c>
      <c r="HF39">
        <v>5.2706</v>
      </c>
      <c r="HG39">
        <v>12.039899999999999</v>
      </c>
      <c r="HH39">
        <v>4.9672000000000001</v>
      </c>
      <c r="HI39">
        <v>3.3010000000000002</v>
      </c>
      <c r="HJ39">
        <v>9999</v>
      </c>
      <c r="HK39">
        <v>9999</v>
      </c>
      <c r="HL39">
        <v>9999</v>
      </c>
      <c r="HM39">
        <v>999.9</v>
      </c>
      <c r="HN39">
        <v>1.8684400000000001</v>
      </c>
      <c r="HO39">
        <v>1.87209</v>
      </c>
      <c r="HP39">
        <v>1.87192</v>
      </c>
      <c r="HQ39">
        <v>1.87138</v>
      </c>
      <c r="HR39">
        <v>1.86463</v>
      </c>
      <c r="HS39">
        <v>1.8658300000000001</v>
      </c>
      <c r="HT39">
        <v>1.8678300000000001</v>
      </c>
      <c r="HU39">
        <v>1.8724099999999999</v>
      </c>
      <c r="HV39">
        <v>0</v>
      </c>
      <c r="HW39">
        <v>0</v>
      </c>
      <c r="HX39">
        <v>0</v>
      </c>
      <c r="HY39">
        <v>0</v>
      </c>
      <c r="HZ39" t="s">
        <v>424</v>
      </c>
      <c r="IA39" t="s">
        <v>425</v>
      </c>
      <c r="IB39" t="s">
        <v>426</v>
      </c>
      <c r="IC39" t="s">
        <v>426</v>
      </c>
      <c r="ID39" t="s">
        <v>426</v>
      </c>
      <c r="IE39" t="s">
        <v>426</v>
      </c>
      <c r="IF39">
        <v>0</v>
      </c>
      <c r="IG39">
        <v>100</v>
      </c>
      <c r="IH39">
        <v>100</v>
      </c>
      <c r="II39">
        <v>-1.214</v>
      </c>
      <c r="IJ39">
        <v>1.7399999999999999E-2</v>
      </c>
      <c r="IK39">
        <v>-0.85058818549933801</v>
      </c>
      <c r="IL39">
        <v>-1.171017271736434E-3</v>
      </c>
      <c r="IM39">
        <v>2.801297040296544E-7</v>
      </c>
      <c r="IN39">
        <v>-3.6238253961199429E-11</v>
      </c>
      <c r="IO39">
        <v>1.7490476190477722E-2</v>
      </c>
      <c r="IP39">
        <v>0</v>
      </c>
      <c r="IQ39">
        <v>0</v>
      </c>
      <c r="IR39">
        <v>0</v>
      </c>
      <c r="IS39">
        <v>0</v>
      </c>
      <c r="IT39">
        <v>2161</v>
      </c>
      <c r="IU39">
        <v>1</v>
      </c>
      <c r="IV39">
        <v>19</v>
      </c>
      <c r="IW39">
        <v>1.9</v>
      </c>
      <c r="IX39">
        <v>1.8</v>
      </c>
      <c r="IY39">
        <v>1.03149</v>
      </c>
      <c r="IZ39">
        <v>2.49756</v>
      </c>
      <c r="JA39">
        <v>1.4440900000000001</v>
      </c>
      <c r="JB39">
        <v>2.2863799999999999</v>
      </c>
      <c r="JC39">
        <v>1.54419</v>
      </c>
      <c r="JD39">
        <v>2.4230999999999998</v>
      </c>
      <c r="JE39">
        <v>43.9467</v>
      </c>
      <c r="JF39">
        <v>24.227599999999999</v>
      </c>
      <c r="JG39">
        <v>18</v>
      </c>
      <c r="JH39">
        <v>511.33100000000002</v>
      </c>
      <c r="JI39">
        <v>431.97300000000001</v>
      </c>
      <c r="JJ39">
        <v>28.128799999999998</v>
      </c>
      <c r="JK39">
        <v>31.1188</v>
      </c>
      <c r="JL39">
        <v>30.001000000000001</v>
      </c>
      <c r="JM39">
        <v>30.904</v>
      </c>
      <c r="JN39">
        <v>30.8521</v>
      </c>
      <c r="JO39">
        <v>20.783000000000001</v>
      </c>
      <c r="JP39">
        <v>29.035900000000002</v>
      </c>
      <c r="JQ39">
        <v>0</v>
      </c>
      <c r="JR39">
        <v>28.012599999999999</v>
      </c>
      <c r="JS39">
        <v>400</v>
      </c>
      <c r="JT39">
        <v>20.948899999999998</v>
      </c>
      <c r="JU39">
        <v>99.800899999999999</v>
      </c>
      <c r="JV39">
        <v>99.290999999999997</v>
      </c>
    </row>
    <row r="40" spans="1:282" x14ac:dyDescent="0.25">
      <c r="A40">
        <v>24</v>
      </c>
      <c r="B40">
        <v>1689003192</v>
      </c>
      <c r="C40">
        <v>4015</v>
      </c>
      <c r="D40" t="s">
        <v>541</v>
      </c>
      <c r="E40" t="s">
        <v>542</v>
      </c>
      <c r="F40" t="s">
        <v>414</v>
      </c>
      <c r="G40" t="s">
        <v>415</v>
      </c>
      <c r="H40" t="s">
        <v>500</v>
      </c>
      <c r="I40" t="s">
        <v>416</v>
      </c>
      <c r="J40" t="s">
        <v>501</v>
      </c>
      <c r="K40">
        <v>1689003192</v>
      </c>
      <c r="L40">
        <f t="shared" si="0"/>
        <v>7.0305024375022706E-3</v>
      </c>
      <c r="M40">
        <f t="shared" si="1"/>
        <v>7.0305024375022702</v>
      </c>
      <c r="N40">
        <f t="shared" si="2"/>
        <v>56.148150364461884</v>
      </c>
      <c r="O40">
        <f t="shared" si="3"/>
        <v>330.13499999999999</v>
      </c>
      <c r="P40">
        <f t="shared" si="4"/>
        <v>146.04653360195195</v>
      </c>
      <c r="Q40">
        <f t="shared" si="5"/>
        <v>14.499066974076195</v>
      </c>
      <c r="R40">
        <f t="shared" si="6"/>
        <v>32.774824279860006</v>
      </c>
      <c r="S40">
        <f t="shared" si="7"/>
        <v>0.54708981845306526</v>
      </c>
      <c r="T40">
        <f t="shared" si="8"/>
        <v>2.9174834222487087</v>
      </c>
      <c r="U40">
        <f t="shared" si="9"/>
        <v>0.49583219561266156</v>
      </c>
      <c r="V40">
        <f t="shared" si="10"/>
        <v>0.31409924376129211</v>
      </c>
      <c r="W40">
        <f t="shared" si="11"/>
        <v>289.55471895860916</v>
      </c>
      <c r="X40">
        <f t="shared" si="12"/>
        <v>30.643816637250989</v>
      </c>
      <c r="Y40">
        <f t="shared" si="13"/>
        <v>30.053899999999999</v>
      </c>
      <c r="Z40">
        <f t="shared" si="14"/>
        <v>4.2736578129133704</v>
      </c>
      <c r="AA40">
        <f t="shared" si="15"/>
        <v>65.531717202439978</v>
      </c>
      <c r="AB40">
        <f t="shared" si="16"/>
        <v>2.9169677994556005</v>
      </c>
      <c r="AC40">
        <f t="shared" si="17"/>
        <v>4.4512305246702608</v>
      </c>
      <c r="AD40">
        <f t="shared" si="18"/>
        <v>1.35669001345777</v>
      </c>
      <c r="AE40">
        <f t="shared" si="19"/>
        <v>-310.04515749385013</v>
      </c>
      <c r="AF40">
        <f t="shared" si="20"/>
        <v>111.81558867442801</v>
      </c>
      <c r="AG40">
        <f t="shared" si="21"/>
        <v>8.5564307865954774</v>
      </c>
      <c r="AH40">
        <f t="shared" si="22"/>
        <v>99.881580925782501</v>
      </c>
      <c r="AI40">
        <v>0</v>
      </c>
      <c r="AJ40">
        <v>0</v>
      </c>
      <c r="AK40">
        <f t="shared" si="23"/>
        <v>1</v>
      </c>
      <c r="AL40">
        <f t="shared" si="24"/>
        <v>0</v>
      </c>
      <c r="AM40">
        <f t="shared" si="25"/>
        <v>51860.522371382409</v>
      </c>
      <c r="AN40" t="s">
        <v>418</v>
      </c>
      <c r="AO40">
        <v>10076.700000000001</v>
      </c>
      <c r="AP40">
        <v>185.01599999999999</v>
      </c>
      <c r="AQ40">
        <v>473.06</v>
      </c>
      <c r="AR40">
        <f t="shared" si="26"/>
        <v>0.60889527755464423</v>
      </c>
      <c r="AS40">
        <v>-1.4827006201179751</v>
      </c>
      <c r="AT40" t="s">
        <v>543</v>
      </c>
      <c r="AU40">
        <v>8086.57</v>
      </c>
      <c r="AV40">
        <v>688.53804000000002</v>
      </c>
      <c r="AW40">
        <v>1090.369265157057</v>
      </c>
      <c r="AX40">
        <f t="shared" si="27"/>
        <v>0.36852765205113991</v>
      </c>
      <c r="AY40">
        <v>0.5</v>
      </c>
      <c r="AZ40">
        <f t="shared" si="28"/>
        <v>1513.1255994604192</v>
      </c>
      <c r="BA40">
        <f t="shared" si="29"/>
        <v>56.148150364461884</v>
      </c>
      <c r="BB40">
        <f t="shared" si="30"/>
        <v>278.81431221381092</v>
      </c>
      <c r="BC40">
        <f t="shared" si="31"/>
        <v>3.8087288328960286E-2</v>
      </c>
      <c r="BD40">
        <f t="shared" si="32"/>
        <v>-0.56614697871930542</v>
      </c>
      <c r="BE40">
        <f t="shared" si="33"/>
        <v>237.63345468617587</v>
      </c>
      <c r="BF40" t="s">
        <v>544</v>
      </c>
      <c r="BG40">
        <v>534.30999999999995</v>
      </c>
      <c r="BH40">
        <f t="shared" si="34"/>
        <v>534.30999999999995</v>
      </c>
      <c r="BI40">
        <f t="shared" si="35"/>
        <v>0.50997334841143216</v>
      </c>
      <c r="BJ40">
        <f t="shared" si="36"/>
        <v>0.72264100310164081</v>
      </c>
      <c r="BK40">
        <f t="shared" si="37"/>
        <v>10.078518614809106</v>
      </c>
      <c r="BL40">
        <f t="shared" si="38"/>
        <v>0.44383915165683857</v>
      </c>
      <c r="BM40">
        <f t="shared" si="39"/>
        <v>-2.1431075292561452</v>
      </c>
      <c r="BN40">
        <f t="shared" si="40"/>
        <v>0.56077412130670035</v>
      </c>
      <c r="BO40">
        <f t="shared" si="41"/>
        <v>0.43922587869329965</v>
      </c>
      <c r="BP40">
        <v>9101</v>
      </c>
      <c r="BQ40">
        <v>290.00000000000011</v>
      </c>
      <c r="BR40">
        <v>953.58</v>
      </c>
      <c r="BS40">
        <v>295</v>
      </c>
      <c r="BT40">
        <v>8086.57</v>
      </c>
      <c r="BU40">
        <v>955.19</v>
      </c>
      <c r="BV40">
        <v>-1.61</v>
      </c>
      <c r="BW40">
        <v>300.00000000000011</v>
      </c>
      <c r="BX40">
        <v>19.2</v>
      </c>
      <c r="BY40">
        <v>1090.369265157057</v>
      </c>
      <c r="BZ40">
        <v>4.1558124182829213</v>
      </c>
      <c r="CA40">
        <v>-109.30989413525251</v>
      </c>
      <c r="CB40">
        <v>3.087962553137042</v>
      </c>
      <c r="CC40">
        <v>0.97814324942420239</v>
      </c>
      <c r="CD40">
        <v>-4.1665759733036621E-3</v>
      </c>
      <c r="CE40">
        <v>289.99999999999989</v>
      </c>
      <c r="CF40">
        <v>948.75</v>
      </c>
      <c r="CG40">
        <v>635</v>
      </c>
      <c r="CH40">
        <v>8079.83</v>
      </c>
      <c r="CI40">
        <v>955.08</v>
      </c>
      <c r="CJ40">
        <v>-6.33</v>
      </c>
      <c r="CX40">
        <f t="shared" si="42"/>
        <v>1799.93</v>
      </c>
      <c r="CY40">
        <f t="shared" si="43"/>
        <v>1513.1255994604192</v>
      </c>
      <c r="CZ40">
        <f t="shared" si="44"/>
        <v>0.84065802529010525</v>
      </c>
      <c r="DA40">
        <f t="shared" si="45"/>
        <v>0.16086998880990325</v>
      </c>
      <c r="DB40">
        <v>6</v>
      </c>
      <c r="DC40">
        <v>0.5</v>
      </c>
      <c r="DD40" t="s">
        <v>421</v>
      </c>
      <c r="DE40">
        <v>2</v>
      </c>
      <c r="DF40">
        <v>1689003192</v>
      </c>
      <c r="DG40">
        <v>330.13499999999999</v>
      </c>
      <c r="DH40">
        <v>400.267</v>
      </c>
      <c r="DI40">
        <v>29.382100000000001</v>
      </c>
      <c r="DJ40">
        <v>21.196999999999999</v>
      </c>
      <c r="DK40">
        <v>331.48200000000003</v>
      </c>
      <c r="DL40">
        <v>29.355599999999999</v>
      </c>
      <c r="DM40">
        <v>500.221</v>
      </c>
      <c r="DN40">
        <v>99.176900000000003</v>
      </c>
      <c r="DO40">
        <v>0.100136</v>
      </c>
      <c r="DP40">
        <v>30.764800000000001</v>
      </c>
      <c r="DQ40">
        <v>30.053899999999999</v>
      </c>
      <c r="DR40">
        <v>999.9</v>
      </c>
      <c r="DS40">
        <v>0</v>
      </c>
      <c r="DT40">
        <v>0</v>
      </c>
      <c r="DU40">
        <v>10013.799999999999</v>
      </c>
      <c r="DV40">
        <v>0</v>
      </c>
      <c r="DW40">
        <v>1932.03</v>
      </c>
      <c r="DX40">
        <v>-70.131600000000006</v>
      </c>
      <c r="DY40">
        <v>340.12900000000002</v>
      </c>
      <c r="DZ40">
        <v>408.935</v>
      </c>
      <c r="EA40">
        <v>8.1851400000000005</v>
      </c>
      <c r="EB40">
        <v>400.267</v>
      </c>
      <c r="EC40">
        <v>21.196999999999999</v>
      </c>
      <c r="ED40">
        <v>2.9140299999999999</v>
      </c>
      <c r="EE40">
        <v>2.1022500000000002</v>
      </c>
      <c r="EF40">
        <v>23.544599999999999</v>
      </c>
      <c r="EG40">
        <v>18.2362</v>
      </c>
      <c r="EH40">
        <v>1799.93</v>
      </c>
      <c r="EI40">
        <v>0.97800600000000004</v>
      </c>
      <c r="EJ40">
        <v>2.1993599999999999E-2</v>
      </c>
      <c r="EK40">
        <v>0</v>
      </c>
      <c r="EL40">
        <v>688.49400000000003</v>
      </c>
      <c r="EM40">
        <v>5.00082</v>
      </c>
      <c r="EN40">
        <v>15452.7</v>
      </c>
      <c r="EO40">
        <v>14129.3</v>
      </c>
      <c r="EP40">
        <v>48.936999999999998</v>
      </c>
      <c r="EQ40">
        <v>50.375</v>
      </c>
      <c r="ER40">
        <v>49.811999999999998</v>
      </c>
      <c r="ES40">
        <v>49.811999999999998</v>
      </c>
      <c r="ET40">
        <v>50.311999999999998</v>
      </c>
      <c r="EU40">
        <v>1755.45</v>
      </c>
      <c r="EV40">
        <v>39.479999999999997</v>
      </c>
      <c r="EW40">
        <v>0</v>
      </c>
      <c r="EX40">
        <v>108.80000019073491</v>
      </c>
      <c r="EY40">
        <v>0</v>
      </c>
      <c r="EZ40">
        <v>688.53804000000002</v>
      </c>
      <c r="FA40">
        <v>3.893538456509849</v>
      </c>
      <c r="FB40">
        <v>134.36923045941839</v>
      </c>
      <c r="FC40">
        <v>15444.064</v>
      </c>
      <c r="FD40">
        <v>15</v>
      </c>
      <c r="FE40">
        <v>1689003160.5</v>
      </c>
      <c r="FF40" t="s">
        <v>545</v>
      </c>
      <c r="FG40">
        <v>1689003151</v>
      </c>
      <c r="FH40">
        <v>1689003160.5</v>
      </c>
      <c r="FI40">
        <v>27</v>
      </c>
      <c r="FJ40">
        <v>-0.13800000000000001</v>
      </c>
      <c r="FK40">
        <v>8.9999999999999993E-3</v>
      </c>
      <c r="FL40">
        <v>-1.4159999999999999</v>
      </c>
      <c r="FM40">
        <v>2.7E-2</v>
      </c>
      <c r="FN40">
        <v>400</v>
      </c>
      <c r="FO40">
        <v>21</v>
      </c>
      <c r="FP40">
        <v>0.05</v>
      </c>
      <c r="FQ40">
        <v>0.01</v>
      </c>
      <c r="FR40">
        <v>56.007727996783451</v>
      </c>
      <c r="FS40">
        <v>0.44407501469445759</v>
      </c>
      <c r="FT40">
        <v>4.9786454709380562E-2</v>
      </c>
      <c r="FU40">
        <v>1</v>
      </c>
      <c r="FV40">
        <v>0.55278181816506167</v>
      </c>
      <c r="FW40">
        <v>3.1991254571740672E-2</v>
      </c>
      <c r="FX40">
        <v>4.7407435044877497E-3</v>
      </c>
      <c r="FY40">
        <v>1</v>
      </c>
      <c r="FZ40">
        <v>2</v>
      </c>
      <c r="GA40">
        <v>2</v>
      </c>
      <c r="GB40" t="s">
        <v>423</v>
      </c>
      <c r="GC40">
        <v>2.94611</v>
      </c>
      <c r="GD40">
        <v>2.70892</v>
      </c>
      <c r="GE40">
        <v>7.6028200000000004E-2</v>
      </c>
      <c r="GF40">
        <v>8.8261599999999996E-2</v>
      </c>
      <c r="GG40">
        <v>0.130747</v>
      </c>
      <c r="GH40">
        <v>0.10417800000000001</v>
      </c>
      <c r="GI40">
        <v>30506.7</v>
      </c>
      <c r="GJ40">
        <v>29333.200000000001</v>
      </c>
      <c r="GK40">
        <v>34008.6</v>
      </c>
      <c r="GL40">
        <v>32205.5</v>
      </c>
      <c r="GM40">
        <v>42642.2</v>
      </c>
      <c r="GN40">
        <v>41041.9</v>
      </c>
      <c r="GO40">
        <v>49223.6</v>
      </c>
      <c r="GP40">
        <v>45583.7</v>
      </c>
      <c r="GQ40">
        <v>2.0019499999999999</v>
      </c>
      <c r="GR40">
        <v>1.8178700000000001</v>
      </c>
      <c r="GS40">
        <v>5.3480300000000001E-2</v>
      </c>
      <c r="GT40">
        <v>0</v>
      </c>
      <c r="GU40">
        <v>29.183</v>
      </c>
      <c r="GV40">
        <v>999.9</v>
      </c>
      <c r="GW40">
        <v>37.9</v>
      </c>
      <c r="GX40">
        <v>39.9</v>
      </c>
      <c r="GY40">
        <v>28.1798</v>
      </c>
      <c r="GZ40">
        <v>60.018599999999999</v>
      </c>
      <c r="HA40">
        <v>25.821300000000001</v>
      </c>
      <c r="HB40">
        <v>1</v>
      </c>
      <c r="HC40">
        <v>0.30501499999999998</v>
      </c>
      <c r="HD40">
        <v>1.71872</v>
      </c>
      <c r="HE40">
        <v>20.218499999999999</v>
      </c>
      <c r="HF40">
        <v>5.2707499999999996</v>
      </c>
      <c r="HG40">
        <v>12.039899999999999</v>
      </c>
      <c r="HH40">
        <v>4.9665499999999998</v>
      </c>
      <c r="HI40">
        <v>3.3010000000000002</v>
      </c>
      <c r="HJ40">
        <v>9999</v>
      </c>
      <c r="HK40">
        <v>9999</v>
      </c>
      <c r="HL40">
        <v>9999</v>
      </c>
      <c r="HM40">
        <v>999.9</v>
      </c>
      <c r="HN40">
        <v>1.8684400000000001</v>
      </c>
      <c r="HO40">
        <v>1.8721000000000001</v>
      </c>
      <c r="HP40">
        <v>1.87191</v>
      </c>
      <c r="HQ40">
        <v>1.8714</v>
      </c>
      <c r="HR40">
        <v>1.8646199999999999</v>
      </c>
      <c r="HS40">
        <v>1.86582</v>
      </c>
      <c r="HT40">
        <v>1.8678399999999999</v>
      </c>
      <c r="HU40">
        <v>1.8724099999999999</v>
      </c>
      <c r="HV40">
        <v>0</v>
      </c>
      <c r="HW40">
        <v>0</v>
      </c>
      <c r="HX40">
        <v>0</v>
      </c>
      <c r="HY40">
        <v>0</v>
      </c>
      <c r="HZ40" t="s">
        <v>424</v>
      </c>
      <c r="IA40" t="s">
        <v>425</v>
      </c>
      <c r="IB40" t="s">
        <v>426</v>
      </c>
      <c r="IC40" t="s">
        <v>426</v>
      </c>
      <c r="ID40" t="s">
        <v>426</v>
      </c>
      <c r="IE40" t="s">
        <v>426</v>
      </c>
      <c r="IF40">
        <v>0</v>
      </c>
      <c r="IG40">
        <v>100</v>
      </c>
      <c r="IH40">
        <v>100</v>
      </c>
      <c r="II40">
        <v>-1.347</v>
      </c>
      <c r="IJ40">
        <v>2.6499999999999999E-2</v>
      </c>
      <c r="IK40">
        <v>-0.98823782576762453</v>
      </c>
      <c r="IL40">
        <v>-1.171017271736434E-3</v>
      </c>
      <c r="IM40">
        <v>2.801297040296544E-7</v>
      </c>
      <c r="IN40">
        <v>-3.6238253961199429E-11</v>
      </c>
      <c r="IO40">
        <v>2.6533333333336628E-2</v>
      </c>
      <c r="IP40">
        <v>0</v>
      </c>
      <c r="IQ40">
        <v>0</v>
      </c>
      <c r="IR40">
        <v>0</v>
      </c>
      <c r="IS40">
        <v>0</v>
      </c>
      <c r="IT40">
        <v>2161</v>
      </c>
      <c r="IU40">
        <v>1</v>
      </c>
      <c r="IV40">
        <v>19</v>
      </c>
      <c r="IW40">
        <v>0.7</v>
      </c>
      <c r="IX40">
        <v>0.5</v>
      </c>
      <c r="IY40">
        <v>1.03149</v>
      </c>
      <c r="IZ40">
        <v>2.5</v>
      </c>
      <c r="JA40">
        <v>1.4440900000000001</v>
      </c>
      <c r="JB40">
        <v>2.2851599999999999</v>
      </c>
      <c r="JC40">
        <v>1.54419</v>
      </c>
      <c r="JD40">
        <v>2.4304199999999998</v>
      </c>
      <c r="JE40">
        <v>43.974299999999999</v>
      </c>
      <c r="JF40">
        <v>24.227599999999999</v>
      </c>
      <c r="JG40">
        <v>18</v>
      </c>
      <c r="JH40">
        <v>510.846</v>
      </c>
      <c r="JI40">
        <v>431.50799999999998</v>
      </c>
      <c r="JJ40">
        <v>27.4773</v>
      </c>
      <c r="JK40">
        <v>31.1797</v>
      </c>
      <c r="JL40">
        <v>30.0001</v>
      </c>
      <c r="JM40">
        <v>30.958100000000002</v>
      </c>
      <c r="JN40">
        <v>30.8995</v>
      </c>
      <c r="JO40">
        <v>20.7743</v>
      </c>
      <c r="JP40">
        <v>28.809200000000001</v>
      </c>
      <c r="JQ40">
        <v>0</v>
      </c>
      <c r="JR40">
        <v>27.4876</v>
      </c>
      <c r="JS40">
        <v>400</v>
      </c>
      <c r="JT40">
        <v>21.086099999999998</v>
      </c>
      <c r="JU40">
        <v>99.787800000000004</v>
      </c>
      <c r="JV40">
        <v>99.277100000000004</v>
      </c>
    </row>
    <row r="41" spans="1:282" x14ac:dyDescent="0.25">
      <c r="A41">
        <v>25</v>
      </c>
      <c r="B41">
        <v>1689003298.5</v>
      </c>
      <c r="C41">
        <v>4121.5</v>
      </c>
      <c r="D41" t="s">
        <v>546</v>
      </c>
      <c r="E41" t="s">
        <v>547</v>
      </c>
      <c r="F41" t="s">
        <v>414</v>
      </c>
      <c r="G41" t="s">
        <v>415</v>
      </c>
      <c r="H41" t="s">
        <v>500</v>
      </c>
      <c r="I41" t="s">
        <v>416</v>
      </c>
      <c r="J41" t="s">
        <v>501</v>
      </c>
      <c r="K41">
        <v>1689003298.5</v>
      </c>
      <c r="L41">
        <f t="shared" si="0"/>
        <v>6.8715097954870534E-3</v>
      </c>
      <c r="M41">
        <f t="shared" si="1"/>
        <v>6.8715097954870537</v>
      </c>
      <c r="N41">
        <f t="shared" si="2"/>
        <v>56.454135693506409</v>
      </c>
      <c r="O41">
        <f t="shared" si="3"/>
        <v>329.709</v>
      </c>
      <c r="P41">
        <f t="shared" si="4"/>
        <v>141.27088516051933</v>
      </c>
      <c r="Q41">
        <f t="shared" si="5"/>
        <v>14.02507017014592</v>
      </c>
      <c r="R41">
        <f t="shared" si="6"/>
        <v>32.732801634777005</v>
      </c>
      <c r="S41">
        <f t="shared" si="7"/>
        <v>0.53598254907111398</v>
      </c>
      <c r="T41">
        <f t="shared" si="8"/>
        <v>2.9113656002179744</v>
      </c>
      <c r="U41">
        <f t="shared" si="9"/>
        <v>0.48659145350367577</v>
      </c>
      <c r="V41">
        <f t="shared" si="10"/>
        <v>0.30817707548259921</v>
      </c>
      <c r="W41">
        <f t="shared" si="11"/>
        <v>289.53978865619183</v>
      </c>
      <c r="X41">
        <f t="shared" si="12"/>
        <v>30.606067597273643</v>
      </c>
      <c r="Y41">
        <f t="shared" si="13"/>
        <v>29.958600000000001</v>
      </c>
      <c r="Z41">
        <f t="shared" si="14"/>
        <v>4.2503289912453885</v>
      </c>
      <c r="AA41">
        <f t="shared" si="15"/>
        <v>65.418555333480469</v>
      </c>
      <c r="AB41">
        <f t="shared" si="16"/>
        <v>2.8988338853175999</v>
      </c>
      <c r="AC41">
        <f t="shared" si="17"/>
        <v>4.4312104884315753</v>
      </c>
      <c r="AD41">
        <f t="shared" si="18"/>
        <v>1.3514951059277887</v>
      </c>
      <c r="AE41">
        <f t="shared" si="19"/>
        <v>-303.03358198097908</v>
      </c>
      <c r="AF41">
        <f t="shared" si="20"/>
        <v>114.15522047038932</v>
      </c>
      <c r="AG41">
        <f t="shared" si="21"/>
        <v>8.7462859004318005</v>
      </c>
      <c r="AH41">
        <f t="shared" si="22"/>
        <v>109.40771304603389</v>
      </c>
      <c r="AI41">
        <v>0</v>
      </c>
      <c r="AJ41">
        <v>0</v>
      </c>
      <c r="AK41">
        <f t="shared" si="23"/>
        <v>1</v>
      </c>
      <c r="AL41">
        <f t="shared" si="24"/>
        <v>0</v>
      </c>
      <c r="AM41">
        <f t="shared" si="25"/>
        <v>51700.289875648239</v>
      </c>
      <c r="AN41" t="s">
        <v>418</v>
      </c>
      <c r="AO41">
        <v>10076.700000000001</v>
      </c>
      <c r="AP41">
        <v>185.01599999999999</v>
      </c>
      <c r="AQ41">
        <v>473.06</v>
      </c>
      <c r="AR41">
        <f t="shared" si="26"/>
        <v>0.60889527755464423</v>
      </c>
      <c r="AS41">
        <v>-1.4827006201179751</v>
      </c>
      <c r="AT41" t="s">
        <v>548</v>
      </c>
      <c r="AU41">
        <v>8086.13</v>
      </c>
      <c r="AV41">
        <v>691.89488461538463</v>
      </c>
      <c r="AW41">
        <v>1101.772570608995</v>
      </c>
      <c r="AX41">
        <f t="shared" si="27"/>
        <v>0.37201660027445971</v>
      </c>
      <c r="AY41">
        <v>0.5</v>
      </c>
      <c r="AZ41">
        <f t="shared" si="28"/>
        <v>1513.0497060394775</v>
      </c>
      <c r="BA41">
        <f t="shared" si="29"/>
        <v>56.454135693506409</v>
      </c>
      <c r="BB41">
        <f t="shared" si="30"/>
        <v>281.43980384353853</v>
      </c>
      <c r="BC41">
        <f t="shared" si="31"/>
        <v>3.8291429608930991E-2</v>
      </c>
      <c r="BD41">
        <f t="shared" si="32"/>
        <v>-0.57063734148099166</v>
      </c>
      <c r="BE41">
        <f t="shared" si="33"/>
        <v>238.17068571594842</v>
      </c>
      <c r="BF41" t="s">
        <v>549</v>
      </c>
      <c r="BG41">
        <v>537.01</v>
      </c>
      <c r="BH41">
        <f t="shared" si="34"/>
        <v>537.01</v>
      </c>
      <c r="BI41">
        <f t="shared" si="35"/>
        <v>0.51259450967891451</v>
      </c>
      <c r="BJ41">
        <f t="shared" si="36"/>
        <v>0.7257522139819409</v>
      </c>
      <c r="BK41">
        <f t="shared" si="37"/>
        <v>9.8313146303204881</v>
      </c>
      <c r="BL41">
        <f t="shared" si="38"/>
        <v>0.44709544401883206</v>
      </c>
      <c r="BM41">
        <f t="shared" si="39"/>
        <v>-2.182696291570021</v>
      </c>
      <c r="BN41">
        <f t="shared" si="40"/>
        <v>0.56328815994512138</v>
      </c>
      <c r="BO41">
        <f t="shared" si="41"/>
        <v>0.43671184005487862</v>
      </c>
      <c r="BP41">
        <v>9103</v>
      </c>
      <c r="BQ41">
        <v>290.00000000000011</v>
      </c>
      <c r="BR41">
        <v>965.24</v>
      </c>
      <c r="BS41">
        <v>285</v>
      </c>
      <c r="BT41">
        <v>8086.13</v>
      </c>
      <c r="BU41">
        <v>967.83</v>
      </c>
      <c r="BV41">
        <v>-2.59</v>
      </c>
      <c r="BW41">
        <v>300.00000000000011</v>
      </c>
      <c r="BX41">
        <v>19.2</v>
      </c>
      <c r="BY41">
        <v>1101.772570608995</v>
      </c>
      <c r="BZ41">
        <v>3.7946594993162739</v>
      </c>
      <c r="CA41">
        <v>-108.3057174826111</v>
      </c>
      <c r="CB41">
        <v>2.819456430778509</v>
      </c>
      <c r="CC41">
        <v>0.98137816684155232</v>
      </c>
      <c r="CD41">
        <v>-4.1663016685205834E-3</v>
      </c>
      <c r="CE41">
        <v>289.99999999999989</v>
      </c>
      <c r="CF41">
        <v>961.73</v>
      </c>
      <c r="CG41">
        <v>655</v>
      </c>
      <c r="CH41">
        <v>8078.83</v>
      </c>
      <c r="CI41">
        <v>967.71</v>
      </c>
      <c r="CJ41">
        <v>-5.98</v>
      </c>
      <c r="CX41">
        <f t="shared" si="42"/>
        <v>1799.84</v>
      </c>
      <c r="CY41">
        <f t="shared" si="43"/>
        <v>1513.0497060394775</v>
      </c>
      <c r="CZ41">
        <f t="shared" si="44"/>
        <v>0.84065789516816913</v>
      </c>
      <c r="DA41">
        <f t="shared" si="45"/>
        <v>0.16086973767456655</v>
      </c>
      <c r="DB41">
        <v>6</v>
      </c>
      <c r="DC41">
        <v>0.5</v>
      </c>
      <c r="DD41" t="s">
        <v>421</v>
      </c>
      <c r="DE41">
        <v>2</v>
      </c>
      <c r="DF41">
        <v>1689003298.5</v>
      </c>
      <c r="DG41">
        <v>329.709</v>
      </c>
      <c r="DH41">
        <v>400.16</v>
      </c>
      <c r="DI41">
        <v>29.199200000000001</v>
      </c>
      <c r="DJ41">
        <v>21.195599999999999</v>
      </c>
      <c r="DK41">
        <v>330.99</v>
      </c>
      <c r="DL41">
        <v>29.177700000000002</v>
      </c>
      <c r="DM41">
        <v>500.09</v>
      </c>
      <c r="DN41">
        <v>99.177800000000005</v>
      </c>
      <c r="DO41">
        <v>0.100053</v>
      </c>
      <c r="DP41">
        <v>30.6859</v>
      </c>
      <c r="DQ41">
        <v>29.958600000000001</v>
      </c>
      <c r="DR41">
        <v>999.9</v>
      </c>
      <c r="DS41">
        <v>0</v>
      </c>
      <c r="DT41">
        <v>0</v>
      </c>
      <c r="DU41">
        <v>9978.75</v>
      </c>
      <c r="DV41">
        <v>0</v>
      </c>
      <c r="DW41">
        <v>2000.34</v>
      </c>
      <c r="DX41">
        <v>-70.450699999999998</v>
      </c>
      <c r="DY41">
        <v>339.62599999999998</v>
      </c>
      <c r="DZ41">
        <v>408.82499999999999</v>
      </c>
      <c r="EA41">
        <v>8.0036299999999994</v>
      </c>
      <c r="EB41">
        <v>400.16</v>
      </c>
      <c r="EC41">
        <v>21.195599999999999</v>
      </c>
      <c r="ED41">
        <v>2.8959199999999998</v>
      </c>
      <c r="EE41">
        <v>2.1021299999999998</v>
      </c>
      <c r="EF41">
        <v>23.441299999999998</v>
      </c>
      <c r="EG41">
        <v>18.235399999999998</v>
      </c>
      <c r="EH41">
        <v>1799.84</v>
      </c>
      <c r="EI41">
        <v>0.97800600000000004</v>
      </c>
      <c r="EJ41">
        <v>2.1993599999999999E-2</v>
      </c>
      <c r="EK41">
        <v>0</v>
      </c>
      <c r="EL41">
        <v>692.30700000000002</v>
      </c>
      <c r="EM41">
        <v>5.00082</v>
      </c>
      <c r="EN41">
        <v>15597.7</v>
      </c>
      <c r="EO41">
        <v>14128.5</v>
      </c>
      <c r="EP41">
        <v>49.125</v>
      </c>
      <c r="EQ41">
        <v>50.5</v>
      </c>
      <c r="ER41">
        <v>49.936999999999998</v>
      </c>
      <c r="ES41">
        <v>50</v>
      </c>
      <c r="ET41">
        <v>50.375</v>
      </c>
      <c r="EU41">
        <v>1755.36</v>
      </c>
      <c r="EV41">
        <v>39.47</v>
      </c>
      <c r="EW41">
        <v>0</v>
      </c>
      <c r="EX41">
        <v>104.4000000953674</v>
      </c>
      <c r="EY41">
        <v>0</v>
      </c>
      <c r="EZ41">
        <v>691.89488461538463</v>
      </c>
      <c r="FA41">
        <v>0.75121368364531327</v>
      </c>
      <c r="FB41">
        <v>-5.0632476858738</v>
      </c>
      <c r="FC41">
        <v>15590.32692307692</v>
      </c>
      <c r="FD41">
        <v>15</v>
      </c>
      <c r="FE41">
        <v>1689003267.5</v>
      </c>
      <c r="FF41" t="s">
        <v>550</v>
      </c>
      <c r="FG41">
        <v>1689003255</v>
      </c>
      <c r="FH41">
        <v>1689003267.5</v>
      </c>
      <c r="FI41">
        <v>28</v>
      </c>
      <c r="FJ41">
        <v>6.5000000000000002E-2</v>
      </c>
      <c r="FK41">
        <v>-5.0000000000000001E-3</v>
      </c>
      <c r="FL41">
        <v>-1.35</v>
      </c>
      <c r="FM41">
        <v>2.1999999999999999E-2</v>
      </c>
      <c r="FN41">
        <v>400</v>
      </c>
      <c r="FO41">
        <v>21</v>
      </c>
      <c r="FP41">
        <v>0.03</v>
      </c>
      <c r="FQ41">
        <v>0.01</v>
      </c>
      <c r="FR41">
        <v>56.476647061504593</v>
      </c>
      <c r="FS41">
        <v>-0.56872580604995315</v>
      </c>
      <c r="FT41">
        <v>8.2601082957713498E-2</v>
      </c>
      <c r="FU41">
        <v>1</v>
      </c>
      <c r="FV41">
        <v>0.53156120709764909</v>
      </c>
      <c r="FW41">
        <v>4.8797610037874681E-2</v>
      </c>
      <c r="FX41">
        <v>4.0670325250497744E-3</v>
      </c>
      <c r="FY41">
        <v>1</v>
      </c>
      <c r="FZ41">
        <v>2</v>
      </c>
      <c r="GA41">
        <v>2</v>
      </c>
      <c r="GB41" t="s">
        <v>423</v>
      </c>
      <c r="GC41">
        <v>2.9457399999999998</v>
      </c>
      <c r="GD41">
        <v>2.7085300000000001</v>
      </c>
      <c r="GE41">
        <v>7.59267E-2</v>
      </c>
      <c r="GF41">
        <v>8.8232699999999997E-2</v>
      </c>
      <c r="GG41">
        <v>0.130186</v>
      </c>
      <c r="GH41">
        <v>0.104162</v>
      </c>
      <c r="GI41">
        <v>30505.1</v>
      </c>
      <c r="GJ41">
        <v>29330</v>
      </c>
      <c r="GK41">
        <v>34003.5</v>
      </c>
      <c r="GL41">
        <v>32201.200000000001</v>
      </c>
      <c r="GM41">
        <v>42664.4</v>
      </c>
      <c r="GN41">
        <v>41037.800000000003</v>
      </c>
      <c r="GO41">
        <v>49217</v>
      </c>
      <c r="GP41">
        <v>45578.2</v>
      </c>
      <c r="GQ41">
        <v>2.00102</v>
      </c>
      <c r="GR41">
        <v>1.8168200000000001</v>
      </c>
      <c r="GS41">
        <v>5.4486100000000003E-2</v>
      </c>
      <c r="GT41">
        <v>0</v>
      </c>
      <c r="GU41">
        <v>29.071200000000001</v>
      </c>
      <c r="GV41">
        <v>999.9</v>
      </c>
      <c r="GW41">
        <v>37.799999999999997</v>
      </c>
      <c r="GX41">
        <v>39.9</v>
      </c>
      <c r="GY41">
        <v>28.1037</v>
      </c>
      <c r="GZ41">
        <v>59.9786</v>
      </c>
      <c r="HA41">
        <v>26.245999999999999</v>
      </c>
      <c r="HB41">
        <v>1</v>
      </c>
      <c r="HC41">
        <v>0.30929400000000001</v>
      </c>
      <c r="HD41">
        <v>1.14794</v>
      </c>
      <c r="HE41">
        <v>20.223199999999999</v>
      </c>
      <c r="HF41">
        <v>5.2694000000000001</v>
      </c>
      <c r="HG41">
        <v>12.039899999999999</v>
      </c>
      <c r="HH41">
        <v>4.9672499999999999</v>
      </c>
      <c r="HI41">
        <v>3.3010000000000002</v>
      </c>
      <c r="HJ41">
        <v>9999</v>
      </c>
      <c r="HK41">
        <v>9999</v>
      </c>
      <c r="HL41">
        <v>9999</v>
      </c>
      <c r="HM41">
        <v>999.9</v>
      </c>
      <c r="HN41">
        <v>1.86843</v>
      </c>
      <c r="HO41">
        <v>1.8721000000000001</v>
      </c>
      <c r="HP41">
        <v>1.8718999999999999</v>
      </c>
      <c r="HQ41">
        <v>1.87141</v>
      </c>
      <c r="HR41">
        <v>1.8646199999999999</v>
      </c>
      <c r="HS41">
        <v>1.86582</v>
      </c>
      <c r="HT41">
        <v>1.8678399999999999</v>
      </c>
      <c r="HU41">
        <v>1.87239</v>
      </c>
      <c r="HV41">
        <v>0</v>
      </c>
      <c r="HW41">
        <v>0</v>
      </c>
      <c r="HX41">
        <v>0</v>
      </c>
      <c r="HY41">
        <v>0</v>
      </c>
      <c r="HZ41" t="s">
        <v>424</v>
      </c>
      <c r="IA41" t="s">
        <v>425</v>
      </c>
      <c r="IB41" t="s">
        <v>426</v>
      </c>
      <c r="IC41" t="s">
        <v>426</v>
      </c>
      <c r="ID41" t="s">
        <v>426</v>
      </c>
      <c r="IE41" t="s">
        <v>426</v>
      </c>
      <c r="IF41">
        <v>0</v>
      </c>
      <c r="IG41">
        <v>100</v>
      </c>
      <c r="IH41">
        <v>100</v>
      </c>
      <c r="II41">
        <v>-1.2809999999999999</v>
      </c>
      <c r="IJ41">
        <v>2.1499999999999998E-2</v>
      </c>
      <c r="IK41">
        <v>-0.92293172988558836</v>
      </c>
      <c r="IL41">
        <v>-1.171017271736434E-3</v>
      </c>
      <c r="IM41">
        <v>2.801297040296544E-7</v>
      </c>
      <c r="IN41">
        <v>-3.6238253961199429E-11</v>
      </c>
      <c r="IO41">
        <v>2.156499999999539E-2</v>
      </c>
      <c r="IP41">
        <v>0</v>
      </c>
      <c r="IQ41">
        <v>0</v>
      </c>
      <c r="IR41">
        <v>0</v>
      </c>
      <c r="IS41">
        <v>0</v>
      </c>
      <c r="IT41">
        <v>2161</v>
      </c>
      <c r="IU41">
        <v>1</v>
      </c>
      <c r="IV41">
        <v>19</v>
      </c>
      <c r="IW41">
        <v>0.7</v>
      </c>
      <c r="IX41">
        <v>0.5</v>
      </c>
      <c r="IY41">
        <v>1.03149</v>
      </c>
      <c r="IZ41">
        <v>2.5134300000000001</v>
      </c>
      <c r="JA41">
        <v>1.4440900000000001</v>
      </c>
      <c r="JB41">
        <v>2.2851599999999999</v>
      </c>
      <c r="JC41">
        <v>1.54419</v>
      </c>
      <c r="JD41">
        <v>2.2546400000000002</v>
      </c>
      <c r="JE41">
        <v>44.001899999999999</v>
      </c>
      <c r="JF41">
        <v>24.218800000000002</v>
      </c>
      <c r="JG41">
        <v>18</v>
      </c>
      <c r="JH41">
        <v>510.69200000000001</v>
      </c>
      <c r="JI41">
        <v>431.23500000000001</v>
      </c>
      <c r="JJ41">
        <v>27.978100000000001</v>
      </c>
      <c r="JK41">
        <v>31.238499999999998</v>
      </c>
      <c r="JL41">
        <v>30.0002</v>
      </c>
      <c r="JM41">
        <v>31.0124</v>
      </c>
      <c r="JN41">
        <v>30.951499999999999</v>
      </c>
      <c r="JO41">
        <v>20.779499999999999</v>
      </c>
      <c r="JP41">
        <v>29.097000000000001</v>
      </c>
      <c r="JQ41">
        <v>0</v>
      </c>
      <c r="JR41">
        <v>27.980599999999999</v>
      </c>
      <c r="JS41">
        <v>400</v>
      </c>
      <c r="JT41">
        <v>21.086500000000001</v>
      </c>
      <c r="JU41">
        <v>99.773899999999998</v>
      </c>
      <c r="JV41">
        <v>99.264700000000005</v>
      </c>
    </row>
    <row r="42" spans="1:282" x14ac:dyDescent="0.25">
      <c r="A42">
        <v>26</v>
      </c>
      <c r="B42">
        <v>1689003415.5</v>
      </c>
      <c r="C42">
        <v>4238.5</v>
      </c>
      <c r="D42" t="s">
        <v>551</v>
      </c>
      <c r="E42" t="s">
        <v>552</v>
      </c>
      <c r="F42" t="s">
        <v>414</v>
      </c>
      <c r="G42" t="s">
        <v>415</v>
      </c>
      <c r="H42" t="s">
        <v>500</v>
      </c>
      <c r="I42" t="s">
        <v>416</v>
      </c>
      <c r="J42" t="s">
        <v>501</v>
      </c>
      <c r="K42">
        <v>1689003415.5</v>
      </c>
      <c r="L42">
        <f t="shared" si="0"/>
        <v>6.5761284084473771E-3</v>
      </c>
      <c r="M42">
        <f t="shared" si="1"/>
        <v>6.576128408447377</v>
      </c>
      <c r="N42">
        <f t="shared" si="2"/>
        <v>59.30671868453981</v>
      </c>
      <c r="O42">
        <f t="shared" si="3"/>
        <v>425.62200000000001</v>
      </c>
      <c r="P42">
        <f t="shared" si="4"/>
        <v>213.95710982805059</v>
      </c>
      <c r="Q42">
        <f t="shared" si="5"/>
        <v>21.241031760040418</v>
      </c>
      <c r="R42">
        <f t="shared" si="6"/>
        <v>42.254498703209997</v>
      </c>
      <c r="S42">
        <f t="shared" si="7"/>
        <v>0.50202032657121942</v>
      </c>
      <c r="T42">
        <f t="shared" si="8"/>
        <v>2.9133165108611516</v>
      </c>
      <c r="U42">
        <f t="shared" si="9"/>
        <v>0.45844434150287389</v>
      </c>
      <c r="V42">
        <f t="shared" si="10"/>
        <v>0.2901269823797773</v>
      </c>
      <c r="W42">
        <f t="shared" si="11"/>
        <v>289.56864495812795</v>
      </c>
      <c r="X42">
        <f t="shared" si="12"/>
        <v>30.796006855123853</v>
      </c>
      <c r="Y42">
        <f t="shared" si="13"/>
        <v>30.0959</v>
      </c>
      <c r="Z42">
        <f t="shared" si="14"/>
        <v>4.2839745149496826</v>
      </c>
      <c r="AA42">
        <f t="shared" si="15"/>
        <v>65.282924932984599</v>
      </c>
      <c r="AB42">
        <f t="shared" si="16"/>
        <v>2.9115081196904997</v>
      </c>
      <c r="AC42">
        <f t="shared" si="17"/>
        <v>4.4598309936009661</v>
      </c>
      <c r="AD42">
        <f t="shared" si="18"/>
        <v>1.3724663952591829</v>
      </c>
      <c r="AE42">
        <f t="shared" si="19"/>
        <v>-290.00726281252935</v>
      </c>
      <c r="AF42">
        <f t="shared" si="20"/>
        <v>110.3679731567631</v>
      </c>
      <c r="AG42">
        <f t="shared" si="21"/>
        <v>8.4609047328349796</v>
      </c>
      <c r="AH42">
        <f t="shared" si="22"/>
        <v>118.39026003519669</v>
      </c>
      <c r="AI42">
        <v>0</v>
      </c>
      <c r="AJ42">
        <v>0</v>
      </c>
      <c r="AK42">
        <f t="shared" si="23"/>
        <v>1</v>
      </c>
      <c r="AL42">
        <f t="shared" si="24"/>
        <v>0</v>
      </c>
      <c r="AM42">
        <f t="shared" si="25"/>
        <v>51736.441101418714</v>
      </c>
      <c r="AN42" t="s">
        <v>418</v>
      </c>
      <c r="AO42">
        <v>10076.700000000001</v>
      </c>
      <c r="AP42">
        <v>185.01599999999999</v>
      </c>
      <c r="AQ42">
        <v>473.06</v>
      </c>
      <c r="AR42">
        <f t="shared" si="26"/>
        <v>0.60889527755464423</v>
      </c>
      <c r="AS42">
        <v>-1.4827006201179751</v>
      </c>
      <c r="AT42" t="s">
        <v>553</v>
      </c>
      <c r="AU42">
        <v>8085.38</v>
      </c>
      <c r="AV42">
        <v>702.0802692307692</v>
      </c>
      <c r="AW42">
        <v>1144.8119860535689</v>
      </c>
      <c r="AX42">
        <f t="shared" si="27"/>
        <v>0.38672875739971779</v>
      </c>
      <c r="AY42">
        <v>0.5</v>
      </c>
      <c r="AZ42">
        <f t="shared" si="28"/>
        <v>1513.19339946017</v>
      </c>
      <c r="BA42">
        <f t="shared" si="29"/>
        <v>59.30671868453981</v>
      </c>
      <c r="BB42">
        <f t="shared" si="30"/>
        <v>292.59770153934318</v>
      </c>
      <c r="BC42">
        <f t="shared" si="31"/>
        <v>4.0172934488310837E-2</v>
      </c>
      <c r="BD42">
        <f t="shared" si="32"/>
        <v>-0.5867793089494574</v>
      </c>
      <c r="BE42">
        <f t="shared" si="33"/>
        <v>240.12215074028859</v>
      </c>
      <c r="BF42" t="s">
        <v>554</v>
      </c>
      <c r="BG42">
        <v>540.5</v>
      </c>
      <c r="BH42">
        <f t="shared" si="34"/>
        <v>540.5</v>
      </c>
      <c r="BI42">
        <f t="shared" si="35"/>
        <v>0.52787007247956219</v>
      </c>
      <c r="BJ42">
        <f t="shared" si="36"/>
        <v>0.73262110803732094</v>
      </c>
      <c r="BK42">
        <f t="shared" si="37"/>
        <v>9.9607352617670379</v>
      </c>
      <c r="BL42">
        <f t="shared" si="38"/>
        <v>0.46127689973282471</v>
      </c>
      <c r="BM42">
        <f t="shared" si="39"/>
        <v>-2.3321158783157054</v>
      </c>
      <c r="BN42">
        <f t="shared" si="40"/>
        <v>0.56401201721282868</v>
      </c>
      <c r="BO42">
        <f t="shared" si="41"/>
        <v>0.43598798278717132</v>
      </c>
      <c r="BP42">
        <v>9105</v>
      </c>
      <c r="BQ42">
        <v>290.00000000000011</v>
      </c>
      <c r="BR42">
        <v>997.55</v>
      </c>
      <c r="BS42">
        <v>285</v>
      </c>
      <c r="BT42">
        <v>8085.38</v>
      </c>
      <c r="BU42">
        <v>1001.31</v>
      </c>
      <c r="BV42">
        <v>-3.76</v>
      </c>
      <c r="BW42">
        <v>300.00000000000011</v>
      </c>
      <c r="BX42">
        <v>19.2</v>
      </c>
      <c r="BY42">
        <v>1144.8119860535689</v>
      </c>
      <c r="BZ42">
        <v>5.1355921576588059</v>
      </c>
      <c r="CA42">
        <v>-116.0306444765752</v>
      </c>
      <c r="CB42">
        <v>3.8154159432633521</v>
      </c>
      <c r="CC42">
        <v>0.97061383714982363</v>
      </c>
      <c r="CD42">
        <v>-4.1661550611790891E-3</v>
      </c>
      <c r="CE42">
        <v>289.99999999999989</v>
      </c>
      <c r="CF42">
        <v>995.88</v>
      </c>
      <c r="CG42">
        <v>665</v>
      </c>
      <c r="CH42">
        <v>8077.82</v>
      </c>
      <c r="CI42">
        <v>1001.17</v>
      </c>
      <c r="CJ42">
        <v>-5.29</v>
      </c>
      <c r="CX42">
        <f t="shared" si="42"/>
        <v>1800.01</v>
      </c>
      <c r="CY42">
        <f t="shared" si="43"/>
        <v>1513.19339946017</v>
      </c>
      <c r="CZ42">
        <f t="shared" si="44"/>
        <v>0.84065832937604235</v>
      </c>
      <c r="DA42">
        <f t="shared" si="45"/>
        <v>0.16087057569576166</v>
      </c>
      <c r="DB42">
        <v>6</v>
      </c>
      <c r="DC42">
        <v>0.5</v>
      </c>
      <c r="DD42" t="s">
        <v>421</v>
      </c>
      <c r="DE42">
        <v>2</v>
      </c>
      <c r="DF42">
        <v>1689003415.5</v>
      </c>
      <c r="DG42">
        <v>425.62200000000001</v>
      </c>
      <c r="DH42">
        <v>500.13299999999998</v>
      </c>
      <c r="DI42">
        <v>29.327100000000002</v>
      </c>
      <c r="DJ42">
        <v>21.668800000000001</v>
      </c>
      <c r="DK42">
        <v>427.11599999999999</v>
      </c>
      <c r="DL42">
        <v>29.2989</v>
      </c>
      <c r="DM42">
        <v>500.10599999999999</v>
      </c>
      <c r="DN42">
        <v>99.176699999999997</v>
      </c>
      <c r="DO42">
        <v>0.100355</v>
      </c>
      <c r="DP42">
        <v>30.7986</v>
      </c>
      <c r="DQ42">
        <v>30.0959</v>
      </c>
      <c r="DR42">
        <v>999.9</v>
      </c>
      <c r="DS42">
        <v>0</v>
      </c>
      <c r="DT42">
        <v>0</v>
      </c>
      <c r="DU42">
        <v>9990</v>
      </c>
      <c r="DV42">
        <v>0</v>
      </c>
      <c r="DW42">
        <v>382.488</v>
      </c>
      <c r="DX42">
        <v>-74.511200000000002</v>
      </c>
      <c r="DY42">
        <v>438.48200000000003</v>
      </c>
      <c r="DZ42">
        <v>511.21100000000001</v>
      </c>
      <c r="EA42">
        <v>7.6583399999999999</v>
      </c>
      <c r="EB42">
        <v>500.13299999999998</v>
      </c>
      <c r="EC42">
        <v>21.668800000000001</v>
      </c>
      <c r="ED42">
        <v>2.9085700000000001</v>
      </c>
      <c r="EE42">
        <v>2.1490399999999998</v>
      </c>
      <c r="EF42">
        <v>23.513500000000001</v>
      </c>
      <c r="EG42">
        <v>18.587399999999999</v>
      </c>
      <c r="EH42">
        <v>1800.01</v>
      </c>
      <c r="EI42">
        <v>0.97799599999999998</v>
      </c>
      <c r="EJ42">
        <v>2.2003499999999999E-2</v>
      </c>
      <c r="EK42">
        <v>0</v>
      </c>
      <c r="EL42">
        <v>701.822</v>
      </c>
      <c r="EM42">
        <v>5.00082</v>
      </c>
      <c r="EN42">
        <v>13908.9</v>
      </c>
      <c r="EO42">
        <v>14129.8</v>
      </c>
      <c r="EP42">
        <v>49.061999999999998</v>
      </c>
      <c r="EQ42">
        <v>50.311999999999998</v>
      </c>
      <c r="ER42">
        <v>49.936999999999998</v>
      </c>
      <c r="ES42">
        <v>49.875</v>
      </c>
      <c r="ET42">
        <v>50.375</v>
      </c>
      <c r="EU42">
        <v>1755.51</v>
      </c>
      <c r="EV42">
        <v>39.5</v>
      </c>
      <c r="EW42">
        <v>0</v>
      </c>
      <c r="EX42">
        <v>114.7999999523163</v>
      </c>
      <c r="EY42">
        <v>0</v>
      </c>
      <c r="EZ42">
        <v>702.0802692307692</v>
      </c>
      <c r="FA42">
        <v>1.533230773585909</v>
      </c>
      <c r="FB42">
        <v>4.6495726750197983</v>
      </c>
      <c r="FC42">
        <v>13910.107692307691</v>
      </c>
      <c r="FD42">
        <v>15</v>
      </c>
      <c r="FE42">
        <v>1689003384.5</v>
      </c>
      <c r="FF42" t="s">
        <v>555</v>
      </c>
      <c r="FG42">
        <v>1689003376</v>
      </c>
      <c r="FH42">
        <v>1689003384.5</v>
      </c>
      <c r="FI42">
        <v>29</v>
      </c>
      <c r="FJ42">
        <v>-0.11899999999999999</v>
      </c>
      <c r="FK42">
        <v>7.0000000000000001E-3</v>
      </c>
      <c r="FL42">
        <v>-1.5640000000000001</v>
      </c>
      <c r="FM42">
        <v>2.8000000000000001E-2</v>
      </c>
      <c r="FN42">
        <v>500</v>
      </c>
      <c r="FO42">
        <v>21</v>
      </c>
      <c r="FP42">
        <v>0.03</v>
      </c>
      <c r="FQ42">
        <v>0.01</v>
      </c>
      <c r="FR42">
        <v>59.343568284708446</v>
      </c>
      <c r="FS42">
        <v>-0.65478691252405741</v>
      </c>
      <c r="FT42">
        <v>7.3784072714655216E-2</v>
      </c>
      <c r="FU42">
        <v>1</v>
      </c>
      <c r="FV42">
        <v>0.50425262232291479</v>
      </c>
      <c r="FW42">
        <v>4.5887560497029987E-2</v>
      </c>
      <c r="FX42">
        <v>4.8891052897752606E-3</v>
      </c>
      <c r="FY42">
        <v>1</v>
      </c>
      <c r="FZ42">
        <v>2</v>
      </c>
      <c r="GA42">
        <v>2</v>
      </c>
      <c r="GB42" t="s">
        <v>423</v>
      </c>
      <c r="GC42">
        <v>2.94577</v>
      </c>
      <c r="GD42">
        <v>2.7089300000000001</v>
      </c>
      <c r="GE42">
        <v>9.2544000000000001E-2</v>
      </c>
      <c r="GF42">
        <v>0.104204</v>
      </c>
      <c r="GG42">
        <v>0.13055600000000001</v>
      </c>
      <c r="GH42">
        <v>0.105794</v>
      </c>
      <c r="GI42">
        <v>29958.6</v>
      </c>
      <c r="GJ42">
        <v>28819</v>
      </c>
      <c r="GK42">
        <v>34005.699999999997</v>
      </c>
      <c r="GL42">
        <v>32204.3</v>
      </c>
      <c r="GM42">
        <v>42649.2</v>
      </c>
      <c r="GN42">
        <v>40966.9</v>
      </c>
      <c r="GO42">
        <v>49220.1</v>
      </c>
      <c r="GP42">
        <v>45582.400000000001</v>
      </c>
      <c r="GQ42">
        <v>2.0005000000000002</v>
      </c>
      <c r="GR42">
        <v>1.8173699999999999</v>
      </c>
      <c r="GS42">
        <v>6.5185099999999996E-2</v>
      </c>
      <c r="GT42">
        <v>0</v>
      </c>
      <c r="GU42">
        <v>29.034400000000002</v>
      </c>
      <c r="GV42">
        <v>999.9</v>
      </c>
      <c r="GW42">
        <v>37.6</v>
      </c>
      <c r="GX42">
        <v>40</v>
      </c>
      <c r="GY42">
        <v>28.1068</v>
      </c>
      <c r="GZ42">
        <v>60.098599999999998</v>
      </c>
      <c r="HA42">
        <v>26.3782</v>
      </c>
      <c r="HB42">
        <v>1</v>
      </c>
      <c r="HC42">
        <v>0.30959300000000001</v>
      </c>
      <c r="HD42">
        <v>2.21834</v>
      </c>
      <c r="HE42">
        <v>20.212</v>
      </c>
      <c r="HF42">
        <v>5.2702999999999998</v>
      </c>
      <c r="HG42">
        <v>12.039899999999999</v>
      </c>
      <c r="HH42">
        <v>4.9657</v>
      </c>
      <c r="HI42">
        <v>3.3010000000000002</v>
      </c>
      <c r="HJ42">
        <v>9999</v>
      </c>
      <c r="HK42">
        <v>9999</v>
      </c>
      <c r="HL42">
        <v>9999</v>
      </c>
      <c r="HM42">
        <v>999.9</v>
      </c>
      <c r="HN42">
        <v>1.86843</v>
      </c>
      <c r="HO42">
        <v>1.8721000000000001</v>
      </c>
      <c r="HP42">
        <v>1.8718999999999999</v>
      </c>
      <c r="HQ42">
        <v>1.87144</v>
      </c>
      <c r="HR42">
        <v>1.8646199999999999</v>
      </c>
      <c r="HS42">
        <v>1.86582</v>
      </c>
      <c r="HT42">
        <v>1.8678399999999999</v>
      </c>
      <c r="HU42">
        <v>1.8724000000000001</v>
      </c>
      <c r="HV42">
        <v>0</v>
      </c>
      <c r="HW42">
        <v>0</v>
      </c>
      <c r="HX42">
        <v>0</v>
      </c>
      <c r="HY42">
        <v>0</v>
      </c>
      <c r="HZ42" t="s">
        <v>424</v>
      </c>
      <c r="IA42" t="s">
        <v>425</v>
      </c>
      <c r="IB42" t="s">
        <v>426</v>
      </c>
      <c r="IC42" t="s">
        <v>426</v>
      </c>
      <c r="ID42" t="s">
        <v>426</v>
      </c>
      <c r="IE42" t="s">
        <v>426</v>
      </c>
      <c r="IF42">
        <v>0</v>
      </c>
      <c r="IG42">
        <v>100</v>
      </c>
      <c r="IH42">
        <v>100</v>
      </c>
      <c r="II42">
        <v>-1.494</v>
      </c>
      <c r="IJ42">
        <v>2.8199999999999999E-2</v>
      </c>
      <c r="IK42">
        <v>-1.04233647844275</v>
      </c>
      <c r="IL42">
        <v>-1.171017271736434E-3</v>
      </c>
      <c r="IM42">
        <v>2.801297040296544E-7</v>
      </c>
      <c r="IN42">
        <v>-3.6238253961199429E-11</v>
      </c>
      <c r="IO42">
        <v>2.8219047619046481E-2</v>
      </c>
      <c r="IP42">
        <v>0</v>
      </c>
      <c r="IQ42">
        <v>0</v>
      </c>
      <c r="IR42">
        <v>0</v>
      </c>
      <c r="IS42">
        <v>0</v>
      </c>
      <c r="IT42">
        <v>2161</v>
      </c>
      <c r="IU42">
        <v>1</v>
      </c>
      <c r="IV42">
        <v>19</v>
      </c>
      <c r="IW42">
        <v>0.7</v>
      </c>
      <c r="IX42">
        <v>0.5</v>
      </c>
      <c r="IY42">
        <v>1.2365699999999999</v>
      </c>
      <c r="IZ42">
        <v>2.50122</v>
      </c>
      <c r="JA42">
        <v>1.4440900000000001</v>
      </c>
      <c r="JB42">
        <v>2.2851599999999999</v>
      </c>
      <c r="JC42">
        <v>1.54419</v>
      </c>
      <c r="JD42">
        <v>2.3132299999999999</v>
      </c>
      <c r="JE42">
        <v>44.029499999999999</v>
      </c>
      <c r="JF42">
        <v>24.218800000000002</v>
      </c>
      <c r="JG42">
        <v>18</v>
      </c>
      <c r="JH42">
        <v>510.36700000000002</v>
      </c>
      <c r="JI42">
        <v>431.58100000000002</v>
      </c>
      <c r="JJ42">
        <v>27.428899999999999</v>
      </c>
      <c r="JK42">
        <v>31.224900000000002</v>
      </c>
      <c r="JL42">
        <v>30</v>
      </c>
      <c r="JM42">
        <v>31.015000000000001</v>
      </c>
      <c r="JN42">
        <v>30.951499999999999</v>
      </c>
      <c r="JO42">
        <v>24.867899999999999</v>
      </c>
      <c r="JP42">
        <v>26.468900000000001</v>
      </c>
      <c r="JQ42">
        <v>0</v>
      </c>
      <c r="JR42">
        <v>27.423400000000001</v>
      </c>
      <c r="JS42">
        <v>500</v>
      </c>
      <c r="JT42">
        <v>21.663699999999999</v>
      </c>
      <c r="JU42">
        <v>99.780100000000004</v>
      </c>
      <c r="JV42">
        <v>99.273899999999998</v>
      </c>
    </row>
    <row r="43" spans="1:282" x14ac:dyDescent="0.25">
      <c r="A43">
        <v>27</v>
      </c>
      <c r="B43">
        <v>1689003575.5</v>
      </c>
      <c r="C43">
        <v>4398.5</v>
      </c>
      <c r="D43" t="s">
        <v>556</v>
      </c>
      <c r="E43" t="s">
        <v>557</v>
      </c>
      <c r="F43" t="s">
        <v>414</v>
      </c>
      <c r="G43" t="s">
        <v>415</v>
      </c>
      <c r="H43" t="s">
        <v>500</v>
      </c>
      <c r="I43" t="s">
        <v>416</v>
      </c>
      <c r="J43" t="s">
        <v>501</v>
      </c>
      <c r="K43">
        <v>1689003575.5</v>
      </c>
      <c r="L43">
        <f t="shared" si="0"/>
        <v>6.4686281143482242E-3</v>
      </c>
      <c r="M43">
        <f t="shared" si="1"/>
        <v>6.468628114348224</v>
      </c>
      <c r="N43">
        <f t="shared" si="2"/>
        <v>60.483439497118717</v>
      </c>
      <c r="O43">
        <f t="shared" si="3"/>
        <v>622.84500000000003</v>
      </c>
      <c r="P43">
        <f t="shared" si="4"/>
        <v>401.78114057676487</v>
      </c>
      <c r="Q43">
        <f t="shared" si="5"/>
        <v>39.88693330092822</v>
      </c>
      <c r="R43">
        <f t="shared" si="6"/>
        <v>61.833108781944006</v>
      </c>
      <c r="S43">
        <f t="shared" si="7"/>
        <v>0.49908568652411223</v>
      </c>
      <c r="T43">
        <f t="shared" si="8"/>
        <v>2.918108892298493</v>
      </c>
      <c r="U43">
        <f t="shared" si="9"/>
        <v>0.45605851661601887</v>
      </c>
      <c r="V43">
        <f t="shared" si="10"/>
        <v>0.28859263740977065</v>
      </c>
      <c r="W43">
        <f t="shared" si="11"/>
        <v>289.57502895815099</v>
      </c>
      <c r="X43">
        <f t="shared" si="12"/>
        <v>30.660536457152009</v>
      </c>
      <c r="Y43">
        <f t="shared" si="13"/>
        <v>29.986999999999998</v>
      </c>
      <c r="Z43">
        <f t="shared" si="14"/>
        <v>4.2572694897055063</v>
      </c>
      <c r="AA43">
        <f t="shared" si="15"/>
        <v>65.633599300610896</v>
      </c>
      <c r="AB43">
        <f t="shared" si="16"/>
        <v>2.8999300638672003</v>
      </c>
      <c r="AC43">
        <f t="shared" si="17"/>
        <v>4.4183620809596666</v>
      </c>
      <c r="AD43">
        <f t="shared" si="18"/>
        <v>1.357339425838306</v>
      </c>
      <c r="AE43">
        <f t="shared" si="19"/>
        <v>-285.26649984275667</v>
      </c>
      <c r="AF43">
        <f t="shared" si="20"/>
        <v>101.9597962264951</v>
      </c>
      <c r="AG43">
        <f t="shared" si="21"/>
        <v>7.792985457591862</v>
      </c>
      <c r="AH43">
        <f t="shared" si="22"/>
        <v>114.06131079948126</v>
      </c>
      <c r="AI43">
        <v>0</v>
      </c>
      <c r="AJ43">
        <v>0</v>
      </c>
      <c r="AK43">
        <f t="shared" si="23"/>
        <v>1</v>
      </c>
      <c r="AL43">
        <f t="shared" si="24"/>
        <v>0</v>
      </c>
      <c r="AM43">
        <f t="shared" si="25"/>
        <v>51900.426241820183</v>
      </c>
      <c r="AN43" t="s">
        <v>418</v>
      </c>
      <c r="AO43">
        <v>10076.700000000001</v>
      </c>
      <c r="AP43">
        <v>185.01599999999999</v>
      </c>
      <c r="AQ43">
        <v>473.06</v>
      </c>
      <c r="AR43">
        <f t="shared" si="26"/>
        <v>0.60889527755464423</v>
      </c>
      <c r="AS43">
        <v>-1.4827006201179751</v>
      </c>
      <c r="AT43" t="s">
        <v>558</v>
      </c>
      <c r="AU43">
        <v>8086.45</v>
      </c>
      <c r="AV43">
        <v>704.13484615384618</v>
      </c>
      <c r="AW43">
        <v>1169.967943880647</v>
      </c>
      <c r="AX43">
        <f t="shared" si="27"/>
        <v>0.39815885568769249</v>
      </c>
      <c r="AY43">
        <v>0.5</v>
      </c>
      <c r="AZ43">
        <f t="shared" si="28"/>
        <v>1513.2269994601818</v>
      </c>
      <c r="BA43">
        <f t="shared" si="29"/>
        <v>60.483439497118717</v>
      </c>
      <c r="BB43">
        <f t="shared" si="30"/>
        <v>301.25236525039321</v>
      </c>
      <c r="BC43">
        <f t="shared" si="31"/>
        <v>4.0949665938647718E-2</v>
      </c>
      <c r="BD43">
        <f t="shared" si="32"/>
        <v>-0.59566413552245268</v>
      </c>
      <c r="BE43">
        <f t="shared" si="33"/>
        <v>241.20997871386825</v>
      </c>
      <c r="BF43" t="s">
        <v>559</v>
      </c>
      <c r="BG43">
        <v>546.66999999999996</v>
      </c>
      <c r="BH43">
        <f t="shared" si="34"/>
        <v>546.66999999999996</v>
      </c>
      <c r="BI43">
        <f t="shared" si="35"/>
        <v>0.53274788180370192</v>
      </c>
      <c r="BJ43">
        <f t="shared" si="36"/>
        <v>0.74736825670646112</v>
      </c>
      <c r="BK43">
        <f t="shared" si="37"/>
        <v>9.4675715783269592</v>
      </c>
      <c r="BL43">
        <f t="shared" si="38"/>
        <v>0.47295007702756392</v>
      </c>
      <c r="BM43">
        <f t="shared" si="39"/>
        <v>-2.4194496114504975</v>
      </c>
      <c r="BN43">
        <f t="shared" si="40"/>
        <v>0.58023517388096157</v>
      </c>
      <c r="BO43">
        <f t="shared" si="41"/>
        <v>0.41976482611903843</v>
      </c>
      <c r="BP43">
        <v>9107</v>
      </c>
      <c r="BQ43">
        <v>290.00000000000011</v>
      </c>
      <c r="BR43">
        <v>1011.69</v>
      </c>
      <c r="BS43">
        <v>275</v>
      </c>
      <c r="BT43">
        <v>8086.45</v>
      </c>
      <c r="BU43">
        <v>1015.51</v>
      </c>
      <c r="BV43">
        <v>-3.82</v>
      </c>
      <c r="BW43">
        <v>300.00000000000011</v>
      </c>
      <c r="BX43">
        <v>19.2</v>
      </c>
      <c r="BY43">
        <v>1169.967943880647</v>
      </c>
      <c r="BZ43">
        <v>4.8377921805660424</v>
      </c>
      <c r="CA43">
        <v>-124.9006531823014</v>
      </c>
      <c r="CB43">
        <v>3.5944420407395099</v>
      </c>
      <c r="CC43">
        <v>0.97733605522653755</v>
      </c>
      <c r="CD43">
        <v>-4.1663661846496067E-3</v>
      </c>
      <c r="CE43">
        <v>289.99999999999989</v>
      </c>
      <c r="CF43">
        <v>1009.19</v>
      </c>
      <c r="CG43">
        <v>645</v>
      </c>
      <c r="CH43">
        <v>8078.96</v>
      </c>
      <c r="CI43">
        <v>1015.37</v>
      </c>
      <c r="CJ43">
        <v>-6.18</v>
      </c>
      <c r="CX43">
        <f t="shared" si="42"/>
        <v>1800.05</v>
      </c>
      <c r="CY43">
        <f t="shared" si="43"/>
        <v>1513.2269994601818</v>
      </c>
      <c r="CZ43">
        <f t="shared" si="44"/>
        <v>0.84065831474691355</v>
      </c>
      <c r="DA43">
        <f t="shared" si="45"/>
        <v>0.16087054746154331</v>
      </c>
      <c r="DB43">
        <v>6</v>
      </c>
      <c r="DC43">
        <v>0.5</v>
      </c>
      <c r="DD43" t="s">
        <v>421</v>
      </c>
      <c r="DE43">
        <v>2</v>
      </c>
      <c r="DF43">
        <v>1689003575.5</v>
      </c>
      <c r="DG43">
        <v>622.84500000000003</v>
      </c>
      <c r="DH43">
        <v>700.23</v>
      </c>
      <c r="DI43">
        <v>29.210999999999999</v>
      </c>
      <c r="DJ43">
        <v>21.6783</v>
      </c>
      <c r="DK43">
        <v>624.51499999999999</v>
      </c>
      <c r="DL43">
        <v>29.184100000000001</v>
      </c>
      <c r="DM43">
        <v>500.19299999999998</v>
      </c>
      <c r="DN43">
        <v>99.175700000000006</v>
      </c>
      <c r="DO43">
        <v>9.9575200000000003E-2</v>
      </c>
      <c r="DP43">
        <v>30.635100000000001</v>
      </c>
      <c r="DQ43">
        <v>29.986999999999998</v>
      </c>
      <c r="DR43">
        <v>999.9</v>
      </c>
      <c r="DS43">
        <v>0</v>
      </c>
      <c r="DT43">
        <v>0</v>
      </c>
      <c r="DU43">
        <v>10017.5</v>
      </c>
      <c r="DV43">
        <v>0</v>
      </c>
      <c r="DW43">
        <v>1896.65</v>
      </c>
      <c r="DX43">
        <v>-77.385099999999994</v>
      </c>
      <c r="DY43">
        <v>641.58600000000001</v>
      </c>
      <c r="DZ43">
        <v>715.74599999999998</v>
      </c>
      <c r="EA43">
        <v>7.5326700000000004</v>
      </c>
      <c r="EB43">
        <v>700.23</v>
      </c>
      <c r="EC43">
        <v>21.6783</v>
      </c>
      <c r="ED43">
        <v>2.8970199999999999</v>
      </c>
      <c r="EE43">
        <v>2.1499600000000001</v>
      </c>
      <c r="EF43">
        <v>23.447600000000001</v>
      </c>
      <c r="EG43">
        <v>18.594200000000001</v>
      </c>
      <c r="EH43">
        <v>1800.05</v>
      </c>
      <c r="EI43">
        <v>0.977993</v>
      </c>
      <c r="EJ43">
        <v>2.2007100000000002E-2</v>
      </c>
      <c r="EK43">
        <v>0</v>
      </c>
      <c r="EL43">
        <v>703.80600000000004</v>
      </c>
      <c r="EM43">
        <v>5.00082</v>
      </c>
      <c r="EN43">
        <v>15729.6</v>
      </c>
      <c r="EO43">
        <v>14130.2</v>
      </c>
      <c r="EP43">
        <v>49.061999999999998</v>
      </c>
      <c r="EQ43">
        <v>50.5</v>
      </c>
      <c r="ER43">
        <v>50</v>
      </c>
      <c r="ES43">
        <v>49.936999999999998</v>
      </c>
      <c r="ET43">
        <v>50.375</v>
      </c>
      <c r="EU43">
        <v>1755.55</v>
      </c>
      <c r="EV43">
        <v>39.5</v>
      </c>
      <c r="EW43">
        <v>0</v>
      </c>
      <c r="EX43">
        <v>157.79999995231631</v>
      </c>
      <c r="EY43">
        <v>0</v>
      </c>
      <c r="EZ43">
        <v>704.13484615384618</v>
      </c>
      <c r="FA43">
        <v>-1.241299144705434</v>
      </c>
      <c r="FB43">
        <v>31.982906021046119</v>
      </c>
      <c r="FC43">
        <v>15725.75</v>
      </c>
      <c r="FD43">
        <v>15</v>
      </c>
      <c r="FE43">
        <v>1689003540.5</v>
      </c>
      <c r="FF43" t="s">
        <v>560</v>
      </c>
      <c r="FG43">
        <v>1689003534</v>
      </c>
      <c r="FH43">
        <v>1689003540.5</v>
      </c>
      <c r="FI43">
        <v>30</v>
      </c>
      <c r="FJ43">
        <v>3.0000000000000001E-3</v>
      </c>
      <c r="FK43">
        <v>-1E-3</v>
      </c>
      <c r="FL43">
        <v>-1.736</v>
      </c>
      <c r="FM43">
        <v>2.7E-2</v>
      </c>
      <c r="FN43">
        <v>700</v>
      </c>
      <c r="FO43">
        <v>21</v>
      </c>
      <c r="FP43">
        <v>0.04</v>
      </c>
      <c r="FQ43">
        <v>0.01</v>
      </c>
      <c r="FR43">
        <v>60.509979146271057</v>
      </c>
      <c r="FS43">
        <v>-0.53668880561027121</v>
      </c>
      <c r="FT43">
        <v>7.0019014263003207E-2</v>
      </c>
      <c r="FU43">
        <v>1</v>
      </c>
      <c r="FV43">
        <v>0.49232245237918693</v>
      </c>
      <c r="FW43">
        <v>2.7422767173801332E-2</v>
      </c>
      <c r="FX43">
        <v>2.9614211096437421E-3</v>
      </c>
      <c r="FY43">
        <v>1</v>
      </c>
      <c r="FZ43">
        <v>2</v>
      </c>
      <c r="GA43">
        <v>2</v>
      </c>
      <c r="GB43" t="s">
        <v>423</v>
      </c>
      <c r="GC43">
        <v>2.9460299999999999</v>
      </c>
      <c r="GD43">
        <v>2.7083900000000001</v>
      </c>
      <c r="GE43">
        <v>0.12182900000000001</v>
      </c>
      <c r="GF43">
        <v>0.13199900000000001</v>
      </c>
      <c r="GG43">
        <v>0.130213</v>
      </c>
      <c r="GH43">
        <v>0.10583099999999999</v>
      </c>
      <c r="GI43">
        <v>28997</v>
      </c>
      <c r="GJ43">
        <v>27928.799999999999</v>
      </c>
      <c r="GK43">
        <v>34011.800000000003</v>
      </c>
      <c r="GL43">
        <v>32209.1</v>
      </c>
      <c r="GM43">
        <v>42673.4</v>
      </c>
      <c r="GN43">
        <v>40971.9</v>
      </c>
      <c r="GO43">
        <v>49227.9</v>
      </c>
      <c r="GP43">
        <v>45589.3</v>
      </c>
      <c r="GQ43">
        <v>2.0013299999999998</v>
      </c>
      <c r="GR43">
        <v>1.8181</v>
      </c>
      <c r="GS43">
        <v>5.2243499999999998E-2</v>
      </c>
      <c r="GT43">
        <v>0</v>
      </c>
      <c r="GU43">
        <v>29.136199999999999</v>
      </c>
      <c r="GV43">
        <v>999.9</v>
      </c>
      <c r="GW43">
        <v>37.5</v>
      </c>
      <c r="GX43">
        <v>40.1</v>
      </c>
      <c r="GY43">
        <v>28.182600000000001</v>
      </c>
      <c r="GZ43">
        <v>59.998600000000003</v>
      </c>
      <c r="HA43">
        <v>25.7532</v>
      </c>
      <c r="HB43">
        <v>1</v>
      </c>
      <c r="HC43">
        <v>0.30496200000000001</v>
      </c>
      <c r="HD43">
        <v>2.0987100000000001</v>
      </c>
      <c r="HE43">
        <v>20.216200000000001</v>
      </c>
      <c r="HF43">
        <v>5.2690999999999999</v>
      </c>
      <c r="HG43">
        <v>12.039899999999999</v>
      </c>
      <c r="HH43">
        <v>4.9655500000000004</v>
      </c>
      <c r="HI43">
        <v>3.30063</v>
      </c>
      <c r="HJ43">
        <v>9999</v>
      </c>
      <c r="HK43">
        <v>9999</v>
      </c>
      <c r="HL43">
        <v>9999</v>
      </c>
      <c r="HM43">
        <v>999.9</v>
      </c>
      <c r="HN43">
        <v>1.8684400000000001</v>
      </c>
      <c r="HO43">
        <v>1.8721000000000001</v>
      </c>
      <c r="HP43">
        <v>1.8718999999999999</v>
      </c>
      <c r="HQ43">
        <v>1.8714</v>
      </c>
      <c r="HR43">
        <v>1.8646199999999999</v>
      </c>
      <c r="HS43">
        <v>1.8658399999999999</v>
      </c>
      <c r="HT43">
        <v>1.8678399999999999</v>
      </c>
      <c r="HU43">
        <v>1.8724099999999999</v>
      </c>
      <c r="HV43">
        <v>0</v>
      </c>
      <c r="HW43">
        <v>0</v>
      </c>
      <c r="HX43">
        <v>0</v>
      </c>
      <c r="HY43">
        <v>0</v>
      </c>
      <c r="HZ43" t="s">
        <v>424</v>
      </c>
      <c r="IA43" t="s">
        <v>425</v>
      </c>
      <c r="IB43" t="s">
        <v>426</v>
      </c>
      <c r="IC43" t="s">
        <v>426</v>
      </c>
      <c r="ID43" t="s">
        <v>426</v>
      </c>
      <c r="IE43" t="s">
        <v>426</v>
      </c>
      <c r="IF43">
        <v>0</v>
      </c>
      <c r="IG43">
        <v>100</v>
      </c>
      <c r="IH43">
        <v>100</v>
      </c>
      <c r="II43">
        <v>-1.67</v>
      </c>
      <c r="IJ43">
        <v>2.69E-2</v>
      </c>
      <c r="IK43">
        <v>-1.0397910742782941</v>
      </c>
      <c r="IL43">
        <v>-1.171017271736434E-3</v>
      </c>
      <c r="IM43">
        <v>2.801297040296544E-7</v>
      </c>
      <c r="IN43">
        <v>-3.6238253961199429E-11</v>
      </c>
      <c r="IO43">
        <v>2.6870000000002389E-2</v>
      </c>
      <c r="IP43">
        <v>0</v>
      </c>
      <c r="IQ43">
        <v>0</v>
      </c>
      <c r="IR43">
        <v>0</v>
      </c>
      <c r="IS43">
        <v>0</v>
      </c>
      <c r="IT43">
        <v>2161</v>
      </c>
      <c r="IU43">
        <v>1</v>
      </c>
      <c r="IV43">
        <v>19</v>
      </c>
      <c r="IW43">
        <v>0.7</v>
      </c>
      <c r="IX43">
        <v>0.6</v>
      </c>
      <c r="IY43">
        <v>1.62354</v>
      </c>
      <c r="IZ43">
        <v>2.47803</v>
      </c>
      <c r="JA43">
        <v>1.4440900000000001</v>
      </c>
      <c r="JB43">
        <v>2.2851599999999999</v>
      </c>
      <c r="JC43">
        <v>1.54419</v>
      </c>
      <c r="JD43">
        <v>2.4243199999999998</v>
      </c>
      <c r="JE43">
        <v>44.029499999999999</v>
      </c>
      <c r="JF43">
        <v>24.227599999999999</v>
      </c>
      <c r="JG43">
        <v>18</v>
      </c>
      <c r="JH43">
        <v>510.61500000000001</v>
      </c>
      <c r="JI43">
        <v>431.83600000000001</v>
      </c>
      <c r="JJ43">
        <v>26.950099999999999</v>
      </c>
      <c r="JK43">
        <v>31.1785</v>
      </c>
      <c r="JL43">
        <v>30</v>
      </c>
      <c r="JM43">
        <v>30.979800000000001</v>
      </c>
      <c r="JN43">
        <v>30.924600000000002</v>
      </c>
      <c r="JO43">
        <v>32.641399999999997</v>
      </c>
      <c r="JP43">
        <v>27.008600000000001</v>
      </c>
      <c r="JQ43">
        <v>0</v>
      </c>
      <c r="JR43">
        <v>26.9725</v>
      </c>
      <c r="JS43">
        <v>700</v>
      </c>
      <c r="JT43">
        <v>21.524999999999999</v>
      </c>
      <c r="JU43">
        <v>99.796700000000001</v>
      </c>
      <c r="JV43">
        <v>99.288899999999998</v>
      </c>
    </row>
    <row r="44" spans="1:282" x14ac:dyDescent="0.25">
      <c r="A44">
        <v>28</v>
      </c>
      <c r="B44">
        <v>1689003710.5999999</v>
      </c>
      <c r="C44">
        <v>4533.5999999046326</v>
      </c>
      <c r="D44" t="s">
        <v>561</v>
      </c>
      <c r="E44" t="s">
        <v>562</v>
      </c>
      <c r="F44" t="s">
        <v>414</v>
      </c>
      <c r="G44" t="s">
        <v>415</v>
      </c>
      <c r="H44" t="s">
        <v>500</v>
      </c>
      <c r="I44" t="s">
        <v>416</v>
      </c>
      <c r="J44" t="s">
        <v>501</v>
      </c>
      <c r="K44">
        <v>1689003710.5999999</v>
      </c>
      <c r="L44">
        <f t="shared" si="0"/>
        <v>6.3659868802401296E-3</v>
      </c>
      <c r="M44">
        <f t="shared" si="1"/>
        <v>6.36598688024013</v>
      </c>
      <c r="N44">
        <f t="shared" si="2"/>
        <v>59.986406633398801</v>
      </c>
      <c r="O44">
        <f t="shared" si="3"/>
        <v>821.76800000000003</v>
      </c>
      <c r="P44">
        <f t="shared" si="4"/>
        <v>591.16432757128143</v>
      </c>
      <c r="Q44">
        <f t="shared" si="5"/>
        <v>58.687013354237671</v>
      </c>
      <c r="R44">
        <f t="shared" si="6"/>
        <v>81.579871011871987</v>
      </c>
      <c r="S44">
        <f t="shared" si="7"/>
        <v>0.48242774193575622</v>
      </c>
      <c r="T44">
        <f t="shared" si="8"/>
        <v>2.9145745369735954</v>
      </c>
      <c r="U44">
        <f t="shared" si="9"/>
        <v>0.44205615518857033</v>
      </c>
      <c r="V44">
        <f t="shared" si="10"/>
        <v>0.27963024302366302</v>
      </c>
      <c r="W44">
        <f t="shared" si="11"/>
        <v>289.59316395795099</v>
      </c>
      <c r="X44">
        <f t="shared" si="12"/>
        <v>30.627327773065709</v>
      </c>
      <c r="Y44">
        <f t="shared" si="13"/>
        <v>29.991299999999999</v>
      </c>
      <c r="Z44">
        <f t="shared" si="14"/>
        <v>4.2583212003049224</v>
      </c>
      <c r="AA44">
        <f t="shared" si="15"/>
        <v>65.409106458595161</v>
      </c>
      <c r="AB44">
        <f t="shared" si="16"/>
        <v>2.8800960171668</v>
      </c>
      <c r="AC44">
        <f t="shared" si="17"/>
        <v>4.4032034270181306</v>
      </c>
      <c r="AD44">
        <f t="shared" si="18"/>
        <v>1.3782251831381225</v>
      </c>
      <c r="AE44">
        <f t="shared" si="19"/>
        <v>-280.74002141858972</v>
      </c>
      <c r="AF44">
        <f t="shared" si="20"/>
        <v>91.71709762066402</v>
      </c>
      <c r="AG44">
        <f t="shared" si="21"/>
        <v>7.0166787469830396</v>
      </c>
      <c r="AH44">
        <f t="shared" si="22"/>
        <v>107.58691890700831</v>
      </c>
      <c r="AI44">
        <v>0</v>
      </c>
      <c r="AJ44">
        <v>0</v>
      </c>
      <c r="AK44">
        <f t="shared" si="23"/>
        <v>1</v>
      </c>
      <c r="AL44">
        <f t="shared" si="24"/>
        <v>0</v>
      </c>
      <c r="AM44">
        <f t="shared" si="25"/>
        <v>51810.214739007752</v>
      </c>
      <c r="AN44" t="s">
        <v>418</v>
      </c>
      <c r="AO44">
        <v>10076.700000000001</v>
      </c>
      <c r="AP44">
        <v>185.01599999999999</v>
      </c>
      <c r="AQ44">
        <v>473.06</v>
      </c>
      <c r="AR44">
        <f t="shared" si="26"/>
        <v>0.60889527755464423</v>
      </c>
      <c r="AS44">
        <v>-1.4827006201179751</v>
      </c>
      <c r="AT44" t="s">
        <v>563</v>
      </c>
      <c r="AU44">
        <v>8086.25</v>
      </c>
      <c r="AV44">
        <v>702.73626923076938</v>
      </c>
      <c r="AW44">
        <v>1176.9661975000779</v>
      </c>
      <c r="AX44">
        <f t="shared" si="27"/>
        <v>0.40292569937572664</v>
      </c>
      <c r="AY44">
        <v>0.5</v>
      </c>
      <c r="AZ44">
        <f t="shared" si="28"/>
        <v>1513.3196994600783</v>
      </c>
      <c r="BA44">
        <f t="shared" si="29"/>
        <v>59.986406633398801</v>
      </c>
      <c r="BB44">
        <f t="shared" si="30"/>
        <v>304.87769914200823</v>
      </c>
      <c r="BC44">
        <f t="shared" si="31"/>
        <v>4.0618718751528643E-2</v>
      </c>
      <c r="BD44">
        <f t="shared" si="32"/>
        <v>-0.59806832090437445</v>
      </c>
      <c r="BE44">
        <f t="shared" si="33"/>
        <v>241.50603547508697</v>
      </c>
      <c r="BF44" t="s">
        <v>564</v>
      </c>
      <c r="BG44">
        <v>541.76</v>
      </c>
      <c r="BH44">
        <f t="shared" si="34"/>
        <v>541.76</v>
      </c>
      <c r="BI44">
        <f t="shared" si="35"/>
        <v>0.53969791048313931</v>
      </c>
      <c r="BJ44">
        <f t="shared" si="36"/>
        <v>0.74657635604893535</v>
      </c>
      <c r="BK44">
        <f t="shared" si="37"/>
        <v>10.246087299855576</v>
      </c>
      <c r="BL44">
        <f t="shared" si="38"/>
        <v>0.47807836468450449</v>
      </c>
      <c r="BM44">
        <f t="shared" si="39"/>
        <v>-2.4437453913293732</v>
      </c>
      <c r="BN44">
        <f t="shared" si="40"/>
        <v>0.57555760868271078</v>
      </c>
      <c r="BO44">
        <f t="shared" si="41"/>
        <v>0.42444239131728922</v>
      </c>
      <c r="BP44">
        <v>9109</v>
      </c>
      <c r="BQ44">
        <v>290.00000000000011</v>
      </c>
      <c r="BR44">
        <v>1014.35</v>
      </c>
      <c r="BS44">
        <v>285</v>
      </c>
      <c r="BT44">
        <v>8086.25</v>
      </c>
      <c r="BU44">
        <v>1017.58</v>
      </c>
      <c r="BV44">
        <v>-3.23</v>
      </c>
      <c r="BW44">
        <v>300.00000000000011</v>
      </c>
      <c r="BX44">
        <v>19.2</v>
      </c>
      <c r="BY44">
        <v>1176.9661975000779</v>
      </c>
      <c r="BZ44">
        <v>4.4393029299857094</v>
      </c>
      <c r="CA44">
        <v>-128.8876696231834</v>
      </c>
      <c r="CB44">
        <v>3.2984849457797778</v>
      </c>
      <c r="CC44">
        <v>0.98199172438171867</v>
      </c>
      <c r="CD44">
        <v>-4.1664191323693032E-3</v>
      </c>
      <c r="CE44">
        <v>289.99999999999989</v>
      </c>
      <c r="CF44">
        <v>1011.12</v>
      </c>
      <c r="CG44">
        <v>635</v>
      </c>
      <c r="CH44">
        <v>8079.54</v>
      </c>
      <c r="CI44">
        <v>1017.44</v>
      </c>
      <c r="CJ44">
        <v>-6.32</v>
      </c>
      <c r="CX44">
        <f t="shared" si="42"/>
        <v>1800.16</v>
      </c>
      <c r="CY44">
        <f t="shared" si="43"/>
        <v>1513.3196994600783</v>
      </c>
      <c r="CZ44">
        <f t="shared" si="44"/>
        <v>0.84065844117193922</v>
      </c>
      <c r="DA44">
        <f t="shared" si="45"/>
        <v>0.16087079146184283</v>
      </c>
      <c r="DB44">
        <v>6</v>
      </c>
      <c r="DC44">
        <v>0.5</v>
      </c>
      <c r="DD44" t="s">
        <v>421</v>
      </c>
      <c r="DE44">
        <v>2</v>
      </c>
      <c r="DF44">
        <v>1689003710.5999999</v>
      </c>
      <c r="DG44">
        <v>821.76800000000003</v>
      </c>
      <c r="DH44">
        <v>899.99599999999998</v>
      </c>
      <c r="DI44">
        <v>29.011700000000001</v>
      </c>
      <c r="DJ44">
        <v>21.597300000000001</v>
      </c>
      <c r="DK44">
        <v>823.66099999999994</v>
      </c>
      <c r="DL44">
        <v>28.9922</v>
      </c>
      <c r="DM44">
        <v>500.21300000000002</v>
      </c>
      <c r="DN44">
        <v>99.173599999999993</v>
      </c>
      <c r="DO44">
        <v>0.100004</v>
      </c>
      <c r="DP44">
        <v>30.574999999999999</v>
      </c>
      <c r="DQ44">
        <v>29.991299999999999</v>
      </c>
      <c r="DR44">
        <v>999.9</v>
      </c>
      <c r="DS44">
        <v>0</v>
      </c>
      <c r="DT44">
        <v>0</v>
      </c>
      <c r="DU44">
        <v>9997.5</v>
      </c>
      <c r="DV44">
        <v>0</v>
      </c>
      <c r="DW44">
        <v>1975.69</v>
      </c>
      <c r="DX44">
        <v>-78.227999999999994</v>
      </c>
      <c r="DY44">
        <v>846.322</v>
      </c>
      <c r="DZ44">
        <v>919.86300000000006</v>
      </c>
      <c r="EA44">
        <v>7.4144100000000002</v>
      </c>
      <c r="EB44">
        <v>899.99599999999998</v>
      </c>
      <c r="EC44">
        <v>21.597300000000001</v>
      </c>
      <c r="ED44">
        <v>2.8772000000000002</v>
      </c>
      <c r="EE44">
        <v>2.14188</v>
      </c>
      <c r="EF44">
        <v>23.3338</v>
      </c>
      <c r="EG44">
        <v>18.534099999999999</v>
      </c>
      <c r="EH44">
        <v>1800.16</v>
      </c>
      <c r="EI44">
        <v>0.977993</v>
      </c>
      <c r="EJ44">
        <v>2.2007100000000002E-2</v>
      </c>
      <c r="EK44">
        <v>0</v>
      </c>
      <c r="EL44">
        <v>702.36099999999999</v>
      </c>
      <c r="EM44">
        <v>5.00082</v>
      </c>
      <c r="EN44">
        <v>15832.1</v>
      </c>
      <c r="EO44">
        <v>14131</v>
      </c>
      <c r="EP44">
        <v>49.061999999999998</v>
      </c>
      <c r="EQ44">
        <v>50.625</v>
      </c>
      <c r="ER44">
        <v>50</v>
      </c>
      <c r="ES44">
        <v>50.061999999999998</v>
      </c>
      <c r="ET44">
        <v>50.375</v>
      </c>
      <c r="EU44">
        <v>1755.65</v>
      </c>
      <c r="EV44">
        <v>39.51</v>
      </c>
      <c r="EW44">
        <v>0</v>
      </c>
      <c r="EX44">
        <v>133.4000000953674</v>
      </c>
      <c r="EY44">
        <v>0</v>
      </c>
      <c r="EZ44">
        <v>702.73626923076938</v>
      </c>
      <c r="FA44">
        <v>-1.035384633762636</v>
      </c>
      <c r="FB44">
        <v>79.962393228246029</v>
      </c>
      <c r="FC44">
        <v>15824.303846153851</v>
      </c>
      <c r="FD44">
        <v>15</v>
      </c>
      <c r="FE44">
        <v>1689003674.5999999</v>
      </c>
      <c r="FF44" t="s">
        <v>565</v>
      </c>
      <c r="FG44">
        <v>1689003670.5999999</v>
      </c>
      <c r="FH44">
        <v>1689003674.5999999</v>
      </c>
      <c r="FI44">
        <v>31</v>
      </c>
      <c r="FJ44">
        <v>-5.8000000000000003E-2</v>
      </c>
      <c r="FK44">
        <v>-7.0000000000000001E-3</v>
      </c>
      <c r="FL44">
        <v>-1.9530000000000001</v>
      </c>
      <c r="FM44">
        <v>0.02</v>
      </c>
      <c r="FN44">
        <v>900</v>
      </c>
      <c r="FO44">
        <v>21</v>
      </c>
      <c r="FP44">
        <v>0.03</v>
      </c>
      <c r="FQ44">
        <v>0.01</v>
      </c>
      <c r="FR44">
        <v>60.118464007646168</v>
      </c>
      <c r="FS44">
        <v>-0.68718940416197927</v>
      </c>
      <c r="FT44">
        <v>0.12124111774451631</v>
      </c>
      <c r="FU44">
        <v>1</v>
      </c>
      <c r="FV44">
        <v>0.4843477326149192</v>
      </c>
      <c r="FW44">
        <v>-3.0080413432607492E-3</v>
      </c>
      <c r="FX44">
        <v>7.224674107020265E-4</v>
      </c>
      <c r="FY44">
        <v>1</v>
      </c>
      <c r="FZ44">
        <v>2</v>
      </c>
      <c r="GA44">
        <v>2</v>
      </c>
      <c r="GB44" t="s">
        <v>423</v>
      </c>
      <c r="GC44">
        <v>2.9460500000000001</v>
      </c>
      <c r="GD44">
        <v>2.7086399999999999</v>
      </c>
      <c r="GE44">
        <v>0.14688999999999999</v>
      </c>
      <c r="GF44">
        <v>0.15589</v>
      </c>
      <c r="GG44">
        <v>0.12961</v>
      </c>
      <c r="GH44">
        <v>0.105543</v>
      </c>
      <c r="GI44">
        <v>28165.5</v>
      </c>
      <c r="GJ44">
        <v>27156.799999999999</v>
      </c>
      <c r="GK44">
        <v>34008</v>
      </c>
      <c r="GL44">
        <v>32206.400000000001</v>
      </c>
      <c r="GM44">
        <v>42700.5</v>
      </c>
      <c r="GN44">
        <v>40982.300000000003</v>
      </c>
      <c r="GO44">
        <v>49223.9</v>
      </c>
      <c r="GP44">
        <v>45585.3</v>
      </c>
      <c r="GQ44">
        <v>2.0005999999999999</v>
      </c>
      <c r="GR44">
        <v>1.8173699999999999</v>
      </c>
      <c r="GS44">
        <v>4.96283E-2</v>
      </c>
      <c r="GT44">
        <v>0</v>
      </c>
      <c r="GU44">
        <v>29.183199999999999</v>
      </c>
      <c r="GV44">
        <v>999.9</v>
      </c>
      <c r="GW44">
        <v>37.4</v>
      </c>
      <c r="GX44">
        <v>40.200000000000003</v>
      </c>
      <c r="GY44">
        <v>28.258299999999998</v>
      </c>
      <c r="GZ44">
        <v>60.2468</v>
      </c>
      <c r="HA44">
        <v>25.540900000000001</v>
      </c>
      <c r="HB44">
        <v>1</v>
      </c>
      <c r="HC44">
        <v>0.307419</v>
      </c>
      <c r="HD44">
        <v>1.6712100000000001</v>
      </c>
      <c r="HE44">
        <v>20.218699999999998</v>
      </c>
      <c r="HF44">
        <v>5.2674599999999998</v>
      </c>
      <c r="HG44">
        <v>12.039899999999999</v>
      </c>
      <c r="HH44">
        <v>4.9663500000000003</v>
      </c>
      <c r="HI44">
        <v>3.3003999999999998</v>
      </c>
      <c r="HJ44">
        <v>9999</v>
      </c>
      <c r="HK44">
        <v>9999</v>
      </c>
      <c r="HL44">
        <v>9999</v>
      </c>
      <c r="HM44">
        <v>999.9</v>
      </c>
      <c r="HN44">
        <v>1.8684400000000001</v>
      </c>
      <c r="HO44">
        <v>1.8721000000000001</v>
      </c>
      <c r="HP44">
        <v>1.8719300000000001</v>
      </c>
      <c r="HQ44">
        <v>1.8714</v>
      </c>
      <c r="HR44">
        <v>1.8646199999999999</v>
      </c>
      <c r="HS44">
        <v>1.8658399999999999</v>
      </c>
      <c r="HT44">
        <v>1.86785</v>
      </c>
      <c r="HU44">
        <v>1.8724099999999999</v>
      </c>
      <c r="HV44">
        <v>0</v>
      </c>
      <c r="HW44">
        <v>0</v>
      </c>
      <c r="HX44">
        <v>0</v>
      </c>
      <c r="HY44">
        <v>0</v>
      </c>
      <c r="HZ44" t="s">
        <v>424</v>
      </c>
      <c r="IA44" t="s">
        <v>425</v>
      </c>
      <c r="IB44" t="s">
        <v>426</v>
      </c>
      <c r="IC44" t="s">
        <v>426</v>
      </c>
      <c r="ID44" t="s">
        <v>426</v>
      </c>
      <c r="IE44" t="s">
        <v>426</v>
      </c>
      <c r="IF44">
        <v>0</v>
      </c>
      <c r="IG44">
        <v>100</v>
      </c>
      <c r="IH44">
        <v>100</v>
      </c>
      <c r="II44">
        <v>-1.893</v>
      </c>
      <c r="IJ44">
        <v>1.95E-2</v>
      </c>
      <c r="IK44">
        <v>-1.098044547032228</v>
      </c>
      <c r="IL44">
        <v>-1.171017271736434E-3</v>
      </c>
      <c r="IM44">
        <v>2.801297040296544E-7</v>
      </c>
      <c r="IN44">
        <v>-3.6238253961199429E-11</v>
      </c>
      <c r="IO44">
        <v>1.954499999999371E-2</v>
      </c>
      <c r="IP44">
        <v>0</v>
      </c>
      <c r="IQ44">
        <v>0</v>
      </c>
      <c r="IR44">
        <v>0</v>
      </c>
      <c r="IS44">
        <v>0</v>
      </c>
      <c r="IT44">
        <v>2161</v>
      </c>
      <c r="IU44">
        <v>1</v>
      </c>
      <c r="IV44">
        <v>19</v>
      </c>
      <c r="IW44">
        <v>0.7</v>
      </c>
      <c r="IX44">
        <v>0.6</v>
      </c>
      <c r="IY44">
        <v>1.9934099999999999</v>
      </c>
      <c r="IZ44">
        <v>2.48169</v>
      </c>
      <c r="JA44">
        <v>1.4440900000000001</v>
      </c>
      <c r="JB44">
        <v>2.2851599999999999</v>
      </c>
      <c r="JC44">
        <v>1.54419</v>
      </c>
      <c r="JD44">
        <v>2.3095699999999999</v>
      </c>
      <c r="JE44">
        <v>44.14</v>
      </c>
      <c r="JF44">
        <v>24.218800000000002</v>
      </c>
      <c r="JG44">
        <v>18</v>
      </c>
      <c r="JH44">
        <v>510.41</v>
      </c>
      <c r="JI44">
        <v>431.61500000000001</v>
      </c>
      <c r="JJ44">
        <v>27.316099999999999</v>
      </c>
      <c r="JK44">
        <v>31.227599999999999</v>
      </c>
      <c r="JL44">
        <v>30</v>
      </c>
      <c r="JM44">
        <v>31.0123</v>
      </c>
      <c r="JN44">
        <v>30.956199999999999</v>
      </c>
      <c r="JO44">
        <v>40.068199999999997</v>
      </c>
      <c r="JP44">
        <v>27.5075</v>
      </c>
      <c r="JQ44">
        <v>0</v>
      </c>
      <c r="JR44">
        <v>27.317</v>
      </c>
      <c r="JS44">
        <v>900</v>
      </c>
      <c r="JT44">
        <v>21.507999999999999</v>
      </c>
      <c r="JU44">
        <v>99.787499999999994</v>
      </c>
      <c r="JV44">
        <v>99.2804</v>
      </c>
    </row>
    <row r="45" spans="1:282" x14ac:dyDescent="0.25">
      <c r="A45">
        <v>29</v>
      </c>
      <c r="B45">
        <v>1689003826.0999999</v>
      </c>
      <c r="C45">
        <v>4649.0999999046326</v>
      </c>
      <c r="D45" t="s">
        <v>566</v>
      </c>
      <c r="E45" t="s">
        <v>567</v>
      </c>
      <c r="F45" t="s">
        <v>414</v>
      </c>
      <c r="G45" t="s">
        <v>415</v>
      </c>
      <c r="H45" t="s">
        <v>500</v>
      </c>
      <c r="I45" t="s">
        <v>416</v>
      </c>
      <c r="J45" t="s">
        <v>501</v>
      </c>
      <c r="K45">
        <v>1689003826.0999999</v>
      </c>
      <c r="L45">
        <f t="shared" si="0"/>
        <v>6.2036039092050041E-3</v>
      </c>
      <c r="M45">
        <f t="shared" si="1"/>
        <v>6.2036039092050039</v>
      </c>
      <c r="N45">
        <f t="shared" si="2"/>
        <v>59.247691462914872</v>
      </c>
      <c r="O45">
        <f t="shared" si="3"/>
        <v>1120.71</v>
      </c>
      <c r="P45">
        <f t="shared" si="4"/>
        <v>876.3405689529759</v>
      </c>
      <c r="Q45">
        <f t="shared" si="5"/>
        <v>86.99911739353719</v>
      </c>
      <c r="R45">
        <f t="shared" si="6"/>
        <v>111.25900626807901</v>
      </c>
      <c r="S45">
        <f t="shared" si="7"/>
        <v>0.46053998041129707</v>
      </c>
      <c r="T45">
        <f t="shared" si="8"/>
        <v>2.9113268179457075</v>
      </c>
      <c r="U45">
        <f t="shared" si="9"/>
        <v>0.42356078844100864</v>
      </c>
      <c r="V45">
        <f t="shared" si="10"/>
        <v>0.26780005396231504</v>
      </c>
      <c r="W45">
        <f t="shared" si="11"/>
        <v>289.56531195891336</v>
      </c>
      <c r="X45">
        <f t="shared" si="12"/>
        <v>30.709984991938448</v>
      </c>
      <c r="Y45">
        <f t="shared" si="13"/>
        <v>30.094100000000001</v>
      </c>
      <c r="Z45">
        <f t="shared" si="14"/>
        <v>4.2835319258477522</v>
      </c>
      <c r="AA45">
        <f t="shared" si="15"/>
        <v>65.300998346652577</v>
      </c>
      <c r="AB45">
        <f t="shared" si="16"/>
        <v>2.88198660113998</v>
      </c>
      <c r="AC45">
        <f t="shared" si="17"/>
        <v>4.4133882698712439</v>
      </c>
      <c r="AD45">
        <f t="shared" si="18"/>
        <v>1.4015453247077723</v>
      </c>
      <c r="AE45">
        <f t="shared" si="19"/>
        <v>-273.57893239594068</v>
      </c>
      <c r="AF45">
        <f t="shared" si="20"/>
        <v>81.820876819558109</v>
      </c>
      <c r="AG45">
        <f t="shared" si="21"/>
        <v>6.2710042568570827</v>
      </c>
      <c r="AH45">
        <f t="shared" si="22"/>
        <v>104.07826063938789</v>
      </c>
      <c r="AI45">
        <v>0</v>
      </c>
      <c r="AJ45">
        <v>0</v>
      </c>
      <c r="AK45">
        <f t="shared" si="23"/>
        <v>1</v>
      </c>
      <c r="AL45">
        <f t="shared" si="24"/>
        <v>0</v>
      </c>
      <c r="AM45">
        <f t="shared" si="25"/>
        <v>51711.147666842808</v>
      </c>
      <c r="AN45" t="s">
        <v>418</v>
      </c>
      <c r="AO45">
        <v>10076.700000000001</v>
      </c>
      <c r="AP45">
        <v>185.01599999999999</v>
      </c>
      <c r="AQ45">
        <v>473.06</v>
      </c>
      <c r="AR45">
        <f t="shared" si="26"/>
        <v>0.60889527755464423</v>
      </c>
      <c r="AS45">
        <v>-1.4827006201179751</v>
      </c>
      <c r="AT45" t="s">
        <v>568</v>
      </c>
      <c r="AU45">
        <v>8085.81</v>
      </c>
      <c r="AV45">
        <v>702.41140000000019</v>
      </c>
      <c r="AW45">
        <v>1173.1838134021459</v>
      </c>
      <c r="AX45">
        <f t="shared" si="27"/>
        <v>0.40127762420872537</v>
      </c>
      <c r="AY45">
        <v>0.5</v>
      </c>
      <c r="AZ45">
        <f t="shared" si="28"/>
        <v>1513.1840994605766</v>
      </c>
      <c r="BA45">
        <f t="shared" si="29"/>
        <v>59.247691462914872</v>
      </c>
      <c r="BB45">
        <f t="shared" si="30"/>
        <v>303.6034602109799</v>
      </c>
      <c r="BC45">
        <f t="shared" si="31"/>
        <v>4.0134172771629145E-2</v>
      </c>
      <c r="BD45">
        <f t="shared" si="32"/>
        <v>-0.59677247964395186</v>
      </c>
      <c r="BE45">
        <f t="shared" si="33"/>
        <v>241.34637245464418</v>
      </c>
      <c r="BF45" t="s">
        <v>569</v>
      </c>
      <c r="BG45">
        <v>544.54999999999995</v>
      </c>
      <c r="BH45">
        <f t="shared" si="34"/>
        <v>544.54999999999995</v>
      </c>
      <c r="BI45">
        <f t="shared" si="35"/>
        <v>0.53583573709490129</v>
      </c>
      <c r="BJ45">
        <f t="shared" si="36"/>
        <v>0.74888178676603567</v>
      </c>
      <c r="BK45">
        <f t="shared" si="37"/>
        <v>9.7933111400496067</v>
      </c>
      <c r="BL45">
        <f t="shared" si="38"/>
        <v>0.47640937806032307</v>
      </c>
      <c r="BM45">
        <f t="shared" si="39"/>
        <v>-2.4306141193781019</v>
      </c>
      <c r="BN45">
        <f t="shared" si="40"/>
        <v>0.58057653532309494</v>
      </c>
      <c r="BO45">
        <f t="shared" si="41"/>
        <v>0.41942346467690506</v>
      </c>
      <c r="BP45">
        <v>9111</v>
      </c>
      <c r="BQ45">
        <v>290.00000000000011</v>
      </c>
      <c r="BR45">
        <v>1016.85</v>
      </c>
      <c r="BS45">
        <v>295</v>
      </c>
      <c r="BT45">
        <v>8085.81</v>
      </c>
      <c r="BU45">
        <v>1019.07</v>
      </c>
      <c r="BV45">
        <v>-2.2200000000000002</v>
      </c>
      <c r="BW45">
        <v>300.00000000000011</v>
      </c>
      <c r="BX45">
        <v>19.2</v>
      </c>
      <c r="BY45">
        <v>1173.1838134021459</v>
      </c>
      <c r="BZ45">
        <v>4.2782136083275244</v>
      </c>
      <c r="CA45">
        <v>-124.6154098517456</v>
      </c>
      <c r="CB45">
        <v>3.178616451250091</v>
      </c>
      <c r="CC45">
        <v>0.98210835832619203</v>
      </c>
      <c r="CD45">
        <v>-4.1661928809788636E-3</v>
      </c>
      <c r="CE45">
        <v>289.99999999999989</v>
      </c>
      <c r="CF45">
        <v>1013.32</v>
      </c>
      <c r="CG45">
        <v>665</v>
      </c>
      <c r="CH45">
        <v>8078.26</v>
      </c>
      <c r="CI45">
        <v>1018.92</v>
      </c>
      <c r="CJ45">
        <v>-5.6</v>
      </c>
      <c r="CX45">
        <f t="shared" si="42"/>
        <v>1800</v>
      </c>
      <c r="CY45">
        <f t="shared" si="43"/>
        <v>1513.1840994605766</v>
      </c>
      <c r="CZ45">
        <f t="shared" si="44"/>
        <v>0.84065783303365371</v>
      </c>
      <c r="DA45">
        <f t="shared" si="45"/>
        <v>0.16086961775495187</v>
      </c>
      <c r="DB45">
        <v>6</v>
      </c>
      <c r="DC45">
        <v>0.5</v>
      </c>
      <c r="DD45" t="s">
        <v>421</v>
      </c>
      <c r="DE45">
        <v>2</v>
      </c>
      <c r="DF45">
        <v>1689003826.0999999</v>
      </c>
      <c r="DG45">
        <v>1120.71</v>
      </c>
      <c r="DH45">
        <v>1200.1500000000001</v>
      </c>
      <c r="DI45">
        <v>29.030200000000001</v>
      </c>
      <c r="DJ45">
        <v>21.802</v>
      </c>
      <c r="DK45">
        <v>1122.8</v>
      </c>
      <c r="DL45">
        <v>29.007999999999999</v>
      </c>
      <c r="DM45">
        <v>500.00099999999998</v>
      </c>
      <c r="DN45">
        <v>99.175600000000003</v>
      </c>
      <c r="DO45">
        <v>9.9864900000000006E-2</v>
      </c>
      <c r="DP45">
        <v>30.615400000000001</v>
      </c>
      <c r="DQ45">
        <v>30.094100000000001</v>
      </c>
      <c r="DR45">
        <v>999.9</v>
      </c>
      <c r="DS45">
        <v>0</v>
      </c>
      <c r="DT45">
        <v>0</v>
      </c>
      <c r="DU45">
        <v>9978.75</v>
      </c>
      <c r="DV45">
        <v>0</v>
      </c>
      <c r="DW45">
        <v>2053.58</v>
      </c>
      <c r="DX45">
        <v>-79.436899999999994</v>
      </c>
      <c r="DY45">
        <v>1154.22</v>
      </c>
      <c r="DZ45">
        <v>1226.8900000000001</v>
      </c>
      <c r="EA45">
        <v>7.2281500000000003</v>
      </c>
      <c r="EB45">
        <v>1200.1500000000001</v>
      </c>
      <c r="EC45">
        <v>21.802</v>
      </c>
      <c r="ED45">
        <v>2.8790900000000001</v>
      </c>
      <c r="EE45">
        <v>2.1622300000000001</v>
      </c>
      <c r="EF45">
        <v>23.3447</v>
      </c>
      <c r="EG45">
        <v>18.685199999999998</v>
      </c>
      <c r="EH45">
        <v>1800</v>
      </c>
      <c r="EI45">
        <v>0.97801000000000005</v>
      </c>
      <c r="EJ45">
        <v>2.1989999999999999E-2</v>
      </c>
      <c r="EK45">
        <v>0</v>
      </c>
      <c r="EL45">
        <v>702.87699999999995</v>
      </c>
      <c r="EM45">
        <v>5.00082</v>
      </c>
      <c r="EN45">
        <v>15906.9</v>
      </c>
      <c r="EO45">
        <v>14129.8</v>
      </c>
      <c r="EP45">
        <v>49.061999999999998</v>
      </c>
      <c r="EQ45">
        <v>50.686999999999998</v>
      </c>
      <c r="ER45">
        <v>50</v>
      </c>
      <c r="ES45">
        <v>50.061999999999998</v>
      </c>
      <c r="ET45">
        <v>50.375</v>
      </c>
      <c r="EU45">
        <v>1755.53</v>
      </c>
      <c r="EV45">
        <v>39.47</v>
      </c>
      <c r="EW45">
        <v>0</v>
      </c>
      <c r="EX45">
        <v>113.3999998569489</v>
      </c>
      <c r="EY45">
        <v>0</v>
      </c>
      <c r="EZ45">
        <v>702.41140000000019</v>
      </c>
      <c r="FA45">
        <v>0.95476922806806819</v>
      </c>
      <c r="FB45">
        <v>-87.392308195409697</v>
      </c>
      <c r="FC45">
        <v>15926.843999999999</v>
      </c>
      <c r="FD45">
        <v>15</v>
      </c>
      <c r="FE45">
        <v>1689003792.5999999</v>
      </c>
      <c r="FF45" t="s">
        <v>570</v>
      </c>
      <c r="FG45">
        <v>1689003792.5999999</v>
      </c>
      <c r="FH45">
        <v>1689003792.0999999</v>
      </c>
      <c r="FI45">
        <v>32</v>
      </c>
      <c r="FJ45">
        <v>2.1999999999999999E-2</v>
      </c>
      <c r="FK45">
        <v>3.0000000000000001E-3</v>
      </c>
      <c r="FL45">
        <v>-2.141</v>
      </c>
      <c r="FM45">
        <v>2.1999999999999999E-2</v>
      </c>
      <c r="FN45">
        <v>1200</v>
      </c>
      <c r="FO45">
        <v>21</v>
      </c>
      <c r="FP45">
        <v>0.05</v>
      </c>
      <c r="FQ45">
        <v>0.01</v>
      </c>
      <c r="FR45">
        <v>59.332006991061249</v>
      </c>
      <c r="FS45">
        <v>-0.5727175076134583</v>
      </c>
      <c r="FT45">
        <v>6.7059497684994016E-2</v>
      </c>
      <c r="FU45">
        <v>1</v>
      </c>
      <c r="FV45">
        <v>0.46226614565853569</v>
      </c>
      <c r="FW45">
        <v>1.566075846753889E-2</v>
      </c>
      <c r="FX45">
        <v>2.0193902025143458E-3</v>
      </c>
      <c r="FY45">
        <v>1</v>
      </c>
      <c r="FZ45">
        <v>2</v>
      </c>
      <c r="GA45">
        <v>2</v>
      </c>
      <c r="GB45" t="s">
        <v>423</v>
      </c>
      <c r="GC45">
        <v>2.9455</v>
      </c>
      <c r="GD45">
        <v>2.7083400000000002</v>
      </c>
      <c r="GE45">
        <v>0.17918799999999999</v>
      </c>
      <c r="GF45">
        <v>0.18703900000000001</v>
      </c>
      <c r="GG45">
        <v>0.12965499999999999</v>
      </c>
      <c r="GH45">
        <v>0.106243</v>
      </c>
      <c r="GI45">
        <v>27096.7</v>
      </c>
      <c r="GJ45">
        <v>26152.9</v>
      </c>
      <c r="GK45">
        <v>34006.800000000003</v>
      </c>
      <c r="GL45">
        <v>32206.1</v>
      </c>
      <c r="GM45">
        <v>42697.9</v>
      </c>
      <c r="GN45">
        <v>40950.699999999997</v>
      </c>
      <c r="GO45">
        <v>49222.5</v>
      </c>
      <c r="GP45">
        <v>45585.1</v>
      </c>
      <c r="GQ45">
        <v>2.0001000000000002</v>
      </c>
      <c r="GR45">
        <v>1.8180700000000001</v>
      </c>
      <c r="GS45">
        <v>4.7914699999999998E-2</v>
      </c>
      <c r="GT45">
        <v>0</v>
      </c>
      <c r="GU45">
        <v>29.314</v>
      </c>
      <c r="GV45">
        <v>999.9</v>
      </c>
      <c r="GW45">
        <v>37.299999999999997</v>
      </c>
      <c r="GX45">
        <v>40.299999999999997</v>
      </c>
      <c r="GY45">
        <v>28.332799999999999</v>
      </c>
      <c r="GZ45">
        <v>60.076799999999999</v>
      </c>
      <c r="HA45">
        <v>26.394200000000001</v>
      </c>
      <c r="HB45">
        <v>1</v>
      </c>
      <c r="HC45">
        <v>0.31293199999999999</v>
      </c>
      <c r="HD45">
        <v>2.88551</v>
      </c>
      <c r="HE45">
        <v>20.201499999999999</v>
      </c>
      <c r="HF45">
        <v>5.2665600000000001</v>
      </c>
      <c r="HG45">
        <v>12.039899999999999</v>
      </c>
      <c r="HH45">
        <v>4.9657</v>
      </c>
      <c r="HI45">
        <v>3.30023</v>
      </c>
      <c r="HJ45">
        <v>9999</v>
      </c>
      <c r="HK45">
        <v>9999</v>
      </c>
      <c r="HL45">
        <v>9999</v>
      </c>
      <c r="HM45">
        <v>999.9</v>
      </c>
      <c r="HN45">
        <v>1.8684400000000001</v>
      </c>
      <c r="HO45">
        <v>1.8721000000000001</v>
      </c>
      <c r="HP45">
        <v>1.87192</v>
      </c>
      <c r="HQ45">
        <v>1.8714200000000001</v>
      </c>
      <c r="HR45">
        <v>1.8646199999999999</v>
      </c>
      <c r="HS45">
        <v>1.8658300000000001</v>
      </c>
      <c r="HT45">
        <v>1.8678300000000001</v>
      </c>
      <c r="HU45">
        <v>1.8724099999999999</v>
      </c>
      <c r="HV45">
        <v>0</v>
      </c>
      <c r="HW45">
        <v>0</v>
      </c>
      <c r="HX45">
        <v>0</v>
      </c>
      <c r="HY45">
        <v>0</v>
      </c>
      <c r="HZ45" t="s">
        <v>424</v>
      </c>
      <c r="IA45" t="s">
        <v>425</v>
      </c>
      <c r="IB45" t="s">
        <v>426</v>
      </c>
      <c r="IC45" t="s">
        <v>426</v>
      </c>
      <c r="ID45" t="s">
        <v>426</v>
      </c>
      <c r="IE45" t="s">
        <v>426</v>
      </c>
      <c r="IF45">
        <v>0</v>
      </c>
      <c r="IG45">
        <v>100</v>
      </c>
      <c r="IH45">
        <v>100</v>
      </c>
      <c r="II45">
        <v>-2.09</v>
      </c>
      <c r="IJ45">
        <v>2.2200000000000001E-2</v>
      </c>
      <c r="IK45">
        <v>-1.075489504543135</v>
      </c>
      <c r="IL45">
        <v>-1.171017271736434E-3</v>
      </c>
      <c r="IM45">
        <v>2.801297040296544E-7</v>
      </c>
      <c r="IN45">
        <v>-3.6238253961199429E-11</v>
      </c>
      <c r="IO45">
        <v>2.218500000000034E-2</v>
      </c>
      <c r="IP45">
        <v>0</v>
      </c>
      <c r="IQ45">
        <v>0</v>
      </c>
      <c r="IR45">
        <v>0</v>
      </c>
      <c r="IS45">
        <v>0</v>
      </c>
      <c r="IT45">
        <v>2161</v>
      </c>
      <c r="IU45">
        <v>1</v>
      </c>
      <c r="IV45">
        <v>19</v>
      </c>
      <c r="IW45">
        <v>0.6</v>
      </c>
      <c r="IX45">
        <v>0.6</v>
      </c>
      <c r="IY45">
        <v>2.52441</v>
      </c>
      <c r="IZ45">
        <v>2.4572799999999999</v>
      </c>
      <c r="JA45">
        <v>1.4440900000000001</v>
      </c>
      <c r="JB45">
        <v>2.2851599999999999</v>
      </c>
      <c r="JC45">
        <v>1.54419</v>
      </c>
      <c r="JD45">
        <v>2.4316399999999998</v>
      </c>
      <c r="JE45">
        <v>44.278700000000001</v>
      </c>
      <c r="JF45">
        <v>24.218800000000002</v>
      </c>
      <c r="JG45">
        <v>18</v>
      </c>
      <c r="JH45">
        <v>510.26499999999999</v>
      </c>
      <c r="JI45">
        <v>432.221</v>
      </c>
      <c r="JJ45">
        <v>26.663599999999999</v>
      </c>
      <c r="JK45">
        <v>31.247800000000002</v>
      </c>
      <c r="JL45">
        <v>30.000599999999999</v>
      </c>
      <c r="JM45">
        <v>31.034400000000002</v>
      </c>
      <c r="JN45">
        <v>30.9787</v>
      </c>
      <c r="JO45">
        <v>50.703600000000002</v>
      </c>
      <c r="JP45">
        <v>27.143599999999999</v>
      </c>
      <c r="JQ45">
        <v>0</v>
      </c>
      <c r="JR45">
        <v>26.6065</v>
      </c>
      <c r="JS45">
        <v>1200</v>
      </c>
      <c r="JT45">
        <v>21.752700000000001</v>
      </c>
      <c r="JU45">
        <v>99.784199999999998</v>
      </c>
      <c r="JV45">
        <v>99.279799999999994</v>
      </c>
    </row>
    <row r="46" spans="1:282" x14ac:dyDescent="0.25">
      <c r="A46">
        <v>30</v>
      </c>
      <c r="B46">
        <v>1689003941.5999999</v>
      </c>
      <c r="C46">
        <v>4764.5999999046326</v>
      </c>
      <c r="D46" t="s">
        <v>571</v>
      </c>
      <c r="E46" t="s">
        <v>572</v>
      </c>
      <c r="F46" t="s">
        <v>414</v>
      </c>
      <c r="G46" t="s">
        <v>415</v>
      </c>
      <c r="H46" t="s">
        <v>500</v>
      </c>
      <c r="I46" t="s">
        <v>416</v>
      </c>
      <c r="J46" t="s">
        <v>501</v>
      </c>
      <c r="K46">
        <v>1689003941.5999999</v>
      </c>
      <c r="L46">
        <f t="shared" si="0"/>
        <v>6.1622197506194286E-3</v>
      </c>
      <c r="M46">
        <f t="shared" si="1"/>
        <v>6.1622197506194283</v>
      </c>
      <c r="N46">
        <f t="shared" si="2"/>
        <v>58.023359587527906</v>
      </c>
      <c r="O46">
        <f t="shared" si="3"/>
        <v>1420.03</v>
      </c>
      <c r="P46">
        <f t="shared" si="4"/>
        <v>1172.9194397755155</v>
      </c>
      <c r="Q46">
        <f t="shared" si="5"/>
        <v>116.43943915157558</v>
      </c>
      <c r="R46">
        <f t="shared" si="6"/>
        <v>140.97088953531002</v>
      </c>
      <c r="S46">
        <f t="shared" si="7"/>
        <v>0.4593630062333055</v>
      </c>
      <c r="T46">
        <f t="shared" si="8"/>
        <v>2.9073359675574069</v>
      </c>
      <c r="U46">
        <f t="shared" si="9"/>
        <v>0.42251832362611286</v>
      </c>
      <c r="V46">
        <f t="shared" si="10"/>
        <v>0.26713759886518362</v>
      </c>
      <c r="W46">
        <f t="shared" si="11"/>
        <v>289.58300895817996</v>
      </c>
      <c r="X46">
        <f t="shared" si="12"/>
        <v>30.58663220912873</v>
      </c>
      <c r="Y46">
        <f t="shared" si="13"/>
        <v>30.001000000000001</v>
      </c>
      <c r="Z46">
        <f t="shared" si="14"/>
        <v>4.2606944952902355</v>
      </c>
      <c r="AA46">
        <f t="shared" si="15"/>
        <v>65.412712239709506</v>
      </c>
      <c r="AB46">
        <f t="shared" si="16"/>
        <v>2.8648054872306004</v>
      </c>
      <c r="AC46">
        <f t="shared" si="17"/>
        <v>4.3795852352556768</v>
      </c>
      <c r="AD46">
        <f t="shared" si="18"/>
        <v>1.3958890080596351</v>
      </c>
      <c r="AE46">
        <f t="shared" si="19"/>
        <v>-271.75389100231678</v>
      </c>
      <c r="AF46">
        <f t="shared" si="20"/>
        <v>75.235342407818422</v>
      </c>
      <c r="AG46">
        <f t="shared" si="21"/>
        <v>5.7676901462359504</v>
      </c>
      <c r="AH46">
        <f t="shared" si="22"/>
        <v>98.832150509917568</v>
      </c>
      <c r="AI46">
        <v>0</v>
      </c>
      <c r="AJ46">
        <v>0</v>
      </c>
      <c r="AK46">
        <f t="shared" si="23"/>
        <v>1</v>
      </c>
      <c r="AL46">
        <f t="shared" si="24"/>
        <v>0</v>
      </c>
      <c r="AM46">
        <f t="shared" si="25"/>
        <v>51620.71694945221</v>
      </c>
      <c r="AN46" t="s">
        <v>418</v>
      </c>
      <c r="AO46">
        <v>10076.700000000001</v>
      </c>
      <c r="AP46">
        <v>185.01599999999999</v>
      </c>
      <c r="AQ46">
        <v>473.06</v>
      </c>
      <c r="AR46">
        <f t="shared" si="26"/>
        <v>0.60889527755464423</v>
      </c>
      <c r="AS46">
        <v>-1.4827006201179751</v>
      </c>
      <c r="AT46" t="s">
        <v>573</v>
      </c>
      <c r="AU46">
        <v>8085.27</v>
      </c>
      <c r="AV46">
        <v>701.84143999999981</v>
      </c>
      <c r="AW46">
        <v>1171.755062981774</v>
      </c>
      <c r="AX46">
        <f t="shared" si="27"/>
        <v>0.40103400260629674</v>
      </c>
      <c r="AY46">
        <v>0.5</v>
      </c>
      <c r="AZ46">
        <f t="shared" si="28"/>
        <v>1513.2689994601967</v>
      </c>
      <c r="BA46">
        <f t="shared" si="29"/>
        <v>58.023359587527906</v>
      </c>
      <c r="BB46">
        <f t="shared" si="30"/>
        <v>303.43616193677428</v>
      </c>
      <c r="BC46">
        <f t="shared" si="31"/>
        <v>3.9322856827750045E-2</v>
      </c>
      <c r="BD46">
        <f t="shared" si="32"/>
        <v>-0.59628081418637047</v>
      </c>
      <c r="BE46">
        <f t="shared" si="33"/>
        <v>241.28584866723489</v>
      </c>
      <c r="BF46" t="s">
        <v>574</v>
      </c>
      <c r="BG46">
        <v>542.13</v>
      </c>
      <c r="BH46">
        <f t="shared" si="34"/>
        <v>542.13</v>
      </c>
      <c r="BI46">
        <f t="shared" si="35"/>
        <v>0.53733504797458465</v>
      </c>
      <c r="BJ46">
        <f t="shared" si="36"/>
        <v>0.74633881433556748</v>
      </c>
      <c r="BK46">
        <f t="shared" si="37"/>
        <v>10.115753047368962</v>
      </c>
      <c r="BL46">
        <f t="shared" si="38"/>
        <v>0.47622886395291508</v>
      </c>
      <c r="BM46">
        <f t="shared" si="39"/>
        <v>-2.4256539382239315</v>
      </c>
      <c r="BN46">
        <f t="shared" si="40"/>
        <v>0.57650152635008456</v>
      </c>
      <c r="BO46">
        <f t="shared" si="41"/>
        <v>0.42349847364991544</v>
      </c>
      <c r="BP46">
        <v>9113</v>
      </c>
      <c r="BQ46">
        <v>290.00000000000011</v>
      </c>
      <c r="BR46">
        <v>1015.47</v>
      </c>
      <c r="BS46">
        <v>295</v>
      </c>
      <c r="BT46">
        <v>8085.27</v>
      </c>
      <c r="BU46">
        <v>1018.23</v>
      </c>
      <c r="BV46">
        <v>-2.76</v>
      </c>
      <c r="BW46">
        <v>300.00000000000011</v>
      </c>
      <c r="BX46">
        <v>19.2</v>
      </c>
      <c r="BY46">
        <v>1171.755062981774</v>
      </c>
      <c r="BZ46">
        <v>4.2887426677706184</v>
      </c>
      <c r="CA46">
        <v>-124.1287054461456</v>
      </c>
      <c r="CB46">
        <v>3.186214470118899</v>
      </c>
      <c r="CC46">
        <v>0.98188557838798562</v>
      </c>
      <c r="CD46">
        <v>-4.1661203559510539E-3</v>
      </c>
      <c r="CE46">
        <v>289.99999999999989</v>
      </c>
      <c r="CF46">
        <v>1013.56</v>
      </c>
      <c r="CG46">
        <v>645</v>
      </c>
      <c r="CH46">
        <v>8078.25</v>
      </c>
      <c r="CI46">
        <v>1018.1</v>
      </c>
      <c r="CJ46">
        <v>-4.54</v>
      </c>
      <c r="CX46">
        <f t="shared" si="42"/>
        <v>1800.1</v>
      </c>
      <c r="CY46">
        <f t="shared" si="43"/>
        <v>1513.2689994601967</v>
      </c>
      <c r="CZ46">
        <f t="shared" si="44"/>
        <v>0.84065829646141699</v>
      </c>
      <c r="DA46">
        <f t="shared" si="45"/>
        <v>0.16087051217053497</v>
      </c>
      <c r="DB46">
        <v>6</v>
      </c>
      <c r="DC46">
        <v>0.5</v>
      </c>
      <c r="DD46" t="s">
        <v>421</v>
      </c>
      <c r="DE46">
        <v>2</v>
      </c>
      <c r="DF46">
        <v>1689003941.5999999</v>
      </c>
      <c r="DG46">
        <v>1420.03</v>
      </c>
      <c r="DH46">
        <v>1500.13</v>
      </c>
      <c r="DI46">
        <v>28.857800000000001</v>
      </c>
      <c r="DJ46">
        <v>21.679099999999998</v>
      </c>
      <c r="DK46">
        <v>1422.31</v>
      </c>
      <c r="DL46">
        <v>28.83</v>
      </c>
      <c r="DM46">
        <v>500.17899999999997</v>
      </c>
      <c r="DN46">
        <v>99.173000000000002</v>
      </c>
      <c r="DO46">
        <v>0.100177</v>
      </c>
      <c r="DP46">
        <v>30.481000000000002</v>
      </c>
      <c r="DQ46">
        <v>30.001000000000001</v>
      </c>
      <c r="DR46">
        <v>999.9</v>
      </c>
      <c r="DS46">
        <v>0</v>
      </c>
      <c r="DT46">
        <v>0</v>
      </c>
      <c r="DU46">
        <v>9956.25</v>
      </c>
      <c r="DV46">
        <v>0</v>
      </c>
      <c r="DW46">
        <v>1712.83</v>
      </c>
      <c r="DX46">
        <v>-80.105999999999995</v>
      </c>
      <c r="DY46">
        <v>1462.22</v>
      </c>
      <c r="DZ46">
        <v>1533.38</v>
      </c>
      <c r="EA46">
        <v>7.1787200000000002</v>
      </c>
      <c r="EB46">
        <v>1500.13</v>
      </c>
      <c r="EC46">
        <v>21.679099999999998</v>
      </c>
      <c r="ED46">
        <v>2.86191</v>
      </c>
      <c r="EE46">
        <v>2.1499799999999998</v>
      </c>
      <c r="EF46">
        <v>23.2456</v>
      </c>
      <c r="EG46">
        <v>18.5944</v>
      </c>
      <c r="EH46">
        <v>1800.1</v>
      </c>
      <c r="EI46">
        <v>0.97799599999999998</v>
      </c>
      <c r="EJ46">
        <v>2.2003499999999999E-2</v>
      </c>
      <c r="EK46">
        <v>0</v>
      </c>
      <c r="EL46">
        <v>701.53200000000004</v>
      </c>
      <c r="EM46">
        <v>5.00082</v>
      </c>
      <c r="EN46">
        <v>15167.1</v>
      </c>
      <c r="EO46">
        <v>14130.5</v>
      </c>
      <c r="EP46">
        <v>49.186999999999998</v>
      </c>
      <c r="EQ46">
        <v>50.875</v>
      </c>
      <c r="ER46">
        <v>50.125</v>
      </c>
      <c r="ES46">
        <v>50.186999999999998</v>
      </c>
      <c r="ET46">
        <v>50.5</v>
      </c>
      <c r="EU46">
        <v>1755.6</v>
      </c>
      <c r="EV46">
        <v>39.5</v>
      </c>
      <c r="EW46">
        <v>0</v>
      </c>
      <c r="EX46">
        <v>113.5999999046326</v>
      </c>
      <c r="EY46">
        <v>0</v>
      </c>
      <c r="EZ46">
        <v>701.84143999999981</v>
      </c>
      <c r="FA46">
        <v>-0.69084614095172026</v>
      </c>
      <c r="FB46">
        <v>-2449.9153878942971</v>
      </c>
      <c r="FC46">
        <v>15814.103999999999</v>
      </c>
      <c r="FD46">
        <v>15</v>
      </c>
      <c r="FE46">
        <v>1689003909.0999999</v>
      </c>
      <c r="FF46" t="s">
        <v>575</v>
      </c>
      <c r="FG46">
        <v>1689003792.5999999</v>
      </c>
      <c r="FH46">
        <v>1689003902.5999999</v>
      </c>
      <c r="FI46">
        <v>33</v>
      </c>
      <c r="FJ46">
        <v>2.1999999999999999E-2</v>
      </c>
      <c r="FK46">
        <v>6.0000000000000001E-3</v>
      </c>
      <c r="FL46">
        <v>-2.141</v>
      </c>
      <c r="FM46">
        <v>2.8000000000000001E-2</v>
      </c>
      <c r="FN46">
        <v>1200</v>
      </c>
      <c r="FO46">
        <v>22</v>
      </c>
      <c r="FP46">
        <v>0.05</v>
      </c>
      <c r="FQ46">
        <v>0.02</v>
      </c>
      <c r="FR46">
        <v>57.981905234952137</v>
      </c>
      <c r="FS46">
        <v>-0.63708236750923386</v>
      </c>
      <c r="FT46">
        <v>7.9003027029621073E-2</v>
      </c>
      <c r="FU46">
        <v>1</v>
      </c>
      <c r="FV46">
        <v>0.46458183868690051</v>
      </c>
      <c r="FW46">
        <v>-1.394983537582694E-2</v>
      </c>
      <c r="FX46">
        <v>1.634103701390627E-3</v>
      </c>
      <c r="FY46">
        <v>1</v>
      </c>
      <c r="FZ46">
        <v>2</v>
      </c>
      <c r="GA46">
        <v>2</v>
      </c>
      <c r="GB46" t="s">
        <v>423</v>
      </c>
      <c r="GC46">
        <v>2.9459</v>
      </c>
      <c r="GD46">
        <v>2.7084600000000001</v>
      </c>
      <c r="GE46">
        <v>0.207089</v>
      </c>
      <c r="GF46">
        <v>0.214092</v>
      </c>
      <c r="GG46">
        <v>0.12908900000000001</v>
      </c>
      <c r="GH46">
        <v>0.105806</v>
      </c>
      <c r="GI46">
        <v>26170.5</v>
      </c>
      <c r="GJ46">
        <v>25277.599999999999</v>
      </c>
      <c r="GK46">
        <v>34002.800000000003</v>
      </c>
      <c r="GL46">
        <v>32202.400000000001</v>
      </c>
      <c r="GM46">
        <v>42722</v>
      </c>
      <c r="GN46">
        <v>40966.699999999997</v>
      </c>
      <c r="GO46">
        <v>49216.9</v>
      </c>
      <c r="GP46">
        <v>45579.8</v>
      </c>
      <c r="GQ46">
        <v>1.9992700000000001</v>
      </c>
      <c r="GR46">
        <v>1.8170999999999999</v>
      </c>
      <c r="GS46">
        <v>4.4617799999999999E-2</v>
      </c>
      <c r="GT46">
        <v>0</v>
      </c>
      <c r="GU46">
        <v>29.2745</v>
      </c>
      <c r="GV46">
        <v>999.9</v>
      </c>
      <c r="GW46">
        <v>37.299999999999997</v>
      </c>
      <c r="GX46">
        <v>40.4</v>
      </c>
      <c r="GY46">
        <v>28.486799999999999</v>
      </c>
      <c r="GZ46">
        <v>60.186700000000002</v>
      </c>
      <c r="HA46">
        <v>25.524799999999999</v>
      </c>
      <c r="HB46">
        <v>1</v>
      </c>
      <c r="HC46">
        <v>0.31586399999999998</v>
      </c>
      <c r="HD46">
        <v>2.1531500000000001</v>
      </c>
      <c r="HE46">
        <v>20.212700000000002</v>
      </c>
      <c r="HF46">
        <v>5.2665600000000001</v>
      </c>
      <c r="HG46">
        <v>12.039899999999999</v>
      </c>
      <c r="HH46">
        <v>4.9657999999999998</v>
      </c>
      <c r="HI46">
        <v>3.30023</v>
      </c>
      <c r="HJ46">
        <v>9999</v>
      </c>
      <c r="HK46">
        <v>9999</v>
      </c>
      <c r="HL46">
        <v>9999</v>
      </c>
      <c r="HM46">
        <v>999.9</v>
      </c>
      <c r="HN46">
        <v>1.8684400000000001</v>
      </c>
      <c r="HO46">
        <v>1.8721000000000001</v>
      </c>
      <c r="HP46">
        <v>1.8719399999999999</v>
      </c>
      <c r="HQ46">
        <v>1.8714599999999999</v>
      </c>
      <c r="HR46">
        <v>1.8646199999999999</v>
      </c>
      <c r="HS46">
        <v>1.8658399999999999</v>
      </c>
      <c r="HT46">
        <v>1.8678399999999999</v>
      </c>
      <c r="HU46">
        <v>1.8724099999999999</v>
      </c>
      <c r="HV46">
        <v>0</v>
      </c>
      <c r="HW46">
        <v>0</v>
      </c>
      <c r="HX46">
        <v>0</v>
      </c>
      <c r="HY46">
        <v>0</v>
      </c>
      <c r="HZ46" t="s">
        <v>424</v>
      </c>
      <c r="IA46" t="s">
        <v>425</v>
      </c>
      <c r="IB46" t="s">
        <v>426</v>
      </c>
      <c r="IC46" t="s">
        <v>426</v>
      </c>
      <c r="ID46" t="s">
        <v>426</v>
      </c>
      <c r="IE46" t="s">
        <v>426</v>
      </c>
      <c r="IF46">
        <v>0</v>
      </c>
      <c r="IG46">
        <v>100</v>
      </c>
      <c r="IH46">
        <v>100</v>
      </c>
      <c r="II46">
        <v>-2.2799999999999998</v>
      </c>
      <c r="IJ46">
        <v>2.7799999999999998E-2</v>
      </c>
      <c r="IK46">
        <v>-1.075489504543135</v>
      </c>
      <c r="IL46">
        <v>-1.171017271736434E-3</v>
      </c>
      <c r="IM46">
        <v>2.801297040296544E-7</v>
      </c>
      <c r="IN46">
        <v>-3.6238253961199429E-11</v>
      </c>
      <c r="IO46">
        <v>2.774000000000143E-2</v>
      </c>
      <c r="IP46">
        <v>0</v>
      </c>
      <c r="IQ46">
        <v>0</v>
      </c>
      <c r="IR46">
        <v>0</v>
      </c>
      <c r="IS46">
        <v>0</v>
      </c>
      <c r="IT46">
        <v>2161</v>
      </c>
      <c r="IU46">
        <v>1</v>
      </c>
      <c r="IV46">
        <v>19</v>
      </c>
      <c r="IW46">
        <v>2.5</v>
      </c>
      <c r="IX46">
        <v>0.7</v>
      </c>
      <c r="IY46">
        <v>3.0297900000000002</v>
      </c>
      <c r="IZ46">
        <v>2.4597199999999999</v>
      </c>
      <c r="JA46">
        <v>1.4440900000000001</v>
      </c>
      <c r="JB46">
        <v>2.2851599999999999</v>
      </c>
      <c r="JC46">
        <v>1.54419</v>
      </c>
      <c r="JD46">
        <v>2.3303199999999999</v>
      </c>
      <c r="JE46">
        <v>44.389899999999997</v>
      </c>
      <c r="JF46">
        <v>24.218800000000002</v>
      </c>
      <c r="JG46">
        <v>18</v>
      </c>
      <c r="JH46">
        <v>510.15100000000001</v>
      </c>
      <c r="JI46">
        <v>431.96899999999999</v>
      </c>
      <c r="JJ46">
        <v>26.875900000000001</v>
      </c>
      <c r="JK46">
        <v>31.3095</v>
      </c>
      <c r="JL46">
        <v>29.9999</v>
      </c>
      <c r="JM46">
        <v>31.085599999999999</v>
      </c>
      <c r="JN46">
        <v>31.0275</v>
      </c>
      <c r="JO46">
        <v>60.798499999999997</v>
      </c>
      <c r="JP46">
        <v>28.377800000000001</v>
      </c>
      <c r="JQ46">
        <v>0</v>
      </c>
      <c r="JR46">
        <v>26.913599999999999</v>
      </c>
      <c r="JS46">
        <v>1500</v>
      </c>
      <c r="JT46">
        <v>21.569400000000002</v>
      </c>
      <c r="JU46">
        <v>99.772800000000004</v>
      </c>
      <c r="JV46">
        <v>99.268199999999993</v>
      </c>
    </row>
    <row r="47" spans="1:282" x14ac:dyDescent="0.25">
      <c r="A47">
        <v>31</v>
      </c>
      <c r="B47">
        <v>1689004798.0999999</v>
      </c>
      <c r="C47">
        <v>5621.0999999046326</v>
      </c>
      <c r="D47" t="s">
        <v>576</v>
      </c>
      <c r="E47" t="s">
        <v>577</v>
      </c>
      <c r="F47" t="s">
        <v>414</v>
      </c>
      <c r="G47" t="s">
        <v>415</v>
      </c>
      <c r="H47" t="s">
        <v>578</v>
      </c>
      <c r="I47" t="s">
        <v>416</v>
      </c>
      <c r="J47" t="s">
        <v>579</v>
      </c>
      <c r="K47">
        <v>1689004798.0999999</v>
      </c>
      <c r="L47">
        <f t="shared" si="0"/>
        <v>4.8425862979833648E-3</v>
      </c>
      <c r="M47">
        <f t="shared" si="1"/>
        <v>4.8425862979833649</v>
      </c>
      <c r="N47">
        <f t="shared" si="2"/>
        <v>50.357820280277743</v>
      </c>
      <c r="O47">
        <f t="shared" si="3"/>
        <v>337.66399999999999</v>
      </c>
      <c r="P47">
        <f t="shared" si="4"/>
        <v>93.925967853615177</v>
      </c>
      <c r="Q47">
        <f t="shared" si="5"/>
        <v>9.3230789830701504</v>
      </c>
      <c r="R47">
        <f t="shared" si="6"/>
        <v>33.516483393023996</v>
      </c>
      <c r="S47">
        <f t="shared" si="7"/>
        <v>0.35698135038543682</v>
      </c>
      <c r="T47">
        <f t="shared" si="8"/>
        <v>2.9177216172628042</v>
      </c>
      <c r="U47">
        <f t="shared" si="9"/>
        <v>0.33437076126552084</v>
      </c>
      <c r="V47">
        <f t="shared" si="10"/>
        <v>0.21089374382797837</v>
      </c>
      <c r="W47">
        <f t="shared" si="11"/>
        <v>289.548334958586</v>
      </c>
      <c r="X47">
        <f t="shared" si="12"/>
        <v>30.929131362487023</v>
      </c>
      <c r="Y47">
        <f t="shared" si="13"/>
        <v>29.927099999999999</v>
      </c>
      <c r="Z47">
        <f t="shared" si="14"/>
        <v>4.2426424395702194</v>
      </c>
      <c r="AA47">
        <f t="shared" si="15"/>
        <v>65.225320861609845</v>
      </c>
      <c r="AB47">
        <f t="shared" si="16"/>
        <v>2.8565004237479998</v>
      </c>
      <c r="AC47">
        <f t="shared" si="17"/>
        <v>4.3794348360642124</v>
      </c>
      <c r="AD47">
        <f t="shared" si="18"/>
        <v>1.3861420158222195</v>
      </c>
      <c r="AE47">
        <f t="shared" si="19"/>
        <v>-213.5580557410664</v>
      </c>
      <c r="AF47">
        <f t="shared" si="20"/>
        <v>87.034204992268371</v>
      </c>
      <c r="AG47">
        <f t="shared" si="21"/>
        <v>6.6460160825476073</v>
      </c>
      <c r="AH47">
        <f t="shared" si="22"/>
        <v>169.67050029233556</v>
      </c>
      <c r="AI47">
        <v>0</v>
      </c>
      <c r="AJ47">
        <v>0</v>
      </c>
      <c r="AK47">
        <f t="shared" si="23"/>
        <v>1</v>
      </c>
      <c r="AL47">
        <f t="shared" si="24"/>
        <v>0</v>
      </c>
      <c r="AM47">
        <f t="shared" si="25"/>
        <v>51915.523991459246</v>
      </c>
      <c r="AN47" t="s">
        <v>418</v>
      </c>
      <c r="AO47">
        <v>10076.700000000001</v>
      </c>
      <c r="AP47">
        <v>185.01599999999999</v>
      </c>
      <c r="AQ47">
        <v>473.06</v>
      </c>
      <c r="AR47">
        <f t="shared" si="26"/>
        <v>0.60889527755464423</v>
      </c>
      <c r="AS47">
        <v>-1.4827006201179751</v>
      </c>
      <c r="AT47" t="s">
        <v>580</v>
      </c>
      <c r="AU47">
        <v>8095.86</v>
      </c>
      <c r="AV47">
        <v>696.97184615384617</v>
      </c>
      <c r="AW47">
        <v>1064.76828194824</v>
      </c>
      <c r="AX47">
        <f t="shared" si="27"/>
        <v>0.34542392183342008</v>
      </c>
      <c r="AY47">
        <v>0.5</v>
      </c>
      <c r="AZ47">
        <f t="shared" si="28"/>
        <v>1513.0919994604071</v>
      </c>
      <c r="BA47">
        <f t="shared" si="29"/>
        <v>50.357820280277743</v>
      </c>
      <c r="BB47">
        <f t="shared" si="30"/>
        <v>261.32908627419249</v>
      </c>
      <c r="BC47">
        <f t="shared" si="31"/>
        <v>3.4261314526071701E-2</v>
      </c>
      <c r="BD47">
        <f t="shared" si="32"/>
        <v>-0.55571554109930177</v>
      </c>
      <c r="BE47">
        <f t="shared" si="33"/>
        <v>236.39473420635014</v>
      </c>
      <c r="BF47" t="s">
        <v>581</v>
      </c>
      <c r="BG47">
        <v>545.34</v>
      </c>
      <c r="BH47">
        <f t="shared" si="34"/>
        <v>545.34</v>
      </c>
      <c r="BI47">
        <f t="shared" si="35"/>
        <v>0.48783222674310478</v>
      </c>
      <c r="BJ47">
        <f t="shared" si="36"/>
        <v>0.70807934141530637</v>
      </c>
      <c r="BK47">
        <f t="shared" si="37"/>
        <v>8.1863348360298804</v>
      </c>
      <c r="BL47">
        <f t="shared" si="38"/>
        <v>0.41806818048814454</v>
      </c>
      <c r="BM47">
        <f t="shared" si="39"/>
        <v>-2.0542288051417148</v>
      </c>
      <c r="BN47">
        <f t="shared" si="40"/>
        <v>0.55403097008625457</v>
      </c>
      <c r="BO47">
        <f t="shared" si="41"/>
        <v>0.44596902991374543</v>
      </c>
      <c r="BP47">
        <v>9115</v>
      </c>
      <c r="BQ47">
        <v>290.00000000000011</v>
      </c>
      <c r="BR47">
        <v>945.79</v>
      </c>
      <c r="BS47">
        <v>275</v>
      </c>
      <c r="BT47">
        <v>8095.86</v>
      </c>
      <c r="BU47">
        <v>948.09</v>
      </c>
      <c r="BV47">
        <v>-2.2999999999999998</v>
      </c>
      <c r="BW47">
        <v>300.00000000000011</v>
      </c>
      <c r="BX47">
        <v>19.2</v>
      </c>
      <c r="BY47">
        <v>1064.76828194824</v>
      </c>
      <c r="BZ47">
        <v>4.5287509940238913</v>
      </c>
      <c r="CA47">
        <v>-94.457204086361543</v>
      </c>
      <c r="CB47">
        <v>3.368810230051678</v>
      </c>
      <c r="CC47">
        <v>0.96560919469295003</v>
      </c>
      <c r="CD47">
        <v>-4.1705038932146861E-3</v>
      </c>
      <c r="CE47">
        <v>289.99999999999989</v>
      </c>
      <c r="CF47">
        <v>945.22</v>
      </c>
      <c r="CG47">
        <v>665</v>
      </c>
      <c r="CH47">
        <v>8088.1</v>
      </c>
      <c r="CI47">
        <v>947.98</v>
      </c>
      <c r="CJ47">
        <v>-2.76</v>
      </c>
      <c r="CX47">
        <f t="shared" si="42"/>
        <v>1799.89</v>
      </c>
      <c r="CY47">
        <f t="shared" si="43"/>
        <v>1513.0919994604071</v>
      </c>
      <c r="CZ47">
        <f t="shared" si="44"/>
        <v>0.84065803991377641</v>
      </c>
      <c r="DA47">
        <f t="shared" si="45"/>
        <v>0.16087001703358872</v>
      </c>
      <c r="DB47">
        <v>6</v>
      </c>
      <c r="DC47">
        <v>0.5</v>
      </c>
      <c r="DD47" t="s">
        <v>421</v>
      </c>
      <c r="DE47">
        <v>2</v>
      </c>
      <c r="DF47">
        <v>1689004798.0999999</v>
      </c>
      <c r="DG47">
        <v>337.66399999999999</v>
      </c>
      <c r="DH47">
        <v>400.036</v>
      </c>
      <c r="DI47">
        <v>28.777999999999999</v>
      </c>
      <c r="DJ47">
        <v>23.135899999999999</v>
      </c>
      <c r="DK47">
        <v>338.99599999999998</v>
      </c>
      <c r="DL47">
        <v>28.7288</v>
      </c>
      <c r="DM47">
        <v>500.15699999999998</v>
      </c>
      <c r="DN47">
        <v>99.159700000000001</v>
      </c>
      <c r="DO47">
        <v>0.10016600000000001</v>
      </c>
      <c r="DP47">
        <v>30.480399999999999</v>
      </c>
      <c r="DQ47">
        <v>29.927099999999999</v>
      </c>
      <c r="DR47">
        <v>999.9</v>
      </c>
      <c r="DS47">
        <v>0</v>
      </c>
      <c r="DT47">
        <v>0</v>
      </c>
      <c r="DU47">
        <v>10016.9</v>
      </c>
      <c r="DV47">
        <v>0</v>
      </c>
      <c r="DW47">
        <v>523.02599999999995</v>
      </c>
      <c r="DX47">
        <v>-62.3718</v>
      </c>
      <c r="DY47">
        <v>347.66899999999998</v>
      </c>
      <c r="DZ47">
        <v>409.51</v>
      </c>
      <c r="EA47">
        <v>5.6421200000000002</v>
      </c>
      <c r="EB47">
        <v>400.036</v>
      </c>
      <c r="EC47">
        <v>23.135899999999999</v>
      </c>
      <c r="ED47">
        <v>2.8536199999999998</v>
      </c>
      <c r="EE47">
        <v>2.2941500000000001</v>
      </c>
      <c r="EF47">
        <v>23.197600000000001</v>
      </c>
      <c r="EG47">
        <v>19.635400000000001</v>
      </c>
      <c r="EH47">
        <v>1799.89</v>
      </c>
      <c r="EI47">
        <v>0.97800200000000004</v>
      </c>
      <c r="EJ47">
        <v>2.1998199999999999E-2</v>
      </c>
      <c r="EK47">
        <v>0</v>
      </c>
      <c r="EL47">
        <v>696.73400000000004</v>
      </c>
      <c r="EM47">
        <v>5.00082</v>
      </c>
      <c r="EN47">
        <v>14386.4</v>
      </c>
      <c r="EO47">
        <v>14128.9</v>
      </c>
      <c r="EP47">
        <v>47.811999999999998</v>
      </c>
      <c r="EQ47">
        <v>49.061999999999998</v>
      </c>
      <c r="ER47">
        <v>48.811999999999998</v>
      </c>
      <c r="ES47">
        <v>48.686999999999998</v>
      </c>
      <c r="ET47">
        <v>49.25</v>
      </c>
      <c r="EU47">
        <v>1755.41</v>
      </c>
      <c r="EV47">
        <v>39.479999999999997</v>
      </c>
      <c r="EW47">
        <v>0</v>
      </c>
      <c r="EX47">
        <v>854.59999990463257</v>
      </c>
      <c r="EY47">
        <v>0</v>
      </c>
      <c r="EZ47">
        <v>696.97184615384617</v>
      </c>
      <c r="FA47">
        <v>-0.48280341266466831</v>
      </c>
      <c r="FB47">
        <v>-235.8700859577223</v>
      </c>
      <c r="FC47">
        <v>14422.23846153846</v>
      </c>
      <c r="FD47">
        <v>15</v>
      </c>
      <c r="FE47">
        <v>1689004760.5999999</v>
      </c>
      <c r="FF47" t="s">
        <v>582</v>
      </c>
      <c r="FG47">
        <v>1689004760.5999999</v>
      </c>
      <c r="FH47">
        <v>1689004752.0999999</v>
      </c>
      <c r="FI47">
        <v>35</v>
      </c>
      <c r="FJ47">
        <v>0.19400000000000001</v>
      </c>
      <c r="FK47">
        <v>2.1999999999999999E-2</v>
      </c>
      <c r="FL47">
        <v>-1.393</v>
      </c>
      <c r="FM47">
        <v>4.9000000000000002E-2</v>
      </c>
      <c r="FN47">
        <v>400</v>
      </c>
      <c r="FO47">
        <v>23</v>
      </c>
      <c r="FP47">
        <v>0.04</v>
      </c>
      <c r="FQ47">
        <v>0.02</v>
      </c>
      <c r="FR47">
        <v>50.315143154287298</v>
      </c>
      <c r="FS47">
        <v>-0.63324548401101832</v>
      </c>
      <c r="FT47">
        <v>6.3902333155162375E-2</v>
      </c>
      <c r="FU47">
        <v>1</v>
      </c>
      <c r="FV47">
        <v>0.35773622427347068</v>
      </c>
      <c r="FW47">
        <v>2.7826911040696321E-3</v>
      </c>
      <c r="FX47">
        <v>1.15443091312664E-3</v>
      </c>
      <c r="FY47">
        <v>1</v>
      </c>
      <c r="FZ47">
        <v>2</v>
      </c>
      <c r="GA47">
        <v>2</v>
      </c>
      <c r="GB47" t="s">
        <v>423</v>
      </c>
      <c r="GC47">
        <v>2.9462000000000002</v>
      </c>
      <c r="GD47">
        <v>2.7089699999999999</v>
      </c>
      <c r="GE47">
        <v>7.7469700000000002E-2</v>
      </c>
      <c r="GF47">
        <v>8.8320499999999996E-2</v>
      </c>
      <c r="GG47">
        <v>0.12892500000000001</v>
      </c>
      <c r="GH47">
        <v>0.110872</v>
      </c>
      <c r="GI47">
        <v>30494.9</v>
      </c>
      <c r="GJ47">
        <v>29370.1</v>
      </c>
      <c r="GK47">
        <v>34045.599999999999</v>
      </c>
      <c r="GL47">
        <v>32245.4</v>
      </c>
      <c r="GM47">
        <v>42772.7</v>
      </c>
      <c r="GN47">
        <v>40783.9</v>
      </c>
      <c r="GO47">
        <v>49272.9</v>
      </c>
      <c r="GP47">
        <v>45640.7</v>
      </c>
      <c r="GQ47">
        <v>2.0069699999999999</v>
      </c>
      <c r="GR47">
        <v>1.82358</v>
      </c>
      <c r="GS47">
        <v>7.0385600000000006E-2</v>
      </c>
      <c r="GT47">
        <v>0</v>
      </c>
      <c r="GU47">
        <v>28.7804</v>
      </c>
      <c r="GV47">
        <v>999.9</v>
      </c>
      <c r="GW47">
        <v>36.4</v>
      </c>
      <c r="GX47">
        <v>40.6</v>
      </c>
      <c r="GY47">
        <v>28.098600000000001</v>
      </c>
      <c r="GZ47">
        <v>60.076799999999999</v>
      </c>
      <c r="HA47">
        <v>26.129799999999999</v>
      </c>
      <c r="HB47">
        <v>1</v>
      </c>
      <c r="HC47">
        <v>0.26058700000000001</v>
      </c>
      <c r="HD47">
        <v>0.80454499999999995</v>
      </c>
      <c r="HE47">
        <v>20.227599999999999</v>
      </c>
      <c r="HF47">
        <v>5.2709000000000001</v>
      </c>
      <c r="HG47">
        <v>12.039899999999999</v>
      </c>
      <c r="HH47">
        <v>4.9666499999999996</v>
      </c>
      <c r="HI47">
        <v>3.3010000000000002</v>
      </c>
      <c r="HJ47">
        <v>9999</v>
      </c>
      <c r="HK47">
        <v>9999</v>
      </c>
      <c r="HL47">
        <v>9999</v>
      </c>
      <c r="HM47">
        <v>999.9</v>
      </c>
      <c r="HN47">
        <v>1.8684400000000001</v>
      </c>
      <c r="HO47">
        <v>1.87209</v>
      </c>
      <c r="HP47">
        <v>1.87192</v>
      </c>
      <c r="HQ47">
        <v>1.87138</v>
      </c>
      <c r="HR47">
        <v>1.8646199999999999</v>
      </c>
      <c r="HS47">
        <v>1.8658300000000001</v>
      </c>
      <c r="HT47">
        <v>1.8678300000000001</v>
      </c>
      <c r="HU47">
        <v>1.87239</v>
      </c>
      <c r="HV47">
        <v>0</v>
      </c>
      <c r="HW47">
        <v>0</v>
      </c>
      <c r="HX47">
        <v>0</v>
      </c>
      <c r="HY47">
        <v>0</v>
      </c>
      <c r="HZ47" t="s">
        <v>424</v>
      </c>
      <c r="IA47" t="s">
        <v>425</v>
      </c>
      <c r="IB47" t="s">
        <v>426</v>
      </c>
      <c r="IC47" t="s">
        <v>426</v>
      </c>
      <c r="ID47" t="s">
        <v>426</v>
      </c>
      <c r="IE47" t="s">
        <v>426</v>
      </c>
      <c r="IF47">
        <v>0</v>
      </c>
      <c r="IG47">
        <v>100</v>
      </c>
      <c r="IH47">
        <v>100</v>
      </c>
      <c r="II47">
        <v>-1.3320000000000001</v>
      </c>
      <c r="IJ47">
        <v>4.9200000000000001E-2</v>
      </c>
      <c r="IK47">
        <v>-0.96584275832344768</v>
      </c>
      <c r="IL47">
        <v>-1.171017271736434E-3</v>
      </c>
      <c r="IM47">
        <v>2.801297040296544E-7</v>
      </c>
      <c r="IN47">
        <v>-3.6238253961199429E-11</v>
      </c>
      <c r="IO47">
        <v>4.9279999999995987E-2</v>
      </c>
      <c r="IP47">
        <v>0</v>
      </c>
      <c r="IQ47">
        <v>0</v>
      </c>
      <c r="IR47">
        <v>0</v>
      </c>
      <c r="IS47">
        <v>0</v>
      </c>
      <c r="IT47">
        <v>2161</v>
      </c>
      <c r="IU47">
        <v>1</v>
      </c>
      <c r="IV47">
        <v>19</v>
      </c>
      <c r="IW47">
        <v>0.6</v>
      </c>
      <c r="IX47">
        <v>0.8</v>
      </c>
      <c r="IY47">
        <v>1.0363800000000001</v>
      </c>
      <c r="IZ47">
        <v>2.4841299999999999</v>
      </c>
      <c r="JA47">
        <v>1.4440900000000001</v>
      </c>
      <c r="JB47">
        <v>2.2814899999999998</v>
      </c>
      <c r="JC47">
        <v>1.54419</v>
      </c>
      <c r="JD47">
        <v>2.3986800000000001</v>
      </c>
      <c r="JE47">
        <v>44.029499999999999</v>
      </c>
      <c r="JF47">
        <v>24.227599999999999</v>
      </c>
      <c r="JG47">
        <v>18</v>
      </c>
      <c r="JH47">
        <v>510.428</v>
      </c>
      <c r="JI47">
        <v>431.86</v>
      </c>
      <c r="JJ47">
        <v>27.998999999999999</v>
      </c>
      <c r="JK47">
        <v>30.671500000000002</v>
      </c>
      <c r="JL47">
        <v>30</v>
      </c>
      <c r="JM47">
        <v>30.517299999999999</v>
      </c>
      <c r="JN47">
        <v>30.466200000000001</v>
      </c>
      <c r="JO47">
        <v>20.873100000000001</v>
      </c>
      <c r="JP47">
        <v>20.189699999999998</v>
      </c>
      <c r="JQ47">
        <v>5.0339700000000001</v>
      </c>
      <c r="JR47">
        <v>28.038399999999999</v>
      </c>
      <c r="JS47">
        <v>400</v>
      </c>
      <c r="JT47">
        <v>23.123699999999999</v>
      </c>
      <c r="JU47">
        <v>99.891099999999994</v>
      </c>
      <c r="JV47">
        <v>99.400800000000004</v>
      </c>
    </row>
    <row r="48" spans="1:282" x14ac:dyDescent="0.25">
      <c r="A48">
        <v>32</v>
      </c>
      <c r="B48">
        <v>1689004987.5999999</v>
      </c>
      <c r="C48">
        <v>5810.5999999046326</v>
      </c>
      <c r="D48" t="s">
        <v>583</v>
      </c>
      <c r="E48" t="s">
        <v>584</v>
      </c>
      <c r="F48" t="s">
        <v>414</v>
      </c>
      <c r="G48" t="s">
        <v>415</v>
      </c>
      <c r="H48" t="s">
        <v>578</v>
      </c>
      <c r="I48" t="s">
        <v>416</v>
      </c>
      <c r="J48" t="s">
        <v>579</v>
      </c>
      <c r="K48">
        <v>1689004987.5999999</v>
      </c>
      <c r="L48">
        <f t="shared" si="0"/>
        <v>5.8050885818286086E-3</v>
      </c>
      <c r="M48">
        <f t="shared" si="1"/>
        <v>5.8050885818286089</v>
      </c>
      <c r="N48">
        <f t="shared" si="2"/>
        <v>44.853554333780302</v>
      </c>
      <c r="O48">
        <f t="shared" si="3"/>
        <v>244.477</v>
      </c>
      <c r="P48">
        <f t="shared" si="4"/>
        <v>65.432242125881388</v>
      </c>
      <c r="Q48">
        <f t="shared" si="5"/>
        <v>6.4947456606938001</v>
      </c>
      <c r="R48">
        <f t="shared" si="6"/>
        <v>24.266567724131004</v>
      </c>
      <c r="S48">
        <f t="shared" si="7"/>
        <v>0.43796368780501377</v>
      </c>
      <c r="T48">
        <f t="shared" si="8"/>
        <v>2.9113617611551055</v>
      </c>
      <c r="U48">
        <f t="shared" si="9"/>
        <v>0.40437996663246767</v>
      </c>
      <c r="V48">
        <f t="shared" si="10"/>
        <v>0.25553990062854604</v>
      </c>
      <c r="W48">
        <f t="shared" si="11"/>
        <v>289.59418095822053</v>
      </c>
      <c r="X48">
        <f t="shared" si="12"/>
        <v>30.96101440797986</v>
      </c>
      <c r="Y48">
        <f t="shared" si="13"/>
        <v>30.027200000000001</v>
      </c>
      <c r="Z48">
        <f t="shared" si="14"/>
        <v>4.2671106011248847</v>
      </c>
      <c r="AA48">
        <f t="shared" si="15"/>
        <v>65.015834164687774</v>
      </c>
      <c r="AB48">
        <f t="shared" si="16"/>
        <v>2.8935914447457005</v>
      </c>
      <c r="AC48">
        <f t="shared" si="17"/>
        <v>4.4505949695517479</v>
      </c>
      <c r="AD48">
        <f t="shared" si="18"/>
        <v>1.3735191563791842</v>
      </c>
      <c r="AE48">
        <f t="shared" si="19"/>
        <v>-256.00440645864165</v>
      </c>
      <c r="AF48">
        <f t="shared" si="20"/>
        <v>115.37933715506125</v>
      </c>
      <c r="AG48">
        <f t="shared" si="21"/>
        <v>8.8464269473409569</v>
      </c>
      <c r="AH48">
        <f t="shared" si="22"/>
        <v>157.81553860198107</v>
      </c>
      <c r="AI48">
        <v>0</v>
      </c>
      <c r="AJ48">
        <v>0</v>
      </c>
      <c r="AK48">
        <f t="shared" si="23"/>
        <v>1</v>
      </c>
      <c r="AL48">
        <f t="shared" si="24"/>
        <v>0</v>
      </c>
      <c r="AM48">
        <f t="shared" si="25"/>
        <v>51686.781996768004</v>
      </c>
      <c r="AN48" t="s">
        <v>418</v>
      </c>
      <c r="AO48">
        <v>10076.700000000001</v>
      </c>
      <c r="AP48">
        <v>185.01599999999999</v>
      </c>
      <c r="AQ48">
        <v>473.06</v>
      </c>
      <c r="AR48">
        <f t="shared" si="26"/>
        <v>0.60889527755464423</v>
      </c>
      <c r="AS48">
        <v>-1.4827006201179751</v>
      </c>
      <c r="AT48" t="s">
        <v>585</v>
      </c>
      <c r="AU48">
        <v>8096.74</v>
      </c>
      <c r="AV48">
        <v>682.2402692307694</v>
      </c>
      <c r="AW48">
        <v>996.70081746359801</v>
      </c>
      <c r="AX48">
        <f t="shared" si="27"/>
        <v>0.31550144509068134</v>
      </c>
      <c r="AY48">
        <v>0.5</v>
      </c>
      <c r="AZ48">
        <f t="shared" si="28"/>
        <v>1513.3277994602179</v>
      </c>
      <c r="BA48">
        <f t="shared" si="29"/>
        <v>44.853554333780302</v>
      </c>
      <c r="BB48">
        <f t="shared" si="30"/>
        <v>238.72855381279979</v>
      </c>
      <c r="BC48">
        <f t="shared" si="31"/>
        <v>3.0618782639442524E-2</v>
      </c>
      <c r="BD48">
        <f t="shared" si="32"/>
        <v>-0.52537412259393745</v>
      </c>
      <c r="BE48">
        <f t="shared" si="33"/>
        <v>232.86404180575644</v>
      </c>
      <c r="BF48" t="s">
        <v>586</v>
      </c>
      <c r="BG48">
        <v>541.27</v>
      </c>
      <c r="BH48">
        <f t="shared" si="34"/>
        <v>541.27</v>
      </c>
      <c r="BI48">
        <f t="shared" si="35"/>
        <v>0.45693834045664505</v>
      </c>
      <c r="BJ48">
        <f t="shared" si="36"/>
        <v>0.69046831302311473</v>
      </c>
      <c r="BK48">
        <f t="shared" si="37"/>
        <v>7.6768922073537347</v>
      </c>
      <c r="BL48">
        <f t="shared" si="38"/>
        <v>0.38741706320868979</v>
      </c>
      <c r="BM48">
        <f t="shared" si="39"/>
        <v>-1.8179195451514285</v>
      </c>
      <c r="BN48">
        <f t="shared" si="40"/>
        <v>0.5477978956173376</v>
      </c>
      <c r="BO48">
        <f t="shared" si="41"/>
        <v>0.4522021043826624</v>
      </c>
      <c r="BP48">
        <v>9117</v>
      </c>
      <c r="BQ48">
        <v>290.00000000000011</v>
      </c>
      <c r="BR48">
        <v>894.85</v>
      </c>
      <c r="BS48">
        <v>295</v>
      </c>
      <c r="BT48">
        <v>8096.74</v>
      </c>
      <c r="BU48">
        <v>896.58</v>
      </c>
      <c r="BV48">
        <v>-1.73</v>
      </c>
      <c r="BW48">
        <v>300.00000000000011</v>
      </c>
      <c r="BX48">
        <v>19.2</v>
      </c>
      <c r="BY48">
        <v>996.70081746359801</v>
      </c>
      <c r="BZ48">
        <v>3.2894910949206131</v>
      </c>
      <c r="CA48">
        <v>-81.0660505524191</v>
      </c>
      <c r="CB48">
        <v>2.447387958543314</v>
      </c>
      <c r="CC48">
        <v>0.97511478595241186</v>
      </c>
      <c r="CD48">
        <v>-4.1707973303670848E-3</v>
      </c>
      <c r="CE48">
        <v>289.99999999999989</v>
      </c>
      <c r="CF48">
        <v>894.33</v>
      </c>
      <c r="CG48">
        <v>675</v>
      </c>
      <c r="CH48">
        <v>8089.27</v>
      </c>
      <c r="CI48">
        <v>896.49</v>
      </c>
      <c r="CJ48">
        <v>-2.16</v>
      </c>
      <c r="CX48">
        <f t="shared" si="42"/>
        <v>1800.17</v>
      </c>
      <c r="CY48">
        <f t="shared" si="43"/>
        <v>1513.3277994602179</v>
      </c>
      <c r="CZ48">
        <f t="shared" si="44"/>
        <v>0.84065827086342837</v>
      </c>
      <c r="DA48">
        <f t="shared" si="45"/>
        <v>0.16087046276641678</v>
      </c>
      <c r="DB48">
        <v>6</v>
      </c>
      <c r="DC48">
        <v>0.5</v>
      </c>
      <c r="DD48" t="s">
        <v>421</v>
      </c>
      <c r="DE48">
        <v>2</v>
      </c>
      <c r="DF48">
        <v>1689004987.5999999</v>
      </c>
      <c r="DG48">
        <v>244.477</v>
      </c>
      <c r="DH48">
        <v>299.98599999999999</v>
      </c>
      <c r="DI48">
        <v>29.151900000000001</v>
      </c>
      <c r="DJ48">
        <v>22.391100000000002</v>
      </c>
      <c r="DK48">
        <v>245.572</v>
      </c>
      <c r="DL48">
        <v>29.0974</v>
      </c>
      <c r="DM48">
        <v>500.16500000000002</v>
      </c>
      <c r="DN48">
        <v>99.159000000000006</v>
      </c>
      <c r="DO48">
        <v>0.100103</v>
      </c>
      <c r="DP48">
        <v>30.7623</v>
      </c>
      <c r="DQ48">
        <v>30.027200000000001</v>
      </c>
      <c r="DR48">
        <v>999.9</v>
      </c>
      <c r="DS48">
        <v>0</v>
      </c>
      <c r="DT48">
        <v>0</v>
      </c>
      <c r="DU48">
        <v>9980.6200000000008</v>
      </c>
      <c r="DV48">
        <v>0</v>
      </c>
      <c r="DW48">
        <v>2102.71</v>
      </c>
      <c r="DX48">
        <v>-55.509099999999997</v>
      </c>
      <c r="DY48">
        <v>251.81800000000001</v>
      </c>
      <c r="DZ48">
        <v>306.85700000000003</v>
      </c>
      <c r="EA48">
        <v>6.7608499999999996</v>
      </c>
      <c r="EB48">
        <v>299.98599999999999</v>
      </c>
      <c r="EC48">
        <v>22.391100000000002</v>
      </c>
      <c r="ED48">
        <v>2.8906700000000001</v>
      </c>
      <c r="EE48">
        <v>2.2202700000000002</v>
      </c>
      <c r="EF48">
        <v>23.411200000000001</v>
      </c>
      <c r="EG48">
        <v>19.109400000000001</v>
      </c>
      <c r="EH48">
        <v>1800.17</v>
      </c>
      <c r="EI48">
        <v>0.97799800000000003</v>
      </c>
      <c r="EJ48">
        <v>2.2001900000000001E-2</v>
      </c>
      <c r="EK48">
        <v>0</v>
      </c>
      <c r="EL48">
        <v>682.38</v>
      </c>
      <c r="EM48">
        <v>5.00082</v>
      </c>
      <c r="EN48">
        <v>16016.7</v>
      </c>
      <c r="EO48">
        <v>14131.1</v>
      </c>
      <c r="EP48">
        <v>47.625</v>
      </c>
      <c r="EQ48">
        <v>49.061999999999998</v>
      </c>
      <c r="ER48">
        <v>48.561999999999998</v>
      </c>
      <c r="ES48">
        <v>48.5</v>
      </c>
      <c r="ET48">
        <v>49.061999999999998</v>
      </c>
      <c r="EU48">
        <v>1755.67</v>
      </c>
      <c r="EV48">
        <v>39.5</v>
      </c>
      <c r="EW48">
        <v>0</v>
      </c>
      <c r="EX48">
        <v>187.39999985694891</v>
      </c>
      <c r="EY48">
        <v>0</v>
      </c>
      <c r="EZ48">
        <v>682.2402692307694</v>
      </c>
      <c r="FA48">
        <v>1.9609914518619069</v>
      </c>
      <c r="FB48">
        <v>14.92991465966089</v>
      </c>
      <c r="FC48">
        <v>16019.288461538459</v>
      </c>
      <c r="FD48">
        <v>15</v>
      </c>
      <c r="FE48">
        <v>1689004881.5999999</v>
      </c>
      <c r="FF48" t="s">
        <v>587</v>
      </c>
      <c r="FG48">
        <v>1689004872.5999999</v>
      </c>
      <c r="FH48">
        <v>1689004881.5999999</v>
      </c>
      <c r="FI48">
        <v>36</v>
      </c>
      <c r="FJ48">
        <v>0.14199999999999999</v>
      </c>
      <c r="FK48">
        <v>5.0000000000000001E-3</v>
      </c>
      <c r="FL48">
        <v>-1.1519999999999999</v>
      </c>
      <c r="FM48">
        <v>5.5E-2</v>
      </c>
      <c r="FN48">
        <v>300</v>
      </c>
      <c r="FO48">
        <v>23</v>
      </c>
      <c r="FP48">
        <v>0.03</v>
      </c>
      <c r="FQ48">
        <v>0.02</v>
      </c>
      <c r="FR48">
        <v>44.662357694560953</v>
      </c>
      <c r="FS48">
        <v>1.281436177507127</v>
      </c>
      <c r="FT48">
        <v>0.10380364882402229</v>
      </c>
      <c r="FU48">
        <v>0</v>
      </c>
      <c r="FV48">
        <v>0.43493743840988619</v>
      </c>
      <c r="FW48">
        <v>2.013649096629809E-2</v>
      </c>
      <c r="FX48">
        <v>1.5673166488724391E-3</v>
      </c>
      <c r="FY48">
        <v>1</v>
      </c>
      <c r="FZ48">
        <v>1</v>
      </c>
      <c r="GA48">
        <v>2</v>
      </c>
      <c r="GB48" t="s">
        <v>462</v>
      </c>
      <c r="GC48">
        <v>2.9463200000000001</v>
      </c>
      <c r="GD48">
        <v>2.7086000000000001</v>
      </c>
      <c r="GE48">
        <v>5.9442000000000002E-2</v>
      </c>
      <c r="GF48">
        <v>7.0380200000000004E-2</v>
      </c>
      <c r="GG48">
        <v>0.13009599999999999</v>
      </c>
      <c r="GH48">
        <v>0.108389</v>
      </c>
      <c r="GI48">
        <v>31098.400000000001</v>
      </c>
      <c r="GJ48">
        <v>29955.9</v>
      </c>
      <c r="GK48">
        <v>34053.4</v>
      </c>
      <c r="GL48">
        <v>32253.4</v>
      </c>
      <c r="GM48">
        <v>42722.9</v>
      </c>
      <c r="GN48">
        <v>40908.300000000003</v>
      </c>
      <c r="GO48">
        <v>49283.4</v>
      </c>
      <c r="GP48">
        <v>45652.6</v>
      </c>
      <c r="GQ48">
        <v>2.0095800000000001</v>
      </c>
      <c r="GR48">
        <v>1.8237699999999999</v>
      </c>
      <c r="GS48">
        <v>6.9558599999999998E-2</v>
      </c>
      <c r="GT48">
        <v>0</v>
      </c>
      <c r="GU48">
        <v>28.894200000000001</v>
      </c>
      <c r="GV48">
        <v>999.9</v>
      </c>
      <c r="GW48">
        <v>36.1</v>
      </c>
      <c r="GX48">
        <v>40.6</v>
      </c>
      <c r="GY48">
        <v>27.866900000000001</v>
      </c>
      <c r="GZ48">
        <v>60.196800000000003</v>
      </c>
      <c r="HA48">
        <v>25.709099999999999</v>
      </c>
      <c r="HB48">
        <v>1</v>
      </c>
      <c r="HC48">
        <v>0.251166</v>
      </c>
      <c r="HD48">
        <v>0.81028100000000003</v>
      </c>
      <c r="HE48">
        <v>20.2271</v>
      </c>
      <c r="HF48">
        <v>5.2710499999999998</v>
      </c>
      <c r="HG48">
        <v>12.039899999999999</v>
      </c>
      <c r="HH48">
        <v>4.9674500000000004</v>
      </c>
      <c r="HI48">
        <v>3.3010000000000002</v>
      </c>
      <c r="HJ48">
        <v>9999</v>
      </c>
      <c r="HK48">
        <v>9999</v>
      </c>
      <c r="HL48">
        <v>9999</v>
      </c>
      <c r="HM48">
        <v>999.9</v>
      </c>
      <c r="HN48">
        <v>1.8684400000000001</v>
      </c>
      <c r="HO48">
        <v>1.87209</v>
      </c>
      <c r="HP48">
        <v>1.8719399999999999</v>
      </c>
      <c r="HQ48">
        <v>1.8714599999999999</v>
      </c>
      <c r="HR48">
        <v>1.8646499999999999</v>
      </c>
      <c r="HS48">
        <v>1.8658399999999999</v>
      </c>
      <c r="HT48">
        <v>1.8678300000000001</v>
      </c>
      <c r="HU48">
        <v>1.8724000000000001</v>
      </c>
      <c r="HV48">
        <v>0</v>
      </c>
      <c r="HW48">
        <v>0</v>
      </c>
      <c r="HX48">
        <v>0</v>
      </c>
      <c r="HY48">
        <v>0</v>
      </c>
      <c r="HZ48" t="s">
        <v>424</v>
      </c>
      <c r="IA48" t="s">
        <v>425</v>
      </c>
      <c r="IB48" t="s">
        <v>426</v>
      </c>
      <c r="IC48" t="s">
        <v>426</v>
      </c>
      <c r="ID48" t="s">
        <v>426</v>
      </c>
      <c r="IE48" t="s">
        <v>426</v>
      </c>
      <c r="IF48">
        <v>0</v>
      </c>
      <c r="IG48">
        <v>100</v>
      </c>
      <c r="IH48">
        <v>100</v>
      </c>
      <c r="II48">
        <v>-1.095</v>
      </c>
      <c r="IJ48">
        <v>5.45E-2</v>
      </c>
      <c r="IK48">
        <v>-0.82354194727705543</v>
      </c>
      <c r="IL48">
        <v>-1.171017271736434E-3</v>
      </c>
      <c r="IM48">
        <v>2.801297040296544E-7</v>
      </c>
      <c r="IN48">
        <v>-3.6238253961199429E-11</v>
      </c>
      <c r="IO48">
        <v>5.453499999999778E-2</v>
      </c>
      <c r="IP48">
        <v>0</v>
      </c>
      <c r="IQ48">
        <v>0</v>
      </c>
      <c r="IR48">
        <v>0</v>
      </c>
      <c r="IS48">
        <v>0</v>
      </c>
      <c r="IT48">
        <v>2161</v>
      </c>
      <c r="IU48">
        <v>1</v>
      </c>
      <c r="IV48">
        <v>19</v>
      </c>
      <c r="IW48">
        <v>1.9</v>
      </c>
      <c r="IX48">
        <v>1.8</v>
      </c>
      <c r="IY48">
        <v>0.82397500000000001</v>
      </c>
      <c r="IZ48">
        <v>2.4841299999999999</v>
      </c>
      <c r="JA48">
        <v>1.4440900000000001</v>
      </c>
      <c r="JB48">
        <v>2.2814899999999998</v>
      </c>
      <c r="JC48">
        <v>1.54419</v>
      </c>
      <c r="JD48">
        <v>2.4462899999999999</v>
      </c>
      <c r="JE48">
        <v>44.084699999999998</v>
      </c>
      <c r="JF48">
        <v>24.227599999999999</v>
      </c>
      <c r="JG48">
        <v>18</v>
      </c>
      <c r="JH48">
        <v>511.13499999999999</v>
      </c>
      <c r="JI48">
        <v>431.13900000000001</v>
      </c>
      <c r="JJ48">
        <v>28.363099999999999</v>
      </c>
      <c r="JK48">
        <v>30.5548</v>
      </c>
      <c r="JL48">
        <v>30.000499999999999</v>
      </c>
      <c r="JM48">
        <v>30.399000000000001</v>
      </c>
      <c r="JN48">
        <v>30.353100000000001</v>
      </c>
      <c r="JO48">
        <v>16.630800000000001</v>
      </c>
      <c r="JP48">
        <v>22.075600000000001</v>
      </c>
      <c r="JQ48">
        <v>4.68832</v>
      </c>
      <c r="JR48">
        <v>28.346299999999999</v>
      </c>
      <c r="JS48">
        <v>300</v>
      </c>
      <c r="JT48">
        <v>22.4117</v>
      </c>
      <c r="JU48">
        <v>99.913200000000003</v>
      </c>
      <c r="JV48">
        <v>99.426299999999998</v>
      </c>
    </row>
    <row r="49" spans="1:282" x14ac:dyDescent="0.25">
      <c r="A49">
        <v>33</v>
      </c>
      <c r="B49">
        <v>1689005121.5999999</v>
      </c>
      <c r="C49">
        <v>5944.5999999046326</v>
      </c>
      <c r="D49" t="s">
        <v>588</v>
      </c>
      <c r="E49" t="s">
        <v>589</v>
      </c>
      <c r="F49" t="s">
        <v>414</v>
      </c>
      <c r="G49" t="s">
        <v>415</v>
      </c>
      <c r="H49" t="s">
        <v>578</v>
      </c>
      <c r="I49" t="s">
        <v>416</v>
      </c>
      <c r="J49" t="s">
        <v>579</v>
      </c>
      <c r="K49">
        <v>1689005121.5999999</v>
      </c>
      <c r="L49">
        <f t="shared" ref="L49:L80" si="46">(M49)/1000</f>
        <v>6.6195799400994727E-3</v>
      </c>
      <c r="M49">
        <f t="shared" ref="M49:M80" si="47">1000*DM49*AK49*(DI49-DJ49)/(100*DB49*(1000-AK49*DI49))</f>
        <v>6.6195799400994728</v>
      </c>
      <c r="N49">
        <f t="shared" ref="N49:N80" si="48">DM49*AK49*(DH49-DG49*(1000-AK49*DJ49)/(1000-AK49*DI49))/(100*DB49)</f>
        <v>32.890812514770623</v>
      </c>
      <c r="O49">
        <f t="shared" ref="O49:O80" si="49">DG49 - IF(AK49&gt;1, N49*DB49*100/(AM49*DU49), 0)</f>
        <v>159.441</v>
      </c>
      <c r="P49">
        <f t="shared" ref="P49:P80" si="50">((V49-L49/2)*O49-N49)/(V49+L49/2)</f>
        <v>47.428096134143686</v>
      </c>
      <c r="Q49">
        <f t="shared" ref="Q49:Q80" si="51">P49*(DN49+DO49)/1000</f>
        <v>4.7076516827163761</v>
      </c>
      <c r="R49">
        <f t="shared" ref="R49:R80" si="52">(DG49 - IF(AK49&gt;1, N49*DB49*100/(AM49*DU49), 0))*(DN49+DO49)/1000</f>
        <v>15.825908124606899</v>
      </c>
      <c r="S49">
        <f t="shared" ref="S49:S80" si="53">2/((1/U49-1/T49)+SIGN(U49)*SQRT((1/U49-1/T49)*(1/U49-1/T49) + 4*DC49/((DC49+1)*(DC49+1))*(2*1/U49*1/T49-1/T49*1/T49)))</f>
        <v>0.52004665065172762</v>
      </c>
      <c r="T49">
        <f t="shared" ref="T49:T80" si="54">IF(LEFT(DD49,1)&lt;&gt;"0",IF(LEFT(DD49,1)="1",3,DE49),$D$5+$E$5*(DU49*DN49/($K$5*1000))+$F$5*(DU49*DN49/($K$5*1000))*MAX(MIN(DB49,$J$5),$I$5)*MAX(MIN(DB49,$J$5),$I$5)+$G$5*MAX(MIN(DB49,$J$5),$I$5)*(DU49*DN49/($K$5*1000))+$H$5*(DU49*DN49/($K$5*1000))*(DU49*DN49/($K$5*1000)))</f>
        <v>2.914313457968615</v>
      </c>
      <c r="U49">
        <f t="shared" ref="U49:U80" si="55">L49*(1000-(1000*0.61365*EXP(17.502*Y49/(240.97+Y49))/(DN49+DO49)+DI49)/2)/(1000*0.61365*EXP(17.502*Y49/(240.97+Y49))/(DN49+DO49)-DI49)</f>
        <v>0.47345489196121227</v>
      </c>
      <c r="V49">
        <f t="shared" ref="V49:V80" si="56">1/((DC49+1)/(S49/1.6)+1/(T49/1.37)) + DC49/((DC49+1)/(S49/1.6) + DC49/(T49/1.37))</f>
        <v>0.29974676680534768</v>
      </c>
      <c r="W49">
        <f t="shared" ref="W49:W80" si="57">(CX49*DA49)</f>
        <v>289.53353295800059</v>
      </c>
      <c r="X49">
        <f t="shared" ref="X49:X80" si="58">(DP49+(W49+2*0.95*0.0000000567*(((DP49+$B$7)+273)^4-(DP49+273)^4)-44100*L49)/(1.84*29.3*T49+8*0.95*0.0000000567*(DP49+273)^3))</f>
        <v>30.660273715377265</v>
      </c>
      <c r="Y49">
        <f t="shared" ref="Y49:Y80" si="59">($C$7*DQ49+$D$7*DR49+$E$7*X49)</f>
        <v>29.972999999999999</v>
      </c>
      <c r="Z49">
        <f t="shared" ref="Z49:Z80" si="60">0.61365*EXP(17.502*Y49/(240.97+Y49))</f>
        <v>4.2538468838259158</v>
      </c>
      <c r="AA49">
        <f t="shared" ref="AA49:AA80" si="61">(AB49/AC49*100)</f>
        <v>65.853527925829937</v>
      </c>
      <c r="AB49">
        <f t="shared" ref="AB49:AB80" si="62">DI49*(DN49+DO49)/1000</f>
        <v>2.9161911486287297</v>
      </c>
      <c r="AC49">
        <f t="shared" ref="AC49:AC80" si="63">0.61365*EXP(17.502*DP49/(240.97+DP49))</f>
        <v>4.4282990455928219</v>
      </c>
      <c r="AD49">
        <f t="shared" ref="AD49:AD80" si="64">(Z49-DI49*(DN49+DO49)/1000)</f>
        <v>1.3376557351971861</v>
      </c>
      <c r="AE49">
        <f t="shared" ref="AE49:AE80" si="65">(-L49*44100)</f>
        <v>-291.92347535838672</v>
      </c>
      <c r="AF49">
        <f t="shared" ref="AF49:AF80" si="66">2*29.3*T49*0.92*(DP49-Y49)</f>
        <v>110.20149005620713</v>
      </c>
      <c r="AG49">
        <f t="shared" ref="AG49:AG80" si="67">2*0.95*0.0000000567*(((DP49+$B$7)+273)^4-(Y49+273)^4)</f>
        <v>8.4349405914198758</v>
      </c>
      <c r="AH49">
        <f t="shared" ref="AH49:AH80" si="68">W49+AG49+AE49+AF49</f>
        <v>116.24648824724089</v>
      </c>
      <c r="AI49">
        <v>0</v>
      </c>
      <c r="AJ49">
        <v>0</v>
      </c>
      <c r="AK49">
        <f t="shared" ref="AK49:AK80" si="69">IF(AI49*$H$13&gt;=AM49,1,(AM49/(AM49-AI49*$H$13)))</f>
        <v>1</v>
      </c>
      <c r="AL49">
        <f t="shared" ref="AL49:AL80" si="70">(AK49-1)*100</f>
        <v>0</v>
      </c>
      <c r="AM49">
        <f t="shared" ref="AM49:AM80" si="71">MAX(0,($B$13+$C$13*DU49)/(1+$D$13*DU49)*DN49/(DP49+273)*$E$13)</f>
        <v>51785.526721881324</v>
      </c>
      <c r="AN49" t="s">
        <v>418</v>
      </c>
      <c r="AO49">
        <v>10076.700000000001</v>
      </c>
      <c r="AP49">
        <v>185.01599999999999</v>
      </c>
      <c r="AQ49">
        <v>473.06</v>
      </c>
      <c r="AR49">
        <f t="shared" ref="AR49:AR80" si="72">1-AP49/AQ49</f>
        <v>0.60889527755464423</v>
      </c>
      <c r="AS49">
        <v>-1.4827006201179751</v>
      </c>
      <c r="AT49" t="s">
        <v>590</v>
      </c>
      <c r="AU49">
        <v>8096.34</v>
      </c>
      <c r="AV49">
        <v>677.0153076923076</v>
      </c>
      <c r="AW49">
        <v>908.57182175430387</v>
      </c>
      <c r="AX49">
        <f t="shared" ref="AX49:AX80" si="73">1-AV49/AW49</f>
        <v>0.2548576882066389</v>
      </c>
      <c r="AY49">
        <v>0.5</v>
      </c>
      <c r="AZ49">
        <f t="shared" ref="AZ49:AZ80" si="74">CY49</f>
        <v>1513.0085994601038</v>
      </c>
      <c r="BA49">
        <f t="shared" ref="BA49:BA80" si="75">N49</f>
        <v>32.890812514770623</v>
      </c>
      <c r="BB49">
        <f t="shared" ref="BB49:BB80" si="76">AX49*AY49*AZ49</f>
        <v>192.80093694758327</v>
      </c>
      <c r="BC49">
        <f t="shared" ref="BC49:BC80" si="77">(BA49-AS49)/AZ49</f>
        <v>2.2718650209360546E-2</v>
      </c>
      <c r="BD49">
        <f t="shared" ref="BD49:BD80" si="78">(AQ49-AW49)/AW49</f>
        <v>-0.4793367033036548</v>
      </c>
      <c r="BE49">
        <f t="shared" ref="BE49:BE80" si="79">AP49/(AR49+AP49/AW49)</f>
        <v>227.7038302117389</v>
      </c>
      <c r="BF49" t="s">
        <v>591</v>
      </c>
      <c r="BG49">
        <v>525.11</v>
      </c>
      <c r="BH49">
        <f t="shared" ref="BH49:BH80" si="80">IF(BG49&lt;&gt;0, BG49, BE49)</f>
        <v>525.11</v>
      </c>
      <c r="BI49">
        <f t="shared" ref="BI49:BI80" si="81">1-BH49/AW49</f>
        <v>0.4220489922457662</v>
      </c>
      <c r="BJ49">
        <f t="shared" ref="BJ49:BJ80" si="82">(AW49-AV49)/(AW49-BH49)</f>
        <v>0.60385806598071678</v>
      </c>
      <c r="BK49">
        <f t="shared" ref="BK49:BK80" si="83">(AQ49-AW49)/(AQ49-BH49)</f>
        <v>8.3671819741460851</v>
      </c>
      <c r="BL49">
        <f t="shared" ref="BL49:BL80" si="84">(AW49-AV49)/(AW49-AP49)</f>
        <v>0.32002577700304286</v>
      </c>
      <c r="BM49">
        <f t="shared" ref="BM49:BM80" si="85">(AQ49-AW49)/(AQ49-AP49)</f>
        <v>-1.5119628312143418</v>
      </c>
      <c r="BN49">
        <f t="shared" ref="BN49:BN80" si="86">(BJ49*BH49/AV49)</f>
        <v>0.46836741418444749</v>
      </c>
      <c r="BO49">
        <f t="shared" ref="BO49:BO80" si="87">(1-BN49)</f>
        <v>0.53163258581555251</v>
      </c>
      <c r="BP49">
        <v>9119</v>
      </c>
      <c r="BQ49">
        <v>290.00000000000011</v>
      </c>
      <c r="BR49">
        <v>840.25</v>
      </c>
      <c r="BS49">
        <v>275</v>
      </c>
      <c r="BT49">
        <v>8096.34</v>
      </c>
      <c r="BU49">
        <v>842.15</v>
      </c>
      <c r="BV49">
        <v>-1.9</v>
      </c>
      <c r="BW49">
        <v>300.00000000000011</v>
      </c>
      <c r="BX49">
        <v>19.2</v>
      </c>
      <c r="BY49">
        <v>908.57182175430387</v>
      </c>
      <c r="BZ49">
        <v>2.1052538479529379</v>
      </c>
      <c r="CA49">
        <v>-53.777781231210909</v>
      </c>
      <c r="CB49">
        <v>1.5661474701667171</v>
      </c>
      <c r="CC49">
        <v>0.97680337878039392</v>
      </c>
      <c r="CD49">
        <v>-4.1703652947719669E-3</v>
      </c>
      <c r="CE49">
        <v>289.99999999999989</v>
      </c>
      <c r="CF49">
        <v>841.82</v>
      </c>
      <c r="CG49">
        <v>675</v>
      </c>
      <c r="CH49">
        <v>8088.42</v>
      </c>
      <c r="CI49">
        <v>842.08</v>
      </c>
      <c r="CJ49">
        <v>-0.26</v>
      </c>
      <c r="CX49">
        <f t="shared" ref="CX49:CX80" si="88">$B$11*DV49+$C$11*DW49+$F$11*EH49*(1-EK49)</f>
        <v>1799.79</v>
      </c>
      <c r="CY49">
        <f t="shared" ref="CY49:CY80" si="89">CX49*CZ49</f>
        <v>1513.0085994601038</v>
      </c>
      <c r="CZ49">
        <f t="shared" ref="CZ49:CZ80" si="90">($B$11*$D$9+$C$11*$D$9+$F$11*((EU49+EM49)/MAX(EU49+EM49+EV49, 0.1)*$I$9+EV49/MAX(EU49+EM49+EV49, 0.1)*$J$9))/($B$11+$C$11+$F$11)</f>
        <v>0.84065840984787332</v>
      </c>
      <c r="DA49">
        <f t="shared" ref="DA49:DA80" si="91">($B$11*$K$9+$C$11*$K$9+$F$11*((EU49+EM49)/MAX(EU49+EM49+EV49, 0.1)*$P$9+EV49/MAX(EU49+EM49+EV49, 0.1)*$Q$9))/($B$11+$C$11+$F$11)</f>
        <v>0.16087073100639551</v>
      </c>
      <c r="DB49">
        <v>6</v>
      </c>
      <c r="DC49">
        <v>0.5</v>
      </c>
      <c r="DD49" t="s">
        <v>421</v>
      </c>
      <c r="DE49">
        <v>2</v>
      </c>
      <c r="DF49">
        <v>1689005121.5999999</v>
      </c>
      <c r="DG49">
        <v>159.441</v>
      </c>
      <c r="DH49">
        <v>200.16900000000001</v>
      </c>
      <c r="DI49">
        <v>29.3797</v>
      </c>
      <c r="DJ49">
        <v>21.670999999999999</v>
      </c>
      <c r="DK49">
        <v>160.49600000000001</v>
      </c>
      <c r="DL49">
        <v>29.336200000000002</v>
      </c>
      <c r="DM49">
        <v>500.09199999999998</v>
      </c>
      <c r="DN49">
        <v>99.158799999999999</v>
      </c>
      <c r="DO49">
        <v>9.9910899999999997E-2</v>
      </c>
      <c r="DP49">
        <v>30.674399999999999</v>
      </c>
      <c r="DQ49">
        <v>29.972999999999999</v>
      </c>
      <c r="DR49">
        <v>999.9</v>
      </c>
      <c r="DS49">
        <v>0</v>
      </c>
      <c r="DT49">
        <v>0</v>
      </c>
      <c r="DU49">
        <v>9997.5</v>
      </c>
      <c r="DV49">
        <v>0</v>
      </c>
      <c r="DW49">
        <v>2094.6999999999998</v>
      </c>
      <c r="DX49">
        <v>-40.728000000000002</v>
      </c>
      <c r="DY49">
        <v>164.267</v>
      </c>
      <c r="DZ49">
        <v>204.60300000000001</v>
      </c>
      <c r="EA49">
        <v>7.7086600000000001</v>
      </c>
      <c r="EB49">
        <v>200.16900000000001</v>
      </c>
      <c r="EC49">
        <v>21.670999999999999</v>
      </c>
      <c r="ED49">
        <v>2.9132500000000001</v>
      </c>
      <c r="EE49">
        <v>2.1488700000000001</v>
      </c>
      <c r="EF49">
        <v>23.540299999999998</v>
      </c>
      <c r="EG49">
        <v>18.586200000000002</v>
      </c>
      <c r="EH49">
        <v>1799.79</v>
      </c>
      <c r="EI49">
        <v>0.97799499999999995</v>
      </c>
      <c r="EJ49">
        <v>2.2005400000000001E-2</v>
      </c>
      <c r="EK49">
        <v>0</v>
      </c>
      <c r="EL49">
        <v>676.90300000000002</v>
      </c>
      <c r="EM49">
        <v>5.00082</v>
      </c>
      <c r="EN49">
        <v>15899</v>
      </c>
      <c r="EO49">
        <v>14128.1</v>
      </c>
      <c r="EP49">
        <v>47.75</v>
      </c>
      <c r="EQ49">
        <v>49.436999999999998</v>
      </c>
      <c r="ER49">
        <v>48.75</v>
      </c>
      <c r="ES49">
        <v>48.75</v>
      </c>
      <c r="ET49">
        <v>49.186999999999998</v>
      </c>
      <c r="EU49">
        <v>1755.29</v>
      </c>
      <c r="EV49">
        <v>39.5</v>
      </c>
      <c r="EW49">
        <v>0</v>
      </c>
      <c r="EX49">
        <v>132.20000004768369</v>
      </c>
      <c r="EY49">
        <v>0</v>
      </c>
      <c r="EZ49">
        <v>677.0153076923076</v>
      </c>
      <c r="FA49">
        <v>-1.0769914443122131</v>
      </c>
      <c r="FB49">
        <v>121.74358919139981</v>
      </c>
      <c r="FC49">
        <v>15899.607692307691</v>
      </c>
      <c r="FD49">
        <v>15</v>
      </c>
      <c r="FE49">
        <v>1689005089.0999999</v>
      </c>
      <c r="FF49" t="s">
        <v>592</v>
      </c>
      <c r="FG49">
        <v>1689005084.0999999</v>
      </c>
      <c r="FH49">
        <v>1689005089.0999999</v>
      </c>
      <c r="FI49">
        <v>37</v>
      </c>
      <c r="FJ49">
        <v>-5.0999999999999997E-2</v>
      </c>
      <c r="FK49">
        <v>-1.0999999999999999E-2</v>
      </c>
      <c r="FL49">
        <v>-1.099</v>
      </c>
      <c r="FM49">
        <v>4.2999999999999997E-2</v>
      </c>
      <c r="FN49">
        <v>200</v>
      </c>
      <c r="FO49">
        <v>22</v>
      </c>
      <c r="FP49">
        <v>0.05</v>
      </c>
      <c r="FQ49">
        <v>0.02</v>
      </c>
      <c r="FR49">
        <v>32.744391393794963</v>
      </c>
      <c r="FS49">
        <v>0.1787527258188279</v>
      </c>
      <c r="FT49">
        <v>5.7818808368051568E-2</v>
      </c>
      <c r="FU49">
        <v>1</v>
      </c>
      <c r="FV49">
        <v>0.52082644387976884</v>
      </c>
      <c r="FW49">
        <v>2.9504976620682952E-2</v>
      </c>
      <c r="FX49">
        <v>3.5900082210027508E-3</v>
      </c>
      <c r="FY49">
        <v>1</v>
      </c>
      <c r="FZ49">
        <v>2</v>
      </c>
      <c r="GA49">
        <v>2</v>
      </c>
      <c r="GB49" t="s">
        <v>423</v>
      </c>
      <c r="GC49">
        <v>2.9460899999999999</v>
      </c>
      <c r="GD49">
        <v>2.7085499999999998</v>
      </c>
      <c r="GE49">
        <v>4.0801400000000002E-2</v>
      </c>
      <c r="GF49">
        <v>4.9895099999999998E-2</v>
      </c>
      <c r="GG49">
        <v>0.13081200000000001</v>
      </c>
      <c r="GH49">
        <v>0.105916</v>
      </c>
      <c r="GI49">
        <v>31707</v>
      </c>
      <c r="GJ49">
        <v>30608.7</v>
      </c>
      <c r="GK49">
        <v>34046.300000000003</v>
      </c>
      <c r="GL49">
        <v>32246.7</v>
      </c>
      <c r="GM49">
        <v>42679.1</v>
      </c>
      <c r="GN49">
        <v>41013.699999999997</v>
      </c>
      <c r="GO49">
        <v>49273.7</v>
      </c>
      <c r="GP49">
        <v>45643.4</v>
      </c>
      <c r="GQ49">
        <v>2.00847</v>
      </c>
      <c r="GR49">
        <v>1.821</v>
      </c>
      <c r="GS49">
        <v>4.1808900000000003E-2</v>
      </c>
      <c r="GT49">
        <v>0</v>
      </c>
      <c r="GU49">
        <v>29.292200000000001</v>
      </c>
      <c r="GV49">
        <v>999.9</v>
      </c>
      <c r="GW49">
        <v>35.799999999999997</v>
      </c>
      <c r="GX49">
        <v>40.6</v>
      </c>
      <c r="GY49">
        <v>27.634499999999999</v>
      </c>
      <c r="GZ49">
        <v>59.9968</v>
      </c>
      <c r="HA49">
        <v>26.310099999999998</v>
      </c>
      <c r="HB49">
        <v>1</v>
      </c>
      <c r="HC49">
        <v>0.26044</v>
      </c>
      <c r="HD49">
        <v>1.3216600000000001</v>
      </c>
      <c r="HE49">
        <v>20.223099999999999</v>
      </c>
      <c r="HF49">
        <v>5.2682099999999998</v>
      </c>
      <c r="HG49">
        <v>12.039899999999999</v>
      </c>
      <c r="HH49">
        <v>4.9668000000000001</v>
      </c>
      <c r="HI49">
        <v>3.3003200000000001</v>
      </c>
      <c r="HJ49">
        <v>9999</v>
      </c>
      <c r="HK49">
        <v>9999</v>
      </c>
      <c r="HL49">
        <v>9999</v>
      </c>
      <c r="HM49">
        <v>999.9</v>
      </c>
      <c r="HN49">
        <v>1.8684400000000001</v>
      </c>
      <c r="HO49">
        <v>1.8721000000000001</v>
      </c>
      <c r="HP49">
        <v>1.87195</v>
      </c>
      <c r="HQ49">
        <v>1.8714500000000001</v>
      </c>
      <c r="HR49">
        <v>1.86463</v>
      </c>
      <c r="HS49">
        <v>1.8658399999999999</v>
      </c>
      <c r="HT49">
        <v>1.8678399999999999</v>
      </c>
      <c r="HU49">
        <v>1.8724099999999999</v>
      </c>
      <c r="HV49">
        <v>0</v>
      </c>
      <c r="HW49">
        <v>0</v>
      </c>
      <c r="HX49">
        <v>0</v>
      </c>
      <c r="HY49">
        <v>0</v>
      </c>
      <c r="HZ49" t="s">
        <v>424</v>
      </c>
      <c r="IA49" t="s">
        <v>425</v>
      </c>
      <c r="IB49" t="s">
        <v>426</v>
      </c>
      <c r="IC49" t="s">
        <v>426</v>
      </c>
      <c r="ID49" t="s">
        <v>426</v>
      </c>
      <c r="IE49" t="s">
        <v>426</v>
      </c>
      <c r="IF49">
        <v>0</v>
      </c>
      <c r="IG49">
        <v>100</v>
      </c>
      <c r="IH49">
        <v>100</v>
      </c>
      <c r="II49">
        <v>-1.0549999999999999</v>
      </c>
      <c r="IJ49">
        <v>4.3499999999999997E-2</v>
      </c>
      <c r="IK49">
        <v>-0.87469934795517723</v>
      </c>
      <c r="IL49">
        <v>-1.171017271736434E-3</v>
      </c>
      <c r="IM49">
        <v>2.801297040296544E-7</v>
      </c>
      <c r="IN49">
        <v>-3.6238253961199429E-11</v>
      </c>
      <c r="IO49">
        <v>4.3454999999998023E-2</v>
      </c>
      <c r="IP49">
        <v>0</v>
      </c>
      <c r="IQ49">
        <v>0</v>
      </c>
      <c r="IR49">
        <v>0</v>
      </c>
      <c r="IS49">
        <v>0</v>
      </c>
      <c r="IT49">
        <v>2161</v>
      </c>
      <c r="IU49">
        <v>1</v>
      </c>
      <c r="IV49">
        <v>19</v>
      </c>
      <c r="IW49">
        <v>0.6</v>
      </c>
      <c r="IX49">
        <v>0.5</v>
      </c>
      <c r="IY49">
        <v>0.60302699999999998</v>
      </c>
      <c r="IZ49">
        <v>2.50122</v>
      </c>
      <c r="JA49">
        <v>1.4440900000000001</v>
      </c>
      <c r="JB49">
        <v>2.2827099999999998</v>
      </c>
      <c r="JC49">
        <v>1.54419</v>
      </c>
      <c r="JD49">
        <v>2.4291999999999998</v>
      </c>
      <c r="JE49">
        <v>44.389899999999997</v>
      </c>
      <c r="JF49">
        <v>24.218800000000002</v>
      </c>
      <c r="JG49">
        <v>18</v>
      </c>
      <c r="JH49">
        <v>510.92700000000002</v>
      </c>
      <c r="JI49">
        <v>429.822</v>
      </c>
      <c r="JJ49">
        <v>27.688600000000001</v>
      </c>
      <c r="JK49">
        <v>30.662400000000002</v>
      </c>
      <c r="JL49">
        <v>30.000499999999999</v>
      </c>
      <c r="JM49">
        <v>30.459800000000001</v>
      </c>
      <c r="JN49">
        <v>30.408799999999999</v>
      </c>
      <c r="JO49">
        <v>12.1896</v>
      </c>
      <c r="JP49">
        <v>25.387599999999999</v>
      </c>
      <c r="JQ49">
        <v>4.0674299999999999</v>
      </c>
      <c r="JR49">
        <v>27.692</v>
      </c>
      <c r="JS49">
        <v>200</v>
      </c>
      <c r="JT49">
        <v>21.5153</v>
      </c>
      <c r="JU49">
        <v>99.893000000000001</v>
      </c>
      <c r="JV49">
        <v>99.405900000000003</v>
      </c>
    </row>
    <row r="50" spans="1:282" x14ac:dyDescent="0.25">
      <c r="A50">
        <v>34</v>
      </c>
      <c r="B50">
        <v>1689005259.5999999</v>
      </c>
      <c r="C50">
        <v>6082.5999999046326</v>
      </c>
      <c r="D50" t="s">
        <v>593</v>
      </c>
      <c r="E50" t="s">
        <v>594</v>
      </c>
      <c r="F50" t="s">
        <v>414</v>
      </c>
      <c r="G50" t="s">
        <v>415</v>
      </c>
      <c r="H50" t="s">
        <v>578</v>
      </c>
      <c r="I50" t="s">
        <v>416</v>
      </c>
      <c r="J50" t="s">
        <v>579</v>
      </c>
      <c r="K50">
        <v>1689005259.5999999</v>
      </c>
      <c r="L50">
        <f t="shared" si="46"/>
        <v>7.2434447149825019E-3</v>
      </c>
      <c r="M50">
        <f t="shared" si="47"/>
        <v>7.2434447149825019</v>
      </c>
      <c r="N50">
        <f t="shared" si="48"/>
        <v>21.319096052610323</v>
      </c>
      <c r="O50">
        <f t="shared" si="49"/>
        <v>93.7667</v>
      </c>
      <c r="P50">
        <f t="shared" si="50"/>
        <v>27.81669081843636</v>
      </c>
      <c r="Q50">
        <f t="shared" si="51"/>
        <v>2.7610537706611122</v>
      </c>
      <c r="R50">
        <f t="shared" si="52"/>
        <v>9.3071782796628995</v>
      </c>
      <c r="S50">
        <f t="shared" si="53"/>
        <v>0.57724876408517278</v>
      </c>
      <c r="T50">
        <f t="shared" si="54"/>
        <v>2.9169385013416642</v>
      </c>
      <c r="U50">
        <f t="shared" si="55"/>
        <v>0.52048794314491287</v>
      </c>
      <c r="V50">
        <f t="shared" si="56"/>
        <v>0.32993835190427712</v>
      </c>
      <c r="W50">
        <f t="shared" si="57"/>
        <v>289.57765466060812</v>
      </c>
      <c r="X50">
        <f t="shared" si="58"/>
        <v>30.463459357036818</v>
      </c>
      <c r="Y50">
        <f t="shared" si="59"/>
        <v>29.8996</v>
      </c>
      <c r="Z50">
        <f t="shared" si="60"/>
        <v>4.2359418659146124</v>
      </c>
      <c r="AA50">
        <f t="shared" si="61"/>
        <v>65.714285235595185</v>
      </c>
      <c r="AB50">
        <f t="shared" si="62"/>
        <v>2.9042753300651998</v>
      </c>
      <c r="AC50">
        <f t="shared" si="63"/>
        <v>4.4195494475104677</v>
      </c>
      <c r="AD50">
        <f t="shared" si="64"/>
        <v>1.3316665358494126</v>
      </c>
      <c r="AE50">
        <f t="shared" si="65"/>
        <v>-319.43591193072831</v>
      </c>
      <c r="AF50">
        <f t="shared" si="66"/>
        <v>116.40236307610266</v>
      </c>
      <c r="AG50">
        <f t="shared" si="67"/>
        <v>8.8967921322691055</v>
      </c>
      <c r="AH50">
        <f t="shared" si="68"/>
        <v>95.440897938251595</v>
      </c>
      <c r="AI50">
        <v>0</v>
      </c>
      <c r="AJ50">
        <v>0</v>
      </c>
      <c r="AK50">
        <f t="shared" si="69"/>
        <v>1</v>
      </c>
      <c r="AL50">
        <f t="shared" si="70"/>
        <v>0</v>
      </c>
      <c r="AM50">
        <f t="shared" si="71"/>
        <v>51865.998882796412</v>
      </c>
      <c r="AN50" t="s">
        <v>418</v>
      </c>
      <c r="AO50">
        <v>10076.700000000001</v>
      </c>
      <c r="AP50">
        <v>185.01599999999999</v>
      </c>
      <c r="AQ50">
        <v>473.06</v>
      </c>
      <c r="AR50">
        <f t="shared" si="72"/>
        <v>0.60889527755464423</v>
      </c>
      <c r="AS50">
        <v>-1.4827006201179751</v>
      </c>
      <c r="AT50" t="s">
        <v>595</v>
      </c>
      <c r="AU50">
        <v>8095.77</v>
      </c>
      <c r="AV50">
        <v>690.01820000000009</v>
      </c>
      <c r="AW50">
        <v>861.59818060932855</v>
      </c>
      <c r="AX50">
        <f t="shared" si="73"/>
        <v>0.19914153078641117</v>
      </c>
      <c r="AY50">
        <v>0.5</v>
      </c>
      <c r="AZ50">
        <f t="shared" si="74"/>
        <v>1513.2435060417658</v>
      </c>
      <c r="BA50">
        <f t="shared" si="75"/>
        <v>21.319096052610323</v>
      </c>
      <c r="BB50">
        <f t="shared" si="76"/>
        <v>150.67481412287654</v>
      </c>
      <c r="BC50">
        <f t="shared" si="77"/>
        <v>1.5068160928290785E-2</v>
      </c>
      <c r="BD50">
        <f t="shared" si="78"/>
        <v>-0.45095055833863473</v>
      </c>
      <c r="BE50">
        <f t="shared" si="79"/>
        <v>224.63454623992055</v>
      </c>
      <c r="BF50" t="s">
        <v>596</v>
      </c>
      <c r="BG50">
        <v>530.85</v>
      </c>
      <c r="BH50">
        <f t="shared" si="80"/>
        <v>530.85</v>
      </c>
      <c r="BI50">
        <f t="shared" si="81"/>
        <v>0.38387752905353278</v>
      </c>
      <c r="BJ50">
        <f t="shared" si="82"/>
        <v>0.5187631880339636</v>
      </c>
      <c r="BK50">
        <f t="shared" si="83"/>
        <v>6.7232770480935873</v>
      </c>
      <c r="BL50">
        <f t="shared" si="84"/>
        <v>0.25359813711736223</v>
      </c>
      <c r="BM50">
        <f t="shared" si="85"/>
        <v>-1.3488848252674195</v>
      </c>
      <c r="BN50">
        <f t="shared" si="86"/>
        <v>0.39909880401390796</v>
      </c>
      <c r="BO50">
        <f t="shared" si="87"/>
        <v>0.60090119598609204</v>
      </c>
      <c r="BP50">
        <v>9121</v>
      </c>
      <c r="BQ50">
        <v>290.00000000000011</v>
      </c>
      <c r="BR50">
        <v>803.5</v>
      </c>
      <c r="BS50">
        <v>275</v>
      </c>
      <c r="BT50">
        <v>8095.77</v>
      </c>
      <c r="BU50">
        <v>805.09</v>
      </c>
      <c r="BV50">
        <v>-1.59</v>
      </c>
      <c r="BW50">
        <v>300.00000000000011</v>
      </c>
      <c r="BX50">
        <v>19.2</v>
      </c>
      <c r="BY50">
        <v>861.59818060932855</v>
      </c>
      <c r="BZ50">
        <v>3.0117260031881479</v>
      </c>
      <c r="CA50">
        <v>-45.747072190846239</v>
      </c>
      <c r="CB50">
        <v>2.240339114448322</v>
      </c>
      <c r="CC50">
        <v>0.9370736324162009</v>
      </c>
      <c r="CD50">
        <v>-4.170072302558398E-3</v>
      </c>
      <c r="CE50">
        <v>289.99999999999989</v>
      </c>
      <c r="CF50">
        <v>801.54</v>
      </c>
      <c r="CG50">
        <v>615</v>
      </c>
      <c r="CH50">
        <v>8089.43</v>
      </c>
      <c r="CI50">
        <v>805.05</v>
      </c>
      <c r="CJ50">
        <v>-3.51</v>
      </c>
      <c r="CX50">
        <f t="shared" si="88"/>
        <v>1800.07</v>
      </c>
      <c r="CY50">
        <f t="shared" si="89"/>
        <v>1513.2435060417658</v>
      </c>
      <c r="CZ50">
        <f t="shared" si="90"/>
        <v>0.84065814442869768</v>
      </c>
      <c r="DA50">
        <f t="shared" si="91"/>
        <v>0.16087021874738655</v>
      </c>
      <c r="DB50">
        <v>6</v>
      </c>
      <c r="DC50">
        <v>0.5</v>
      </c>
      <c r="DD50" t="s">
        <v>421</v>
      </c>
      <c r="DE50">
        <v>2</v>
      </c>
      <c r="DF50">
        <v>1689005259.5999999</v>
      </c>
      <c r="DG50">
        <v>93.7667</v>
      </c>
      <c r="DH50">
        <v>120.15900000000001</v>
      </c>
      <c r="DI50">
        <v>29.259599999999999</v>
      </c>
      <c r="DJ50">
        <v>20.823599999999999</v>
      </c>
      <c r="DK50">
        <v>94.787700000000001</v>
      </c>
      <c r="DL50">
        <v>29.216200000000001</v>
      </c>
      <c r="DM50">
        <v>500.10700000000003</v>
      </c>
      <c r="DN50">
        <v>99.158900000000003</v>
      </c>
      <c r="DO50">
        <v>9.9987000000000006E-2</v>
      </c>
      <c r="DP50">
        <v>30.639800000000001</v>
      </c>
      <c r="DQ50">
        <v>29.8996</v>
      </c>
      <c r="DR50">
        <v>999.9</v>
      </c>
      <c r="DS50">
        <v>0</v>
      </c>
      <c r="DT50">
        <v>0</v>
      </c>
      <c r="DU50">
        <v>10012.5</v>
      </c>
      <c r="DV50">
        <v>0</v>
      </c>
      <c r="DW50">
        <v>2076.48</v>
      </c>
      <c r="DX50">
        <v>-26.392700000000001</v>
      </c>
      <c r="DY50">
        <v>96.593000000000004</v>
      </c>
      <c r="DZ50">
        <v>122.715</v>
      </c>
      <c r="EA50">
        <v>8.4360300000000006</v>
      </c>
      <c r="EB50">
        <v>120.15900000000001</v>
      </c>
      <c r="EC50">
        <v>20.823599999999999</v>
      </c>
      <c r="ED50">
        <v>2.9013499999999999</v>
      </c>
      <c r="EE50">
        <v>2.0648499999999999</v>
      </c>
      <c r="EF50">
        <v>23.4724</v>
      </c>
      <c r="EG50">
        <v>17.950500000000002</v>
      </c>
      <c r="EH50">
        <v>1800.07</v>
      </c>
      <c r="EI50">
        <v>0.97799800000000003</v>
      </c>
      <c r="EJ50">
        <v>2.2001799999999998E-2</v>
      </c>
      <c r="EK50">
        <v>0</v>
      </c>
      <c r="EL50">
        <v>689.89800000000002</v>
      </c>
      <c r="EM50">
        <v>5.00082</v>
      </c>
      <c r="EN50">
        <v>16142</v>
      </c>
      <c r="EO50">
        <v>14130.3</v>
      </c>
      <c r="EP50">
        <v>47.936999999999998</v>
      </c>
      <c r="EQ50">
        <v>49.811999999999998</v>
      </c>
      <c r="ER50">
        <v>48.936999999999998</v>
      </c>
      <c r="ES50">
        <v>49.061999999999998</v>
      </c>
      <c r="ET50">
        <v>49.375</v>
      </c>
      <c r="EU50">
        <v>1755.57</v>
      </c>
      <c r="EV50">
        <v>39.49</v>
      </c>
      <c r="EW50">
        <v>0</v>
      </c>
      <c r="EX50">
        <v>136.20000004768369</v>
      </c>
      <c r="EY50">
        <v>0</v>
      </c>
      <c r="EZ50">
        <v>690.01820000000009</v>
      </c>
      <c r="FA50">
        <v>-1.2775384586962779</v>
      </c>
      <c r="FB50">
        <v>-46.807692040457013</v>
      </c>
      <c r="FC50">
        <v>16152.092000000001</v>
      </c>
      <c r="FD50">
        <v>15</v>
      </c>
      <c r="FE50">
        <v>1689005220.5999999</v>
      </c>
      <c r="FF50" t="s">
        <v>597</v>
      </c>
      <c r="FG50">
        <v>1689005197.0999999</v>
      </c>
      <c r="FH50">
        <v>1689005089.0999999</v>
      </c>
      <c r="FI50">
        <v>38</v>
      </c>
      <c r="FJ50">
        <v>-3.7999999999999999E-2</v>
      </c>
      <c r="FK50">
        <v>-1.0999999999999999E-2</v>
      </c>
      <c r="FL50">
        <v>-1.05</v>
      </c>
      <c r="FM50">
        <v>4.2999999999999997E-2</v>
      </c>
      <c r="FN50">
        <v>120</v>
      </c>
      <c r="FO50">
        <v>22</v>
      </c>
      <c r="FP50">
        <v>7.0000000000000007E-2</v>
      </c>
      <c r="FQ50">
        <v>0.02</v>
      </c>
      <c r="FR50">
        <v>21.290619752950661</v>
      </c>
      <c r="FS50">
        <v>0.5149146353449594</v>
      </c>
      <c r="FT50">
        <v>4.009435547548882E-2</v>
      </c>
      <c r="FU50">
        <v>1</v>
      </c>
      <c r="FV50">
        <v>0.57622981880916868</v>
      </c>
      <c r="FW50">
        <v>4.5094565782877918E-2</v>
      </c>
      <c r="FX50">
        <v>3.5131567348943198E-3</v>
      </c>
      <c r="FY50">
        <v>1</v>
      </c>
      <c r="FZ50">
        <v>2</v>
      </c>
      <c r="GA50">
        <v>2</v>
      </c>
      <c r="GB50" t="s">
        <v>423</v>
      </c>
      <c r="GC50">
        <v>2.9460500000000001</v>
      </c>
      <c r="GD50">
        <v>2.7087599999999998</v>
      </c>
      <c r="GE50">
        <v>2.4823899999999999E-2</v>
      </c>
      <c r="GF50">
        <v>3.12384E-2</v>
      </c>
      <c r="GG50">
        <v>0.13040599999999999</v>
      </c>
      <c r="GH50">
        <v>0.102949</v>
      </c>
      <c r="GI50">
        <v>32223.4</v>
      </c>
      <c r="GJ50">
        <v>31199.7</v>
      </c>
      <c r="GK50">
        <v>34035.5</v>
      </c>
      <c r="GL50">
        <v>32237.8</v>
      </c>
      <c r="GM50">
        <v>42687.9</v>
      </c>
      <c r="GN50">
        <v>41138.699999999997</v>
      </c>
      <c r="GO50">
        <v>49260.2</v>
      </c>
      <c r="GP50">
        <v>45630.6</v>
      </c>
      <c r="GQ50">
        <v>2.0070299999999999</v>
      </c>
      <c r="GR50">
        <v>1.8168</v>
      </c>
      <c r="GS50">
        <v>2.6959899999999998E-2</v>
      </c>
      <c r="GT50">
        <v>0</v>
      </c>
      <c r="GU50">
        <v>29.460699999999999</v>
      </c>
      <c r="GV50">
        <v>999.9</v>
      </c>
      <c r="GW50">
        <v>35.5</v>
      </c>
      <c r="GX50">
        <v>40.799999999999997</v>
      </c>
      <c r="GY50">
        <v>27.6995</v>
      </c>
      <c r="GZ50">
        <v>60.146799999999999</v>
      </c>
      <c r="HA50">
        <v>26.510400000000001</v>
      </c>
      <c r="HB50">
        <v>1</v>
      </c>
      <c r="HC50">
        <v>0.27359499999999998</v>
      </c>
      <c r="HD50">
        <v>1.1659600000000001</v>
      </c>
      <c r="HE50">
        <v>20.223700000000001</v>
      </c>
      <c r="HF50">
        <v>5.27</v>
      </c>
      <c r="HG50">
        <v>12.039899999999999</v>
      </c>
      <c r="HH50">
        <v>4.9673999999999996</v>
      </c>
      <c r="HI50">
        <v>3.3010000000000002</v>
      </c>
      <c r="HJ50">
        <v>9999</v>
      </c>
      <c r="HK50">
        <v>9999</v>
      </c>
      <c r="HL50">
        <v>9999</v>
      </c>
      <c r="HM50">
        <v>999.9</v>
      </c>
      <c r="HN50">
        <v>1.8684400000000001</v>
      </c>
      <c r="HO50">
        <v>1.8721000000000001</v>
      </c>
      <c r="HP50">
        <v>1.87195</v>
      </c>
      <c r="HQ50">
        <v>1.87147</v>
      </c>
      <c r="HR50">
        <v>1.86463</v>
      </c>
      <c r="HS50">
        <v>1.8658399999999999</v>
      </c>
      <c r="HT50">
        <v>1.8678300000000001</v>
      </c>
      <c r="HU50">
        <v>1.8724099999999999</v>
      </c>
      <c r="HV50">
        <v>0</v>
      </c>
      <c r="HW50">
        <v>0</v>
      </c>
      <c r="HX50">
        <v>0</v>
      </c>
      <c r="HY50">
        <v>0</v>
      </c>
      <c r="HZ50" t="s">
        <v>424</v>
      </c>
      <c r="IA50" t="s">
        <v>425</v>
      </c>
      <c r="IB50" t="s">
        <v>426</v>
      </c>
      <c r="IC50" t="s">
        <v>426</v>
      </c>
      <c r="ID50" t="s">
        <v>426</v>
      </c>
      <c r="IE50" t="s">
        <v>426</v>
      </c>
      <c r="IF50">
        <v>0</v>
      </c>
      <c r="IG50">
        <v>100</v>
      </c>
      <c r="IH50">
        <v>100</v>
      </c>
      <c r="II50">
        <v>-1.0209999999999999</v>
      </c>
      <c r="IJ50">
        <v>4.3400000000000001E-2</v>
      </c>
      <c r="IK50">
        <v>-0.91244248885424017</v>
      </c>
      <c r="IL50">
        <v>-1.171017271736434E-3</v>
      </c>
      <c r="IM50">
        <v>2.801297040296544E-7</v>
      </c>
      <c r="IN50">
        <v>-3.6238253961199429E-11</v>
      </c>
      <c r="IO50">
        <v>4.3454999999998023E-2</v>
      </c>
      <c r="IP50">
        <v>0</v>
      </c>
      <c r="IQ50">
        <v>0</v>
      </c>
      <c r="IR50">
        <v>0</v>
      </c>
      <c r="IS50">
        <v>0</v>
      </c>
      <c r="IT50">
        <v>2161</v>
      </c>
      <c r="IU50">
        <v>1</v>
      </c>
      <c r="IV50">
        <v>19</v>
      </c>
      <c r="IW50">
        <v>1</v>
      </c>
      <c r="IX50">
        <v>2.8</v>
      </c>
      <c r="IY50">
        <v>0.41992200000000002</v>
      </c>
      <c r="IZ50">
        <v>2.52319</v>
      </c>
      <c r="JA50">
        <v>1.4440900000000001</v>
      </c>
      <c r="JB50">
        <v>2.2827099999999998</v>
      </c>
      <c r="JC50">
        <v>1.54419</v>
      </c>
      <c r="JD50">
        <v>2.4145500000000002</v>
      </c>
      <c r="JE50">
        <v>44.725299999999997</v>
      </c>
      <c r="JF50">
        <v>24.227599999999999</v>
      </c>
      <c r="JG50">
        <v>18</v>
      </c>
      <c r="JH50">
        <v>511.05</v>
      </c>
      <c r="JI50">
        <v>428.11599999999999</v>
      </c>
      <c r="JJ50">
        <v>27.760999999999999</v>
      </c>
      <c r="JK50">
        <v>30.833600000000001</v>
      </c>
      <c r="JL50">
        <v>30.000499999999999</v>
      </c>
      <c r="JM50">
        <v>30.5867</v>
      </c>
      <c r="JN50">
        <v>30.531500000000001</v>
      </c>
      <c r="JO50">
        <v>8.5215999999999994</v>
      </c>
      <c r="JP50">
        <v>28.757100000000001</v>
      </c>
      <c r="JQ50">
        <v>2.5581</v>
      </c>
      <c r="JR50">
        <v>27.813400000000001</v>
      </c>
      <c r="JS50">
        <v>120</v>
      </c>
      <c r="JT50">
        <v>20.649799999999999</v>
      </c>
      <c r="JU50">
        <v>99.863900000000001</v>
      </c>
      <c r="JV50">
        <v>99.378200000000007</v>
      </c>
    </row>
    <row r="51" spans="1:282" x14ac:dyDescent="0.25">
      <c r="A51">
        <v>35</v>
      </c>
      <c r="B51">
        <v>1689005376.5</v>
      </c>
      <c r="C51">
        <v>6199.5</v>
      </c>
      <c r="D51" t="s">
        <v>598</v>
      </c>
      <c r="E51" t="s">
        <v>599</v>
      </c>
      <c r="F51" t="s">
        <v>414</v>
      </c>
      <c r="G51" t="s">
        <v>415</v>
      </c>
      <c r="H51" t="s">
        <v>578</v>
      </c>
      <c r="I51" t="s">
        <v>416</v>
      </c>
      <c r="J51" t="s">
        <v>579</v>
      </c>
      <c r="K51">
        <v>1689005376.5</v>
      </c>
      <c r="L51">
        <f t="shared" si="46"/>
        <v>7.3400904545746787E-3</v>
      </c>
      <c r="M51">
        <f t="shared" si="47"/>
        <v>7.3400904545746783</v>
      </c>
      <c r="N51">
        <f t="shared" si="48"/>
        <v>13.034013614250874</v>
      </c>
      <c r="O51">
        <f t="shared" si="49"/>
        <v>54.035400000000003</v>
      </c>
      <c r="P51">
        <f t="shared" si="50"/>
        <v>13.608808410026407</v>
      </c>
      <c r="Q51">
        <f t="shared" si="51"/>
        <v>1.3508161432665784</v>
      </c>
      <c r="R51">
        <f t="shared" si="52"/>
        <v>5.3635769149405803</v>
      </c>
      <c r="S51">
        <f t="shared" si="53"/>
        <v>0.5746479889846986</v>
      </c>
      <c r="T51">
        <f t="shared" si="54"/>
        <v>2.914345212217599</v>
      </c>
      <c r="U51">
        <f t="shared" si="55"/>
        <v>0.51832600663305795</v>
      </c>
      <c r="V51">
        <f t="shared" si="56"/>
        <v>0.32855282614955666</v>
      </c>
      <c r="W51">
        <f t="shared" si="57"/>
        <v>289.60477395852473</v>
      </c>
      <c r="X51">
        <f t="shared" si="58"/>
        <v>30.633909400553303</v>
      </c>
      <c r="Y51">
        <f t="shared" si="59"/>
        <v>30.074100000000001</v>
      </c>
      <c r="Z51">
        <f t="shared" si="60"/>
        <v>4.2786169496016884</v>
      </c>
      <c r="AA51">
        <f t="shared" si="61"/>
        <v>65.424832156246822</v>
      </c>
      <c r="AB51">
        <f t="shared" si="62"/>
        <v>2.92397397501552</v>
      </c>
      <c r="AC51">
        <f t="shared" si="63"/>
        <v>4.4692112744477814</v>
      </c>
      <c r="AD51">
        <f t="shared" si="64"/>
        <v>1.3546429745861683</v>
      </c>
      <c r="AE51">
        <f t="shared" si="65"/>
        <v>-323.69798904674332</v>
      </c>
      <c r="AF51">
        <f t="shared" si="66"/>
        <v>119.61406973442234</v>
      </c>
      <c r="AG51">
        <f t="shared" si="67"/>
        <v>9.1671636448460703</v>
      </c>
      <c r="AH51">
        <f t="shared" si="68"/>
        <v>94.688018291049843</v>
      </c>
      <c r="AI51">
        <v>0</v>
      </c>
      <c r="AJ51">
        <v>0</v>
      </c>
      <c r="AK51">
        <f t="shared" si="69"/>
        <v>1</v>
      </c>
      <c r="AL51">
        <f t="shared" si="70"/>
        <v>0</v>
      </c>
      <c r="AM51">
        <f t="shared" si="71"/>
        <v>51759.025525688776</v>
      </c>
      <c r="AN51" t="s">
        <v>418</v>
      </c>
      <c r="AO51">
        <v>10076.700000000001</v>
      </c>
      <c r="AP51">
        <v>185.01599999999999</v>
      </c>
      <c r="AQ51">
        <v>473.06</v>
      </c>
      <c r="AR51">
        <f t="shared" si="72"/>
        <v>0.60889527755464423</v>
      </c>
      <c r="AS51">
        <v>-1.4827006201179751</v>
      </c>
      <c r="AT51" t="s">
        <v>600</v>
      </c>
      <c r="AU51">
        <v>8094.56</v>
      </c>
      <c r="AV51">
        <v>702.10942307692301</v>
      </c>
      <c r="AW51">
        <v>807.5095013368657</v>
      </c>
      <c r="AX51">
        <f t="shared" si="73"/>
        <v>0.13052487690293235</v>
      </c>
      <c r="AY51">
        <v>0.5</v>
      </c>
      <c r="AZ51">
        <f t="shared" si="74"/>
        <v>1513.3862994603753</v>
      </c>
      <c r="BA51">
        <f t="shared" si="75"/>
        <v>13.034013614250874</v>
      </c>
      <c r="BB51">
        <f t="shared" si="76"/>
        <v>98.767280221824905</v>
      </c>
      <c r="BC51">
        <f t="shared" si="77"/>
        <v>9.5922067218033088E-3</v>
      </c>
      <c r="BD51">
        <f t="shared" si="78"/>
        <v>-0.41417407570210701</v>
      </c>
      <c r="BE51">
        <f t="shared" si="79"/>
        <v>220.77897944916313</v>
      </c>
      <c r="BF51" t="s">
        <v>601</v>
      </c>
      <c r="BG51">
        <v>547.09</v>
      </c>
      <c r="BH51">
        <f t="shared" si="80"/>
        <v>547.09</v>
      </c>
      <c r="BI51">
        <f t="shared" si="81"/>
        <v>0.32249713583026618</v>
      </c>
      <c r="BJ51">
        <f t="shared" si="82"/>
        <v>0.40473189495744566</v>
      </c>
      <c r="BK51">
        <f t="shared" si="83"/>
        <v>4.5177563330658597</v>
      </c>
      <c r="BL51">
        <f t="shared" si="84"/>
        <v>0.16931916242271719</v>
      </c>
      <c r="BM51">
        <f t="shared" si="85"/>
        <v>-1.1611055996197308</v>
      </c>
      <c r="BN51">
        <f t="shared" si="86"/>
        <v>0.31537074583317437</v>
      </c>
      <c r="BO51">
        <f t="shared" si="87"/>
        <v>0.68462925416682563</v>
      </c>
      <c r="BP51">
        <v>9123</v>
      </c>
      <c r="BQ51">
        <v>290.00000000000011</v>
      </c>
      <c r="BR51">
        <v>772.49</v>
      </c>
      <c r="BS51">
        <v>295</v>
      </c>
      <c r="BT51">
        <v>8094.56</v>
      </c>
      <c r="BU51">
        <v>772.59</v>
      </c>
      <c r="BV51">
        <v>-0.1</v>
      </c>
      <c r="BW51">
        <v>300.00000000000011</v>
      </c>
      <c r="BX51">
        <v>19.2</v>
      </c>
      <c r="BY51">
        <v>807.5095013368657</v>
      </c>
      <c r="BZ51">
        <v>2.359751995253025</v>
      </c>
      <c r="CA51">
        <v>-28.264676384030331</v>
      </c>
      <c r="CB51">
        <v>1.7551836077758789</v>
      </c>
      <c r="CC51">
        <v>0.90254908214877294</v>
      </c>
      <c r="CD51">
        <v>-4.1696907675194761E-3</v>
      </c>
      <c r="CE51">
        <v>289.99999999999989</v>
      </c>
      <c r="CF51">
        <v>770.32</v>
      </c>
      <c r="CG51">
        <v>675</v>
      </c>
      <c r="CH51">
        <v>8087.04</v>
      </c>
      <c r="CI51">
        <v>772.56</v>
      </c>
      <c r="CJ51">
        <v>-2.2400000000000002</v>
      </c>
      <c r="CX51">
        <f t="shared" si="88"/>
        <v>1800.24</v>
      </c>
      <c r="CY51">
        <f t="shared" si="89"/>
        <v>1513.3862994603753</v>
      </c>
      <c r="CZ51">
        <f t="shared" si="90"/>
        <v>0.84065807862305875</v>
      </c>
      <c r="DA51">
        <f t="shared" si="91"/>
        <v>0.16087009174250363</v>
      </c>
      <c r="DB51">
        <v>6</v>
      </c>
      <c r="DC51">
        <v>0.5</v>
      </c>
      <c r="DD51" t="s">
        <v>421</v>
      </c>
      <c r="DE51">
        <v>2</v>
      </c>
      <c r="DF51">
        <v>1689005376.5</v>
      </c>
      <c r="DG51">
        <v>54.035400000000003</v>
      </c>
      <c r="DH51">
        <v>70.150199999999998</v>
      </c>
      <c r="DI51">
        <v>29.457599999999999</v>
      </c>
      <c r="DJ51">
        <v>20.91</v>
      </c>
      <c r="DK51">
        <v>54.993299999999998</v>
      </c>
      <c r="DL51">
        <v>29.441800000000001</v>
      </c>
      <c r="DM51">
        <v>500.06099999999998</v>
      </c>
      <c r="DN51">
        <v>99.160600000000002</v>
      </c>
      <c r="DO51">
        <v>9.9827700000000005E-2</v>
      </c>
      <c r="DP51">
        <v>30.8354</v>
      </c>
      <c r="DQ51">
        <v>30.074100000000001</v>
      </c>
      <c r="DR51">
        <v>999.9</v>
      </c>
      <c r="DS51">
        <v>0</v>
      </c>
      <c r="DT51">
        <v>0</v>
      </c>
      <c r="DU51">
        <v>9997.5</v>
      </c>
      <c r="DV51">
        <v>0</v>
      </c>
      <c r="DW51">
        <v>2119.6799999999998</v>
      </c>
      <c r="DX51">
        <v>-16.114799999999999</v>
      </c>
      <c r="DY51">
        <v>55.6755</v>
      </c>
      <c r="DZ51">
        <v>71.648300000000006</v>
      </c>
      <c r="EA51">
        <v>8.5476100000000006</v>
      </c>
      <c r="EB51">
        <v>70.150199999999998</v>
      </c>
      <c r="EC51">
        <v>20.91</v>
      </c>
      <c r="ED51">
        <v>2.92103</v>
      </c>
      <c r="EE51">
        <v>2.0734499999999998</v>
      </c>
      <c r="EF51">
        <v>23.584499999999998</v>
      </c>
      <c r="EG51">
        <v>18.0166</v>
      </c>
      <c r="EH51">
        <v>1800.24</v>
      </c>
      <c r="EI51">
        <v>0.97800200000000004</v>
      </c>
      <c r="EJ51">
        <v>2.1998199999999999E-2</v>
      </c>
      <c r="EK51">
        <v>0</v>
      </c>
      <c r="EL51">
        <v>701.673</v>
      </c>
      <c r="EM51">
        <v>5.00082</v>
      </c>
      <c r="EN51">
        <v>16445.099999999999</v>
      </c>
      <c r="EO51">
        <v>14131.6</v>
      </c>
      <c r="EP51">
        <v>48.061999999999998</v>
      </c>
      <c r="EQ51">
        <v>50</v>
      </c>
      <c r="ER51">
        <v>49.061999999999998</v>
      </c>
      <c r="ES51">
        <v>49.25</v>
      </c>
      <c r="ET51">
        <v>49.5</v>
      </c>
      <c r="EU51">
        <v>1755.75</v>
      </c>
      <c r="EV51">
        <v>39.49</v>
      </c>
      <c r="EW51">
        <v>0</v>
      </c>
      <c r="EX51">
        <v>115.2000000476837</v>
      </c>
      <c r="EY51">
        <v>0</v>
      </c>
      <c r="EZ51">
        <v>702.10942307692301</v>
      </c>
      <c r="FA51">
        <v>-4.009196579156888</v>
      </c>
      <c r="FB51">
        <v>-26.5196583631061</v>
      </c>
      <c r="FC51">
        <v>16442.150000000001</v>
      </c>
      <c r="FD51">
        <v>15</v>
      </c>
      <c r="FE51">
        <v>1689005343.5999999</v>
      </c>
      <c r="FF51" t="s">
        <v>602</v>
      </c>
      <c r="FG51">
        <v>1689005328.0999999</v>
      </c>
      <c r="FH51">
        <v>1689005343.5999999</v>
      </c>
      <c r="FI51">
        <v>39</v>
      </c>
      <c r="FJ51">
        <v>1.7999999999999999E-2</v>
      </c>
      <c r="FK51">
        <v>-2.8000000000000001E-2</v>
      </c>
      <c r="FL51">
        <v>-0.97599999999999998</v>
      </c>
      <c r="FM51">
        <v>1.6E-2</v>
      </c>
      <c r="FN51">
        <v>70</v>
      </c>
      <c r="FO51">
        <v>21</v>
      </c>
      <c r="FP51">
        <v>0.05</v>
      </c>
      <c r="FQ51">
        <v>0.01</v>
      </c>
      <c r="FR51">
        <v>13.037325949105719</v>
      </c>
      <c r="FS51">
        <v>-2.9489183305350879E-2</v>
      </c>
      <c r="FT51">
        <v>2.784793879509976E-2</v>
      </c>
      <c r="FU51">
        <v>1</v>
      </c>
      <c r="FV51">
        <v>0.57013222212018255</v>
      </c>
      <c r="FW51">
        <v>4.7588102599869037E-2</v>
      </c>
      <c r="FX51">
        <v>3.846197588591495E-3</v>
      </c>
      <c r="FY51">
        <v>1</v>
      </c>
      <c r="FZ51">
        <v>2</v>
      </c>
      <c r="GA51">
        <v>2</v>
      </c>
      <c r="GB51" t="s">
        <v>423</v>
      </c>
      <c r="GC51">
        <v>2.94584</v>
      </c>
      <c r="GD51">
        <v>2.7084600000000001</v>
      </c>
      <c r="GE51">
        <v>1.4564799999999999E-2</v>
      </c>
      <c r="GF51">
        <v>1.8575999999999999E-2</v>
      </c>
      <c r="GG51">
        <v>0.13106499999999999</v>
      </c>
      <c r="GH51">
        <v>0.103225</v>
      </c>
      <c r="GI51">
        <v>32552.799999999999</v>
      </c>
      <c r="GJ51">
        <v>31597.8</v>
      </c>
      <c r="GK51">
        <v>34026.6</v>
      </c>
      <c r="GL51">
        <v>32229.1</v>
      </c>
      <c r="GM51">
        <v>42645.5</v>
      </c>
      <c r="GN51">
        <v>41115.5</v>
      </c>
      <c r="GO51">
        <v>49248.5</v>
      </c>
      <c r="GP51">
        <v>45619.1</v>
      </c>
      <c r="GQ51">
        <v>2.0051800000000002</v>
      </c>
      <c r="GR51">
        <v>1.8149</v>
      </c>
      <c r="GS51">
        <v>3.3222099999999997E-2</v>
      </c>
      <c r="GT51">
        <v>0</v>
      </c>
      <c r="GU51">
        <v>29.533300000000001</v>
      </c>
      <c r="GV51">
        <v>999.9</v>
      </c>
      <c r="GW51">
        <v>35.1</v>
      </c>
      <c r="GX51">
        <v>41</v>
      </c>
      <c r="GY51">
        <v>27.676100000000002</v>
      </c>
      <c r="GZ51">
        <v>59.876800000000003</v>
      </c>
      <c r="HA51">
        <v>26.386199999999999</v>
      </c>
      <c r="HB51">
        <v>1</v>
      </c>
      <c r="HC51">
        <v>0.28733700000000001</v>
      </c>
      <c r="HD51">
        <v>2.1907800000000002</v>
      </c>
      <c r="HE51">
        <v>20.2121</v>
      </c>
      <c r="HF51">
        <v>5.2673100000000002</v>
      </c>
      <c r="HG51">
        <v>12.039899999999999</v>
      </c>
      <c r="HH51">
        <v>4.9652000000000003</v>
      </c>
      <c r="HI51">
        <v>3.3002500000000001</v>
      </c>
      <c r="HJ51">
        <v>9999</v>
      </c>
      <c r="HK51">
        <v>9999</v>
      </c>
      <c r="HL51">
        <v>9999</v>
      </c>
      <c r="HM51">
        <v>999.9</v>
      </c>
      <c r="HN51">
        <v>1.8684400000000001</v>
      </c>
      <c r="HO51">
        <v>1.8721000000000001</v>
      </c>
      <c r="HP51">
        <v>1.87195</v>
      </c>
      <c r="HQ51">
        <v>1.8714500000000001</v>
      </c>
      <c r="HR51">
        <v>1.8646499999999999</v>
      </c>
      <c r="HS51">
        <v>1.8658399999999999</v>
      </c>
      <c r="HT51">
        <v>1.8678300000000001</v>
      </c>
      <c r="HU51">
        <v>1.8724099999999999</v>
      </c>
      <c r="HV51">
        <v>0</v>
      </c>
      <c r="HW51">
        <v>0</v>
      </c>
      <c r="HX51">
        <v>0</v>
      </c>
      <c r="HY51">
        <v>0</v>
      </c>
      <c r="HZ51" t="s">
        <v>424</v>
      </c>
      <c r="IA51" t="s">
        <v>425</v>
      </c>
      <c r="IB51" t="s">
        <v>426</v>
      </c>
      <c r="IC51" t="s">
        <v>426</v>
      </c>
      <c r="ID51" t="s">
        <v>426</v>
      </c>
      <c r="IE51" t="s">
        <v>426</v>
      </c>
      <c r="IF51">
        <v>0</v>
      </c>
      <c r="IG51">
        <v>100</v>
      </c>
      <c r="IH51">
        <v>100</v>
      </c>
      <c r="II51">
        <v>-0.95799999999999996</v>
      </c>
      <c r="IJ51">
        <v>1.5800000000000002E-2</v>
      </c>
      <c r="IK51">
        <v>-0.89433177336591507</v>
      </c>
      <c r="IL51">
        <v>-1.171017271736434E-3</v>
      </c>
      <c r="IM51">
        <v>2.801297040296544E-7</v>
      </c>
      <c r="IN51">
        <v>-3.6238253961199429E-11</v>
      </c>
      <c r="IO51">
        <v>1.5819047619046959E-2</v>
      </c>
      <c r="IP51">
        <v>0</v>
      </c>
      <c r="IQ51">
        <v>0</v>
      </c>
      <c r="IR51">
        <v>0</v>
      </c>
      <c r="IS51">
        <v>0</v>
      </c>
      <c r="IT51">
        <v>2161</v>
      </c>
      <c r="IU51">
        <v>1</v>
      </c>
      <c r="IV51">
        <v>19</v>
      </c>
      <c r="IW51">
        <v>0.8</v>
      </c>
      <c r="IX51">
        <v>0.5</v>
      </c>
      <c r="IY51">
        <v>0.306396</v>
      </c>
      <c r="IZ51">
        <v>2.5378400000000001</v>
      </c>
      <c r="JA51">
        <v>1.4440900000000001</v>
      </c>
      <c r="JB51">
        <v>2.2839399999999999</v>
      </c>
      <c r="JC51">
        <v>1.54419</v>
      </c>
      <c r="JD51">
        <v>2.4169900000000002</v>
      </c>
      <c r="JE51">
        <v>45.035200000000003</v>
      </c>
      <c r="JF51">
        <v>24.218800000000002</v>
      </c>
      <c r="JG51">
        <v>18</v>
      </c>
      <c r="JH51">
        <v>510.81</v>
      </c>
      <c r="JI51">
        <v>427.76900000000001</v>
      </c>
      <c r="JJ51">
        <v>27.5716</v>
      </c>
      <c r="JK51">
        <v>30.9587</v>
      </c>
      <c r="JL51">
        <v>30.001000000000001</v>
      </c>
      <c r="JM51">
        <v>30.702300000000001</v>
      </c>
      <c r="JN51">
        <v>30.6449</v>
      </c>
      <c r="JO51">
        <v>6.2452399999999999</v>
      </c>
      <c r="JP51">
        <v>27.744599999999998</v>
      </c>
      <c r="JQ51">
        <v>1.1058300000000001</v>
      </c>
      <c r="JR51">
        <v>27.5519</v>
      </c>
      <c r="JS51">
        <v>70</v>
      </c>
      <c r="JT51">
        <v>20.7911</v>
      </c>
      <c r="JU51">
        <v>99.839200000000005</v>
      </c>
      <c r="JV51">
        <v>99.3523</v>
      </c>
    </row>
    <row r="52" spans="1:282" x14ac:dyDescent="0.25">
      <c r="A52">
        <v>36</v>
      </c>
      <c r="B52">
        <v>1689005495.5</v>
      </c>
      <c r="C52">
        <v>6318.5</v>
      </c>
      <c r="D52" t="s">
        <v>603</v>
      </c>
      <c r="E52" t="s">
        <v>604</v>
      </c>
      <c r="F52" t="s">
        <v>414</v>
      </c>
      <c r="G52" t="s">
        <v>415</v>
      </c>
      <c r="H52" t="s">
        <v>578</v>
      </c>
      <c r="I52" t="s">
        <v>416</v>
      </c>
      <c r="J52" t="s">
        <v>579</v>
      </c>
      <c r="K52">
        <v>1689005495.5</v>
      </c>
      <c r="L52">
        <f t="shared" si="46"/>
        <v>7.5675071174628973E-3</v>
      </c>
      <c r="M52">
        <f t="shared" si="47"/>
        <v>7.5675071174628972</v>
      </c>
      <c r="N52">
        <f t="shared" si="48"/>
        <v>6.0271936099280765</v>
      </c>
      <c r="O52">
        <f t="shared" si="49"/>
        <v>22.735900000000001</v>
      </c>
      <c r="P52">
        <f t="shared" si="50"/>
        <v>5.1080347617217328</v>
      </c>
      <c r="Q52">
        <f t="shared" si="51"/>
        <v>0.50706126554449782</v>
      </c>
      <c r="R52">
        <f t="shared" si="52"/>
        <v>2.2569333931876598</v>
      </c>
      <c r="S52">
        <f t="shared" si="53"/>
        <v>0.61175324688826893</v>
      </c>
      <c r="T52">
        <f t="shared" si="54"/>
        <v>2.9164469681237621</v>
      </c>
      <c r="U52">
        <f t="shared" si="55"/>
        <v>0.54839230136811967</v>
      </c>
      <c r="V52">
        <f t="shared" si="56"/>
        <v>0.34788944176037961</v>
      </c>
      <c r="W52">
        <f t="shared" si="57"/>
        <v>289.60317795851898</v>
      </c>
      <c r="X52">
        <f t="shared" si="58"/>
        <v>30.411272717448135</v>
      </c>
      <c r="Y52">
        <f t="shared" si="59"/>
        <v>29.904800000000002</v>
      </c>
      <c r="Z52">
        <f t="shared" si="60"/>
        <v>4.2372081758920199</v>
      </c>
      <c r="AA52">
        <f t="shared" si="61"/>
        <v>65.875197237989539</v>
      </c>
      <c r="AB52">
        <f t="shared" si="62"/>
        <v>2.9167339370192398</v>
      </c>
      <c r="AC52">
        <f t="shared" si="63"/>
        <v>4.4276663438013815</v>
      </c>
      <c r="AD52">
        <f t="shared" si="64"/>
        <v>1.3204742388727801</v>
      </c>
      <c r="AE52">
        <f t="shared" si="65"/>
        <v>-333.72706388011375</v>
      </c>
      <c r="AF52">
        <f t="shared" si="66"/>
        <v>120.61227517008393</v>
      </c>
      <c r="AG52">
        <f t="shared" si="67"/>
        <v>9.2218172956723219</v>
      </c>
      <c r="AH52">
        <f t="shared" si="68"/>
        <v>85.710206544161508</v>
      </c>
      <c r="AI52">
        <v>0</v>
      </c>
      <c r="AJ52">
        <v>0</v>
      </c>
      <c r="AK52">
        <f t="shared" si="69"/>
        <v>1</v>
      </c>
      <c r="AL52">
        <f t="shared" si="70"/>
        <v>0</v>
      </c>
      <c r="AM52">
        <f t="shared" si="71"/>
        <v>51846.74076975885</v>
      </c>
      <c r="AN52" t="s">
        <v>418</v>
      </c>
      <c r="AO52">
        <v>10076.700000000001</v>
      </c>
      <c r="AP52">
        <v>185.01599999999999</v>
      </c>
      <c r="AQ52">
        <v>473.06</v>
      </c>
      <c r="AR52">
        <f t="shared" si="72"/>
        <v>0.60889527755464423</v>
      </c>
      <c r="AS52">
        <v>-1.4827006201179751</v>
      </c>
      <c r="AT52" t="s">
        <v>605</v>
      </c>
      <c r="AU52">
        <v>8104.85</v>
      </c>
      <c r="AV52">
        <v>717.90248000000008</v>
      </c>
      <c r="AW52">
        <v>786.71286730263353</v>
      </c>
      <c r="AX52">
        <f t="shared" si="73"/>
        <v>8.7465694489732293E-2</v>
      </c>
      <c r="AY52">
        <v>0.5</v>
      </c>
      <c r="AZ52">
        <f t="shared" si="74"/>
        <v>1513.3778994603724</v>
      </c>
      <c r="BA52">
        <f t="shared" si="75"/>
        <v>6.0271936099280765</v>
      </c>
      <c r="BB52">
        <f t="shared" si="76"/>
        <v>66.18432450085686</v>
      </c>
      <c r="BC52">
        <f t="shared" si="77"/>
        <v>4.9623390382031261E-3</v>
      </c>
      <c r="BD52">
        <f t="shared" si="78"/>
        <v>-0.39868785720772659</v>
      </c>
      <c r="BE52">
        <f t="shared" si="79"/>
        <v>219.1947538304116</v>
      </c>
      <c r="BF52" t="s">
        <v>606</v>
      </c>
      <c r="BG52">
        <v>576.03</v>
      </c>
      <c r="BH52">
        <f t="shared" si="80"/>
        <v>576.03</v>
      </c>
      <c r="BI52">
        <f t="shared" si="81"/>
        <v>0.26780147631878992</v>
      </c>
      <c r="BJ52">
        <f t="shared" si="82"/>
        <v>0.32660646868732507</v>
      </c>
      <c r="BK52">
        <f t="shared" si="83"/>
        <v>3.0460606710948199</v>
      </c>
      <c r="BL52">
        <f t="shared" si="84"/>
        <v>0.11436055436204241</v>
      </c>
      <c r="BM52">
        <f t="shared" si="85"/>
        <v>-1.0889060952584797</v>
      </c>
      <c r="BN52">
        <f t="shared" si="86"/>
        <v>0.26206222906203058</v>
      </c>
      <c r="BO52">
        <f t="shared" si="87"/>
        <v>0.73793777093796942</v>
      </c>
      <c r="BP52">
        <v>9125</v>
      </c>
      <c r="BQ52">
        <v>290.00000000000011</v>
      </c>
      <c r="BR52">
        <v>765.07</v>
      </c>
      <c r="BS52">
        <v>115</v>
      </c>
      <c r="BT52">
        <v>8104.85</v>
      </c>
      <c r="BU52">
        <v>763.63</v>
      </c>
      <c r="BV52">
        <v>1.44</v>
      </c>
      <c r="BW52">
        <v>300.00000000000011</v>
      </c>
      <c r="BX52">
        <v>19.2</v>
      </c>
      <c r="BY52">
        <v>786.71286730263353</v>
      </c>
      <c r="BZ52">
        <v>1.9746087563172281</v>
      </c>
      <c r="CA52">
        <v>-18.70685531227214</v>
      </c>
      <c r="CB52">
        <v>1.468641637311713</v>
      </c>
      <c r="CC52">
        <v>0.85282095131957469</v>
      </c>
      <c r="CD52">
        <v>-4.1695067853170223E-3</v>
      </c>
      <c r="CE52">
        <v>289.99999999999989</v>
      </c>
      <c r="CF52">
        <v>761.78</v>
      </c>
      <c r="CG52">
        <v>685</v>
      </c>
      <c r="CH52">
        <v>8086.34</v>
      </c>
      <c r="CI52">
        <v>763.58</v>
      </c>
      <c r="CJ52">
        <v>-1.8</v>
      </c>
      <c r="CX52">
        <f t="shared" si="88"/>
        <v>1800.23</v>
      </c>
      <c r="CY52">
        <f t="shared" si="89"/>
        <v>1513.3778994603724</v>
      </c>
      <c r="CZ52">
        <f t="shared" si="90"/>
        <v>0.84065808227858241</v>
      </c>
      <c r="DA52">
        <f t="shared" si="91"/>
        <v>0.16087009879766417</v>
      </c>
      <c r="DB52">
        <v>6</v>
      </c>
      <c r="DC52">
        <v>0.5</v>
      </c>
      <c r="DD52" t="s">
        <v>421</v>
      </c>
      <c r="DE52">
        <v>2</v>
      </c>
      <c r="DF52">
        <v>1689005495.5</v>
      </c>
      <c r="DG52">
        <v>22.735900000000001</v>
      </c>
      <c r="DH52">
        <v>30.172899999999998</v>
      </c>
      <c r="DI52">
        <v>29.3826</v>
      </c>
      <c r="DJ52">
        <v>20.570900000000002</v>
      </c>
      <c r="DK52">
        <v>23.711300000000001</v>
      </c>
      <c r="DL52">
        <v>29.3659</v>
      </c>
      <c r="DM52">
        <v>500.14100000000002</v>
      </c>
      <c r="DN52">
        <v>99.167699999999996</v>
      </c>
      <c r="DO52">
        <v>9.9687399999999995E-2</v>
      </c>
      <c r="DP52">
        <v>30.671900000000001</v>
      </c>
      <c r="DQ52">
        <v>29.904800000000002</v>
      </c>
      <c r="DR52">
        <v>999.9</v>
      </c>
      <c r="DS52">
        <v>0</v>
      </c>
      <c r="DT52">
        <v>0</v>
      </c>
      <c r="DU52">
        <v>10008.799999999999</v>
      </c>
      <c r="DV52">
        <v>0</v>
      </c>
      <c r="DW52">
        <v>2159.73</v>
      </c>
      <c r="DX52">
        <v>-7.4369899999999998</v>
      </c>
      <c r="DY52">
        <v>23.424199999999999</v>
      </c>
      <c r="DZ52">
        <v>30.8066</v>
      </c>
      <c r="EA52">
        <v>8.8117599999999996</v>
      </c>
      <c r="EB52">
        <v>30.172899999999998</v>
      </c>
      <c r="EC52">
        <v>20.570900000000002</v>
      </c>
      <c r="ED52">
        <v>2.9138099999999998</v>
      </c>
      <c r="EE52">
        <v>2.0399699999999998</v>
      </c>
      <c r="EF52">
        <v>23.543399999999998</v>
      </c>
      <c r="EG52">
        <v>17.757999999999999</v>
      </c>
      <c r="EH52">
        <v>1800.23</v>
      </c>
      <c r="EI52">
        <v>0.97800200000000004</v>
      </c>
      <c r="EJ52">
        <v>2.1998199999999999E-2</v>
      </c>
      <c r="EK52">
        <v>0</v>
      </c>
      <c r="EL52">
        <v>717.78499999999997</v>
      </c>
      <c r="EM52">
        <v>5.00082</v>
      </c>
      <c r="EN52">
        <v>16785.7</v>
      </c>
      <c r="EO52">
        <v>14131.6</v>
      </c>
      <c r="EP52">
        <v>48.25</v>
      </c>
      <c r="EQ52">
        <v>50.186999999999998</v>
      </c>
      <c r="ER52">
        <v>49.25</v>
      </c>
      <c r="ES52">
        <v>49.436999999999998</v>
      </c>
      <c r="ET52">
        <v>49.686999999999998</v>
      </c>
      <c r="EU52">
        <v>1755.74</v>
      </c>
      <c r="EV52">
        <v>39.49</v>
      </c>
      <c r="EW52">
        <v>0</v>
      </c>
      <c r="EX52">
        <v>117</v>
      </c>
      <c r="EY52">
        <v>0</v>
      </c>
      <c r="EZ52">
        <v>717.90248000000008</v>
      </c>
      <c r="FA52">
        <v>8.5846154080255241E-2</v>
      </c>
      <c r="FB52">
        <v>53.592305675501088</v>
      </c>
      <c r="FC52">
        <v>16814.727999999999</v>
      </c>
      <c r="FD52">
        <v>15</v>
      </c>
      <c r="FE52">
        <v>1689005462</v>
      </c>
      <c r="FF52" t="s">
        <v>607</v>
      </c>
      <c r="FG52">
        <v>1689005444</v>
      </c>
      <c r="FH52">
        <v>1689005462</v>
      </c>
      <c r="FI52">
        <v>40</v>
      </c>
      <c r="FJ52">
        <v>-5.2999999999999999E-2</v>
      </c>
      <c r="FK52">
        <v>1E-3</v>
      </c>
      <c r="FL52">
        <v>-0.98399999999999999</v>
      </c>
      <c r="FM52">
        <v>1.7000000000000001E-2</v>
      </c>
      <c r="FN52">
        <v>30</v>
      </c>
      <c r="FO52">
        <v>21</v>
      </c>
      <c r="FP52">
        <v>0.17</v>
      </c>
      <c r="FQ52">
        <v>0.01</v>
      </c>
      <c r="FR52">
        <v>6.0380978068682136</v>
      </c>
      <c r="FS52">
        <v>-0.31916311249128809</v>
      </c>
      <c r="FT52">
        <v>2.888617103949314E-2</v>
      </c>
      <c r="FU52">
        <v>1</v>
      </c>
      <c r="FV52">
        <v>0.61052215074548533</v>
      </c>
      <c r="FW52">
        <v>2.4648505858761199E-2</v>
      </c>
      <c r="FX52">
        <v>3.2246283976234149E-3</v>
      </c>
      <c r="FY52">
        <v>1</v>
      </c>
      <c r="FZ52">
        <v>2</v>
      </c>
      <c r="GA52">
        <v>2</v>
      </c>
      <c r="GB52" t="s">
        <v>423</v>
      </c>
      <c r="GC52">
        <v>2.9459300000000002</v>
      </c>
      <c r="GD52">
        <v>2.7084299999999999</v>
      </c>
      <c r="GE52">
        <v>6.3025900000000003E-3</v>
      </c>
      <c r="GF52">
        <v>8.0484000000000007E-3</v>
      </c>
      <c r="GG52">
        <v>0.13079399999999999</v>
      </c>
      <c r="GH52">
        <v>0.102008</v>
      </c>
      <c r="GI52">
        <v>32810.6</v>
      </c>
      <c r="GJ52">
        <v>31923</v>
      </c>
      <c r="GK52">
        <v>34012.6</v>
      </c>
      <c r="GL52">
        <v>32216.7</v>
      </c>
      <c r="GM52">
        <v>42643.5</v>
      </c>
      <c r="GN52">
        <v>41155.4</v>
      </c>
      <c r="GO52">
        <v>49229.9</v>
      </c>
      <c r="GP52">
        <v>45601.1</v>
      </c>
      <c r="GQ52">
        <v>2.0030299999999999</v>
      </c>
      <c r="GR52">
        <v>1.81135</v>
      </c>
      <c r="GS52">
        <v>2.3536399999999999E-2</v>
      </c>
      <c r="GT52">
        <v>0</v>
      </c>
      <c r="GU52">
        <v>29.521599999999999</v>
      </c>
      <c r="GV52">
        <v>999.9</v>
      </c>
      <c r="GW52">
        <v>34.799999999999997</v>
      </c>
      <c r="GX52">
        <v>41.2</v>
      </c>
      <c r="GY52">
        <v>27.730599999999999</v>
      </c>
      <c r="GZ52">
        <v>60.066800000000001</v>
      </c>
      <c r="HA52">
        <v>25.597000000000001</v>
      </c>
      <c r="HB52">
        <v>1</v>
      </c>
      <c r="HC52">
        <v>0.30118899999999998</v>
      </c>
      <c r="HD52">
        <v>1.3431900000000001</v>
      </c>
      <c r="HE52">
        <v>20.2212</v>
      </c>
      <c r="HF52">
        <v>5.2674599999999998</v>
      </c>
      <c r="HG52">
        <v>12.039899999999999</v>
      </c>
      <c r="HH52">
        <v>4.9663500000000003</v>
      </c>
      <c r="HI52">
        <v>3.3002500000000001</v>
      </c>
      <c r="HJ52">
        <v>9999</v>
      </c>
      <c r="HK52">
        <v>9999</v>
      </c>
      <c r="HL52">
        <v>9999</v>
      </c>
      <c r="HM52">
        <v>999.9</v>
      </c>
      <c r="HN52">
        <v>1.8684400000000001</v>
      </c>
      <c r="HO52">
        <v>1.8721000000000001</v>
      </c>
      <c r="HP52">
        <v>1.87195</v>
      </c>
      <c r="HQ52">
        <v>1.8714599999999999</v>
      </c>
      <c r="HR52">
        <v>1.8646499999999999</v>
      </c>
      <c r="HS52">
        <v>1.8658399999999999</v>
      </c>
      <c r="HT52">
        <v>1.8678300000000001</v>
      </c>
      <c r="HU52">
        <v>1.8724099999999999</v>
      </c>
      <c r="HV52">
        <v>0</v>
      </c>
      <c r="HW52">
        <v>0</v>
      </c>
      <c r="HX52">
        <v>0</v>
      </c>
      <c r="HY52">
        <v>0</v>
      </c>
      <c r="HZ52" t="s">
        <v>424</v>
      </c>
      <c r="IA52" t="s">
        <v>425</v>
      </c>
      <c r="IB52" t="s">
        <v>426</v>
      </c>
      <c r="IC52" t="s">
        <v>426</v>
      </c>
      <c r="ID52" t="s">
        <v>426</v>
      </c>
      <c r="IE52" t="s">
        <v>426</v>
      </c>
      <c r="IF52">
        <v>0</v>
      </c>
      <c r="IG52">
        <v>100</v>
      </c>
      <c r="IH52">
        <v>100</v>
      </c>
      <c r="II52">
        <v>-0.97499999999999998</v>
      </c>
      <c r="IJ52">
        <v>1.67E-2</v>
      </c>
      <c r="IK52">
        <v>-0.94775860498499376</v>
      </c>
      <c r="IL52">
        <v>-1.171017271736434E-3</v>
      </c>
      <c r="IM52">
        <v>2.801297040296544E-7</v>
      </c>
      <c r="IN52">
        <v>-3.6238253961199429E-11</v>
      </c>
      <c r="IO52">
        <v>1.670499999999819E-2</v>
      </c>
      <c r="IP52">
        <v>0</v>
      </c>
      <c r="IQ52">
        <v>0</v>
      </c>
      <c r="IR52">
        <v>0</v>
      </c>
      <c r="IS52">
        <v>0</v>
      </c>
      <c r="IT52">
        <v>2161</v>
      </c>
      <c r="IU52">
        <v>1</v>
      </c>
      <c r="IV52">
        <v>19</v>
      </c>
      <c r="IW52">
        <v>0.9</v>
      </c>
      <c r="IX52">
        <v>0.6</v>
      </c>
      <c r="IY52">
        <v>0.21484400000000001</v>
      </c>
      <c r="IZ52">
        <v>2.5756800000000002</v>
      </c>
      <c r="JA52">
        <v>1.4440900000000001</v>
      </c>
      <c r="JB52">
        <v>2.2839399999999999</v>
      </c>
      <c r="JC52">
        <v>1.54419</v>
      </c>
      <c r="JD52">
        <v>2.2924799999999999</v>
      </c>
      <c r="JE52">
        <v>45.290399999999998</v>
      </c>
      <c r="JF52">
        <v>24.218800000000002</v>
      </c>
      <c r="JG52">
        <v>18</v>
      </c>
      <c r="JH52">
        <v>510.76799999999997</v>
      </c>
      <c r="JI52">
        <v>426.72500000000002</v>
      </c>
      <c r="JJ52">
        <v>27.715900000000001</v>
      </c>
      <c r="JK52">
        <v>31.145600000000002</v>
      </c>
      <c r="JL52">
        <v>30.000499999999999</v>
      </c>
      <c r="JM52">
        <v>30.864899999999999</v>
      </c>
      <c r="JN52">
        <v>30.803000000000001</v>
      </c>
      <c r="JO52">
        <v>4.4256700000000002</v>
      </c>
      <c r="JP52">
        <v>29.650200000000002</v>
      </c>
      <c r="JQ52">
        <v>0</v>
      </c>
      <c r="JR52">
        <v>27.7699</v>
      </c>
      <c r="JS52">
        <v>30</v>
      </c>
      <c r="JT52">
        <v>20.424099999999999</v>
      </c>
      <c r="JU52">
        <v>99.800200000000004</v>
      </c>
      <c r="JV52">
        <v>99.313599999999994</v>
      </c>
    </row>
    <row r="53" spans="1:282" x14ac:dyDescent="0.25">
      <c r="A53">
        <v>37</v>
      </c>
      <c r="B53">
        <v>1689005623.5</v>
      </c>
      <c r="C53">
        <v>6446.5</v>
      </c>
      <c r="D53" t="s">
        <v>608</v>
      </c>
      <c r="E53" t="s">
        <v>609</v>
      </c>
      <c r="F53" t="s">
        <v>414</v>
      </c>
      <c r="G53" t="s">
        <v>415</v>
      </c>
      <c r="H53" t="s">
        <v>578</v>
      </c>
      <c r="I53" t="s">
        <v>416</v>
      </c>
      <c r="J53" t="s">
        <v>579</v>
      </c>
      <c r="K53">
        <v>1689005623.5</v>
      </c>
      <c r="L53">
        <f t="shared" si="46"/>
        <v>7.5515041882277629E-3</v>
      </c>
      <c r="M53">
        <f t="shared" si="47"/>
        <v>7.5515041882277627</v>
      </c>
      <c r="N53">
        <f t="shared" si="48"/>
        <v>2.2204209717726355</v>
      </c>
      <c r="O53">
        <f t="shared" si="49"/>
        <v>7.4356900000000001</v>
      </c>
      <c r="P53">
        <f t="shared" si="50"/>
        <v>0.79933451683150147</v>
      </c>
      <c r="Q53">
        <f t="shared" si="51"/>
        <v>7.9346178535364298E-2</v>
      </c>
      <c r="R53">
        <f t="shared" si="52"/>
        <v>0.73810597922420607</v>
      </c>
      <c r="S53">
        <f t="shared" si="53"/>
        <v>0.59514062601591811</v>
      </c>
      <c r="T53">
        <f t="shared" si="54"/>
        <v>2.9167210809791206</v>
      </c>
      <c r="U53">
        <f t="shared" si="55"/>
        <v>0.53499851349462513</v>
      </c>
      <c r="V53">
        <f t="shared" si="56"/>
        <v>0.33926970737893108</v>
      </c>
      <c r="W53">
        <f t="shared" si="57"/>
        <v>289.59519795849008</v>
      </c>
      <c r="X53">
        <f t="shared" si="58"/>
        <v>30.587947678022744</v>
      </c>
      <c r="Y53">
        <f t="shared" si="59"/>
        <v>30.0748</v>
      </c>
      <c r="Z53">
        <f t="shared" si="60"/>
        <v>4.278788890738074</v>
      </c>
      <c r="AA53">
        <f t="shared" si="61"/>
        <v>65.49300186499346</v>
      </c>
      <c r="AB53">
        <f t="shared" si="62"/>
        <v>2.9285248038948004</v>
      </c>
      <c r="AC53">
        <f t="shared" si="63"/>
        <v>4.4715079787175256</v>
      </c>
      <c r="AD53">
        <f t="shared" si="64"/>
        <v>1.3502640868432736</v>
      </c>
      <c r="AE53">
        <f t="shared" si="65"/>
        <v>-333.02133470084436</v>
      </c>
      <c r="AF53">
        <f t="shared" si="66"/>
        <v>121.01672701989769</v>
      </c>
      <c r="AG53">
        <f t="shared" si="67"/>
        <v>9.2675524285782629</v>
      </c>
      <c r="AH53">
        <f t="shared" si="68"/>
        <v>86.858142706121654</v>
      </c>
      <c r="AI53">
        <v>0</v>
      </c>
      <c r="AJ53">
        <v>0</v>
      </c>
      <c r="AK53">
        <f t="shared" si="69"/>
        <v>1</v>
      </c>
      <c r="AL53">
        <f t="shared" si="70"/>
        <v>0</v>
      </c>
      <c r="AM53">
        <f t="shared" si="71"/>
        <v>51825.039898423616</v>
      </c>
      <c r="AN53" t="s">
        <v>418</v>
      </c>
      <c r="AO53">
        <v>10076.700000000001</v>
      </c>
      <c r="AP53">
        <v>185.01599999999999</v>
      </c>
      <c r="AQ53">
        <v>473.06</v>
      </c>
      <c r="AR53">
        <f t="shared" si="72"/>
        <v>0.60889527755464423</v>
      </c>
      <c r="AS53">
        <v>-1.4827006201179751</v>
      </c>
      <c r="AT53" t="s">
        <v>610</v>
      </c>
      <c r="AU53">
        <v>8103.55</v>
      </c>
      <c r="AV53">
        <v>724.97336000000007</v>
      </c>
      <c r="AW53">
        <v>786.029745832755</v>
      </c>
      <c r="AX53">
        <f t="shared" si="73"/>
        <v>7.7676940543858208E-2</v>
      </c>
      <c r="AY53">
        <v>0.5</v>
      </c>
      <c r="AZ53">
        <f t="shared" si="74"/>
        <v>1513.3358994603575</v>
      </c>
      <c r="BA53">
        <f t="shared" si="75"/>
        <v>2.2204209717726355</v>
      </c>
      <c r="BB53">
        <f t="shared" si="76"/>
        <v>58.775651342634184</v>
      </c>
      <c r="BC53">
        <f t="shared" si="77"/>
        <v>2.4469924973108165E-3</v>
      </c>
      <c r="BD53">
        <f t="shared" si="78"/>
        <v>-0.39816526981581452</v>
      </c>
      <c r="BE53">
        <f t="shared" si="79"/>
        <v>219.14169008966002</v>
      </c>
      <c r="BF53" t="s">
        <v>611</v>
      </c>
      <c r="BG53">
        <v>589.37</v>
      </c>
      <c r="BH53">
        <f t="shared" si="80"/>
        <v>589.37</v>
      </c>
      <c r="BI53">
        <f t="shared" si="81"/>
        <v>0.25019377049707558</v>
      </c>
      <c r="BJ53">
        <f t="shared" si="82"/>
        <v>0.31046712469911869</v>
      </c>
      <c r="BK53">
        <f t="shared" si="83"/>
        <v>2.6908240549630729</v>
      </c>
      <c r="BL53">
        <f t="shared" si="84"/>
        <v>0.10158900067777347</v>
      </c>
      <c r="BM53">
        <f t="shared" si="85"/>
        <v>-1.086534508036116</v>
      </c>
      <c r="BN53">
        <f t="shared" si="86"/>
        <v>0.25239549393086602</v>
      </c>
      <c r="BO53">
        <f t="shared" si="87"/>
        <v>0.74760450606913398</v>
      </c>
      <c r="BP53">
        <v>9127</v>
      </c>
      <c r="BQ53">
        <v>290.00000000000011</v>
      </c>
      <c r="BR53">
        <v>761.96</v>
      </c>
      <c r="BS53">
        <v>125</v>
      </c>
      <c r="BT53">
        <v>8103.55</v>
      </c>
      <c r="BU53">
        <v>760.73</v>
      </c>
      <c r="BV53">
        <v>1.23</v>
      </c>
      <c r="BW53">
        <v>300.00000000000011</v>
      </c>
      <c r="BX53">
        <v>19.2</v>
      </c>
      <c r="BY53">
        <v>786.029745832755</v>
      </c>
      <c r="BZ53">
        <v>2.1353559926422681</v>
      </c>
      <c r="CA53">
        <v>-20.49957359312355</v>
      </c>
      <c r="CB53">
        <v>1.588089896569111</v>
      </c>
      <c r="CC53">
        <v>0.85613339936680732</v>
      </c>
      <c r="CD53">
        <v>-4.1692467185762017E-3</v>
      </c>
      <c r="CE53">
        <v>289.99999999999989</v>
      </c>
      <c r="CF53">
        <v>757.91</v>
      </c>
      <c r="CG53">
        <v>725</v>
      </c>
      <c r="CH53">
        <v>8084.87</v>
      </c>
      <c r="CI53">
        <v>760.67</v>
      </c>
      <c r="CJ53">
        <v>-2.76</v>
      </c>
      <c r="CX53">
        <f t="shared" si="88"/>
        <v>1800.18</v>
      </c>
      <c r="CY53">
        <f t="shared" si="89"/>
        <v>1513.3358994603575</v>
      </c>
      <c r="CZ53">
        <f t="shared" si="90"/>
        <v>0.84065810055680956</v>
      </c>
      <c r="DA53">
        <f t="shared" si="91"/>
        <v>0.16087013407464257</v>
      </c>
      <c r="DB53">
        <v>6</v>
      </c>
      <c r="DC53">
        <v>0.5</v>
      </c>
      <c r="DD53" t="s">
        <v>421</v>
      </c>
      <c r="DE53">
        <v>2</v>
      </c>
      <c r="DF53">
        <v>1689005623.5</v>
      </c>
      <c r="DG53">
        <v>7.4356900000000001</v>
      </c>
      <c r="DH53">
        <v>10.166499999999999</v>
      </c>
      <c r="DI53">
        <v>29.501999999999999</v>
      </c>
      <c r="DJ53">
        <v>20.710999999999999</v>
      </c>
      <c r="DK53">
        <v>8.3242399999999996</v>
      </c>
      <c r="DL53">
        <v>29.492999999999999</v>
      </c>
      <c r="DM53">
        <v>500.197</v>
      </c>
      <c r="DN53">
        <v>99.165400000000005</v>
      </c>
      <c r="DO53">
        <v>9.9897399999999997E-2</v>
      </c>
      <c r="DP53">
        <v>30.8444</v>
      </c>
      <c r="DQ53">
        <v>30.0748</v>
      </c>
      <c r="DR53">
        <v>999.9</v>
      </c>
      <c r="DS53">
        <v>0</v>
      </c>
      <c r="DT53">
        <v>0</v>
      </c>
      <c r="DU53">
        <v>10010.6</v>
      </c>
      <c r="DV53">
        <v>0</v>
      </c>
      <c r="DW53">
        <v>2247.0700000000002</v>
      </c>
      <c r="DX53">
        <v>-2.7307700000000001</v>
      </c>
      <c r="DY53">
        <v>7.6617300000000004</v>
      </c>
      <c r="DZ53">
        <v>10.381500000000001</v>
      </c>
      <c r="EA53">
        <v>8.79101</v>
      </c>
      <c r="EB53">
        <v>10.166499999999999</v>
      </c>
      <c r="EC53">
        <v>20.710999999999999</v>
      </c>
      <c r="ED53">
        <v>2.9255800000000001</v>
      </c>
      <c r="EE53">
        <v>2.05382</v>
      </c>
      <c r="EF53">
        <v>23.610299999999999</v>
      </c>
      <c r="EG53">
        <v>17.865400000000001</v>
      </c>
      <c r="EH53">
        <v>1800.18</v>
      </c>
      <c r="EI53">
        <v>0.97800200000000004</v>
      </c>
      <c r="EJ53">
        <v>2.1998299999999998E-2</v>
      </c>
      <c r="EK53">
        <v>0</v>
      </c>
      <c r="EL53">
        <v>724.52700000000004</v>
      </c>
      <c r="EM53">
        <v>5.00082</v>
      </c>
      <c r="EN53">
        <v>17143.5</v>
      </c>
      <c r="EO53">
        <v>14131.2</v>
      </c>
      <c r="EP53">
        <v>48.436999999999998</v>
      </c>
      <c r="EQ53">
        <v>50.436999999999998</v>
      </c>
      <c r="ER53">
        <v>49.436999999999998</v>
      </c>
      <c r="ES53">
        <v>49.561999999999998</v>
      </c>
      <c r="ET53">
        <v>49.811999999999998</v>
      </c>
      <c r="EU53">
        <v>1755.69</v>
      </c>
      <c r="EV53">
        <v>39.49</v>
      </c>
      <c r="EW53">
        <v>0</v>
      </c>
      <c r="EX53">
        <v>126.2000000476837</v>
      </c>
      <c r="EY53">
        <v>0</v>
      </c>
      <c r="EZ53">
        <v>724.97336000000007</v>
      </c>
      <c r="FA53">
        <v>-1.081307694912603</v>
      </c>
      <c r="FB53">
        <v>58.423076864959178</v>
      </c>
      <c r="FC53">
        <v>17117.047999999999</v>
      </c>
      <c r="FD53">
        <v>15</v>
      </c>
      <c r="FE53">
        <v>1689005589.5</v>
      </c>
      <c r="FF53" t="s">
        <v>612</v>
      </c>
      <c r="FG53">
        <v>1689005574.5</v>
      </c>
      <c r="FH53">
        <v>1689005589.5</v>
      </c>
      <c r="FI53">
        <v>41</v>
      </c>
      <c r="FJ53">
        <v>6.9000000000000006E-2</v>
      </c>
      <c r="FK53">
        <v>-8.0000000000000002E-3</v>
      </c>
      <c r="FL53">
        <v>-0.89200000000000002</v>
      </c>
      <c r="FM53">
        <v>8.9999999999999993E-3</v>
      </c>
      <c r="FN53">
        <v>10</v>
      </c>
      <c r="FO53">
        <v>20</v>
      </c>
      <c r="FP53">
        <v>0.28000000000000003</v>
      </c>
      <c r="FQ53">
        <v>0.01</v>
      </c>
      <c r="FR53">
        <v>2.257531542036133</v>
      </c>
      <c r="FS53">
        <v>0.13207713563212589</v>
      </c>
      <c r="FT53">
        <v>1.5391007763671621E-2</v>
      </c>
      <c r="FU53">
        <v>1</v>
      </c>
      <c r="FV53">
        <v>0.59508637946107301</v>
      </c>
      <c r="FW53">
        <v>3.7060045919647192E-2</v>
      </c>
      <c r="FX53">
        <v>3.745454153057156E-3</v>
      </c>
      <c r="FY53">
        <v>1</v>
      </c>
      <c r="FZ53">
        <v>2</v>
      </c>
      <c r="GA53">
        <v>2</v>
      </c>
      <c r="GB53" t="s">
        <v>423</v>
      </c>
      <c r="GC53">
        <v>2.9459900000000001</v>
      </c>
      <c r="GD53">
        <v>2.70865</v>
      </c>
      <c r="GE53">
        <v>2.2118699999999999E-3</v>
      </c>
      <c r="GF53">
        <v>2.7128500000000002E-3</v>
      </c>
      <c r="GG53">
        <v>0.13114100000000001</v>
      </c>
      <c r="GH53">
        <v>0.102466</v>
      </c>
      <c r="GI53">
        <v>32936.800000000003</v>
      </c>
      <c r="GJ53">
        <v>32087.200000000001</v>
      </c>
      <c r="GK53">
        <v>34004.400000000001</v>
      </c>
      <c r="GL53">
        <v>32210.2</v>
      </c>
      <c r="GM53">
        <v>42618</v>
      </c>
      <c r="GN53">
        <v>41126.1</v>
      </c>
      <c r="GO53">
        <v>49219.7</v>
      </c>
      <c r="GP53">
        <v>45591.8</v>
      </c>
      <c r="GQ53">
        <v>2.0014699999999999</v>
      </c>
      <c r="GR53">
        <v>1.8084499999999999</v>
      </c>
      <c r="GS53">
        <v>2.4154800000000001E-2</v>
      </c>
      <c r="GT53">
        <v>0</v>
      </c>
      <c r="GU53">
        <v>29.6816</v>
      </c>
      <c r="GV53">
        <v>999.9</v>
      </c>
      <c r="GW53">
        <v>34.6</v>
      </c>
      <c r="GX53">
        <v>41.4</v>
      </c>
      <c r="GY53">
        <v>27.866599999999998</v>
      </c>
      <c r="GZ53">
        <v>59.956800000000001</v>
      </c>
      <c r="HA53">
        <v>25.536899999999999</v>
      </c>
      <c r="HB53">
        <v>1</v>
      </c>
      <c r="HC53">
        <v>0.31533800000000001</v>
      </c>
      <c r="HD53">
        <v>2.7906</v>
      </c>
      <c r="HE53">
        <v>20.202200000000001</v>
      </c>
      <c r="HF53">
        <v>5.26776</v>
      </c>
      <c r="HG53">
        <v>12.039899999999999</v>
      </c>
      <c r="HH53">
        <v>4.9660500000000001</v>
      </c>
      <c r="HI53">
        <v>3.3002500000000001</v>
      </c>
      <c r="HJ53">
        <v>9999</v>
      </c>
      <c r="HK53">
        <v>9999</v>
      </c>
      <c r="HL53">
        <v>9999</v>
      </c>
      <c r="HM53">
        <v>999.9</v>
      </c>
      <c r="HN53">
        <v>1.8685099999999999</v>
      </c>
      <c r="HO53">
        <v>1.8721099999999999</v>
      </c>
      <c r="HP53">
        <v>1.87195</v>
      </c>
      <c r="HQ53">
        <v>1.87147</v>
      </c>
      <c r="HR53">
        <v>1.8646799999999999</v>
      </c>
      <c r="HS53">
        <v>1.8658399999999999</v>
      </c>
      <c r="HT53">
        <v>1.8678399999999999</v>
      </c>
      <c r="HU53">
        <v>1.8724099999999999</v>
      </c>
      <c r="HV53">
        <v>0</v>
      </c>
      <c r="HW53">
        <v>0</v>
      </c>
      <c r="HX53">
        <v>0</v>
      </c>
      <c r="HY53">
        <v>0</v>
      </c>
      <c r="HZ53" t="s">
        <v>424</v>
      </c>
      <c r="IA53" t="s">
        <v>425</v>
      </c>
      <c r="IB53" t="s">
        <v>426</v>
      </c>
      <c r="IC53" t="s">
        <v>426</v>
      </c>
      <c r="ID53" t="s">
        <v>426</v>
      </c>
      <c r="IE53" t="s">
        <v>426</v>
      </c>
      <c r="IF53">
        <v>0</v>
      </c>
      <c r="IG53">
        <v>100</v>
      </c>
      <c r="IH53">
        <v>100</v>
      </c>
      <c r="II53">
        <v>-0.88900000000000001</v>
      </c>
      <c r="IJ53">
        <v>8.9999999999999993E-3</v>
      </c>
      <c r="IK53">
        <v>-0.87881723671799394</v>
      </c>
      <c r="IL53">
        <v>-1.171017271736434E-3</v>
      </c>
      <c r="IM53">
        <v>2.801297040296544E-7</v>
      </c>
      <c r="IN53">
        <v>-3.6238253961199429E-11</v>
      </c>
      <c r="IO53">
        <v>9.0476190476245222E-3</v>
      </c>
      <c r="IP53">
        <v>0</v>
      </c>
      <c r="IQ53">
        <v>0</v>
      </c>
      <c r="IR53">
        <v>0</v>
      </c>
      <c r="IS53">
        <v>0</v>
      </c>
      <c r="IT53">
        <v>2161</v>
      </c>
      <c r="IU53">
        <v>1</v>
      </c>
      <c r="IV53">
        <v>19</v>
      </c>
      <c r="IW53">
        <v>0.8</v>
      </c>
      <c r="IX53">
        <v>0.6</v>
      </c>
      <c r="IY53">
        <v>0.17211899999999999</v>
      </c>
      <c r="IZ53">
        <v>2.5903299999999998</v>
      </c>
      <c r="JA53">
        <v>1.4440900000000001</v>
      </c>
      <c r="JB53">
        <v>2.2839399999999999</v>
      </c>
      <c r="JC53">
        <v>1.54419</v>
      </c>
      <c r="JD53">
        <v>2.34863</v>
      </c>
      <c r="JE53">
        <v>45.575800000000001</v>
      </c>
      <c r="JF53">
        <v>24.210100000000001</v>
      </c>
      <c r="JG53">
        <v>18</v>
      </c>
      <c r="JH53">
        <v>510.85500000000002</v>
      </c>
      <c r="JI53">
        <v>425.887</v>
      </c>
      <c r="JJ53">
        <v>26.846599999999999</v>
      </c>
      <c r="JK53">
        <v>31.271000000000001</v>
      </c>
      <c r="JL53">
        <v>30.000699999999998</v>
      </c>
      <c r="JM53">
        <v>30.996600000000001</v>
      </c>
      <c r="JN53">
        <v>30.934999999999999</v>
      </c>
      <c r="JO53">
        <v>3.5515699999999999</v>
      </c>
      <c r="JP53">
        <v>28.835100000000001</v>
      </c>
      <c r="JQ53">
        <v>0</v>
      </c>
      <c r="JR53">
        <v>26.774100000000001</v>
      </c>
      <c r="JS53">
        <v>10</v>
      </c>
      <c r="JT53">
        <v>20.630600000000001</v>
      </c>
      <c r="JU53">
        <v>99.778099999999995</v>
      </c>
      <c r="JV53">
        <v>99.293499999999995</v>
      </c>
    </row>
    <row r="54" spans="1:282" x14ac:dyDescent="0.25">
      <c r="A54">
        <v>38</v>
      </c>
      <c r="B54">
        <v>1689005813</v>
      </c>
      <c r="C54">
        <v>6636</v>
      </c>
      <c r="D54" t="s">
        <v>613</v>
      </c>
      <c r="E54" t="s">
        <v>614</v>
      </c>
      <c r="F54" t="s">
        <v>414</v>
      </c>
      <c r="G54" t="s">
        <v>415</v>
      </c>
      <c r="H54" t="s">
        <v>578</v>
      </c>
      <c r="I54" t="s">
        <v>416</v>
      </c>
      <c r="J54" t="s">
        <v>579</v>
      </c>
      <c r="K54">
        <v>1689005813</v>
      </c>
      <c r="L54">
        <f t="shared" si="46"/>
        <v>6.7841134551387483E-3</v>
      </c>
      <c r="M54">
        <f t="shared" si="47"/>
        <v>6.7841134551387485</v>
      </c>
      <c r="N54">
        <f t="shared" si="48"/>
        <v>49.312418606492258</v>
      </c>
      <c r="O54">
        <f t="shared" si="49"/>
        <v>338.14400000000001</v>
      </c>
      <c r="P54">
        <f t="shared" si="50"/>
        <v>167.57572037336547</v>
      </c>
      <c r="Q54">
        <f t="shared" si="51"/>
        <v>16.634060486695937</v>
      </c>
      <c r="R54">
        <f t="shared" si="52"/>
        <v>33.565171235315205</v>
      </c>
      <c r="S54">
        <f t="shared" si="53"/>
        <v>0.51886189209654632</v>
      </c>
      <c r="T54">
        <f t="shared" si="54"/>
        <v>2.9202828611470983</v>
      </c>
      <c r="U54">
        <f t="shared" si="55"/>
        <v>0.47255782556839626</v>
      </c>
      <c r="V54">
        <f t="shared" si="56"/>
        <v>0.29916376420015872</v>
      </c>
      <c r="W54">
        <f t="shared" si="57"/>
        <v>289.55529795834536</v>
      </c>
      <c r="X54">
        <f t="shared" si="58"/>
        <v>30.494517678475624</v>
      </c>
      <c r="Y54">
        <f t="shared" si="59"/>
        <v>29.8962</v>
      </c>
      <c r="Z54">
        <f t="shared" si="60"/>
        <v>4.2351140723509628</v>
      </c>
      <c r="AA54">
        <f t="shared" si="61"/>
        <v>65.063937908297575</v>
      </c>
      <c r="AB54">
        <f t="shared" si="62"/>
        <v>2.8610163257280807</v>
      </c>
      <c r="AC54">
        <f t="shared" si="63"/>
        <v>4.3972381901637352</v>
      </c>
      <c r="AD54">
        <f t="shared" si="64"/>
        <v>1.3740977466228821</v>
      </c>
      <c r="AE54">
        <f t="shared" si="65"/>
        <v>-299.17940337161878</v>
      </c>
      <c r="AF54">
        <f t="shared" si="66"/>
        <v>103.13782352361751</v>
      </c>
      <c r="AG54">
        <f t="shared" si="67"/>
        <v>7.8703564230362204</v>
      </c>
      <c r="AH54">
        <f t="shared" si="68"/>
        <v>101.38407453338034</v>
      </c>
      <c r="AI54">
        <v>0</v>
      </c>
      <c r="AJ54">
        <v>0</v>
      </c>
      <c r="AK54">
        <f t="shared" si="69"/>
        <v>1</v>
      </c>
      <c r="AL54">
        <f t="shared" si="70"/>
        <v>0</v>
      </c>
      <c r="AM54">
        <f t="shared" si="71"/>
        <v>51976.308264046755</v>
      </c>
      <c r="AN54" t="s">
        <v>418</v>
      </c>
      <c r="AO54">
        <v>10076.700000000001</v>
      </c>
      <c r="AP54">
        <v>185.01599999999999</v>
      </c>
      <c r="AQ54">
        <v>473.06</v>
      </c>
      <c r="AR54">
        <f t="shared" si="72"/>
        <v>0.60889527755464423</v>
      </c>
      <c r="AS54">
        <v>-1.4827006201179751</v>
      </c>
      <c r="AT54" t="s">
        <v>615</v>
      </c>
      <c r="AU54">
        <v>8094.15</v>
      </c>
      <c r="AV54">
        <v>683.70116000000007</v>
      </c>
      <c r="AW54">
        <v>1097.276219748634</v>
      </c>
      <c r="AX54">
        <f t="shared" si="73"/>
        <v>0.37691061950050875</v>
      </c>
      <c r="AY54">
        <v>0.5</v>
      </c>
      <c r="AZ54">
        <f t="shared" si="74"/>
        <v>1513.1258994602824</v>
      </c>
      <c r="BA54">
        <f t="shared" si="75"/>
        <v>49.312418606492258</v>
      </c>
      <c r="BB54">
        <f t="shared" si="76"/>
        <v>285.15661007391981</v>
      </c>
      <c r="BC54">
        <f t="shared" si="77"/>
        <v>3.3569658178958121E-2</v>
      </c>
      <c r="BD54">
        <f t="shared" si="78"/>
        <v>-0.56887792564358197</v>
      </c>
      <c r="BE54">
        <f t="shared" si="79"/>
        <v>237.95989845937291</v>
      </c>
      <c r="BF54" t="s">
        <v>616</v>
      </c>
      <c r="BG54">
        <v>537.03</v>
      </c>
      <c r="BH54">
        <f t="shared" si="80"/>
        <v>537.03</v>
      </c>
      <c r="BI54">
        <f t="shared" si="81"/>
        <v>0.51057902255183862</v>
      </c>
      <c r="BJ54">
        <f t="shared" si="82"/>
        <v>0.73820232099770866</v>
      </c>
      <c r="BK54">
        <f t="shared" si="83"/>
        <v>9.7579524737945036</v>
      </c>
      <c r="BL54">
        <f t="shared" si="84"/>
        <v>0.45335207081877499</v>
      </c>
      <c r="BM54">
        <f t="shared" si="85"/>
        <v>-2.167086347046403</v>
      </c>
      <c r="BN54">
        <f t="shared" si="86"/>
        <v>0.57983928599067969</v>
      </c>
      <c r="BO54">
        <f t="shared" si="87"/>
        <v>0.42016071400932031</v>
      </c>
      <c r="BP54">
        <v>9129</v>
      </c>
      <c r="BQ54">
        <v>290.00000000000011</v>
      </c>
      <c r="BR54">
        <v>920.37</v>
      </c>
      <c r="BS54">
        <v>275</v>
      </c>
      <c r="BT54">
        <v>8094.15</v>
      </c>
      <c r="BU54">
        <v>921.78</v>
      </c>
      <c r="BV54">
        <v>-1.41</v>
      </c>
      <c r="BW54">
        <v>300.00000000000011</v>
      </c>
      <c r="BX54">
        <v>19.2</v>
      </c>
      <c r="BY54">
        <v>1097.276219748634</v>
      </c>
      <c r="BZ54">
        <v>4.3512271208051736</v>
      </c>
      <c r="CA54">
        <v>-142.0497761300098</v>
      </c>
      <c r="CB54">
        <v>3.2360229514019951</v>
      </c>
      <c r="CC54">
        <v>0.98567697590251491</v>
      </c>
      <c r="CD54">
        <v>-4.1700333704115643E-3</v>
      </c>
      <c r="CE54">
        <v>289.99999999999989</v>
      </c>
      <c r="CF54">
        <v>902.69</v>
      </c>
      <c r="CG54">
        <v>645</v>
      </c>
      <c r="CH54">
        <v>8086.63</v>
      </c>
      <c r="CI54">
        <v>921.62</v>
      </c>
      <c r="CJ54">
        <v>-18.93</v>
      </c>
      <c r="CX54">
        <f t="shared" si="88"/>
        <v>1799.93</v>
      </c>
      <c r="CY54">
        <f t="shared" si="89"/>
        <v>1513.1258994602824</v>
      </c>
      <c r="CZ54">
        <f t="shared" si="90"/>
        <v>0.8406581919631777</v>
      </c>
      <c r="DA54">
        <f t="shared" si="91"/>
        <v>0.1608703104889331</v>
      </c>
      <c r="DB54">
        <v>6</v>
      </c>
      <c r="DC54">
        <v>0.5</v>
      </c>
      <c r="DD54" t="s">
        <v>421</v>
      </c>
      <c r="DE54">
        <v>2</v>
      </c>
      <c r="DF54">
        <v>1689005813</v>
      </c>
      <c r="DG54">
        <v>338.14400000000001</v>
      </c>
      <c r="DH54">
        <v>400.04199999999997</v>
      </c>
      <c r="DI54">
        <v>28.822600000000001</v>
      </c>
      <c r="DJ54">
        <v>20.920100000000001</v>
      </c>
      <c r="DK54">
        <v>339.346</v>
      </c>
      <c r="DL54">
        <v>28.812200000000001</v>
      </c>
      <c r="DM54">
        <v>500.24</v>
      </c>
      <c r="DN54">
        <v>99.163300000000007</v>
      </c>
      <c r="DO54">
        <v>9.9650799999999998E-2</v>
      </c>
      <c r="DP54">
        <v>30.551300000000001</v>
      </c>
      <c r="DQ54">
        <v>29.8962</v>
      </c>
      <c r="DR54">
        <v>999.9</v>
      </c>
      <c r="DS54">
        <v>0</v>
      </c>
      <c r="DT54">
        <v>0</v>
      </c>
      <c r="DU54">
        <v>10031.200000000001</v>
      </c>
      <c r="DV54">
        <v>0</v>
      </c>
      <c r="DW54">
        <v>2180.12</v>
      </c>
      <c r="DX54">
        <v>-61.898299999999999</v>
      </c>
      <c r="DY54">
        <v>348.17899999999997</v>
      </c>
      <c r="DZ54">
        <v>408.59</v>
      </c>
      <c r="EA54">
        <v>7.9025100000000004</v>
      </c>
      <c r="EB54">
        <v>400.04199999999997</v>
      </c>
      <c r="EC54">
        <v>20.920100000000001</v>
      </c>
      <c r="ED54">
        <v>2.8581500000000002</v>
      </c>
      <c r="EE54">
        <v>2.0745100000000001</v>
      </c>
      <c r="EF54">
        <v>23.223800000000001</v>
      </c>
      <c r="EG54">
        <v>18.024799999999999</v>
      </c>
      <c r="EH54">
        <v>1799.93</v>
      </c>
      <c r="EI54">
        <v>0.97800200000000004</v>
      </c>
      <c r="EJ54">
        <v>2.1998199999999999E-2</v>
      </c>
      <c r="EK54">
        <v>0</v>
      </c>
      <c r="EL54">
        <v>683.98699999999997</v>
      </c>
      <c r="EM54">
        <v>5.00082</v>
      </c>
      <c r="EN54">
        <v>16446.400000000001</v>
      </c>
      <c r="EO54">
        <v>14129.3</v>
      </c>
      <c r="EP54">
        <v>48.625</v>
      </c>
      <c r="EQ54">
        <v>50.75</v>
      </c>
      <c r="ER54">
        <v>49.686999999999998</v>
      </c>
      <c r="ES54">
        <v>49.936999999999998</v>
      </c>
      <c r="ET54">
        <v>50.061999999999998</v>
      </c>
      <c r="EU54">
        <v>1755.44</v>
      </c>
      <c r="EV54">
        <v>39.49</v>
      </c>
      <c r="EW54">
        <v>0</v>
      </c>
      <c r="EX54">
        <v>187.79999995231631</v>
      </c>
      <c r="EY54">
        <v>0</v>
      </c>
      <c r="EZ54">
        <v>683.70116000000007</v>
      </c>
      <c r="FA54">
        <v>3.731384620695986</v>
      </c>
      <c r="FB54">
        <v>1130.3923033621929</v>
      </c>
      <c r="FC54">
        <v>16602.135999999999</v>
      </c>
      <c r="FD54">
        <v>15</v>
      </c>
      <c r="FE54">
        <v>1689005725</v>
      </c>
      <c r="FF54" t="s">
        <v>617</v>
      </c>
      <c r="FG54">
        <v>1689005712</v>
      </c>
      <c r="FH54">
        <v>1689005725</v>
      </c>
      <c r="FI54">
        <v>42</v>
      </c>
      <c r="FJ54">
        <v>4.3999999999999997E-2</v>
      </c>
      <c r="FK54">
        <v>1E-3</v>
      </c>
      <c r="FL54">
        <v>-1.262</v>
      </c>
      <c r="FM54">
        <v>0.01</v>
      </c>
      <c r="FN54">
        <v>400</v>
      </c>
      <c r="FO54">
        <v>20</v>
      </c>
      <c r="FP54">
        <v>0.03</v>
      </c>
      <c r="FQ54">
        <v>0.01</v>
      </c>
      <c r="FR54">
        <v>48.820652769687328</v>
      </c>
      <c r="FS54">
        <v>3.153066157960474</v>
      </c>
      <c r="FT54">
        <v>0.2307236167317932</v>
      </c>
      <c r="FU54">
        <v>0</v>
      </c>
      <c r="FV54">
        <v>0.52372177589874513</v>
      </c>
      <c r="FW54">
        <v>-2.2744030636999941E-2</v>
      </c>
      <c r="FX54">
        <v>1.7327182074216121E-3</v>
      </c>
      <c r="FY54">
        <v>1</v>
      </c>
      <c r="FZ54">
        <v>1</v>
      </c>
      <c r="GA54">
        <v>2</v>
      </c>
      <c r="GB54" t="s">
        <v>462</v>
      </c>
      <c r="GC54">
        <v>2.94597</v>
      </c>
      <c r="GD54">
        <v>2.7085900000000001</v>
      </c>
      <c r="GE54">
        <v>7.7399899999999994E-2</v>
      </c>
      <c r="GF54">
        <v>8.8158100000000003E-2</v>
      </c>
      <c r="GG54">
        <v>0.12898999999999999</v>
      </c>
      <c r="GH54">
        <v>0.103146</v>
      </c>
      <c r="GI54">
        <v>30443.4</v>
      </c>
      <c r="GJ54">
        <v>29328.7</v>
      </c>
      <c r="GK54">
        <v>33990.300000000003</v>
      </c>
      <c r="GL54">
        <v>32198.400000000001</v>
      </c>
      <c r="GM54">
        <v>42711.3</v>
      </c>
      <c r="GN54">
        <v>41083.1</v>
      </c>
      <c r="GO54">
        <v>49201.7</v>
      </c>
      <c r="GP54">
        <v>45576.2</v>
      </c>
      <c r="GQ54">
        <v>1.9990000000000001</v>
      </c>
      <c r="GR54">
        <v>1.8056700000000001</v>
      </c>
      <c r="GS54">
        <v>2.5250000000000002E-2</v>
      </c>
      <c r="GT54">
        <v>0</v>
      </c>
      <c r="GU54">
        <v>29.485099999999999</v>
      </c>
      <c r="GV54">
        <v>999.9</v>
      </c>
      <c r="GW54">
        <v>34.299999999999997</v>
      </c>
      <c r="GX54">
        <v>41.7</v>
      </c>
      <c r="GY54">
        <v>28.067399999999999</v>
      </c>
      <c r="GZ54">
        <v>59.886800000000001</v>
      </c>
      <c r="HA54">
        <v>25.576899999999998</v>
      </c>
      <c r="HB54">
        <v>1</v>
      </c>
      <c r="HC54">
        <v>0.326575</v>
      </c>
      <c r="HD54">
        <v>1.3141499999999999</v>
      </c>
      <c r="HE54">
        <v>20.221499999999999</v>
      </c>
      <c r="HF54">
        <v>5.2689500000000002</v>
      </c>
      <c r="HG54">
        <v>12.039899999999999</v>
      </c>
      <c r="HH54">
        <v>4.9673999999999996</v>
      </c>
      <c r="HI54">
        <v>3.3010000000000002</v>
      </c>
      <c r="HJ54">
        <v>9999</v>
      </c>
      <c r="HK54">
        <v>9999</v>
      </c>
      <c r="HL54">
        <v>9999</v>
      </c>
      <c r="HM54">
        <v>999.9</v>
      </c>
      <c r="HN54">
        <v>1.86846</v>
      </c>
      <c r="HO54">
        <v>1.8721000000000001</v>
      </c>
      <c r="HP54">
        <v>1.8719399999999999</v>
      </c>
      <c r="HQ54">
        <v>1.87148</v>
      </c>
      <c r="HR54">
        <v>1.8646499999999999</v>
      </c>
      <c r="HS54">
        <v>1.8658399999999999</v>
      </c>
      <c r="HT54">
        <v>1.86785</v>
      </c>
      <c r="HU54">
        <v>1.8724099999999999</v>
      </c>
      <c r="HV54">
        <v>0</v>
      </c>
      <c r="HW54">
        <v>0</v>
      </c>
      <c r="HX54">
        <v>0</v>
      </c>
      <c r="HY54">
        <v>0</v>
      </c>
      <c r="HZ54" t="s">
        <v>424</v>
      </c>
      <c r="IA54" t="s">
        <v>425</v>
      </c>
      <c r="IB54" t="s">
        <v>426</v>
      </c>
      <c r="IC54" t="s">
        <v>426</v>
      </c>
      <c r="ID54" t="s">
        <v>426</v>
      </c>
      <c r="IE54" t="s">
        <v>426</v>
      </c>
      <c r="IF54">
        <v>0</v>
      </c>
      <c r="IG54">
        <v>100</v>
      </c>
      <c r="IH54">
        <v>100</v>
      </c>
      <c r="II54">
        <v>-1.202</v>
      </c>
      <c r="IJ54">
        <v>1.04E-2</v>
      </c>
      <c r="IK54">
        <v>-0.83519665399323983</v>
      </c>
      <c r="IL54">
        <v>-1.171017271736434E-3</v>
      </c>
      <c r="IM54">
        <v>2.801297040296544E-7</v>
      </c>
      <c r="IN54">
        <v>-3.6238253961199429E-11</v>
      </c>
      <c r="IO54">
        <v>1.048000000000116E-2</v>
      </c>
      <c r="IP54">
        <v>0</v>
      </c>
      <c r="IQ54">
        <v>0</v>
      </c>
      <c r="IR54">
        <v>0</v>
      </c>
      <c r="IS54">
        <v>0</v>
      </c>
      <c r="IT54">
        <v>2161</v>
      </c>
      <c r="IU54">
        <v>1</v>
      </c>
      <c r="IV54">
        <v>19</v>
      </c>
      <c r="IW54">
        <v>1.7</v>
      </c>
      <c r="IX54">
        <v>1.5</v>
      </c>
      <c r="IY54">
        <v>1.03271</v>
      </c>
      <c r="IZ54">
        <v>2.5134300000000001</v>
      </c>
      <c r="JA54">
        <v>1.4440900000000001</v>
      </c>
      <c r="JB54">
        <v>2.2839399999999999</v>
      </c>
      <c r="JC54">
        <v>1.54419</v>
      </c>
      <c r="JD54">
        <v>2.34619</v>
      </c>
      <c r="JE54">
        <v>45.9499</v>
      </c>
      <c r="JF54">
        <v>24.227599999999999</v>
      </c>
      <c r="JG54">
        <v>18</v>
      </c>
      <c r="JH54">
        <v>510.863</v>
      </c>
      <c r="JI54">
        <v>425.59899999999999</v>
      </c>
      <c r="JJ54">
        <v>27.4953</v>
      </c>
      <c r="JK54">
        <v>31.473299999999998</v>
      </c>
      <c r="JL54">
        <v>30.000299999999999</v>
      </c>
      <c r="JM54">
        <v>31.1919</v>
      </c>
      <c r="JN54">
        <v>31.132200000000001</v>
      </c>
      <c r="JO54">
        <v>20.796199999999999</v>
      </c>
      <c r="JP54">
        <v>28.583200000000001</v>
      </c>
      <c r="JQ54">
        <v>0</v>
      </c>
      <c r="JR54">
        <v>27.552700000000002</v>
      </c>
      <c r="JS54">
        <v>400</v>
      </c>
      <c r="JT54">
        <v>20.961500000000001</v>
      </c>
      <c r="JU54">
        <v>99.739599999999996</v>
      </c>
      <c r="JV54">
        <v>99.258600000000001</v>
      </c>
    </row>
    <row r="55" spans="1:282" x14ac:dyDescent="0.25">
      <c r="A55">
        <v>39</v>
      </c>
      <c r="B55">
        <v>1689005912.5</v>
      </c>
      <c r="C55">
        <v>6735.5</v>
      </c>
      <c r="D55" t="s">
        <v>618</v>
      </c>
      <c r="E55" t="s">
        <v>619</v>
      </c>
      <c r="F55" t="s">
        <v>414</v>
      </c>
      <c r="G55" t="s">
        <v>415</v>
      </c>
      <c r="H55" t="s">
        <v>578</v>
      </c>
      <c r="I55" t="s">
        <v>416</v>
      </c>
      <c r="J55" t="s">
        <v>579</v>
      </c>
      <c r="K55">
        <v>1689005912.5</v>
      </c>
      <c r="L55">
        <f t="shared" si="46"/>
        <v>6.2515506498767763E-3</v>
      </c>
      <c r="M55">
        <f t="shared" si="47"/>
        <v>6.2515506498767763</v>
      </c>
      <c r="N55">
        <f t="shared" si="48"/>
        <v>52.881287714279672</v>
      </c>
      <c r="O55">
        <f t="shared" si="49"/>
        <v>334.06900000000002</v>
      </c>
      <c r="P55">
        <f t="shared" si="50"/>
        <v>133.39008510725253</v>
      </c>
      <c r="Q55">
        <f t="shared" si="51"/>
        <v>13.240819388788371</v>
      </c>
      <c r="R55">
        <f t="shared" si="52"/>
        <v>33.160990105348098</v>
      </c>
      <c r="S55">
        <f t="shared" si="53"/>
        <v>0.46603101473295316</v>
      </c>
      <c r="T55">
        <f t="shared" si="54"/>
        <v>2.9149475616130749</v>
      </c>
      <c r="U55">
        <f t="shared" si="55"/>
        <v>0.42824644077551632</v>
      </c>
      <c r="V55">
        <f t="shared" si="56"/>
        <v>0.27079307169350325</v>
      </c>
      <c r="W55">
        <f t="shared" si="57"/>
        <v>289.54673895858025</v>
      </c>
      <c r="X55">
        <f t="shared" si="58"/>
        <v>30.712169330023062</v>
      </c>
      <c r="Y55">
        <f t="shared" si="59"/>
        <v>30.030899999999999</v>
      </c>
      <c r="Z55">
        <f t="shared" si="60"/>
        <v>4.2680173705838893</v>
      </c>
      <c r="AA55">
        <f t="shared" si="61"/>
        <v>64.998231002571444</v>
      </c>
      <c r="AB55">
        <f t="shared" si="62"/>
        <v>2.8710691905296399</v>
      </c>
      <c r="AC55">
        <f t="shared" si="63"/>
        <v>4.4171497381460361</v>
      </c>
      <c r="AD55">
        <f t="shared" si="64"/>
        <v>1.3969481800542494</v>
      </c>
      <c r="AE55">
        <f t="shared" si="65"/>
        <v>-275.69338365956582</v>
      </c>
      <c r="AF55">
        <f t="shared" si="66"/>
        <v>94.196101373245341</v>
      </c>
      <c r="AG55">
        <f t="shared" si="67"/>
        <v>7.2087918590012983</v>
      </c>
      <c r="AH55">
        <f t="shared" si="68"/>
        <v>115.25824853126105</v>
      </c>
      <c r="AI55">
        <v>0</v>
      </c>
      <c r="AJ55">
        <v>0</v>
      </c>
      <c r="AK55">
        <f t="shared" si="69"/>
        <v>1</v>
      </c>
      <c r="AL55">
        <f t="shared" si="70"/>
        <v>0</v>
      </c>
      <c r="AM55">
        <f t="shared" si="71"/>
        <v>51811.168790833173</v>
      </c>
      <c r="AN55" t="s">
        <v>418</v>
      </c>
      <c r="AO55">
        <v>10076.700000000001</v>
      </c>
      <c r="AP55">
        <v>185.01599999999999</v>
      </c>
      <c r="AQ55">
        <v>473.06</v>
      </c>
      <c r="AR55">
        <f t="shared" si="72"/>
        <v>0.60889527755464423</v>
      </c>
      <c r="AS55">
        <v>-1.4827006201179751</v>
      </c>
      <c r="AT55" t="s">
        <v>620</v>
      </c>
      <c r="AU55">
        <v>8094.26</v>
      </c>
      <c r="AV55">
        <v>695.16000000000008</v>
      </c>
      <c r="AW55">
        <v>1081.0631770423761</v>
      </c>
      <c r="AX55">
        <f t="shared" si="73"/>
        <v>0.356966350568103</v>
      </c>
      <c r="AY55">
        <v>0.5</v>
      </c>
      <c r="AZ55">
        <f t="shared" si="74"/>
        <v>1513.0835994604042</v>
      </c>
      <c r="BA55">
        <f t="shared" si="75"/>
        <v>52.881287714279672</v>
      </c>
      <c r="BB55">
        <f t="shared" si="76"/>
        <v>270.05996530191487</v>
      </c>
      <c r="BC55">
        <f t="shared" si="77"/>
        <v>3.5929269442735966E-2</v>
      </c>
      <c r="BD55">
        <f t="shared" si="78"/>
        <v>-0.56241225300613795</v>
      </c>
      <c r="BE55">
        <f t="shared" si="79"/>
        <v>237.188471457943</v>
      </c>
      <c r="BF55" t="s">
        <v>621</v>
      </c>
      <c r="BG55">
        <v>544.39</v>
      </c>
      <c r="BH55">
        <f t="shared" si="80"/>
        <v>544.39</v>
      </c>
      <c r="BI55">
        <f t="shared" si="81"/>
        <v>0.49643091027356234</v>
      </c>
      <c r="BJ55">
        <f t="shared" si="82"/>
        <v>0.7190655198553082</v>
      </c>
      <c r="BK55">
        <f t="shared" si="83"/>
        <v>8.5238073327124102</v>
      </c>
      <c r="BL55">
        <f t="shared" si="84"/>
        <v>0.43067283389714395</v>
      </c>
      <c r="BM55">
        <f t="shared" si="85"/>
        <v>-2.1107996592269798</v>
      </c>
      <c r="BN55">
        <f t="shared" si="86"/>
        <v>0.5631107634990955</v>
      </c>
      <c r="BO55">
        <f t="shared" si="87"/>
        <v>0.4368892365009045</v>
      </c>
      <c r="BP55">
        <v>9131</v>
      </c>
      <c r="BQ55">
        <v>290.00000000000011</v>
      </c>
      <c r="BR55">
        <v>941.71</v>
      </c>
      <c r="BS55">
        <v>265</v>
      </c>
      <c r="BT55">
        <v>8094.26</v>
      </c>
      <c r="BU55">
        <v>942.94</v>
      </c>
      <c r="BV55">
        <v>-1.23</v>
      </c>
      <c r="BW55">
        <v>300.00000000000011</v>
      </c>
      <c r="BX55">
        <v>19.2</v>
      </c>
      <c r="BY55">
        <v>1081.0631770423761</v>
      </c>
      <c r="BZ55">
        <v>3.8588130471304631</v>
      </c>
      <c r="CA55">
        <v>-111.7975296976286</v>
      </c>
      <c r="CB55">
        <v>2.869670412253825</v>
      </c>
      <c r="CC55">
        <v>0.98188582140740999</v>
      </c>
      <c r="CD55">
        <v>-4.1701083426028936E-3</v>
      </c>
      <c r="CE55">
        <v>289.99999999999989</v>
      </c>
      <c r="CF55">
        <v>934.34</v>
      </c>
      <c r="CG55">
        <v>665</v>
      </c>
      <c r="CH55">
        <v>8085.73</v>
      </c>
      <c r="CI55">
        <v>942.8</v>
      </c>
      <c r="CJ55">
        <v>-8.4600000000000009</v>
      </c>
      <c r="CX55">
        <f t="shared" si="88"/>
        <v>1799.88</v>
      </c>
      <c r="CY55">
        <f t="shared" si="89"/>
        <v>1513.0835994604042</v>
      </c>
      <c r="CZ55">
        <f t="shared" si="90"/>
        <v>0.8406580435697959</v>
      </c>
      <c r="DA55">
        <f t="shared" si="91"/>
        <v>0.1608700240897061</v>
      </c>
      <c r="DB55">
        <v>6</v>
      </c>
      <c r="DC55">
        <v>0.5</v>
      </c>
      <c r="DD55" t="s">
        <v>421</v>
      </c>
      <c r="DE55">
        <v>2</v>
      </c>
      <c r="DF55">
        <v>1689005912.5</v>
      </c>
      <c r="DG55">
        <v>334.06900000000002</v>
      </c>
      <c r="DH55">
        <v>400.02199999999999</v>
      </c>
      <c r="DI55">
        <v>28.9236</v>
      </c>
      <c r="DJ55">
        <v>21.639900000000001</v>
      </c>
      <c r="DK55">
        <v>335.40899999999999</v>
      </c>
      <c r="DL55">
        <v>28.894600000000001</v>
      </c>
      <c r="DM55">
        <v>500.08100000000002</v>
      </c>
      <c r="DN55">
        <v>99.164000000000001</v>
      </c>
      <c r="DO55">
        <v>9.9894899999999995E-2</v>
      </c>
      <c r="DP55">
        <v>30.630299999999998</v>
      </c>
      <c r="DQ55">
        <v>30.030899999999999</v>
      </c>
      <c r="DR55">
        <v>999.9</v>
      </c>
      <c r="DS55">
        <v>0</v>
      </c>
      <c r="DT55">
        <v>0</v>
      </c>
      <c r="DU55">
        <v>10000.6</v>
      </c>
      <c r="DV55">
        <v>0</v>
      </c>
      <c r="DW55">
        <v>1231.3</v>
      </c>
      <c r="DX55">
        <v>-65.810100000000006</v>
      </c>
      <c r="DY55">
        <v>344.15899999999999</v>
      </c>
      <c r="DZ55">
        <v>408.86900000000003</v>
      </c>
      <c r="EA55">
        <v>7.2651599999999998</v>
      </c>
      <c r="EB55">
        <v>400.02199999999999</v>
      </c>
      <c r="EC55">
        <v>21.639900000000001</v>
      </c>
      <c r="ED55">
        <v>2.8663400000000001</v>
      </c>
      <c r="EE55">
        <v>2.1459000000000001</v>
      </c>
      <c r="EF55">
        <v>23.2712</v>
      </c>
      <c r="EG55">
        <v>18.564</v>
      </c>
      <c r="EH55">
        <v>1799.88</v>
      </c>
      <c r="EI55">
        <v>0.97800500000000001</v>
      </c>
      <c r="EJ55">
        <v>2.19946E-2</v>
      </c>
      <c r="EK55">
        <v>0</v>
      </c>
      <c r="EL55">
        <v>695.91300000000001</v>
      </c>
      <c r="EM55">
        <v>5.00082</v>
      </c>
      <c r="EN55">
        <v>15024.1</v>
      </c>
      <c r="EO55">
        <v>14128.8</v>
      </c>
      <c r="EP55">
        <v>48.625</v>
      </c>
      <c r="EQ55">
        <v>50.5</v>
      </c>
      <c r="ER55">
        <v>49.686999999999998</v>
      </c>
      <c r="ES55">
        <v>49.811999999999998</v>
      </c>
      <c r="ET55">
        <v>50</v>
      </c>
      <c r="EU55">
        <v>1755.4</v>
      </c>
      <c r="EV55">
        <v>39.479999999999997</v>
      </c>
      <c r="EW55">
        <v>0</v>
      </c>
      <c r="EX55">
        <v>97.799999952316284</v>
      </c>
      <c r="EY55">
        <v>0</v>
      </c>
      <c r="EZ55">
        <v>695.16000000000008</v>
      </c>
      <c r="FA55">
        <v>6.4625640844071981</v>
      </c>
      <c r="FB55">
        <v>-5684.77948132049</v>
      </c>
      <c r="FC55">
        <v>15667.57692307692</v>
      </c>
      <c r="FD55">
        <v>15</v>
      </c>
      <c r="FE55">
        <v>1689005940.5</v>
      </c>
      <c r="FF55" t="s">
        <v>622</v>
      </c>
      <c r="FG55">
        <v>1689005935.5</v>
      </c>
      <c r="FH55">
        <v>1689005940.5</v>
      </c>
      <c r="FI55">
        <v>43</v>
      </c>
      <c r="FJ55">
        <v>-7.8E-2</v>
      </c>
      <c r="FK55">
        <v>1.9E-2</v>
      </c>
      <c r="FL55">
        <v>-1.34</v>
      </c>
      <c r="FM55">
        <v>2.9000000000000001E-2</v>
      </c>
      <c r="FN55">
        <v>400</v>
      </c>
      <c r="FO55">
        <v>22</v>
      </c>
      <c r="FP55">
        <v>0.02</v>
      </c>
      <c r="FQ55">
        <v>0.02</v>
      </c>
      <c r="FR55">
        <v>52.676584180402877</v>
      </c>
      <c r="FS55">
        <v>0.1034761242243232</v>
      </c>
      <c r="FT55">
        <v>3.9608784717756383E-2</v>
      </c>
      <c r="FU55">
        <v>1</v>
      </c>
      <c r="FV55">
        <v>0.46473375308177389</v>
      </c>
      <c r="FW55">
        <v>7.8092814759266982E-4</v>
      </c>
      <c r="FX55">
        <v>6.7613464732868816E-4</v>
      </c>
      <c r="FY55">
        <v>1</v>
      </c>
      <c r="FZ55">
        <v>2</v>
      </c>
      <c r="GA55">
        <v>2</v>
      </c>
      <c r="GB55" t="s">
        <v>423</v>
      </c>
      <c r="GC55">
        <v>2.9455200000000001</v>
      </c>
      <c r="GD55">
        <v>2.7085599999999999</v>
      </c>
      <c r="GE55">
        <v>7.6673699999999997E-2</v>
      </c>
      <c r="GF55">
        <v>8.8147299999999998E-2</v>
      </c>
      <c r="GG55">
        <v>0.12922700000000001</v>
      </c>
      <c r="GH55">
        <v>0.10562199999999999</v>
      </c>
      <c r="GI55">
        <v>30464.1</v>
      </c>
      <c r="GJ55">
        <v>29326.5</v>
      </c>
      <c r="GK55">
        <v>33987</v>
      </c>
      <c r="GL55">
        <v>32195.8</v>
      </c>
      <c r="GM55">
        <v>42696.2</v>
      </c>
      <c r="GN55">
        <v>40966.199999999997</v>
      </c>
      <c r="GO55">
        <v>49197.599999999999</v>
      </c>
      <c r="GP55">
        <v>45572.5</v>
      </c>
      <c r="GQ55">
        <v>1.9976</v>
      </c>
      <c r="GR55">
        <v>1.80565</v>
      </c>
      <c r="GS55">
        <v>4.1700899999999999E-2</v>
      </c>
      <c r="GT55">
        <v>0</v>
      </c>
      <c r="GU55">
        <v>29.352</v>
      </c>
      <c r="GV55">
        <v>999.9</v>
      </c>
      <c r="GW55">
        <v>34.1</v>
      </c>
      <c r="GX55">
        <v>41.9</v>
      </c>
      <c r="GY55">
        <v>28.1999</v>
      </c>
      <c r="GZ55">
        <v>59.586799999999997</v>
      </c>
      <c r="HA55">
        <v>26.398199999999999</v>
      </c>
      <c r="HB55">
        <v>1</v>
      </c>
      <c r="HC55">
        <v>0.331316</v>
      </c>
      <c r="HD55">
        <v>1.88106</v>
      </c>
      <c r="HE55">
        <v>20.215499999999999</v>
      </c>
      <c r="HF55">
        <v>5.2687999999999997</v>
      </c>
      <c r="HG55">
        <v>12.039899999999999</v>
      </c>
      <c r="HH55">
        <v>4.9657</v>
      </c>
      <c r="HI55">
        <v>3.3010000000000002</v>
      </c>
      <c r="HJ55">
        <v>9999</v>
      </c>
      <c r="HK55">
        <v>9999</v>
      </c>
      <c r="HL55">
        <v>9999</v>
      </c>
      <c r="HM55">
        <v>999.9</v>
      </c>
      <c r="HN55">
        <v>1.86849</v>
      </c>
      <c r="HO55">
        <v>1.87212</v>
      </c>
      <c r="HP55">
        <v>1.87195</v>
      </c>
      <c r="HQ55">
        <v>1.87148</v>
      </c>
      <c r="HR55">
        <v>1.86467</v>
      </c>
      <c r="HS55">
        <v>1.8658399999999999</v>
      </c>
      <c r="HT55">
        <v>1.8678600000000001</v>
      </c>
      <c r="HU55">
        <v>1.8724099999999999</v>
      </c>
      <c r="HV55">
        <v>0</v>
      </c>
      <c r="HW55">
        <v>0</v>
      </c>
      <c r="HX55">
        <v>0</v>
      </c>
      <c r="HY55">
        <v>0</v>
      </c>
      <c r="HZ55" t="s">
        <v>424</v>
      </c>
      <c r="IA55" t="s">
        <v>425</v>
      </c>
      <c r="IB55" t="s">
        <v>426</v>
      </c>
      <c r="IC55" t="s">
        <v>426</v>
      </c>
      <c r="ID55" t="s">
        <v>426</v>
      </c>
      <c r="IE55" t="s">
        <v>426</v>
      </c>
      <c r="IF55">
        <v>0</v>
      </c>
      <c r="IG55">
        <v>100</v>
      </c>
      <c r="IH55">
        <v>100</v>
      </c>
      <c r="II55">
        <v>-1.34</v>
      </c>
      <c r="IJ55">
        <v>2.9000000000000001E-2</v>
      </c>
      <c r="IK55">
        <v>-0.83519665399323983</v>
      </c>
      <c r="IL55">
        <v>-1.171017271736434E-3</v>
      </c>
      <c r="IM55">
        <v>2.801297040296544E-7</v>
      </c>
      <c r="IN55">
        <v>-3.6238253961199429E-11</v>
      </c>
      <c r="IO55">
        <v>1.048000000000116E-2</v>
      </c>
      <c r="IP55">
        <v>0</v>
      </c>
      <c r="IQ55">
        <v>0</v>
      </c>
      <c r="IR55">
        <v>0</v>
      </c>
      <c r="IS55">
        <v>0</v>
      </c>
      <c r="IT55">
        <v>2161</v>
      </c>
      <c r="IU55">
        <v>1</v>
      </c>
      <c r="IV55">
        <v>19</v>
      </c>
      <c r="IW55">
        <v>3.3</v>
      </c>
      <c r="IX55">
        <v>3.1</v>
      </c>
      <c r="IY55">
        <v>1.03271</v>
      </c>
      <c r="IZ55">
        <v>2.50488</v>
      </c>
      <c r="JA55">
        <v>1.4440900000000001</v>
      </c>
      <c r="JB55">
        <v>2.2839399999999999</v>
      </c>
      <c r="JC55">
        <v>1.54419</v>
      </c>
      <c r="JD55">
        <v>2.4414099999999999</v>
      </c>
      <c r="JE55">
        <v>46.094700000000003</v>
      </c>
      <c r="JF55">
        <v>24.227599999999999</v>
      </c>
      <c r="JG55">
        <v>18</v>
      </c>
      <c r="JH55">
        <v>510.44900000000001</v>
      </c>
      <c r="JI55">
        <v>426.03899999999999</v>
      </c>
      <c r="JJ55">
        <v>27.5183</v>
      </c>
      <c r="JK55">
        <v>31.515799999999999</v>
      </c>
      <c r="JL55">
        <v>30.0002</v>
      </c>
      <c r="JM55">
        <v>31.2529</v>
      </c>
      <c r="JN55">
        <v>31.195</v>
      </c>
      <c r="JO55">
        <v>20.806699999999999</v>
      </c>
      <c r="JP55">
        <v>25.563800000000001</v>
      </c>
      <c r="JQ55">
        <v>0</v>
      </c>
      <c r="JR55">
        <v>27.491199999999999</v>
      </c>
      <c r="JS55">
        <v>400</v>
      </c>
      <c r="JT55">
        <v>21.756599999999999</v>
      </c>
      <c r="JU55">
        <v>99.730800000000002</v>
      </c>
      <c r="JV55">
        <v>99.250500000000002</v>
      </c>
    </row>
    <row r="56" spans="1:282" x14ac:dyDescent="0.25">
      <c r="A56">
        <v>40</v>
      </c>
      <c r="B56">
        <v>1689006051.5</v>
      </c>
      <c r="C56">
        <v>6874.5</v>
      </c>
      <c r="D56" t="s">
        <v>623</v>
      </c>
      <c r="E56" t="s">
        <v>624</v>
      </c>
      <c r="F56" t="s">
        <v>414</v>
      </c>
      <c r="G56" t="s">
        <v>415</v>
      </c>
      <c r="H56" t="s">
        <v>578</v>
      </c>
      <c r="I56" t="s">
        <v>416</v>
      </c>
      <c r="J56" t="s">
        <v>579</v>
      </c>
      <c r="K56">
        <v>1689006051.5</v>
      </c>
      <c r="L56">
        <f t="shared" si="46"/>
        <v>5.9588365953861201E-3</v>
      </c>
      <c r="M56">
        <f t="shared" si="47"/>
        <v>5.9588365953861198</v>
      </c>
      <c r="N56">
        <f t="shared" si="48"/>
        <v>52.956889749809534</v>
      </c>
      <c r="O56">
        <f t="shared" si="49"/>
        <v>334.30599999999998</v>
      </c>
      <c r="P56">
        <f t="shared" si="50"/>
        <v>123.92209261062179</v>
      </c>
      <c r="Q56">
        <f t="shared" si="51"/>
        <v>12.300551561660285</v>
      </c>
      <c r="R56">
        <f t="shared" si="52"/>
        <v>33.183334010451794</v>
      </c>
      <c r="S56">
        <f t="shared" si="53"/>
        <v>0.44279945118393443</v>
      </c>
      <c r="T56">
        <f t="shared" si="54"/>
        <v>2.9167447884765636</v>
      </c>
      <c r="U56">
        <f t="shared" si="55"/>
        <v>0.40855917044578011</v>
      </c>
      <c r="V56">
        <f t="shared" si="56"/>
        <v>0.25820483889440876</v>
      </c>
      <c r="W56">
        <f t="shared" si="57"/>
        <v>289.57067895866703</v>
      </c>
      <c r="X56">
        <f t="shared" si="58"/>
        <v>30.778907917361696</v>
      </c>
      <c r="Y56">
        <f t="shared" si="59"/>
        <v>30.078499999999998</v>
      </c>
      <c r="Z56">
        <f t="shared" si="60"/>
        <v>4.2796978224936657</v>
      </c>
      <c r="AA56">
        <f t="shared" si="61"/>
        <v>65.33198645456379</v>
      </c>
      <c r="AB56">
        <f t="shared" si="62"/>
        <v>2.8842281413091602</v>
      </c>
      <c r="AC56">
        <f t="shared" si="63"/>
        <v>4.4147259219112289</v>
      </c>
      <c r="AD56">
        <f t="shared" si="64"/>
        <v>1.3954696811845055</v>
      </c>
      <c r="AE56">
        <f t="shared" si="65"/>
        <v>-262.78469385652789</v>
      </c>
      <c r="AF56">
        <f t="shared" si="66"/>
        <v>85.259618918708341</v>
      </c>
      <c r="AG56">
        <f t="shared" si="67"/>
        <v>6.5220900551524625</v>
      </c>
      <c r="AH56">
        <f t="shared" si="68"/>
        <v>118.56769407599997</v>
      </c>
      <c r="AI56">
        <v>0</v>
      </c>
      <c r="AJ56">
        <v>0</v>
      </c>
      <c r="AK56">
        <f t="shared" si="69"/>
        <v>1</v>
      </c>
      <c r="AL56">
        <f t="shared" si="70"/>
        <v>0</v>
      </c>
      <c r="AM56">
        <f t="shared" si="71"/>
        <v>51863.797969507541</v>
      </c>
      <c r="AN56" t="s">
        <v>418</v>
      </c>
      <c r="AO56">
        <v>10076.700000000001</v>
      </c>
      <c r="AP56">
        <v>185.01599999999999</v>
      </c>
      <c r="AQ56">
        <v>473.06</v>
      </c>
      <c r="AR56">
        <f t="shared" si="72"/>
        <v>0.60889527755464423</v>
      </c>
      <c r="AS56">
        <v>-1.4827006201179751</v>
      </c>
      <c r="AT56" t="s">
        <v>625</v>
      </c>
      <c r="AU56">
        <v>8094.03</v>
      </c>
      <c r="AV56">
        <v>699.0834000000001</v>
      </c>
      <c r="AW56">
        <v>1088.408746516061</v>
      </c>
      <c r="AX56">
        <f t="shared" si="73"/>
        <v>0.35770141296849256</v>
      </c>
      <c r="AY56">
        <v>0.5</v>
      </c>
      <c r="AZ56">
        <f t="shared" si="74"/>
        <v>1513.209599460449</v>
      </c>
      <c r="BA56">
        <f t="shared" si="75"/>
        <v>52.956889749809534</v>
      </c>
      <c r="BB56">
        <f t="shared" si="76"/>
        <v>270.63860592224466</v>
      </c>
      <c r="BC56">
        <f t="shared" si="77"/>
        <v>3.5976239107482877E-2</v>
      </c>
      <c r="BD56">
        <f t="shared" si="78"/>
        <v>-0.56536549204125741</v>
      </c>
      <c r="BE56">
        <f t="shared" si="79"/>
        <v>237.5402044244891</v>
      </c>
      <c r="BF56" t="s">
        <v>626</v>
      </c>
      <c r="BG56">
        <v>547.79999999999995</v>
      </c>
      <c r="BH56">
        <f t="shared" si="80"/>
        <v>547.79999999999995</v>
      </c>
      <c r="BI56">
        <f t="shared" si="81"/>
        <v>0.49669643711199596</v>
      </c>
      <c r="BJ56">
        <f t="shared" si="82"/>
        <v>0.72016102037759833</v>
      </c>
      <c r="BK56">
        <f t="shared" si="83"/>
        <v>8.2331916847211861</v>
      </c>
      <c r="BL56">
        <f t="shared" si="84"/>
        <v>0.4309591238334558</v>
      </c>
      <c r="BM56">
        <f t="shared" si="85"/>
        <v>-2.1363012127177137</v>
      </c>
      <c r="BN56">
        <f t="shared" si="86"/>
        <v>0.56431637049720862</v>
      </c>
      <c r="BO56">
        <f t="shared" si="87"/>
        <v>0.43568362950279138</v>
      </c>
      <c r="BP56">
        <v>9133</v>
      </c>
      <c r="BQ56">
        <v>290.00000000000011</v>
      </c>
      <c r="BR56">
        <v>951.5</v>
      </c>
      <c r="BS56">
        <v>265</v>
      </c>
      <c r="BT56">
        <v>8094.03</v>
      </c>
      <c r="BU56">
        <v>954.24</v>
      </c>
      <c r="BV56">
        <v>-2.74</v>
      </c>
      <c r="BW56">
        <v>300.00000000000011</v>
      </c>
      <c r="BX56">
        <v>19.2</v>
      </c>
      <c r="BY56">
        <v>1088.408746516061</v>
      </c>
      <c r="BZ56">
        <v>3.7262038076401431</v>
      </c>
      <c r="CA56">
        <v>-108.59338064580059</v>
      </c>
      <c r="CB56">
        <v>2.7709993954562728</v>
      </c>
      <c r="CC56">
        <v>0.98209486390865841</v>
      </c>
      <c r="CD56">
        <v>-4.1696473859844227E-3</v>
      </c>
      <c r="CE56">
        <v>289.99999999999989</v>
      </c>
      <c r="CF56">
        <v>946.66</v>
      </c>
      <c r="CG56">
        <v>635</v>
      </c>
      <c r="CH56">
        <v>8086.41</v>
      </c>
      <c r="CI56">
        <v>954.12</v>
      </c>
      <c r="CJ56">
        <v>-7.46</v>
      </c>
      <c r="CX56">
        <f t="shared" si="88"/>
        <v>1800.03</v>
      </c>
      <c r="CY56">
        <f t="shared" si="89"/>
        <v>1513.209599460449</v>
      </c>
      <c r="CZ56">
        <f t="shared" si="90"/>
        <v>0.84065798873377062</v>
      </c>
      <c r="DA56">
        <f t="shared" si="91"/>
        <v>0.16086991825617741</v>
      </c>
      <c r="DB56">
        <v>6</v>
      </c>
      <c r="DC56">
        <v>0.5</v>
      </c>
      <c r="DD56" t="s">
        <v>421</v>
      </c>
      <c r="DE56">
        <v>2</v>
      </c>
      <c r="DF56">
        <v>1689006051.5</v>
      </c>
      <c r="DG56">
        <v>334.30599999999998</v>
      </c>
      <c r="DH56">
        <v>400.23500000000001</v>
      </c>
      <c r="DI56">
        <v>29.057200000000002</v>
      </c>
      <c r="DJ56">
        <v>22.115400000000001</v>
      </c>
      <c r="DK56">
        <v>335.613</v>
      </c>
      <c r="DL56">
        <v>29.0181</v>
      </c>
      <c r="DM56">
        <v>500.07400000000001</v>
      </c>
      <c r="DN56">
        <v>99.160799999999995</v>
      </c>
      <c r="DO56">
        <v>9.9560300000000004E-2</v>
      </c>
      <c r="DP56">
        <v>30.620699999999999</v>
      </c>
      <c r="DQ56">
        <v>30.078499999999998</v>
      </c>
      <c r="DR56">
        <v>999.9</v>
      </c>
      <c r="DS56">
        <v>0</v>
      </c>
      <c r="DT56">
        <v>0</v>
      </c>
      <c r="DU56">
        <v>10011.200000000001</v>
      </c>
      <c r="DV56">
        <v>0</v>
      </c>
      <c r="DW56">
        <v>2219.46</v>
      </c>
      <c r="DX56">
        <v>-65.929199999999994</v>
      </c>
      <c r="DY56">
        <v>344.31</v>
      </c>
      <c r="DZ56">
        <v>409.286</v>
      </c>
      <c r="EA56">
        <v>6.9418699999999998</v>
      </c>
      <c r="EB56">
        <v>400.23500000000001</v>
      </c>
      <c r="EC56">
        <v>22.115400000000001</v>
      </c>
      <c r="ED56">
        <v>2.8813399999999998</v>
      </c>
      <c r="EE56">
        <v>2.1929799999999999</v>
      </c>
      <c r="EF56">
        <v>23.357600000000001</v>
      </c>
      <c r="EG56">
        <v>18.911100000000001</v>
      </c>
      <c r="EH56">
        <v>1800.03</v>
      </c>
      <c r="EI56">
        <v>0.97800500000000001</v>
      </c>
      <c r="EJ56">
        <v>2.19946E-2</v>
      </c>
      <c r="EK56">
        <v>0</v>
      </c>
      <c r="EL56">
        <v>699.27599999999995</v>
      </c>
      <c r="EM56">
        <v>5.00082</v>
      </c>
      <c r="EN56">
        <v>16848.8</v>
      </c>
      <c r="EO56">
        <v>14130</v>
      </c>
      <c r="EP56">
        <v>48.561999999999998</v>
      </c>
      <c r="EQ56">
        <v>50.186999999999998</v>
      </c>
      <c r="ER56">
        <v>49.561999999999998</v>
      </c>
      <c r="ES56">
        <v>49.561999999999998</v>
      </c>
      <c r="ET56">
        <v>49.936999999999998</v>
      </c>
      <c r="EU56">
        <v>1755.55</v>
      </c>
      <c r="EV56">
        <v>39.479999999999997</v>
      </c>
      <c r="EW56">
        <v>0</v>
      </c>
      <c r="EX56">
        <v>136.79999995231631</v>
      </c>
      <c r="EY56">
        <v>0</v>
      </c>
      <c r="EZ56">
        <v>699.0834000000001</v>
      </c>
      <c r="FA56">
        <v>2.889615387670927</v>
      </c>
      <c r="FB56">
        <v>58.861537826721353</v>
      </c>
      <c r="FC56">
        <v>16834.560000000001</v>
      </c>
      <c r="FD56">
        <v>15</v>
      </c>
      <c r="FE56">
        <v>1689006018.5</v>
      </c>
      <c r="FF56" t="s">
        <v>627</v>
      </c>
      <c r="FG56">
        <v>1689006011</v>
      </c>
      <c r="FH56">
        <v>1689006018.5</v>
      </c>
      <c r="FI56">
        <v>44</v>
      </c>
      <c r="FJ56">
        <v>-3.2000000000000001E-2</v>
      </c>
      <c r="FK56">
        <v>0.01</v>
      </c>
      <c r="FL56">
        <v>-1.3720000000000001</v>
      </c>
      <c r="FM56">
        <v>3.9E-2</v>
      </c>
      <c r="FN56">
        <v>400</v>
      </c>
      <c r="FO56">
        <v>22</v>
      </c>
      <c r="FP56">
        <v>0.04</v>
      </c>
      <c r="FQ56">
        <v>0.02</v>
      </c>
      <c r="FR56">
        <v>52.810416963363551</v>
      </c>
      <c r="FS56">
        <v>-2.3297825076206809E-2</v>
      </c>
      <c r="FT56">
        <v>3.2082348151239122E-2</v>
      </c>
      <c r="FU56">
        <v>1</v>
      </c>
      <c r="FV56">
        <v>0.44506134278370452</v>
      </c>
      <c r="FW56">
        <v>4.7528730939473268E-2</v>
      </c>
      <c r="FX56">
        <v>4.4594686051340248E-3</v>
      </c>
      <c r="FY56">
        <v>1</v>
      </c>
      <c r="FZ56">
        <v>2</v>
      </c>
      <c r="GA56">
        <v>2</v>
      </c>
      <c r="GB56" t="s">
        <v>423</v>
      </c>
      <c r="GC56">
        <v>2.9455200000000001</v>
      </c>
      <c r="GD56">
        <v>2.7083200000000001</v>
      </c>
      <c r="GE56">
        <v>7.6708700000000005E-2</v>
      </c>
      <c r="GF56">
        <v>8.8184499999999999E-2</v>
      </c>
      <c r="GG56">
        <v>0.129603</v>
      </c>
      <c r="GH56">
        <v>0.10724400000000001</v>
      </c>
      <c r="GI56">
        <v>30465.9</v>
      </c>
      <c r="GJ56">
        <v>29328.799999999999</v>
      </c>
      <c r="GK56">
        <v>33990</v>
      </c>
      <c r="GL56">
        <v>32199.5</v>
      </c>
      <c r="GM56">
        <v>42681.2</v>
      </c>
      <c r="GN56">
        <v>40895.599999999999</v>
      </c>
      <c r="GO56">
        <v>49201.8</v>
      </c>
      <c r="GP56">
        <v>45577.1</v>
      </c>
      <c r="GQ56">
        <v>1.9972000000000001</v>
      </c>
      <c r="GR56">
        <v>1.8056000000000001</v>
      </c>
      <c r="GS56">
        <v>5.8226300000000002E-2</v>
      </c>
      <c r="GT56">
        <v>0</v>
      </c>
      <c r="GU56">
        <v>29.130299999999998</v>
      </c>
      <c r="GV56">
        <v>999.9</v>
      </c>
      <c r="GW56">
        <v>34</v>
      </c>
      <c r="GX56">
        <v>42.1</v>
      </c>
      <c r="GY56">
        <v>28.412500000000001</v>
      </c>
      <c r="GZ56">
        <v>59.9968</v>
      </c>
      <c r="HA56">
        <v>26.238</v>
      </c>
      <c r="HB56">
        <v>1</v>
      </c>
      <c r="HC56">
        <v>0.32904699999999998</v>
      </c>
      <c r="HD56">
        <v>2.26492</v>
      </c>
      <c r="HE56">
        <v>20.2104</v>
      </c>
      <c r="HF56">
        <v>5.26701</v>
      </c>
      <c r="HG56">
        <v>12.039899999999999</v>
      </c>
      <c r="HH56">
        <v>4.9660500000000001</v>
      </c>
      <c r="HI56">
        <v>3.3002500000000001</v>
      </c>
      <c r="HJ56">
        <v>9999</v>
      </c>
      <c r="HK56">
        <v>9999</v>
      </c>
      <c r="HL56">
        <v>9999</v>
      </c>
      <c r="HM56">
        <v>999.9</v>
      </c>
      <c r="HN56">
        <v>1.86846</v>
      </c>
      <c r="HO56">
        <v>1.8721099999999999</v>
      </c>
      <c r="HP56">
        <v>1.87195</v>
      </c>
      <c r="HQ56">
        <v>1.87148</v>
      </c>
      <c r="HR56">
        <v>1.8646799999999999</v>
      </c>
      <c r="HS56">
        <v>1.8658399999999999</v>
      </c>
      <c r="HT56">
        <v>1.8678699999999999</v>
      </c>
      <c r="HU56">
        <v>1.8724099999999999</v>
      </c>
      <c r="HV56">
        <v>0</v>
      </c>
      <c r="HW56">
        <v>0</v>
      </c>
      <c r="HX56">
        <v>0</v>
      </c>
      <c r="HY56">
        <v>0</v>
      </c>
      <c r="HZ56" t="s">
        <v>424</v>
      </c>
      <c r="IA56" t="s">
        <v>425</v>
      </c>
      <c r="IB56" t="s">
        <v>426</v>
      </c>
      <c r="IC56" t="s">
        <v>426</v>
      </c>
      <c r="ID56" t="s">
        <v>426</v>
      </c>
      <c r="IE56" t="s">
        <v>426</v>
      </c>
      <c r="IF56">
        <v>0</v>
      </c>
      <c r="IG56">
        <v>100</v>
      </c>
      <c r="IH56">
        <v>100</v>
      </c>
      <c r="II56">
        <v>-1.3069999999999999</v>
      </c>
      <c r="IJ56">
        <v>3.9100000000000003E-2</v>
      </c>
      <c r="IK56">
        <v>-0.94442994340309472</v>
      </c>
      <c r="IL56">
        <v>-1.171017271736434E-3</v>
      </c>
      <c r="IM56">
        <v>2.801297040296544E-7</v>
      </c>
      <c r="IN56">
        <v>-3.6238253961199429E-11</v>
      </c>
      <c r="IO56">
        <v>3.9109523809525371E-2</v>
      </c>
      <c r="IP56">
        <v>0</v>
      </c>
      <c r="IQ56">
        <v>0</v>
      </c>
      <c r="IR56">
        <v>0</v>
      </c>
      <c r="IS56">
        <v>0</v>
      </c>
      <c r="IT56">
        <v>2161</v>
      </c>
      <c r="IU56">
        <v>1</v>
      </c>
      <c r="IV56">
        <v>19</v>
      </c>
      <c r="IW56">
        <v>0.7</v>
      </c>
      <c r="IX56">
        <v>0.6</v>
      </c>
      <c r="IY56">
        <v>1.0339400000000001</v>
      </c>
      <c r="IZ56">
        <v>2.5122100000000001</v>
      </c>
      <c r="JA56">
        <v>1.4440900000000001</v>
      </c>
      <c r="JB56">
        <v>2.2839399999999999</v>
      </c>
      <c r="JC56">
        <v>1.54419</v>
      </c>
      <c r="JD56">
        <v>2.4169900000000002</v>
      </c>
      <c r="JE56">
        <v>46.123699999999999</v>
      </c>
      <c r="JF56">
        <v>24.227599999999999</v>
      </c>
      <c r="JG56">
        <v>18</v>
      </c>
      <c r="JH56">
        <v>510.202</v>
      </c>
      <c r="JI56">
        <v>426.01</v>
      </c>
      <c r="JJ56">
        <v>27.168500000000002</v>
      </c>
      <c r="JK56">
        <v>31.4772</v>
      </c>
      <c r="JL56">
        <v>30.0002</v>
      </c>
      <c r="JM56">
        <v>31.254999999999999</v>
      </c>
      <c r="JN56">
        <v>31.1952</v>
      </c>
      <c r="JO56">
        <v>20.8064</v>
      </c>
      <c r="JP56">
        <v>24.194199999999999</v>
      </c>
      <c r="JQ56">
        <v>0</v>
      </c>
      <c r="JR56">
        <v>27.122199999999999</v>
      </c>
      <c r="JS56">
        <v>400</v>
      </c>
      <c r="JT56">
        <v>22.013500000000001</v>
      </c>
      <c r="JU56">
        <v>99.739400000000003</v>
      </c>
      <c r="JV56">
        <v>99.260999999999996</v>
      </c>
    </row>
    <row r="57" spans="1:282" x14ac:dyDescent="0.25">
      <c r="A57">
        <v>41</v>
      </c>
      <c r="B57">
        <v>1689006174.5</v>
      </c>
      <c r="C57">
        <v>6997.5</v>
      </c>
      <c r="D57" t="s">
        <v>628</v>
      </c>
      <c r="E57" t="s">
        <v>629</v>
      </c>
      <c r="F57" t="s">
        <v>414</v>
      </c>
      <c r="G57" t="s">
        <v>415</v>
      </c>
      <c r="H57" t="s">
        <v>578</v>
      </c>
      <c r="I57" t="s">
        <v>416</v>
      </c>
      <c r="J57" t="s">
        <v>579</v>
      </c>
      <c r="K57">
        <v>1689006174.5</v>
      </c>
      <c r="L57">
        <f t="shared" si="46"/>
        <v>6.0612231836986337E-3</v>
      </c>
      <c r="M57">
        <f t="shared" si="47"/>
        <v>6.0612231836986341</v>
      </c>
      <c r="N57">
        <f t="shared" si="48"/>
        <v>56.621324207968293</v>
      </c>
      <c r="O57">
        <f t="shared" si="49"/>
        <v>429.23399999999998</v>
      </c>
      <c r="P57">
        <f t="shared" si="50"/>
        <v>211.34914346520603</v>
      </c>
      <c r="Q57">
        <f t="shared" si="51"/>
        <v>20.979464938010508</v>
      </c>
      <c r="R57">
        <f t="shared" si="52"/>
        <v>42.607694100659998</v>
      </c>
      <c r="S57">
        <f t="shared" si="53"/>
        <v>0.46238907570078874</v>
      </c>
      <c r="T57">
        <f t="shared" si="54"/>
        <v>2.9078335569017391</v>
      </c>
      <c r="U57">
        <f t="shared" si="55"/>
        <v>0.42508430467528963</v>
      </c>
      <c r="V57">
        <f t="shared" si="56"/>
        <v>0.26877812363589099</v>
      </c>
      <c r="W57">
        <f t="shared" si="57"/>
        <v>289.58199195791042</v>
      </c>
      <c r="X57">
        <f t="shared" si="58"/>
        <v>30.45270844000547</v>
      </c>
      <c r="Y57">
        <f t="shared" si="59"/>
        <v>29.8248</v>
      </c>
      <c r="Z57">
        <f t="shared" si="60"/>
        <v>4.2177629457643953</v>
      </c>
      <c r="AA57">
        <f t="shared" si="61"/>
        <v>65.738691982229255</v>
      </c>
      <c r="AB57">
        <f t="shared" si="62"/>
        <v>2.852772104559</v>
      </c>
      <c r="AC57">
        <f t="shared" si="63"/>
        <v>4.3395632291104489</v>
      </c>
      <c r="AD57">
        <f t="shared" si="64"/>
        <v>1.3649908412053953</v>
      </c>
      <c r="AE57">
        <f t="shared" si="65"/>
        <v>-267.29994240110972</v>
      </c>
      <c r="AF57">
        <f t="shared" si="66"/>
        <v>77.740816156692389</v>
      </c>
      <c r="AG57">
        <f t="shared" si="67"/>
        <v>5.9488322037296966</v>
      </c>
      <c r="AH57">
        <f t="shared" si="68"/>
        <v>105.97169791722278</v>
      </c>
      <c r="AI57">
        <v>0</v>
      </c>
      <c r="AJ57">
        <v>0</v>
      </c>
      <c r="AK57">
        <f t="shared" si="69"/>
        <v>1</v>
      </c>
      <c r="AL57">
        <f t="shared" si="70"/>
        <v>0</v>
      </c>
      <c r="AM57">
        <f t="shared" si="71"/>
        <v>51661.934303682225</v>
      </c>
      <c r="AN57" t="s">
        <v>418</v>
      </c>
      <c r="AO57">
        <v>10076.700000000001</v>
      </c>
      <c r="AP57">
        <v>185.01599999999999</v>
      </c>
      <c r="AQ57">
        <v>473.06</v>
      </c>
      <c r="AR57">
        <f t="shared" si="72"/>
        <v>0.60889527755464423</v>
      </c>
      <c r="AS57">
        <v>-1.4827006201179751</v>
      </c>
      <c r="AT57" t="s">
        <v>630</v>
      </c>
      <c r="AU57">
        <v>8092.96</v>
      </c>
      <c r="AV57">
        <v>713.95323999999994</v>
      </c>
      <c r="AW57">
        <v>1139.3518859762571</v>
      </c>
      <c r="AX57">
        <f t="shared" si="73"/>
        <v>0.37336897512725231</v>
      </c>
      <c r="AY57">
        <v>0.5</v>
      </c>
      <c r="AZ57">
        <f t="shared" si="74"/>
        <v>1513.2608994600571</v>
      </c>
      <c r="BA57">
        <f t="shared" si="75"/>
        <v>56.621324207968293</v>
      </c>
      <c r="BB57">
        <f t="shared" si="76"/>
        <v>282.50233556577274</v>
      </c>
      <c r="BC57">
        <f t="shared" si="77"/>
        <v>3.8396567867985107E-2</v>
      </c>
      <c r="BD57">
        <f t="shared" si="78"/>
        <v>-0.5847990372222388</v>
      </c>
      <c r="BE57">
        <f t="shared" si="79"/>
        <v>239.88102882373292</v>
      </c>
      <c r="BF57" t="s">
        <v>631</v>
      </c>
      <c r="BG57">
        <v>551.85</v>
      </c>
      <c r="BH57">
        <f t="shared" si="80"/>
        <v>551.85</v>
      </c>
      <c r="BI57">
        <f t="shared" si="81"/>
        <v>0.51564568699761648</v>
      </c>
      <c r="BJ57">
        <f t="shared" si="82"/>
        <v>0.72408047723858537</v>
      </c>
      <c r="BK57">
        <f t="shared" si="83"/>
        <v>8.4565539532460594</v>
      </c>
      <c r="BL57">
        <f t="shared" si="84"/>
        <v>0.44575358867605303</v>
      </c>
      <c r="BM57">
        <f t="shared" si="85"/>
        <v>-2.3131600935143841</v>
      </c>
      <c r="BN57">
        <f t="shared" si="86"/>
        <v>0.55967784579857549</v>
      </c>
      <c r="BO57">
        <f t="shared" si="87"/>
        <v>0.44032215420142451</v>
      </c>
      <c r="BP57">
        <v>9135</v>
      </c>
      <c r="BQ57">
        <v>290.00000000000011</v>
      </c>
      <c r="BR57">
        <v>996.68</v>
      </c>
      <c r="BS57">
        <v>295</v>
      </c>
      <c r="BT57">
        <v>8092.96</v>
      </c>
      <c r="BU57">
        <v>999.68</v>
      </c>
      <c r="BV57">
        <v>-3</v>
      </c>
      <c r="BW57">
        <v>300.00000000000011</v>
      </c>
      <c r="BX57">
        <v>19.2</v>
      </c>
      <c r="BY57">
        <v>1139.3518859762571</v>
      </c>
      <c r="BZ57">
        <v>4.2605131816174939</v>
      </c>
      <c r="CA57">
        <v>-113.03751201979679</v>
      </c>
      <c r="CB57">
        <v>3.16827925797035</v>
      </c>
      <c r="CC57">
        <v>0.9784766326484694</v>
      </c>
      <c r="CD57">
        <v>-4.1697043381535076E-3</v>
      </c>
      <c r="CE57">
        <v>289.99999999999989</v>
      </c>
      <c r="CF57">
        <v>994.17</v>
      </c>
      <c r="CG57">
        <v>635</v>
      </c>
      <c r="CH57">
        <v>8086.3</v>
      </c>
      <c r="CI57">
        <v>999.56</v>
      </c>
      <c r="CJ57">
        <v>-5.39</v>
      </c>
      <c r="CX57">
        <f t="shared" si="88"/>
        <v>1800.09</v>
      </c>
      <c r="CY57">
        <f t="shared" si="89"/>
        <v>1513.2608994600571</v>
      </c>
      <c r="CZ57">
        <f t="shared" si="90"/>
        <v>0.84065846677669287</v>
      </c>
      <c r="DA57">
        <f t="shared" si="91"/>
        <v>0.1608708408790174</v>
      </c>
      <c r="DB57">
        <v>6</v>
      </c>
      <c r="DC57">
        <v>0.5</v>
      </c>
      <c r="DD57" t="s">
        <v>421</v>
      </c>
      <c r="DE57">
        <v>2</v>
      </c>
      <c r="DF57">
        <v>1689006174.5</v>
      </c>
      <c r="DG57">
        <v>429.23399999999998</v>
      </c>
      <c r="DH57">
        <v>500.25799999999998</v>
      </c>
      <c r="DI57">
        <v>28.739100000000001</v>
      </c>
      <c r="DJ57">
        <v>21.678999999999998</v>
      </c>
      <c r="DK57">
        <v>430.68700000000001</v>
      </c>
      <c r="DL57">
        <v>28.7056</v>
      </c>
      <c r="DM57">
        <v>500.30700000000002</v>
      </c>
      <c r="DN57">
        <v>99.163899999999998</v>
      </c>
      <c r="DO57">
        <v>0.10059</v>
      </c>
      <c r="DP57">
        <v>30.320699999999999</v>
      </c>
      <c r="DQ57">
        <v>29.8248</v>
      </c>
      <c r="DR57">
        <v>999.9</v>
      </c>
      <c r="DS57">
        <v>0</v>
      </c>
      <c r="DT57">
        <v>0</v>
      </c>
      <c r="DU57">
        <v>9960</v>
      </c>
      <c r="DV57">
        <v>0</v>
      </c>
      <c r="DW57">
        <v>820.79899999999998</v>
      </c>
      <c r="DX57">
        <v>-71.023700000000005</v>
      </c>
      <c r="DY57">
        <v>441.935</v>
      </c>
      <c r="DZ57">
        <v>511.34300000000002</v>
      </c>
      <c r="EA57">
        <v>7.0601099999999999</v>
      </c>
      <c r="EB57">
        <v>500.25799999999998</v>
      </c>
      <c r="EC57">
        <v>21.678999999999998</v>
      </c>
      <c r="ED57">
        <v>2.8498800000000002</v>
      </c>
      <c r="EE57">
        <v>2.1497700000000002</v>
      </c>
      <c r="EF57">
        <v>23.175899999999999</v>
      </c>
      <c r="EG57">
        <v>18.5929</v>
      </c>
      <c r="EH57">
        <v>1800.09</v>
      </c>
      <c r="EI57">
        <v>0.97799199999999997</v>
      </c>
      <c r="EJ57">
        <v>2.2008E-2</v>
      </c>
      <c r="EK57">
        <v>0</v>
      </c>
      <c r="EL57">
        <v>713.94100000000003</v>
      </c>
      <c r="EM57">
        <v>5.00082</v>
      </c>
      <c r="EN57">
        <v>15316.4</v>
      </c>
      <c r="EO57">
        <v>14130.4</v>
      </c>
      <c r="EP57">
        <v>48.625</v>
      </c>
      <c r="EQ57">
        <v>50.375</v>
      </c>
      <c r="ER57">
        <v>49.686999999999998</v>
      </c>
      <c r="ES57">
        <v>49.75</v>
      </c>
      <c r="ET57">
        <v>50</v>
      </c>
      <c r="EU57">
        <v>1755.58</v>
      </c>
      <c r="EV57">
        <v>39.51</v>
      </c>
      <c r="EW57">
        <v>0</v>
      </c>
      <c r="EX57">
        <v>121.2000000476837</v>
      </c>
      <c r="EY57">
        <v>0</v>
      </c>
      <c r="EZ57">
        <v>713.95323999999994</v>
      </c>
      <c r="FA57">
        <v>0.4863076834996003</v>
      </c>
      <c r="FB57">
        <v>733.16922932964485</v>
      </c>
      <c r="FC57">
        <v>15092.36</v>
      </c>
      <c r="FD57">
        <v>15</v>
      </c>
      <c r="FE57">
        <v>1689006141</v>
      </c>
      <c r="FF57" t="s">
        <v>632</v>
      </c>
      <c r="FG57">
        <v>1689006141</v>
      </c>
      <c r="FH57">
        <v>1689006139.5</v>
      </c>
      <c r="FI57">
        <v>45</v>
      </c>
      <c r="FJ57">
        <v>-5.2999999999999999E-2</v>
      </c>
      <c r="FK57">
        <v>-6.0000000000000001E-3</v>
      </c>
      <c r="FL57">
        <v>-1.5189999999999999</v>
      </c>
      <c r="FM57">
        <v>3.4000000000000002E-2</v>
      </c>
      <c r="FN57">
        <v>500</v>
      </c>
      <c r="FO57">
        <v>22</v>
      </c>
      <c r="FP57">
        <v>0.03</v>
      </c>
      <c r="FQ57">
        <v>0.01</v>
      </c>
      <c r="FR57">
        <v>56.644722860226352</v>
      </c>
      <c r="FS57">
        <v>-0.47476019838151151</v>
      </c>
      <c r="FT57">
        <v>5.924547687151463E-2</v>
      </c>
      <c r="FU57">
        <v>1</v>
      </c>
      <c r="FV57">
        <v>0.46417264154358939</v>
      </c>
      <c r="FW57">
        <v>2.291880375439221E-2</v>
      </c>
      <c r="FX57">
        <v>2.215782188871987E-3</v>
      </c>
      <c r="FY57">
        <v>1</v>
      </c>
      <c r="FZ57">
        <v>2</v>
      </c>
      <c r="GA57">
        <v>2</v>
      </c>
      <c r="GB57" t="s">
        <v>423</v>
      </c>
      <c r="GC57">
        <v>2.9460799999999998</v>
      </c>
      <c r="GD57">
        <v>2.7089099999999999</v>
      </c>
      <c r="GE57">
        <v>9.3041899999999997E-2</v>
      </c>
      <c r="GF57">
        <v>0.10413500000000001</v>
      </c>
      <c r="GG57">
        <v>0.12862799999999999</v>
      </c>
      <c r="GH57">
        <v>0.105742</v>
      </c>
      <c r="GI57">
        <v>29923.599999999999</v>
      </c>
      <c r="GJ57">
        <v>28812.5</v>
      </c>
      <c r="GK57">
        <v>33986.5</v>
      </c>
      <c r="GL57">
        <v>32196.2</v>
      </c>
      <c r="GM57">
        <v>42725.9</v>
      </c>
      <c r="GN57">
        <v>40961.599999999999</v>
      </c>
      <c r="GO57">
        <v>49197.2</v>
      </c>
      <c r="GP57">
        <v>45573.1</v>
      </c>
      <c r="GQ57">
        <v>1.9967999999999999</v>
      </c>
      <c r="GR57">
        <v>1.8027500000000001</v>
      </c>
      <c r="GS57">
        <v>2.8610199999999999E-2</v>
      </c>
      <c r="GT57">
        <v>0</v>
      </c>
      <c r="GU57">
        <v>29.358899999999998</v>
      </c>
      <c r="GV57">
        <v>999.9</v>
      </c>
      <c r="GW57">
        <v>34</v>
      </c>
      <c r="GX57">
        <v>42.2</v>
      </c>
      <c r="GY57">
        <v>28.5639</v>
      </c>
      <c r="GZ57">
        <v>60.386800000000001</v>
      </c>
      <c r="HA57">
        <v>25.564900000000002</v>
      </c>
      <c r="HB57">
        <v>1</v>
      </c>
      <c r="HC57">
        <v>0.33138699999999999</v>
      </c>
      <c r="HD57">
        <v>1.4716800000000001</v>
      </c>
      <c r="HE57">
        <v>20.2197</v>
      </c>
      <c r="HF57">
        <v>5.2695499999999997</v>
      </c>
      <c r="HG57">
        <v>12.039899999999999</v>
      </c>
      <c r="HH57">
        <v>4.9669999999999996</v>
      </c>
      <c r="HI57">
        <v>3.3010000000000002</v>
      </c>
      <c r="HJ57">
        <v>9999</v>
      </c>
      <c r="HK57">
        <v>9999</v>
      </c>
      <c r="HL57">
        <v>9999</v>
      </c>
      <c r="HM57">
        <v>999.9</v>
      </c>
      <c r="HN57">
        <v>1.8684700000000001</v>
      </c>
      <c r="HO57">
        <v>1.8721300000000001</v>
      </c>
      <c r="HP57">
        <v>1.87195</v>
      </c>
      <c r="HQ57">
        <v>1.87147</v>
      </c>
      <c r="HR57">
        <v>1.8646799999999999</v>
      </c>
      <c r="HS57">
        <v>1.8658399999999999</v>
      </c>
      <c r="HT57">
        <v>1.86785</v>
      </c>
      <c r="HU57">
        <v>1.8724099999999999</v>
      </c>
      <c r="HV57">
        <v>0</v>
      </c>
      <c r="HW57">
        <v>0</v>
      </c>
      <c r="HX57">
        <v>0</v>
      </c>
      <c r="HY57">
        <v>0</v>
      </c>
      <c r="HZ57" t="s">
        <v>424</v>
      </c>
      <c r="IA57" t="s">
        <v>425</v>
      </c>
      <c r="IB57" t="s">
        <v>426</v>
      </c>
      <c r="IC57" t="s">
        <v>426</v>
      </c>
      <c r="ID57" t="s">
        <v>426</v>
      </c>
      <c r="IE57" t="s">
        <v>426</v>
      </c>
      <c r="IF57">
        <v>0</v>
      </c>
      <c r="IG57">
        <v>100</v>
      </c>
      <c r="IH57">
        <v>100</v>
      </c>
      <c r="II57">
        <v>-1.4530000000000001</v>
      </c>
      <c r="IJ57">
        <v>3.3500000000000002E-2</v>
      </c>
      <c r="IK57">
        <v>-0.99786746112353941</v>
      </c>
      <c r="IL57">
        <v>-1.171017271736434E-3</v>
      </c>
      <c r="IM57">
        <v>2.801297040296544E-7</v>
      </c>
      <c r="IN57">
        <v>-3.6238253961199429E-11</v>
      </c>
      <c r="IO57">
        <v>3.3552380952382783E-2</v>
      </c>
      <c r="IP57">
        <v>0</v>
      </c>
      <c r="IQ57">
        <v>0</v>
      </c>
      <c r="IR57">
        <v>0</v>
      </c>
      <c r="IS57">
        <v>0</v>
      </c>
      <c r="IT57">
        <v>2161</v>
      </c>
      <c r="IU57">
        <v>1</v>
      </c>
      <c r="IV57">
        <v>19</v>
      </c>
      <c r="IW57">
        <v>0.6</v>
      </c>
      <c r="IX57">
        <v>0.6</v>
      </c>
      <c r="IY57">
        <v>1.2353499999999999</v>
      </c>
      <c r="IZ57">
        <v>2.5134300000000001</v>
      </c>
      <c r="JA57">
        <v>1.4440900000000001</v>
      </c>
      <c r="JB57">
        <v>2.2839399999999999</v>
      </c>
      <c r="JC57">
        <v>1.54419</v>
      </c>
      <c r="JD57">
        <v>2.2631800000000002</v>
      </c>
      <c r="JE57">
        <v>46.327399999999997</v>
      </c>
      <c r="JF57">
        <v>24.218800000000002</v>
      </c>
      <c r="JG57">
        <v>18</v>
      </c>
      <c r="JH57">
        <v>510.375</v>
      </c>
      <c r="JI57">
        <v>424.65100000000001</v>
      </c>
      <c r="JJ57">
        <v>27.056899999999999</v>
      </c>
      <c r="JK57">
        <v>31.538</v>
      </c>
      <c r="JL57">
        <v>29.9999</v>
      </c>
      <c r="JM57">
        <v>31.307200000000002</v>
      </c>
      <c r="JN57">
        <v>31.251999999999999</v>
      </c>
      <c r="JO57">
        <v>24.865500000000001</v>
      </c>
      <c r="JP57">
        <v>27.377600000000001</v>
      </c>
      <c r="JQ57">
        <v>0</v>
      </c>
      <c r="JR57">
        <v>27.188500000000001</v>
      </c>
      <c r="JS57">
        <v>500</v>
      </c>
      <c r="JT57">
        <v>21.5809</v>
      </c>
      <c r="JU57">
        <v>99.729699999999994</v>
      </c>
      <c r="JV57">
        <v>99.2517</v>
      </c>
    </row>
    <row r="58" spans="1:282" x14ac:dyDescent="0.25">
      <c r="A58">
        <v>42</v>
      </c>
      <c r="B58">
        <v>1689006284</v>
      </c>
      <c r="C58">
        <v>7107</v>
      </c>
      <c r="D58" t="s">
        <v>633</v>
      </c>
      <c r="E58" t="s">
        <v>634</v>
      </c>
      <c r="F58" t="s">
        <v>414</v>
      </c>
      <c r="G58" t="s">
        <v>415</v>
      </c>
      <c r="H58" t="s">
        <v>578</v>
      </c>
      <c r="I58" t="s">
        <v>416</v>
      </c>
      <c r="J58" t="s">
        <v>579</v>
      </c>
      <c r="K58">
        <v>1689006284</v>
      </c>
      <c r="L58">
        <f t="shared" si="46"/>
        <v>5.638496352338737E-3</v>
      </c>
      <c r="M58">
        <f t="shared" si="47"/>
        <v>5.6384963523387368</v>
      </c>
      <c r="N58">
        <f t="shared" si="48"/>
        <v>59.218837154625277</v>
      </c>
      <c r="O58">
        <f t="shared" si="49"/>
        <v>625.00099999999998</v>
      </c>
      <c r="P58">
        <f t="shared" si="50"/>
        <v>365.52137032116514</v>
      </c>
      <c r="Q58">
        <f t="shared" si="51"/>
        <v>36.280464479845833</v>
      </c>
      <c r="R58">
        <f t="shared" si="52"/>
        <v>62.035570069253296</v>
      </c>
      <c r="S58">
        <f t="shared" si="53"/>
        <v>0.40769084091179458</v>
      </c>
      <c r="T58">
        <f t="shared" si="54"/>
        <v>2.914281703332763</v>
      </c>
      <c r="U58">
        <f t="shared" si="55"/>
        <v>0.3784502544252959</v>
      </c>
      <c r="V58">
        <f t="shared" si="56"/>
        <v>0.23898355958562673</v>
      </c>
      <c r="W58">
        <f t="shared" si="57"/>
        <v>289.55950695862646</v>
      </c>
      <c r="X58">
        <f t="shared" si="58"/>
        <v>30.85307246013971</v>
      </c>
      <c r="Y58">
        <f t="shared" si="59"/>
        <v>30.125</v>
      </c>
      <c r="Z58">
        <f t="shared" si="60"/>
        <v>4.2911352374237381</v>
      </c>
      <c r="AA58">
        <f t="shared" si="61"/>
        <v>64.945649819798859</v>
      </c>
      <c r="AB58">
        <f t="shared" si="62"/>
        <v>2.8656317988489701</v>
      </c>
      <c r="AC58">
        <f t="shared" si="63"/>
        <v>4.4123537246914646</v>
      </c>
      <c r="AD58">
        <f t="shared" si="64"/>
        <v>1.425503438574768</v>
      </c>
      <c r="AE58">
        <f t="shared" si="65"/>
        <v>-248.65768913813829</v>
      </c>
      <c r="AF58">
        <f t="shared" si="66"/>
        <v>76.404905448933917</v>
      </c>
      <c r="AG58">
        <f t="shared" si="67"/>
        <v>5.8507447178552905</v>
      </c>
      <c r="AH58">
        <f t="shared" si="68"/>
        <v>123.15746798727734</v>
      </c>
      <c r="AI58">
        <v>0</v>
      </c>
      <c r="AJ58">
        <v>0</v>
      </c>
      <c r="AK58">
        <f t="shared" si="69"/>
        <v>1</v>
      </c>
      <c r="AL58">
        <f t="shared" si="70"/>
        <v>0</v>
      </c>
      <c r="AM58">
        <f t="shared" si="71"/>
        <v>51795.349144431348</v>
      </c>
      <c r="AN58" t="s">
        <v>418</v>
      </c>
      <c r="AO58">
        <v>10076.700000000001</v>
      </c>
      <c r="AP58">
        <v>185.01599999999999</v>
      </c>
      <c r="AQ58">
        <v>473.06</v>
      </c>
      <c r="AR58">
        <f t="shared" si="72"/>
        <v>0.60889527755464423</v>
      </c>
      <c r="AS58">
        <v>-1.4827006201179751</v>
      </c>
      <c r="AT58" t="s">
        <v>635</v>
      </c>
      <c r="AU58">
        <v>8093.15</v>
      </c>
      <c r="AV58">
        <v>719.70019999999988</v>
      </c>
      <c r="AW58">
        <v>1178.0510691165441</v>
      </c>
      <c r="AX58">
        <f t="shared" si="73"/>
        <v>0.3890755512494678</v>
      </c>
      <c r="AY58">
        <v>0.5</v>
      </c>
      <c r="AZ58">
        <f t="shared" si="74"/>
        <v>1513.1507994604281</v>
      </c>
      <c r="BA58">
        <f t="shared" si="75"/>
        <v>59.218837154625277</v>
      </c>
      <c r="BB58">
        <f t="shared" si="76"/>
        <v>294.36499071181947</v>
      </c>
      <c r="BC58">
        <f t="shared" si="77"/>
        <v>4.0115986983180203E-2</v>
      </c>
      <c r="BD58">
        <f t="shared" si="78"/>
        <v>-0.59843846128439759</v>
      </c>
      <c r="BE58">
        <f t="shared" si="79"/>
        <v>241.55167995784481</v>
      </c>
      <c r="BF58" t="s">
        <v>636</v>
      </c>
      <c r="BG58">
        <v>555.88</v>
      </c>
      <c r="BH58">
        <f t="shared" si="80"/>
        <v>555.88</v>
      </c>
      <c r="BI58">
        <f t="shared" si="81"/>
        <v>0.52813590635177543</v>
      </c>
      <c r="BJ58">
        <f t="shared" si="82"/>
        <v>0.73669588939161468</v>
      </c>
      <c r="BK58">
        <f t="shared" si="83"/>
        <v>8.5123287746503777</v>
      </c>
      <c r="BL58">
        <f t="shared" si="84"/>
        <v>0.46156564191062971</v>
      </c>
      <c r="BM58">
        <f t="shared" si="85"/>
        <v>-2.4475117312512817</v>
      </c>
      <c r="BN58">
        <f t="shared" si="86"/>
        <v>0.56900708238654207</v>
      </c>
      <c r="BO58">
        <f t="shared" si="87"/>
        <v>0.43099291761345793</v>
      </c>
      <c r="BP58">
        <v>9137</v>
      </c>
      <c r="BQ58">
        <v>290.00000000000011</v>
      </c>
      <c r="BR58">
        <v>1020.63</v>
      </c>
      <c r="BS58">
        <v>295</v>
      </c>
      <c r="BT58">
        <v>8093.15</v>
      </c>
      <c r="BU58">
        <v>1023.07</v>
      </c>
      <c r="BV58">
        <v>-2.44</v>
      </c>
      <c r="BW58">
        <v>300.00000000000011</v>
      </c>
      <c r="BX58">
        <v>19.2</v>
      </c>
      <c r="BY58">
        <v>1178.0510691165441</v>
      </c>
      <c r="BZ58">
        <v>3.5494074478751179</v>
      </c>
      <c r="CA58">
        <v>-125.428052319342</v>
      </c>
      <c r="CB58">
        <v>2.6395415471115351</v>
      </c>
      <c r="CC58">
        <v>0.98775176547228016</v>
      </c>
      <c r="CD58">
        <v>-4.1696124582869766E-3</v>
      </c>
      <c r="CE58">
        <v>289.99999999999989</v>
      </c>
      <c r="CF58">
        <v>1015.79</v>
      </c>
      <c r="CG58">
        <v>645</v>
      </c>
      <c r="CH58">
        <v>8086.23</v>
      </c>
      <c r="CI58">
        <v>1022.94</v>
      </c>
      <c r="CJ58">
        <v>-7.15</v>
      </c>
      <c r="CX58">
        <f t="shared" si="88"/>
        <v>1799.96</v>
      </c>
      <c r="CY58">
        <f t="shared" si="89"/>
        <v>1513.1507994604281</v>
      </c>
      <c r="CZ58">
        <f t="shared" si="90"/>
        <v>0.84065801432277831</v>
      </c>
      <c r="DA58">
        <f t="shared" si="91"/>
        <v>0.16086996764296232</v>
      </c>
      <c r="DB58">
        <v>6</v>
      </c>
      <c r="DC58">
        <v>0.5</v>
      </c>
      <c r="DD58" t="s">
        <v>421</v>
      </c>
      <c r="DE58">
        <v>2</v>
      </c>
      <c r="DF58">
        <v>1689006284</v>
      </c>
      <c r="DG58">
        <v>625.00099999999998</v>
      </c>
      <c r="DH58">
        <v>700.26900000000001</v>
      </c>
      <c r="DI58">
        <v>28.870899999999999</v>
      </c>
      <c r="DJ58">
        <v>22.302099999999999</v>
      </c>
      <c r="DK58">
        <v>626.61199999999997</v>
      </c>
      <c r="DL58">
        <v>28.842500000000001</v>
      </c>
      <c r="DM58">
        <v>500.15600000000001</v>
      </c>
      <c r="DN58">
        <v>99.156999999999996</v>
      </c>
      <c r="DO58">
        <v>9.9753300000000003E-2</v>
      </c>
      <c r="DP58">
        <v>30.6113</v>
      </c>
      <c r="DQ58">
        <v>30.125</v>
      </c>
      <c r="DR58">
        <v>999.9</v>
      </c>
      <c r="DS58">
        <v>0</v>
      </c>
      <c r="DT58">
        <v>0</v>
      </c>
      <c r="DU58">
        <v>9997.5</v>
      </c>
      <c r="DV58">
        <v>0</v>
      </c>
      <c r="DW58">
        <v>2196.92</v>
      </c>
      <c r="DX58">
        <v>-75.268100000000004</v>
      </c>
      <c r="DY58">
        <v>643.58199999999999</v>
      </c>
      <c r="DZ58">
        <v>716.24300000000005</v>
      </c>
      <c r="EA58">
        <v>6.56881</v>
      </c>
      <c r="EB58">
        <v>700.26900000000001</v>
      </c>
      <c r="EC58">
        <v>22.302099999999999</v>
      </c>
      <c r="ED58">
        <v>2.8627500000000001</v>
      </c>
      <c r="EE58">
        <v>2.2114099999999999</v>
      </c>
      <c r="EF58">
        <v>23.250499999999999</v>
      </c>
      <c r="EG58">
        <v>19.045200000000001</v>
      </c>
      <c r="EH58">
        <v>1799.96</v>
      </c>
      <c r="EI58">
        <v>0.97800500000000001</v>
      </c>
      <c r="EJ58">
        <v>2.19946E-2</v>
      </c>
      <c r="EK58">
        <v>0</v>
      </c>
      <c r="EL58">
        <v>719.61699999999996</v>
      </c>
      <c r="EM58">
        <v>5.00082</v>
      </c>
      <c r="EN58">
        <v>17036.8</v>
      </c>
      <c r="EO58">
        <v>14129.5</v>
      </c>
      <c r="EP58">
        <v>48.561999999999998</v>
      </c>
      <c r="EQ58">
        <v>50.186999999999998</v>
      </c>
      <c r="ER58">
        <v>49.625</v>
      </c>
      <c r="ES58">
        <v>49.561999999999998</v>
      </c>
      <c r="ET58">
        <v>49.936999999999998</v>
      </c>
      <c r="EU58">
        <v>1755.48</v>
      </c>
      <c r="EV58">
        <v>39.479999999999997</v>
      </c>
      <c r="EW58">
        <v>0</v>
      </c>
      <c r="EX58">
        <v>107.3999998569489</v>
      </c>
      <c r="EY58">
        <v>0</v>
      </c>
      <c r="EZ58">
        <v>719.70019999999988</v>
      </c>
      <c r="FA58">
        <v>1.800538447638983</v>
      </c>
      <c r="FB58">
        <v>3659.5692359134582</v>
      </c>
      <c r="FC58">
        <v>16689.68</v>
      </c>
      <c r="FD58">
        <v>15</v>
      </c>
      <c r="FE58">
        <v>1689006252</v>
      </c>
      <c r="FF58" t="s">
        <v>637</v>
      </c>
      <c r="FG58">
        <v>1689006247</v>
      </c>
      <c r="FH58">
        <v>1689006252</v>
      </c>
      <c r="FI58">
        <v>46</v>
      </c>
      <c r="FJ58">
        <v>0.02</v>
      </c>
      <c r="FK58">
        <v>-5.0000000000000001E-3</v>
      </c>
      <c r="FL58">
        <v>-1.675</v>
      </c>
      <c r="FM58">
        <v>2.8000000000000001E-2</v>
      </c>
      <c r="FN58">
        <v>700</v>
      </c>
      <c r="FO58">
        <v>22</v>
      </c>
      <c r="FP58">
        <v>0.04</v>
      </c>
      <c r="FQ58">
        <v>0.01</v>
      </c>
      <c r="FR58">
        <v>59.210146673837933</v>
      </c>
      <c r="FS58">
        <v>-0.20663208174844239</v>
      </c>
      <c r="FT58">
        <v>7.5674537995422994E-2</v>
      </c>
      <c r="FU58">
        <v>1</v>
      </c>
      <c r="FV58">
        <v>0.4027774082561919</v>
      </c>
      <c r="FW58">
        <v>3.9060841208634151E-2</v>
      </c>
      <c r="FX58">
        <v>3.5629369452628212E-3</v>
      </c>
      <c r="FY58">
        <v>1</v>
      </c>
      <c r="FZ58">
        <v>2</v>
      </c>
      <c r="GA58">
        <v>2</v>
      </c>
      <c r="GB58" t="s">
        <v>423</v>
      </c>
      <c r="GC58">
        <v>2.9457</v>
      </c>
      <c r="GD58">
        <v>2.7083900000000001</v>
      </c>
      <c r="GE58">
        <v>0.12199500000000001</v>
      </c>
      <c r="GF58">
        <v>0.13189600000000001</v>
      </c>
      <c r="GG58">
        <v>0.12904299999999999</v>
      </c>
      <c r="GH58">
        <v>0.107862</v>
      </c>
      <c r="GI58">
        <v>28969.200000000001</v>
      </c>
      <c r="GJ58">
        <v>27920.7</v>
      </c>
      <c r="GK58">
        <v>33987.699999999997</v>
      </c>
      <c r="GL58">
        <v>32197.7</v>
      </c>
      <c r="GM58">
        <v>42707.3</v>
      </c>
      <c r="GN58">
        <v>40867</v>
      </c>
      <c r="GO58">
        <v>49198.7</v>
      </c>
      <c r="GP58">
        <v>45575.6</v>
      </c>
      <c r="GQ58">
        <v>1.9964999999999999</v>
      </c>
      <c r="GR58">
        <v>1.80392</v>
      </c>
      <c r="GS58">
        <v>5.0626699999999997E-2</v>
      </c>
      <c r="GT58">
        <v>0</v>
      </c>
      <c r="GU58">
        <v>29.300699999999999</v>
      </c>
      <c r="GV58">
        <v>999.9</v>
      </c>
      <c r="GW58">
        <v>33.9</v>
      </c>
      <c r="GX58">
        <v>42.3</v>
      </c>
      <c r="GY58">
        <v>28.632200000000001</v>
      </c>
      <c r="GZ58">
        <v>60.216799999999999</v>
      </c>
      <c r="HA58">
        <v>25.665099999999999</v>
      </c>
      <c r="HB58">
        <v>1</v>
      </c>
      <c r="HC58">
        <v>0.33407799999999999</v>
      </c>
      <c r="HD58">
        <v>2.8267500000000001</v>
      </c>
      <c r="HE58">
        <v>20.201000000000001</v>
      </c>
      <c r="HF58">
        <v>5.2682099999999998</v>
      </c>
      <c r="HG58">
        <v>12.039899999999999</v>
      </c>
      <c r="HH58">
        <v>4.9665499999999998</v>
      </c>
      <c r="HI58">
        <v>3.30063</v>
      </c>
      <c r="HJ58">
        <v>9999</v>
      </c>
      <c r="HK58">
        <v>9999</v>
      </c>
      <c r="HL58">
        <v>9999</v>
      </c>
      <c r="HM58">
        <v>999.9</v>
      </c>
      <c r="HN58">
        <v>1.8684700000000001</v>
      </c>
      <c r="HO58">
        <v>1.8721099999999999</v>
      </c>
      <c r="HP58">
        <v>1.87195</v>
      </c>
      <c r="HQ58">
        <v>1.87148</v>
      </c>
      <c r="HR58">
        <v>1.8647199999999999</v>
      </c>
      <c r="HS58">
        <v>1.8658399999999999</v>
      </c>
      <c r="HT58">
        <v>1.86788</v>
      </c>
      <c r="HU58">
        <v>1.8724099999999999</v>
      </c>
      <c r="HV58">
        <v>0</v>
      </c>
      <c r="HW58">
        <v>0</v>
      </c>
      <c r="HX58">
        <v>0</v>
      </c>
      <c r="HY58">
        <v>0</v>
      </c>
      <c r="HZ58" t="s">
        <v>424</v>
      </c>
      <c r="IA58" t="s">
        <v>425</v>
      </c>
      <c r="IB58" t="s">
        <v>426</v>
      </c>
      <c r="IC58" t="s">
        <v>426</v>
      </c>
      <c r="ID58" t="s">
        <v>426</v>
      </c>
      <c r="IE58" t="s">
        <v>426</v>
      </c>
      <c r="IF58">
        <v>0</v>
      </c>
      <c r="IG58">
        <v>100</v>
      </c>
      <c r="IH58">
        <v>100</v>
      </c>
      <c r="II58">
        <v>-1.611</v>
      </c>
      <c r="IJ58">
        <v>2.8400000000000002E-2</v>
      </c>
      <c r="IK58">
        <v>-0.97844725246852593</v>
      </c>
      <c r="IL58">
        <v>-1.171017271736434E-3</v>
      </c>
      <c r="IM58">
        <v>2.801297040296544E-7</v>
      </c>
      <c r="IN58">
        <v>-3.6238253961199429E-11</v>
      </c>
      <c r="IO58">
        <v>2.841499999999542E-2</v>
      </c>
      <c r="IP58">
        <v>0</v>
      </c>
      <c r="IQ58">
        <v>0</v>
      </c>
      <c r="IR58">
        <v>0</v>
      </c>
      <c r="IS58">
        <v>0</v>
      </c>
      <c r="IT58">
        <v>2161</v>
      </c>
      <c r="IU58">
        <v>1</v>
      </c>
      <c r="IV58">
        <v>19</v>
      </c>
      <c r="IW58">
        <v>0.6</v>
      </c>
      <c r="IX58">
        <v>0.5</v>
      </c>
      <c r="IY58">
        <v>1.6272</v>
      </c>
      <c r="IZ58">
        <v>2.49878</v>
      </c>
      <c r="JA58">
        <v>1.4440900000000001</v>
      </c>
      <c r="JB58">
        <v>2.2839399999999999</v>
      </c>
      <c r="JC58">
        <v>1.54419</v>
      </c>
      <c r="JD58">
        <v>2.32056</v>
      </c>
      <c r="JE58">
        <v>46.385800000000003</v>
      </c>
      <c r="JF58">
        <v>24.210100000000001</v>
      </c>
      <c r="JG58">
        <v>18</v>
      </c>
      <c r="JH58">
        <v>510.15300000000002</v>
      </c>
      <c r="JI58">
        <v>425.34500000000003</v>
      </c>
      <c r="JJ58">
        <v>26.896100000000001</v>
      </c>
      <c r="JK58">
        <v>31.5138</v>
      </c>
      <c r="JL58">
        <v>30.000399999999999</v>
      </c>
      <c r="JM58">
        <v>31.304400000000001</v>
      </c>
      <c r="JN58">
        <v>31.2469</v>
      </c>
      <c r="JO58">
        <v>32.698900000000002</v>
      </c>
      <c r="JP58">
        <v>24.704799999999999</v>
      </c>
      <c r="JQ58">
        <v>0</v>
      </c>
      <c r="JR58">
        <v>26.8019</v>
      </c>
      <c r="JS58">
        <v>700</v>
      </c>
      <c r="JT58">
        <v>22.290600000000001</v>
      </c>
      <c r="JU58">
        <v>99.732900000000001</v>
      </c>
      <c r="JV58">
        <v>99.256799999999998</v>
      </c>
    </row>
    <row r="59" spans="1:282" x14ac:dyDescent="0.25">
      <c r="A59">
        <v>43</v>
      </c>
      <c r="B59">
        <v>1689006398.5</v>
      </c>
      <c r="C59">
        <v>7221.5</v>
      </c>
      <c r="D59" t="s">
        <v>638</v>
      </c>
      <c r="E59" t="s">
        <v>639</v>
      </c>
      <c r="F59" t="s">
        <v>414</v>
      </c>
      <c r="G59" t="s">
        <v>415</v>
      </c>
      <c r="H59" t="s">
        <v>578</v>
      </c>
      <c r="I59" t="s">
        <v>416</v>
      </c>
      <c r="J59" t="s">
        <v>579</v>
      </c>
      <c r="K59">
        <v>1689006398.5</v>
      </c>
      <c r="L59">
        <f t="shared" si="46"/>
        <v>5.6174973567770193E-3</v>
      </c>
      <c r="M59">
        <f t="shared" si="47"/>
        <v>5.6174973567770197</v>
      </c>
      <c r="N59">
        <f t="shared" si="48"/>
        <v>59.335145323747447</v>
      </c>
      <c r="O59">
        <f t="shared" si="49"/>
        <v>823.33100000000002</v>
      </c>
      <c r="P59">
        <f t="shared" si="50"/>
        <v>561.375020664678</v>
      </c>
      <c r="Q59">
        <f t="shared" si="51"/>
        <v>55.719560328395524</v>
      </c>
      <c r="R59">
        <f t="shared" si="52"/>
        <v>81.720132952158494</v>
      </c>
      <c r="S59">
        <f t="shared" si="53"/>
        <v>0.41201447816582831</v>
      </c>
      <c r="T59">
        <f t="shared" si="54"/>
        <v>2.9133820008751541</v>
      </c>
      <c r="U59">
        <f t="shared" si="55"/>
        <v>0.38216622417177543</v>
      </c>
      <c r="V59">
        <f t="shared" si="56"/>
        <v>0.2413551952113078</v>
      </c>
      <c r="W59">
        <f t="shared" si="57"/>
        <v>289.55950695862646</v>
      </c>
      <c r="X59">
        <f t="shared" si="58"/>
        <v>30.587864482237446</v>
      </c>
      <c r="Y59">
        <f t="shared" si="59"/>
        <v>29.9711</v>
      </c>
      <c r="Z59">
        <f t="shared" si="60"/>
        <v>4.2533825721724847</v>
      </c>
      <c r="AA59">
        <f t="shared" si="61"/>
        <v>65.522043463266911</v>
      </c>
      <c r="AB59">
        <f t="shared" si="62"/>
        <v>2.8465982126282503</v>
      </c>
      <c r="AC59">
        <f t="shared" si="63"/>
        <v>4.3444893690229849</v>
      </c>
      <c r="AD59">
        <f t="shared" si="64"/>
        <v>1.4067843595442344</v>
      </c>
      <c r="AE59">
        <f t="shared" si="65"/>
        <v>-247.73163343386656</v>
      </c>
      <c r="AF59">
        <f t="shared" si="66"/>
        <v>58.020272909278198</v>
      </c>
      <c r="AG59">
        <f t="shared" si="67"/>
        <v>4.4349767590120202</v>
      </c>
      <c r="AH59">
        <f t="shared" si="68"/>
        <v>104.28312319305013</v>
      </c>
      <c r="AI59">
        <v>0</v>
      </c>
      <c r="AJ59">
        <v>0</v>
      </c>
      <c r="AK59">
        <f t="shared" si="69"/>
        <v>1</v>
      </c>
      <c r="AL59">
        <f t="shared" si="70"/>
        <v>0</v>
      </c>
      <c r="AM59">
        <f t="shared" si="71"/>
        <v>51815.985672490569</v>
      </c>
      <c r="AN59" t="s">
        <v>418</v>
      </c>
      <c r="AO59">
        <v>10076.700000000001</v>
      </c>
      <c r="AP59">
        <v>185.01599999999999</v>
      </c>
      <c r="AQ59">
        <v>473.06</v>
      </c>
      <c r="AR59">
        <f t="shared" si="72"/>
        <v>0.60889527755464423</v>
      </c>
      <c r="AS59">
        <v>-1.4827006201179751</v>
      </c>
      <c r="AT59" t="s">
        <v>640</v>
      </c>
      <c r="AU59">
        <v>8093.27</v>
      </c>
      <c r="AV59">
        <v>720.25180769230781</v>
      </c>
      <c r="AW59">
        <v>1187.1540916169879</v>
      </c>
      <c r="AX59">
        <f t="shared" si="73"/>
        <v>0.39329543419989066</v>
      </c>
      <c r="AY59">
        <v>0.5</v>
      </c>
      <c r="AZ59">
        <f t="shared" si="74"/>
        <v>1513.1507994604281</v>
      </c>
      <c r="BA59">
        <f t="shared" si="75"/>
        <v>59.335145323747447</v>
      </c>
      <c r="BB59">
        <f t="shared" si="76"/>
        <v>297.55765034185038</v>
      </c>
      <c r="BC59">
        <f t="shared" si="77"/>
        <v>4.0192851872762683E-2</v>
      </c>
      <c r="BD59">
        <f t="shared" si="78"/>
        <v>-0.60151760976904123</v>
      </c>
      <c r="BE59">
        <f t="shared" si="79"/>
        <v>241.93206014756868</v>
      </c>
      <c r="BF59" t="s">
        <v>641</v>
      </c>
      <c r="BG59">
        <v>552.97</v>
      </c>
      <c r="BH59">
        <f t="shared" si="80"/>
        <v>552.97</v>
      </c>
      <c r="BI59">
        <f t="shared" si="81"/>
        <v>0.53420537072250185</v>
      </c>
      <c r="BJ59">
        <f t="shared" si="82"/>
        <v>0.73622515937637756</v>
      </c>
      <c r="BK59">
        <f t="shared" si="83"/>
        <v>8.9362294032910494</v>
      </c>
      <c r="BL59">
        <f t="shared" si="84"/>
        <v>0.46590613392543084</v>
      </c>
      <c r="BM59">
        <f t="shared" si="85"/>
        <v>-2.4791146200475898</v>
      </c>
      <c r="BN59">
        <f t="shared" si="86"/>
        <v>0.56523346700751842</v>
      </c>
      <c r="BO59">
        <f t="shared" si="87"/>
        <v>0.43476653299248158</v>
      </c>
      <c r="BP59">
        <v>9139</v>
      </c>
      <c r="BQ59">
        <v>290.00000000000011</v>
      </c>
      <c r="BR59">
        <v>1027.28</v>
      </c>
      <c r="BS59">
        <v>285</v>
      </c>
      <c r="BT59">
        <v>8093.27</v>
      </c>
      <c r="BU59">
        <v>1029.68</v>
      </c>
      <c r="BV59">
        <v>-2.4</v>
      </c>
      <c r="BW59">
        <v>300.00000000000011</v>
      </c>
      <c r="BX59">
        <v>19.2</v>
      </c>
      <c r="BY59">
        <v>1187.1540916169879</v>
      </c>
      <c r="BZ59">
        <v>3.2608874301166391</v>
      </c>
      <c r="CA59">
        <v>-127.4497963429598</v>
      </c>
      <c r="CB59">
        <v>2.42501426304979</v>
      </c>
      <c r="CC59">
        <v>0.98996475299842346</v>
      </c>
      <c r="CD59">
        <v>-4.1697392658509433E-3</v>
      </c>
      <c r="CE59">
        <v>289.99999999999989</v>
      </c>
      <c r="CF59">
        <v>1023.38</v>
      </c>
      <c r="CG59">
        <v>645</v>
      </c>
      <c r="CH59">
        <v>8086.35</v>
      </c>
      <c r="CI59">
        <v>1029.54</v>
      </c>
      <c r="CJ59">
        <v>-6.16</v>
      </c>
      <c r="CX59">
        <f t="shared" si="88"/>
        <v>1799.96</v>
      </c>
      <c r="CY59">
        <f t="shared" si="89"/>
        <v>1513.1507994604281</v>
      </c>
      <c r="CZ59">
        <f t="shared" si="90"/>
        <v>0.84065801432277831</v>
      </c>
      <c r="DA59">
        <f t="shared" si="91"/>
        <v>0.16086996764296232</v>
      </c>
      <c r="DB59">
        <v>6</v>
      </c>
      <c r="DC59">
        <v>0.5</v>
      </c>
      <c r="DD59" t="s">
        <v>421</v>
      </c>
      <c r="DE59">
        <v>2</v>
      </c>
      <c r="DF59">
        <v>1689006398.5</v>
      </c>
      <c r="DG59">
        <v>823.33100000000002</v>
      </c>
      <c r="DH59">
        <v>900.05899999999997</v>
      </c>
      <c r="DI59">
        <v>28.679500000000001</v>
      </c>
      <c r="DJ59">
        <v>22.133900000000001</v>
      </c>
      <c r="DK59">
        <v>825.28099999999995</v>
      </c>
      <c r="DL59">
        <v>28.6448</v>
      </c>
      <c r="DM59">
        <v>500.15800000000002</v>
      </c>
      <c r="DN59">
        <v>99.155600000000007</v>
      </c>
      <c r="DO59">
        <v>9.9903500000000006E-2</v>
      </c>
      <c r="DP59">
        <v>30.340499999999999</v>
      </c>
      <c r="DQ59">
        <v>29.9711</v>
      </c>
      <c r="DR59">
        <v>999.9</v>
      </c>
      <c r="DS59">
        <v>0</v>
      </c>
      <c r="DT59">
        <v>0</v>
      </c>
      <c r="DU59">
        <v>9992.5</v>
      </c>
      <c r="DV59">
        <v>0</v>
      </c>
      <c r="DW59">
        <v>2069.33</v>
      </c>
      <c r="DX59">
        <v>-76.728899999999996</v>
      </c>
      <c r="DY59">
        <v>847.64</v>
      </c>
      <c r="DZ59">
        <v>920.43200000000002</v>
      </c>
      <c r="EA59">
        <v>6.5455500000000004</v>
      </c>
      <c r="EB59">
        <v>900.05899999999997</v>
      </c>
      <c r="EC59">
        <v>22.133900000000001</v>
      </c>
      <c r="ED59">
        <v>2.8437299999999999</v>
      </c>
      <c r="EE59">
        <v>2.1947100000000002</v>
      </c>
      <c r="EF59">
        <v>23.1402</v>
      </c>
      <c r="EG59">
        <v>18.9237</v>
      </c>
      <c r="EH59">
        <v>1799.96</v>
      </c>
      <c r="EI59">
        <v>0.97800500000000001</v>
      </c>
      <c r="EJ59">
        <v>2.19946E-2</v>
      </c>
      <c r="EK59">
        <v>0</v>
      </c>
      <c r="EL59">
        <v>720.51099999999997</v>
      </c>
      <c r="EM59">
        <v>5.00082</v>
      </c>
      <c r="EN59">
        <v>16849.2</v>
      </c>
      <c r="EO59">
        <v>14129.5</v>
      </c>
      <c r="EP59">
        <v>48.561999999999998</v>
      </c>
      <c r="EQ59">
        <v>50.311999999999998</v>
      </c>
      <c r="ER59">
        <v>49.625</v>
      </c>
      <c r="ES59">
        <v>49.561999999999998</v>
      </c>
      <c r="ET59">
        <v>49.875</v>
      </c>
      <c r="EU59">
        <v>1755.48</v>
      </c>
      <c r="EV59">
        <v>39.479999999999997</v>
      </c>
      <c r="EW59">
        <v>0</v>
      </c>
      <c r="EX59">
        <v>112.3999998569489</v>
      </c>
      <c r="EY59">
        <v>0</v>
      </c>
      <c r="EZ59">
        <v>720.25180769230781</v>
      </c>
      <c r="FA59">
        <v>-3.1623942032198149E-2</v>
      </c>
      <c r="FB59">
        <v>6.8923075920073664</v>
      </c>
      <c r="FC59">
        <v>16843.376923076921</v>
      </c>
      <c r="FD59">
        <v>15</v>
      </c>
      <c r="FE59">
        <v>1689006365</v>
      </c>
      <c r="FF59" t="s">
        <v>642</v>
      </c>
      <c r="FG59">
        <v>1689006365</v>
      </c>
      <c r="FH59">
        <v>1689006358</v>
      </c>
      <c r="FI59">
        <v>47</v>
      </c>
      <c r="FJ59">
        <v>-0.17599999999999999</v>
      </c>
      <c r="FK59">
        <v>6.0000000000000001E-3</v>
      </c>
      <c r="FL59">
        <v>-2.0099999999999998</v>
      </c>
      <c r="FM59">
        <v>3.5000000000000003E-2</v>
      </c>
      <c r="FN59">
        <v>900</v>
      </c>
      <c r="FO59">
        <v>22</v>
      </c>
      <c r="FP59">
        <v>0.06</v>
      </c>
      <c r="FQ59">
        <v>0.02</v>
      </c>
      <c r="FR59">
        <v>59.467396633676522</v>
      </c>
      <c r="FS59">
        <v>-0.45779212742935482</v>
      </c>
      <c r="FT59">
        <v>6.9244737716833038E-2</v>
      </c>
      <c r="FU59">
        <v>1</v>
      </c>
      <c r="FV59">
        <v>0.41536649328806408</v>
      </c>
      <c r="FW59">
        <v>3.6390284316598409E-2</v>
      </c>
      <c r="FX59">
        <v>3.4777920953185451E-3</v>
      </c>
      <c r="FY59">
        <v>1</v>
      </c>
      <c r="FZ59">
        <v>2</v>
      </c>
      <c r="GA59">
        <v>2</v>
      </c>
      <c r="GB59" t="s">
        <v>423</v>
      </c>
      <c r="GC59">
        <v>2.9456899999999999</v>
      </c>
      <c r="GD59">
        <v>2.7084999999999999</v>
      </c>
      <c r="GE59">
        <v>0.146948</v>
      </c>
      <c r="GF59">
        <v>0.155779</v>
      </c>
      <c r="GG59">
        <v>0.12842500000000001</v>
      </c>
      <c r="GH59">
        <v>0.10728500000000001</v>
      </c>
      <c r="GI59">
        <v>28144.2</v>
      </c>
      <c r="GJ59">
        <v>27150.2</v>
      </c>
      <c r="GK59">
        <v>33986.6</v>
      </c>
      <c r="GL59">
        <v>32196</v>
      </c>
      <c r="GM59">
        <v>42737.1</v>
      </c>
      <c r="GN59">
        <v>40891.9</v>
      </c>
      <c r="GO59">
        <v>49197.1</v>
      </c>
      <c r="GP59">
        <v>45573.1</v>
      </c>
      <c r="GQ59">
        <v>1.9963</v>
      </c>
      <c r="GR59">
        <v>1.8031299999999999</v>
      </c>
      <c r="GS59">
        <v>3.5613800000000001E-2</v>
      </c>
      <c r="GT59">
        <v>0</v>
      </c>
      <c r="GU59">
        <v>29.391200000000001</v>
      </c>
      <c r="GV59">
        <v>999.9</v>
      </c>
      <c r="GW59">
        <v>33.9</v>
      </c>
      <c r="GX59">
        <v>42.4</v>
      </c>
      <c r="GY59">
        <v>28.782</v>
      </c>
      <c r="GZ59">
        <v>60.366799999999998</v>
      </c>
      <c r="HA59">
        <v>25.849399999999999</v>
      </c>
      <c r="HB59">
        <v>1</v>
      </c>
      <c r="HC59">
        <v>0.33308399999999999</v>
      </c>
      <c r="HD59">
        <v>2.0672000000000001</v>
      </c>
      <c r="HE59">
        <v>20.213000000000001</v>
      </c>
      <c r="HF59">
        <v>5.2664099999999996</v>
      </c>
      <c r="HG59">
        <v>12.039899999999999</v>
      </c>
      <c r="HH59">
        <v>4.9652500000000002</v>
      </c>
      <c r="HI59">
        <v>3.30023</v>
      </c>
      <c r="HJ59">
        <v>9999</v>
      </c>
      <c r="HK59">
        <v>9999</v>
      </c>
      <c r="HL59">
        <v>9999</v>
      </c>
      <c r="HM59">
        <v>999.9</v>
      </c>
      <c r="HN59">
        <v>1.8685499999999999</v>
      </c>
      <c r="HO59">
        <v>1.8721300000000001</v>
      </c>
      <c r="HP59">
        <v>1.87195</v>
      </c>
      <c r="HQ59">
        <v>1.8714900000000001</v>
      </c>
      <c r="HR59">
        <v>1.8646499999999999</v>
      </c>
      <c r="HS59">
        <v>1.8658399999999999</v>
      </c>
      <c r="HT59">
        <v>1.86788</v>
      </c>
      <c r="HU59">
        <v>1.8724099999999999</v>
      </c>
      <c r="HV59">
        <v>0</v>
      </c>
      <c r="HW59">
        <v>0</v>
      </c>
      <c r="HX59">
        <v>0</v>
      </c>
      <c r="HY59">
        <v>0</v>
      </c>
      <c r="HZ59" t="s">
        <v>424</v>
      </c>
      <c r="IA59" t="s">
        <v>425</v>
      </c>
      <c r="IB59" t="s">
        <v>426</v>
      </c>
      <c r="IC59" t="s">
        <v>426</v>
      </c>
      <c r="ID59" t="s">
        <v>426</v>
      </c>
      <c r="IE59" t="s">
        <v>426</v>
      </c>
      <c r="IF59">
        <v>0</v>
      </c>
      <c r="IG59">
        <v>100</v>
      </c>
      <c r="IH59">
        <v>100</v>
      </c>
      <c r="II59">
        <v>-1.95</v>
      </c>
      <c r="IJ59">
        <v>3.4700000000000002E-2</v>
      </c>
      <c r="IK59">
        <v>-1.1544193847925259</v>
      </c>
      <c r="IL59">
        <v>-1.171017271736434E-3</v>
      </c>
      <c r="IM59">
        <v>2.801297040296544E-7</v>
      </c>
      <c r="IN59">
        <v>-3.6238253961199429E-11</v>
      </c>
      <c r="IO59">
        <v>3.4676190476186967E-2</v>
      </c>
      <c r="IP59">
        <v>0</v>
      </c>
      <c r="IQ59">
        <v>0</v>
      </c>
      <c r="IR59">
        <v>0</v>
      </c>
      <c r="IS59">
        <v>0</v>
      </c>
      <c r="IT59">
        <v>2161</v>
      </c>
      <c r="IU59">
        <v>1</v>
      </c>
      <c r="IV59">
        <v>19</v>
      </c>
      <c r="IW59">
        <v>0.6</v>
      </c>
      <c r="IX59">
        <v>0.7</v>
      </c>
      <c r="IY59">
        <v>1.9970699999999999</v>
      </c>
      <c r="IZ59">
        <v>2.4877899999999999</v>
      </c>
      <c r="JA59">
        <v>1.4440900000000001</v>
      </c>
      <c r="JB59">
        <v>2.2839399999999999</v>
      </c>
      <c r="JC59">
        <v>1.54419</v>
      </c>
      <c r="JD59">
        <v>2.3596200000000001</v>
      </c>
      <c r="JE59">
        <v>46.502800000000001</v>
      </c>
      <c r="JF59">
        <v>24.218800000000002</v>
      </c>
      <c r="JG59">
        <v>18</v>
      </c>
      <c r="JH59">
        <v>510.18200000000002</v>
      </c>
      <c r="JI59">
        <v>424.98599999999999</v>
      </c>
      <c r="JJ59">
        <v>26.652799999999999</v>
      </c>
      <c r="JK59">
        <v>31.5397</v>
      </c>
      <c r="JL59">
        <v>30.0001</v>
      </c>
      <c r="JM59">
        <v>31.323599999999999</v>
      </c>
      <c r="JN59">
        <v>31.265999999999998</v>
      </c>
      <c r="JO59">
        <v>40.127899999999997</v>
      </c>
      <c r="JP59">
        <v>26.1799</v>
      </c>
      <c r="JQ59">
        <v>0</v>
      </c>
      <c r="JR59">
        <v>26.673200000000001</v>
      </c>
      <c r="JS59">
        <v>900</v>
      </c>
      <c r="JT59">
        <v>22.062000000000001</v>
      </c>
      <c r="JU59">
        <v>99.729600000000005</v>
      </c>
      <c r="JV59">
        <v>99.251400000000004</v>
      </c>
    </row>
    <row r="60" spans="1:282" x14ac:dyDescent="0.25">
      <c r="A60">
        <v>44</v>
      </c>
      <c r="B60">
        <v>1689006513.5</v>
      </c>
      <c r="C60">
        <v>7336.5</v>
      </c>
      <c r="D60" t="s">
        <v>643</v>
      </c>
      <c r="E60" t="s">
        <v>644</v>
      </c>
      <c r="F60" t="s">
        <v>414</v>
      </c>
      <c r="G60" t="s">
        <v>415</v>
      </c>
      <c r="H60" t="s">
        <v>578</v>
      </c>
      <c r="I60" t="s">
        <v>416</v>
      </c>
      <c r="J60" t="s">
        <v>579</v>
      </c>
      <c r="K60">
        <v>1689006513.5</v>
      </c>
      <c r="L60">
        <f t="shared" si="46"/>
        <v>5.2644217793855362E-3</v>
      </c>
      <c r="M60">
        <f t="shared" si="47"/>
        <v>5.2644217793855361</v>
      </c>
      <c r="N60">
        <f t="shared" si="48"/>
        <v>59.012236973728626</v>
      </c>
      <c r="O60">
        <f t="shared" si="49"/>
        <v>1122.45</v>
      </c>
      <c r="P60">
        <f t="shared" si="50"/>
        <v>835.17506601080652</v>
      </c>
      <c r="Q60">
        <f t="shared" si="51"/>
        <v>82.900939109703202</v>
      </c>
      <c r="R60">
        <f t="shared" si="52"/>
        <v>111.41635196097</v>
      </c>
      <c r="S60">
        <f t="shared" si="53"/>
        <v>0.37938337648534687</v>
      </c>
      <c r="T60">
        <f t="shared" si="54"/>
        <v>2.9163446144742156</v>
      </c>
      <c r="U60">
        <f t="shared" si="55"/>
        <v>0.35394319088828119</v>
      </c>
      <c r="V60">
        <f t="shared" si="56"/>
        <v>0.22335787567470636</v>
      </c>
      <c r="W60">
        <f t="shared" si="57"/>
        <v>289.56908295866123</v>
      </c>
      <c r="X60">
        <f t="shared" si="58"/>
        <v>30.548814579199622</v>
      </c>
      <c r="Y60">
        <f t="shared" si="59"/>
        <v>29.952400000000001</v>
      </c>
      <c r="Z60">
        <f t="shared" si="60"/>
        <v>4.2488151240688454</v>
      </c>
      <c r="AA60">
        <f t="shared" si="61"/>
        <v>65.515561371315385</v>
      </c>
      <c r="AB60">
        <f t="shared" si="62"/>
        <v>2.8250390529513001</v>
      </c>
      <c r="AC60">
        <f t="shared" si="63"/>
        <v>4.3120122819983715</v>
      </c>
      <c r="AD60">
        <f t="shared" si="64"/>
        <v>1.4237760711175453</v>
      </c>
      <c r="AE60">
        <f t="shared" si="65"/>
        <v>-232.16100047090214</v>
      </c>
      <c r="AF60">
        <f t="shared" si="66"/>
        <v>40.438519704042918</v>
      </c>
      <c r="AG60">
        <f t="shared" si="67"/>
        <v>3.0856298568331009</v>
      </c>
      <c r="AH60">
        <f t="shared" si="68"/>
        <v>100.93223204863513</v>
      </c>
      <c r="AI60">
        <v>0</v>
      </c>
      <c r="AJ60">
        <v>0</v>
      </c>
      <c r="AK60">
        <f t="shared" si="69"/>
        <v>1</v>
      </c>
      <c r="AL60">
        <f t="shared" si="70"/>
        <v>0</v>
      </c>
      <c r="AM60">
        <f t="shared" si="71"/>
        <v>51922.753894055284</v>
      </c>
      <c r="AN60" t="s">
        <v>418</v>
      </c>
      <c r="AO60">
        <v>10076.700000000001</v>
      </c>
      <c r="AP60">
        <v>185.01599999999999</v>
      </c>
      <c r="AQ60">
        <v>473.06</v>
      </c>
      <c r="AR60">
        <f t="shared" si="72"/>
        <v>0.60889527755464423</v>
      </c>
      <c r="AS60">
        <v>-1.4827006201179751</v>
      </c>
      <c r="AT60" t="s">
        <v>645</v>
      </c>
      <c r="AU60">
        <v>8093.61</v>
      </c>
      <c r="AV60">
        <v>719.76973076923082</v>
      </c>
      <c r="AW60">
        <v>1190.2581280423899</v>
      </c>
      <c r="AX60">
        <f t="shared" si="73"/>
        <v>0.39528265860025535</v>
      </c>
      <c r="AY60">
        <v>0.5</v>
      </c>
      <c r="AZ60">
        <f t="shared" si="74"/>
        <v>1513.2011994604463</v>
      </c>
      <c r="BA60">
        <f t="shared" si="75"/>
        <v>59.012236973728626</v>
      </c>
      <c r="BB60">
        <f t="shared" si="76"/>
        <v>299.07109655991025</v>
      </c>
      <c r="BC60">
        <f t="shared" si="77"/>
        <v>3.997811898075216E-2</v>
      </c>
      <c r="BD60">
        <f t="shared" si="78"/>
        <v>-0.60255679935743123</v>
      </c>
      <c r="BE60">
        <f t="shared" si="79"/>
        <v>242.0607061451328</v>
      </c>
      <c r="BF60" t="s">
        <v>646</v>
      </c>
      <c r="BG60">
        <v>554.35</v>
      </c>
      <c r="BH60">
        <f t="shared" si="80"/>
        <v>554.35</v>
      </c>
      <c r="BI60">
        <f t="shared" si="81"/>
        <v>0.53426068939202631</v>
      </c>
      <c r="BJ60">
        <f t="shared" si="82"/>
        <v>0.73986850698312845</v>
      </c>
      <c r="BK60">
        <f t="shared" si="83"/>
        <v>8.8227103954039823</v>
      </c>
      <c r="BL60">
        <f t="shared" si="84"/>
        <v>0.46803489840740053</v>
      </c>
      <c r="BM60">
        <f t="shared" si="85"/>
        <v>-2.4898908779297262</v>
      </c>
      <c r="BN60">
        <f t="shared" si="86"/>
        <v>0.56982961260091725</v>
      </c>
      <c r="BO60">
        <f t="shared" si="87"/>
        <v>0.43017038739908275</v>
      </c>
      <c r="BP60">
        <v>9141</v>
      </c>
      <c r="BQ60">
        <v>290.00000000000011</v>
      </c>
      <c r="BR60">
        <v>1030.07</v>
      </c>
      <c r="BS60">
        <v>285</v>
      </c>
      <c r="BT60">
        <v>8093.61</v>
      </c>
      <c r="BU60">
        <v>1032.6400000000001</v>
      </c>
      <c r="BV60">
        <v>-2.57</v>
      </c>
      <c r="BW60">
        <v>300.00000000000011</v>
      </c>
      <c r="BX60">
        <v>19.2</v>
      </c>
      <c r="BY60">
        <v>1190.2581280423899</v>
      </c>
      <c r="BZ60">
        <v>3.8964586438089439</v>
      </c>
      <c r="CA60">
        <v>-127.5672302078617</v>
      </c>
      <c r="CB60">
        <v>2.897797775847474</v>
      </c>
      <c r="CC60">
        <v>0.98575750676787877</v>
      </c>
      <c r="CD60">
        <v>-4.1698489432702964E-3</v>
      </c>
      <c r="CE60">
        <v>289.99999999999989</v>
      </c>
      <c r="CF60">
        <v>1026.6400000000001</v>
      </c>
      <c r="CG60">
        <v>645</v>
      </c>
      <c r="CH60">
        <v>8086.71</v>
      </c>
      <c r="CI60">
        <v>1032.51</v>
      </c>
      <c r="CJ60">
        <v>-5.87</v>
      </c>
      <c r="CX60">
        <f t="shared" si="88"/>
        <v>1800.02</v>
      </c>
      <c r="CY60">
        <f t="shared" si="89"/>
        <v>1513.2011994604463</v>
      </c>
      <c r="CZ60">
        <f t="shared" si="90"/>
        <v>0.84065799238922145</v>
      </c>
      <c r="DA60">
        <f t="shared" si="91"/>
        <v>0.16086992531119723</v>
      </c>
      <c r="DB60">
        <v>6</v>
      </c>
      <c r="DC60">
        <v>0.5</v>
      </c>
      <c r="DD60" t="s">
        <v>421</v>
      </c>
      <c r="DE60">
        <v>2</v>
      </c>
      <c r="DF60">
        <v>1689006513.5</v>
      </c>
      <c r="DG60">
        <v>1122.45</v>
      </c>
      <c r="DH60">
        <v>1200.33</v>
      </c>
      <c r="DI60">
        <v>28.4605</v>
      </c>
      <c r="DJ60">
        <v>22.324999999999999</v>
      </c>
      <c r="DK60">
        <v>1124.5999999999999</v>
      </c>
      <c r="DL60">
        <v>28.434999999999999</v>
      </c>
      <c r="DM60">
        <v>500.16399999999999</v>
      </c>
      <c r="DN60">
        <v>99.161900000000003</v>
      </c>
      <c r="DO60">
        <v>9.9850599999999998E-2</v>
      </c>
      <c r="DP60">
        <v>30.209599999999998</v>
      </c>
      <c r="DQ60">
        <v>29.952400000000001</v>
      </c>
      <c r="DR60">
        <v>999.9</v>
      </c>
      <c r="DS60">
        <v>0</v>
      </c>
      <c r="DT60">
        <v>0</v>
      </c>
      <c r="DU60">
        <v>10008.799999999999</v>
      </c>
      <c r="DV60">
        <v>0</v>
      </c>
      <c r="DW60">
        <v>2027.67</v>
      </c>
      <c r="DX60">
        <v>-77.883799999999994</v>
      </c>
      <c r="DY60">
        <v>1155.33</v>
      </c>
      <c r="DZ60">
        <v>1227.74</v>
      </c>
      <c r="EA60">
        <v>6.1355000000000004</v>
      </c>
      <c r="EB60">
        <v>1200.33</v>
      </c>
      <c r="EC60">
        <v>22.324999999999999</v>
      </c>
      <c r="ED60">
        <v>2.8222</v>
      </c>
      <c r="EE60">
        <v>2.2137899999999999</v>
      </c>
      <c r="EF60">
        <v>23.014500000000002</v>
      </c>
      <c r="EG60">
        <v>19.0625</v>
      </c>
      <c r="EH60">
        <v>1800.02</v>
      </c>
      <c r="EI60">
        <v>0.97800500000000001</v>
      </c>
      <c r="EJ60">
        <v>2.19946E-2</v>
      </c>
      <c r="EK60">
        <v>0</v>
      </c>
      <c r="EL60">
        <v>719.31100000000004</v>
      </c>
      <c r="EM60">
        <v>5.00082</v>
      </c>
      <c r="EN60">
        <v>16735.400000000001</v>
      </c>
      <c r="EO60">
        <v>14130</v>
      </c>
      <c r="EP60">
        <v>48.436999999999998</v>
      </c>
      <c r="EQ60">
        <v>50.311999999999998</v>
      </c>
      <c r="ER60">
        <v>49.561999999999998</v>
      </c>
      <c r="ES60">
        <v>49.561999999999998</v>
      </c>
      <c r="ET60">
        <v>49.875</v>
      </c>
      <c r="EU60">
        <v>1755.54</v>
      </c>
      <c r="EV60">
        <v>39.479999999999997</v>
      </c>
      <c r="EW60">
        <v>0</v>
      </c>
      <c r="EX60">
        <v>113</v>
      </c>
      <c r="EY60">
        <v>0</v>
      </c>
      <c r="EZ60">
        <v>719.76973076923082</v>
      </c>
      <c r="FA60">
        <v>-3.4849572706269552</v>
      </c>
      <c r="FB60">
        <v>-342.55384722200921</v>
      </c>
      <c r="FC60">
        <v>16793.734615384619</v>
      </c>
      <c r="FD60">
        <v>15</v>
      </c>
      <c r="FE60">
        <v>1689006476</v>
      </c>
      <c r="FF60" t="s">
        <v>647</v>
      </c>
      <c r="FG60">
        <v>1689006476</v>
      </c>
      <c r="FH60">
        <v>1689006473</v>
      </c>
      <c r="FI60">
        <v>48</v>
      </c>
      <c r="FJ60">
        <v>2.1999999999999999E-2</v>
      </c>
      <c r="FK60">
        <v>-8.9999999999999993E-3</v>
      </c>
      <c r="FL60">
        <v>-2.198</v>
      </c>
      <c r="FM60">
        <v>2.5999999999999999E-2</v>
      </c>
      <c r="FN60">
        <v>1200</v>
      </c>
      <c r="FO60">
        <v>22</v>
      </c>
      <c r="FP60">
        <v>0.04</v>
      </c>
      <c r="FQ60">
        <v>0.01</v>
      </c>
      <c r="FR60">
        <v>58.917095562134882</v>
      </c>
      <c r="FS60">
        <v>-0.60428499675427461</v>
      </c>
      <c r="FT60">
        <v>7.7462076894827134E-2</v>
      </c>
      <c r="FU60">
        <v>1</v>
      </c>
      <c r="FV60">
        <v>0.37829059014608257</v>
      </c>
      <c r="FW60">
        <v>-6.5773017350158319E-3</v>
      </c>
      <c r="FX60">
        <v>2.8069684042895632E-3</v>
      </c>
      <c r="FY60">
        <v>1</v>
      </c>
      <c r="FZ60">
        <v>2</v>
      </c>
      <c r="GA60">
        <v>2</v>
      </c>
      <c r="GB60" t="s">
        <v>423</v>
      </c>
      <c r="GC60">
        <v>2.9456899999999999</v>
      </c>
      <c r="GD60">
        <v>2.7085900000000001</v>
      </c>
      <c r="GE60">
        <v>0.17921000000000001</v>
      </c>
      <c r="GF60">
        <v>0.18692700000000001</v>
      </c>
      <c r="GG60">
        <v>0.127775</v>
      </c>
      <c r="GH60">
        <v>0.107933</v>
      </c>
      <c r="GI60">
        <v>27076.2</v>
      </c>
      <c r="GJ60">
        <v>26146.7</v>
      </c>
      <c r="GK60">
        <v>33984.1</v>
      </c>
      <c r="GL60">
        <v>32195.9</v>
      </c>
      <c r="GM60">
        <v>42768.1</v>
      </c>
      <c r="GN60">
        <v>40862.300000000003</v>
      </c>
      <c r="GO60">
        <v>49194.9</v>
      </c>
      <c r="GP60">
        <v>45572.5</v>
      </c>
      <c r="GQ60">
        <v>1.9960500000000001</v>
      </c>
      <c r="GR60">
        <v>1.8024</v>
      </c>
      <c r="GS60">
        <v>3.8795200000000002E-2</v>
      </c>
      <c r="GT60">
        <v>0</v>
      </c>
      <c r="GU60">
        <v>29.320699999999999</v>
      </c>
      <c r="GV60">
        <v>999.9</v>
      </c>
      <c r="GW60">
        <v>33.9</v>
      </c>
      <c r="GX60">
        <v>42.6</v>
      </c>
      <c r="GY60">
        <v>29.082599999999999</v>
      </c>
      <c r="GZ60">
        <v>60.296799999999998</v>
      </c>
      <c r="HA60">
        <v>26.069700000000001</v>
      </c>
      <c r="HB60">
        <v>1</v>
      </c>
      <c r="HC60">
        <v>0.33467000000000002</v>
      </c>
      <c r="HD60">
        <v>1.74936</v>
      </c>
      <c r="HE60">
        <v>20.2165</v>
      </c>
      <c r="HF60">
        <v>5.2686500000000001</v>
      </c>
      <c r="HG60">
        <v>12.039899999999999</v>
      </c>
      <c r="HH60">
        <v>4.9656000000000002</v>
      </c>
      <c r="HI60">
        <v>3.30063</v>
      </c>
      <c r="HJ60">
        <v>9999</v>
      </c>
      <c r="HK60">
        <v>9999</v>
      </c>
      <c r="HL60">
        <v>9999</v>
      </c>
      <c r="HM60">
        <v>999.9</v>
      </c>
      <c r="HN60">
        <v>1.8685</v>
      </c>
      <c r="HO60">
        <v>1.87216</v>
      </c>
      <c r="HP60">
        <v>1.87195</v>
      </c>
      <c r="HQ60">
        <v>1.8714900000000001</v>
      </c>
      <c r="HR60">
        <v>1.8647199999999999</v>
      </c>
      <c r="HS60">
        <v>1.86588</v>
      </c>
      <c r="HT60">
        <v>1.86791</v>
      </c>
      <c r="HU60">
        <v>1.8724099999999999</v>
      </c>
      <c r="HV60">
        <v>0</v>
      </c>
      <c r="HW60">
        <v>0</v>
      </c>
      <c r="HX60">
        <v>0</v>
      </c>
      <c r="HY60">
        <v>0</v>
      </c>
      <c r="HZ60" t="s">
        <v>424</v>
      </c>
      <c r="IA60" t="s">
        <v>425</v>
      </c>
      <c r="IB60" t="s">
        <v>426</v>
      </c>
      <c r="IC60" t="s">
        <v>426</v>
      </c>
      <c r="ID60" t="s">
        <v>426</v>
      </c>
      <c r="IE60" t="s">
        <v>426</v>
      </c>
      <c r="IF60">
        <v>0</v>
      </c>
      <c r="IG60">
        <v>100</v>
      </c>
      <c r="IH60">
        <v>100</v>
      </c>
      <c r="II60">
        <v>-2.15</v>
      </c>
      <c r="IJ60">
        <v>2.5499999999999998E-2</v>
      </c>
      <c r="IK60">
        <v>-1.1319585578324329</v>
      </c>
      <c r="IL60">
        <v>-1.171017271736434E-3</v>
      </c>
      <c r="IM60">
        <v>2.801297040296544E-7</v>
      </c>
      <c r="IN60">
        <v>-3.6238253961199429E-11</v>
      </c>
      <c r="IO60">
        <v>2.5539999999995899E-2</v>
      </c>
      <c r="IP60">
        <v>0</v>
      </c>
      <c r="IQ60">
        <v>0</v>
      </c>
      <c r="IR60">
        <v>0</v>
      </c>
      <c r="IS60">
        <v>0</v>
      </c>
      <c r="IT60">
        <v>2161</v>
      </c>
      <c r="IU60">
        <v>1</v>
      </c>
      <c r="IV60">
        <v>19</v>
      </c>
      <c r="IW60">
        <v>0.6</v>
      </c>
      <c r="IX60">
        <v>0.7</v>
      </c>
      <c r="IY60">
        <v>2.5280800000000001</v>
      </c>
      <c r="IZ60">
        <v>2.4719199999999999</v>
      </c>
      <c r="JA60">
        <v>1.4440900000000001</v>
      </c>
      <c r="JB60">
        <v>2.2839399999999999</v>
      </c>
      <c r="JC60">
        <v>1.54419</v>
      </c>
      <c r="JD60">
        <v>2.3718300000000001</v>
      </c>
      <c r="JE60">
        <v>46.6496</v>
      </c>
      <c r="JF60">
        <v>24.227599999999999</v>
      </c>
      <c r="JG60">
        <v>18</v>
      </c>
      <c r="JH60">
        <v>510.24700000000001</v>
      </c>
      <c r="JI60">
        <v>424.75299999999999</v>
      </c>
      <c r="JJ60">
        <v>26.787600000000001</v>
      </c>
      <c r="JK60">
        <v>31.5684</v>
      </c>
      <c r="JL60">
        <v>29.9998</v>
      </c>
      <c r="JM60">
        <v>31.351099999999999</v>
      </c>
      <c r="JN60">
        <v>31.295999999999999</v>
      </c>
      <c r="JO60">
        <v>50.787700000000001</v>
      </c>
      <c r="JP60">
        <v>26.1966</v>
      </c>
      <c r="JQ60">
        <v>0</v>
      </c>
      <c r="JR60">
        <v>26.839700000000001</v>
      </c>
      <c r="JS60">
        <v>1200</v>
      </c>
      <c r="JT60">
        <v>22.160399999999999</v>
      </c>
      <c r="JU60">
        <v>99.724000000000004</v>
      </c>
      <c r="JV60">
        <v>99.250500000000002</v>
      </c>
    </row>
    <row r="61" spans="1:282" x14ac:dyDescent="0.25">
      <c r="A61">
        <v>45</v>
      </c>
      <c r="B61">
        <v>1689006677</v>
      </c>
      <c r="C61">
        <v>7500</v>
      </c>
      <c r="D61" t="s">
        <v>648</v>
      </c>
      <c r="E61" t="s">
        <v>649</v>
      </c>
      <c r="F61" t="s">
        <v>414</v>
      </c>
      <c r="G61" t="s">
        <v>415</v>
      </c>
      <c r="H61" t="s">
        <v>578</v>
      </c>
      <c r="I61" t="s">
        <v>416</v>
      </c>
      <c r="J61" t="s">
        <v>579</v>
      </c>
      <c r="K61">
        <v>1689006677</v>
      </c>
      <c r="L61">
        <f t="shared" si="46"/>
        <v>4.8271210283566809E-3</v>
      </c>
      <c r="M61">
        <f t="shared" si="47"/>
        <v>4.8271210283566806</v>
      </c>
      <c r="N61">
        <f t="shared" si="48"/>
        <v>58.035630025019167</v>
      </c>
      <c r="O61">
        <f t="shared" si="49"/>
        <v>1422.38</v>
      </c>
      <c r="P61">
        <f t="shared" si="50"/>
        <v>1103.4958847844657</v>
      </c>
      <c r="Q61">
        <f t="shared" si="51"/>
        <v>109.53882798197773</v>
      </c>
      <c r="R61">
        <f t="shared" si="52"/>
        <v>141.19294896640002</v>
      </c>
      <c r="S61">
        <f t="shared" si="53"/>
        <v>0.33955062948321796</v>
      </c>
      <c r="T61">
        <f t="shared" si="54"/>
        <v>2.9126760024731304</v>
      </c>
      <c r="U61">
        <f t="shared" si="55"/>
        <v>0.31899285023545909</v>
      </c>
      <c r="V61">
        <f t="shared" si="56"/>
        <v>0.20111376285050556</v>
      </c>
      <c r="W61">
        <f t="shared" si="57"/>
        <v>289.54354695856864</v>
      </c>
      <c r="X61">
        <f t="shared" si="58"/>
        <v>30.625657250843588</v>
      </c>
      <c r="Y61">
        <f t="shared" si="59"/>
        <v>29.963799999999999</v>
      </c>
      <c r="Z61">
        <f t="shared" si="60"/>
        <v>4.2515990487516921</v>
      </c>
      <c r="AA61">
        <f t="shared" si="61"/>
        <v>65.141041299943936</v>
      </c>
      <c r="AB61">
        <f t="shared" si="62"/>
        <v>2.8028544460800005</v>
      </c>
      <c r="AC61">
        <f t="shared" si="63"/>
        <v>4.3027473773011558</v>
      </c>
      <c r="AD61">
        <f t="shared" si="64"/>
        <v>1.4487446026716917</v>
      </c>
      <c r="AE61">
        <f t="shared" si="65"/>
        <v>-212.87603735052963</v>
      </c>
      <c r="AF61">
        <f t="shared" si="66"/>
        <v>32.708971694822736</v>
      </c>
      <c r="AG61">
        <f t="shared" si="67"/>
        <v>2.4986533377467621</v>
      </c>
      <c r="AH61">
        <f t="shared" si="68"/>
        <v>111.87513464060851</v>
      </c>
      <c r="AI61">
        <v>0</v>
      </c>
      <c r="AJ61">
        <v>0</v>
      </c>
      <c r="AK61">
        <f t="shared" si="69"/>
        <v>1</v>
      </c>
      <c r="AL61">
        <f t="shared" si="70"/>
        <v>0</v>
      </c>
      <c r="AM61">
        <f t="shared" si="71"/>
        <v>51824.896426954867</v>
      </c>
      <c r="AN61" t="s">
        <v>418</v>
      </c>
      <c r="AO61">
        <v>10076.700000000001</v>
      </c>
      <c r="AP61">
        <v>185.01599999999999</v>
      </c>
      <c r="AQ61">
        <v>473.06</v>
      </c>
      <c r="AR61">
        <f t="shared" si="72"/>
        <v>0.60889527755464423</v>
      </c>
      <c r="AS61">
        <v>-1.4827006201179751</v>
      </c>
      <c r="AT61" t="s">
        <v>650</v>
      </c>
      <c r="AU61">
        <v>8094.78</v>
      </c>
      <c r="AV61">
        <v>717.69488000000001</v>
      </c>
      <c r="AW61">
        <v>1184.470916777389</v>
      </c>
      <c r="AX61">
        <f t="shared" si="73"/>
        <v>0.3940797787144954</v>
      </c>
      <c r="AY61">
        <v>0.5</v>
      </c>
      <c r="AZ61">
        <f t="shared" si="74"/>
        <v>1513.066799460398</v>
      </c>
      <c r="BA61">
        <f t="shared" si="75"/>
        <v>58.035630025019167</v>
      </c>
      <c r="BB61">
        <f t="shared" si="76"/>
        <v>298.13451475580172</v>
      </c>
      <c r="BC61">
        <f t="shared" si="77"/>
        <v>3.9336221418884508E-2</v>
      </c>
      <c r="BD61">
        <f t="shared" si="78"/>
        <v>-0.6006149300085285</v>
      </c>
      <c r="BE61">
        <f t="shared" si="79"/>
        <v>241.8204242470604</v>
      </c>
      <c r="BF61" t="s">
        <v>651</v>
      </c>
      <c r="BG61">
        <v>555.47</v>
      </c>
      <c r="BH61">
        <f t="shared" si="80"/>
        <v>555.47</v>
      </c>
      <c r="BI61">
        <f t="shared" si="81"/>
        <v>0.53103956194105884</v>
      </c>
      <c r="BJ61">
        <f t="shared" si="82"/>
        <v>0.74209118671696095</v>
      </c>
      <c r="BK61">
        <f t="shared" si="83"/>
        <v>8.6325799875911766</v>
      </c>
      <c r="BL61">
        <f t="shared" si="84"/>
        <v>0.46703060732588814</v>
      </c>
      <c r="BM61">
        <f t="shared" si="85"/>
        <v>-2.4697994638922842</v>
      </c>
      <c r="BN61">
        <f t="shared" si="86"/>
        <v>0.57435186312833986</v>
      </c>
      <c r="BO61">
        <f t="shared" si="87"/>
        <v>0.42564813687166014</v>
      </c>
      <c r="BP61">
        <v>9143</v>
      </c>
      <c r="BQ61">
        <v>290.00000000000011</v>
      </c>
      <c r="BR61">
        <v>1029.95</v>
      </c>
      <c r="BS61">
        <v>245</v>
      </c>
      <c r="BT61">
        <v>8094.78</v>
      </c>
      <c r="BU61">
        <v>1032.81</v>
      </c>
      <c r="BV61">
        <v>-2.86</v>
      </c>
      <c r="BW61">
        <v>300.00000000000011</v>
      </c>
      <c r="BX61">
        <v>19.2</v>
      </c>
      <c r="BY61">
        <v>1184.470916777389</v>
      </c>
      <c r="BZ61">
        <v>3.98294104536479</v>
      </c>
      <c r="CA61">
        <v>-122.76974064291559</v>
      </c>
      <c r="CB61">
        <v>2.961825962925305</v>
      </c>
      <c r="CC61">
        <v>0.98396481426055493</v>
      </c>
      <c r="CD61">
        <v>-4.1695461624026674E-3</v>
      </c>
      <c r="CE61">
        <v>289.99999999999989</v>
      </c>
      <c r="CF61">
        <v>1027.48</v>
      </c>
      <c r="CG61">
        <v>625</v>
      </c>
      <c r="CH61">
        <v>8086.48</v>
      </c>
      <c r="CI61">
        <v>1032.6500000000001</v>
      </c>
      <c r="CJ61">
        <v>-5.17</v>
      </c>
      <c r="CX61">
        <f t="shared" si="88"/>
        <v>1799.86</v>
      </c>
      <c r="CY61">
        <f t="shared" si="89"/>
        <v>1513.066799460398</v>
      </c>
      <c r="CZ61">
        <f t="shared" si="90"/>
        <v>0.84065805088195644</v>
      </c>
      <c r="DA61">
        <f t="shared" si="91"/>
        <v>0.16087003820217607</v>
      </c>
      <c r="DB61">
        <v>6</v>
      </c>
      <c r="DC61">
        <v>0.5</v>
      </c>
      <c r="DD61" t="s">
        <v>421</v>
      </c>
      <c r="DE61">
        <v>2</v>
      </c>
      <c r="DF61">
        <v>1689006677</v>
      </c>
      <c r="DG61">
        <v>1422.38</v>
      </c>
      <c r="DH61">
        <v>1500.24</v>
      </c>
      <c r="DI61">
        <v>28.236000000000001</v>
      </c>
      <c r="DJ61">
        <v>22.608599999999999</v>
      </c>
      <c r="DK61">
        <v>1424.7</v>
      </c>
      <c r="DL61">
        <v>28.1999</v>
      </c>
      <c r="DM61">
        <v>500.14100000000002</v>
      </c>
      <c r="DN61">
        <v>99.165199999999999</v>
      </c>
      <c r="DO61">
        <v>0.10008</v>
      </c>
      <c r="DP61">
        <v>30.1721</v>
      </c>
      <c r="DQ61">
        <v>29.963799999999999</v>
      </c>
      <c r="DR61">
        <v>999.9</v>
      </c>
      <c r="DS61">
        <v>0</v>
      </c>
      <c r="DT61">
        <v>0</v>
      </c>
      <c r="DU61">
        <v>9987.5</v>
      </c>
      <c r="DV61">
        <v>0</v>
      </c>
      <c r="DW61">
        <v>2024.8</v>
      </c>
      <c r="DX61">
        <v>-77.859399999999994</v>
      </c>
      <c r="DY61">
        <v>1463.71</v>
      </c>
      <c r="DZ61">
        <v>1534.94</v>
      </c>
      <c r="EA61">
        <v>5.62737</v>
      </c>
      <c r="EB61">
        <v>1500.24</v>
      </c>
      <c r="EC61">
        <v>22.608599999999999</v>
      </c>
      <c r="ED61">
        <v>2.80003</v>
      </c>
      <c r="EE61">
        <v>2.2419899999999999</v>
      </c>
      <c r="EF61">
        <v>22.8843</v>
      </c>
      <c r="EG61">
        <v>19.265499999999999</v>
      </c>
      <c r="EH61">
        <v>1799.86</v>
      </c>
      <c r="EI61">
        <v>0.97800500000000001</v>
      </c>
      <c r="EJ61">
        <v>2.19946E-2</v>
      </c>
      <c r="EK61">
        <v>0</v>
      </c>
      <c r="EL61">
        <v>717.44200000000001</v>
      </c>
      <c r="EM61">
        <v>5.00082</v>
      </c>
      <c r="EN61">
        <v>16749.7</v>
      </c>
      <c r="EO61">
        <v>14128.7</v>
      </c>
      <c r="EP61">
        <v>48.561999999999998</v>
      </c>
      <c r="EQ61">
        <v>50.375</v>
      </c>
      <c r="ER61">
        <v>49.625</v>
      </c>
      <c r="ES61">
        <v>49.625</v>
      </c>
      <c r="ET61">
        <v>49.936999999999998</v>
      </c>
      <c r="EU61">
        <v>1755.38</v>
      </c>
      <c r="EV61">
        <v>39.479999999999997</v>
      </c>
      <c r="EW61">
        <v>0</v>
      </c>
      <c r="EX61">
        <v>161.5999999046326</v>
      </c>
      <c r="EY61">
        <v>0</v>
      </c>
      <c r="EZ61">
        <v>717.69488000000001</v>
      </c>
      <c r="FA61">
        <v>-6.0384593891239798E-2</v>
      </c>
      <c r="FB61">
        <v>-76.1923072772192</v>
      </c>
      <c r="FC61">
        <v>16774.38</v>
      </c>
      <c r="FD61">
        <v>15</v>
      </c>
      <c r="FE61">
        <v>1689006643.5</v>
      </c>
      <c r="FF61" t="s">
        <v>652</v>
      </c>
      <c r="FG61">
        <v>1689006643.5</v>
      </c>
      <c r="FH61">
        <v>1689006637</v>
      </c>
      <c r="FI61">
        <v>49</v>
      </c>
      <c r="FJ61">
        <v>1.7000000000000001E-2</v>
      </c>
      <c r="FK61">
        <v>1.0999999999999999E-2</v>
      </c>
      <c r="FL61">
        <v>-2.367</v>
      </c>
      <c r="FM61">
        <v>3.5999999999999997E-2</v>
      </c>
      <c r="FN61">
        <v>1500</v>
      </c>
      <c r="FO61">
        <v>23</v>
      </c>
      <c r="FP61">
        <v>0.06</v>
      </c>
      <c r="FQ61">
        <v>0.02</v>
      </c>
      <c r="FR61">
        <v>57.870401035648769</v>
      </c>
      <c r="FS61">
        <v>-0.42633866530894959</v>
      </c>
      <c r="FT61">
        <v>6.8677089756609883E-2</v>
      </c>
      <c r="FU61">
        <v>1</v>
      </c>
      <c r="FV61">
        <v>0.34664713324108187</v>
      </c>
      <c r="FW61">
        <v>-3.8687901000850268E-2</v>
      </c>
      <c r="FX61">
        <v>3.3226722127798519E-3</v>
      </c>
      <c r="FY61">
        <v>1</v>
      </c>
      <c r="FZ61">
        <v>2</v>
      </c>
      <c r="GA61">
        <v>2</v>
      </c>
      <c r="GB61" t="s">
        <v>423</v>
      </c>
      <c r="GC61">
        <v>2.9455800000000001</v>
      </c>
      <c r="GD61">
        <v>2.7086299999999999</v>
      </c>
      <c r="GE61">
        <v>0.207124</v>
      </c>
      <c r="GF61">
        <v>0.213977</v>
      </c>
      <c r="GG61">
        <v>0.12703</v>
      </c>
      <c r="GH61">
        <v>0.108879</v>
      </c>
      <c r="GI61">
        <v>26148.9</v>
      </c>
      <c r="GJ61">
        <v>25269.5</v>
      </c>
      <c r="GK61">
        <v>33978.699999999997</v>
      </c>
      <c r="GL61">
        <v>32189.4</v>
      </c>
      <c r="GM61">
        <v>42799.6</v>
      </c>
      <c r="GN61">
        <v>40811.800000000003</v>
      </c>
      <c r="GO61">
        <v>49187.6</v>
      </c>
      <c r="GP61">
        <v>45563.7</v>
      </c>
      <c r="GQ61">
        <v>1.99475</v>
      </c>
      <c r="GR61">
        <v>1.8016000000000001</v>
      </c>
      <c r="GS61">
        <v>3.7793100000000003E-2</v>
      </c>
      <c r="GT61">
        <v>0</v>
      </c>
      <c r="GU61">
        <v>29.348400000000002</v>
      </c>
      <c r="GV61">
        <v>999.9</v>
      </c>
      <c r="GW61">
        <v>33.700000000000003</v>
      </c>
      <c r="GX61">
        <v>42.8</v>
      </c>
      <c r="GY61">
        <v>29.216200000000001</v>
      </c>
      <c r="GZ61">
        <v>60.456800000000001</v>
      </c>
      <c r="HA61">
        <v>26.1538</v>
      </c>
      <c r="HB61">
        <v>1</v>
      </c>
      <c r="HC61">
        <v>0.34254600000000002</v>
      </c>
      <c r="HD61">
        <v>2.13802</v>
      </c>
      <c r="HE61">
        <v>20.2121</v>
      </c>
      <c r="HF61">
        <v>5.2680600000000002</v>
      </c>
      <c r="HG61">
        <v>12.039899999999999</v>
      </c>
      <c r="HH61">
        <v>4.96645</v>
      </c>
      <c r="HI61">
        <v>3.3002500000000001</v>
      </c>
      <c r="HJ61">
        <v>9999</v>
      </c>
      <c r="HK61">
        <v>9999</v>
      </c>
      <c r="HL61">
        <v>9999</v>
      </c>
      <c r="HM61">
        <v>999.9</v>
      </c>
      <c r="HN61">
        <v>1.8685400000000001</v>
      </c>
      <c r="HO61">
        <v>1.87218</v>
      </c>
      <c r="HP61">
        <v>1.87195</v>
      </c>
      <c r="HQ61">
        <v>1.8714900000000001</v>
      </c>
      <c r="HR61">
        <v>1.86473</v>
      </c>
      <c r="HS61">
        <v>1.8658600000000001</v>
      </c>
      <c r="HT61">
        <v>1.8678999999999999</v>
      </c>
      <c r="HU61">
        <v>1.8724099999999999</v>
      </c>
      <c r="HV61">
        <v>0</v>
      </c>
      <c r="HW61">
        <v>0</v>
      </c>
      <c r="HX61">
        <v>0</v>
      </c>
      <c r="HY61">
        <v>0</v>
      </c>
      <c r="HZ61" t="s">
        <v>424</v>
      </c>
      <c r="IA61" t="s">
        <v>425</v>
      </c>
      <c r="IB61" t="s">
        <v>426</v>
      </c>
      <c r="IC61" t="s">
        <v>426</v>
      </c>
      <c r="ID61" t="s">
        <v>426</v>
      </c>
      <c r="IE61" t="s">
        <v>426</v>
      </c>
      <c r="IF61">
        <v>0</v>
      </c>
      <c r="IG61">
        <v>100</v>
      </c>
      <c r="IH61">
        <v>100</v>
      </c>
      <c r="II61">
        <v>-2.3199999999999998</v>
      </c>
      <c r="IJ61">
        <v>3.61E-2</v>
      </c>
      <c r="IK61">
        <v>-1.11667826492333</v>
      </c>
      <c r="IL61">
        <v>-1.171017271736434E-3</v>
      </c>
      <c r="IM61">
        <v>2.801297040296544E-7</v>
      </c>
      <c r="IN61">
        <v>-3.6238253961199429E-11</v>
      </c>
      <c r="IO61">
        <v>3.6079999999998343E-2</v>
      </c>
      <c r="IP61">
        <v>0</v>
      </c>
      <c r="IQ61">
        <v>0</v>
      </c>
      <c r="IR61">
        <v>0</v>
      </c>
      <c r="IS61">
        <v>0</v>
      </c>
      <c r="IT61">
        <v>2161</v>
      </c>
      <c r="IU61">
        <v>1</v>
      </c>
      <c r="IV61">
        <v>19</v>
      </c>
      <c r="IW61">
        <v>0.6</v>
      </c>
      <c r="IX61">
        <v>0.7</v>
      </c>
      <c r="IY61">
        <v>3.0358900000000002</v>
      </c>
      <c r="IZ61">
        <v>2.4670399999999999</v>
      </c>
      <c r="JA61">
        <v>1.4440900000000001</v>
      </c>
      <c r="JB61">
        <v>2.2839399999999999</v>
      </c>
      <c r="JC61">
        <v>1.54419</v>
      </c>
      <c r="JD61">
        <v>2.3767100000000001</v>
      </c>
      <c r="JE61">
        <v>46.8264</v>
      </c>
      <c r="JF61">
        <v>24.227599999999999</v>
      </c>
      <c r="JG61">
        <v>18</v>
      </c>
      <c r="JH61">
        <v>509.95600000000002</v>
      </c>
      <c r="JI61">
        <v>424.75</v>
      </c>
      <c r="JJ61">
        <v>26.634899999999998</v>
      </c>
      <c r="JK61">
        <v>31.646000000000001</v>
      </c>
      <c r="JL61">
        <v>30.000299999999999</v>
      </c>
      <c r="JM61">
        <v>31.4193</v>
      </c>
      <c r="JN61">
        <v>31.3645</v>
      </c>
      <c r="JO61">
        <v>60.941899999999997</v>
      </c>
      <c r="JP61">
        <v>25.036100000000001</v>
      </c>
      <c r="JQ61">
        <v>0</v>
      </c>
      <c r="JR61">
        <v>26.652100000000001</v>
      </c>
      <c r="JS61">
        <v>1500</v>
      </c>
      <c r="JT61">
        <v>22.5578</v>
      </c>
      <c r="JU61">
        <v>99.7089</v>
      </c>
      <c r="JV61">
        <v>99.231099999999998</v>
      </c>
    </row>
    <row r="62" spans="1:282" x14ac:dyDescent="0.25">
      <c r="A62">
        <v>46</v>
      </c>
      <c r="B62">
        <v>1689008426.0999999</v>
      </c>
      <c r="C62">
        <v>9249.0999999046326</v>
      </c>
      <c r="D62" t="s">
        <v>653</v>
      </c>
      <c r="E62" t="s">
        <v>654</v>
      </c>
      <c r="F62" t="s">
        <v>414</v>
      </c>
      <c r="G62" t="s">
        <v>415</v>
      </c>
      <c r="H62" t="s">
        <v>655</v>
      </c>
      <c r="I62" t="s">
        <v>416</v>
      </c>
      <c r="J62" t="s">
        <v>656</v>
      </c>
      <c r="K62">
        <v>1689008426.0999999</v>
      </c>
      <c r="L62">
        <f t="shared" si="46"/>
        <v>3.5173598311662889E-3</v>
      </c>
      <c r="M62">
        <f t="shared" si="47"/>
        <v>3.517359831166289</v>
      </c>
      <c r="N62">
        <f t="shared" si="48"/>
        <v>35.794548467497314</v>
      </c>
      <c r="O62">
        <f t="shared" si="49"/>
        <v>355.48200000000003</v>
      </c>
      <c r="P62">
        <f t="shared" si="50"/>
        <v>105.55500801935092</v>
      </c>
      <c r="Q62">
        <f t="shared" si="51"/>
        <v>10.478904282590809</v>
      </c>
      <c r="R62">
        <f t="shared" si="52"/>
        <v>35.290242709290006</v>
      </c>
      <c r="S62">
        <f t="shared" si="53"/>
        <v>0.24364033276117891</v>
      </c>
      <c r="T62">
        <f t="shared" si="54"/>
        <v>2.9121762408173795</v>
      </c>
      <c r="U62">
        <f t="shared" si="55"/>
        <v>0.23285615618961183</v>
      </c>
      <c r="V62">
        <f t="shared" si="56"/>
        <v>0.14646423222936925</v>
      </c>
      <c r="W62">
        <f t="shared" si="57"/>
        <v>289.5685166550262</v>
      </c>
      <c r="X62">
        <f t="shared" si="58"/>
        <v>30.972534136589807</v>
      </c>
      <c r="Y62">
        <f t="shared" si="59"/>
        <v>29.884799999999998</v>
      </c>
      <c r="Z62">
        <f t="shared" si="60"/>
        <v>4.2323395580168883</v>
      </c>
      <c r="AA62">
        <f t="shared" si="61"/>
        <v>64.725951055947078</v>
      </c>
      <c r="AB62">
        <f t="shared" si="62"/>
        <v>2.7857771047829996</v>
      </c>
      <c r="AC62">
        <f t="shared" si="63"/>
        <v>4.3039570053981313</v>
      </c>
      <c r="AD62">
        <f t="shared" si="64"/>
        <v>1.4465624532338888</v>
      </c>
      <c r="AE62">
        <f t="shared" si="65"/>
        <v>-155.11556855443334</v>
      </c>
      <c r="AF62">
        <f t="shared" si="66"/>
        <v>45.875763933623567</v>
      </c>
      <c r="AG62">
        <f t="shared" si="67"/>
        <v>3.5037871115273784</v>
      </c>
      <c r="AH62">
        <f t="shared" si="68"/>
        <v>183.83249914574384</v>
      </c>
      <c r="AI62">
        <v>0</v>
      </c>
      <c r="AJ62">
        <v>0</v>
      </c>
      <c r="AK62">
        <f t="shared" si="69"/>
        <v>1</v>
      </c>
      <c r="AL62">
        <f t="shared" si="70"/>
        <v>0</v>
      </c>
      <c r="AM62">
        <f t="shared" si="71"/>
        <v>51810.038404953644</v>
      </c>
      <c r="AN62" t="s">
        <v>418</v>
      </c>
      <c r="AO62">
        <v>10076.700000000001</v>
      </c>
      <c r="AP62">
        <v>185.01599999999999</v>
      </c>
      <c r="AQ62">
        <v>473.06</v>
      </c>
      <c r="AR62">
        <f t="shared" si="72"/>
        <v>0.60889527755464423</v>
      </c>
      <c r="AS62">
        <v>-1.4827006201179751</v>
      </c>
      <c r="AT62" t="s">
        <v>657</v>
      </c>
      <c r="AU62">
        <v>8093.76</v>
      </c>
      <c r="AV62">
        <v>698.79084</v>
      </c>
      <c r="AW62">
        <v>986.68091377002224</v>
      </c>
      <c r="AX62">
        <f t="shared" si="73"/>
        <v>0.291776267030462</v>
      </c>
      <c r="AY62">
        <v>0.5</v>
      </c>
      <c r="AZ62">
        <f t="shared" si="74"/>
        <v>1513.2009060388737</v>
      </c>
      <c r="BA62">
        <f t="shared" si="75"/>
        <v>35.794548467497314</v>
      </c>
      <c r="BB62">
        <f t="shared" si="76"/>
        <v>220.75805581556773</v>
      </c>
      <c r="BC62">
        <f t="shared" si="77"/>
        <v>2.4634699159146317E-2</v>
      </c>
      <c r="BD62">
        <f t="shared" si="78"/>
        <v>-0.52055422031781406</v>
      </c>
      <c r="BE62">
        <f t="shared" si="79"/>
        <v>232.31285643595493</v>
      </c>
      <c r="BF62" t="s">
        <v>658</v>
      </c>
      <c r="BG62">
        <v>560.07000000000005</v>
      </c>
      <c r="BH62">
        <f t="shared" si="80"/>
        <v>560.07000000000005</v>
      </c>
      <c r="BI62">
        <f t="shared" si="81"/>
        <v>0.4323696828592527</v>
      </c>
      <c r="BJ62">
        <f t="shared" si="82"/>
        <v>0.6748305410799178</v>
      </c>
      <c r="BK62">
        <f t="shared" si="83"/>
        <v>5.9030101571086311</v>
      </c>
      <c r="BL62">
        <f t="shared" si="84"/>
        <v>0.35911522236410454</v>
      </c>
      <c r="BM62">
        <f t="shared" si="85"/>
        <v>-1.7831335274125562</v>
      </c>
      <c r="BN62">
        <f t="shared" si="86"/>
        <v>0.54086619272603753</v>
      </c>
      <c r="BO62">
        <f t="shared" si="87"/>
        <v>0.45913380727396247</v>
      </c>
      <c r="BP62">
        <v>9145</v>
      </c>
      <c r="BQ62">
        <v>290.00000000000011</v>
      </c>
      <c r="BR62">
        <v>893.3</v>
      </c>
      <c r="BS62">
        <v>295</v>
      </c>
      <c r="BT62">
        <v>8093.76</v>
      </c>
      <c r="BU62">
        <v>894.63</v>
      </c>
      <c r="BV62">
        <v>-1.33</v>
      </c>
      <c r="BW62">
        <v>300.00000000000011</v>
      </c>
      <c r="BX62">
        <v>19.2</v>
      </c>
      <c r="BY62">
        <v>986.68091377002224</v>
      </c>
      <c r="BZ62">
        <v>3.4026846653436591</v>
      </c>
      <c r="CA62">
        <v>-74.504435677908859</v>
      </c>
      <c r="CB62">
        <v>2.5306921115555179</v>
      </c>
      <c r="CC62">
        <v>0.96870576920893725</v>
      </c>
      <c r="CD62">
        <v>-4.1692333704115752E-3</v>
      </c>
      <c r="CE62">
        <v>289.99999999999989</v>
      </c>
      <c r="CF62">
        <v>891.55</v>
      </c>
      <c r="CG62">
        <v>645</v>
      </c>
      <c r="CH62">
        <v>8087.19</v>
      </c>
      <c r="CI62">
        <v>894.55</v>
      </c>
      <c r="CJ62">
        <v>-3</v>
      </c>
      <c r="CX62">
        <f t="shared" si="88"/>
        <v>1800.02</v>
      </c>
      <c r="CY62">
        <f t="shared" si="89"/>
        <v>1513.2009060388737</v>
      </c>
      <c r="CZ62">
        <f t="shared" si="90"/>
        <v>0.84065782937904787</v>
      </c>
      <c r="DA62">
        <f t="shared" si="91"/>
        <v>0.16086961070156233</v>
      </c>
      <c r="DB62">
        <v>6</v>
      </c>
      <c r="DC62">
        <v>0.5</v>
      </c>
      <c r="DD62" t="s">
        <v>421</v>
      </c>
      <c r="DE62">
        <v>2</v>
      </c>
      <c r="DF62">
        <v>1689008426.0999999</v>
      </c>
      <c r="DG62">
        <v>355.48200000000003</v>
      </c>
      <c r="DH62">
        <v>399.923</v>
      </c>
      <c r="DI62">
        <v>28.061399999999999</v>
      </c>
      <c r="DJ62">
        <v>23.9602</v>
      </c>
      <c r="DK62">
        <v>356.91</v>
      </c>
      <c r="DL62">
        <v>28.005500000000001</v>
      </c>
      <c r="DM62">
        <v>500.14499999999998</v>
      </c>
      <c r="DN62">
        <v>99.174099999999996</v>
      </c>
      <c r="DO62">
        <v>0.100245</v>
      </c>
      <c r="DP62">
        <v>30.177</v>
      </c>
      <c r="DQ62">
        <v>29.884799999999998</v>
      </c>
      <c r="DR62">
        <v>999.9</v>
      </c>
      <c r="DS62">
        <v>0</v>
      </c>
      <c r="DT62">
        <v>0</v>
      </c>
      <c r="DU62">
        <v>9983.75</v>
      </c>
      <c r="DV62">
        <v>0</v>
      </c>
      <c r="DW62">
        <v>580.39300000000003</v>
      </c>
      <c r="DX62">
        <v>-44.440899999999999</v>
      </c>
      <c r="DY62">
        <v>365.74599999999998</v>
      </c>
      <c r="DZ62">
        <v>409.74099999999999</v>
      </c>
      <c r="EA62">
        <v>4.1012700000000004</v>
      </c>
      <c r="EB62">
        <v>399.923</v>
      </c>
      <c r="EC62">
        <v>23.9602</v>
      </c>
      <c r="ED62">
        <v>2.7829700000000002</v>
      </c>
      <c r="EE62">
        <v>2.3762300000000001</v>
      </c>
      <c r="EF62">
        <v>22.7834</v>
      </c>
      <c r="EG62">
        <v>20.2027</v>
      </c>
      <c r="EH62">
        <v>1800.02</v>
      </c>
      <c r="EI62">
        <v>0.97800900000000002</v>
      </c>
      <c r="EJ62">
        <v>2.1991E-2</v>
      </c>
      <c r="EK62">
        <v>0</v>
      </c>
      <c r="EL62">
        <v>698.41700000000003</v>
      </c>
      <c r="EM62">
        <v>5.00082</v>
      </c>
      <c r="EN62">
        <v>14440.2</v>
      </c>
      <c r="EO62">
        <v>14130</v>
      </c>
      <c r="EP62">
        <v>46.936999999999998</v>
      </c>
      <c r="EQ62">
        <v>48.25</v>
      </c>
      <c r="ER62">
        <v>47.75</v>
      </c>
      <c r="ES62">
        <v>48.186999999999998</v>
      </c>
      <c r="ET62">
        <v>48.375</v>
      </c>
      <c r="EU62">
        <v>1755.54</v>
      </c>
      <c r="EV62">
        <v>39.47</v>
      </c>
      <c r="EW62">
        <v>0</v>
      </c>
      <c r="EX62">
        <v>1747.3999998569491</v>
      </c>
      <c r="EY62">
        <v>0</v>
      </c>
      <c r="EZ62">
        <v>698.79084</v>
      </c>
      <c r="FA62">
        <v>-2.7377692405195551</v>
      </c>
      <c r="FB62">
        <v>76.930769322897618</v>
      </c>
      <c r="FC62">
        <v>14428.995999999999</v>
      </c>
      <c r="FD62">
        <v>15</v>
      </c>
      <c r="FE62">
        <v>1689008383.0999999</v>
      </c>
      <c r="FF62" t="s">
        <v>659</v>
      </c>
      <c r="FG62">
        <v>1689008383.0999999</v>
      </c>
      <c r="FH62">
        <v>1689008382.0999999</v>
      </c>
      <c r="FI62">
        <v>53</v>
      </c>
      <c r="FJ62">
        <v>-5.0000000000000001E-3</v>
      </c>
      <c r="FK62">
        <v>0</v>
      </c>
      <c r="FL62">
        <v>-1.4710000000000001</v>
      </c>
      <c r="FM62">
        <v>5.6000000000000001E-2</v>
      </c>
      <c r="FN62">
        <v>400</v>
      </c>
      <c r="FO62">
        <v>24</v>
      </c>
      <c r="FP62">
        <v>0.04</v>
      </c>
      <c r="FQ62">
        <v>0.01</v>
      </c>
      <c r="FR62">
        <v>35.844864998118993</v>
      </c>
      <c r="FS62">
        <v>-0.6325590860362299</v>
      </c>
      <c r="FT62">
        <v>7.0826846246517694E-2</v>
      </c>
      <c r="FU62">
        <v>1</v>
      </c>
      <c r="FV62">
        <v>0.2447622406576645</v>
      </c>
      <c r="FW62">
        <v>-1.3020882163453439E-2</v>
      </c>
      <c r="FX62">
        <v>1.038699056927104E-3</v>
      </c>
      <c r="FY62">
        <v>1</v>
      </c>
      <c r="FZ62">
        <v>2</v>
      </c>
      <c r="GA62">
        <v>2</v>
      </c>
      <c r="GB62" t="s">
        <v>423</v>
      </c>
      <c r="GC62">
        <v>2.94496</v>
      </c>
      <c r="GD62">
        <v>2.7087599999999998</v>
      </c>
      <c r="GE62">
        <v>8.0275299999999994E-2</v>
      </c>
      <c r="GF62">
        <v>8.7878499999999998E-2</v>
      </c>
      <c r="GG62">
        <v>0.12612000000000001</v>
      </c>
      <c r="GH62">
        <v>0.11311</v>
      </c>
      <c r="GI62">
        <v>30257.9</v>
      </c>
      <c r="GJ62">
        <v>29262.7</v>
      </c>
      <c r="GK62">
        <v>33896</v>
      </c>
      <c r="GL62">
        <v>32122.1</v>
      </c>
      <c r="GM62">
        <v>42753</v>
      </c>
      <c r="GN62">
        <v>40533.300000000003</v>
      </c>
      <c r="GO62">
        <v>49081.3</v>
      </c>
      <c r="GP62">
        <v>45469.8</v>
      </c>
      <c r="GQ62">
        <v>1.982</v>
      </c>
      <c r="GR62">
        <v>1.7740499999999999</v>
      </c>
      <c r="GS62">
        <v>5.6143899999999997E-2</v>
      </c>
      <c r="GT62">
        <v>0</v>
      </c>
      <c r="GU62">
        <v>28.970300000000002</v>
      </c>
      <c r="GV62">
        <v>999.9</v>
      </c>
      <c r="GW62">
        <v>36.4</v>
      </c>
      <c r="GX62">
        <v>43.5</v>
      </c>
      <c r="GY62">
        <v>32.731000000000002</v>
      </c>
      <c r="GZ62">
        <v>60.1023</v>
      </c>
      <c r="HA62">
        <v>26.274000000000001</v>
      </c>
      <c r="HB62">
        <v>1</v>
      </c>
      <c r="HC62">
        <v>0.42647099999999999</v>
      </c>
      <c r="HD62">
        <v>0.89928900000000001</v>
      </c>
      <c r="HE62">
        <v>20.2683</v>
      </c>
      <c r="HF62">
        <v>5.2668600000000003</v>
      </c>
      <c r="HG62">
        <v>12.039899999999999</v>
      </c>
      <c r="HH62">
        <v>4.9657499999999999</v>
      </c>
      <c r="HI62">
        <v>3.3010000000000002</v>
      </c>
      <c r="HJ62">
        <v>9999</v>
      </c>
      <c r="HK62">
        <v>9999</v>
      </c>
      <c r="HL62">
        <v>9999</v>
      </c>
      <c r="HM62">
        <v>999.9</v>
      </c>
      <c r="HN62">
        <v>1.8683399999999999</v>
      </c>
      <c r="HO62">
        <v>1.8719699999999999</v>
      </c>
      <c r="HP62">
        <v>1.8717999999999999</v>
      </c>
      <c r="HQ62">
        <v>1.8713299999999999</v>
      </c>
      <c r="HR62">
        <v>1.86453</v>
      </c>
      <c r="HS62">
        <v>1.8656999999999999</v>
      </c>
      <c r="HT62">
        <v>1.8676999999999999</v>
      </c>
      <c r="HU62">
        <v>1.87226</v>
      </c>
      <c r="HV62">
        <v>0</v>
      </c>
      <c r="HW62">
        <v>0</v>
      </c>
      <c r="HX62">
        <v>0</v>
      </c>
      <c r="HY62">
        <v>0</v>
      </c>
      <c r="HZ62" t="s">
        <v>424</v>
      </c>
      <c r="IA62" t="s">
        <v>425</v>
      </c>
      <c r="IB62" t="s">
        <v>426</v>
      </c>
      <c r="IC62" t="s">
        <v>426</v>
      </c>
      <c r="ID62" t="s">
        <v>426</v>
      </c>
      <c r="IE62" t="s">
        <v>426</v>
      </c>
      <c r="IF62">
        <v>0</v>
      </c>
      <c r="IG62">
        <v>100</v>
      </c>
      <c r="IH62">
        <v>100</v>
      </c>
      <c r="II62">
        <v>-1.4279999999999999</v>
      </c>
      <c r="IJ62">
        <v>5.5899999999999998E-2</v>
      </c>
      <c r="IK62">
        <v>-1.0437590627314159</v>
      </c>
      <c r="IL62">
        <v>-1.171017271736434E-3</v>
      </c>
      <c r="IM62">
        <v>2.801297040296544E-7</v>
      </c>
      <c r="IN62">
        <v>-3.6238253961199429E-11</v>
      </c>
      <c r="IO62">
        <v>5.5965000000000487E-2</v>
      </c>
      <c r="IP62">
        <v>0</v>
      </c>
      <c r="IQ62">
        <v>0</v>
      </c>
      <c r="IR62">
        <v>0</v>
      </c>
      <c r="IS62">
        <v>0</v>
      </c>
      <c r="IT62">
        <v>2161</v>
      </c>
      <c r="IU62">
        <v>1</v>
      </c>
      <c r="IV62">
        <v>19</v>
      </c>
      <c r="IW62">
        <v>0.7</v>
      </c>
      <c r="IX62">
        <v>0.7</v>
      </c>
      <c r="IY62">
        <v>1.03149</v>
      </c>
      <c r="IZ62">
        <v>2.50488</v>
      </c>
      <c r="JA62">
        <v>1.4440900000000001</v>
      </c>
      <c r="JB62">
        <v>2.2827099999999998</v>
      </c>
      <c r="JC62">
        <v>1.54419</v>
      </c>
      <c r="JD62">
        <v>2.35107</v>
      </c>
      <c r="JE62">
        <v>46.444200000000002</v>
      </c>
      <c r="JF62">
        <v>16.005800000000001</v>
      </c>
      <c r="JG62">
        <v>18</v>
      </c>
      <c r="JH62">
        <v>510.60700000000003</v>
      </c>
      <c r="JI62">
        <v>415.50400000000002</v>
      </c>
      <c r="JJ62">
        <v>27.6602</v>
      </c>
      <c r="JK62">
        <v>32.664999999999999</v>
      </c>
      <c r="JL62">
        <v>29.999600000000001</v>
      </c>
      <c r="JM62">
        <v>32.519599999999997</v>
      </c>
      <c r="JN62">
        <v>32.465400000000002</v>
      </c>
      <c r="JO62">
        <v>20.773399999999999</v>
      </c>
      <c r="JP62">
        <v>32.191400000000002</v>
      </c>
      <c r="JQ62">
        <v>0</v>
      </c>
      <c r="JR62">
        <v>27.695499999999999</v>
      </c>
      <c r="JS62">
        <v>400</v>
      </c>
      <c r="JT62">
        <v>24.06</v>
      </c>
      <c r="JU62">
        <v>99.482200000000006</v>
      </c>
      <c r="JV62">
        <v>99.025300000000001</v>
      </c>
    </row>
    <row r="63" spans="1:282" x14ac:dyDescent="0.25">
      <c r="A63">
        <v>47</v>
      </c>
      <c r="B63">
        <v>1689008563.0999999</v>
      </c>
      <c r="C63">
        <v>9386.0999999046326</v>
      </c>
      <c r="D63" t="s">
        <v>660</v>
      </c>
      <c r="E63" t="s">
        <v>661</v>
      </c>
      <c r="F63" t="s">
        <v>414</v>
      </c>
      <c r="G63" t="s">
        <v>415</v>
      </c>
      <c r="H63" t="s">
        <v>655</v>
      </c>
      <c r="I63" t="s">
        <v>416</v>
      </c>
      <c r="J63" t="s">
        <v>656</v>
      </c>
      <c r="K63">
        <v>1689008563.0999999</v>
      </c>
      <c r="L63">
        <f t="shared" si="46"/>
        <v>3.5955483104353051E-3</v>
      </c>
      <c r="M63">
        <f t="shared" si="47"/>
        <v>3.595548310435305</v>
      </c>
      <c r="N63">
        <f t="shared" si="48"/>
        <v>29.18015011190754</v>
      </c>
      <c r="O63">
        <f t="shared" si="49"/>
        <v>263.88900000000001</v>
      </c>
      <c r="P63">
        <f t="shared" si="50"/>
        <v>69.224713393272268</v>
      </c>
      <c r="Q63">
        <f t="shared" si="51"/>
        <v>6.8718722273195478</v>
      </c>
      <c r="R63">
        <f t="shared" si="52"/>
        <v>26.19601297434</v>
      </c>
      <c r="S63">
        <f t="shared" si="53"/>
        <v>0.25491044579017685</v>
      </c>
      <c r="T63">
        <f t="shared" si="54"/>
        <v>2.9151407363625954</v>
      </c>
      <c r="U63">
        <f t="shared" si="55"/>
        <v>0.24314280807095898</v>
      </c>
      <c r="V63">
        <f t="shared" si="56"/>
        <v>0.15297625391737038</v>
      </c>
      <c r="W63">
        <f t="shared" si="57"/>
        <v>289.56226095810479</v>
      </c>
      <c r="X63">
        <f t="shared" si="58"/>
        <v>31.093285727301129</v>
      </c>
      <c r="Y63">
        <f t="shared" si="59"/>
        <v>30.004899999999999</v>
      </c>
      <c r="Z63">
        <f t="shared" si="60"/>
        <v>4.2616490315360016</v>
      </c>
      <c r="AA63">
        <f t="shared" si="61"/>
        <v>65.594385762541691</v>
      </c>
      <c r="AB63">
        <f t="shared" si="62"/>
        <v>2.8462325614139998</v>
      </c>
      <c r="AC63">
        <f t="shared" si="63"/>
        <v>4.3391405046731437</v>
      </c>
      <c r="AD63">
        <f t="shared" si="64"/>
        <v>1.4154164701220018</v>
      </c>
      <c r="AE63">
        <f t="shared" si="65"/>
        <v>-158.56368049019696</v>
      </c>
      <c r="AF63">
        <f t="shared" si="66"/>
        <v>49.364291263674858</v>
      </c>
      <c r="AG63">
        <f t="shared" si="67"/>
        <v>3.771280015598899</v>
      </c>
      <c r="AH63">
        <f t="shared" si="68"/>
        <v>184.13415174718159</v>
      </c>
      <c r="AI63">
        <v>0</v>
      </c>
      <c r="AJ63">
        <v>0</v>
      </c>
      <c r="AK63">
        <f t="shared" si="69"/>
        <v>1</v>
      </c>
      <c r="AL63">
        <f t="shared" si="70"/>
        <v>0</v>
      </c>
      <c r="AM63">
        <f t="shared" si="71"/>
        <v>51869.942877072092</v>
      </c>
      <c r="AN63" t="s">
        <v>418</v>
      </c>
      <c r="AO63">
        <v>10076.700000000001</v>
      </c>
      <c r="AP63">
        <v>185.01599999999999</v>
      </c>
      <c r="AQ63">
        <v>473.06</v>
      </c>
      <c r="AR63">
        <f t="shared" si="72"/>
        <v>0.60889527755464423</v>
      </c>
      <c r="AS63">
        <v>-1.4827006201179751</v>
      </c>
      <c r="AT63" t="s">
        <v>662</v>
      </c>
      <c r="AU63">
        <v>8091.08</v>
      </c>
      <c r="AV63">
        <v>660.70771999999999</v>
      </c>
      <c r="AW63">
        <v>895.0167885328317</v>
      </c>
      <c r="AX63">
        <f t="shared" si="73"/>
        <v>0.26179293118839253</v>
      </c>
      <c r="AY63">
        <v>0.5</v>
      </c>
      <c r="AZ63">
        <f t="shared" si="74"/>
        <v>1513.159799460158</v>
      </c>
      <c r="BA63">
        <f t="shared" si="75"/>
        <v>29.18015011190754</v>
      </c>
      <c r="BB63">
        <f t="shared" si="76"/>
        <v>198.06726962855748</v>
      </c>
      <c r="BC63">
        <f t="shared" si="77"/>
        <v>2.0264119323659627E-2</v>
      </c>
      <c r="BD63">
        <f t="shared" si="78"/>
        <v>-0.47145125537201377</v>
      </c>
      <c r="BE63">
        <f t="shared" si="79"/>
        <v>226.84282550605946</v>
      </c>
      <c r="BF63" t="s">
        <v>663</v>
      </c>
      <c r="BG63">
        <v>553.64</v>
      </c>
      <c r="BH63">
        <f t="shared" si="80"/>
        <v>553.64</v>
      </c>
      <c r="BI63">
        <f t="shared" si="81"/>
        <v>0.38141942464837808</v>
      </c>
      <c r="BJ63">
        <f t="shared" si="82"/>
        <v>0.68636496798697011</v>
      </c>
      <c r="BK63">
        <f t="shared" si="83"/>
        <v>5.2364952659820272</v>
      </c>
      <c r="BL63">
        <f t="shared" si="84"/>
        <v>0.33001240606649951</v>
      </c>
      <c r="BM63">
        <f t="shared" si="85"/>
        <v>-1.46490393319365</v>
      </c>
      <c r="BN63">
        <f t="shared" si="86"/>
        <v>0.57513948963136996</v>
      </c>
      <c r="BO63">
        <f t="shared" si="87"/>
        <v>0.42486051036863004</v>
      </c>
      <c r="BP63">
        <v>9147</v>
      </c>
      <c r="BQ63">
        <v>290.00000000000011</v>
      </c>
      <c r="BR63">
        <v>809.53</v>
      </c>
      <c r="BS63">
        <v>295</v>
      </c>
      <c r="BT63">
        <v>8091.08</v>
      </c>
      <c r="BU63">
        <v>810.58</v>
      </c>
      <c r="BV63">
        <v>-1.05</v>
      </c>
      <c r="BW63">
        <v>300.00000000000011</v>
      </c>
      <c r="BX63">
        <v>19.2</v>
      </c>
      <c r="BY63">
        <v>895.0167885328317</v>
      </c>
      <c r="BZ63">
        <v>3.1483170813736701</v>
      </c>
      <c r="CA63">
        <v>-68.317926341907054</v>
      </c>
      <c r="CB63">
        <v>2.340716443640193</v>
      </c>
      <c r="CC63">
        <v>0.96817700463925582</v>
      </c>
      <c r="CD63">
        <v>-4.1679877641824341E-3</v>
      </c>
      <c r="CE63">
        <v>289.99999999999989</v>
      </c>
      <c r="CF63">
        <v>805.6</v>
      </c>
      <c r="CG63">
        <v>625</v>
      </c>
      <c r="CH63">
        <v>8084.96</v>
      </c>
      <c r="CI63">
        <v>810.52</v>
      </c>
      <c r="CJ63">
        <v>-4.92</v>
      </c>
      <c r="CX63">
        <f t="shared" si="88"/>
        <v>1799.97</v>
      </c>
      <c r="CY63">
        <f t="shared" si="89"/>
        <v>1513.159799460158</v>
      </c>
      <c r="CZ63">
        <f t="shared" si="90"/>
        <v>0.84065834400582118</v>
      </c>
      <c r="DA63">
        <f t="shared" si="91"/>
        <v>0.16087060393123484</v>
      </c>
      <c r="DB63">
        <v>6</v>
      </c>
      <c r="DC63">
        <v>0.5</v>
      </c>
      <c r="DD63" t="s">
        <v>421</v>
      </c>
      <c r="DE63">
        <v>2</v>
      </c>
      <c r="DF63">
        <v>1689008563.0999999</v>
      </c>
      <c r="DG63">
        <v>263.88900000000001</v>
      </c>
      <c r="DH63">
        <v>300.03300000000002</v>
      </c>
      <c r="DI63">
        <v>28.671900000000001</v>
      </c>
      <c r="DJ63">
        <v>24.482199999999999</v>
      </c>
      <c r="DK63">
        <v>265.07499999999999</v>
      </c>
      <c r="DL63">
        <v>28.6098</v>
      </c>
      <c r="DM63">
        <v>500.149</v>
      </c>
      <c r="DN63">
        <v>99.168999999999997</v>
      </c>
      <c r="DO63">
        <v>0.10006</v>
      </c>
      <c r="DP63">
        <v>30.318999999999999</v>
      </c>
      <c r="DQ63">
        <v>30.004899999999999</v>
      </c>
      <c r="DR63">
        <v>999.9</v>
      </c>
      <c r="DS63">
        <v>0</v>
      </c>
      <c r="DT63">
        <v>0</v>
      </c>
      <c r="DU63">
        <v>10001.200000000001</v>
      </c>
      <c r="DV63">
        <v>0</v>
      </c>
      <c r="DW63">
        <v>690.44100000000003</v>
      </c>
      <c r="DX63">
        <v>-36.143300000000004</v>
      </c>
      <c r="DY63">
        <v>271.67899999999997</v>
      </c>
      <c r="DZ63">
        <v>307.56200000000001</v>
      </c>
      <c r="EA63">
        <v>4.18973</v>
      </c>
      <c r="EB63">
        <v>300.03300000000002</v>
      </c>
      <c r="EC63">
        <v>24.482199999999999</v>
      </c>
      <c r="ED63">
        <v>2.8433600000000001</v>
      </c>
      <c r="EE63">
        <v>2.42787</v>
      </c>
      <c r="EF63">
        <v>23.138000000000002</v>
      </c>
      <c r="EG63">
        <v>20.550899999999999</v>
      </c>
      <c r="EH63">
        <v>1799.97</v>
      </c>
      <c r="EI63">
        <v>0.97799599999999998</v>
      </c>
      <c r="EJ63">
        <v>2.20044E-2</v>
      </c>
      <c r="EK63">
        <v>0</v>
      </c>
      <c r="EL63">
        <v>660.46900000000005</v>
      </c>
      <c r="EM63">
        <v>5.00082</v>
      </c>
      <c r="EN63">
        <v>13915.1</v>
      </c>
      <c r="EO63">
        <v>14129.5</v>
      </c>
      <c r="EP63">
        <v>47.375</v>
      </c>
      <c r="EQ63">
        <v>48.436999999999998</v>
      </c>
      <c r="ER63">
        <v>48.125</v>
      </c>
      <c r="ES63">
        <v>48.375</v>
      </c>
      <c r="ET63">
        <v>48.75</v>
      </c>
      <c r="EU63">
        <v>1755.47</v>
      </c>
      <c r="EV63">
        <v>39.5</v>
      </c>
      <c r="EW63">
        <v>0</v>
      </c>
      <c r="EX63">
        <v>135</v>
      </c>
      <c r="EY63">
        <v>0</v>
      </c>
      <c r="EZ63">
        <v>660.70771999999999</v>
      </c>
      <c r="FA63">
        <v>-3.1718461492244789</v>
      </c>
      <c r="FB63">
        <v>-120.13846174061889</v>
      </c>
      <c r="FC63">
        <v>13925.691999999999</v>
      </c>
      <c r="FD63">
        <v>15</v>
      </c>
      <c r="FE63">
        <v>1689008524.5999999</v>
      </c>
      <c r="FF63" t="s">
        <v>664</v>
      </c>
      <c r="FG63">
        <v>1689008519.5999999</v>
      </c>
      <c r="FH63">
        <v>1689008524.5999999</v>
      </c>
      <c r="FI63">
        <v>54</v>
      </c>
      <c r="FJ63">
        <v>0.15</v>
      </c>
      <c r="FK63">
        <v>6.0000000000000001E-3</v>
      </c>
      <c r="FL63">
        <v>-1.222</v>
      </c>
      <c r="FM63">
        <v>6.2E-2</v>
      </c>
      <c r="FN63">
        <v>300</v>
      </c>
      <c r="FO63">
        <v>24</v>
      </c>
      <c r="FP63">
        <v>0.03</v>
      </c>
      <c r="FQ63">
        <v>0.03</v>
      </c>
      <c r="FR63">
        <v>29.201088768386558</v>
      </c>
      <c r="FS63">
        <v>-0.14816461143659121</v>
      </c>
      <c r="FT63">
        <v>3.1699609165184092E-2</v>
      </c>
      <c r="FU63">
        <v>1</v>
      </c>
      <c r="FV63">
        <v>0.25346477302028381</v>
      </c>
      <c r="FW63">
        <v>4.2337847845720603E-2</v>
      </c>
      <c r="FX63">
        <v>3.9665595022652144E-3</v>
      </c>
      <c r="FY63">
        <v>1</v>
      </c>
      <c r="FZ63">
        <v>2</v>
      </c>
      <c r="GA63">
        <v>2</v>
      </c>
      <c r="GB63" t="s">
        <v>423</v>
      </c>
      <c r="GC63">
        <v>2.94509</v>
      </c>
      <c r="GD63">
        <v>2.7087400000000001</v>
      </c>
      <c r="GE63">
        <v>6.3071500000000003E-2</v>
      </c>
      <c r="GF63">
        <v>7.0044800000000004E-2</v>
      </c>
      <c r="GG63">
        <v>0.12804199999999999</v>
      </c>
      <c r="GH63">
        <v>0.11486300000000001</v>
      </c>
      <c r="GI63">
        <v>30841.5</v>
      </c>
      <c r="GJ63">
        <v>29852.5</v>
      </c>
      <c r="GK63">
        <v>33914.300000000003</v>
      </c>
      <c r="GL63">
        <v>32140.1</v>
      </c>
      <c r="GM63">
        <v>42678</v>
      </c>
      <c r="GN63">
        <v>40474.699999999997</v>
      </c>
      <c r="GO63">
        <v>49105.3</v>
      </c>
      <c r="GP63">
        <v>45495.3</v>
      </c>
      <c r="GQ63">
        <v>1.98472</v>
      </c>
      <c r="GR63">
        <v>1.77762</v>
      </c>
      <c r="GS63">
        <v>7.3157299999999995E-2</v>
      </c>
      <c r="GT63">
        <v>0</v>
      </c>
      <c r="GU63">
        <v>28.813199999999998</v>
      </c>
      <c r="GV63">
        <v>999.9</v>
      </c>
      <c r="GW63">
        <v>36.200000000000003</v>
      </c>
      <c r="GX63">
        <v>43.4</v>
      </c>
      <c r="GY63">
        <v>32.3827</v>
      </c>
      <c r="GZ63">
        <v>59.842199999999998</v>
      </c>
      <c r="HA63">
        <v>25.460699999999999</v>
      </c>
      <c r="HB63">
        <v>1</v>
      </c>
      <c r="HC63">
        <v>0.40587899999999999</v>
      </c>
      <c r="HD63">
        <v>1.2238899999999999</v>
      </c>
      <c r="HE63">
        <v>20.267199999999999</v>
      </c>
      <c r="HF63">
        <v>5.2697000000000003</v>
      </c>
      <c r="HG63">
        <v>12.039899999999999</v>
      </c>
      <c r="HH63">
        <v>4.9657</v>
      </c>
      <c r="HI63">
        <v>3.3010000000000002</v>
      </c>
      <c r="HJ63">
        <v>9999</v>
      </c>
      <c r="HK63">
        <v>9999</v>
      </c>
      <c r="HL63">
        <v>9999</v>
      </c>
      <c r="HM63">
        <v>999.9</v>
      </c>
      <c r="HN63">
        <v>1.8683099999999999</v>
      </c>
      <c r="HO63">
        <v>1.87195</v>
      </c>
      <c r="HP63">
        <v>1.8717900000000001</v>
      </c>
      <c r="HQ63">
        <v>1.8712899999999999</v>
      </c>
      <c r="HR63">
        <v>1.86449</v>
      </c>
      <c r="HS63">
        <v>1.8656900000000001</v>
      </c>
      <c r="HT63">
        <v>1.86768</v>
      </c>
      <c r="HU63">
        <v>1.87225</v>
      </c>
      <c r="HV63">
        <v>0</v>
      </c>
      <c r="HW63">
        <v>0</v>
      </c>
      <c r="HX63">
        <v>0</v>
      </c>
      <c r="HY63">
        <v>0</v>
      </c>
      <c r="HZ63" t="s">
        <v>424</v>
      </c>
      <c r="IA63" t="s">
        <v>425</v>
      </c>
      <c r="IB63" t="s">
        <v>426</v>
      </c>
      <c r="IC63" t="s">
        <v>426</v>
      </c>
      <c r="ID63" t="s">
        <v>426</v>
      </c>
      <c r="IE63" t="s">
        <v>426</v>
      </c>
      <c r="IF63">
        <v>0</v>
      </c>
      <c r="IG63">
        <v>100</v>
      </c>
      <c r="IH63">
        <v>100</v>
      </c>
      <c r="II63">
        <v>-1.1859999999999999</v>
      </c>
      <c r="IJ63">
        <v>6.2100000000000002E-2</v>
      </c>
      <c r="IK63">
        <v>-0.893984505811106</v>
      </c>
      <c r="IL63">
        <v>-1.171017271736434E-3</v>
      </c>
      <c r="IM63">
        <v>2.801297040296544E-7</v>
      </c>
      <c r="IN63">
        <v>-3.6238253961199429E-11</v>
      </c>
      <c r="IO63">
        <v>6.2124999999998209E-2</v>
      </c>
      <c r="IP63">
        <v>0</v>
      </c>
      <c r="IQ63">
        <v>0</v>
      </c>
      <c r="IR63">
        <v>0</v>
      </c>
      <c r="IS63">
        <v>0</v>
      </c>
      <c r="IT63">
        <v>2161</v>
      </c>
      <c r="IU63">
        <v>1</v>
      </c>
      <c r="IV63">
        <v>19</v>
      </c>
      <c r="IW63">
        <v>0.7</v>
      </c>
      <c r="IX63">
        <v>0.6</v>
      </c>
      <c r="IY63">
        <v>0.81909200000000004</v>
      </c>
      <c r="IZ63">
        <v>2.49878</v>
      </c>
      <c r="JA63">
        <v>1.4440900000000001</v>
      </c>
      <c r="JB63">
        <v>2.2827099999999998</v>
      </c>
      <c r="JC63">
        <v>1.54419</v>
      </c>
      <c r="JD63">
        <v>2.4377399999999998</v>
      </c>
      <c r="JE63">
        <v>46.181800000000003</v>
      </c>
      <c r="JF63">
        <v>15.997</v>
      </c>
      <c r="JG63">
        <v>18</v>
      </c>
      <c r="JH63">
        <v>510.85500000000002</v>
      </c>
      <c r="JI63">
        <v>416.40600000000001</v>
      </c>
      <c r="JJ63">
        <v>27.5123</v>
      </c>
      <c r="JK63">
        <v>32.425600000000003</v>
      </c>
      <c r="JL63">
        <v>29.999700000000001</v>
      </c>
      <c r="JM63">
        <v>32.328899999999997</v>
      </c>
      <c r="JN63">
        <v>32.278300000000002</v>
      </c>
      <c r="JO63">
        <v>16.537099999999999</v>
      </c>
      <c r="JP63">
        <v>30.970500000000001</v>
      </c>
      <c r="JQ63">
        <v>0</v>
      </c>
      <c r="JR63">
        <v>27.460899999999999</v>
      </c>
      <c r="JS63">
        <v>300</v>
      </c>
      <c r="JT63">
        <v>24.395099999999999</v>
      </c>
      <c r="JU63">
        <v>99.532799999999995</v>
      </c>
      <c r="JV63">
        <v>99.080799999999996</v>
      </c>
    </row>
    <row r="64" spans="1:282" x14ac:dyDescent="0.25">
      <c r="A64">
        <v>48</v>
      </c>
      <c r="B64">
        <v>1689008685.5</v>
      </c>
      <c r="C64">
        <v>9508.5</v>
      </c>
      <c r="D64" t="s">
        <v>665</v>
      </c>
      <c r="E64" t="s">
        <v>666</v>
      </c>
      <c r="F64" t="s">
        <v>414</v>
      </c>
      <c r="G64" t="s">
        <v>415</v>
      </c>
      <c r="H64" t="s">
        <v>655</v>
      </c>
      <c r="I64" t="s">
        <v>416</v>
      </c>
      <c r="J64" t="s">
        <v>656</v>
      </c>
      <c r="K64">
        <v>1689008685.5</v>
      </c>
      <c r="L64">
        <f t="shared" si="46"/>
        <v>3.8905789374278511E-3</v>
      </c>
      <c r="M64">
        <f t="shared" si="47"/>
        <v>3.890578937427851</v>
      </c>
      <c r="N64">
        <f t="shared" si="48"/>
        <v>20.908964066082831</v>
      </c>
      <c r="O64">
        <f t="shared" si="49"/>
        <v>174.23400000000001</v>
      </c>
      <c r="P64">
        <f t="shared" si="50"/>
        <v>45.9514420867851</v>
      </c>
      <c r="Q64">
        <f t="shared" si="51"/>
        <v>4.5612245083819607</v>
      </c>
      <c r="R64">
        <f t="shared" si="52"/>
        <v>17.294786733624001</v>
      </c>
      <c r="S64">
        <f t="shared" si="53"/>
        <v>0.27814143385299062</v>
      </c>
      <c r="T64">
        <f t="shared" si="54"/>
        <v>2.9209196867667657</v>
      </c>
      <c r="U64">
        <f t="shared" si="55"/>
        <v>0.26422035572482411</v>
      </c>
      <c r="V64">
        <f t="shared" si="56"/>
        <v>0.16633039467589483</v>
      </c>
      <c r="W64">
        <f t="shared" si="57"/>
        <v>289.55848995835697</v>
      </c>
      <c r="X64">
        <f t="shared" si="58"/>
        <v>31.116129740236953</v>
      </c>
      <c r="Y64">
        <f t="shared" si="59"/>
        <v>30.0261</v>
      </c>
      <c r="Z64">
        <f t="shared" si="60"/>
        <v>4.2668410533939802</v>
      </c>
      <c r="AA64">
        <f t="shared" si="61"/>
        <v>65.478101298376259</v>
      </c>
      <c r="AB64">
        <f t="shared" si="62"/>
        <v>2.8576887013384003</v>
      </c>
      <c r="AC64">
        <f t="shared" si="63"/>
        <v>4.3643426499437394</v>
      </c>
      <c r="AD64">
        <f t="shared" si="64"/>
        <v>1.40915235205558</v>
      </c>
      <c r="AE64">
        <f t="shared" si="65"/>
        <v>-171.57453114056824</v>
      </c>
      <c r="AF64">
        <f t="shared" si="66"/>
        <v>62.044213128270428</v>
      </c>
      <c r="AG64">
        <f t="shared" si="67"/>
        <v>4.733473026249885</v>
      </c>
      <c r="AH64">
        <f t="shared" si="68"/>
        <v>184.76164497230906</v>
      </c>
      <c r="AI64">
        <v>0</v>
      </c>
      <c r="AJ64">
        <v>0</v>
      </c>
      <c r="AK64">
        <f t="shared" si="69"/>
        <v>1</v>
      </c>
      <c r="AL64">
        <f t="shared" si="70"/>
        <v>0</v>
      </c>
      <c r="AM64">
        <f t="shared" si="71"/>
        <v>52016.873317247439</v>
      </c>
      <c r="AN64" t="s">
        <v>418</v>
      </c>
      <c r="AO64">
        <v>10076.700000000001</v>
      </c>
      <c r="AP64">
        <v>185.01599999999999</v>
      </c>
      <c r="AQ64">
        <v>473.06</v>
      </c>
      <c r="AR64">
        <f t="shared" si="72"/>
        <v>0.60889527755464423</v>
      </c>
      <c r="AS64">
        <v>-1.4827006201179751</v>
      </c>
      <c r="AT64" t="s">
        <v>667</v>
      </c>
      <c r="AU64">
        <v>8089.65</v>
      </c>
      <c r="AV64">
        <v>638.72672</v>
      </c>
      <c r="AW64">
        <v>801.51555575663326</v>
      </c>
      <c r="AX64">
        <f t="shared" si="73"/>
        <v>0.20310128055214105</v>
      </c>
      <c r="AY64">
        <v>0.5</v>
      </c>
      <c r="AZ64">
        <f t="shared" si="74"/>
        <v>1513.1426994602884</v>
      </c>
      <c r="BA64">
        <f t="shared" si="75"/>
        <v>20.908964066082831</v>
      </c>
      <c r="BB64">
        <f t="shared" si="76"/>
        <v>153.66060995925403</v>
      </c>
      <c r="BC64">
        <f t="shared" si="77"/>
        <v>1.4798118309785006E-2</v>
      </c>
      <c r="BD64">
        <f t="shared" si="78"/>
        <v>-0.40979311430402637</v>
      </c>
      <c r="BE64">
        <f t="shared" si="79"/>
        <v>220.32849315240065</v>
      </c>
      <c r="BF64" t="s">
        <v>668</v>
      </c>
      <c r="BG64">
        <v>542.75</v>
      </c>
      <c r="BH64">
        <f t="shared" si="80"/>
        <v>542.75</v>
      </c>
      <c r="BI64">
        <f t="shared" si="81"/>
        <v>0.32284533206889254</v>
      </c>
      <c r="BJ64">
        <f t="shared" si="82"/>
        <v>0.62909777648202425</v>
      </c>
      <c r="BK64">
        <f t="shared" si="83"/>
        <v>4.7130945007408993</v>
      </c>
      <c r="BL64">
        <f t="shared" si="84"/>
        <v>0.26405345184205631</v>
      </c>
      <c r="BM64">
        <f t="shared" si="85"/>
        <v>-1.1402964677501815</v>
      </c>
      <c r="BN64">
        <f t="shared" si="86"/>
        <v>0.53456792630441174</v>
      </c>
      <c r="BO64">
        <f t="shared" si="87"/>
        <v>0.46543207369558826</v>
      </c>
      <c r="BP64">
        <v>9149</v>
      </c>
      <c r="BQ64">
        <v>290.00000000000011</v>
      </c>
      <c r="BR64">
        <v>746.89</v>
      </c>
      <c r="BS64">
        <v>275</v>
      </c>
      <c r="BT64">
        <v>8089.65</v>
      </c>
      <c r="BU64">
        <v>748.36</v>
      </c>
      <c r="BV64">
        <v>-1.47</v>
      </c>
      <c r="BW64">
        <v>300.00000000000011</v>
      </c>
      <c r="BX64">
        <v>19.2</v>
      </c>
      <c r="BY64">
        <v>801.51555575663326</v>
      </c>
      <c r="BZ64">
        <v>2.1226437633929631</v>
      </c>
      <c r="CA64">
        <v>-43.004620569472173</v>
      </c>
      <c r="CB64">
        <v>1.577776519936561</v>
      </c>
      <c r="CC64">
        <v>0.96367953463265199</v>
      </c>
      <c r="CD64">
        <v>-4.1669768631813209E-3</v>
      </c>
      <c r="CE64">
        <v>289.99999999999989</v>
      </c>
      <c r="CF64">
        <v>746.57</v>
      </c>
      <c r="CG64">
        <v>695</v>
      </c>
      <c r="CH64">
        <v>8081.25</v>
      </c>
      <c r="CI64">
        <v>748.3</v>
      </c>
      <c r="CJ64">
        <v>-1.73</v>
      </c>
      <c r="CX64">
        <f t="shared" si="88"/>
        <v>1799.95</v>
      </c>
      <c r="CY64">
        <f t="shared" si="89"/>
        <v>1513.1426994602884</v>
      </c>
      <c r="CZ64">
        <f t="shared" si="90"/>
        <v>0.84065818464973385</v>
      </c>
      <c r="DA64">
        <f t="shared" si="91"/>
        <v>0.16087029637398648</v>
      </c>
      <c r="DB64">
        <v>6</v>
      </c>
      <c r="DC64">
        <v>0.5</v>
      </c>
      <c r="DD64" t="s">
        <v>421</v>
      </c>
      <c r="DE64">
        <v>2</v>
      </c>
      <c r="DF64">
        <v>1689008685.5</v>
      </c>
      <c r="DG64">
        <v>174.23400000000001</v>
      </c>
      <c r="DH64">
        <v>200.12799999999999</v>
      </c>
      <c r="DI64">
        <v>28.789400000000001</v>
      </c>
      <c r="DJ64">
        <v>24.256900000000002</v>
      </c>
      <c r="DK64">
        <v>175.52199999999999</v>
      </c>
      <c r="DL64">
        <v>28.726700000000001</v>
      </c>
      <c r="DM64">
        <v>500.197</v>
      </c>
      <c r="DN64">
        <v>99.161799999999999</v>
      </c>
      <c r="DO64">
        <v>0.100036</v>
      </c>
      <c r="DP64">
        <v>30.420100000000001</v>
      </c>
      <c r="DQ64">
        <v>30.0261</v>
      </c>
      <c r="DR64">
        <v>999.9</v>
      </c>
      <c r="DS64">
        <v>0</v>
      </c>
      <c r="DT64">
        <v>0</v>
      </c>
      <c r="DU64">
        <v>10035</v>
      </c>
      <c r="DV64">
        <v>0</v>
      </c>
      <c r="DW64">
        <v>828.60599999999999</v>
      </c>
      <c r="DX64">
        <v>-25.893699999999999</v>
      </c>
      <c r="DY64">
        <v>179.399</v>
      </c>
      <c r="DZ64">
        <v>205.10300000000001</v>
      </c>
      <c r="EA64">
        <v>4.5324299999999997</v>
      </c>
      <c r="EB64">
        <v>200.12799999999999</v>
      </c>
      <c r="EC64">
        <v>24.256900000000002</v>
      </c>
      <c r="ED64">
        <v>2.8548</v>
      </c>
      <c r="EE64">
        <v>2.4053599999999999</v>
      </c>
      <c r="EF64">
        <v>23.2044</v>
      </c>
      <c r="EG64">
        <v>20.399899999999999</v>
      </c>
      <c r="EH64">
        <v>1799.95</v>
      </c>
      <c r="EI64">
        <v>0.97799899999999995</v>
      </c>
      <c r="EJ64">
        <v>2.2000800000000001E-2</v>
      </c>
      <c r="EK64">
        <v>0</v>
      </c>
      <c r="EL64">
        <v>638.40300000000002</v>
      </c>
      <c r="EM64">
        <v>5.00082</v>
      </c>
      <c r="EN64">
        <v>13691.4</v>
      </c>
      <c r="EO64">
        <v>14129.3</v>
      </c>
      <c r="EP64">
        <v>47.686999999999998</v>
      </c>
      <c r="EQ64">
        <v>48.75</v>
      </c>
      <c r="ER64">
        <v>48.436999999999998</v>
      </c>
      <c r="ES64">
        <v>48.561999999999998</v>
      </c>
      <c r="ET64">
        <v>49.061999999999998</v>
      </c>
      <c r="EU64">
        <v>1755.46</v>
      </c>
      <c r="EV64">
        <v>39.49</v>
      </c>
      <c r="EW64">
        <v>0</v>
      </c>
      <c r="EX64">
        <v>120.7999999523163</v>
      </c>
      <c r="EY64">
        <v>0</v>
      </c>
      <c r="EZ64">
        <v>638.72672</v>
      </c>
      <c r="FA64">
        <v>-3.163538471832966</v>
      </c>
      <c r="FB64">
        <v>-6236.161549690315</v>
      </c>
      <c r="FC64">
        <v>14234.871999999999</v>
      </c>
      <c r="FD64">
        <v>15</v>
      </c>
      <c r="FE64">
        <v>1689008649.5</v>
      </c>
      <c r="FF64" t="s">
        <v>669</v>
      </c>
      <c r="FG64">
        <v>1689008637</v>
      </c>
      <c r="FH64">
        <v>1689008649.5</v>
      </c>
      <c r="FI64">
        <v>55</v>
      </c>
      <c r="FJ64">
        <v>-0.19700000000000001</v>
      </c>
      <c r="FK64">
        <v>1E-3</v>
      </c>
      <c r="FL64">
        <v>-1.3149999999999999</v>
      </c>
      <c r="FM64">
        <v>6.3E-2</v>
      </c>
      <c r="FN64">
        <v>200</v>
      </c>
      <c r="FO64">
        <v>24</v>
      </c>
      <c r="FP64">
        <v>0.06</v>
      </c>
      <c r="FQ64">
        <v>0.03</v>
      </c>
      <c r="FR64">
        <v>20.820967917235301</v>
      </c>
      <c r="FS64">
        <v>0.49676795252002981</v>
      </c>
      <c r="FT64">
        <v>4.3988127086701863E-2</v>
      </c>
      <c r="FU64">
        <v>1</v>
      </c>
      <c r="FV64">
        <v>0.27146740191374258</v>
      </c>
      <c r="FW64">
        <v>4.6073787218325987E-2</v>
      </c>
      <c r="FX64">
        <v>3.6921178365880111E-3</v>
      </c>
      <c r="FY64">
        <v>1</v>
      </c>
      <c r="FZ64">
        <v>2</v>
      </c>
      <c r="GA64">
        <v>2</v>
      </c>
      <c r="GB64" t="s">
        <v>423</v>
      </c>
      <c r="GC64">
        <v>2.9453499999999999</v>
      </c>
      <c r="GD64">
        <v>2.7090000000000001</v>
      </c>
      <c r="GE64">
        <v>4.4038500000000001E-2</v>
      </c>
      <c r="GF64">
        <v>4.9649100000000002E-2</v>
      </c>
      <c r="GG64">
        <v>0.128446</v>
      </c>
      <c r="GH64">
        <v>0.114164</v>
      </c>
      <c r="GI64">
        <v>31483.1</v>
      </c>
      <c r="GJ64">
        <v>30520</v>
      </c>
      <c r="GK64">
        <v>33929.800000000003</v>
      </c>
      <c r="GL64">
        <v>32153</v>
      </c>
      <c r="GM64">
        <v>42674.5</v>
      </c>
      <c r="GN64">
        <v>40522.699999999997</v>
      </c>
      <c r="GO64">
        <v>49125.599999999999</v>
      </c>
      <c r="GP64">
        <v>45514.3</v>
      </c>
      <c r="GQ64">
        <v>1.9875</v>
      </c>
      <c r="GR64">
        <v>1.7799</v>
      </c>
      <c r="GS64">
        <v>6.9685300000000006E-2</v>
      </c>
      <c r="GT64">
        <v>0</v>
      </c>
      <c r="GU64">
        <v>28.890999999999998</v>
      </c>
      <c r="GV64">
        <v>999.9</v>
      </c>
      <c r="GW64">
        <v>36.1</v>
      </c>
      <c r="GX64">
        <v>43.3</v>
      </c>
      <c r="GY64">
        <v>32.1295</v>
      </c>
      <c r="GZ64">
        <v>60.182299999999998</v>
      </c>
      <c r="HA64">
        <v>25.757200000000001</v>
      </c>
      <c r="HB64">
        <v>1</v>
      </c>
      <c r="HC64">
        <v>0.39174500000000001</v>
      </c>
      <c r="HD64">
        <v>2.03051</v>
      </c>
      <c r="HE64">
        <v>20.2592</v>
      </c>
      <c r="HF64">
        <v>5.2683499999999999</v>
      </c>
      <c r="HG64">
        <v>12.039899999999999</v>
      </c>
      <c r="HH64">
        <v>4.9660500000000001</v>
      </c>
      <c r="HI64">
        <v>3.30063</v>
      </c>
      <c r="HJ64">
        <v>9999</v>
      </c>
      <c r="HK64">
        <v>9999</v>
      </c>
      <c r="HL64">
        <v>9999</v>
      </c>
      <c r="HM64">
        <v>999.9</v>
      </c>
      <c r="HN64">
        <v>1.86829</v>
      </c>
      <c r="HO64">
        <v>1.87195</v>
      </c>
      <c r="HP64">
        <v>1.8717900000000001</v>
      </c>
      <c r="HQ64">
        <v>1.8712899999999999</v>
      </c>
      <c r="HR64">
        <v>1.8645</v>
      </c>
      <c r="HS64">
        <v>1.8656900000000001</v>
      </c>
      <c r="HT64">
        <v>1.86768</v>
      </c>
      <c r="HU64">
        <v>1.87225</v>
      </c>
      <c r="HV64">
        <v>0</v>
      </c>
      <c r="HW64">
        <v>0</v>
      </c>
      <c r="HX64">
        <v>0</v>
      </c>
      <c r="HY64">
        <v>0</v>
      </c>
      <c r="HZ64" t="s">
        <v>424</v>
      </c>
      <c r="IA64" t="s">
        <v>425</v>
      </c>
      <c r="IB64" t="s">
        <v>426</v>
      </c>
      <c r="IC64" t="s">
        <v>426</v>
      </c>
      <c r="ID64" t="s">
        <v>426</v>
      </c>
      <c r="IE64" t="s">
        <v>426</v>
      </c>
      <c r="IF64">
        <v>0</v>
      </c>
      <c r="IG64">
        <v>100</v>
      </c>
      <c r="IH64">
        <v>100</v>
      </c>
      <c r="II64">
        <v>-1.288</v>
      </c>
      <c r="IJ64">
        <v>6.2700000000000006E-2</v>
      </c>
      <c r="IK64">
        <v>-1.090843137065064</v>
      </c>
      <c r="IL64">
        <v>-1.171017271736434E-3</v>
      </c>
      <c r="IM64">
        <v>2.801297040296544E-7</v>
      </c>
      <c r="IN64">
        <v>-3.6238253961199429E-11</v>
      </c>
      <c r="IO64">
        <v>6.2659999999997495E-2</v>
      </c>
      <c r="IP64">
        <v>0</v>
      </c>
      <c r="IQ64">
        <v>0</v>
      </c>
      <c r="IR64">
        <v>0</v>
      </c>
      <c r="IS64">
        <v>0</v>
      </c>
      <c r="IT64">
        <v>2161</v>
      </c>
      <c r="IU64">
        <v>1</v>
      </c>
      <c r="IV64">
        <v>19</v>
      </c>
      <c r="IW64">
        <v>0.8</v>
      </c>
      <c r="IX64">
        <v>0.6</v>
      </c>
      <c r="IY64">
        <v>0.59814500000000004</v>
      </c>
      <c r="IZ64">
        <v>2.5146500000000001</v>
      </c>
      <c r="JA64">
        <v>1.4440900000000001</v>
      </c>
      <c r="JB64">
        <v>2.2827099999999998</v>
      </c>
      <c r="JC64">
        <v>1.54419</v>
      </c>
      <c r="JD64">
        <v>2.4450699999999999</v>
      </c>
      <c r="JE64">
        <v>45.920999999999999</v>
      </c>
      <c r="JF64">
        <v>15.9795</v>
      </c>
      <c r="JG64">
        <v>18</v>
      </c>
      <c r="JH64">
        <v>511.209</v>
      </c>
      <c r="JI64">
        <v>416.58600000000001</v>
      </c>
      <c r="JJ64">
        <v>26.843499999999999</v>
      </c>
      <c r="JK64">
        <v>32.223599999999998</v>
      </c>
      <c r="JL64">
        <v>29.999600000000001</v>
      </c>
      <c r="JM64">
        <v>32.148099999999999</v>
      </c>
      <c r="JN64">
        <v>32.103200000000001</v>
      </c>
      <c r="JO64">
        <v>12.1084</v>
      </c>
      <c r="JP64">
        <v>31.151199999999999</v>
      </c>
      <c r="JQ64">
        <v>0</v>
      </c>
      <c r="JR64">
        <v>26.814</v>
      </c>
      <c r="JS64">
        <v>200</v>
      </c>
      <c r="JT64">
        <v>24.144200000000001</v>
      </c>
      <c r="JU64">
        <v>99.575900000000004</v>
      </c>
      <c r="JV64">
        <v>99.121600000000001</v>
      </c>
    </row>
    <row r="65" spans="1:282" x14ac:dyDescent="0.25">
      <c r="A65">
        <v>49</v>
      </c>
      <c r="B65">
        <v>1689008807</v>
      </c>
      <c r="C65">
        <v>9630</v>
      </c>
      <c r="D65" t="s">
        <v>670</v>
      </c>
      <c r="E65" t="s">
        <v>671</v>
      </c>
      <c r="F65" t="s">
        <v>414</v>
      </c>
      <c r="G65" t="s">
        <v>415</v>
      </c>
      <c r="H65" t="s">
        <v>655</v>
      </c>
      <c r="I65" t="s">
        <v>416</v>
      </c>
      <c r="J65" t="s">
        <v>656</v>
      </c>
      <c r="K65">
        <v>1689008807</v>
      </c>
      <c r="L65">
        <f t="shared" si="46"/>
        <v>4.057468299142393E-3</v>
      </c>
      <c r="M65">
        <f t="shared" si="47"/>
        <v>4.0574682991423927</v>
      </c>
      <c r="N65">
        <f t="shared" si="48"/>
        <v>13.143453200444815</v>
      </c>
      <c r="O65">
        <f t="shared" si="49"/>
        <v>103.82299999999999</v>
      </c>
      <c r="P65">
        <f t="shared" si="50"/>
        <v>27.558525001811585</v>
      </c>
      <c r="Q65">
        <f t="shared" si="51"/>
        <v>2.7354401762975669</v>
      </c>
      <c r="R65">
        <f t="shared" si="52"/>
        <v>10.30539934213</v>
      </c>
      <c r="S65">
        <f t="shared" si="53"/>
        <v>0.29482211099812261</v>
      </c>
      <c r="T65">
        <f t="shared" si="54"/>
        <v>2.9149660719001051</v>
      </c>
      <c r="U65">
        <f t="shared" si="55"/>
        <v>0.27920144876619268</v>
      </c>
      <c r="V65">
        <f t="shared" si="56"/>
        <v>0.17583535961084468</v>
      </c>
      <c r="W65">
        <f t="shared" si="57"/>
        <v>289.55152695859761</v>
      </c>
      <c r="X65">
        <f t="shared" si="58"/>
        <v>31.013136398386148</v>
      </c>
      <c r="Y65">
        <f t="shared" si="59"/>
        <v>29.9209</v>
      </c>
      <c r="Z65">
        <f t="shared" si="60"/>
        <v>4.2411309587714694</v>
      </c>
      <c r="AA65">
        <f t="shared" si="61"/>
        <v>65.533898550552223</v>
      </c>
      <c r="AB65">
        <f t="shared" si="62"/>
        <v>2.8501814569950001</v>
      </c>
      <c r="AC65">
        <f t="shared" si="63"/>
        <v>4.3491712228845927</v>
      </c>
      <c r="AD65">
        <f t="shared" si="64"/>
        <v>1.3909495017764693</v>
      </c>
      <c r="AE65">
        <f t="shared" si="65"/>
        <v>-178.93435199217953</v>
      </c>
      <c r="AF65">
        <f t="shared" si="66"/>
        <v>68.895283740653525</v>
      </c>
      <c r="AG65">
        <f t="shared" si="67"/>
        <v>5.2625664460362032</v>
      </c>
      <c r="AH65">
        <f t="shared" si="68"/>
        <v>184.7750251531078</v>
      </c>
      <c r="AI65">
        <v>0</v>
      </c>
      <c r="AJ65">
        <v>0</v>
      </c>
      <c r="AK65">
        <f t="shared" si="69"/>
        <v>1</v>
      </c>
      <c r="AL65">
        <f t="shared" si="70"/>
        <v>0</v>
      </c>
      <c r="AM65">
        <f t="shared" si="71"/>
        <v>51857.874707620351</v>
      </c>
      <c r="AN65" t="s">
        <v>418</v>
      </c>
      <c r="AO65">
        <v>10076.700000000001</v>
      </c>
      <c r="AP65">
        <v>185.01599999999999</v>
      </c>
      <c r="AQ65">
        <v>473.06</v>
      </c>
      <c r="AR65">
        <f t="shared" si="72"/>
        <v>0.60889527755464423</v>
      </c>
      <c r="AS65">
        <v>-1.4827006201179751</v>
      </c>
      <c r="AT65" t="s">
        <v>672</v>
      </c>
      <c r="AU65">
        <v>8088.84</v>
      </c>
      <c r="AV65">
        <v>639.46442307692314</v>
      </c>
      <c r="AW65">
        <v>748.3690281926863</v>
      </c>
      <c r="AX65">
        <f t="shared" si="73"/>
        <v>0.14552259782686106</v>
      </c>
      <c r="AY65">
        <v>0.5</v>
      </c>
      <c r="AZ65">
        <f t="shared" si="74"/>
        <v>1513.1087994604131</v>
      </c>
      <c r="BA65">
        <f t="shared" si="75"/>
        <v>13.143453200444815</v>
      </c>
      <c r="BB65">
        <f t="shared" si="76"/>
        <v>110.09576164608113</v>
      </c>
      <c r="BC65">
        <f t="shared" si="77"/>
        <v>9.6662935446404103E-3</v>
      </c>
      <c r="BD65">
        <f t="shared" si="78"/>
        <v>-0.367878703983192</v>
      </c>
      <c r="BE65">
        <f t="shared" si="79"/>
        <v>216.10966355037627</v>
      </c>
      <c r="BF65" t="s">
        <v>673</v>
      </c>
      <c r="BG65">
        <v>547.41</v>
      </c>
      <c r="BH65">
        <f t="shared" si="80"/>
        <v>547.41</v>
      </c>
      <c r="BI65">
        <f t="shared" si="81"/>
        <v>0.26852932259637075</v>
      </c>
      <c r="BJ65">
        <f t="shared" si="82"/>
        <v>0.5419244215857858</v>
      </c>
      <c r="BK65">
        <f t="shared" si="83"/>
        <v>3.7028786576017003</v>
      </c>
      <c r="BL65">
        <f t="shared" si="84"/>
        <v>0.19331502568672446</v>
      </c>
      <c r="BM65">
        <f t="shared" si="85"/>
        <v>-0.9557881024867253</v>
      </c>
      <c r="BN65">
        <f t="shared" si="86"/>
        <v>0.4639114185475014</v>
      </c>
      <c r="BO65">
        <f t="shared" si="87"/>
        <v>0.5360885814524986</v>
      </c>
      <c r="BP65">
        <v>9151</v>
      </c>
      <c r="BQ65">
        <v>290.00000000000011</v>
      </c>
      <c r="BR65">
        <v>712.63</v>
      </c>
      <c r="BS65">
        <v>255</v>
      </c>
      <c r="BT65">
        <v>8088.84</v>
      </c>
      <c r="BU65">
        <v>713.88</v>
      </c>
      <c r="BV65">
        <v>-1.25</v>
      </c>
      <c r="BW65">
        <v>300.00000000000011</v>
      </c>
      <c r="BX65">
        <v>19.2</v>
      </c>
      <c r="BY65">
        <v>748.3690281926863</v>
      </c>
      <c r="BZ65">
        <v>2.5342541729835149</v>
      </c>
      <c r="CA65">
        <v>-27.90042119716043</v>
      </c>
      <c r="CB65">
        <v>1.883305464271281</v>
      </c>
      <c r="CC65">
        <v>0.88685608657315984</v>
      </c>
      <c r="CD65">
        <v>-4.166219799777532E-3</v>
      </c>
      <c r="CE65">
        <v>289.99999999999989</v>
      </c>
      <c r="CF65">
        <v>712.69</v>
      </c>
      <c r="CG65">
        <v>655</v>
      </c>
      <c r="CH65">
        <v>8080.35</v>
      </c>
      <c r="CI65">
        <v>713.84</v>
      </c>
      <c r="CJ65">
        <v>-1.1499999999999999</v>
      </c>
      <c r="CX65">
        <f t="shared" si="88"/>
        <v>1799.91</v>
      </c>
      <c r="CY65">
        <f t="shared" si="89"/>
        <v>1513.1087994604131</v>
      </c>
      <c r="CZ65">
        <f t="shared" si="90"/>
        <v>0.84065803260185956</v>
      </c>
      <c r="DA65">
        <f t="shared" si="91"/>
        <v>0.16087000292158918</v>
      </c>
      <c r="DB65">
        <v>6</v>
      </c>
      <c r="DC65">
        <v>0.5</v>
      </c>
      <c r="DD65" t="s">
        <v>421</v>
      </c>
      <c r="DE65">
        <v>2</v>
      </c>
      <c r="DF65">
        <v>1689008807</v>
      </c>
      <c r="DG65">
        <v>103.82299999999999</v>
      </c>
      <c r="DH65">
        <v>120.096</v>
      </c>
      <c r="DI65">
        <v>28.714500000000001</v>
      </c>
      <c r="DJ65">
        <v>23.986699999999999</v>
      </c>
      <c r="DK65">
        <v>104.96299999999999</v>
      </c>
      <c r="DL65">
        <v>28.6616</v>
      </c>
      <c r="DM65">
        <v>500.14299999999997</v>
      </c>
      <c r="DN65">
        <v>99.159099999999995</v>
      </c>
      <c r="DO65">
        <v>0.10020999999999999</v>
      </c>
      <c r="DP65">
        <v>30.359300000000001</v>
      </c>
      <c r="DQ65">
        <v>29.9209</v>
      </c>
      <c r="DR65">
        <v>999.9</v>
      </c>
      <c r="DS65">
        <v>0</v>
      </c>
      <c r="DT65">
        <v>0</v>
      </c>
      <c r="DU65">
        <v>10001.200000000001</v>
      </c>
      <c r="DV65">
        <v>0</v>
      </c>
      <c r="DW65">
        <v>499.50400000000002</v>
      </c>
      <c r="DX65">
        <v>-16.272400000000001</v>
      </c>
      <c r="DY65">
        <v>106.893</v>
      </c>
      <c r="DZ65">
        <v>123.047</v>
      </c>
      <c r="EA65">
        <v>4.7278000000000002</v>
      </c>
      <c r="EB65">
        <v>120.096</v>
      </c>
      <c r="EC65">
        <v>23.986699999999999</v>
      </c>
      <c r="ED65">
        <v>2.8473099999999998</v>
      </c>
      <c r="EE65">
        <v>2.3784999999999998</v>
      </c>
      <c r="EF65">
        <v>23.161000000000001</v>
      </c>
      <c r="EG65">
        <v>20.2182</v>
      </c>
      <c r="EH65">
        <v>1799.91</v>
      </c>
      <c r="EI65">
        <v>0.97800299999999996</v>
      </c>
      <c r="EJ65">
        <v>2.1997200000000001E-2</v>
      </c>
      <c r="EK65">
        <v>0</v>
      </c>
      <c r="EL65">
        <v>638.87599999999998</v>
      </c>
      <c r="EM65">
        <v>5.00082</v>
      </c>
      <c r="EN65">
        <v>13415.2</v>
      </c>
      <c r="EO65">
        <v>14129.1</v>
      </c>
      <c r="EP65">
        <v>48</v>
      </c>
      <c r="EQ65">
        <v>48.811999999999998</v>
      </c>
      <c r="ER65">
        <v>48.75</v>
      </c>
      <c r="ES65">
        <v>48.811999999999998</v>
      </c>
      <c r="ET65">
        <v>49.311999999999998</v>
      </c>
      <c r="EU65">
        <v>1755.43</v>
      </c>
      <c r="EV65">
        <v>39.479999999999997</v>
      </c>
      <c r="EW65">
        <v>0</v>
      </c>
      <c r="EX65">
        <v>119.4000000953674</v>
      </c>
      <c r="EY65">
        <v>0</v>
      </c>
      <c r="EZ65">
        <v>639.46442307692314</v>
      </c>
      <c r="FA65">
        <v>-3.759213680389307</v>
      </c>
      <c r="FB65">
        <v>-61.032478687980863</v>
      </c>
      <c r="FC65">
        <v>13424.153846153849</v>
      </c>
      <c r="FD65">
        <v>15</v>
      </c>
      <c r="FE65">
        <v>1689008769</v>
      </c>
      <c r="FF65" t="s">
        <v>674</v>
      </c>
      <c r="FG65">
        <v>1689008757</v>
      </c>
      <c r="FH65">
        <v>1689008769</v>
      </c>
      <c r="FI65">
        <v>56</v>
      </c>
      <c r="FJ65">
        <v>7.0999999999999994E-2</v>
      </c>
      <c r="FK65">
        <v>-0.01</v>
      </c>
      <c r="FL65">
        <v>-1.157</v>
      </c>
      <c r="FM65">
        <v>5.2999999999999999E-2</v>
      </c>
      <c r="FN65">
        <v>120</v>
      </c>
      <c r="FO65">
        <v>24</v>
      </c>
      <c r="FP65">
        <v>0.11</v>
      </c>
      <c r="FQ65">
        <v>0.02</v>
      </c>
      <c r="FR65">
        <v>13.18226348228176</v>
      </c>
      <c r="FS65">
        <v>6.9440239515976651E-2</v>
      </c>
      <c r="FT65">
        <v>2.0036115465732519E-2</v>
      </c>
      <c r="FU65">
        <v>1</v>
      </c>
      <c r="FV65">
        <v>0.28979427503769789</v>
      </c>
      <c r="FW65">
        <v>4.2740054611319613E-2</v>
      </c>
      <c r="FX65">
        <v>3.655671994661506E-3</v>
      </c>
      <c r="FY65">
        <v>1</v>
      </c>
      <c r="FZ65">
        <v>2</v>
      </c>
      <c r="GA65">
        <v>2</v>
      </c>
      <c r="GB65" t="s">
        <v>423</v>
      </c>
      <c r="GC65">
        <v>2.9453</v>
      </c>
      <c r="GD65">
        <v>2.7088800000000002</v>
      </c>
      <c r="GE65">
        <v>2.7259100000000001E-2</v>
      </c>
      <c r="GF65">
        <v>3.1086599999999999E-2</v>
      </c>
      <c r="GG65">
        <v>0.12828200000000001</v>
      </c>
      <c r="GH65">
        <v>0.113311</v>
      </c>
      <c r="GI65">
        <v>32043.9</v>
      </c>
      <c r="GJ65">
        <v>31124.9</v>
      </c>
      <c r="GK65">
        <v>33938.400000000001</v>
      </c>
      <c r="GL65">
        <v>32162.2</v>
      </c>
      <c r="GM65">
        <v>42691.1</v>
      </c>
      <c r="GN65">
        <v>40572.300000000003</v>
      </c>
      <c r="GO65">
        <v>49136.7</v>
      </c>
      <c r="GP65">
        <v>45526.9</v>
      </c>
      <c r="GQ65">
        <v>1.9895499999999999</v>
      </c>
      <c r="GR65">
        <v>1.782</v>
      </c>
      <c r="GS65">
        <v>6.86422E-2</v>
      </c>
      <c r="GT65">
        <v>0</v>
      </c>
      <c r="GU65">
        <v>28.802700000000002</v>
      </c>
      <c r="GV65">
        <v>999.9</v>
      </c>
      <c r="GW65">
        <v>36</v>
      </c>
      <c r="GX65">
        <v>43.2</v>
      </c>
      <c r="GY65">
        <v>31.872</v>
      </c>
      <c r="GZ65">
        <v>60.162300000000002</v>
      </c>
      <c r="HA65">
        <v>26.085699999999999</v>
      </c>
      <c r="HB65">
        <v>1</v>
      </c>
      <c r="HC65">
        <v>0.37894600000000001</v>
      </c>
      <c r="HD65">
        <v>1.25827</v>
      </c>
      <c r="HE65">
        <v>20.267600000000002</v>
      </c>
      <c r="HF65">
        <v>5.2701500000000001</v>
      </c>
      <c r="HG65">
        <v>12.039899999999999</v>
      </c>
      <c r="HH65">
        <v>4.9664999999999999</v>
      </c>
      <c r="HI65">
        <v>3.3010000000000002</v>
      </c>
      <c r="HJ65">
        <v>9999</v>
      </c>
      <c r="HK65">
        <v>9999</v>
      </c>
      <c r="HL65">
        <v>9999</v>
      </c>
      <c r="HM65">
        <v>999.9</v>
      </c>
      <c r="HN65">
        <v>1.86829</v>
      </c>
      <c r="HO65">
        <v>1.87195</v>
      </c>
      <c r="HP65">
        <v>1.8717900000000001</v>
      </c>
      <c r="HQ65">
        <v>1.87127</v>
      </c>
      <c r="HR65">
        <v>1.86452</v>
      </c>
      <c r="HS65">
        <v>1.8656900000000001</v>
      </c>
      <c r="HT65">
        <v>1.86768</v>
      </c>
      <c r="HU65">
        <v>1.87225</v>
      </c>
      <c r="HV65">
        <v>0</v>
      </c>
      <c r="HW65">
        <v>0</v>
      </c>
      <c r="HX65">
        <v>0</v>
      </c>
      <c r="HY65">
        <v>0</v>
      </c>
      <c r="HZ65" t="s">
        <v>424</v>
      </c>
      <c r="IA65" t="s">
        <v>425</v>
      </c>
      <c r="IB65" t="s">
        <v>426</v>
      </c>
      <c r="IC65" t="s">
        <v>426</v>
      </c>
      <c r="ID65" t="s">
        <v>426</v>
      </c>
      <c r="IE65" t="s">
        <v>426</v>
      </c>
      <c r="IF65">
        <v>0</v>
      </c>
      <c r="IG65">
        <v>100</v>
      </c>
      <c r="IH65">
        <v>100</v>
      </c>
      <c r="II65">
        <v>-1.1399999999999999</v>
      </c>
      <c r="IJ65">
        <v>5.2900000000000003E-2</v>
      </c>
      <c r="IK65">
        <v>-1.019792109763203</v>
      </c>
      <c r="IL65">
        <v>-1.171017271736434E-3</v>
      </c>
      <c r="IM65">
        <v>2.801297040296544E-7</v>
      </c>
      <c r="IN65">
        <v>-3.6238253961199429E-11</v>
      </c>
      <c r="IO65">
        <v>5.293000000001058E-2</v>
      </c>
      <c r="IP65">
        <v>0</v>
      </c>
      <c r="IQ65">
        <v>0</v>
      </c>
      <c r="IR65">
        <v>0</v>
      </c>
      <c r="IS65">
        <v>0</v>
      </c>
      <c r="IT65">
        <v>2161</v>
      </c>
      <c r="IU65">
        <v>1</v>
      </c>
      <c r="IV65">
        <v>19</v>
      </c>
      <c r="IW65">
        <v>0.8</v>
      </c>
      <c r="IX65">
        <v>0.6</v>
      </c>
      <c r="IY65">
        <v>0.41626000000000002</v>
      </c>
      <c r="IZ65">
        <v>2.5354000000000001</v>
      </c>
      <c r="JA65">
        <v>1.4440900000000001</v>
      </c>
      <c r="JB65">
        <v>2.2827099999999998</v>
      </c>
      <c r="JC65">
        <v>1.54419</v>
      </c>
      <c r="JD65">
        <v>2.4267599999999998</v>
      </c>
      <c r="JE65">
        <v>45.661799999999999</v>
      </c>
      <c r="JF65">
        <v>15.9795</v>
      </c>
      <c r="JG65">
        <v>18</v>
      </c>
      <c r="JH65">
        <v>511.42200000000003</v>
      </c>
      <c r="JI65">
        <v>416.88600000000002</v>
      </c>
      <c r="JJ65">
        <v>27.235399999999998</v>
      </c>
      <c r="JK65">
        <v>32.087800000000001</v>
      </c>
      <c r="JL65">
        <v>29.999099999999999</v>
      </c>
      <c r="JM65">
        <v>32.009099999999997</v>
      </c>
      <c r="JN65">
        <v>31.961500000000001</v>
      </c>
      <c r="JO65">
        <v>8.4455200000000001</v>
      </c>
      <c r="JP65">
        <v>30.906400000000001</v>
      </c>
      <c r="JQ65">
        <v>0</v>
      </c>
      <c r="JR65">
        <v>27.273</v>
      </c>
      <c r="JS65">
        <v>120</v>
      </c>
      <c r="JT65">
        <v>23.938600000000001</v>
      </c>
      <c r="JU65">
        <v>99.599400000000003</v>
      </c>
      <c r="JV65">
        <v>99.149299999999997</v>
      </c>
    </row>
    <row r="66" spans="1:282" x14ac:dyDescent="0.25">
      <c r="A66">
        <v>50</v>
      </c>
      <c r="B66">
        <v>1689008934</v>
      </c>
      <c r="C66">
        <v>9757</v>
      </c>
      <c r="D66" t="s">
        <v>675</v>
      </c>
      <c r="E66" t="s">
        <v>676</v>
      </c>
      <c r="F66" t="s">
        <v>414</v>
      </c>
      <c r="G66" t="s">
        <v>415</v>
      </c>
      <c r="H66" t="s">
        <v>655</v>
      </c>
      <c r="I66" t="s">
        <v>416</v>
      </c>
      <c r="J66" t="s">
        <v>656</v>
      </c>
      <c r="K66">
        <v>1689008934</v>
      </c>
      <c r="L66">
        <f t="shared" si="46"/>
        <v>4.2429111076972125E-3</v>
      </c>
      <c r="M66">
        <f t="shared" si="47"/>
        <v>4.2429111076972124</v>
      </c>
      <c r="N66">
        <f t="shared" si="48"/>
        <v>7.960860659668004</v>
      </c>
      <c r="O66">
        <f t="shared" si="49"/>
        <v>60.278199999999998</v>
      </c>
      <c r="P66">
        <f t="shared" si="50"/>
        <v>15.86300105065736</v>
      </c>
      <c r="Q66">
        <f t="shared" si="51"/>
        <v>1.5745844967438738</v>
      </c>
      <c r="R66">
        <f t="shared" si="52"/>
        <v>5.9833015775847409</v>
      </c>
      <c r="S66">
        <f t="shared" si="53"/>
        <v>0.3072056975303471</v>
      </c>
      <c r="T66">
        <f t="shared" si="54"/>
        <v>2.9160070988154532</v>
      </c>
      <c r="U66">
        <f t="shared" si="55"/>
        <v>0.29029134502235165</v>
      </c>
      <c r="V66">
        <f t="shared" si="56"/>
        <v>0.18287412925421193</v>
      </c>
      <c r="W66">
        <f t="shared" si="57"/>
        <v>289.56269895863807</v>
      </c>
      <c r="X66">
        <f t="shared" si="58"/>
        <v>31.104803212096549</v>
      </c>
      <c r="Y66">
        <f t="shared" si="59"/>
        <v>29.9908</v>
      </c>
      <c r="Z66">
        <f t="shared" si="60"/>
        <v>4.2581988967422122</v>
      </c>
      <c r="AA66">
        <f t="shared" si="61"/>
        <v>65.220305055185662</v>
      </c>
      <c r="AB66">
        <f t="shared" si="62"/>
        <v>2.8594047580247604</v>
      </c>
      <c r="AC66">
        <f t="shared" si="63"/>
        <v>4.3842247527135871</v>
      </c>
      <c r="AD66">
        <f t="shared" si="64"/>
        <v>1.3987941387174518</v>
      </c>
      <c r="AE66">
        <f t="shared" si="65"/>
        <v>-187.11237984944708</v>
      </c>
      <c r="AF66">
        <f t="shared" si="66"/>
        <v>79.971594995658165</v>
      </c>
      <c r="AG66">
        <f t="shared" si="67"/>
        <v>6.1128013874107126</v>
      </c>
      <c r="AH66">
        <f t="shared" si="68"/>
        <v>188.53471549225989</v>
      </c>
      <c r="AI66">
        <v>0</v>
      </c>
      <c r="AJ66">
        <v>0</v>
      </c>
      <c r="AK66">
        <f t="shared" si="69"/>
        <v>1</v>
      </c>
      <c r="AL66">
        <f t="shared" si="70"/>
        <v>0</v>
      </c>
      <c r="AM66">
        <f t="shared" si="71"/>
        <v>51863.557911478645</v>
      </c>
      <c r="AN66" t="s">
        <v>418</v>
      </c>
      <c r="AO66">
        <v>10076.700000000001</v>
      </c>
      <c r="AP66">
        <v>185.01599999999999</v>
      </c>
      <c r="AQ66">
        <v>473.06</v>
      </c>
      <c r="AR66">
        <f t="shared" si="72"/>
        <v>0.60889527755464423</v>
      </c>
      <c r="AS66">
        <v>-1.4827006201179751</v>
      </c>
      <c r="AT66" t="s">
        <v>677</v>
      </c>
      <c r="AU66">
        <v>8087.13</v>
      </c>
      <c r="AV66">
        <v>643.95192307692309</v>
      </c>
      <c r="AW66">
        <v>713.84076129339178</v>
      </c>
      <c r="AX66">
        <f t="shared" si="73"/>
        <v>9.7905362100419557E-2</v>
      </c>
      <c r="AY66">
        <v>0.5</v>
      </c>
      <c r="AZ66">
        <f t="shared" si="74"/>
        <v>1513.1675994604343</v>
      </c>
      <c r="BA66">
        <f t="shared" si="75"/>
        <v>7.960860659668004</v>
      </c>
      <c r="BB66">
        <f t="shared" si="76"/>
        <v>74.073610871898225</v>
      </c>
      <c r="BC66">
        <f t="shared" si="77"/>
        <v>6.2409222105689853E-3</v>
      </c>
      <c r="BD66">
        <f t="shared" si="78"/>
        <v>-0.33730318349589145</v>
      </c>
      <c r="BE66">
        <f t="shared" si="79"/>
        <v>213.13264329421546</v>
      </c>
      <c r="BF66" t="s">
        <v>678</v>
      </c>
      <c r="BG66">
        <v>553.61</v>
      </c>
      <c r="BH66">
        <f t="shared" si="80"/>
        <v>553.61</v>
      </c>
      <c r="BI66">
        <f t="shared" si="81"/>
        <v>0.22446289142003228</v>
      </c>
      <c r="BJ66">
        <f t="shared" si="82"/>
        <v>0.43617616025987788</v>
      </c>
      <c r="BK66">
        <f t="shared" si="83"/>
        <v>2.9892087063115054</v>
      </c>
      <c r="BL66">
        <f t="shared" si="84"/>
        <v>0.1321587855408578</v>
      </c>
      <c r="BM66">
        <f t="shared" si="85"/>
        <v>-0.83591660056585726</v>
      </c>
      <c r="BN66">
        <f t="shared" si="86"/>
        <v>0.374983714510355</v>
      </c>
      <c r="BO66">
        <f t="shared" si="87"/>
        <v>0.62501628548964505</v>
      </c>
      <c r="BP66">
        <v>9153</v>
      </c>
      <c r="BQ66">
        <v>290.00000000000011</v>
      </c>
      <c r="BR66">
        <v>691.86</v>
      </c>
      <c r="BS66">
        <v>265</v>
      </c>
      <c r="BT66">
        <v>8087.13</v>
      </c>
      <c r="BU66">
        <v>691.77</v>
      </c>
      <c r="BV66">
        <v>0.09</v>
      </c>
      <c r="BW66">
        <v>300.00000000000011</v>
      </c>
      <c r="BX66">
        <v>19.2</v>
      </c>
      <c r="BY66">
        <v>713.84076129339178</v>
      </c>
      <c r="BZ66">
        <v>2.0581803255948179</v>
      </c>
      <c r="CA66">
        <v>-17.84546295268596</v>
      </c>
      <c r="CB66">
        <v>1.5292806556185361</v>
      </c>
      <c r="CC66">
        <v>0.82944502569674805</v>
      </c>
      <c r="CD66">
        <v>-4.1656912124582949E-3</v>
      </c>
      <c r="CE66">
        <v>289.99999999999989</v>
      </c>
      <c r="CF66">
        <v>690.39</v>
      </c>
      <c r="CG66">
        <v>665</v>
      </c>
      <c r="CH66">
        <v>8078.83</v>
      </c>
      <c r="CI66">
        <v>691.75</v>
      </c>
      <c r="CJ66">
        <v>-1.36</v>
      </c>
      <c r="CX66">
        <f t="shared" si="88"/>
        <v>1799.98</v>
      </c>
      <c r="CY66">
        <f t="shared" si="89"/>
        <v>1513.1675994604343</v>
      </c>
      <c r="CZ66">
        <f t="shared" si="90"/>
        <v>0.84065800701143023</v>
      </c>
      <c r="DA66">
        <f t="shared" si="91"/>
        <v>0.16086995353206041</v>
      </c>
      <c r="DB66">
        <v>6</v>
      </c>
      <c r="DC66">
        <v>0.5</v>
      </c>
      <c r="DD66" t="s">
        <v>421</v>
      </c>
      <c r="DE66">
        <v>2</v>
      </c>
      <c r="DF66">
        <v>1689008934</v>
      </c>
      <c r="DG66">
        <v>60.278199999999998</v>
      </c>
      <c r="DH66">
        <v>70.135300000000001</v>
      </c>
      <c r="DI66">
        <v>28.806799999999999</v>
      </c>
      <c r="DJ66">
        <v>23.863399999999999</v>
      </c>
      <c r="DK66">
        <v>61.335000000000001</v>
      </c>
      <c r="DL66">
        <v>28.7515</v>
      </c>
      <c r="DM66">
        <v>500.14400000000001</v>
      </c>
      <c r="DN66">
        <v>99.161600000000007</v>
      </c>
      <c r="DO66">
        <v>9.9850700000000001E-2</v>
      </c>
      <c r="DP66">
        <v>30.499500000000001</v>
      </c>
      <c r="DQ66">
        <v>29.9908</v>
      </c>
      <c r="DR66">
        <v>999.9</v>
      </c>
      <c r="DS66">
        <v>0</v>
      </c>
      <c r="DT66">
        <v>0</v>
      </c>
      <c r="DU66">
        <v>10006.9</v>
      </c>
      <c r="DV66">
        <v>0</v>
      </c>
      <c r="DW66">
        <v>512.37199999999996</v>
      </c>
      <c r="DX66">
        <v>-9.8570600000000006</v>
      </c>
      <c r="DY66">
        <v>62.066099999999999</v>
      </c>
      <c r="DZ66">
        <v>71.849900000000005</v>
      </c>
      <c r="EA66">
        <v>4.9433800000000003</v>
      </c>
      <c r="EB66">
        <v>70.135300000000001</v>
      </c>
      <c r="EC66">
        <v>23.863399999999999</v>
      </c>
      <c r="ED66">
        <v>2.8565200000000002</v>
      </c>
      <c r="EE66">
        <v>2.36633</v>
      </c>
      <c r="EF66">
        <v>23.214400000000001</v>
      </c>
      <c r="EG66">
        <v>20.135200000000001</v>
      </c>
      <c r="EH66">
        <v>1799.98</v>
      </c>
      <c r="EI66">
        <v>0.97800600000000004</v>
      </c>
      <c r="EJ66">
        <v>2.1993599999999999E-2</v>
      </c>
      <c r="EK66">
        <v>0</v>
      </c>
      <c r="EL66">
        <v>643.79100000000005</v>
      </c>
      <c r="EM66">
        <v>5.00082</v>
      </c>
      <c r="EN66">
        <v>13507.6</v>
      </c>
      <c r="EO66">
        <v>14129.7</v>
      </c>
      <c r="EP66">
        <v>48.186999999999998</v>
      </c>
      <c r="EQ66">
        <v>48.811999999999998</v>
      </c>
      <c r="ER66">
        <v>48.875</v>
      </c>
      <c r="ES66">
        <v>48.811999999999998</v>
      </c>
      <c r="ET66">
        <v>49.436999999999998</v>
      </c>
      <c r="EU66">
        <v>1755.5</v>
      </c>
      <c r="EV66">
        <v>39.479999999999997</v>
      </c>
      <c r="EW66">
        <v>0</v>
      </c>
      <c r="EX66">
        <v>125</v>
      </c>
      <c r="EY66">
        <v>0</v>
      </c>
      <c r="EZ66">
        <v>643.95192307692309</v>
      </c>
      <c r="FA66">
        <v>-1.604717960735901</v>
      </c>
      <c r="FB66">
        <v>-19.562393196275242</v>
      </c>
      <c r="FC66">
        <v>13508.26153846154</v>
      </c>
      <c r="FD66">
        <v>15</v>
      </c>
      <c r="FE66">
        <v>1689008899</v>
      </c>
      <c r="FF66" t="s">
        <v>679</v>
      </c>
      <c r="FG66">
        <v>1689008898.5</v>
      </c>
      <c r="FH66">
        <v>1689008899</v>
      </c>
      <c r="FI66">
        <v>57</v>
      </c>
      <c r="FJ66">
        <v>3.4000000000000002E-2</v>
      </c>
      <c r="FK66">
        <v>2E-3</v>
      </c>
      <c r="FL66">
        <v>-1.0680000000000001</v>
      </c>
      <c r="FM66">
        <v>5.5E-2</v>
      </c>
      <c r="FN66">
        <v>70</v>
      </c>
      <c r="FO66">
        <v>24</v>
      </c>
      <c r="FP66">
        <v>0.11</v>
      </c>
      <c r="FQ66">
        <v>0.02</v>
      </c>
      <c r="FR66">
        <v>8.063295719899461</v>
      </c>
      <c r="FS66">
        <v>-0.20593974192333239</v>
      </c>
      <c r="FT66">
        <v>2.6897659754588299E-2</v>
      </c>
      <c r="FU66">
        <v>1</v>
      </c>
      <c r="FV66">
        <v>0.30667806352305049</v>
      </c>
      <c r="FW66">
        <v>4.4248191415773089E-2</v>
      </c>
      <c r="FX66">
        <v>3.9820102438039686E-3</v>
      </c>
      <c r="FY66">
        <v>1</v>
      </c>
      <c r="FZ66">
        <v>2</v>
      </c>
      <c r="GA66">
        <v>2</v>
      </c>
      <c r="GB66" t="s">
        <v>423</v>
      </c>
      <c r="GC66">
        <v>2.9454400000000001</v>
      </c>
      <c r="GD66">
        <v>2.7085699999999999</v>
      </c>
      <c r="GE66">
        <v>1.6164399999999999E-2</v>
      </c>
      <c r="GF66">
        <v>1.85069E-2</v>
      </c>
      <c r="GG66">
        <v>0.12862499999999999</v>
      </c>
      <c r="GH66">
        <v>0.11296299999999999</v>
      </c>
      <c r="GI66">
        <v>32426.400000000001</v>
      </c>
      <c r="GJ66">
        <v>31545.1</v>
      </c>
      <c r="GK66">
        <v>33955.4</v>
      </c>
      <c r="GL66">
        <v>32177.9</v>
      </c>
      <c r="GM66">
        <v>42691.6</v>
      </c>
      <c r="GN66">
        <v>40606.800000000003</v>
      </c>
      <c r="GO66">
        <v>49158.1</v>
      </c>
      <c r="GP66">
        <v>45548.7</v>
      </c>
      <c r="GQ66">
        <v>1.9923</v>
      </c>
      <c r="GR66">
        <v>1.7857700000000001</v>
      </c>
      <c r="GS66">
        <v>8.5540099999999994E-2</v>
      </c>
      <c r="GT66">
        <v>0</v>
      </c>
      <c r="GU66">
        <v>28.597100000000001</v>
      </c>
      <c r="GV66">
        <v>999.9</v>
      </c>
      <c r="GW66">
        <v>35.799999999999997</v>
      </c>
      <c r="GX66">
        <v>43</v>
      </c>
      <c r="GY66">
        <v>31.366499999999998</v>
      </c>
      <c r="GZ66">
        <v>60.332299999999996</v>
      </c>
      <c r="HA66">
        <v>25.508800000000001</v>
      </c>
      <c r="HB66">
        <v>1</v>
      </c>
      <c r="HC66">
        <v>0.35952699999999999</v>
      </c>
      <c r="HD66">
        <v>0.916381</v>
      </c>
      <c r="HE66">
        <v>20.2697</v>
      </c>
      <c r="HF66">
        <v>5.2665600000000001</v>
      </c>
      <c r="HG66">
        <v>12.039899999999999</v>
      </c>
      <c r="HH66">
        <v>4.9659000000000004</v>
      </c>
      <c r="HI66">
        <v>3.3002500000000001</v>
      </c>
      <c r="HJ66">
        <v>9999</v>
      </c>
      <c r="HK66">
        <v>9999</v>
      </c>
      <c r="HL66">
        <v>9999</v>
      </c>
      <c r="HM66">
        <v>999.9</v>
      </c>
      <c r="HN66">
        <v>1.86829</v>
      </c>
      <c r="HO66">
        <v>1.87195</v>
      </c>
      <c r="HP66">
        <v>1.87178</v>
      </c>
      <c r="HQ66">
        <v>1.8712599999999999</v>
      </c>
      <c r="HR66">
        <v>1.86452</v>
      </c>
      <c r="HS66">
        <v>1.8656900000000001</v>
      </c>
      <c r="HT66">
        <v>1.86768</v>
      </c>
      <c r="HU66">
        <v>1.87225</v>
      </c>
      <c r="HV66">
        <v>0</v>
      </c>
      <c r="HW66">
        <v>0</v>
      </c>
      <c r="HX66">
        <v>0</v>
      </c>
      <c r="HY66">
        <v>0</v>
      </c>
      <c r="HZ66" t="s">
        <v>424</v>
      </c>
      <c r="IA66" t="s">
        <v>425</v>
      </c>
      <c r="IB66" t="s">
        <v>426</v>
      </c>
      <c r="IC66" t="s">
        <v>426</v>
      </c>
      <c r="ID66" t="s">
        <v>426</v>
      </c>
      <c r="IE66" t="s">
        <v>426</v>
      </c>
      <c r="IF66">
        <v>0</v>
      </c>
      <c r="IG66">
        <v>100</v>
      </c>
      <c r="IH66">
        <v>100</v>
      </c>
      <c r="II66">
        <v>-1.0569999999999999</v>
      </c>
      <c r="IJ66">
        <v>5.5300000000000002E-2</v>
      </c>
      <c r="IK66">
        <v>-0.98601642019203051</v>
      </c>
      <c r="IL66">
        <v>-1.171017271736434E-3</v>
      </c>
      <c r="IM66">
        <v>2.801297040296544E-7</v>
      </c>
      <c r="IN66">
        <v>-3.6238253961199429E-11</v>
      </c>
      <c r="IO66">
        <v>5.5290476190478437E-2</v>
      </c>
      <c r="IP66">
        <v>0</v>
      </c>
      <c r="IQ66">
        <v>0</v>
      </c>
      <c r="IR66">
        <v>0</v>
      </c>
      <c r="IS66">
        <v>0</v>
      </c>
      <c r="IT66">
        <v>2161</v>
      </c>
      <c r="IU66">
        <v>1</v>
      </c>
      <c r="IV66">
        <v>19</v>
      </c>
      <c r="IW66">
        <v>0.6</v>
      </c>
      <c r="IX66">
        <v>0.6</v>
      </c>
      <c r="IY66">
        <v>0.301514</v>
      </c>
      <c r="IZ66">
        <v>2.5500500000000001</v>
      </c>
      <c r="JA66">
        <v>1.4440900000000001</v>
      </c>
      <c r="JB66">
        <v>2.2814899999999998</v>
      </c>
      <c r="JC66">
        <v>1.54419</v>
      </c>
      <c r="JD66">
        <v>2.4438499999999999</v>
      </c>
      <c r="JE66">
        <v>45.318800000000003</v>
      </c>
      <c r="JF66">
        <v>15.962</v>
      </c>
      <c r="JG66">
        <v>18</v>
      </c>
      <c r="JH66">
        <v>511.483</v>
      </c>
      <c r="JI66">
        <v>417.709</v>
      </c>
      <c r="JJ66">
        <v>27.8642</v>
      </c>
      <c r="JK66">
        <v>31.859000000000002</v>
      </c>
      <c r="JL66">
        <v>29.999500000000001</v>
      </c>
      <c r="JM66">
        <v>31.796500000000002</v>
      </c>
      <c r="JN66">
        <v>31.748200000000001</v>
      </c>
      <c r="JO66">
        <v>6.1547700000000001</v>
      </c>
      <c r="JP66">
        <v>29.756799999999998</v>
      </c>
      <c r="JQ66">
        <v>0</v>
      </c>
      <c r="JR66">
        <v>27.876100000000001</v>
      </c>
      <c r="JS66">
        <v>70</v>
      </c>
      <c r="JT66">
        <v>23.8415</v>
      </c>
      <c r="JU66">
        <v>99.645399999999995</v>
      </c>
      <c r="JV66">
        <v>99.197199999999995</v>
      </c>
    </row>
    <row r="67" spans="1:282" x14ac:dyDescent="0.25">
      <c r="A67">
        <v>51</v>
      </c>
      <c r="B67">
        <v>1689009044</v>
      </c>
      <c r="C67">
        <v>9867</v>
      </c>
      <c r="D67" t="s">
        <v>680</v>
      </c>
      <c r="E67" t="s">
        <v>681</v>
      </c>
      <c r="F67" t="s">
        <v>414</v>
      </c>
      <c r="G67" t="s">
        <v>415</v>
      </c>
      <c r="H67" t="s">
        <v>655</v>
      </c>
      <c r="I67" t="s">
        <v>416</v>
      </c>
      <c r="J67" t="s">
        <v>656</v>
      </c>
      <c r="K67">
        <v>1689009044</v>
      </c>
      <c r="L67">
        <f t="shared" si="46"/>
        <v>4.3792639256848226E-3</v>
      </c>
      <c r="M67">
        <f t="shared" si="47"/>
        <v>4.3792639256848229</v>
      </c>
      <c r="N67">
        <f t="shared" si="48"/>
        <v>3.5800529110133055</v>
      </c>
      <c r="O67">
        <f t="shared" si="49"/>
        <v>25.645299999999999</v>
      </c>
      <c r="P67">
        <f t="shared" si="50"/>
        <v>6.3353020389115189</v>
      </c>
      <c r="Q67">
        <f t="shared" si="51"/>
        <v>0.62879617985202507</v>
      </c>
      <c r="R67">
        <f t="shared" si="52"/>
        <v>2.54536667267244</v>
      </c>
      <c r="S67">
        <f t="shared" si="53"/>
        <v>0.31806989005299546</v>
      </c>
      <c r="T67">
        <f t="shared" si="54"/>
        <v>2.9161840170142139</v>
      </c>
      <c r="U67">
        <f t="shared" si="55"/>
        <v>0.29997690003271771</v>
      </c>
      <c r="V67">
        <f t="shared" si="56"/>
        <v>0.18902532598832542</v>
      </c>
      <c r="W67">
        <f t="shared" si="57"/>
        <v>289.59200595847847</v>
      </c>
      <c r="X67">
        <f t="shared" si="58"/>
        <v>31.177473581374016</v>
      </c>
      <c r="Y67">
        <f t="shared" si="59"/>
        <v>30.071300000000001</v>
      </c>
      <c r="Z67">
        <f t="shared" si="60"/>
        <v>4.2779292452675017</v>
      </c>
      <c r="AA67">
        <f t="shared" si="61"/>
        <v>65.312935037905532</v>
      </c>
      <c r="AB67">
        <f t="shared" si="62"/>
        <v>2.88122806964016</v>
      </c>
      <c r="AC67">
        <f t="shared" si="63"/>
        <v>4.4114202921182271</v>
      </c>
      <c r="AD67">
        <f t="shared" si="64"/>
        <v>1.3967011756273418</v>
      </c>
      <c r="AE67">
        <f t="shared" si="65"/>
        <v>-193.12553912270067</v>
      </c>
      <c r="AF67">
        <f t="shared" si="66"/>
        <v>84.315644814562575</v>
      </c>
      <c r="AG67">
        <f t="shared" si="67"/>
        <v>6.4504716744378987</v>
      </c>
      <c r="AH67">
        <f t="shared" si="68"/>
        <v>187.23258332477826</v>
      </c>
      <c r="AI67">
        <v>0</v>
      </c>
      <c r="AJ67">
        <v>0</v>
      </c>
      <c r="AK67">
        <f t="shared" si="69"/>
        <v>1</v>
      </c>
      <c r="AL67">
        <f t="shared" si="70"/>
        <v>0</v>
      </c>
      <c r="AM67">
        <f t="shared" si="71"/>
        <v>51849.929560697215</v>
      </c>
      <c r="AN67" t="s">
        <v>418</v>
      </c>
      <c r="AO67">
        <v>10076.700000000001</v>
      </c>
      <c r="AP67">
        <v>185.01599999999999</v>
      </c>
      <c r="AQ67">
        <v>473.06</v>
      </c>
      <c r="AR67">
        <f t="shared" si="72"/>
        <v>0.60889527755464423</v>
      </c>
      <c r="AS67">
        <v>-1.4827006201179751</v>
      </c>
      <c r="AT67" t="s">
        <v>682</v>
      </c>
      <c r="AU67">
        <v>8087.01</v>
      </c>
      <c r="AV67">
        <v>651.69119230769218</v>
      </c>
      <c r="AW67">
        <v>705.1238610894618</v>
      </c>
      <c r="AX67">
        <f t="shared" si="73"/>
        <v>7.5777706202159623E-2</v>
      </c>
      <c r="AY67">
        <v>0.5</v>
      </c>
      <c r="AZ67">
        <f t="shared" si="74"/>
        <v>1513.3190994603515</v>
      </c>
      <c r="BA67">
        <f t="shared" si="75"/>
        <v>3.5800529110133055</v>
      </c>
      <c r="BB67">
        <f t="shared" si="76"/>
        <v>57.337925054511643</v>
      </c>
      <c r="BC67">
        <f t="shared" si="77"/>
        <v>3.3454633149985714E-3</v>
      </c>
      <c r="BD67">
        <f t="shared" si="78"/>
        <v>-0.32911077598609156</v>
      </c>
      <c r="BE67">
        <f t="shared" si="79"/>
        <v>212.34886139900411</v>
      </c>
      <c r="BF67" t="s">
        <v>683</v>
      </c>
      <c r="BG67">
        <v>562.32000000000005</v>
      </c>
      <c r="BH67">
        <f t="shared" si="80"/>
        <v>562.32000000000005</v>
      </c>
      <c r="BI67">
        <f t="shared" si="81"/>
        <v>0.20252308703441202</v>
      </c>
      <c r="BJ67">
        <f t="shared" si="82"/>
        <v>0.3741682358875148</v>
      </c>
      <c r="BK67">
        <f t="shared" si="83"/>
        <v>2.5998640050354207</v>
      </c>
      <c r="BL67">
        <f t="shared" si="84"/>
        <v>0.1027338226917875</v>
      </c>
      <c r="BM67">
        <f t="shared" si="85"/>
        <v>-0.8056542093897523</v>
      </c>
      <c r="BN67">
        <f t="shared" si="86"/>
        <v>0.32285580177816359</v>
      </c>
      <c r="BO67">
        <f t="shared" si="87"/>
        <v>0.67714419822183647</v>
      </c>
      <c r="BP67">
        <v>9155</v>
      </c>
      <c r="BQ67">
        <v>290.00000000000011</v>
      </c>
      <c r="BR67">
        <v>687.4</v>
      </c>
      <c r="BS67">
        <v>295</v>
      </c>
      <c r="BT67">
        <v>8087.01</v>
      </c>
      <c r="BU67">
        <v>686.58</v>
      </c>
      <c r="BV67">
        <v>0.82</v>
      </c>
      <c r="BW67">
        <v>300.00000000000011</v>
      </c>
      <c r="BX67">
        <v>19.2</v>
      </c>
      <c r="BY67">
        <v>705.1238610894618</v>
      </c>
      <c r="BZ67">
        <v>1.969914641082499</v>
      </c>
      <c r="CA67">
        <v>-14.999413088467669</v>
      </c>
      <c r="CB67">
        <v>1.4638472642455289</v>
      </c>
      <c r="CC67">
        <v>0.78946132346898612</v>
      </c>
      <c r="CD67">
        <v>-4.1659201334816459E-3</v>
      </c>
      <c r="CE67">
        <v>289.99999999999989</v>
      </c>
      <c r="CF67">
        <v>685.72</v>
      </c>
      <c r="CG67">
        <v>645</v>
      </c>
      <c r="CH67">
        <v>8080.14</v>
      </c>
      <c r="CI67">
        <v>686.56</v>
      </c>
      <c r="CJ67">
        <v>-0.84</v>
      </c>
      <c r="CX67">
        <f t="shared" si="88"/>
        <v>1800.16</v>
      </c>
      <c r="CY67">
        <f t="shared" si="89"/>
        <v>1513.3190994603515</v>
      </c>
      <c r="CZ67">
        <f t="shared" si="90"/>
        <v>0.84065810786838469</v>
      </c>
      <c r="DA67">
        <f t="shared" si="91"/>
        <v>0.16087014818598261</v>
      </c>
      <c r="DB67">
        <v>6</v>
      </c>
      <c r="DC67">
        <v>0.5</v>
      </c>
      <c r="DD67" t="s">
        <v>421</v>
      </c>
      <c r="DE67">
        <v>2</v>
      </c>
      <c r="DF67">
        <v>1689009044</v>
      </c>
      <c r="DG67">
        <v>25.645299999999999</v>
      </c>
      <c r="DH67">
        <v>30.0746</v>
      </c>
      <c r="DI67">
        <v>29.029199999999999</v>
      </c>
      <c r="DJ67">
        <v>23.9284</v>
      </c>
      <c r="DK67">
        <v>26.643599999999999</v>
      </c>
      <c r="DL67">
        <v>28.971699999999998</v>
      </c>
      <c r="DM67">
        <v>500.173</v>
      </c>
      <c r="DN67">
        <v>99.152799999999999</v>
      </c>
      <c r="DO67">
        <v>9.9954799999999996E-2</v>
      </c>
      <c r="DP67">
        <v>30.607600000000001</v>
      </c>
      <c r="DQ67">
        <v>30.071300000000001</v>
      </c>
      <c r="DR67">
        <v>999.9</v>
      </c>
      <c r="DS67">
        <v>0</v>
      </c>
      <c r="DT67">
        <v>0</v>
      </c>
      <c r="DU67">
        <v>10008.799999999999</v>
      </c>
      <c r="DV67">
        <v>0</v>
      </c>
      <c r="DW67">
        <v>2062.48</v>
      </c>
      <c r="DX67">
        <v>-4.4293500000000003</v>
      </c>
      <c r="DY67">
        <v>26.411999999999999</v>
      </c>
      <c r="DZ67">
        <v>30.811900000000001</v>
      </c>
      <c r="EA67">
        <v>5.1007499999999997</v>
      </c>
      <c r="EB67">
        <v>30.0746</v>
      </c>
      <c r="EC67">
        <v>23.9284</v>
      </c>
      <c r="ED67">
        <v>2.87832</v>
      </c>
      <c r="EE67">
        <v>2.3725700000000001</v>
      </c>
      <c r="EF67">
        <v>23.340299999999999</v>
      </c>
      <c r="EG67">
        <v>20.177800000000001</v>
      </c>
      <c r="EH67">
        <v>1800.16</v>
      </c>
      <c r="EI67">
        <v>0.97800299999999996</v>
      </c>
      <c r="EJ67">
        <v>2.1997200000000001E-2</v>
      </c>
      <c r="EK67">
        <v>0</v>
      </c>
      <c r="EL67">
        <v>651.47299999999996</v>
      </c>
      <c r="EM67">
        <v>5.00082</v>
      </c>
      <c r="EN67">
        <v>15647.9</v>
      </c>
      <c r="EO67">
        <v>14131</v>
      </c>
      <c r="EP67">
        <v>48.311999999999998</v>
      </c>
      <c r="EQ67">
        <v>49.125</v>
      </c>
      <c r="ER67">
        <v>49</v>
      </c>
      <c r="ES67">
        <v>48.936999999999998</v>
      </c>
      <c r="ET67">
        <v>49.625</v>
      </c>
      <c r="EU67">
        <v>1755.67</v>
      </c>
      <c r="EV67">
        <v>39.49</v>
      </c>
      <c r="EW67">
        <v>0</v>
      </c>
      <c r="EX67">
        <v>108.2000000476837</v>
      </c>
      <c r="EY67">
        <v>0</v>
      </c>
      <c r="EZ67">
        <v>651.69119230769218</v>
      </c>
      <c r="FA67">
        <v>-0.86157265178968356</v>
      </c>
      <c r="FB67">
        <v>-89.911110690679649</v>
      </c>
      <c r="FC67">
        <v>15657.43461538462</v>
      </c>
      <c r="FD67">
        <v>15</v>
      </c>
      <c r="FE67">
        <v>1689009006</v>
      </c>
      <c r="FF67" t="s">
        <v>684</v>
      </c>
      <c r="FG67">
        <v>1689009004.5</v>
      </c>
      <c r="FH67">
        <v>1689009006</v>
      </c>
      <c r="FI67">
        <v>58</v>
      </c>
      <c r="FJ67">
        <v>1.9E-2</v>
      </c>
      <c r="FK67">
        <v>2E-3</v>
      </c>
      <c r="FL67">
        <v>-1.0029999999999999</v>
      </c>
      <c r="FM67">
        <v>5.7000000000000002E-2</v>
      </c>
      <c r="FN67">
        <v>30</v>
      </c>
      <c r="FO67">
        <v>24</v>
      </c>
      <c r="FP67">
        <v>0.21</v>
      </c>
      <c r="FQ67">
        <v>0.03</v>
      </c>
      <c r="FR67">
        <v>3.702401241183424</v>
      </c>
      <c r="FS67">
        <v>-0.21520027429593649</v>
      </c>
      <c r="FT67">
        <v>4.4574412059202262E-2</v>
      </c>
      <c r="FU67">
        <v>1</v>
      </c>
      <c r="FV67">
        <v>0.31641274764873539</v>
      </c>
      <c r="FW67">
        <v>4.1518538852646593E-2</v>
      </c>
      <c r="FX67">
        <v>3.477083709939805E-3</v>
      </c>
      <c r="FY67">
        <v>1</v>
      </c>
      <c r="FZ67">
        <v>2</v>
      </c>
      <c r="GA67">
        <v>2</v>
      </c>
      <c r="GB67" t="s">
        <v>423</v>
      </c>
      <c r="GC67">
        <v>2.94564</v>
      </c>
      <c r="GD67">
        <v>2.7086899999999998</v>
      </c>
      <c r="GE67">
        <v>7.0625699999999998E-3</v>
      </c>
      <c r="GF67">
        <v>8.0010800000000007E-3</v>
      </c>
      <c r="GG67">
        <v>0.12934699999999999</v>
      </c>
      <c r="GH67">
        <v>0.113214</v>
      </c>
      <c r="GI67">
        <v>32740.9</v>
      </c>
      <c r="GJ67">
        <v>31894.799999999999</v>
      </c>
      <c r="GK67">
        <v>33969.699999999997</v>
      </c>
      <c r="GL67">
        <v>32189.599999999999</v>
      </c>
      <c r="GM67">
        <v>42671.8</v>
      </c>
      <c r="GN67">
        <v>40609.4</v>
      </c>
      <c r="GO67">
        <v>49177.5</v>
      </c>
      <c r="GP67">
        <v>45565.3</v>
      </c>
      <c r="GQ67">
        <v>1.9951300000000001</v>
      </c>
      <c r="GR67">
        <v>1.7888999999999999</v>
      </c>
      <c r="GS67">
        <v>8.1948900000000005E-2</v>
      </c>
      <c r="GT67">
        <v>0</v>
      </c>
      <c r="GU67">
        <v>28.7364</v>
      </c>
      <c r="GV67">
        <v>999.9</v>
      </c>
      <c r="GW67">
        <v>35.9</v>
      </c>
      <c r="GX67">
        <v>42.9</v>
      </c>
      <c r="GY67">
        <v>31.290400000000002</v>
      </c>
      <c r="GZ67">
        <v>59.892299999999999</v>
      </c>
      <c r="HA67">
        <v>25.4087</v>
      </c>
      <c r="HB67">
        <v>1</v>
      </c>
      <c r="HC67">
        <v>0.346306</v>
      </c>
      <c r="HD67">
        <v>2.07768</v>
      </c>
      <c r="HE67">
        <v>20.260100000000001</v>
      </c>
      <c r="HF67">
        <v>5.2701500000000001</v>
      </c>
      <c r="HG67">
        <v>12.039899999999999</v>
      </c>
      <c r="HH67">
        <v>4.9672999999999998</v>
      </c>
      <c r="HI67">
        <v>3.3010000000000002</v>
      </c>
      <c r="HJ67">
        <v>9999</v>
      </c>
      <c r="HK67">
        <v>9999</v>
      </c>
      <c r="HL67">
        <v>9999</v>
      </c>
      <c r="HM67">
        <v>999.9</v>
      </c>
      <c r="HN67">
        <v>1.86829</v>
      </c>
      <c r="HO67">
        <v>1.87195</v>
      </c>
      <c r="HP67">
        <v>1.87178</v>
      </c>
      <c r="HQ67">
        <v>1.8712500000000001</v>
      </c>
      <c r="HR67">
        <v>1.86449</v>
      </c>
      <c r="HS67">
        <v>1.8656900000000001</v>
      </c>
      <c r="HT67">
        <v>1.86768</v>
      </c>
      <c r="HU67">
        <v>1.87225</v>
      </c>
      <c r="HV67">
        <v>0</v>
      </c>
      <c r="HW67">
        <v>0</v>
      </c>
      <c r="HX67">
        <v>0</v>
      </c>
      <c r="HY67">
        <v>0</v>
      </c>
      <c r="HZ67" t="s">
        <v>424</v>
      </c>
      <c r="IA67" t="s">
        <v>425</v>
      </c>
      <c r="IB67" t="s">
        <v>426</v>
      </c>
      <c r="IC67" t="s">
        <v>426</v>
      </c>
      <c r="ID67" t="s">
        <v>426</v>
      </c>
      <c r="IE67" t="s">
        <v>426</v>
      </c>
      <c r="IF67">
        <v>0</v>
      </c>
      <c r="IG67">
        <v>100</v>
      </c>
      <c r="IH67">
        <v>100</v>
      </c>
      <c r="II67">
        <v>-0.998</v>
      </c>
      <c r="IJ67">
        <v>5.7500000000000002E-2</v>
      </c>
      <c r="IK67">
        <v>-0.96729552839681754</v>
      </c>
      <c r="IL67">
        <v>-1.171017271736434E-3</v>
      </c>
      <c r="IM67">
        <v>2.801297040296544E-7</v>
      </c>
      <c r="IN67">
        <v>-3.6238253961199429E-11</v>
      </c>
      <c r="IO67">
        <v>5.7461904761908038E-2</v>
      </c>
      <c r="IP67">
        <v>0</v>
      </c>
      <c r="IQ67">
        <v>0</v>
      </c>
      <c r="IR67">
        <v>0</v>
      </c>
      <c r="IS67">
        <v>0</v>
      </c>
      <c r="IT67">
        <v>2161</v>
      </c>
      <c r="IU67">
        <v>1</v>
      </c>
      <c r="IV67">
        <v>19</v>
      </c>
      <c r="IW67">
        <v>0.7</v>
      </c>
      <c r="IX67">
        <v>0.6</v>
      </c>
      <c r="IY67">
        <v>0.21118200000000001</v>
      </c>
      <c r="IZ67">
        <v>2.5769000000000002</v>
      </c>
      <c r="JA67">
        <v>1.4440900000000001</v>
      </c>
      <c r="JB67">
        <v>2.2814899999999998</v>
      </c>
      <c r="JC67">
        <v>1.54419</v>
      </c>
      <c r="JD67">
        <v>2.3754900000000001</v>
      </c>
      <c r="JE67">
        <v>45.063400000000001</v>
      </c>
      <c r="JF67">
        <v>15.9358</v>
      </c>
      <c r="JG67">
        <v>18</v>
      </c>
      <c r="JH67">
        <v>511.786</v>
      </c>
      <c r="JI67">
        <v>418.35</v>
      </c>
      <c r="JJ67">
        <v>27.075199999999999</v>
      </c>
      <c r="JK67">
        <v>31.6691</v>
      </c>
      <c r="JL67">
        <v>29.9999</v>
      </c>
      <c r="JM67">
        <v>31.607900000000001</v>
      </c>
      <c r="JN67">
        <v>31.5669</v>
      </c>
      <c r="JO67">
        <v>4.3403900000000002</v>
      </c>
      <c r="JP67">
        <v>28.945699999999999</v>
      </c>
      <c r="JQ67">
        <v>0</v>
      </c>
      <c r="JR67">
        <v>27.048300000000001</v>
      </c>
      <c r="JS67">
        <v>30</v>
      </c>
      <c r="JT67">
        <v>23.849399999999999</v>
      </c>
      <c r="JU67">
        <v>99.685900000000004</v>
      </c>
      <c r="JV67">
        <v>99.2333</v>
      </c>
    </row>
    <row r="68" spans="1:282" x14ac:dyDescent="0.25">
      <c r="A68">
        <v>52</v>
      </c>
      <c r="B68">
        <v>1689009156.5</v>
      </c>
      <c r="C68">
        <v>9979.5</v>
      </c>
      <c r="D68" t="s">
        <v>685</v>
      </c>
      <c r="E68" t="s">
        <v>686</v>
      </c>
      <c r="F68" t="s">
        <v>414</v>
      </c>
      <c r="G68" t="s">
        <v>415</v>
      </c>
      <c r="H68" t="s">
        <v>655</v>
      </c>
      <c r="I68" t="s">
        <v>416</v>
      </c>
      <c r="J68" t="s">
        <v>656</v>
      </c>
      <c r="K68">
        <v>1689009156.5</v>
      </c>
      <c r="L68">
        <f t="shared" si="46"/>
        <v>4.7404754924962192E-3</v>
      </c>
      <c r="M68">
        <f t="shared" si="47"/>
        <v>4.7404754924962189</v>
      </c>
      <c r="N68">
        <f t="shared" si="48"/>
        <v>1.4368645285750219</v>
      </c>
      <c r="O68">
        <f t="shared" si="49"/>
        <v>8.4512900000000002</v>
      </c>
      <c r="P68">
        <f t="shared" si="50"/>
        <v>1.4069869126039749</v>
      </c>
      <c r="Q68">
        <f t="shared" si="51"/>
        <v>0.13965051766771305</v>
      </c>
      <c r="R68">
        <f t="shared" si="52"/>
        <v>0.83883297910402499</v>
      </c>
      <c r="S68">
        <f t="shared" si="53"/>
        <v>0.35055258641640019</v>
      </c>
      <c r="T68">
        <f t="shared" si="54"/>
        <v>2.915895923704638</v>
      </c>
      <c r="U68">
        <f t="shared" si="55"/>
        <v>0.3287095711886473</v>
      </c>
      <c r="V68">
        <f t="shared" si="56"/>
        <v>0.20729247031391243</v>
      </c>
      <c r="W68">
        <f t="shared" si="57"/>
        <v>289.56748695865542</v>
      </c>
      <c r="X68">
        <f t="shared" si="58"/>
        <v>30.828954751449718</v>
      </c>
      <c r="Y68">
        <f t="shared" si="59"/>
        <v>29.923300000000001</v>
      </c>
      <c r="Z68">
        <f t="shared" si="60"/>
        <v>4.2417159924316499</v>
      </c>
      <c r="AA68">
        <f t="shared" si="61"/>
        <v>65.817882117877858</v>
      </c>
      <c r="AB68">
        <f t="shared" si="62"/>
        <v>2.8615322241772501</v>
      </c>
      <c r="AC68">
        <f t="shared" si="63"/>
        <v>4.3476516291611018</v>
      </c>
      <c r="AD68">
        <f t="shared" si="64"/>
        <v>1.3801837682543998</v>
      </c>
      <c r="AE68">
        <f t="shared" si="65"/>
        <v>-209.05496921908326</v>
      </c>
      <c r="AF68">
        <f t="shared" si="66"/>
        <v>67.58104566856484</v>
      </c>
      <c r="AG68">
        <f t="shared" si="67"/>
        <v>5.1604376130467626</v>
      </c>
      <c r="AH68">
        <f t="shared" si="68"/>
        <v>153.2540010211838</v>
      </c>
      <c r="AI68">
        <v>0</v>
      </c>
      <c r="AJ68">
        <v>0</v>
      </c>
      <c r="AK68">
        <f t="shared" si="69"/>
        <v>1</v>
      </c>
      <c r="AL68">
        <f t="shared" si="70"/>
        <v>0</v>
      </c>
      <c r="AM68">
        <f t="shared" si="71"/>
        <v>51885.273847433564</v>
      </c>
      <c r="AN68" t="s">
        <v>418</v>
      </c>
      <c r="AO68">
        <v>10076.700000000001</v>
      </c>
      <c r="AP68">
        <v>185.01599999999999</v>
      </c>
      <c r="AQ68">
        <v>473.06</v>
      </c>
      <c r="AR68">
        <f t="shared" si="72"/>
        <v>0.60889527755464423</v>
      </c>
      <c r="AS68">
        <v>-1.4827006201179751</v>
      </c>
      <c r="AT68" t="s">
        <v>687</v>
      </c>
      <c r="AU68">
        <v>8092.99</v>
      </c>
      <c r="AV68">
        <v>655.54680000000008</v>
      </c>
      <c r="AW68">
        <v>707.20593760888596</v>
      </c>
      <c r="AX68">
        <f t="shared" si="73"/>
        <v>7.3046809792843614E-2</v>
      </c>
      <c r="AY68">
        <v>0.5</v>
      </c>
      <c r="AZ68">
        <f t="shared" si="74"/>
        <v>1513.192799460443</v>
      </c>
      <c r="BA68">
        <f t="shared" si="75"/>
        <v>1.4368645285750219</v>
      </c>
      <c r="BB68">
        <f t="shared" si="76"/>
        <v>55.266953301043763</v>
      </c>
      <c r="BC68">
        <f t="shared" si="77"/>
        <v>1.9294072438978181E-3</v>
      </c>
      <c r="BD68">
        <f t="shared" si="78"/>
        <v>-0.33108593290456551</v>
      </c>
      <c r="BE68">
        <f t="shared" si="79"/>
        <v>212.53730026117947</v>
      </c>
      <c r="BF68" t="s">
        <v>688</v>
      </c>
      <c r="BG68">
        <v>566.69000000000005</v>
      </c>
      <c r="BH68">
        <f t="shared" si="80"/>
        <v>566.69000000000005</v>
      </c>
      <c r="BI68">
        <f t="shared" si="81"/>
        <v>0.1986916824878201</v>
      </c>
      <c r="BJ68">
        <f t="shared" si="82"/>
        <v>0.36763899161869223</v>
      </c>
      <c r="BK68">
        <f t="shared" si="83"/>
        <v>2.5007576376042491</v>
      </c>
      <c r="BL68">
        <f t="shared" si="84"/>
        <v>9.8927868747210448E-2</v>
      </c>
      <c r="BM68">
        <f t="shared" si="85"/>
        <v>-0.81288253742097027</v>
      </c>
      <c r="BN68">
        <f t="shared" si="86"/>
        <v>0.31780696688687476</v>
      </c>
      <c r="BO68">
        <f t="shared" si="87"/>
        <v>0.68219303311312518</v>
      </c>
      <c r="BP68">
        <v>9157</v>
      </c>
      <c r="BQ68">
        <v>290.00000000000011</v>
      </c>
      <c r="BR68">
        <v>685.61</v>
      </c>
      <c r="BS68">
        <v>165</v>
      </c>
      <c r="BT68">
        <v>8092.99</v>
      </c>
      <c r="BU68">
        <v>684.98</v>
      </c>
      <c r="BV68">
        <v>0.63</v>
      </c>
      <c r="BW68">
        <v>300.00000000000011</v>
      </c>
      <c r="BX68">
        <v>19.2</v>
      </c>
      <c r="BY68">
        <v>707.20593760888596</v>
      </c>
      <c r="BZ68">
        <v>2.5622893754456508</v>
      </c>
      <c r="CA68">
        <v>-17.983679216696849</v>
      </c>
      <c r="CB68">
        <v>1.903816847222755</v>
      </c>
      <c r="CC68">
        <v>0.76115155963269776</v>
      </c>
      <c r="CD68">
        <v>-4.1657452725250271E-3</v>
      </c>
      <c r="CE68">
        <v>289.99999999999989</v>
      </c>
      <c r="CF68">
        <v>682.97</v>
      </c>
      <c r="CG68">
        <v>695</v>
      </c>
      <c r="CH68">
        <v>8077.95</v>
      </c>
      <c r="CI68">
        <v>684.94</v>
      </c>
      <c r="CJ68">
        <v>-1.97</v>
      </c>
      <c r="CX68">
        <f t="shared" si="88"/>
        <v>1800.01</v>
      </c>
      <c r="CY68">
        <f t="shared" si="89"/>
        <v>1513.192799460443</v>
      </c>
      <c r="CZ68">
        <f t="shared" si="90"/>
        <v>0.84065799604471259</v>
      </c>
      <c r="DA68">
        <f t="shared" si="91"/>
        <v>0.16086993236629543</v>
      </c>
      <c r="DB68">
        <v>6</v>
      </c>
      <c r="DC68">
        <v>0.5</v>
      </c>
      <c r="DD68" t="s">
        <v>421</v>
      </c>
      <c r="DE68">
        <v>2</v>
      </c>
      <c r="DF68">
        <v>1689009156.5</v>
      </c>
      <c r="DG68">
        <v>8.4512900000000002</v>
      </c>
      <c r="DH68">
        <v>10.223100000000001</v>
      </c>
      <c r="DI68">
        <v>28.830100000000002</v>
      </c>
      <c r="DJ68">
        <v>23.307099999999998</v>
      </c>
      <c r="DK68">
        <v>9.4201800000000002</v>
      </c>
      <c r="DL68">
        <v>28.775300000000001</v>
      </c>
      <c r="DM68">
        <v>500.142</v>
      </c>
      <c r="DN68">
        <v>99.155299999999997</v>
      </c>
      <c r="DO68">
        <v>9.9722500000000006E-2</v>
      </c>
      <c r="DP68">
        <v>30.353200000000001</v>
      </c>
      <c r="DQ68">
        <v>29.923300000000001</v>
      </c>
      <c r="DR68">
        <v>999.9</v>
      </c>
      <c r="DS68">
        <v>0</v>
      </c>
      <c r="DT68">
        <v>0</v>
      </c>
      <c r="DU68">
        <v>10006.9</v>
      </c>
      <c r="DV68">
        <v>0</v>
      </c>
      <c r="DW68">
        <v>550.40099999999995</v>
      </c>
      <c r="DX68">
        <v>-1.77183</v>
      </c>
      <c r="DY68">
        <v>8.7021800000000002</v>
      </c>
      <c r="DZ68">
        <v>10.4671</v>
      </c>
      <c r="EA68">
        <v>5.5230100000000002</v>
      </c>
      <c r="EB68">
        <v>10.223100000000001</v>
      </c>
      <c r="EC68">
        <v>23.307099999999998</v>
      </c>
      <c r="ED68">
        <v>2.85866</v>
      </c>
      <c r="EE68">
        <v>2.3110200000000001</v>
      </c>
      <c r="EF68">
        <v>23.226800000000001</v>
      </c>
      <c r="EG68">
        <v>19.753399999999999</v>
      </c>
      <c r="EH68">
        <v>1800.01</v>
      </c>
      <c r="EI68">
        <v>0.97800600000000004</v>
      </c>
      <c r="EJ68">
        <v>2.1993599999999999E-2</v>
      </c>
      <c r="EK68">
        <v>0</v>
      </c>
      <c r="EL68">
        <v>655.827</v>
      </c>
      <c r="EM68">
        <v>5.00082</v>
      </c>
      <c r="EN68">
        <v>13730.9</v>
      </c>
      <c r="EO68">
        <v>14129.9</v>
      </c>
      <c r="EP68">
        <v>48.5</v>
      </c>
      <c r="EQ68">
        <v>49.5</v>
      </c>
      <c r="ER68">
        <v>49.25</v>
      </c>
      <c r="ES68">
        <v>49.375</v>
      </c>
      <c r="ET68">
        <v>49.811999999999998</v>
      </c>
      <c r="EU68">
        <v>1755.53</v>
      </c>
      <c r="EV68">
        <v>39.479999999999997</v>
      </c>
      <c r="EW68">
        <v>0</v>
      </c>
      <c r="EX68">
        <v>110.3999998569489</v>
      </c>
      <c r="EY68">
        <v>0</v>
      </c>
      <c r="EZ68">
        <v>655.54680000000008</v>
      </c>
      <c r="FA68">
        <v>-0.27992306510530018</v>
      </c>
      <c r="FB68">
        <v>2.3384616886693501</v>
      </c>
      <c r="FC68">
        <v>13732.556</v>
      </c>
      <c r="FD68">
        <v>15</v>
      </c>
      <c r="FE68">
        <v>1689009122.5</v>
      </c>
      <c r="FF68" t="s">
        <v>689</v>
      </c>
      <c r="FG68">
        <v>1689009122.5</v>
      </c>
      <c r="FH68">
        <v>1689009122.5</v>
      </c>
      <c r="FI68">
        <v>59</v>
      </c>
      <c r="FJ68">
        <v>8.9999999999999993E-3</v>
      </c>
      <c r="FK68">
        <v>-3.0000000000000001E-3</v>
      </c>
      <c r="FL68">
        <v>-0.97099999999999997</v>
      </c>
      <c r="FM68">
        <v>5.5E-2</v>
      </c>
      <c r="FN68">
        <v>10</v>
      </c>
      <c r="FO68">
        <v>24</v>
      </c>
      <c r="FP68">
        <v>0.23</v>
      </c>
      <c r="FQ68">
        <v>0.03</v>
      </c>
      <c r="FR68">
        <v>1.49053340909442</v>
      </c>
      <c r="FS68">
        <v>-0.59742934060649611</v>
      </c>
      <c r="FT68">
        <v>4.9643383461760442E-2</v>
      </c>
      <c r="FU68">
        <v>1</v>
      </c>
      <c r="FV68">
        <v>0.34694960077142101</v>
      </c>
      <c r="FW68">
        <v>3.9570664131152712E-2</v>
      </c>
      <c r="FX68">
        <v>3.1390227658315119E-3</v>
      </c>
      <c r="FY68">
        <v>1</v>
      </c>
      <c r="FZ68">
        <v>2</v>
      </c>
      <c r="GA68">
        <v>2</v>
      </c>
      <c r="GB68" t="s">
        <v>423</v>
      </c>
      <c r="GC68">
        <v>2.9455499999999999</v>
      </c>
      <c r="GD68">
        <v>2.70844</v>
      </c>
      <c r="GE68">
        <v>2.49796E-3</v>
      </c>
      <c r="GF68">
        <v>2.7221099999999998E-3</v>
      </c>
      <c r="GG68">
        <v>0.128747</v>
      </c>
      <c r="GH68">
        <v>0.11115999999999999</v>
      </c>
      <c r="GI68">
        <v>32885.199999999997</v>
      </c>
      <c r="GJ68">
        <v>32058.799999999999</v>
      </c>
      <c r="GK68">
        <v>33963.800000000003</v>
      </c>
      <c r="GL68">
        <v>32184.3</v>
      </c>
      <c r="GM68">
        <v>42694.2</v>
      </c>
      <c r="GN68">
        <v>40697.4</v>
      </c>
      <c r="GO68">
        <v>49169.1</v>
      </c>
      <c r="GP68">
        <v>45558.2</v>
      </c>
      <c r="GQ68">
        <v>1.9945999999999999</v>
      </c>
      <c r="GR68">
        <v>1.7875799999999999</v>
      </c>
      <c r="GS68">
        <v>4.4845000000000003E-2</v>
      </c>
      <c r="GT68">
        <v>0</v>
      </c>
      <c r="GU68">
        <v>29.192900000000002</v>
      </c>
      <c r="GV68">
        <v>999.9</v>
      </c>
      <c r="GW68">
        <v>35.9</v>
      </c>
      <c r="GX68">
        <v>42.8</v>
      </c>
      <c r="GY68">
        <v>31.125399999999999</v>
      </c>
      <c r="GZ68">
        <v>60.392299999999999</v>
      </c>
      <c r="HA68">
        <v>25.789300000000001</v>
      </c>
      <c r="HB68">
        <v>1</v>
      </c>
      <c r="HC68">
        <v>0.35104200000000002</v>
      </c>
      <c r="HD68">
        <v>1.7801899999999999</v>
      </c>
      <c r="HE68">
        <v>20.262899999999998</v>
      </c>
      <c r="HF68">
        <v>5.26701</v>
      </c>
      <c r="HG68">
        <v>12.039899999999999</v>
      </c>
      <c r="HH68">
        <v>4.9661</v>
      </c>
      <c r="HI68">
        <v>3.3002500000000001</v>
      </c>
      <c r="HJ68">
        <v>9999</v>
      </c>
      <c r="HK68">
        <v>9999</v>
      </c>
      <c r="HL68">
        <v>9999</v>
      </c>
      <c r="HM68">
        <v>999.9</v>
      </c>
      <c r="HN68">
        <v>1.86829</v>
      </c>
      <c r="HO68">
        <v>1.87195</v>
      </c>
      <c r="HP68">
        <v>1.87178</v>
      </c>
      <c r="HQ68">
        <v>1.8712200000000001</v>
      </c>
      <c r="HR68">
        <v>1.8644799999999999</v>
      </c>
      <c r="HS68">
        <v>1.8656900000000001</v>
      </c>
      <c r="HT68">
        <v>1.86768</v>
      </c>
      <c r="HU68">
        <v>1.87225</v>
      </c>
      <c r="HV68">
        <v>0</v>
      </c>
      <c r="HW68">
        <v>0</v>
      </c>
      <c r="HX68">
        <v>0</v>
      </c>
      <c r="HY68">
        <v>0</v>
      </c>
      <c r="HZ68" t="s">
        <v>424</v>
      </c>
      <c r="IA68" t="s">
        <v>425</v>
      </c>
      <c r="IB68" t="s">
        <v>426</v>
      </c>
      <c r="IC68" t="s">
        <v>426</v>
      </c>
      <c r="ID68" t="s">
        <v>426</v>
      </c>
      <c r="IE68" t="s">
        <v>426</v>
      </c>
      <c r="IF68">
        <v>0</v>
      </c>
      <c r="IG68">
        <v>100</v>
      </c>
      <c r="IH68">
        <v>100</v>
      </c>
      <c r="II68">
        <v>-0.96899999999999997</v>
      </c>
      <c r="IJ68">
        <v>5.4800000000000001E-2</v>
      </c>
      <c r="IK68">
        <v>-0.95787979368478549</v>
      </c>
      <c r="IL68">
        <v>-1.171017271736434E-3</v>
      </c>
      <c r="IM68">
        <v>2.801297040296544E-7</v>
      </c>
      <c r="IN68">
        <v>-3.6238253961199429E-11</v>
      </c>
      <c r="IO68">
        <v>5.4860000000001463E-2</v>
      </c>
      <c r="IP68">
        <v>0</v>
      </c>
      <c r="IQ68">
        <v>0</v>
      </c>
      <c r="IR68">
        <v>0</v>
      </c>
      <c r="IS68">
        <v>0</v>
      </c>
      <c r="IT68">
        <v>2161</v>
      </c>
      <c r="IU68">
        <v>1</v>
      </c>
      <c r="IV68">
        <v>19</v>
      </c>
      <c r="IW68">
        <v>0.6</v>
      </c>
      <c r="IX68">
        <v>0.6</v>
      </c>
      <c r="IY68">
        <v>0.167236</v>
      </c>
      <c r="IZ68">
        <v>2.6086399999999998</v>
      </c>
      <c r="JA68">
        <v>1.4440900000000001</v>
      </c>
      <c r="JB68">
        <v>2.2827099999999998</v>
      </c>
      <c r="JC68">
        <v>1.54419</v>
      </c>
      <c r="JD68">
        <v>2.2631800000000002</v>
      </c>
      <c r="JE68">
        <v>45.091700000000003</v>
      </c>
      <c r="JF68">
        <v>15.918200000000001</v>
      </c>
      <c r="JG68">
        <v>18</v>
      </c>
      <c r="JH68">
        <v>511.37099999999998</v>
      </c>
      <c r="JI68">
        <v>417.48700000000002</v>
      </c>
      <c r="JJ68">
        <v>26.8352</v>
      </c>
      <c r="JK68">
        <v>31.713100000000001</v>
      </c>
      <c r="JL68">
        <v>30.000399999999999</v>
      </c>
      <c r="JM68">
        <v>31.600200000000001</v>
      </c>
      <c r="JN68">
        <v>31.559899999999999</v>
      </c>
      <c r="JO68">
        <v>3.44861</v>
      </c>
      <c r="JP68">
        <v>31.5215</v>
      </c>
      <c r="JQ68">
        <v>0</v>
      </c>
      <c r="JR68">
        <v>26.896999999999998</v>
      </c>
      <c r="JS68">
        <v>10</v>
      </c>
      <c r="JT68">
        <v>23.194900000000001</v>
      </c>
      <c r="JU68">
        <v>99.668800000000005</v>
      </c>
      <c r="JV68">
        <v>99.217600000000004</v>
      </c>
    </row>
    <row r="69" spans="1:282" x14ac:dyDescent="0.25">
      <c r="A69">
        <v>53</v>
      </c>
      <c r="B69">
        <v>1689009346</v>
      </c>
      <c r="C69">
        <v>10169</v>
      </c>
      <c r="D69" t="s">
        <v>690</v>
      </c>
      <c r="E69" t="s">
        <v>691</v>
      </c>
      <c r="F69" t="s">
        <v>414</v>
      </c>
      <c r="G69" t="s">
        <v>415</v>
      </c>
      <c r="H69" t="s">
        <v>655</v>
      </c>
      <c r="I69" t="s">
        <v>416</v>
      </c>
      <c r="J69" t="s">
        <v>656</v>
      </c>
      <c r="K69">
        <v>1689009346</v>
      </c>
      <c r="L69">
        <f t="shared" si="46"/>
        <v>4.1926622758670356E-3</v>
      </c>
      <c r="M69">
        <f t="shared" si="47"/>
        <v>4.1926622758670353</v>
      </c>
      <c r="N69">
        <f t="shared" si="48"/>
        <v>34.307779746651541</v>
      </c>
      <c r="O69">
        <f t="shared" si="49"/>
        <v>357.03100000000001</v>
      </c>
      <c r="P69">
        <f t="shared" si="50"/>
        <v>158.64378388061664</v>
      </c>
      <c r="Q69">
        <f t="shared" si="51"/>
        <v>15.745873226584466</v>
      </c>
      <c r="R69">
        <f t="shared" si="52"/>
        <v>35.436401770341</v>
      </c>
      <c r="S69">
        <f t="shared" si="53"/>
        <v>0.2992922529671469</v>
      </c>
      <c r="T69">
        <f t="shared" si="54"/>
        <v>2.9165022347378518</v>
      </c>
      <c r="U69">
        <f t="shared" si="55"/>
        <v>0.28321617188732939</v>
      </c>
      <c r="V69">
        <f t="shared" si="56"/>
        <v>0.17838248625784289</v>
      </c>
      <c r="W69">
        <f t="shared" si="57"/>
        <v>289.55950695862646</v>
      </c>
      <c r="X69">
        <f t="shared" si="58"/>
        <v>31.085493437959496</v>
      </c>
      <c r="Y69">
        <f t="shared" si="59"/>
        <v>30.048300000000001</v>
      </c>
      <c r="Z69">
        <f t="shared" si="60"/>
        <v>4.2722838898830178</v>
      </c>
      <c r="AA69">
        <f t="shared" si="61"/>
        <v>65.25695798360492</v>
      </c>
      <c r="AB69">
        <f t="shared" si="62"/>
        <v>2.8557274830942001</v>
      </c>
      <c r="AC69">
        <f t="shared" si="63"/>
        <v>4.376127192155769</v>
      </c>
      <c r="AD69">
        <f t="shared" si="64"/>
        <v>1.4165564067888177</v>
      </c>
      <c r="AE69">
        <f t="shared" si="65"/>
        <v>-184.89640636573628</v>
      </c>
      <c r="AF69">
        <f t="shared" si="66"/>
        <v>65.865518845931007</v>
      </c>
      <c r="AG69">
        <f t="shared" si="67"/>
        <v>5.0343446508396985</v>
      </c>
      <c r="AH69">
        <f t="shared" si="68"/>
        <v>175.56296408966085</v>
      </c>
      <c r="AI69">
        <v>0</v>
      </c>
      <c r="AJ69">
        <v>0</v>
      </c>
      <c r="AK69">
        <f t="shared" si="69"/>
        <v>1</v>
      </c>
      <c r="AL69">
        <f t="shared" si="70"/>
        <v>0</v>
      </c>
      <c r="AM69">
        <f t="shared" si="71"/>
        <v>51882.968316229104</v>
      </c>
      <c r="AN69" t="s">
        <v>418</v>
      </c>
      <c r="AO69">
        <v>10076.700000000001</v>
      </c>
      <c r="AP69">
        <v>185.01599999999999</v>
      </c>
      <c r="AQ69">
        <v>473.06</v>
      </c>
      <c r="AR69">
        <f t="shared" si="72"/>
        <v>0.60889527755464423</v>
      </c>
      <c r="AS69">
        <v>-1.4827006201179751</v>
      </c>
      <c r="AT69" t="s">
        <v>692</v>
      </c>
      <c r="AU69">
        <v>8086.8</v>
      </c>
      <c r="AV69">
        <v>655.56946153846161</v>
      </c>
      <c r="AW69">
        <v>966.25803120772775</v>
      </c>
      <c r="AX69">
        <f t="shared" si="73"/>
        <v>0.32153789115826126</v>
      </c>
      <c r="AY69">
        <v>0.5</v>
      </c>
      <c r="AZ69">
        <f t="shared" si="74"/>
        <v>1513.1507994604281</v>
      </c>
      <c r="BA69">
        <f t="shared" si="75"/>
        <v>34.307779746651541</v>
      </c>
      <c r="BB69">
        <f t="shared" si="76"/>
        <v>243.26765853147157</v>
      </c>
      <c r="BC69">
        <f t="shared" si="77"/>
        <v>2.3652950108827214E-2</v>
      </c>
      <c r="BD69">
        <f t="shared" si="78"/>
        <v>-0.51042062811242939</v>
      </c>
      <c r="BE69">
        <f t="shared" si="79"/>
        <v>231.16248577547296</v>
      </c>
      <c r="BF69" t="s">
        <v>693</v>
      </c>
      <c r="BG69">
        <v>545.99</v>
      </c>
      <c r="BH69">
        <f t="shared" si="80"/>
        <v>545.99</v>
      </c>
      <c r="BI69">
        <f t="shared" si="81"/>
        <v>0.4349438945231161</v>
      </c>
      <c r="BJ69">
        <f t="shared" si="82"/>
        <v>0.73926291461293836</v>
      </c>
      <c r="BK69">
        <f t="shared" si="83"/>
        <v>6.7626221199469043</v>
      </c>
      <c r="BL69">
        <f t="shared" si="84"/>
        <v>0.3976854255895198</v>
      </c>
      <c r="BM69">
        <f t="shared" si="85"/>
        <v>-1.7122315729809605</v>
      </c>
      <c r="BN69">
        <f t="shared" si="86"/>
        <v>0.6156939614031085</v>
      </c>
      <c r="BO69">
        <f t="shared" si="87"/>
        <v>0.3843060385968915</v>
      </c>
      <c r="BP69">
        <v>9159</v>
      </c>
      <c r="BQ69">
        <v>290.00000000000011</v>
      </c>
      <c r="BR69">
        <v>824.95</v>
      </c>
      <c r="BS69">
        <v>285</v>
      </c>
      <c r="BT69">
        <v>8086.8</v>
      </c>
      <c r="BU69">
        <v>826.56</v>
      </c>
      <c r="BV69">
        <v>-1.61</v>
      </c>
      <c r="BW69">
        <v>300.00000000000011</v>
      </c>
      <c r="BX69">
        <v>19.2</v>
      </c>
      <c r="BY69">
        <v>966.25803120772775</v>
      </c>
      <c r="BZ69">
        <v>3.229403559450494</v>
      </c>
      <c r="CA69">
        <v>-112.97165810119679</v>
      </c>
      <c r="CB69">
        <v>2.39968212228217</v>
      </c>
      <c r="CC69">
        <v>0.9875240354481527</v>
      </c>
      <c r="CD69">
        <v>-4.1664949944382737E-3</v>
      </c>
      <c r="CE69">
        <v>289.99999999999989</v>
      </c>
      <c r="CF69">
        <v>810.76</v>
      </c>
      <c r="CG69">
        <v>625</v>
      </c>
      <c r="CH69">
        <v>8080.36</v>
      </c>
      <c r="CI69">
        <v>826.45</v>
      </c>
      <c r="CJ69">
        <v>-15.69</v>
      </c>
      <c r="CX69">
        <f t="shared" si="88"/>
        <v>1799.96</v>
      </c>
      <c r="CY69">
        <f t="shared" si="89"/>
        <v>1513.1507994604281</v>
      </c>
      <c r="CZ69">
        <f t="shared" si="90"/>
        <v>0.84065801432277831</v>
      </c>
      <c r="DA69">
        <f t="shared" si="91"/>
        <v>0.16086996764296232</v>
      </c>
      <c r="DB69">
        <v>6</v>
      </c>
      <c r="DC69">
        <v>0.5</v>
      </c>
      <c r="DD69" t="s">
        <v>421</v>
      </c>
      <c r="DE69">
        <v>2</v>
      </c>
      <c r="DF69">
        <v>1689009346</v>
      </c>
      <c r="DG69">
        <v>357.03100000000001</v>
      </c>
      <c r="DH69">
        <v>399.98399999999998</v>
      </c>
      <c r="DI69">
        <v>28.772200000000002</v>
      </c>
      <c r="DJ69">
        <v>23.8872</v>
      </c>
      <c r="DK69">
        <v>358.32100000000003</v>
      </c>
      <c r="DL69">
        <v>28.7241</v>
      </c>
      <c r="DM69">
        <v>500.14699999999999</v>
      </c>
      <c r="DN69">
        <v>99.153000000000006</v>
      </c>
      <c r="DO69">
        <v>0.100011</v>
      </c>
      <c r="DP69">
        <v>30.467199999999998</v>
      </c>
      <c r="DQ69">
        <v>30.048300000000001</v>
      </c>
      <c r="DR69">
        <v>999.9</v>
      </c>
      <c r="DS69">
        <v>0</v>
      </c>
      <c r="DT69">
        <v>0</v>
      </c>
      <c r="DU69">
        <v>10010.6</v>
      </c>
      <c r="DV69">
        <v>0</v>
      </c>
      <c r="DW69">
        <v>1983</v>
      </c>
      <c r="DX69">
        <v>-42.953099999999999</v>
      </c>
      <c r="DY69">
        <v>367.608</v>
      </c>
      <c r="DZ69">
        <v>409.77199999999999</v>
      </c>
      <c r="EA69">
        <v>4.88497</v>
      </c>
      <c r="EB69">
        <v>399.98399999999998</v>
      </c>
      <c r="EC69">
        <v>23.8872</v>
      </c>
      <c r="ED69">
        <v>2.8528500000000001</v>
      </c>
      <c r="EE69">
        <v>2.36849</v>
      </c>
      <c r="EF69">
        <v>23.193100000000001</v>
      </c>
      <c r="EG69">
        <v>20.149899999999999</v>
      </c>
      <c r="EH69">
        <v>1799.96</v>
      </c>
      <c r="EI69">
        <v>0.97800299999999996</v>
      </c>
      <c r="EJ69">
        <v>2.1997200000000001E-2</v>
      </c>
      <c r="EK69">
        <v>0</v>
      </c>
      <c r="EL69">
        <v>656.86</v>
      </c>
      <c r="EM69">
        <v>5.00082</v>
      </c>
      <c r="EN69">
        <v>15705</v>
      </c>
      <c r="EO69">
        <v>14129.4</v>
      </c>
      <c r="EP69">
        <v>48.811999999999998</v>
      </c>
      <c r="EQ69">
        <v>50.125</v>
      </c>
      <c r="ER69">
        <v>49.625</v>
      </c>
      <c r="ES69">
        <v>49.811999999999998</v>
      </c>
      <c r="ET69">
        <v>50.125</v>
      </c>
      <c r="EU69">
        <v>1755.48</v>
      </c>
      <c r="EV69">
        <v>39.479999999999997</v>
      </c>
      <c r="EW69">
        <v>0</v>
      </c>
      <c r="EX69">
        <v>187.4000000953674</v>
      </c>
      <c r="EY69">
        <v>0</v>
      </c>
      <c r="EZ69">
        <v>655.56946153846161</v>
      </c>
      <c r="FA69">
        <v>10.330803426103101</v>
      </c>
      <c r="FB69">
        <v>153.17606881727059</v>
      </c>
      <c r="FC69">
        <v>15684.09230769231</v>
      </c>
      <c r="FD69">
        <v>15</v>
      </c>
      <c r="FE69">
        <v>1689009247</v>
      </c>
      <c r="FF69" t="s">
        <v>694</v>
      </c>
      <c r="FG69">
        <v>1689009245</v>
      </c>
      <c r="FH69">
        <v>1689009247</v>
      </c>
      <c r="FI69">
        <v>60</v>
      </c>
      <c r="FJ69">
        <v>5.2999999999999999E-2</v>
      </c>
      <c r="FK69">
        <v>-7.0000000000000001E-3</v>
      </c>
      <c r="FL69">
        <v>-1.3320000000000001</v>
      </c>
      <c r="FM69">
        <v>4.8000000000000001E-2</v>
      </c>
      <c r="FN69">
        <v>400</v>
      </c>
      <c r="FO69">
        <v>23</v>
      </c>
      <c r="FP69">
        <v>0.05</v>
      </c>
      <c r="FQ69">
        <v>0.01</v>
      </c>
      <c r="FR69">
        <v>33.891781445891851</v>
      </c>
      <c r="FS69">
        <v>3.0260330872955041</v>
      </c>
      <c r="FT69">
        <v>0.22645375147358371</v>
      </c>
      <c r="FU69">
        <v>0</v>
      </c>
      <c r="FV69">
        <v>0.29906756341939772</v>
      </c>
      <c r="FW69">
        <v>3.9324549654308309E-4</v>
      </c>
      <c r="FX69">
        <v>4.879754097905275E-4</v>
      </c>
      <c r="FY69">
        <v>1</v>
      </c>
      <c r="FZ69">
        <v>1</v>
      </c>
      <c r="GA69">
        <v>2</v>
      </c>
      <c r="GB69" t="s">
        <v>462</v>
      </c>
      <c r="GC69">
        <v>2.9454600000000002</v>
      </c>
      <c r="GD69">
        <v>2.7087599999999998</v>
      </c>
      <c r="GE69">
        <v>8.0693699999999993E-2</v>
      </c>
      <c r="GF69">
        <v>8.8059299999999993E-2</v>
      </c>
      <c r="GG69">
        <v>0.12857199999999999</v>
      </c>
      <c r="GH69">
        <v>0.113068</v>
      </c>
      <c r="GI69">
        <v>30300.9</v>
      </c>
      <c r="GJ69">
        <v>29309.4</v>
      </c>
      <c r="GK69">
        <v>33954.6</v>
      </c>
      <c r="GL69">
        <v>32175.5</v>
      </c>
      <c r="GM69">
        <v>42694.8</v>
      </c>
      <c r="GN69">
        <v>40601.599999999999</v>
      </c>
      <c r="GO69">
        <v>49157.1</v>
      </c>
      <c r="GP69">
        <v>45546.5</v>
      </c>
      <c r="GQ69">
        <v>1.9931700000000001</v>
      </c>
      <c r="GR69">
        <v>1.78965</v>
      </c>
      <c r="GS69">
        <v>3.8057599999999997E-2</v>
      </c>
      <c r="GT69">
        <v>0</v>
      </c>
      <c r="GU69">
        <v>29.428699999999999</v>
      </c>
      <c r="GV69">
        <v>999.9</v>
      </c>
      <c r="GW69">
        <v>35.9</v>
      </c>
      <c r="GX69">
        <v>42.7</v>
      </c>
      <c r="GY69">
        <v>30.962800000000001</v>
      </c>
      <c r="GZ69">
        <v>59.8123</v>
      </c>
      <c r="HA69">
        <v>25.3446</v>
      </c>
      <c r="HB69">
        <v>1</v>
      </c>
      <c r="HC69">
        <v>0.36488300000000001</v>
      </c>
      <c r="HD69">
        <v>2.98387</v>
      </c>
      <c r="HE69">
        <v>20.2453</v>
      </c>
      <c r="HF69">
        <v>5.2704500000000003</v>
      </c>
      <c r="HG69">
        <v>12.039899999999999</v>
      </c>
      <c r="HH69">
        <v>4.9664000000000001</v>
      </c>
      <c r="HI69">
        <v>3.3010000000000002</v>
      </c>
      <c r="HJ69">
        <v>9999</v>
      </c>
      <c r="HK69">
        <v>9999</v>
      </c>
      <c r="HL69">
        <v>9999</v>
      </c>
      <c r="HM69">
        <v>999.9</v>
      </c>
      <c r="HN69">
        <v>1.86829</v>
      </c>
      <c r="HO69">
        <v>1.87195</v>
      </c>
      <c r="HP69">
        <v>1.8717900000000001</v>
      </c>
      <c r="HQ69">
        <v>1.87121</v>
      </c>
      <c r="HR69">
        <v>1.8644700000000001</v>
      </c>
      <c r="HS69">
        <v>1.8656900000000001</v>
      </c>
      <c r="HT69">
        <v>1.86768</v>
      </c>
      <c r="HU69">
        <v>1.87225</v>
      </c>
      <c r="HV69">
        <v>0</v>
      </c>
      <c r="HW69">
        <v>0</v>
      </c>
      <c r="HX69">
        <v>0</v>
      </c>
      <c r="HY69">
        <v>0</v>
      </c>
      <c r="HZ69" t="s">
        <v>424</v>
      </c>
      <c r="IA69" t="s">
        <v>425</v>
      </c>
      <c r="IB69" t="s">
        <v>426</v>
      </c>
      <c r="IC69" t="s">
        <v>426</v>
      </c>
      <c r="ID69" t="s">
        <v>426</v>
      </c>
      <c r="IE69" t="s">
        <v>426</v>
      </c>
      <c r="IF69">
        <v>0</v>
      </c>
      <c r="IG69">
        <v>100</v>
      </c>
      <c r="IH69">
        <v>100</v>
      </c>
      <c r="II69">
        <v>-1.29</v>
      </c>
      <c r="IJ69">
        <v>4.8099999999999997E-2</v>
      </c>
      <c r="IK69">
        <v>-0.90491397698928977</v>
      </c>
      <c r="IL69">
        <v>-1.171017271736434E-3</v>
      </c>
      <c r="IM69">
        <v>2.801297040296544E-7</v>
      </c>
      <c r="IN69">
        <v>-3.6238253961199429E-11</v>
      </c>
      <c r="IO69">
        <v>4.8049999999999933E-2</v>
      </c>
      <c r="IP69">
        <v>0</v>
      </c>
      <c r="IQ69">
        <v>0</v>
      </c>
      <c r="IR69">
        <v>0</v>
      </c>
      <c r="IS69">
        <v>0</v>
      </c>
      <c r="IT69">
        <v>2161</v>
      </c>
      <c r="IU69">
        <v>1</v>
      </c>
      <c r="IV69">
        <v>19</v>
      </c>
      <c r="IW69">
        <v>1.7</v>
      </c>
      <c r="IX69">
        <v>1.6</v>
      </c>
      <c r="IY69">
        <v>1.0339400000000001</v>
      </c>
      <c r="IZ69">
        <v>2.51953</v>
      </c>
      <c r="JA69">
        <v>1.4440900000000001</v>
      </c>
      <c r="JB69">
        <v>2.2814899999999998</v>
      </c>
      <c r="JC69">
        <v>1.54419</v>
      </c>
      <c r="JD69">
        <v>2.36206</v>
      </c>
      <c r="JE69">
        <v>45.120100000000001</v>
      </c>
      <c r="JF69">
        <v>15.874499999999999</v>
      </c>
      <c r="JG69">
        <v>18</v>
      </c>
      <c r="JH69">
        <v>510.82299999999998</v>
      </c>
      <c r="JI69">
        <v>419.09399999999999</v>
      </c>
      <c r="JJ69">
        <v>25.9941</v>
      </c>
      <c r="JK69">
        <v>31.825800000000001</v>
      </c>
      <c r="JL69">
        <v>30.000599999999999</v>
      </c>
      <c r="JM69">
        <v>31.648</v>
      </c>
      <c r="JN69">
        <v>31.607099999999999</v>
      </c>
      <c r="JO69">
        <v>20.823599999999999</v>
      </c>
      <c r="JP69">
        <v>28.843</v>
      </c>
      <c r="JQ69">
        <v>0</v>
      </c>
      <c r="JR69">
        <v>25.968499999999999</v>
      </c>
      <c r="JS69">
        <v>400</v>
      </c>
      <c r="JT69">
        <v>23.898299999999999</v>
      </c>
      <c r="JU69">
        <v>99.643299999999996</v>
      </c>
      <c r="JV69">
        <v>99.191299999999998</v>
      </c>
    </row>
    <row r="70" spans="1:282" x14ac:dyDescent="0.25">
      <c r="A70">
        <v>54</v>
      </c>
      <c r="B70">
        <v>1689009464</v>
      </c>
      <c r="C70">
        <v>10287</v>
      </c>
      <c r="D70" t="s">
        <v>695</v>
      </c>
      <c r="E70" t="s">
        <v>696</v>
      </c>
      <c r="F70" t="s">
        <v>414</v>
      </c>
      <c r="G70" t="s">
        <v>415</v>
      </c>
      <c r="H70" t="s">
        <v>655</v>
      </c>
      <c r="I70" t="s">
        <v>416</v>
      </c>
      <c r="J70" t="s">
        <v>656</v>
      </c>
      <c r="K70">
        <v>1689009464</v>
      </c>
      <c r="L70">
        <f t="shared" si="46"/>
        <v>4.3756440537257597E-3</v>
      </c>
      <c r="M70">
        <f t="shared" si="47"/>
        <v>4.3756440537257593</v>
      </c>
      <c r="N70">
        <f t="shared" si="48"/>
        <v>37.946790550957772</v>
      </c>
      <c r="O70">
        <f t="shared" si="49"/>
        <v>352.74599999999998</v>
      </c>
      <c r="P70">
        <f t="shared" si="50"/>
        <v>143.03773389833344</v>
      </c>
      <c r="Q70">
        <f t="shared" si="51"/>
        <v>14.197377203114545</v>
      </c>
      <c r="R70">
        <f t="shared" si="52"/>
        <v>35.012215884581998</v>
      </c>
      <c r="S70">
        <f t="shared" si="53"/>
        <v>0.31295362024598333</v>
      </c>
      <c r="T70">
        <f t="shared" si="54"/>
        <v>2.9133890563992999</v>
      </c>
      <c r="U70">
        <f t="shared" si="55"/>
        <v>0.29540498435136886</v>
      </c>
      <c r="V70">
        <f t="shared" si="56"/>
        <v>0.18612274017667196</v>
      </c>
      <c r="W70">
        <f t="shared" si="57"/>
        <v>289.56589095864967</v>
      </c>
      <c r="X70">
        <f t="shared" si="58"/>
        <v>30.899483143281305</v>
      </c>
      <c r="Y70">
        <f t="shared" si="59"/>
        <v>30.001300000000001</v>
      </c>
      <c r="Z70">
        <f t="shared" si="60"/>
        <v>4.2607679145395698</v>
      </c>
      <c r="AA70">
        <f t="shared" si="61"/>
        <v>65.48911376548898</v>
      </c>
      <c r="AB70">
        <f t="shared" si="62"/>
        <v>2.8431631268649005</v>
      </c>
      <c r="AC70">
        <f t="shared" si="63"/>
        <v>4.3414286182678072</v>
      </c>
      <c r="AD70">
        <f t="shared" si="64"/>
        <v>1.4176047876746694</v>
      </c>
      <c r="AE70">
        <f t="shared" si="65"/>
        <v>-192.96590276930601</v>
      </c>
      <c r="AF70">
        <f t="shared" si="66"/>
        <v>51.345081611330784</v>
      </c>
      <c r="AG70">
        <f t="shared" si="67"/>
        <v>3.9250736204099321</v>
      </c>
      <c r="AH70">
        <f t="shared" si="68"/>
        <v>151.87014342108438</v>
      </c>
      <c r="AI70">
        <v>0</v>
      </c>
      <c r="AJ70">
        <v>0</v>
      </c>
      <c r="AK70">
        <f t="shared" si="69"/>
        <v>1</v>
      </c>
      <c r="AL70">
        <f t="shared" si="70"/>
        <v>0</v>
      </c>
      <c r="AM70">
        <f t="shared" si="71"/>
        <v>51818.2958552567</v>
      </c>
      <c r="AN70" t="s">
        <v>418</v>
      </c>
      <c r="AO70">
        <v>10076.700000000001</v>
      </c>
      <c r="AP70">
        <v>185.01599999999999</v>
      </c>
      <c r="AQ70">
        <v>473.06</v>
      </c>
      <c r="AR70">
        <f t="shared" si="72"/>
        <v>0.60889527755464423</v>
      </c>
      <c r="AS70">
        <v>-1.4827006201179751</v>
      </c>
      <c r="AT70" t="s">
        <v>697</v>
      </c>
      <c r="AU70">
        <v>8086.25</v>
      </c>
      <c r="AV70">
        <v>679.61899999999991</v>
      </c>
      <c r="AW70">
        <v>975.73176393145866</v>
      </c>
      <c r="AX70">
        <f t="shared" si="73"/>
        <v>0.30347763071517631</v>
      </c>
      <c r="AY70">
        <v>0.5</v>
      </c>
      <c r="AZ70">
        <f t="shared" si="74"/>
        <v>1513.1843994604403</v>
      </c>
      <c r="BA70">
        <f t="shared" si="75"/>
        <v>37.946790550957772</v>
      </c>
      <c r="BB70">
        <f t="shared" si="76"/>
        <v>229.60880819171066</v>
      </c>
      <c r="BC70">
        <f t="shared" si="77"/>
        <v>2.6057294263101848E-2</v>
      </c>
      <c r="BD70">
        <f t="shared" si="78"/>
        <v>-0.51517413136790058</v>
      </c>
      <c r="BE70">
        <f t="shared" si="79"/>
        <v>231.70068397429966</v>
      </c>
      <c r="BF70" t="s">
        <v>698</v>
      </c>
      <c r="BG70">
        <v>552.79999999999995</v>
      </c>
      <c r="BH70">
        <f t="shared" si="80"/>
        <v>552.79999999999995</v>
      </c>
      <c r="BI70">
        <f t="shared" si="81"/>
        <v>0.43345085152026275</v>
      </c>
      <c r="BJ70">
        <f t="shared" si="82"/>
        <v>0.70014311807388263</v>
      </c>
      <c r="BK70">
        <f t="shared" si="83"/>
        <v>6.3038846743348254</v>
      </c>
      <c r="BL70">
        <f t="shared" si="84"/>
        <v>0.37448698690307958</v>
      </c>
      <c r="BM70">
        <f t="shared" si="85"/>
        <v>-1.7451214534288466</v>
      </c>
      <c r="BN70">
        <f t="shared" si="86"/>
        <v>0.56949425438553414</v>
      </c>
      <c r="BO70">
        <f t="shared" si="87"/>
        <v>0.43050574561446586</v>
      </c>
      <c r="BP70">
        <v>9161</v>
      </c>
      <c r="BQ70">
        <v>290.00000000000011</v>
      </c>
      <c r="BR70">
        <v>864.07</v>
      </c>
      <c r="BS70">
        <v>275</v>
      </c>
      <c r="BT70">
        <v>8086.25</v>
      </c>
      <c r="BU70">
        <v>865.33</v>
      </c>
      <c r="BV70">
        <v>-1.26</v>
      </c>
      <c r="BW70">
        <v>300.00000000000011</v>
      </c>
      <c r="BX70">
        <v>19.2</v>
      </c>
      <c r="BY70">
        <v>975.73176393145866</v>
      </c>
      <c r="BZ70">
        <v>3.6831250369267869</v>
      </c>
      <c r="CA70">
        <v>-89.273046752841566</v>
      </c>
      <c r="CB70">
        <v>2.7364586006518961</v>
      </c>
      <c r="CC70">
        <v>0.97436595266200965</v>
      </c>
      <c r="CD70">
        <v>-4.1661403781979951E-3</v>
      </c>
      <c r="CE70">
        <v>289.99999999999989</v>
      </c>
      <c r="CF70">
        <v>858.06</v>
      </c>
      <c r="CG70">
        <v>665</v>
      </c>
      <c r="CH70">
        <v>8078.17</v>
      </c>
      <c r="CI70">
        <v>865.22</v>
      </c>
      <c r="CJ70">
        <v>-7.16</v>
      </c>
      <c r="CX70">
        <f t="shared" si="88"/>
        <v>1800</v>
      </c>
      <c r="CY70">
        <f t="shared" si="89"/>
        <v>1513.1843994604403</v>
      </c>
      <c r="CZ70">
        <f t="shared" si="90"/>
        <v>0.84065799970024457</v>
      </c>
      <c r="DA70">
        <f t="shared" si="91"/>
        <v>0.16086993942147204</v>
      </c>
      <c r="DB70">
        <v>6</v>
      </c>
      <c r="DC70">
        <v>0.5</v>
      </c>
      <c r="DD70" t="s">
        <v>421</v>
      </c>
      <c r="DE70">
        <v>2</v>
      </c>
      <c r="DF70">
        <v>1689009464</v>
      </c>
      <c r="DG70">
        <v>352.74599999999998</v>
      </c>
      <c r="DH70">
        <v>400.11700000000002</v>
      </c>
      <c r="DI70">
        <v>28.6447</v>
      </c>
      <c r="DJ70">
        <v>23.546199999999999</v>
      </c>
      <c r="DK70">
        <v>354.13</v>
      </c>
      <c r="DL70">
        <v>28.5899</v>
      </c>
      <c r="DM70">
        <v>500.18299999999999</v>
      </c>
      <c r="DN70">
        <v>99.156000000000006</v>
      </c>
      <c r="DO70">
        <v>0.10016700000000001</v>
      </c>
      <c r="DP70">
        <v>30.328199999999999</v>
      </c>
      <c r="DQ70">
        <v>30.001300000000001</v>
      </c>
      <c r="DR70">
        <v>999.9</v>
      </c>
      <c r="DS70">
        <v>0</v>
      </c>
      <c r="DT70">
        <v>0</v>
      </c>
      <c r="DU70">
        <v>9992.5</v>
      </c>
      <c r="DV70">
        <v>0</v>
      </c>
      <c r="DW70">
        <v>1974.46</v>
      </c>
      <c r="DX70">
        <v>-47.370899999999999</v>
      </c>
      <c r="DY70">
        <v>363.14800000000002</v>
      </c>
      <c r="DZ70">
        <v>409.76499999999999</v>
      </c>
      <c r="EA70">
        <v>5.0984999999999996</v>
      </c>
      <c r="EB70">
        <v>400.11700000000002</v>
      </c>
      <c r="EC70">
        <v>23.546199999999999</v>
      </c>
      <c r="ED70">
        <v>2.84029</v>
      </c>
      <c r="EE70">
        <v>2.3347500000000001</v>
      </c>
      <c r="EF70">
        <v>23.120200000000001</v>
      </c>
      <c r="EG70">
        <v>19.918199999999999</v>
      </c>
      <c r="EH70">
        <v>1800</v>
      </c>
      <c r="EI70">
        <v>0.97800600000000004</v>
      </c>
      <c r="EJ70">
        <v>2.1993599999999999E-2</v>
      </c>
      <c r="EK70">
        <v>0</v>
      </c>
      <c r="EL70">
        <v>680.78</v>
      </c>
      <c r="EM70">
        <v>5.00082</v>
      </c>
      <c r="EN70">
        <v>16136.4</v>
      </c>
      <c r="EO70">
        <v>14129.8</v>
      </c>
      <c r="EP70">
        <v>49.186999999999998</v>
      </c>
      <c r="EQ70">
        <v>50.75</v>
      </c>
      <c r="ER70">
        <v>50</v>
      </c>
      <c r="ES70">
        <v>50.375</v>
      </c>
      <c r="ET70">
        <v>50.5</v>
      </c>
      <c r="EU70">
        <v>1755.52</v>
      </c>
      <c r="EV70">
        <v>39.479999999999997</v>
      </c>
      <c r="EW70">
        <v>0</v>
      </c>
      <c r="EX70">
        <v>116</v>
      </c>
      <c r="EY70">
        <v>0</v>
      </c>
      <c r="EZ70">
        <v>679.61899999999991</v>
      </c>
      <c r="FA70">
        <v>7.7237692459842702</v>
      </c>
      <c r="FB70">
        <v>110.18461542674081</v>
      </c>
      <c r="FC70">
        <v>16122.108</v>
      </c>
      <c r="FD70">
        <v>15</v>
      </c>
      <c r="FE70">
        <v>1689009434</v>
      </c>
      <c r="FF70" t="s">
        <v>699</v>
      </c>
      <c r="FG70">
        <v>1689009434</v>
      </c>
      <c r="FH70">
        <v>1689009430.5</v>
      </c>
      <c r="FI70">
        <v>61</v>
      </c>
      <c r="FJ70">
        <v>-9.8000000000000004E-2</v>
      </c>
      <c r="FK70">
        <v>7.0000000000000001E-3</v>
      </c>
      <c r="FL70">
        <v>-1.43</v>
      </c>
      <c r="FM70">
        <v>5.5E-2</v>
      </c>
      <c r="FN70">
        <v>400</v>
      </c>
      <c r="FO70">
        <v>24</v>
      </c>
      <c r="FP70">
        <v>0.06</v>
      </c>
      <c r="FQ70">
        <v>0.02</v>
      </c>
      <c r="FR70">
        <v>37.980391150791903</v>
      </c>
      <c r="FS70">
        <v>-0.22335487632447609</v>
      </c>
      <c r="FT70">
        <v>3.2211347463013892E-2</v>
      </c>
      <c r="FU70">
        <v>1</v>
      </c>
      <c r="FV70">
        <v>0.31017170457870508</v>
      </c>
      <c r="FW70">
        <v>4.5999889882552908E-2</v>
      </c>
      <c r="FX70">
        <v>3.6965894679885682E-3</v>
      </c>
      <c r="FY70">
        <v>1</v>
      </c>
      <c r="FZ70">
        <v>2</v>
      </c>
      <c r="GA70">
        <v>2</v>
      </c>
      <c r="GB70" t="s">
        <v>423</v>
      </c>
      <c r="GC70">
        <v>2.9453999999999998</v>
      </c>
      <c r="GD70">
        <v>2.7087599999999998</v>
      </c>
      <c r="GE70">
        <v>7.99097E-2</v>
      </c>
      <c r="GF70">
        <v>8.8037400000000002E-2</v>
      </c>
      <c r="GG70">
        <v>0.12810199999999999</v>
      </c>
      <c r="GH70">
        <v>0.11189300000000001</v>
      </c>
      <c r="GI70">
        <v>30307</v>
      </c>
      <c r="GJ70">
        <v>29291.5</v>
      </c>
      <c r="GK70">
        <v>33934.1</v>
      </c>
      <c r="GL70">
        <v>32156.400000000001</v>
      </c>
      <c r="GM70">
        <v>42695.9</v>
      </c>
      <c r="GN70">
        <v>40632.300000000003</v>
      </c>
      <c r="GO70">
        <v>49130.400000000001</v>
      </c>
      <c r="GP70">
        <v>45519.8</v>
      </c>
      <c r="GQ70">
        <v>1.9897800000000001</v>
      </c>
      <c r="GR70">
        <v>1.7858700000000001</v>
      </c>
      <c r="GS70">
        <v>1.50837E-2</v>
      </c>
      <c r="GT70">
        <v>0</v>
      </c>
      <c r="GU70">
        <v>29.755700000000001</v>
      </c>
      <c r="GV70">
        <v>999.9</v>
      </c>
      <c r="GW70">
        <v>35.9</v>
      </c>
      <c r="GX70">
        <v>42.7</v>
      </c>
      <c r="GY70">
        <v>30.965900000000001</v>
      </c>
      <c r="GZ70">
        <v>60.402299999999997</v>
      </c>
      <c r="HA70">
        <v>25.709099999999999</v>
      </c>
      <c r="HB70">
        <v>1</v>
      </c>
      <c r="HC70">
        <v>0.38681900000000002</v>
      </c>
      <c r="HD70">
        <v>2.8034699999999999</v>
      </c>
      <c r="HE70">
        <v>20.2483</v>
      </c>
      <c r="HF70">
        <v>5.2707499999999996</v>
      </c>
      <c r="HG70">
        <v>12.039899999999999</v>
      </c>
      <c r="HH70">
        <v>4.9660000000000002</v>
      </c>
      <c r="HI70">
        <v>3.3010000000000002</v>
      </c>
      <c r="HJ70">
        <v>9999</v>
      </c>
      <c r="HK70">
        <v>9999</v>
      </c>
      <c r="HL70">
        <v>9999</v>
      </c>
      <c r="HM70">
        <v>999.9</v>
      </c>
      <c r="HN70">
        <v>1.86829</v>
      </c>
      <c r="HO70">
        <v>1.87195</v>
      </c>
      <c r="HP70">
        <v>1.8717900000000001</v>
      </c>
      <c r="HQ70">
        <v>1.8712299999999999</v>
      </c>
      <c r="HR70">
        <v>1.8644700000000001</v>
      </c>
      <c r="HS70">
        <v>1.8656900000000001</v>
      </c>
      <c r="HT70">
        <v>1.86768</v>
      </c>
      <c r="HU70">
        <v>1.87225</v>
      </c>
      <c r="HV70">
        <v>0</v>
      </c>
      <c r="HW70">
        <v>0</v>
      </c>
      <c r="HX70">
        <v>0</v>
      </c>
      <c r="HY70">
        <v>0</v>
      </c>
      <c r="HZ70" t="s">
        <v>424</v>
      </c>
      <c r="IA70" t="s">
        <v>425</v>
      </c>
      <c r="IB70" t="s">
        <v>426</v>
      </c>
      <c r="IC70" t="s">
        <v>426</v>
      </c>
      <c r="ID70" t="s">
        <v>426</v>
      </c>
      <c r="IE70" t="s">
        <v>426</v>
      </c>
      <c r="IF70">
        <v>0</v>
      </c>
      <c r="IG70">
        <v>100</v>
      </c>
      <c r="IH70">
        <v>100</v>
      </c>
      <c r="II70">
        <v>-1.3839999999999999</v>
      </c>
      <c r="IJ70">
        <v>5.4800000000000001E-2</v>
      </c>
      <c r="IK70">
        <v>-1.003138200441285</v>
      </c>
      <c r="IL70">
        <v>-1.171017271736434E-3</v>
      </c>
      <c r="IM70">
        <v>2.801297040296544E-7</v>
      </c>
      <c r="IN70">
        <v>-3.6238253961199429E-11</v>
      </c>
      <c r="IO70">
        <v>5.4849999999998289E-2</v>
      </c>
      <c r="IP70">
        <v>0</v>
      </c>
      <c r="IQ70">
        <v>0</v>
      </c>
      <c r="IR70">
        <v>0</v>
      </c>
      <c r="IS70">
        <v>0</v>
      </c>
      <c r="IT70">
        <v>2161</v>
      </c>
      <c r="IU70">
        <v>1</v>
      </c>
      <c r="IV70">
        <v>19</v>
      </c>
      <c r="IW70">
        <v>0.5</v>
      </c>
      <c r="IX70">
        <v>0.6</v>
      </c>
      <c r="IY70">
        <v>1.03271</v>
      </c>
      <c r="IZ70">
        <v>2.5268600000000001</v>
      </c>
      <c r="JA70">
        <v>1.4440900000000001</v>
      </c>
      <c r="JB70">
        <v>2.2827099999999998</v>
      </c>
      <c r="JC70">
        <v>1.54419</v>
      </c>
      <c r="JD70">
        <v>2.32666</v>
      </c>
      <c r="JE70">
        <v>45.347299999999997</v>
      </c>
      <c r="JF70">
        <v>15.8569</v>
      </c>
      <c r="JG70">
        <v>18</v>
      </c>
      <c r="JH70">
        <v>510.29</v>
      </c>
      <c r="JI70">
        <v>418.178</v>
      </c>
      <c r="JJ70">
        <v>25.976500000000001</v>
      </c>
      <c r="JK70">
        <v>32.098799999999997</v>
      </c>
      <c r="JL70">
        <v>30.0016</v>
      </c>
      <c r="JM70">
        <v>31.8551</v>
      </c>
      <c r="JN70">
        <v>31.8064</v>
      </c>
      <c r="JO70">
        <v>20.7895</v>
      </c>
      <c r="JP70">
        <v>30.846399999999999</v>
      </c>
      <c r="JQ70">
        <v>0</v>
      </c>
      <c r="JR70">
        <v>25.939900000000002</v>
      </c>
      <c r="JS70">
        <v>400</v>
      </c>
      <c r="JT70">
        <v>23.448799999999999</v>
      </c>
      <c r="JU70">
        <v>99.586699999999993</v>
      </c>
      <c r="JV70">
        <v>99.132900000000006</v>
      </c>
    </row>
    <row r="71" spans="1:282" x14ac:dyDescent="0.25">
      <c r="A71">
        <v>55</v>
      </c>
      <c r="B71">
        <v>1689009566.5</v>
      </c>
      <c r="C71">
        <v>10389.5</v>
      </c>
      <c r="D71" t="s">
        <v>700</v>
      </c>
      <c r="E71" t="s">
        <v>701</v>
      </c>
      <c r="F71" t="s">
        <v>414</v>
      </c>
      <c r="G71" t="s">
        <v>415</v>
      </c>
      <c r="H71" t="s">
        <v>655</v>
      </c>
      <c r="I71" t="s">
        <v>416</v>
      </c>
      <c r="J71" t="s">
        <v>656</v>
      </c>
      <c r="K71">
        <v>1689009566.5</v>
      </c>
      <c r="L71">
        <f t="shared" si="46"/>
        <v>4.1765058762884407E-3</v>
      </c>
      <c r="M71">
        <f t="shared" si="47"/>
        <v>4.1765058762884406</v>
      </c>
      <c r="N71">
        <f t="shared" si="48"/>
        <v>38.584437235621728</v>
      </c>
      <c r="O71">
        <f t="shared" si="49"/>
        <v>352.12900000000002</v>
      </c>
      <c r="P71">
        <f t="shared" si="50"/>
        <v>126.53025984553464</v>
      </c>
      <c r="Q71">
        <f t="shared" si="51"/>
        <v>12.5599270058842</v>
      </c>
      <c r="R71">
        <f t="shared" si="52"/>
        <v>34.953809010225299</v>
      </c>
      <c r="S71">
        <f t="shared" si="53"/>
        <v>0.29414678182620607</v>
      </c>
      <c r="T71">
        <f t="shared" si="54"/>
        <v>2.9190135998398441</v>
      </c>
      <c r="U71">
        <f t="shared" si="55"/>
        <v>0.27861591389649437</v>
      </c>
      <c r="V71">
        <f t="shared" si="56"/>
        <v>0.17546196762562283</v>
      </c>
      <c r="W71">
        <f t="shared" si="57"/>
        <v>289.54354695856864</v>
      </c>
      <c r="X71">
        <f t="shared" si="58"/>
        <v>30.922983389865333</v>
      </c>
      <c r="Y71">
        <f t="shared" si="59"/>
        <v>30.033000000000001</v>
      </c>
      <c r="Z71">
        <f t="shared" si="60"/>
        <v>4.2685320982187003</v>
      </c>
      <c r="AA71">
        <f t="shared" si="61"/>
        <v>65.374689865117844</v>
      </c>
      <c r="AB71">
        <f t="shared" si="62"/>
        <v>2.8337749769604597</v>
      </c>
      <c r="AC71">
        <f t="shared" si="63"/>
        <v>4.3346667996546548</v>
      </c>
      <c r="AD71">
        <f t="shared" si="64"/>
        <v>1.4347571212582406</v>
      </c>
      <c r="AE71">
        <f t="shared" si="65"/>
        <v>-184.18390914432024</v>
      </c>
      <c r="AF71">
        <f t="shared" si="66"/>
        <v>42.17512280014315</v>
      </c>
      <c r="AG71">
        <f t="shared" si="67"/>
        <v>3.2179353052916282</v>
      </c>
      <c r="AH71">
        <f t="shared" si="68"/>
        <v>150.75269591968319</v>
      </c>
      <c r="AI71">
        <v>0</v>
      </c>
      <c r="AJ71">
        <v>0</v>
      </c>
      <c r="AK71">
        <f t="shared" si="69"/>
        <v>1</v>
      </c>
      <c r="AL71">
        <f t="shared" si="70"/>
        <v>0</v>
      </c>
      <c r="AM71">
        <f t="shared" si="71"/>
        <v>51983.102122439574</v>
      </c>
      <c r="AN71" t="s">
        <v>418</v>
      </c>
      <c r="AO71">
        <v>10076.700000000001</v>
      </c>
      <c r="AP71">
        <v>185.01599999999999</v>
      </c>
      <c r="AQ71">
        <v>473.06</v>
      </c>
      <c r="AR71">
        <f t="shared" si="72"/>
        <v>0.60889527755464423</v>
      </c>
      <c r="AS71">
        <v>-1.4827006201179751</v>
      </c>
      <c r="AT71" t="s">
        <v>702</v>
      </c>
      <c r="AU71">
        <v>8085.38</v>
      </c>
      <c r="AV71">
        <v>686.30619230769241</v>
      </c>
      <c r="AW71">
        <v>989.18093838008906</v>
      </c>
      <c r="AX71">
        <f t="shared" si="73"/>
        <v>0.30618740649045761</v>
      </c>
      <c r="AY71">
        <v>0.5</v>
      </c>
      <c r="AZ71">
        <f t="shared" si="74"/>
        <v>1513.066799460398</v>
      </c>
      <c r="BA71">
        <f t="shared" si="75"/>
        <v>38.584437235621728</v>
      </c>
      <c r="BB71">
        <f t="shared" si="76"/>
        <v>231.6409995867983</v>
      </c>
      <c r="BC71">
        <f t="shared" si="77"/>
        <v>2.648074617064413E-2</v>
      </c>
      <c r="BD71">
        <f t="shared" si="78"/>
        <v>-0.5217659564137006</v>
      </c>
      <c r="BE71">
        <f t="shared" si="79"/>
        <v>232.45118020623278</v>
      </c>
      <c r="BF71" t="s">
        <v>703</v>
      </c>
      <c r="BG71">
        <v>554.66999999999996</v>
      </c>
      <c r="BH71">
        <f t="shared" si="80"/>
        <v>554.66999999999996</v>
      </c>
      <c r="BI71">
        <f t="shared" si="81"/>
        <v>0.43926335569269725</v>
      </c>
      <c r="BJ71">
        <f t="shared" si="82"/>
        <v>0.6970474603045701</v>
      </c>
      <c r="BK71">
        <f t="shared" si="83"/>
        <v>6.324236470776734</v>
      </c>
      <c r="BL71">
        <f t="shared" si="84"/>
        <v>0.37663261803294723</v>
      </c>
      <c r="BM71">
        <f t="shared" si="85"/>
        <v>-1.7918128424132738</v>
      </c>
      <c r="BN71">
        <f t="shared" si="86"/>
        <v>0.56335105109148864</v>
      </c>
      <c r="BO71">
        <f t="shared" si="87"/>
        <v>0.43664894890851136</v>
      </c>
      <c r="BP71">
        <v>9163</v>
      </c>
      <c r="BQ71">
        <v>290.00000000000011</v>
      </c>
      <c r="BR71">
        <v>877.44</v>
      </c>
      <c r="BS71">
        <v>275</v>
      </c>
      <c r="BT71">
        <v>8085.38</v>
      </c>
      <c r="BU71">
        <v>879.17</v>
      </c>
      <c r="BV71">
        <v>-1.73</v>
      </c>
      <c r="BW71">
        <v>300.00000000000011</v>
      </c>
      <c r="BX71">
        <v>19.2</v>
      </c>
      <c r="BY71">
        <v>989.18093838008906</v>
      </c>
      <c r="BZ71">
        <v>3.3363980772483228</v>
      </c>
      <c r="CA71">
        <v>-88.949171605372015</v>
      </c>
      <c r="CB71">
        <v>2.4785747812993448</v>
      </c>
      <c r="CC71">
        <v>0.97872167320689418</v>
      </c>
      <c r="CD71">
        <v>-4.1657679644048927E-3</v>
      </c>
      <c r="CE71">
        <v>289.99999999999989</v>
      </c>
      <c r="CF71">
        <v>872.68</v>
      </c>
      <c r="CG71">
        <v>655</v>
      </c>
      <c r="CH71">
        <v>8077.48</v>
      </c>
      <c r="CI71">
        <v>879.06</v>
      </c>
      <c r="CJ71">
        <v>-6.38</v>
      </c>
      <c r="CX71">
        <f t="shared" si="88"/>
        <v>1799.86</v>
      </c>
      <c r="CY71">
        <f t="shared" si="89"/>
        <v>1513.066799460398</v>
      </c>
      <c r="CZ71">
        <f t="shared" si="90"/>
        <v>0.84065805088195644</v>
      </c>
      <c r="DA71">
        <f t="shared" si="91"/>
        <v>0.16087003820217607</v>
      </c>
      <c r="DB71">
        <v>6</v>
      </c>
      <c r="DC71">
        <v>0.5</v>
      </c>
      <c r="DD71" t="s">
        <v>421</v>
      </c>
      <c r="DE71">
        <v>2</v>
      </c>
      <c r="DF71">
        <v>1689009566.5</v>
      </c>
      <c r="DG71">
        <v>352.12900000000002</v>
      </c>
      <c r="DH71">
        <v>400.18099999999998</v>
      </c>
      <c r="DI71">
        <v>28.547799999999999</v>
      </c>
      <c r="DJ71">
        <v>23.680499999999999</v>
      </c>
      <c r="DK71">
        <v>353.51600000000002</v>
      </c>
      <c r="DL71">
        <v>28.5001</v>
      </c>
      <c r="DM71">
        <v>500.14699999999999</v>
      </c>
      <c r="DN71">
        <v>99.164599999999993</v>
      </c>
      <c r="DO71">
        <v>9.9615700000000001E-2</v>
      </c>
      <c r="DP71">
        <v>30.300999999999998</v>
      </c>
      <c r="DQ71">
        <v>30.033000000000001</v>
      </c>
      <c r="DR71">
        <v>999.9</v>
      </c>
      <c r="DS71">
        <v>0</v>
      </c>
      <c r="DT71">
        <v>0</v>
      </c>
      <c r="DU71">
        <v>10023.799999999999</v>
      </c>
      <c r="DV71">
        <v>0</v>
      </c>
      <c r="DW71">
        <v>1960.98</v>
      </c>
      <c r="DX71">
        <v>-48.0518</v>
      </c>
      <c r="DY71">
        <v>362.47699999999998</v>
      </c>
      <c r="DZ71">
        <v>409.887</v>
      </c>
      <c r="EA71">
        <v>4.8673599999999997</v>
      </c>
      <c r="EB71">
        <v>400.18099999999998</v>
      </c>
      <c r="EC71">
        <v>23.680499999999999</v>
      </c>
      <c r="ED71">
        <v>2.83094</v>
      </c>
      <c r="EE71">
        <v>2.3482699999999999</v>
      </c>
      <c r="EF71">
        <v>23.0656</v>
      </c>
      <c r="EG71">
        <v>20.011399999999998</v>
      </c>
      <c r="EH71">
        <v>1799.86</v>
      </c>
      <c r="EI71">
        <v>0.97800600000000004</v>
      </c>
      <c r="EJ71">
        <v>2.1993599999999999E-2</v>
      </c>
      <c r="EK71">
        <v>0</v>
      </c>
      <c r="EL71">
        <v>686.88099999999997</v>
      </c>
      <c r="EM71">
        <v>5.00082</v>
      </c>
      <c r="EN71">
        <v>16220</v>
      </c>
      <c r="EO71">
        <v>14128.7</v>
      </c>
      <c r="EP71">
        <v>49.375</v>
      </c>
      <c r="EQ71">
        <v>51.186999999999998</v>
      </c>
      <c r="ER71">
        <v>50.375</v>
      </c>
      <c r="ES71">
        <v>50.686999999999998</v>
      </c>
      <c r="ET71">
        <v>50.686999999999998</v>
      </c>
      <c r="EU71">
        <v>1755.38</v>
      </c>
      <c r="EV71">
        <v>39.479999999999997</v>
      </c>
      <c r="EW71">
        <v>0</v>
      </c>
      <c r="EX71">
        <v>100.4000000953674</v>
      </c>
      <c r="EY71">
        <v>0</v>
      </c>
      <c r="EZ71">
        <v>686.30619230769241</v>
      </c>
      <c r="FA71">
        <v>0.85500855795461828</v>
      </c>
      <c r="FB71">
        <v>91.911111267012672</v>
      </c>
      <c r="FC71">
        <v>16207.284615384609</v>
      </c>
      <c r="FD71">
        <v>15</v>
      </c>
      <c r="FE71">
        <v>1689009535</v>
      </c>
      <c r="FF71" t="s">
        <v>704</v>
      </c>
      <c r="FG71">
        <v>1689009535</v>
      </c>
      <c r="FH71">
        <v>1689009530.5</v>
      </c>
      <c r="FI71">
        <v>62</v>
      </c>
      <c r="FJ71">
        <v>-3.0000000000000001E-3</v>
      </c>
      <c r="FK71">
        <v>-7.0000000000000001E-3</v>
      </c>
      <c r="FL71">
        <v>-1.4339999999999999</v>
      </c>
      <c r="FM71">
        <v>4.8000000000000001E-2</v>
      </c>
      <c r="FN71">
        <v>400</v>
      </c>
      <c r="FO71">
        <v>23</v>
      </c>
      <c r="FP71">
        <v>0.06</v>
      </c>
      <c r="FQ71">
        <v>0.02</v>
      </c>
      <c r="FR71">
        <v>38.581381824102372</v>
      </c>
      <c r="FS71">
        <v>2.4143161453450999E-2</v>
      </c>
      <c r="FT71">
        <v>2.101902457333122E-2</v>
      </c>
      <c r="FU71">
        <v>1</v>
      </c>
      <c r="FV71">
        <v>0.28834629490869118</v>
      </c>
      <c r="FW71">
        <v>4.8812172584980378E-2</v>
      </c>
      <c r="FX71">
        <v>3.756739678837496E-3</v>
      </c>
      <c r="FY71">
        <v>1</v>
      </c>
      <c r="FZ71">
        <v>2</v>
      </c>
      <c r="GA71">
        <v>2</v>
      </c>
      <c r="GB71" t="s">
        <v>423</v>
      </c>
      <c r="GC71">
        <v>2.9451399999999999</v>
      </c>
      <c r="GD71">
        <v>2.7084899999999998</v>
      </c>
      <c r="GE71">
        <v>7.9762299999999994E-2</v>
      </c>
      <c r="GF71">
        <v>8.8011000000000006E-2</v>
      </c>
      <c r="GG71">
        <v>0.127773</v>
      </c>
      <c r="GH71">
        <v>0.112294</v>
      </c>
      <c r="GI71">
        <v>30294.2</v>
      </c>
      <c r="GJ71">
        <v>29276.5</v>
      </c>
      <c r="GK71">
        <v>33915.9</v>
      </c>
      <c r="GL71">
        <v>32140.400000000001</v>
      </c>
      <c r="GM71">
        <v>42692.7</v>
      </c>
      <c r="GN71">
        <v>40594.199999999997</v>
      </c>
      <c r="GO71">
        <v>49106.8</v>
      </c>
      <c r="GP71">
        <v>45497</v>
      </c>
      <c r="GQ71">
        <v>1.9863999999999999</v>
      </c>
      <c r="GR71">
        <v>1.7834700000000001</v>
      </c>
      <c r="GS71">
        <v>1.14962E-2</v>
      </c>
      <c r="GT71">
        <v>0</v>
      </c>
      <c r="GU71">
        <v>29.8459</v>
      </c>
      <c r="GV71">
        <v>999.9</v>
      </c>
      <c r="GW71">
        <v>35.799999999999997</v>
      </c>
      <c r="GX71">
        <v>42.8</v>
      </c>
      <c r="GY71">
        <v>31.035299999999999</v>
      </c>
      <c r="GZ71">
        <v>59.712299999999999</v>
      </c>
      <c r="HA71">
        <v>25.380600000000001</v>
      </c>
      <c r="HB71">
        <v>1</v>
      </c>
      <c r="HC71">
        <v>0.40811500000000001</v>
      </c>
      <c r="HD71">
        <v>2.94997</v>
      </c>
      <c r="HE71">
        <v>20.245200000000001</v>
      </c>
      <c r="HF71">
        <v>5.2702999999999998</v>
      </c>
      <c r="HG71">
        <v>12.039899999999999</v>
      </c>
      <c r="HH71">
        <v>4.96645</v>
      </c>
      <c r="HI71">
        <v>3.3009300000000001</v>
      </c>
      <c r="HJ71">
        <v>9999</v>
      </c>
      <c r="HK71">
        <v>9999</v>
      </c>
      <c r="HL71">
        <v>9999</v>
      </c>
      <c r="HM71">
        <v>999.9</v>
      </c>
      <c r="HN71">
        <v>1.86829</v>
      </c>
      <c r="HO71">
        <v>1.87195</v>
      </c>
      <c r="HP71">
        <v>1.87178</v>
      </c>
      <c r="HQ71">
        <v>1.8712899999999999</v>
      </c>
      <c r="HR71">
        <v>1.8644700000000001</v>
      </c>
      <c r="HS71">
        <v>1.8656900000000001</v>
      </c>
      <c r="HT71">
        <v>1.86768</v>
      </c>
      <c r="HU71">
        <v>1.87225</v>
      </c>
      <c r="HV71">
        <v>0</v>
      </c>
      <c r="HW71">
        <v>0</v>
      </c>
      <c r="HX71">
        <v>0</v>
      </c>
      <c r="HY71">
        <v>0</v>
      </c>
      <c r="HZ71" t="s">
        <v>424</v>
      </c>
      <c r="IA71" t="s">
        <v>425</v>
      </c>
      <c r="IB71" t="s">
        <v>426</v>
      </c>
      <c r="IC71" t="s">
        <v>426</v>
      </c>
      <c r="ID71" t="s">
        <v>426</v>
      </c>
      <c r="IE71" t="s">
        <v>426</v>
      </c>
      <c r="IF71">
        <v>0</v>
      </c>
      <c r="IG71">
        <v>100</v>
      </c>
      <c r="IH71">
        <v>100</v>
      </c>
      <c r="II71">
        <v>-1.387</v>
      </c>
      <c r="IJ71">
        <v>4.7699999999999999E-2</v>
      </c>
      <c r="IK71">
        <v>-1.0063442765698949</v>
      </c>
      <c r="IL71">
        <v>-1.171017271736434E-3</v>
      </c>
      <c r="IM71">
        <v>2.801297040296544E-7</v>
      </c>
      <c r="IN71">
        <v>-3.6238253961199429E-11</v>
      </c>
      <c r="IO71">
        <v>4.7789999999995558E-2</v>
      </c>
      <c r="IP71">
        <v>0</v>
      </c>
      <c r="IQ71">
        <v>0</v>
      </c>
      <c r="IR71">
        <v>0</v>
      </c>
      <c r="IS71">
        <v>0</v>
      </c>
      <c r="IT71">
        <v>2161</v>
      </c>
      <c r="IU71">
        <v>1</v>
      </c>
      <c r="IV71">
        <v>19</v>
      </c>
      <c r="IW71">
        <v>0.5</v>
      </c>
      <c r="IX71">
        <v>0.6</v>
      </c>
      <c r="IY71">
        <v>1.03271</v>
      </c>
      <c r="IZ71">
        <v>2.5097700000000001</v>
      </c>
      <c r="JA71">
        <v>1.4440900000000001</v>
      </c>
      <c r="JB71">
        <v>2.2827099999999998</v>
      </c>
      <c r="JC71">
        <v>1.54419</v>
      </c>
      <c r="JD71">
        <v>2.3645</v>
      </c>
      <c r="JE71">
        <v>45.575800000000001</v>
      </c>
      <c r="JF71">
        <v>15.839399999999999</v>
      </c>
      <c r="JG71">
        <v>18</v>
      </c>
      <c r="JH71">
        <v>509.82799999999997</v>
      </c>
      <c r="JI71">
        <v>418.15499999999997</v>
      </c>
      <c r="JJ71">
        <v>25.843900000000001</v>
      </c>
      <c r="JK71">
        <v>32.350999999999999</v>
      </c>
      <c r="JL71">
        <v>30.000800000000002</v>
      </c>
      <c r="JM71">
        <v>32.07</v>
      </c>
      <c r="JN71">
        <v>32.013399999999997</v>
      </c>
      <c r="JO71">
        <v>20.791399999999999</v>
      </c>
      <c r="JP71">
        <v>29.960699999999999</v>
      </c>
      <c r="JQ71">
        <v>0</v>
      </c>
      <c r="JR71">
        <v>25.8264</v>
      </c>
      <c r="JS71">
        <v>400</v>
      </c>
      <c r="JT71">
        <v>23.619800000000001</v>
      </c>
      <c r="JU71">
        <v>99.536600000000007</v>
      </c>
      <c r="JV71">
        <v>99.083399999999997</v>
      </c>
    </row>
    <row r="72" spans="1:282" x14ac:dyDescent="0.25">
      <c r="A72">
        <v>56</v>
      </c>
      <c r="B72">
        <v>1689009686</v>
      </c>
      <c r="C72">
        <v>10509</v>
      </c>
      <c r="D72" t="s">
        <v>705</v>
      </c>
      <c r="E72" t="s">
        <v>706</v>
      </c>
      <c r="F72" t="s">
        <v>414</v>
      </c>
      <c r="G72" t="s">
        <v>415</v>
      </c>
      <c r="H72" t="s">
        <v>655</v>
      </c>
      <c r="I72" t="s">
        <v>416</v>
      </c>
      <c r="J72" t="s">
        <v>656</v>
      </c>
      <c r="K72">
        <v>1689009686</v>
      </c>
      <c r="L72">
        <f t="shared" si="46"/>
        <v>4.1176645363539188E-3</v>
      </c>
      <c r="M72">
        <f t="shared" si="47"/>
        <v>4.117664536353919</v>
      </c>
      <c r="N72">
        <f t="shared" si="48"/>
        <v>41.14541031172007</v>
      </c>
      <c r="O72">
        <f t="shared" si="49"/>
        <v>448.62900000000002</v>
      </c>
      <c r="P72">
        <f t="shared" si="50"/>
        <v>203.28025498093513</v>
      </c>
      <c r="Q72">
        <f t="shared" si="51"/>
        <v>20.177375781792751</v>
      </c>
      <c r="R72">
        <f t="shared" si="52"/>
        <v>44.530423874462706</v>
      </c>
      <c r="S72">
        <f t="shared" si="53"/>
        <v>0.29014997929468594</v>
      </c>
      <c r="T72">
        <f t="shared" si="54"/>
        <v>2.9143169862376066</v>
      </c>
      <c r="U72">
        <f t="shared" si="55"/>
        <v>0.27500364582080522</v>
      </c>
      <c r="V72">
        <f t="shared" si="56"/>
        <v>0.17317220073204986</v>
      </c>
      <c r="W72">
        <f t="shared" si="57"/>
        <v>289.55428095807582</v>
      </c>
      <c r="X72">
        <f t="shared" si="58"/>
        <v>30.948315692342049</v>
      </c>
      <c r="Y72">
        <f t="shared" si="59"/>
        <v>30.0124</v>
      </c>
      <c r="Z72">
        <f t="shared" si="60"/>
        <v>4.2634852019889324</v>
      </c>
      <c r="AA72">
        <f t="shared" si="61"/>
        <v>65.262643445189056</v>
      </c>
      <c r="AB72">
        <f t="shared" si="62"/>
        <v>2.8303776390351305</v>
      </c>
      <c r="AC72">
        <f t="shared" si="63"/>
        <v>4.3369031495211017</v>
      </c>
      <c r="AD72">
        <f t="shared" si="64"/>
        <v>1.4331075629538019</v>
      </c>
      <c r="AE72">
        <f t="shared" si="65"/>
        <v>-181.58900605320781</v>
      </c>
      <c r="AF72">
        <f t="shared" si="66"/>
        <v>46.757917230943526</v>
      </c>
      <c r="AG72">
        <f t="shared" si="67"/>
        <v>3.5731441329130003</v>
      </c>
      <c r="AH72">
        <f t="shared" si="68"/>
        <v>158.29633626872453</v>
      </c>
      <c r="AI72">
        <v>0</v>
      </c>
      <c r="AJ72">
        <v>0</v>
      </c>
      <c r="AK72">
        <f t="shared" si="69"/>
        <v>1</v>
      </c>
      <c r="AL72">
        <f t="shared" si="70"/>
        <v>0</v>
      </c>
      <c r="AM72">
        <f t="shared" si="71"/>
        <v>51847.84700354901</v>
      </c>
      <c r="AN72" t="s">
        <v>418</v>
      </c>
      <c r="AO72">
        <v>10076.700000000001</v>
      </c>
      <c r="AP72">
        <v>185.01599999999999</v>
      </c>
      <c r="AQ72">
        <v>473.06</v>
      </c>
      <c r="AR72">
        <f t="shared" si="72"/>
        <v>0.60889527755464423</v>
      </c>
      <c r="AS72">
        <v>-1.4827006201179751</v>
      </c>
      <c r="AT72" t="s">
        <v>707</v>
      </c>
      <c r="AU72">
        <v>8083.95</v>
      </c>
      <c r="AV72">
        <v>696.33892000000003</v>
      </c>
      <c r="AW72">
        <v>1022.355272936259</v>
      </c>
      <c r="AX72">
        <f t="shared" si="73"/>
        <v>0.31888753505415257</v>
      </c>
      <c r="AY72">
        <v>0.5</v>
      </c>
      <c r="AZ72">
        <f t="shared" si="74"/>
        <v>1513.1177994601428</v>
      </c>
      <c r="BA72">
        <f t="shared" si="75"/>
        <v>41.14541031172007</v>
      </c>
      <c r="BB72">
        <f t="shared" si="76"/>
        <v>241.25720265820425</v>
      </c>
      <c r="BC72">
        <f t="shared" si="77"/>
        <v>2.8172367641863112E-2</v>
      </c>
      <c r="BD72">
        <f t="shared" si="78"/>
        <v>-0.53728413935661867</v>
      </c>
      <c r="BE72">
        <f t="shared" si="79"/>
        <v>234.23730773145013</v>
      </c>
      <c r="BF72" t="s">
        <v>708</v>
      </c>
      <c r="BG72">
        <v>559.99</v>
      </c>
      <c r="BH72">
        <f t="shared" si="80"/>
        <v>559.99</v>
      </c>
      <c r="BI72">
        <f t="shared" si="81"/>
        <v>0.45225498921556029</v>
      </c>
      <c r="BJ72">
        <f t="shared" si="82"/>
        <v>0.70510562107289387</v>
      </c>
      <c r="BK72">
        <f t="shared" si="83"/>
        <v>6.3188228797452997</v>
      </c>
      <c r="BL72">
        <f t="shared" si="84"/>
        <v>0.38934797814156313</v>
      </c>
      <c r="BM72">
        <f t="shared" si="85"/>
        <v>-1.9069839084871025</v>
      </c>
      <c r="BN72">
        <f t="shared" si="86"/>
        <v>0.56704010849287279</v>
      </c>
      <c r="BO72">
        <f t="shared" si="87"/>
        <v>0.43295989150712721</v>
      </c>
      <c r="BP72">
        <v>9165</v>
      </c>
      <c r="BQ72">
        <v>290.00000000000011</v>
      </c>
      <c r="BR72">
        <v>907.45</v>
      </c>
      <c r="BS72">
        <v>295</v>
      </c>
      <c r="BT72">
        <v>8083.95</v>
      </c>
      <c r="BU72">
        <v>908.71</v>
      </c>
      <c r="BV72">
        <v>-1.26</v>
      </c>
      <c r="BW72">
        <v>300.00000000000011</v>
      </c>
      <c r="BX72">
        <v>19.2</v>
      </c>
      <c r="BY72">
        <v>1022.355272936259</v>
      </c>
      <c r="BZ72">
        <v>3.595445448355933</v>
      </c>
      <c r="CA72">
        <v>-91.866282425318076</v>
      </c>
      <c r="CB72">
        <v>2.6706918955887331</v>
      </c>
      <c r="CC72">
        <v>0.97688277103618182</v>
      </c>
      <c r="CD72">
        <v>-4.1653232480533993E-3</v>
      </c>
      <c r="CE72">
        <v>289.99999999999989</v>
      </c>
      <c r="CF72">
        <v>903.75</v>
      </c>
      <c r="CG72">
        <v>655</v>
      </c>
      <c r="CH72">
        <v>8076.52</v>
      </c>
      <c r="CI72">
        <v>908.61</v>
      </c>
      <c r="CJ72">
        <v>-4.8600000000000003</v>
      </c>
      <c r="CX72">
        <f t="shared" si="88"/>
        <v>1799.92</v>
      </c>
      <c r="CY72">
        <f t="shared" si="89"/>
        <v>1513.1177994601428</v>
      </c>
      <c r="CZ72">
        <f t="shared" si="90"/>
        <v>0.84065836229395907</v>
      </c>
      <c r="DA72">
        <f t="shared" si="91"/>
        <v>0.1608706392273411</v>
      </c>
      <c r="DB72">
        <v>6</v>
      </c>
      <c r="DC72">
        <v>0.5</v>
      </c>
      <c r="DD72" t="s">
        <v>421</v>
      </c>
      <c r="DE72">
        <v>2</v>
      </c>
      <c r="DF72">
        <v>1689009686</v>
      </c>
      <c r="DG72">
        <v>448.62900000000002</v>
      </c>
      <c r="DH72">
        <v>500.202</v>
      </c>
      <c r="DI72">
        <v>28.5151</v>
      </c>
      <c r="DJ72">
        <v>23.7165</v>
      </c>
      <c r="DK72">
        <v>450.22800000000001</v>
      </c>
      <c r="DL72">
        <v>28.466899999999999</v>
      </c>
      <c r="DM72">
        <v>500.17700000000002</v>
      </c>
      <c r="DN72">
        <v>99.159000000000006</v>
      </c>
      <c r="DO72">
        <v>9.9906300000000003E-2</v>
      </c>
      <c r="DP72">
        <v>30.31</v>
      </c>
      <c r="DQ72">
        <v>30.0124</v>
      </c>
      <c r="DR72">
        <v>999.9</v>
      </c>
      <c r="DS72">
        <v>0</v>
      </c>
      <c r="DT72">
        <v>0</v>
      </c>
      <c r="DU72">
        <v>9997.5</v>
      </c>
      <c r="DV72">
        <v>0</v>
      </c>
      <c r="DW72">
        <v>1991.88</v>
      </c>
      <c r="DX72">
        <v>-51.573</v>
      </c>
      <c r="DY72">
        <v>461.79700000000003</v>
      </c>
      <c r="DZ72">
        <v>512.35299999999995</v>
      </c>
      <c r="EA72">
        <v>4.79861</v>
      </c>
      <c r="EB72">
        <v>500.202</v>
      </c>
      <c r="EC72">
        <v>23.7165</v>
      </c>
      <c r="ED72">
        <v>2.8275299999999999</v>
      </c>
      <c r="EE72">
        <v>2.3517100000000002</v>
      </c>
      <c r="EF72">
        <v>23.0457</v>
      </c>
      <c r="EG72">
        <v>20.035</v>
      </c>
      <c r="EH72">
        <v>1799.92</v>
      </c>
      <c r="EI72">
        <v>0.977993</v>
      </c>
      <c r="EJ72">
        <v>2.2007100000000002E-2</v>
      </c>
      <c r="EK72">
        <v>0</v>
      </c>
      <c r="EL72">
        <v>696.505</v>
      </c>
      <c r="EM72">
        <v>5.00082</v>
      </c>
      <c r="EN72">
        <v>16436.5</v>
      </c>
      <c r="EO72">
        <v>14129.1</v>
      </c>
      <c r="EP72">
        <v>49.686999999999998</v>
      </c>
      <c r="EQ72">
        <v>51.5</v>
      </c>
      <c r="ER72">
        <v>50.625</v>
      </c>
      <c r="ES72">
        <v>50.936999999999998</v>
      </c>
      <c r="ET72">
        <v>50.936999999999998</v>
      </c>
      <c r="EU72">
        <v>1755.42</v>
      </c>
      <c r="EV72">
        <v>39.5</v>
      </c>
      <c r="EW72">
        <v>0</v>
      </c>
      <c r="EX72">
        <v>117.5999999046326</v>
      </c>
      <c r="EY72">
        <v>0</v>
      </c>
      <c r="EZ72">
        <v>696.33892000000003</v>
      </c>
      <c r="FA72">
        <v>2.4226153903750021</v>
      </c>
      <c r="FB72">
        <v>71.584615040399598</v>
      </c>
      <c r="FC72">
        <v>16425.612000000001</v>
      </c>
      <c r="FD72">
        <v>15</v>
      </c>
      <c r="FE72">
        <v>1689009655.5</v>
      </c>
      <c r="FF72" t="s">
        <v>709</v>
      </c>
      <c r="FG72">
        <v>1689009653</v>
      </c>
      <c r="FH72">
        <v>1689009655.5</v>
      </c>
      <c r="FI72">
        <v>63</v>
      </c>
      <c r="FJ72">
        <v>-0.11899999999999999</v>
      </c>
      <c r="FK72">
        <v>0</v>
      </c>
      <c r="FL72">
        <v>-1.647</v>
      </c>
      <c r="FM72">
        <v>4.8000000000000001E-2</v>
      </c>
      <c r="FN72">
        <v>500</v>
      </c>
      <c r="FO72">
        <v>23</v>
      </c>
      <c r="FP72">
        <v>0.03</v>
      </c>
      <c r="FQ72">
        <v>0.02</v>
      </c>
      <c r="FR72">
        <v>41.163850164404323</v>
      </c>
      <c r="FS72">
        <v>-0.62627815474409454</v>
      </c>
      <c r="FT72">
        <v>5.408672864803421E-2</v>
      </c>
      <c r="FU72">
        <v>1</v>
      </c>
      <c r="FV72">
        <v>0.28635242103944369</v>
      </c>
      <c r="FW72">
        <v>4.9917927230297428E-2</v>
      </c>
      <c r="FX72">
        <v>3.760594012682653E-3</v>
      </c>
      <c r="FY72">
        <v>1</v>
      </c>
      <c r="FZ72">
        <v>2</v>
      </c>
      <c r="GA72">
        <v>2</v>
      </c>
      <c r="GB72" t="s">
        <v>423</v>
      </c>
      <c r="GC72">
        <v>2.9450599999999998</v>
      </c>
      <c r="GD72">
        <v>2.7085400000000002</v>
      </c>
      <c r="GE72">
        <v>9.5950900000000006E-2</v>
      </c>
      <c r="GF72">
        <v>0.103905</v>
      </c>
      <c r="GG72">
        <v>0.12760199999999999</v>
      </c>
      <c r="GH72">
        <v>0.112354</v>
      </c>
      <c r="GI72">
        <v>29747.5</v>
      </c>
      <c r="GJ72">
        <v>28753.9</v>
      </c>
      <c r="GK72">
        <v>33901.4</v>
      </c>
      <c r="GL72">
        <v>32127.7</v>
      </c>
      <c r="GM72">
        <v>42685.8</v>
      </c>
      <c r="GN72">
        <v>40577.199999999997</v>
      </c>
      <c r="GO72">
        <v>49087.8</v>
      </c>
      <c r="GP72">
        <v>45480</v>
      </c>
      <c r="GQ72">
        <v>1.9833700000000001</v>
      </c>
      <c r="GR72">
        <v>1.7813699999999999</v>
      </c>
      <c r="GS72">
        <v>1.20029E-2</v>
      </c>
      <c r="GT72">
        <v>0</v>
      </c>
      <c r="GU72">
        <v>29.817</v>
      </c>
      <c r="GV72">
        <v>999.9</v>
      </c>
      <c r="GW72">
        <v>35.5</v>
      </c>
      <c r="GX72">
        <v>43</v>
      </c>
      <c r="GY72">
        <v>31.101099999999999</v>
      </c>
      <c r="GZ72">
        <v>60.342300000000002</v>
      </c>
      <c r="HA72">
        <v>25.2804</v>
      </c>
      <c r="HB72">
        <v>1</v>
      </c>
      <c r="HC72">
        <v>0.424703</v>
      </c>
      <c r="HD72">
        <v>2.899</v>
      </c>
      <c r="HE72">
        <v>20.2454</v>
      </c>
      <c r="HF72">
        <v>5.2701500000000001</v>
      </c>
      <c r="HG72">
        <v>12.039899999999999</v>
      </c>
      <c r="HH72">
        <v>4.9656500000000001</v>
      </c>
      <c r="HI72">
        <v>3.3010000000000002</v>
      </c>
      <c r="HJ72">
        <v>9999</v>
      </c>
      <c r="HK72">
        <v>9999</v>
      </c>
      <c r="HL72">
        <v>9999</v>
      </c>
      <c r="HM72">
        <v>999.9</v>
      </c>
      <c r="HN72">
        <v>1.86829</v>
      </c>
      <c r="HO72">
        <v>1.87195</v>
      </c>
      <c r="HP72">
        <v>1.87178</v>
      </c>
      <c r="HQ72">
        <v>1.8713</v>
      </c>
      <c r="HR72">
        <v>1.8644799999999999</v>
      </c>
      <c r="HS72">
        <v>1.8656900000000001</v>
      </c>
      <c r="HT72">
        <v>1.86768</v>
      </c>
      <c r="HU72">
        <v>1.87225</v>
      </c>
      <c r="HV72">
        <v>0</v>
      </c>
      <c r="HW72">
        <v>0</v>
      </c>
      <c r="HX72">
        <v>0</v>
      </c>
      <c r="HY72">
        <v>0</v>
      </c>
      <c r="HZ72" t="s">
        <v>424</v>
      </c>
      <c r="IA72" t="s">
        <v>425</v>
      </c>
      <c r="IB72" t="s">
        <v>426</v>
      </c>
      <c r="IC72" t="s">
        <v>426</v>
      </c>
      <c r="ID72" t="s">
        <v>426</v>
      </c>
      <c r="IE72" t="s">
        <v>426</v>
      </c>
      <c r="IF72">
        <v>0</v>
      </c>
      <c r="IG72">
        <v>100</v>
      </c>
      <c r="IH72">
        <v>100</v>
      </c>
      <c r="II72">
        <v>-1.599</v>
      </c>
      <c r="IJ72">
        <v>4.82E-2</v>
      </c>
      <c r="IK72">
        <v>-1.1251670781647569</v>
      </c>
      <c r="IL72">
        <v>-1.171017271736434E-3</v>
      </c>
      <c r="IM72">
        <v>2.801297040296544E-7</v>
      </c>
      <c r="IN72">
        <v>-3.6238253961199429E-11</v>
      </c>
      <c r="IO72">
        <v>4.8247619047621981E-2</v>
      </c>
      <c r="IP72">
        <v>0</v>
      </c>
      <c r="IQ72">
        <v>0</v>
      </c>
      <c r="IR72">
        <v>0</v>
      </c>
      <c r="IS72">
        <v>0</v>
      </c>
      <c r="IT72">
        <v>2161</v>
      </c>
      <c r="IU72">
        <v>1</v>
      </c>
      <c r="IV72">
        <v>19</v>
      </c>
      <c r="IW72">
        <v>0.6</v>
      </c>
      <c r="IX72">
        <v>0.5</v>
      </c>
      <c r="IY72">
        <v>1.2353499999999999</v>
      </c>
      <c r="IZ72">
        <v>2.5146500000000001</v>
      </c>
      <c r="JA72">
        <v>1.4440900000000001</v>
      </c>
      <c r="JB72">
        <v>2.2827099999999998</v>
      </c>
      <c r="JC72">
        <v>1.54419</v>
      </c>
      <c r="JD72">
        <v>2.3022499999999999</v>
      </c>
      <c r="JE72">
        <v>45.805599999999998</v>
      </c>
      <c r="JF72">
        <v>15.8132</v>
      </c>
      <c r="JG72">
        <v>18</v>
      </c>
      <c r="JH72">
        <v>509.54899999999998</v>
      </c>
      <c r="JI72">
        <v>418.30900000000003</v>
      </c>
      <c r="JJ72">
        <v>25.9465</v>
      </c>
      <c r="JK72">
        <v>32.570599999999999</v>
      </c>
      <c r="JL72">
        <v>30.000699999999998</v>
      </c>
      <c r="JM72">
        <v>32.279899999999998</v>
      </c>
      <c r="JN72">
        <v>32.220300000000002</v>
      </c>
      <c r="JO72">
        <v>24.872800000000002</v>
      </c>
      <c r="JP72">
        <v>29.6372</v>
      </c>
      <c r="JQ72">
        <v>0</v>
      </c>
      <c r="JR72">
        <v>25.93</v>
      </c>
      <c r="JS72">
        <v>500</v>
      </c>
      <c r="JT72">
        <v>23.6248</v>
      </c>
      <c r="JU72">
        <v>99.496399999999994</v>
      </c>
      <c r="JV72">
        <v>99.045599999999993</v>
      </c>
    </row>
    <row r="73" spans="1:282" x14ac:dyDescent="0.25">
      <c r="A73">
        <v>57</v>
      </c>
      <c r="B73">
        <v>1689009801.5</v>
      </c>
      <c r="C73">
        <v>10624.5</v>
      </c>
      <c r="D73" t="s">
        <v>710</v>
      </c>
      <c r="E73" t="s">
        <v>711</v>
      </c>
      <c r="F73" t="s">
        <v>414</v>
      </c>
      <c r="G73" t="s">
        <v>415</v>
      </c>
      <c r="H73" t="s">
        <v>655</v>
      </c>
      <c r="I73" t="s">
        <v>416</v>
      </c>
      <c r="J73" t="s">
        <v>656</v>
      </c>
      <c r="K73">
        <v>1689009801.5</v>
      </c>
      <c r="L73">
        <f t="shared" si="46"/>
        <v>3.9624315775896972E-3</v>
      </c>
      <c r="M73">
        <f t="shared" si="47"/>
        <v>3.9624315775896974</v>
      </c>
      <c r="N73">
        <f t="shared" si="48"/>
        <v>42.650260639455681</v>
      </c>
      <c r="O73">
        <f t="shared" si="49"/>
        <v>645.76</v>
      </c>
      <c r="P73">
        <f t="shared" si="50"/>
        <v>375.33852356917629</v>
      </c>
      <c r="Q73">
        <f t="shared" si="51"/>
        <v>37.257268026269173</v>
      </c>
      <c r="R73">
        <f t="shared" si="52"/>
        <v>64.100143976319998</v>
      </c>
      <c r="S73">
        <f t="shared" si="53"/>
        <v>0.27618936988633774</v>
      </c>
      <c r="T73">
        <f t="shared" si="54"/>
        <v>2.9150366448101113</v>
      </c>
      <c r="U73">
        <f t="shared" si="55"/>
        <v>0.2624315978468168</v>
      </c>
      <c r="V73">
        <f t="shared" si="56"/>
        <v>0.16519870295025874</v>
      </c>
      <c r="W73">
        <f t="shared" si="57"/>
        <v>289.57343295814525</v>
      </c>
      <c r="X73">
        <f t="shared" si="58"/>
        <v>31.041421877763351</v>
      </c>
      <c r="Y73">
        <f t="shared" si="59"/>
        <v>30.065300000000001</v>
      </c>
      <c r="Z73">
        <f t="shared" si="60"/>
        <v>4.276455917483621</v>
      </c>
      <c r="AA73">
        <f t="shared" si="61"/>
        <v>65.088255221407493</v>
      </c>
      <c r="AB73">
        <f t="shared" si="62"/>
        <v>2.8313510851359003</v>
      </c>
      <c r="AC73">
        <f t="shared" si="63"/>
        <v>4.350018410394676</v>
      </c>
      <c r="AD73">
        <f t="shared" si="64"/>
        <v>1.4451048323477207</v>
      </c>
      <c r="AE73">
        <f t="shared" si="65"/>
        <v>-174.74323257170565</v>
      </c>
      <c r="AF73">
        <f t="shared" si="66"/>
        <v>46.73803249395376</v>
      </c>
      <c r="AG73">
        <f t="shared" si="67"/>
        <v>3.5726088426594647</v>
      </c>
      <c r="AH73">
        <f t="shared" si="68"/>
        <v>165.14084172305283</v>
      </c>
      <c r="AI73">
        <v>0</v>
      </c>
      <c r="AJ73">
        <v>0</v>
      </c>
      <c r="AK73">
        <f t="shared" si="69"/>
        <v>1</v>
      </c>
      <c r="AL73">
        <f t="shared" si="70"/>
        <v>0</v>
      </c>
      <c r="AM73">
        <f t="shared" si="71"/>
        <v>51859.385382177723</v>
      </c>
      <c r="AN73" t="s">
        <v>418</v>
      </c>
      <c r="AO73">
        <v>10076.700000000001</v>
      </c>
      <c r="AP73">
        <v>185.01599999999999</v>
      </c>
      <c r="AQ73">
        <v>473.06</v>
      </c>
      <c r="AR73">
        <f t="shared" si="72"/>
        <v>0.60889527755464423</v>
      </c>
      <c r="AS73">
        <v>-1.4827006201179751</v>
      </c>
      <c r="AT73" t="s">
        <v>712</v>
      </c>
      <c r="AU73">
        <v>8082.84</v>
      </c>
      <c r="AV73">
        <v>698.63876000000005</v>
      </c>
      <c r="AW73">
        <v>1047.790992112323</v>
      </c>
      <c r="AX73">
        <f t="shared" si="73"/>
        <v>0.33322698395072092</v>
      </c>
      <c r="AY73">
        <v>0.5</v>
      </c>
      <c r="AZ73">
        <f t="shared" si="74"/>
        <v>1513.2185994601787</v>
      </c>
      <c r="BA73">
        <f t="shared" si="75"/>
        <v>42.650260639455681</v>
      </c>
      <c r="BB73">
        <f t="shared" si="76"/>
        <v>252.12263497812467</v>
      </c>
      <c r="BC73">
        <f t="shared" si="77"/>
        <v>2.9164960882266132E-2</v>
      </c>
      <c r="BD73">
        <f t="shared" si="78"/>
        <v>-0.54851682867942808</v>
      </c>
      <c r="BE73">
        <f t="shared" si="79"/>
        <v>235.54740005642805</v>
      </c>
      <c r="BF73" t="s">
        <v>713</v>
      </c>
      <c r="BG73">
        <v>561.20000000000005</v>
      </c>
      <c r="BH73">
        <f t="shared" si="80"/>
        <v>561.20000000000005</v>
      </c>
      <c r="BI73">
        <f t="shared" si="81"/>
        <v>0.4643969988054264</v>
      </c>
      <c r="BJ73">
        <f t="shared" si="82"/>
        <v>0.71754766892956756</v>
      </c>
      <c r="BK73">
        <f t="shared" si="83"/>
        <v>6.5206602236478641</v>
      </c>
      <c r="BL73">
        <f t="shared" si="84"/>
        <v>0.40468515581043579</v>
      </c>
      <c r="BM73">
        <f t="shared" si="85"/>
        <v>-1.9952888868100815</v>
      </c>
      <c r="BN73">
        <f t="shared" si="86"/>
        <v>0.57638907953414054</v>
      </c>
      <c r="BO73">
        <f t="shared" si="87"/>
        <v>0.42361092046585946</v>
      </c>
      <c r="BP73">
        <v>9167</v>
      </c>
      <c r="BQ73">
        <v>290.00000000000011</v>
      </c>
      <c r="BR73">
        <v>919.31</v>
      </c>
      <c r="BS73">
        <v>295</v>
      </c>
      <c r="BT73">
        <v>8082.84</v>
      </c>
      <c r="BU73">
        <v>921.57</v>
      </c>
      <c r="BV73">
        <v>-2.2599999999999998</v>
      </c>
      <c r="BW73">
        <v>300.00000000000011</v>
      </c>
      <c r="BX73">
        <v>19.2</v>
      </c>
      <c r="BY73">
        <v>1047.790992112323</v>
      </c>
      <c r="BZ73">
        <v>3.1449695468818319</v>
      </c>
      <c r="CA73">
        <v>-102.0196535803735</v>
      </c>
      <c r="CB73">
        <v>2.335739397948283</v>
      </c>
      <c r="CC73">
        <v>0.9855352386652666</v>
      </c>
      <c r="CD73">
        <v>-4.1649879866518334E-3</v>
      </c>
      <c r="CE73">
        <v>289.99999999999989</v>
      </c>
      <c r="CF73">
        <v>913.63</v>
      </c>
      <c r="CG73">
        <v>625</v>
      </c>
      <c r="CH73">
        <v>8076.16</v>
      </c>
      <c r="CI73">
        <v>921.47</v>
      </c>
      <c r="CJ73">
        <v>-7.84</v>
      </c>
      <c r="CX73">
        <f t="shared" si="88"/>
        <v>1800.04</v>
      </c>
      <c r="CY73">
        <f t="shared" si="89"/>
        <v>1513.2185994601787</v>
      </c>
      <c r="CZ73">
        <f t="shared" si="90"/>
        <v>0.84065831840413474</v>
      </c>
      <c r="DA73">
        <f t="shared" si="91"/>
        <v>0.16087055451998025</v>
      </c>
      <c r="DB73">
        <v>6</v>
      </c>
      <c r="DC73">
        <v>0.5</v>
      </c>
      <c r="DD73" t="s">
        <v>421</v>
      </c>
      <c r="DE73">
        <v>2</v>
      </c>
      <c r="DF73">
        <v>1689009801.5</v>
      </c>
      <c r="DG73">
        <v>645.76</v>
      </c>
      <c r="DH73">
        <v>699.99099999999999</v>
      </c>
      <c r="DI73">
        <v>28.523700000000002</v>
      </c>
      <c r="DJ73">
        <v>23.906099999999999</v>
      </c>
      <c r="DK73">
        <v>647.49300000000005</v>
      </c>
      <c r="DL73">
        <v>28.474799999999998</v>
      </c>
      <c r="DM73">
        <v>500.18299999999999</v>
      </c>
      <c r="DN73">
        <v>99.1631</v>
      </c>
      <c r="DO73">
        <v>0.100007</v>
      </c>
      <c r="DP73">
        <v>30.3627</v>
      </c>
      <c r="DQ73">
        <v>30.065300000000001</v>
      </c>
      <c r="DR73">
        <v>999.9</v>
      </c>
      <c r="DS73">
        <v>0</v>
      </c>
      <c r="DT73">
        <v>0</v>
      </c>
      <c r="DU73">
        <v>10001.200000000001</v>
      </c>
      <c r="DV73">
        <v>0</v>
      </c>
      <c r="DW73">
        <v>2062.64</v>
      </c>
      <c r="DX73">
        <v>-54.230699999999999</v>
      </c>
      <c r="DY73">
        <v>664.721</v>
      </c>
      <c r="DZ73">
        <v>717.13499999999999</v>
      </c>
      <c r="EA73">
        <v>4.61768</v>
      </c>
      <c r="EB73">
        <v>699.99099999999999</v>
      </c>
      <c r="EC73">
        <v>23.906099999999999</v>
      </c>
      <c r="ED73">
        <v>2.8285</v>
      </c>
      <c r="EE73">
        <v>2.3706</v>
      </c>
      <c r="EF73">
        <v>23.051400000000001</v>
      </c>
      <c r="EG73">
        <v>20.164300000000001</v>
      </c>
      <c r="EH73">
        <v>1800.04</v>
      </c>
      <c r="EI73">
        <v>0.97799599999999998</v>
      </c>
      <c r="EJ73">
        <v>2.2003499999999999E-2</v>
      </c>
      <c r="EK73">
        <v>0</v>
      </c>
      <c r="EL73">
        <v>698.61099999999999</v>
      </c>
      <c r="EM73">
        <v>5.00082</v>
      </c>
      <c r="EN73">
        <v>16619.400000000001</v>
      </c>
      <c r="EO73">
        <v>14130.1</v>
      </c>
      <c r="EP73">
        <v>49.936999999999998</v>
      </c>
      <c r="EQ73">
        <v>51.875</v>
      </c>
      <c r="ER73">
        <v>50.936999999999998</v>
      </c>
      <c r="ES73">
        <v>51.25</v>
      </c>
      <c r="ET73">
        <v>51.25</v>
      </c>
      <c r="EU73">
        <v>1755.54</v>
      </c>
      <c r="EV73">
        <v>39.5</v>
      </c>
      <c r="EW73">
        <v>0</v>
      </c>
      <c r="EX73">
        <v>113.4000000953674</v>
      </c>
      <c r="EY73">
        <v>0</v>
      </c>
      <c r="EZ73">
        <v>698.63876000000005</v>
      </c>
      <c r="FA73">
        <v>-0.9131538426882112</v>
      </c>
      <c r="FB73">
        <v>100.638461932121</v>
      </c>
      <c r="FC73">
        <v>16606.524000000001</v>
      </c>
      <c r="FD73">
        <v>15</v>
      </c>
      <c r="FE73">
        <v>1689009763.5</v>
      </c>
      <c r="FF73" t="s">
        <v>714</v>
      </c>
      <c r="FG73">
        <v>1689009756.5</v>
      </c>
      <c r="FH73">
        <v>1689009763.5</v>
      </c>
      <c r="FI73">
        <v>64</v>
      </c>
      <c r="FJ73">
        <v>4.2999999999999997E-2</v>
      </c>
      <c r="FK73">
        <v>1E-3</v>
      </c>
      <c r="FL73">
        <v>-1.7789999999999999</v>
      </c>
      <c r="FM73">
        <v>4.9000000000000002E-2</v>
      </c>
      <c r="FN73">
        <v>700</v>
      </c>
      <c r="FO73">
        <v>24</v>
      </c>
      <c r="FP73">
        <v>0.04</v>
      </c>
      <c r="FQ73">
        <v>0.02</v>
      </c>
      <c r="FR73">
        <v>42.699560952287229</v>
      </c>
      <c r="FS73">
        <v>-0.64317636308983206</v>
      </c>
      <c r="FT73">
        <v>7.5334149078545076E-2</v>
      </c>
      <c r="FU73">
        <v>1</v>
      </c>
      <c r="FV73">
        <v>0.27948897085333618</v>
      </c>
      <c r="FW73">
        <v>-1.6303886896151889E-2</v>
      </c>
      <c r="FX73">
        <v>1.438347648104954E-3</v>
      </c>
      <c r="FY73">
        <v>1</v>
      </c>
      <c r="FZ73">
        <v>2</v>
      </c>
      <c r="GA73">
        <v>2</v>
      </c>
      <c r="GB73" t="s">
        <v>423</v>
      </c>
      <c r="GC73">
        <v>2.9449399999999999</v>
      </c>
      <c r="GD73">
        <v>2.7086800000000002</v>
      </c>
      <c r="GE73">
        <v>0.12446</v>
      </c>
      <c r="GF73">
        <v>0.131546</v>
      </c>
      <c r="GG73">
        <v>0.12756999999999999</v>
      </c>
      <c r="GH73">
        <v>0.112927</v>
      </c>
      <c r="GI73">
        <v>28793.8</v>
      </c>
      <c r="GJ73">
        <v>27853.200000000001</v>
      </c>
      <c r="GK73">
        <v>33884.9</v>
      </c>
      <c r="GL73">
        <v>32113.599999999999</v>
      </c>
      <c r="GM73">
        <v>42670.5</v>
      </c>
      <c r="GN73">
        <v>40534.300000000003</v>
      </c>
      <c r="GO73">
        <v>49066.5</v>
      </c>
      <c r="GP73">
        <v>45460</v>
      </c>
      <c r="GQ73">
        <v>1.9805299999999999</v>
      </c>
      <c r="GR73">
        <v>1.77908</v>
      </c>
      <c r="GS73">
        <v>5.0440399999999996E-3</v>
      </c>
      <c r="GT73">
        <v>0</v>
      </c>
      <c r="GU73">
        <v>29.9832</v>
      </c>
      <c r="GV73">
        <v>999.9</v>
      </c>
      <c r="GW73">
        <v>35.4</v>
      </c>
      <c r="GX73">
        <v>43.1</v>
      </c>
      <c r="GY73">
        <v>31.178599999999999</v>
      </c>
      <c r="GZ73">
        <v>60.302300000000002</v>
      </c>
      <c r="HA73">
        <v>25.741199999999999</v>
      </c>
      <c r="HB73">
        <v>1</v>
      </c>
      <c r="HC73">
        <v>0.44551800000000003</v>
      </c>
      <c r="HD73">
        <v>3.5849000000000002</v>
      </c>
      <c r="HE73">
        <v>20.231400000000001</v>
      </c>
      <c r="HF73">
        <v>5.27</v>
      </c>
      <c r="HG73">
        <v>12.039899999999999</v>
      </c>
      <c r="HH73">
        <v>4.9661</v>
      </c>
      <c r="HI73">
        <v>3.3010000000000002</v>
      </c>
      <c r="HJ73">
        <v>9999</v>
      </c>
      <c r="HK73">
        <v>9999</v>
      </c>
      <c r="HL73">
        <v>9999</v>
      </c>
      <c r="HM73">
        <v>999.9</v>
      </c>
      <c r="HN73">
        <v>1.86829</v>
      </c>
      <c r="HO73">
        <v>1.8719600000000001</v>
      </c>
      <c r="HP73">
        <v>1.8717999999999999</v>
      </c>
      <c r="HQ73">
        <v>1.8712899999999999</v>
      </c>
      <c r="HR73">
        <v>1.8644799999999999</v>
      </c>
      <c r="HS73">
        <v>1.8656900000000001</v>
      </c>
      <c r="HT73">
        <v>1.86768</v>
      </c>
      <c r="HU73">
        <v>1.87225</v>
      </c>
      <c r="HV73">
        <v>0</v>
      </c>
      <c r="HW73">
        <v>0</v>
      </c>
      <c r="HX73">
        <v>0</v>
      </c>
      <c r="HY73">
        <v>0</v>
      </c>
      <c r="HZ73" t="s">
        <v>424</v>
      </c>
      <c r="IA73" t="s">
        <v>425</v>
      </c>
      <c r="IB73" t="s">
        <v>426</v>
      </c>
      <c r="IC73" t="s">
        <v>426</v>
      </c>
      <c r="ID73" t="s">
        <v>426</v>
      </c>
      <c r="IE73" t="s">
        <v>426</v>
      </c>
      <c r="IF73">
        <v>0</v>
      </c>
      <c r="IG73">
        <v>100</v>
      </c>
      <c r="IH73">
        <v>100</v>
      </c>
      <c r="II73">
        <v>-1.7330000000000001</v>
      </c>
      <c r="IJ73">
        <v>4.8899999999999999E-2</v>
      </c>
      <c r="IK73">
        <v>-1.0820344899184611</v>
      </c>
      <c r="IL73">
        <v>-1.171017271736434E-3</v>
      </c>
      <c r="IM73">
        <v>2.801297040296544E-7</v>
      </c>
      <c r="IN73">
        <v>-3.6238253961199429E-11</v>
      </c>
      <c r="IO73">
        <v>4.8935000000003732E-2</v>
      </c>
      <c r="IP73">
        <v>0</v>
      </c>
      <c r="IQ73">
        <v>0</v>
      </c>
      <c r="IR73">
        <v>0</v>
      </c>
      <c r="IS73">
        <v>0</v>
      </c>
      <c r="IT73">
        <v>2161</v>
      </c>
      <c r="IU73">
        <v>1</v>
      </c>
      <c r="IV73">
        <v>19</v>
      </c>
      <c r="IW73">
        <v>0.8</v>
      </c>
      <c r="IX73">
        <v>0.6</v>
      </c>
      <c r="IY73">
        <v>1.62476</v>
      </c>
      <c r="IZ73">
        <v>2.50122</v>
      </c>
      <c r="JA73">
        <v>1.4440900000000001</v>
      </c>
      <c r="JB73">
        <v>2.2827099999999998</v>
      </c>
      <c r="JC73">
        <v>1.54419</v>
      </c>
      <c r="JD73">
        <v>2.3584000000000001</v>
      </c>
      <c r="JE73">
        <v>46.123699999999999</v>
      </c>
      <c r="JF73">
        <v>15.786899999999999</v>
      </c>
      <c r="JG73">
        <v>18</v>
      </c>
      <c r="JH73">
        <v>509.42500000000001</v>
      </c>
      <c r="JI73">
        <v>418.40899999999999</v>
      </c>
      <c r="JJ73">
        <v>25.654599999999999</v>
      </c>
      <c r="JK73">
        <v>32.787799999999997</v>
      </c>
      <c r="JL73">
        <v>30.0015</v>
      </c>
      <c r="JM73">
        <v>32.4955</v>
      </c>
      <c r="JN73">
        <v>32.438299999999998</v>
      </c>
      <c r="JO73">
        <v>32.668500000000002</v>
      </c>
      <c r="JP73">
        <v>29.580500000000001</v>
      </c>
      <c r="JQ73">
        <v>0</v>
      </c>
      <c r="JR73">
        <v>25.616099999999999</v>
      </c>
      <c r="JS73">
        <v>700</v>
      </c>
      <c r="JT73">
        <v>23.865100000000002</v>
      </c>
      <c r="JU73">
        <v>99.451099999999997</v>
      </c>
      <c r="JV73">
        <v>99.001900000000006</v>
      </c>
    </row>
    <row r="74" spans="1:282" x14ac:dyDescent="0.25">
      <c r="A74">
        <v>58</v>
      </c>
      <c r="B74">
        <v>1689009906.5</v>
      </c>
      <c r="C74">
        <v>10729.5</v>
      </c>
      <c r="D74" t="s">
        <v>715</v>
      </c>
      <c r="E74" t="s">
        <v>716</v>
      </c>
      <c r="F74" t="s">
        <v>414</v>
      </c>
      <c r="G74" t="s">
        <v>415</v>
      </c>
      <c r="H74" t="s">
        <v>655</v>
      </c>
      <c r="I74" t="s">
        <v>416</v>
      </c>
      <c r="J74" t="s">
        <v>656</v>
      </c>
      <c r="K74">
        <v>1689009906.5</v>
      </c>
      <c r="L74">
        <f t="shared" si="46"/>
        <v>3.9579807581450405E-3</v>
      </c>
      <c r="M74">
        <f t="shared" si="47"/>
        <v>3.9579807581450401</v>
      </c>
      <c r="N74">
        <f t="shared" si="48"/>
        <v>43.413553920832562</v>
      </c>
      <c r="O74">
        <f t="shared" si="49"/>
        <v>844.15800000000002</v>
      </c>
      <c r="P74">
        <f t="shared" si="50"/>
        <v>569.04386425390157</v>
      </c>
      <c r="Q74">
        <f t="shared" si="51"/>
        <v>56.483040513705134</v>
      </c>
      <c r="R74">
        <f t="shared" si="52"/>
        <v>83.790747092026805</v>
      </c>
      <c r="S74">
        <f t="shared" si="53"/>
        <v>0.28101234120094321</v>
      </c>
      <c r="T74">
        <f t="shared" si="54"/>
        <v>2.918932381704594</v>
      </c>
      <c r="U74">
        <f t="shared" si="55"/>
        <v>0.26680113744689188</v>
      </c>
      <c r="V74">
        <f t="shared" si="56"/>
        <v>0.16796762074241645</v>
      </c>
      <c r="W74">
        <f t="shared" si="57"/>
        <v>289.58142566343133</v>
      </c>
      <c r="X74">
        <f t="shared" si="58"/>
        <v>30.907450332912759</v>
      </c>
      <c r="Y74">
        <f t="shared" si="59"/>
        <v>29.972799999999999</v>
      </c>
      <c r="Z74">
        <f t="shared" si="60"/>
        <v>4.2537980068349395</v>
      </c>
      <c r="AA74">
        <f t="shared" si="61"/>
        <v>65.649695674179355</v>
      </c>
      <c r="AB74">
        <f t="shared" si="62"/>
        <v>2.8338602838300004</v>
      </c>
      <c r="AC74">
        <f t="shared" si="63"/>
        <v>4.316638873536446</v>
      </c>
      <c r="AD74">
        <f t="shared" si="64"/>
        <v>1.419937723004939</v>
      </c>
      <c r="AE74">
        <f t="shared" si="65"/>
        <v>-174.54695143419627</v>
      </c>
      <c r="AF74">
        <f t="shared" si="66"/>
        <v>40.206880794708262</v>
      </c>
      <c r="AG74">
        <f t="shared" si="67"/>
        <v>3.0658281397850544</v>
      </c>
      <c r="AH74">
        <f t="shared" si="68"/>
        <v>158.30718316372835</v>
      </c>
      <c r="AI74">
        <v>0</v>
      </c>
      <c r="AJ74">
        <v>0</v>
      </c>
      <c r="AK74">
        <f t="shared" si="69"/>
        <v>1</v>
      </c>
      <c r="AL74">
        <f t="shared" si="70"/>
        <v>0</v>
      </c>
      <c r="AM74">
        <f t="shared" si="71"/>
        <v>51993.153299796912</v>
      </c>
      <c r="AN74" t="s">
        <v>418</v>
      </c>
      <c r="AO74">
        <v>10076.700000000001</v>
      </c>
      <c r="AP74">
        <v>185.01599999999999</v>
      </c>
      <c r="AQ74">
        <v>473.06</v>
      </c>
      <c r="AR74">
        <f t="shared" si="72"/>
        <v>0.60889527755464423</v>
      </c>
      <c r="AS74">
        <v>-1.4827006201179751</v>
      </c>
      <c r="AT74" t="s">
        <v>717</v>
      </c>
      <c r="AU74">
        <v>8085.54</v>
      </c>
      <c r="AV74">
        <v>697.60507692307692</v>
      </c>
      <c r="AW74">
        <v>1049.905361040707</v>
      </c>
      <c r="AX74">
        <f t="shared" si="73"/>
        <v>0.33555432440921762</v>
      </c>
      <c r="AY74">
        <v>0.5</v>
      </c>
      <c r="AZ74">
        <f t="shared" si="74"/>
        <v>1513.2606060432286</v>
      </c>
      <c r="BA74">
        <f t="shared" si="75"/>
        <v>43.413553920832562</v>
      </c>
      <c r="BB74">
        <f t="shared" si="76"/>
        <v>253.89057015795939</v>
      </c>
      <c r="BC74">
        <f t="shared" si="77"/>
        <v>2.966855435320042E-2</v>
      </c>
      <c r="BD74">
        <f t="shared" si="78"/>
        <v>-0.5494260553817113</v>
      </c>
      <c r="BE74">
        <f t="shared" si="79"/>
        <v>235.65408650157201</v>
      </c>
      <c r="BF74" t="s">
        <v>718</v>
      </c>
      <c r="BG74">
        <v>563.07000000000005</v>
      </c>
      <c r="BH74">
        <f t="shared" si="80"/>
        <v>563.07000000000005</v>
      </c>
      <c r="BI74">
        <f t="shared" si="81"/>
        <v>0.46369451867369915</v>
      </c>
      <c r="BJ74">
        <f t="shared" si="82"/>
        <v>0.72365385161118634</v>
      </c>
      <c r="BK74">
        <f t="shared" si="83"/>
        <v>6.4086808248050966</v>
      </c>
      <c r="BL74">
        <f t="shared" si="84"/>
        <v>0.40733566625644813</v>
      </c>
      <c r="BM74">
        <f t="shared" si="85"/>
        <v>-2.0026293241334905</v>
      </c>
      <c r="BN74">
        <f t="shared" si="86"/>
        <v>0.58409519613006078</v>
      </c>
      <c r="BO74">
        <f t="shared" si="87"/>
        <v>0.41590480386993922</v>
      </c>
      <c r="BP74">
        <v>9169</v>
      </c>
      <c r="BQ74">
        <v>290.00000000000011</v>
      </c>
      <c r="BR74">
        <v>923.17</v>
      </c>
      <c r="BS74">
        <v>245</v>
      </c>
      <c r="BT74">
        <v>8085.54</v>
      </c>
      <c r="BU74">
        <v>924.4</v>
      </c>
      <c r="BV74">
        <v>-1.23</v>
      </c>
      <c r="BW74">
        <v>300.00000000000011</v>
      </c>
      <c r="BX74">
        <v>19.2</v>
      </c>
      <c r="BY74">
        <v>1049.905361040707</v>
      </c>
      <c r="BZ74">
        <v>3.2571397457836841</v>
      </c>
      <c r="CA74">
        <v>-101.4774074999671</v>
      </c>
      <c r="CB74">
        <v>2.419271622083361</v>
      </c>
      <c r="CC74">
        <v>0.98433496111874852</v>
      </c>
      <c r="CD74">
        <v>-4.1651083426029033E-3</v>
      </c>
      <c r="CE74">
        <v>289.99999999999989</v>
      </c>
      <c r="CF74">
        <v>917.04</v>
      </c>
      <c r="CG74">
        <v>665</v>
      </c>
      <c r="CH74">
        <v>8075.74</v>
      </c>
      <c r="CI74">
        <v>924.25</v>
      </c>
      <c r="CJ74">
        <v>-7.21</v>
      </c>
      <c r="CX74">
        <f t="shared" si="88"/>
        <v>1800.09</v>
      </c>
      <c r="CY74">
        <f t="shared" si="89"/>
        <v>1513.2606060432286</v>
      </c>
      <c r="CZ74">
        <f t="shared" si="90"/>
        <v>0.84065830377549378</v>
      </c>
      <c r="DA74">
        <f t="shared" si="91"/>
        <v>0.16087052628670306</v>
      </c>
      <c r="DB74">
        <v>6</v>
      </c>
      <c r="DC74">
        <v>0.5</v>
      </c>
      <c r="DD74" t="s">
        <v>421</v>
      </c>
      <c r="DE74">
        <v>2</v>
      </c>
      <c r="DF74">
        <v>1689009906.5</v>
      </c>
      <c r="DG74">
        <v>844.15800000000002</v>
      </c>
      <c r="DH74">
        <v>900.25300000000004</v>
      </c>
      <c r="DI74">
        <v>28.55</v>
      </c>
      <c r="DJ74">
        <v>23.936900000000001</v>
      </c>
      <c r="DK74">
        <v>846.16399999999999</v>
      </c>
      <c r="DL74">
        <v>28.498699999999999</v>
      </c>
      <c r="DM74">
        <v>500.09500000000003</v>
      </c>
      <c r="DN74">
        <v>99.16</v>
      </c>
      <c r="DO74">
        <v>9.9554599999999993E-2</v>
      </c>
      <c r="DP74">
        <v>30.228300000000001</v>
      </c>
      <c r="DQ74">
        <v>29.972799999999999</v>
      </c>
      <c r="DR74">
        <v>999.9</v>
      </c>
      <c r="DS74">
        <v>0</v>
      </c>
      <c r="DT74">
        <v>0</v>
      </c>
      <c r="DU74">
        <v>10023.799999999999</v>
      </c>
      <c r="DV74">
        <v>0</v>
      </c>
      <c r="DW74">
        <v>2084.71</v>
      </c>
      <c r="DX74">
        <v>-56.095799999999997</v>
      </c>
      <c r="DY74">
        <v>868.96699999999998</v>
      </c>
      <c r="DZ74">
        <v>922.33100000000002</v>
      </c>
      <c r="EA74">
        <v>4.6131000000000002</v>
      </c>
      <c r="EB74">
        <v>900.25300000000004</v>
      </c>
      <c r="EC74">
        <v>23.936900000000001</v>
      </c>
      <c r="ED74">
        <v>2.83101</v>
      </c>
      <c r="EE74">
        <v>2.37358</v>
      </c>
      <c r="EF74">
        <v>23.065999999999999</v>
      </c>
      <c r="EG74">
        <v>20.1846</v>
      </c>
      <c r="EH74">
        <v>1800.09</v>
      </c>
      <c r="EI74">
        <v>0.977993</v>
      </c>
      <c r="EJ74">
        <v>2.2007100000000002E-2</v>
      </c>
      <c r="EK74">
        <v>0</v>
      </c>
      <c r="EL74">
        <v>697.31</v>
      </c>
      <c r="EM74">
        <v>5.00082</v>
      </c>
      <c r="EN74">
        <v>16656.3</v>
      </c>
      <c r="EO74">
        <v>14130.5</v>
      </c>
      <c r="EP74">
        <v>49.875</v>
      </c>
      <c r="EQ74">
        <v>51.75</v>
      </c>
      <c r="ER74">
        <v>50.875</v>
      </c>
      <c r="ES74">
        <v>50.936999999999998</v>
      </c>
      <c r="ET74">
        <v>50.936999999999998</v>
      </c>
      <c r="EU74">
        <v>1755.58</v>
      </c>
      <c r="EV74">
        <v>39.5</v>
      </c>
      <c r="EW74">
        <v>0</v>
      </c>
      <c r="EX74">
        <v>102.7999999523163</v>
      </c>
      <c r="EY74">
        <v>0</v>
      </c>
      <c r="EZ74">
        <v>697.60507692307692</v>
      </c>
      <c r="FA74">
        <v>-1.2073162476308821</v>
      </c>
      <c r="FB74">
        <v>4.4136755149094746</v>
      </c>
      <c r="FC74">
        <v>16651.919230769228</v>
      </c>
      <c r="FD74">
        <v>15</v>
      </c>
      <c r="FE74">
        <v>1689009875</v>
      </c>
      <c r="FF74" t="s">
        <v>719</v>
      </c>
      <c r="FG74">
        <v>1689009875</v>
      </c>
      <c r="FH74">
        <v>1689009873.5</v>
      </c>
      <c r="FI74">
        <v>65</v>
      </c>
      <c r="FJ74">
        <v>-0.112</v>
      </c>
      <c r="FK74">
        <v>2E-3</v>
      </c>
      <c r="FL74">
        <v>-2.0499999999999998</v>
      </c>
      <c r="FM74">
        <v>5.0999999999999997E-2</v>
      </c>
      <c r="FN74">
        <v>900</v>
      </c>
      <c r="FO74">
        <v>24</v>
      </c>
      <c r="FP74">
        <v>0.03</v>
      </c>
      <c r="FQ74">
        <v>0.02</v>
      </c>
      <c r="FR74">
        <v>43.432285110977503</v>
      </c>
      <c r="FS74">
        <v>-0.62393948339163863</v>
      </c>
      <c r="FT74">
        <v>9.2738972621797255E-2</v>
      </c>
      <c r="FU74">
        <v>1</v>
      </c>
      <c r="FV74">
        <v>0.27781288950364591</v>
      </c>
      <c r="FW74">
        <v>4.9912891050703082E-2</v>
      </c>
      <c r="FX74">
        <v>3.8607735797910169E-3</v>
      </c>
      <c r="FY74">
        <v>1</v>
      </c>
      <c r="FZ74">
        <v>2</v>
      </c>
      <c r="GA74">
        <v>2</v>
      </c>
      <c r="GB74" t="s">
        <v>423</v>
      </c>
      <c r="GC74">
        <v>2.9445899999999998</v>
      </c>
      <c r="GD74">
        <v>2.7084299999999999</v>
      </c>
      <c r="GE74">
        <v>0.148948</v>
      </c>
      <c r="GF74">
        <v>0.15539700000000001</v>
      </c>
      <c r="GG74">
        <v>0.127584</v>
      </c>
      <c r="GH74">
        <v>0.11297599999999999</v>
      </c>
      <c r="GI74">
        <v>27976.9</v>
      </c>
      <c r="GJ74">
        <v>27077.3</v>
      </c>
      <c r="GK74">
        <v>33873.1</v>
      </c>
      <c r="GL74">
        <v>32102.799999999999</v>
      </c>
      <c r="GM74">
        <v>42658.3</v>
      </c>
      <c r="GN74">
        <v>40519.599999999999</v>
      </c>
      <c r="GO74">
        <v>49051.7</v>
      </c>
      <c r="GP74">
        <v>45445</v>
      </c>
      <c r="GQ74">
        <v>1.9781200000000001</v>
      </c>
      <c r="GR74">
        <v>1.77685</v>
      </c>
      <c r="GS74">
        <v>2.69711E-3</v>
      </c>
      <c r="GT74">
        <v>0</v>
      </c>
      <c r="GU74">
        <v>29.928899999999999</v>
      </c>
      <c r="GV74">
        <v>999.9</v>
      </c>
      <c r="GW74">
        <v>35.299999999999997</v>
      </c>
      <c r="GX74">
        <v>43.3</v>
      </c>
      <c r="GY74">
        <v>31.4146</v>
      </c>
      <c r="GZ74">
        <v>59.822299999999998</v>
      </c>
      <c r="HA74">
        <v>26.021599999999999</v>
      </c>
      <c r="HB74">
        <v>1</v>
      </c>
      <c r="HC74">
        <v>0.45783299999999999</v>
      </c>
      <c r="HD74">
        <v>2.91629</v>
      </c>
      <c r="HE74">
        <v>20.244399999999999</v>
      </c>
      <c r="HF74">
        <v>5.2694000000000001</v>
      </c>
      <c r="HG74">
        <v>12.039899999999999</v>
      </c>
      <c r="HH74">
        <v>4.9654499999999997</v>
      </c>
      <c r="HI74">
        <v>3.30078</v>
      </c>
      <c r="HJ74">
        <v>9999</v>
      </c>
      <c r="HK74">
        <v>9999</v>
      </c>
      <c r="HL74">
        <v>9999</v>
      </c>
      <c r="HM74">
        <v>999.9</v>
      </c>
      <c r="HN74">
        <v>1.8683000000000001</v>
      </c>
      <c r="HO74">
        <v>1.87198</v>
      </c>
      <c r="HP74">
        <v>1.8717999999999999</v>
      </c>
      <c r="HQ74">
        <v>1.87131</v>
      </c>
      <c r="HR74">
        <v>1.8645400000000001</v>
      </c>
      <c r="HS74">
        <v>1.8656900000000001</v>
      </c>
      <c r="HT74">
        <v>1.8676900000000001</v>
      </c>
      <c r="HU74">
        <v>1.87225</v>
      </c>
      <c r="HV74">
        <v>0</v>
      </c>
      <c r="HW74">
        <v>0</v>
      </c>
      <c r="HX74">
        <v>0</v>
      </c>
      <c r="HY74">
        <v>0</v>
      </c>
      <c r="HZ74" t="s">
        <v>424</v>
      </c>
      <c r="IA74" t="s">
        <v>425</v>
      </c>
      <c r="IB74" t="s">
        <v>426</v>
      </c>
      <c r="IC74" t="s">
        <v>426</v>
      </c>
      <c r="ID74" t="s">
        <v>426</v>
      </c>
      <c r="IE74" t="s">
        <v>426</v>
      </c>
      <c r="IF74">
        <v>0</v>
      </c>
      <c r="IG74">
        <v>100</v>
      </c>
      <c r="IH74">
        <v>100</v>
      </c>
      <c r="II74">
        <v>-2.0059999999999998</v>
      </c>
      <c r="IJ74">
        <v>5.1299999999999998E-2</v>
      </c>
      <c r="IK74">
        <v>-1.194268444651043</v>
      </c>
      <c r="IL74">
        <v>-1.171017271736434E-3</v>
      </c>
      <c r="IM74">
        <v>2.801297040296544E-7</v>
      </c>
      <c r="IN74">
        <v>-3.6238253961199429E-11</v>
      </c>
      <c r="IO74">
        <v>5.1252380952384158E-2</v>
      </c>
      <c r="IP74">
        <v>0</v>
      </c>
      <c r="IQ74">
        <v>0</v>
      </c>
      <c r="IR74">
        <v>0</v>
      </c>
      <c r="IS74">
        <v>0</v>
      </c>
      <c r="IT74">
        <v>2161</v>
      </c>
      <c r="IU74">
        <v>1</v>
      </c>
      <c r="IV74">
        <v>19</v>
      </c>
      <c r="IW74">
        <v>0.5</v>
      </c>
      <c r="IX74">
        <v>0.6</v>
      </c>
      <c r="IY74">
        <v>1.9958499999999999</v>
      </c>
      <c r="IZ74">
        <v>2.4865699999999999</v>
      </c>
      <c r="JA74">
        <v>1.4440900000000001</v>
      </c>
      <c r="JB74">
        <v>2.2827099999999998</v>
      </c>
      <c r="JC74">
        <v>1.54419</v>
      </c>
      <c r="JD74">
        <v>2.4072300000000002</v>
      </c>
      <c r="JE74">
        <v>46.385800000000003</v>
      </c>
      <c r="JF74">
        <v>15.7781</v>
      </c>
      <c r="JG74">
        <v>18</v>
      </c>
      <c r="JH74">
        <v>509.399</v>
      </c>
      <c r="JI74">
        <v>418.34399999999999</v>
      </c>
      <c r="JJ74">
        <v>25.639900000000001</v>
      </c>
      <c r="JK74">
        <v>32.983600000000003</v>
      </c>
      <c r="JL74">
        <v>30.000699999999998</v>
      </c>
      <c r="JM74">
        <v>32.687600000000003</v>
      </c>
      <c r="JN74">
        <v>32.6267</v>
      </c>
      <c r="JO74">
        <v>40.109400000000001</v>
      </c>
      <c r="JP74">
        <v>30.171900000000001</v>
      </c>
      <c r="JQ74">
        <v>0</v>
      </c>
      <c r="JR74">
        <v>25.653300000000002</v>
      </c>
      <c r="JS74">
        <v>900</v>
      </c>
      <c r="JT74">
        <v>23.781600000000001</v>
      </c>
      <c r="JU74">
        <v>99.419200000000004</v>
      </c>
      <c r="JV74">
        <v>98.968999999999994</v>
      </c>
    </row>
    <row r="75" spans="1:282" x14ac:dyDescent="0.25">
      <c r="A75">
        <v>59</v>
      </c>
      <c r="B75">
        <v>1689010030.5</v>
      </c>
      <c r="C75">
        <v>10853.5</v>
      </c>
      <c r="D75" t="s">
        <v>720</v>
      </c>
      <c r="E75" t="s">
        <v>721</v>
      </c>
      <c r="F75" t="s">
        <v>414</v>
      </c>
      <c r="G75" t="s">
        <v>415</v>
      </c>
      <c r="H75" t="s">
        <v>655</v>
      </c>
      <c r="I75" t="s">
        <v>416</v>
      </c>
      <c r="J75" t="s">
        <v>656</v>
      </c>
      <c r="K75">
        <v>1689010030.5</v>
      </c>
      <c r="L75">
        <f t="shared" si="46"/>
        <v>3.7222550028783116E-3</v>
      </c>
      <c r="M75">
        <f t="shared" si="47"/>
        <v>3.7222550028783115</v>
      </c>
      <c r="N75">
        <f t="shared" si="48"/>
        <v>44.034179755312117</v>
      </c>
      <c r="O75">
        <f t="shared" si="49"/>
        <v>1142.28</v>
      </c>
      <c r="P75">
        <f t="shared" si="50"/>
        <v>831.0230497718245</v>
      </c>
      <c r="Q75">
        <f t="shared" si="51"/>
        <v>82.488273680028755</v>
      </c>
      <c r="R75">
        <f t="shared" si="52"/>
        <v>113.38398529992001</v>
      </c>
      <c r="S75">
        <f t="shared" si="53"/>
        <v>0.25543002430003575</v>
      </c>
      <c r="T75">
        <f t="shared" si="54"/>
        <v>2.9130413924759684</v>
      </c>
      <c r="U75">
        <f t="shared" si="55"/>
        <v>0.24360747011382314</v>
      </c>
      <c r="V75">
        <f t="shared" si="56"/>
        <v>0.15327127087425194</v>
      </c>
      <c r="W75">
        <f t="shared" si="57"/>
        <v>289.57444995841485</v>
      </c>
      <c r="X75">
        <f t="shared" si="58"/>
        <v>30.971873182465522</v>
      </c>
      <c r="Y75">
        <f t="shared" si="59"/>
        <v>30.095300000000002</v>
      </c>
      <c r="Z75">
        <f t="shared" si="60"/>
        <v>4.2838269808213063</v>
      </c>
      <c r="AA75">
        <f t="shared" si="61"/>
        <v>65.355308638567436</v>
      </c>
      <c r="AB75">
        <f t="shared" si="62"/>
        <v>2.8214276826702003</v>
      </c>
      <c r="AC75">
        <f t="shared" si="63"/>
        <v>4.3170596871838827</v>
      </c>
      <c r="AD75">
        <f t="shared" si="64"/>
        <v>1.462399298151106</v>
      </c>
      <c r="AE75">
        <f t="shared" si="65"/>
        <v>-164.15144562693354</v>
      </c>
      <c r="AF75">
        <f t="shared" si="66"/>
        <v>21.154350453141646</v>
      </c>
      <c r="AG75">
        <f t="shared" si="67"/>
        <v>1.6173028516542949</v>
      </c>
      <c r="AH75">
        <f t="shared" si="68"/>
        <v>148.19465763627727</v>
      </c>
      <c r="AI75">
        <v>0</v>
      </c>
      <c r="AJ75">
        <v>0</v>
      </c>
      <c r="AK75">
        <f t="shared" si="69"/>
        <v>1</v>
      </c>
      <c r="AL75">
        <f t="shared" si="70"/>
        <v>0</v>
      </c>
      <c r="AM75">
        <f t="shared" si="71"/>
        <v>51825.30124929591</v>
      </c>
      <c r="AN75" t="s">
        <v>418</v>
      </c>
      <c r="AO75">
        <v>10076.700000000001</v>
      </c>
      <c r="AP75">
        <v>185.01599999999999</v>
      </c>
      <c r="AQ75">
        <v>473.06</v>
      </c>
      <c r="AR75">
        <f t="shared" si="72"/>
        <v>0.60889527755464423</v>
      </c>
      <c r="AS75">
        <v>-1.4827006201179751</v>
      </c>
      <c r="AT75" t="s">
        <v>722</v>
      </c>
      <c r="AU75">
        <v>8086.27</v>
      </c>
      <c r="AV75">
        <v>697.06019230769243</v>
      </c>
      <c r="AW75">
        <v>1066.842617863234</v>
      </c>
      <c r="AX75">
        <f t="shared" si="73"/>
        <v>0.34661384853201138</v>
      </c>
      <c r="AY75">
        <v>0.5</v>
      </c>
      <c r="AZ75">
        <f t="shared" si="74"/>
        <v>1513.2266994603185</v>
      </c>
      <c r="BA75">
        <f t="shared" si="75"/>
        <v>44.034179755312117</v>
      </c>
      <c r="BB75">
        <f t="shared" si="76"/>
        <v>262.25266500066715</v>
      </c>
      <c r="BC75">
        <f t="shared" si="77"/>
        <v>3.0079353207066305E-2</v>
      </c>
      <c r="BD75">
        <f t="shared" si="78"/>
        <v>-0.55657939411205182</v>
      </c>
      <c r="BE75">
        <f t="shared" si="79"/>
        <v>236.49682503707001</v>
      </c>
      <c r="BF75" t="s">
        <v>723</v>
      </c>
      <c r="BG75">
        <v>559.88</v>
      </c>
      <c r="BH75">
        <f t="shared" si="80"/>
        <v>559.88</v>
      </c>
      <c r="BI75">
        <f t="shared" si="81"/>
        <v>0.47519906814242496</v>
      </c>
      <c r="BJ75">
        <f t="shared" si="82"/>
        <v>0.72940767726447975</v>
      </c>
      <c r="BK75">
        <f t="shared" si="83"/>
        <v>6.8392377086297405</v>
      </c>
      <c r="BL75">
        <f t="shared" si="84"/>
        <v>0.41933688331110519</v>
      </c>
      <c r="BM75">
        <f t="shared" si="85"/>
        <v>-2.0614302601798129</v>
      </c>
      <c r="BN75">
        <f t="shared" si="86"/>
        <v>0.58586155808847529</v>
      </c>
      <c r="BO75">
        <f t="shared" si="87"/>
        <v>0.41413844191152471</v>
      </c>
      <c r="BP75">
        <v>9171</v>
      </c>
      <c r="BQ75">
        <v>290.00000000000011</v>
      </c>
      <c r="BR75">
        <v>929.35</v>
      </c>
      <c r="BS75">
        <v>285</v>
      </c>
      <c r="BT75">
        <v>8086.27</v>
      </c>
      <c r="BU75">
        <v>930.83</v>
      </c>
      <c r="BV75">
        <v>-1.48</v>
      </c>
      <c r="BW75">
        <v>300.00000000000011</v>
      </c>
      <c r="BX75">
        <v>19.2</v>
      </c>
      <c r="BY75">
        <v>1066.842617863234</v>
      </c>
      <c r="BZ75">
        <v>4.1995246962432002</v>
      </c>
      <c r="CA75">
        <v>-109.9798679905748</v>
      </c>
      <c r="CB75">
        <v>3.1203296109994731</v>
      </c>
      <c r="CC75">
        <v>0.97795791096738693</v>
      </c>
      <c r="CD75">
        <v>-4.1661788654060016E-3</v>
      </c>
      <c r="CE75">
        <v>289.99999999999989</v>
      </c>
      <c r="CF75">
        <v>922.47</v>
      </c>
      <c r="CG75">
        <v>625</v>
      </c>
      <c r="CH75">
        <v>8079.76</v>
      </c>
      <c r="CI75">
        <v>930.72</v>
      </c>
      <c r="CJ75">
        <v>-8.25</v>
      </c>
      <c r="CX75">
        <f t="shared" si="88"/>
        <v>1800.05</v>
      </c>
      <c r="CY75">
        <f t="shared" si="89"/>
        <v>1513.2266994603185</v>
      </c>
      <c r="CZ75">
        <f t="shared" si="90"/>
        <v>0.84065814808495243</v>
      </c>
      <c r="DA75">
        <f t="shared" si="91"/>
        <v>0.16087022580395813</v>
      </c>
      <c r="DB75">
        <v>6</v>
      </c>
      <c r="DC75">
        <v>0.5</v>
      </c>
      <c r="DD75" t="s">
        <v>421</v>
      </c>
      <c r="DE75">
        <v>2</v>
      </c>
      <c r="DF75">
        <v>1689010030.5</v>
      </c>
      <c r="DG75">
        <v>1142.28</v>
      </c>
      <c r="DH75">
        <v>1200.22</v>
      </c>
      <c r="DI75">
        <v>28.424299999999999</v>
      </c>
      <c r="DJ75">
        <v>24.084800000000001</v>
      </c>
      <c r="DK75">
        <v>1144.73</v>
      </c>
      <c r="DL75">
        <v>28.384399999999999</v>
      </c>
      <c r="DM75">
        <v>500.02800000000002</v>
      </c>
      <c r="DN75">
        <v>99.161100000000005</v>
      </c>
      <c r="DO75">
        <v>0.10001400000000001</v>
      </c>
      <c r="DP75">
        <v>30.23</v>
      </c>
      <c r="DQ75">
        <v>30.095300000000002</v>
      </c>
      <c r="DR75">
        <v>999.9</v>
      </c>
      <c r="DS75">
        <v>0</v>
      </c>
      <c r="DT75">
        <v>0</v>
      </c>
      <c r="DU75">
        <v>9990</v>
      </c>
      <c r="DV75">
        <v>0</v>
      </c>
      <c r="DW75">
        <v>2108.42</v>
      </c>
      <c r="DX75">
        <v>-57.938800000000001</v>
      </c>
      <c r="DY75">
        <v>1175.7</v>
      </c>
      <c r="DZ75">
        <v>1229.8399999999999</v>
      </c>
      <c r="EA75">
        <v>4.3394300000000001</v>
      </c>
      <c r="EB75">
        <v>1200.22</v>
      </c>
      <c r="EC75">
        <v>24.084800000000001</v>
      </c>
      <c r="ED75">
        <v>2.8185799999999999</v>
      </c>
      <c r="EE75">
        <v>2.38828</v>
      </c>
      <c r="EF75">
        <v>22.993300000000001</v>
      </c>
      <c r="EG75">
        <v>20.284500000000001</v>
      </c>
      <c r="EH75">
        <v>1800.05</v>
      </c>
      <c r="EI75">
        <v>0.97800299999999996</v>
      </c>
      <c r="EJ75">
        <v>2.1997200000000001E-2</v>
      </c>
      <c r="EK75">
        <v>0</v>
      </c>
      <c r="EL75">
        <v>697.23500000000001</v>
      </c>
      <c r="EM75">
        <v>5.00082</v>
      </c>
      <c r="EN75">
        <v>16739.099999999999</v>
      </c>
      <c r="EO75">
        <v>14130.2</v>
      </c>
      <c r="EP75">
        <v>49.186999999999998</v>
      </c>
      <c r="EQ75">
        <v>51.125</v>
      </c>
      <c r="ER75">
        <v>50.25</v>
      </c>
      <c r="ES75">
        <v>50.125</v>
      </c>
      <c r="ET75">
        <v>50.311999999999998</v>
      </c>
      <c r="EU75">
        <v>1755.56</v>
      </c>
      <c r="EV75">
        <v>39.49</v>
      </c>
      <c r="EW75">
        <v>0</v>
      </c>
      <c r="EX75">
        <v>121.7999999523163</v>
      </c>
      <c r="EY75">
        <v>0</v>
      </c>
      <c r="EZ75">
        <v>697.06019230769243</v>
      </c>
      <c r="FA75">
        <v>-0.2375726591139283</v>
      </c>
      <c r="FB75">
        <v>29.282050577251731</v>
      </c>
      <c r="FC75">
        <v>16741.103846153841</v>
      </c>
      <c r="FD75">
        <v>15</v>
      </c>
      <c r="FE75">
        <v>1689010000.5</v>
      </c>
      <c r="FF75" t="s">
        <v>724</v>
      </c>
      <c r="FG75">
        <v>1689010000.5</v>
      </c>
      <c r="FH75">
        <v>1689009986</v>
      </c>
      <c r="FI75">
        <v>66</v>
      </c>
      <c r="FJ75">
        <v>-0.221</v>
      </c>
      <c r="FK75">
        <v>-1.0999999999999999E-2</v>
      </c>
      <c r="FL75">
        <v>-2.4809999999999999</v>
      </c>
      <c r="FM75">
        <v>0.04</v>
      </c>
      <c r="FN75">
        <v>1200</v>
      </c>
      <c r="FO75">
        <v>24</v>
      </c>
      <c r="FP75">
        <v>0.08</v>
      </c>
      <c r="FQ75">
        <v>0.02</v>
      </c>
      <c r="FR75">
        <v>44.170116328976938</v>
      </c>
      <c r="FS75">
        <v>-0.35480176504140332</v>
      </c>
      <c r="FT75">
        <v>4.1517343572198967E-2</v>
      </c>
      <c r="FU75">
        <v>1</v>
      </c>
      <c r="FV75">
        <v>0.24905369419852941</v>
      </c>
      <c r="FW75">
        <v>4.671060397967329E-2</v>
      </c>
      <c r="FX75">
        <v>3.6835923592229329E-3</v>
      </c>
      <c r="FY75">
        <v>1</v>
      </c>
      <c r="FZ75">
        <v>2</v>
      </c>
      <c r="GA75">
        <v>2</v>
      </c>
      <c r="GB75" t="s">
        <v>423</v>
      </c>
      <c r="GC75">
        <v>2.9442900000000001</v>
      </c>
      <c r="GD75">
        <v>2.7085900000000001</v>
      </c>
      <c r="GE75">
        <v>0.18063000000000001</v>
      </c>
      <c r="GF75">
        <v>0.18638299999999999</v>
      </c>
      <c r="GG75">
        <v>0.12717100000000001</v>
      </c>
      <c r="GH75">
        <v>0.113409</v>
      </c>
      <c r="GI75">
        <v>26921.5</v>
      </c>
      <c r="GJ75">
        <v>26071.1</v>
      </c>
      <c r="GK75">
        <v>33859.4</v>
      </c>
      <c r="GL75">
        <v>32090.7</v>
      </c>
      <c r="GM75">
        <v>42664.6</v>
      </c>
      <c r="GN75">
        <v>40485.4</v>
      </c>
      <c r="GO75">
        <v>49033.8</v>
      </c>
      <c r="GP75">
        <v>45427.4</v>
      </c>
      <c r="GQ75">
        <v>1.9753000000000001</v>
      </c>
      <c r="GR75">
        <v>1.77505</v>
      </c>
      <c r="GS75">
        <v>4.6677899999999998E-3</v>
      </c>
      <c r="GT75">
        <v>0</v>
      </c>
      <c r="GU75">
        <v>30.019300000000001</v>
      </c>
      <c r="GV75">
        <v>999.9</v>
      </c>
      <c r="GW75">
        <v>35.1</v>
      </c>
      <c r="GX75">
        <v>43.5</v>
      </c>
      <c r="GY75">
        <v>31.565899999999999</v>
      </c>
      <c r="GZ75">
        <v>59.9923</v>
      </c>
      <c r="HA75">
        <v>25.857399999999998</v>
      </c>
      <c r="HB75">
        <v>1</v>
      </c>
      <c r="HC75">
        <v>0.478468</v>
      </c>
      <c r="HD75">
        <v>3.7803800000000001</v>
      </c>
      <c r="HE75">
        <v>20.225899999999999</v>
      </c>
      <c r="HF75">
        <v>5.2695499999999997</v>
      </c>
      <c r="HG75">
        <v>12.039899999999999</v>
      </c>
      <c r="HH75">
        <v>4.9660500000000001</v>
      </c>
      <c r="HI75">
        <v>3.3010000000000002</v>
      </c>
      <c r="HJ75">
        <v>9999</v>
      </c>
      <c r="HK75">
        <v>9999</v>
      </c>
      <c r="HL75">
        <v>9999</v>
      </c>
      <c r="HM75">
        <v>999.9</v>
      </c>
      <c r="HN75">
        <v>1.8683099999999999</v>
      </c>
      <c r="HO75">
        <v>1.8719699999999999</v>
      </c>
      <c r="HP75">
        <v>1.8717999999999999</v>
      </c>
      <c r="HQ75">
        <v>1.8713200000000001</v>
      </c>
      <c r="HR75">
        <v>1.8645</v>
      </c>
      <c r="HS75">
        <v>1.8656900000000001</v>
      </c>
      <c r="HT75">
        <v>1.8676900000000001</v>
      </c>
      <c r="HU75">
        <v>1.87225</v>
      </c>
      <c r="HV75">
        <v>0</v>
      </c>
      <c r="HW75">
        <v>0</v>
      </c>
      <c r="HX75">
        <v>0</v>
      </c>
      <c r="HY75">
        <v>0</v>
      </c>
      <c r="HZ75" t="s">
        <v>424</v>
      </c>
      <c r="IA75" t="s">
        <v>425</v>
      </c>
      <c r="IB75" t="s">
        <v>426</v>
      </c>
      <c r="IC75" t="s">
        <v>426</v>
      </c>
      <c r="ID75" t="s">
        <v>426</v>
      </c>
      <c r="IE75" t="s">
        <v>426</v>
      </c>
      <c r="IF75">
        <v>0</v>
      </c>
      <c r="IG75">
        <v>100</v>
      </c>
      <c r="IH75">
        <v>100</v>
      </c>
      <c r="II75">
        <v>-2.4500000000000002</v>
      </c>
      <c r="IJ75">
        <v>3.9899999999999998E-2</v>
      </c>
      <c r="IK75">
        <v>-1.4150276347094191</v>
      </c>
      <c r="IL75">
        <v>-1.171017271736434E-3</v>
      </c>
      <c r="IM75">
        <v>2.801297040296544E-7</v>
      </c>
      <c r="IN75">
        <v>-3.6238253961199429E-11</v>
      </c>
      <c r="IO75">
        <v>3.9889999999996213E-2</v>
      </c>
      <c r="IP75">
        <v>0</v>
      </c>
      <c r="IQ75">
        <v>0</v>
      </c>
      <c r="IR75">
        <v>0</v>
      </c>
      <c r="IS75">
        <v>0</v>
      </c>
      <c r="IT75">
        <v>2161</v>
      </c>
      <c r="IU75">
        <v>1</v>
      </c>
      <c r="IV75">
        <v>19</v>
      </c>
      <c r="IW75">
        <v>0.5</v>
      </c>
      <c r="IX75">
        <v>0.7</v>
      </c>
      <c r="IY75">
        <v>2.5280800000000001</v>
      </c>
      <c r="IZ75">
        <v>2.4694799999999999</v>
      </c>
      <c r="JA75">
        <v>1.4440900000000001</v>
      </c>
      <c r="JB75">
        <v>2.2839399999999999</v>
      </c>
      <c r="JC75">
        <v>1.54419</v>
      </c>
      <c r="JD75">
        <v>2.4389599999999998</v>
      </c>
      <c r="JE75">
        <v>46.708399999999997</v>
      </c>
      <c r="JF75">
        <v>15.734400000000001</v>
      </c>
      <c r="JG75">
        <v>18</v>
      </c>
      <c r="JH75">
        <v>509.245</v>
      </c>
      <c r="JI75">
        <v>418.697</v>
      </c>
      <c r="JJ75">
        <v>25.320799999999998</v>
      </c>
      <c r="JK75">
        <v>33.185600000000001</v>
      </c>
      <c r="JL75">
        <v>30.001300000000001</v>
      </c>
      <c r="JM75">
        <v>32.8994</v>
      </c>
      <c r="JN75">
        <v>32.838500000000003</v>
      </c>
      <c r="JO75">
        <v>50.7699</v>
      </c>
      <c r="JP75">
        <v>29.752099999999999</v>
      </c>
      <c r="JQ75">
        <v>0</v>
      </c>
      <c r="JR75">
        <v>25.222899999999999</v>
      </c>
      <c r="JS75">
        <v>1200</v>
      </c>
      <c r="JT75">
        <v>23.999700000000001</v>
      </c>
      <c r="JU75">
        <v>99.381299999999996</v>
      </c>
      <c r="JV75">
        <v>98.931100000000001</v>
      </c>
    </row>
    <row r="76" spans="1:282" x14ac:dyDescent="0.25">
      <c r="A76">
        <v>60</v>
      </c>
      <c r="B76">
        <v>1689010137</v>
      </c>
      <c r="C76">
        <v>10960</v>
      </c>
      <c r="D76" t="s">
        <v>725</v>
      </c>
      <c r="E76" t="s">
        <v>726</v>
      </c>
      <c r="F76" t="s">
        <v>414</v>
      </c>
      <c r="G76" t="s">
        <v>415</v>
      </c>
      <c r="H76" t="s">
        <v>655</v>
      </c>
      <c r="I76" t="s">
        <v>416</v>
      </c>
      <c r="J76" t="s">
        <v>656</v>
      </c>
      <c r="K76">
        <v>1689010137</v>
      </c>
      <c r="L76">
        <f t="shared" si="46"/>
        <v>3.6166392867099163E-3</v>
      </c>
      <c r="M76">
        <f t="shared" si="47"/>
        <v>3.6166392867099164</v>
      </c>
      <c r="N76">
        <f t="shared" si="48"/>
        <v>43.936546328850831</v>
      </c>
      <c r="O76">
        <f t="shared" si="49"/>
        <v>1441.28</v>
      </c>
      <c r="P76">
        <f t="shared" si="50"/>
        <v>1113.43068412056</v>
      </c>
      <c r="Q76">
        <f t="shared" si="51"/>
        <v>110.52059275372572</v>
      </c>
      <c r="R76">
        <f t="shared" si="52"/>
        <v>143.06334664191999</v>
      </c>
      <c r="S76">
        <f t="shared" si="53"/>
        <v>0.24648348782321511</v>
      </c>
      <c r="T76">
        <f t="shared" si="54"/>
        <v>2.9110729561277315</v>
      </c>
      <c r="U76">
        <f t="shared" si="55"/>
        <v>0.23544829620955457</v>
      </c>
      <c r="V76">
        <f t="shared" si="56"/>
        <v>0.14810547861533563</v>
      </c>
      <c r="W76">
        <f t="shared" si="57"/>
        <v>289.55529795834536</v>
      </c>
      <c r="X76">
        <f t="shared" si="58"/>
        <v>30.883456000291172</v>
      </c>
      <c r="Y76">
        <f t="shared" si="59"/>
        <v>30.0593</v>
      </c>
      <c r="Z76">
        <f t="shared" si="60"/>
        <v>4.2749830319180573</v>
      </c>
      <c r="AA76">
        <f t="shared" si="61"/>
        <v>65.401663617983161</v>
      </c>
      <c r="AB76">
        <f t="shared" si="62"/>
        <v>2.8046383532013999</v>
      </c>
      <c r="AC76">
        <f t="shared" si="63"/>
        <v>4.2883287642093295</v>
      </c>
      <c r="AD76">
        <f t="shared" si="64"/>
        <v>1.4703446787166574</v>
      </c>
      <c r="AE76">
        <f t="shared" si="65"/>
        <v>-159.49379254390732</v>
      </c>
      <c r="AF76">
        <f t="shared" si="66"/>
        <v>8.5219378509443846</v>
      </c>
      <c r="AG76">
        <f t="shared" si="67"/>
        <v>0.65147243856179382</v>
      </c>
      <c r="AH76">
        <f t="shared" si="68"/>
        <v>139.23491570394421</v>
      </c>
      <c r="AI76">
        <v>0</v>
      </c>
      <c r="AJ76">
        <v>0</v>
      </c>
      <c r="AK76">
        <f t="shared" si="69"/>
        <v>1</v>
      </c>
      <c r="AL76">
        <f t="shared" si="70"/>
        <v>0</v>
      </c>
      <c r="AM76">
        <f t="shared" si="71"/>
        <v>51789.233959447243</v>
      </c>
      <c r="AN76" t="s">
        <v>418</v>
      </c>
      <c r="AO76">
        <v>10076.700000000001</v>
      </c>
      <c r="AP76">
        <v>185.01599999999999</v>
      </c>
      <c r="AQ76">
        <v>473.06</v>
      </c>
      <c r="AR76">
        <f t="shared" si="72"/>
        <v>0.60889527755464423</v>
      </c>
      <c r="AS76">
        <v>-1.4827006201179751</v>
      </c>
      <c r="AT76" t="s">
        <v>727</v>
      </c>
      <c r="AU76">
        <v>8088.03</v>
      </c>
      <c r="AV76">
        <v>696.63463999999988</v>
      </c>
      <c r="AW76">
        <v>1069.371232537485</v>
      </c>
      <c r="AX76">
        <f t="shared" si="73"/>
        <v>0.34855677915799876</v>
      </c>
      <c r="AY76">
        <v>0.5</v>
      </c>
      <c r="AZ76">
        <f t="shared" si="74"/>
        <v>1513.1258994602824</v>
      </c>
      <c r="BA76">
        <f t="shared" si="75"/>
        <v>43.936546328850831</v>
      </c>
      <c r="BB76">
        <f t="shared" si="76"/>
        <v>263.70514498821296</v>
      </c>
      <c r="BC76">
        <f t="shared" si="77"/>
        <v>3.0016832680723672E-2</v>
      </c>
      <c r="BD76">
        <f t="shared" si="78"/>
        <v>-0.55762789795879641</v>
      </c>
      <c r="BE76">
        <f t="shared" si="79"/>
        <v>236.62085657752198</v>
      </c>
      <c r="BF76" t="s">
        <v>728</v>
      </c>
      <c r="BG76">
        <v>559.95000000000005</v>
      </c>
      <c r="BH76">
        <f t="shared" si="80"/>
        <v>559.95000000000005</v>
      </c>
      <c r="BI76">
        <f t="shared" si="81"/>
        <v>0.47637454331803153</v>
      </c>
      <c r="BJ76">
        <f t="shared" si="82"/>
        <v>0.73168640945891061</v>
      </c>
      <c r="BK76">
        <f t="shared" si="83"/>
        <v>6.8628292385485636</v>
      </c>
      <c r="BL76">
        <f t="shared" si="84"/>
        <v>0.42147835940088246</v>
      </c>
      <c r="BM76">
        <f t="shared" si="85"/>
        <v>-2.0702088310726317</v>
      </c>
      <c r="BN76">
        <f t="shared" si="86"/>
        <v>0.58812436455430506</v>
      </c>
      <c r="BO76">
        <f t="shared" si="87"/>
        <v>0.41187563544569494</v>
      </c>
      <c r="BP76">
        <v>9173</v>
      </c>
      <c r="BQ76">
        <v>290.00000000000011</v>
      </c>
      <c r="BR76">
        <v>931.96</v>
      </c>
      <c r="BS76">
        <v>285</v>
      </c>
      <c r="BT76">
        <v>8088.03</v>
      </c>
      <c r="BU76">
        <v>933.64</v>
      </c>
      <c r="BV76">
        <v>-1.68</v>
      </c>
      <c r="BW76">
        <v>300.00000000000011</v>
      </c>
      <c r="BX76">
        <v>19.2</v>
      </c>
      <c r="BY76">
        <v>1069.371232537485</v>
      </c>
      <c r="BZ76">
        <v>4.0715225300115394</v>
      </c>
      <c r="CA76">
        <v>-109.7781336282126</v>
      </c>
      <c r="CB76">
        <v>3.025898319439877</v>
      </c>
      <c r="CC76">
        <v>0.97916981990103968</v>
      </c>
      <c r="CD76">
        <v>-4.1669506117908836E-3</v>
      </c>
      <c r="CE76">
        <v>289.99999999999989</v>
      </c>
      <c r="CF76">
        <v>926.27</v>
      </c>
      <c r="CG76">
        <v>665</v>
      </c>
      <c r="CH76">
        <v>8080.48</v>
      </c>
      <c r="CI76">
        <v>933.52</v>
      </c>
      <c r="CJ76">
        <v>-7.25</v>
      </c>
      <c r="CX76">
        <f t="shared" si="88"/>
        <v>1799.93</v>
      </c>
      <c r="CY76">
        <f t="shared" si="89"/>
        <v>1513.1258994602824</v>
      </c>
      <c r="CZ76">
        <f t="shared" si="90"/>
        <v>0.8406581919631777</v>
      </c>
      <c r="DA76">
        <f t="shared" si="91"/>
        <v>0.1608703104889331</v>
      </c>
      <c r="DB76">
        <v>6</v>
      </c>
      <c r="DC76">
        <v>0.5</v>
      </c>
      <c r="DD76" t="s">
        <v>421</v>
      </c>
      <c r="DE76">
        <v>2</v>
      </c>
      <c r="DF76">
        <v>1689010137</v>
      </c>
      <c r="DG76">
        <v>1441.28</v>
      </c>
      <c r="DH76">
        <v>1500.25</v>
      </c>
      <c r="DI76">
        <v>28.255099999999999</v>
      </c>
      <c r="DJ76">
        <v>24.038399999999999</v>
      </c>
      <c r="DK76">
        <v>1443.71</v>
      </c>
      <c r="DL76">
        <v>28.213200000000001</v>
      </c>
      <c r="DM76">
        <v>500.07600000000002</v>
      </c>
      <c r="DN76">
        <v>99.161199999999994</v>
      </c>
      <c r="DO76">
        <v>0.10011399999999999</v>
      </c>
      <c r="DP76">
        <v>30.113600000000002</v>
      </c>
      <c r="DQ76">
        <v>30.0593</v>
      </c>
      <c r="DR76">
        <v>999.9</v>
      </c>
      <c r="DS76">
        <v>0</v>
      </c>
      <c r="DT76">
        <v>0</v>
      </c>
      <c r="DU76">
        <v>9978.75</v>
      </c>
      <c r="DV76">
        <v>0</v>
      </c>
      <c r="DW76">
        <v>1738.89</v>
      </c>
      <c r="DX76">
        <v>-58.968899999999998</v>
      </c>
      <c r="DY76">
        <v>1483.19</v>
      </c>
      <c r="DZ76">
        <v>1537.2</v>
      </c>
      <c r="EA76">
        <v>4.2166800000000002</v>
      </c>
      <c r="EB76">
        <v>1500.25</v>
      </c>
      <c r="EC76">
        <v>24.038399999999999</v>
      </c>
      <c r="ED76">
        <v>2.8018100000000001</v>
      </c>
      <c r="EE76">
        <v>2.38368</v>
      </c>
      <c r="EF76">
        <v>22.8948</v>
      </c>
      <c r="EG76">
        <v>20.253299999999999</v>
      </c>
      <c r="EH76">
        <v>1799.93</v>
      </c>
      <c r="EI76">
        <v>0.97799899999999995</v>
      </c>
      <c r="EJ76">
        <v>2.2000800000000001E-2</v>
      </c>
      <c r="EK76">
        <v>0</v>
      </c>
      <c r="EL76">
        <v>696.62400000000002</v>
      </c>
      <c r="EM76">
        <v>5.00082</v>
      </c>
      <c r="EN76">
        <v>16067.6</v>
      </c>
      <c r="EO76">
        <v>14129.2</v>
      </c>
      <c r="EP76">
        <v>48.75</v>
      </c>
      <c r="EQ76">
        <v>50.811999999999998</v>
      </c>
      <c r="ER76">
        <v>49.75</v>
      </c>
      <c r="ES76">
        <v>49.811999999999998</v>
      </c>
      <c r="ET76">
        <v>49.875</v>
      </c>
      <c r="EU76">
        <v>1755.44</v>
      </c>
      <c r="EV76">
        <v>39.49</v>
      </c>
      <c r="EW76">
        <v>0</v>
      </c>
      <c r="EX76">
        <v>104.4000000953674</v>
      </c>
      <c r="EY76">
        <v>0</v>
      </c>
      <c r="EZ76">
        <v>696.63463999999988</v>
      </c>
      <c r="FA76">
        <v>-1.367307695792209</v>
      </c>
      <c r="FB76">
        <v>-2941.2538459239408</v>
      </c>
      <c r="FC76">
        <v>16564.936000000002</v>
      </c>
      <c r="FD76">
        <v>15</v>
      </c>
      <c r="FE76">
        <v>1689010107</v>
      </c>
      <c r="FF76" t="s">
        <v>729</v>
      </c>
      <c r="FG76">
        <v>1689010107</v>
      </c>
      <c r="FH76">
        <v>1689010098</v>
      </c>
      <c r="FI76">
        <v>67</v>
      </c>
      <c r="FJ76">
        <v>0.20699999999999999</v>
      </c>
      <c r="FK76">
        <v>2E-3</v>
      </c>
      <c r="FL76">
        <v>-2.4580000000000002</v>
      </c>
      <c r="FM76">
        <v>4.2000000000000003E-2</v>
      </c>
      <c r="FN76">
        <v>1501</v>
      </c>
      <c r="FO76">
        <v>24</v>
      </c>
      <c r="FP76">
        <v>0.06</v>
      </c>
      <c r="FQ76">
        <v>0.02</v>
      </c>
      <c r="FR76">
        <v>44.050780966173441</v>
      </c>
      <c r="FS76">
        <v>-0.56639641828564624</v>
      </c>
      <c r="FT76">
        <v>0.1179814589414027</v>
      </c>
      <c r="FU76">
        <v>1</v>
      </c>
      <c r="FV76">
        <v>0.24270958523280059</v>
      </c>
      <c r="FW76">
        <v>2.2570511641045031E-2</v>
      </c>
      <c r="FX76">
        <v>2.2336497891682081E-3</v>
      </c>
      <c r="FY76">
        <v>1</v>
      </c>
      <c r="FZ76">
        <v>2</v>
      </c>
      <c r="GA76">
        <v>2</v>
      </c>
      <c r="GB76" t="s">
        <v>423</v>
      </c>
      <c r="GC76">
        <v>2.9443199999999998</v>
      </c>
      <c r="GD76">
        <v>2.7085900000000001</v>
      </c>
      <c r="GE76">
        <v>0.20809900000000001</v>
      </c>
      <c r="GF76">
        <v>0.213341</v>
      </c>
      <c r="GG76">
        <v>0.12659599999999999</v>
      </c>
      <c r="GH76">
        <v>0.113216</v>
      </c>
      <c r="GI76">
        <v>26008.1</v>
      </c>
      <c r="GJ76">
        <v>25197.3</v>
      </c>
      <c r="GK76">
        <v>33849.599999999999</v>
      </c>
      <c r="GL76">
        <v>32082.2</v>
      </c>
      <c r="GM76">
        <v>42682.8</v>
      </c>
      <c r="GN76">
        <v>40484.6</v>
      </c>
      <c r="GO76">
        <v>49020.800000000003</v>
      </c>
      <c r="GP76">
        <v>45415.6</v>
      </c>
      <c r="GQ76">
        <v>1.9735499999999999</v>
      </c>
      <c r="GR76">
        <v>1.77335</v>
      </c>
      <c r="GS76">
        <v>1.6316799999999999E-3</v>
      </c>
      <c r="GT76">
        <v>0</v>
      </c>
      <c r="GU76">
        <v>30.032699999999998</v>
      </c>
      <c r="GV76">
        <v>999.9</v>
      </c>
      <c r="GW76">
        <v>34.9</v>
      </c>
      <c r="GX76">
        <v>43.7</v>
      </c>
      <c r="GY76">
        <v>31.713799999999999</v>
      </c>
      <c r="GZ76">
        <v>60.362299999999998</v>
      </c>
      <c r="HA76">
        <v>25.7212</v>
      </c>
      <c r="HB76">
        <v>1</v>
      </c>
      <c r="HC76">
        <v>0.49264999999999998</v>
      </c>
      <c r="HD76">
        <v>3.9567999999999999</v>
      </c>
      <c r="HE76">
        <v>20.221800000000002</v>
      </c>
      <c r="HF76">
        <v>5.2656599999999996</v>
      </c>
      <c r="HG76">
        <v>12.039899999999999</v>
      </c>
      <c r="HH76">
        <v>4.9660000000000002</v>
      </c>
      <c r="HI76">
        <v>3.3010000000000002</v>
      </c>
      <c r="HJ76">
        <v>9999</v>
      </c>
      <c r="HK76">
        <v>9999</v>
      </c>
      <c r="HL76">
        <v>9999</v>
      </c>
      <c r="HM76">
        <v>999.9</v>
      </c>
      <c r="HN76">
        <v>1.86832</v>
      </c>
      <c r="HO76">
        <v>1.87198</v>
      </c>
      <c r="HP76">
        <v>1.8717999999999999</v>
      </c>
      <c r="HQ76">
        <v>1.87131</v>
      </c>
      <c r="HR76">
        <v>1.86453</v>
      </c>
      <c r="HS76">
        <v>1.8656900000000001</v>
      </c>
      <c r="HT76">
        <v>1.8676900000000001</v>
      </c>
      <c r="HU76">
        <v>1.87225</v>
      </c>
      <c r="HV76">
        <v>0</v>
      </c>
      <c r="HW76">
        <v>0</v>
      </c>
      <c r="HX76">
        <v>0</v>
      </c>
      <c r="HY76">
        <v>0</v>
      </c>
      <c r="HZ76" t="s">
        <v>424</v>
      </c>
      <c r="IA76" t="s">
        <v>425</v>
      </c>
      <c r="IB76" t="s">
        <v>426</v>
      </c>
      <c r="IC76" t="s">
        <v>426</v>
      </c>
      <c r="ID76" t="s">
        <v>426</v>
      </c>
      <c r="IE76" t="s">
        <v>426</v>
      </c>
      <c r="IF76">
        <v>0</v>
      </c>
      <c r="IG76">
        <v>100</v>
      </c>
      <c r="IH76">
        <v>100</v>
      </c>
      <c r="II76">
        <v>-2.4300000000000002</v>
      </c>
      <c r="IJ76">
        <v>4.19E-2</v>
      </c>
      <c r="IK76">
        <v>-1.2072250975775261</v>
      </c>
      <c r="IL76">
        <v>-1.171017271736434E-3</v>
      </c>
      <c r="IM76">
        <v>2.801297040296544E-7</v>
      </c>
      <c r="IN76">
        <v>-3.6238253961199429E-11</v>
      </c>
      <c r="IO76">
        <v>4.1900000000001818E-2</v>
      </c>
      <c r="IP76">
        <v>0</v>
      </c>
      <c r="IQ76">
        <v>0</v>
      </c>
      <c r="IR76">
        <v>0</v>
      </c>
      <c r="IS76">
        <v>0</v>
      </c>
      <c r="IT76">
        <v>2161</v>
      </c>
      <c r="IU76">
        <v>1</v>
      </c>
      <c r="IV76">
        <v>19</v>
      </c>
      <c r="IW76">
        <v>0.5</v>
      </c>
      <c r="IX76">
        <v>0.7</v>
      </c>
      <c r="IY76">
        <v>3.0334500000000002</v>
      </c>
      <c r="IZ76">
        <v>2.4621599999999999</v>
      </c>
      <c r="JA76">
        <v>1.4440900000000001</v>
      </c>
      <c r="JB76">
        <v>2.2839399999999999</v>
      </c>
      <c r="JC76">
        <v>1.54419</v>
      </c>
      <c r="JD76">
        <v>2.4389599999999998</v>
      </c>
      <c r="JE76">
        <v>46.915100000000002</v>
      </c>
      <c r="JF76">
        <v>15.7081</v>
      </c>
      <c r="JG76">
        <v>18</v>
      </c>
      <c r="JH76">
        <v>509.36500000000001</v>
      </c>
      <c r="JI76">
        <v>418.74</v>
      </c>
      <c r="JJ76">
        <v>25.117100000000001</v>
      </c>
      <c r="JK76">
        <v>33.338000000000001</v>
      </c>
      <c r="JL76">
        <v>30.001100000000001</v>
      </c>
      <c r="JM76">
        <v>33.0578</v>
      </c>
      <c r="JN76">
        <v>32.997199999999999</v>
      </c>
      <c r="JO76">
        <v>60.886800000000001</v>
      </c>
      <c r="JP76">
        <v>30.100100000000001</v>
      </c>
      <c r="JQ76">
        <v>0</v>
      </c>
      <c r="JR76">
        <v>25.100300000000001</v>
      </c>
      <c r="JS76">
        <v>1500</v>
      </c>
      <c r="JT76">
        <v>24.0076</v>
      </c>
      <c r="JU76">
        <v>99.353999999999999</v>
      </c>
      <c r="JV76">
        <v>98.905199999999994</v>
      </c>
    </row>
    <row r="77" spans="1:282" x14ac:dyDescent="0.25">
      <c r="A77">
        <v>61</v>
      </c>
      <c r="B77">
        <v>1689011647.5999999</v>
      </c>
      <c r="C77">
        <v>12470.599999904631</v>
      </c>
      <c r="D77" t="s">
        <v>730</v>
      </c>
      <c r="E77" t="s">
        <v>731</v>
      </c>
      <c r="F77" t="s">
        <v>414</v>
      </c>
      <c r="G77" t="s">
        <v>415</v>
      </c>
      <c r="H77" t="s">
        <v>732</v>
      </c>
      <c r="I77" t="s">
        <v>416</v>
      </c>
      <c r="J77" t="s">
        <v>579</v>
      </c>
      <c r="K77">
        <v>1689011647.5999999</v>
      </c>
      <c r="L77">
        <f t="shared" si="46"/>
        <v>4.8662506494962995E-3</v>
      </c>
      <c r="M77">
        <f t="shared" si="47"/>
        <v>4.8662506494962994</v>
      </c>
      <c r="N77">
        <f t="shared" si="48"/>
        <v>48.470275020429646</v>
      </c>
      <c r="O77">
        <f t="shared" si="49"/>
        <v>339.98700000000002</v>
      </c>
      <c r="P77">
        <f t="shared" si="50"/>
        <v>90.621091987571006</v>
      </c>
      <c r="Q77">
        <f t="shared" si="51"/>
        <v>8.9937816022429882</v>
      </c>
      <c r="R77">
        <f t="shared" si="52"/>
        <v>33.742352453898604</v>
      </c>
      <c r="S77">
        <f t="shared" si="53"/>
        <v>0.33500371591122596</v>
      </c>
      <c r="T77">
        <f t="shared" si="54"/>
        <v>2.9173645092267702</v>
      </c>
      <c r="U77">
        <f t="shared" si="55"/>
        <v>0.31500552886573147</v>
      </c>
      <c r="V77">
        <f t="shared" si="56"/>
        <v>0.19857565482294393</v>
      </c>
      <c r="W77">
        <f t="shared" si="57"/>
        <v>289.58141295817421</v>
      </c>
      <c r="X77">
        <f t="shared" si="58"/>
        <v>30.504344791410695</v>
      </c>
      <c r="Y77">
        <f t="shared" si="59"/>
        <v>30.0259</v>
      </c>
      <c r="Z77">
        <f t="shared" si="60"/>
        <v>4.2667920463099209</v>
      </c>
      <c r="AA77">
        <f t="shared" si="61"/>
        <v>65.211532704836685</v>
      </c>
      <c r="AB77">
        <f t="shared" si="62"/>
        <v>2.7881180971253996</v>
      </c>
      <c r="AC77">
        <f t="shared" si="63"/>
        <v>4.2754984915706595</v>
      </c>
      <c r="AD77">
        <f t="shared" si="64"/>
        <v>1.4786739491845213</v>
      </c>
      <c r="AE77">
        <f t="shared" si="65"/>
        <v>-214.6016536427868</v>
      </c>
      <c r="AF77">
        <f t="shared" si="66"/>
        <v>5.5834739174607337</v>
      </c>
      <c r="AG77">
        <f t="shared" si="67"/>
        <v>0.4257361910517235</v>
      </c>
      <c r="AH77">
        <f t="shared" si="68"/>
        <v>80.988969423899874</v>
      </c>
      <c r="AI77">
        <v>0</v>
      </c>
      <c r="AJ77">
        <v>0</v>
      </c>
      <c r="AK77">
        <f t="shared" si="69"/>
        <v>1</v>
      </c>
      <c r="AL77">
        <f t="shared" si="70"/>
        <v>0</v>
      </c>
      <c r="AM77">
        <f t="shared" si="71"/>
        <v>51976.844743071102</v>
      </c>
      <c r="AN77" t="s">
        <v>418</v>
      </c>
      <c r="AO77">
        <v>10076.700000000001</v>
      </c>
      <c r="AP77">
        <v>185.01599999999999</v>
      </c>
      <c r="AQ77">
        <v>473.06</v>
      </c>
      <c r="AR77">
        <f t="shared" si="72"/>
        <v>0.60889527755464423</v>
      </c>
      <c r="AS77">
        <v>-1.4827006201179751</v>
      </c>
      <c r="AT77" t="s">
        <v>733</v>
      </c>
      <c r="AU77">
        <v>8078.49</v>
      </c>
      <c r="AV77">
        <v>694.17283999999995</v>
      </c>
      <c r="AW77">
        <v>1068.018038619316</v>
      </c>
      <c r="AX77">
        <f t="shared" si="73"/>
        <v>0.35003640865711005</v>
      </c>
      <c r="AY77">
        <v>0.5</v>
      </c>
      <c r="AZ77">
        <f t="shared" si="74"/>
        <v>1513.2605994601938</v>
      </c>
      <c r="BA77">
        <f t="shared" si="75"/>
        <v>48.470275020429646</v>
      </c>
      <c r="BB77">
        <f t="shared" si="76"/>
        <v>264.84815279867587</v>
      </c>
      <c r="BC77">
        <f t="shared" si="77"/>
        <v>3.3010160747175145E-2</v>
      </c>
      <c r="BD77">
        <f t="shared" si="78"/>
        <v>-0.55706740626633056</v>
      </c>
      <c r="BE77">
        <f t="shared" si="79"/>
        <v>236.55453768610798</v>
      </c>
      <c r="BF77" t="s">
        <v>734</v>
      </c>
      <c r="BG77">
        <v>540.29</v>
      </c>
      <c r="BH77">
        <f t="shared" si="80"/>
        <v>540.29</v>
      </c>
      <c r="BI77">
        <f t="shared" si="81"/>
        <v>0.49411903126799084</v>
      </c>
      <c r="BJ77">
        <f t="shared" si="82"/>
        <v>0.70840503301169955</v>
      </c>
      <c r="BK77">
        <f t="shared" si="83"/>
        <v>8.8495915308540294</v>
      </c>
      <c r="BL77">
        <f t="shared" si="84"/>
        <v>0.42337976841352454</v>
      </c>
      <c r="BM77">
        <f t="shared" si="85"/>
        <v>-2.0655109588094738</v>
      </c>
      <c r="BN77">
        <f t="shared" si="86"/>
        <v>0.55136722906919133</v>
      </c>
      <c r="BO77">
        <f t="shared" si="87"/>
        <v>0.44863277093080867</v>
      </c>
      <c r="BP77">
        <v>9175</v>
      </c>
      <c r="BQ77">
        <v>290.00000000000011</v>
      </c>
      <c r="BR77">
        <v>946.97</v>
      </c>
      <c r="BS77">
        <v>295</v>
      </c>
      <c r="BT77">
        <v>8078.49</v>
      </c>
      <c r="BU77">
        <v>950.51</v>
      </c>
      <c r="BV77">
        <v>-3.54</v>
      </c>
      <c r="BW77">
        <v>300.00000000000011</v>
      </c>
      <c r="BX77">
        <v>19.2</v>
      </c>
      <c r="BY77">
        <v>1068.018038619316</v>
      </c>
      <c r="BZ77">
        <v>3.9850922805208451</v>
      </c>
      <c r="CA77">
        <v>-94.926248431095942</v>
      </c>
      <c r="CB77">
        <v>2.9581316120298191</v>
      </c>
      <c r="CC77">
        <v>0.97352906370386949</v>
      </c>
      <c r="CD77">
        <v>-4.1624453837597452E-3</v>
      </c>
      <c r="CE77">
        <v>289.99999999999989</v>
      </c>
      <c r="CF77">
        <v>946.11</v>
      </c>
      <c r="CG77">
        <v>665</v>
      </c>
      <c r="CH77">
        <v>8070.83</v>
      </c>
      <c r="CI77">
        <v>950.4</v>
      </c>
      <c r="CJ77">
        <v>-4.29</v>
      </c>
      <c r="CX77">
        <f t="shared" si="88"/>
        <v>1800.09</v>
      </c>
      <c r="CY77">
        <f t="shared" si="89"/>
        <v>1513.2605994601938</v>
      </c>
      <c r="CZ77">
        <f t="shared" si="90"/>
        <v>0.84065830011843512</v>
      </c>
      <c r="DA77">
        <f t="shared" si="91"/>
        <v>0.16087051922857981</v>
      </c>
      <c r="DB77">
        <v>6</v>
      </c>
      <c r="DC77">
        <v>0.5</v>
      </c>
      <c r="DD77" t="s">
        <v>421</v>
      </c>
      <c r="DE77">
        <v>2</v>
      </c>
      <c r="DF77">
        <v>1689011647.5999999</v>
      </c>
      <c r="DG77">
        <v>339.98700000000002</v>
      </c>
      <c r="DH77">
        <v>400.11599999999999</v>
      </c>
      <c r="DI77">
        <v>28.093</v>
      </c>
      <c r="DJ77">
        <v>22.419499999999999</v>
      </c>
      <c r="DK77">
        <v>341.44099999999997</v>
      </c>
      <c r="DL77">
        <v>28.0686</v>
      </c>
      <c r="DM77">
        <v>500.17200000000003</v>
      </c>
      <c r="DN77">
        <v>99.1464</v>
      </c>
      <c r="DO77">
        <v>9.9607799999999996E-2</v>
      </c>
      <c r="DP77">
        <v>30.061399999999999</v>
      </c>
      <c r="DQ77">
        <v>30.0259</v>
      </c>
      <c r="DR77">
        <v>999.9</v>
      </c>
      <c r="DS77">
        <v>0</v>
      </c>
      <c r="DT77">
        <v>0</v>
      </c>
      <c r="DU77">
        <v>10016.200000000001</v>
      </c>
      <c r="DV77">
        <v>0</v>
      </c>
      <c r="DW77">
        <v>2009.49</v>
      </c>
      <c r="DX77">
        <v>-60.128900000000002</v>
      </c>
      <c r="DY77">
        <v>349.81400000000002</v>
      </c>
      <c r="DZ77">
        <v>409.29199999999997</v>
      </c>
      <c r="EA77">
        <v>5.6735600000000002</v>
      </c>
      <c r="EB77">
        <v>400.11599999999999</v>
      </c>
      <c r="EC77">
        <v>22.419499999999999</v>
      </c>
      <c r="ED77">
        <v>2.78532</v>
      </c>
      <c r="EE77">
        <v>2.22281</v>
      </c>
      <c r="EF77">
        <v>22.7974</v>
      </c>
      <c r="EG77">
        <v>19.127700000000001</v>
      </c>
      <c r="EH77">
        <v>1800.09</v>
      </c>
      <c r="EI77">
        <v>0.97799400000000003</v>
      </c>
      <c r="EJ77">
        <v>2.2006100000000001E-2</v>
      </c>
      <c r="EK77">
        <v>0</v>
      </c>
      <c r="EL77">
        <v>694.53099999999995</v>
      </c>
      <c r="EM77">
        <v>5.00082</v>
      </c>
      <c r="EN77">
        <v>16310.2</v>
      </c>
      <c r="EO77">
        <v>14130.5</v>
      </c>
      <c r="EP77">
        <v>49.5</v>
      </c>
      <c r="EQ77">
        <v>51.311999999999998</v>
      </c>
      <c r="ER77">
        <v>50.436999999999998</v>
      </c>
      <c r="ES77">
        <v>50.875</v>
      </c>
      <c r="ET77">
        <v>50.75</v>
      </c>
      <c r="EU77">
        <v>1755.59</v>
      </c>
      <c r="EV77">
        <v>39.5</v>
      </c>
      <c r="EW77">
        <v>0</v>
      </c>
      <c r="EX77">
        <v>1508.6000001430509</v>
      </c>
      <c r="EY77">
        <v>0</v>
      </c>
      <c r="EZ77">
        <v>694.17283999999995</v>
      </c>
      <c r="FA77">
        <v>-9.4153836240258137E-2</v>
      </c>
      <c r="FB77">
        <v>335.52307655165248</v>
      </c>
      <c r="FC77">
        <v>16291.864</v>
      </c>
      <c r="FD77">
        <v>15</v>
      </c>
      <c r="FE77">
        <v>1689011612.5999999</v>
      </c>
      <c r="FF77" t="s">
        <v>735</v>
      </c>
      <c r="FG77">
        <v>1689011612.5999999</v>
      </c>
      <c r="FH77">
        <v>1689011600.5999999</v>
      </c>
      <c r="FI77">
        <v>69</v>
      </c>
      <c r="FJ77">
        <v>0.121</v>
      </c>
      <c r="FK77">
        <v>-0.107</v>
      </c>
      <c r="FL77">
        <v>-1.5129999999999999</v>
      </c>
      <c r="FM77">
        <v>2.4E-2</v>
      </c>
      <c r="FN77">
        <v>400</v>
      </c>
      <c r="FO77">
        <v>22</v>
      </c>
      <c r="FP77">
        <v>0.03</v>
      </c>
      <c r="FQ77">
        <v>0.01</v>
      </c>
      <c r="FR77">
        <v>48.53634043876847</v>
      </c>
      <c r="FS77">
        <v>-0.24912315844319649</v>
      </c>
      <c r="FT77">
        <v>4.3536000945873253E-2</v>
      </c>
      <c r="FU77">
        <v>1</v>
      </c>
      <c r="FV77">
        <v>0.33312810176127239</v>
      </c>
      <c r="FW77">
        <v>4.232964774340342E-2</v>
      </c>
      <c r="FX77">
        <v>3.2158509402659E-3</v>
      </c>
      <c r="FY77">
        <v>1</v>
      </c>
      <c r="FZ77">
        <v>2</v>
      </c>
      <c r="GA77">
        <v>2</v>
      </c>
      <c r="GB77" t="s">
        <v>423</v>
      </c>
      <c r="GC77">
        <v>2.9445299999999999</v>
      </c>
      <c r="GD77">
        <v>2.7084100000000002</v>
      </c>
      <c r="GE77">
        <v>7.7363699999999994E-2</v>
      </c>
      <c r="GF77">
        <v>8.7732699999999997E-2</v>
      </c>
      <c r="GG77">
        <v>0.12609899999999999</v>
      </c>
      <c r="GH77">
        <v>0.10778699999999999</v>
      </c>
      <c r="GI77">
        <v>30300</v>
      </c>
      <c r="GJ77">
        <v>29227.4</v>
      </c>
      <c r="GK77">
        <v>33840.5</v>
      </c>
      <c r="GL77">
        <v>32082</v>
      </c>
      <c r="GM77">
        <v>42694.1</v>
      </c>
      <c r="GN77">
        <v>40730.199999999997</v>
      </c>
      <c r="GO77">
        <v>49009.2</v>
      </c>
      <c r="GP77">
        <v>45415.8</v>
      </c>
      <c r="GQ77">
        <v>1.9737199999999999</v>
      </c>
      <c r="GR77">
        <v>1.76017</v>
      </c>
      <c r="GS77">
        <v>3.3527600000000002E-3</v>
      </c>
      <c r="GT77">
        <v>0</v>
      </c>
      <c r="GU77">
        <v>29.971299999999999</v>
      </c>
      <c r="GV77">
        <v>999.9</v>
      </c>
      <c r="GW77">
        <v>31.8</v>
      </c>
      <c r="GX77">
        <v>44.8</v>
      </c>
      <c r="GY77">
        <v>30.5977</v>
      </c>
      <c r="GZ77">
        <v>59.978700000000003</v>
      </c>
      <c r="HA77">
        <v>25.156199999999998</v>
      </c>
      <c r="HB77">
        <v>1</v>
      </c>
      <c r="HC77">
        <v>0.49585600000000002</v>
      </c>
      <c r="HD77">
        <v>3.343</v>
      </c>
      <c r="HE77">
        <v>20.189499999999999</v>
      </c>
      <c r="HF77">
        <v>5.2649100000000004</v>
      </c>
      <c r="HG77">
        <v>12.039899999999999</v>
      </c>
      <c r="HH77">
        <v>4.9650999999999996</v>
      </c>
      <c r="HI77">
        <v>3.3002500000000001</v>
      </c>
      <c r="HJ77">
        <v>9999</v>
      </c>
      <c r="HK77">
        <v>9999</v>
      </c>
      <c r="HL77">
        <v>9999</v>
      </c>
      <c r="HM77">
        <v>999.9</v>
      </c>
      <c r="HN77">
        <v>1.8687199999999999</v>
      </c>
      <c r="HO77">
        <v>1.87239</v>
      </c>
      <c r="HP77">
        <v>1.8721000000000001</v>
      </c>
      <c r="HQ77">
        <v>1.87164</v>
      </c>
      <c r="HR77">
        <v>1.8648899999999999</v>
      </c>
      <c r="HS77">
        <v>1.8660600000000001</v>
      </c>
      <c r="HT77">
        <v>1.86802</v>
      </c>
      <c r="HU77">
        <v>1.87259</v>
      </c>
      <c r="HV77">
        <v>0</v>
      </c>
      <c r="HW77">
        <v>0</v>
      </c>
      <c r="HX77">
        <v>0</v>
      </c>
      <c r="HY77">
        <v>0</v>
      </c>
      <c r="HZ77" t="s">
        <v>424</v>
      </c>
      <c r="IA77" t="s">
        <v>425</v>
      </c>
      <c r="IB77" t="s">
        <v>426</v>
      </c>
      <c r="IC77" t="s">
        <v>426</v>
      </c>
      <c r="ID77" t="s">
        <v>426</v>
      </c>
      <c r="IE77" t="s">
        <v>426</v>
      </c>
      <c r="IF77">
        <v>0</v>
      </c>
      <c r="IG77">
        <v>100</v>
      </c>
      <c r="IH77">
        <v>100</v>
      </c>
      <c r="II77">
        <v>-1.454</v>
      </c>
      <c r="IJ77">
        <v>2.4400000000000002E-2</v>
      </c>
      <c r="IK77">
        <v>-1.085745606587891</v>
      </c>
      <c r="IL77">
        <v>-1.171017271736434E-3</v>
      </c>
      <c r="IM77">
        <v>2.801297040296544E-7</v>
      </c>
      <c r="IN77">
        <v>-3.6238253961199429E-11</v>
      </c>
      <c r="IO77">
        <v>2.4379999999997182E-2</v>
      </c>
      <c r="IP77">
        <v>0</v>
      </c>
      <c r="IQ77">
        <v>0</v>
      </c>
      <c r="IR77">
        <v>0</v>
      </c>
      <c r="IS77">
        <v>0</v>
      </c>
      <c r="IT77">
        <v>2161</v>
      </c>
      <c r="IU77">
        <v>1</v>
      </c>
      <c r="IV77">
        <v>19</v>
      </c>
      <c r="IW77">
        <v>0.6</v>
      </c>
      <c r="IX77">
        <v>0.8</v>
      </c>
      <c r="IY77">
        <v>1.02905</v>
      </c>
      <c r="IZ77">
        <v>2.4939</v>
      </c>
      <c r="JA77">
        <v>1.4440900000000001</v>
      </c>
      <c r="JB77">
        <v>2.2827099999999998</v>
      </c>
      <c r="JC77">
        <v>1.54419</v>
      </c>
      <c r="JD77">
        <v>2.4536099999999998</v>
      </c>
      <c r="JE77">
        <v>49.1066</v>
      </c>
      <c r="JF77">
        <v>24.017499999999998</v>
      </c>
      <c r="JG77">
        <v>18</v>
      </c>
      <c r="JH77">
        <v>510.37700000000001</v>
      </c>
      <c r="JI77">
        <v>411.42</v>
      </c>
      <c r="JJ77">
        <v>25.630199999999999</v>
      </c>
      <c r="JK77">
        <v>33.392899999999997</v>
      </c>
      <c r="JL77">
        <v>30.000399999999999</v>
      </c>
      <c r="JM77">
        <v>33.167900000000003</v>
      </c>
      <c r="JN77">
        <v>33.113300000000002</v>
      </c>
      <c r="JO77">
        <v>20.734300000000001</v>
      </c>
      <c r="JP77">
        <v>31.056699999999999</v>
      </c>
      <c r="JQ77">
        <v>0</v>
      </c>
      <c r="JR77">
        <v>25.619900000000001</v>
      </c>
      <c r="JS77">
        <v>400</v>
      </c>
      <c r="JT77">
        <v>22.32</v>
      </c>
      <c r="JU77">
        <v>99.3292</v>
      </c>
      <c r="JV77">
        <v>98.905199999999994</v>
      </c>
    </row>
    <row r="78" spans="1:282" x14ac:dyDescent="0.25">
      <c r="A78">
        <v>62</v>
      </c>
      <c r="B78">
        <v>1689011759.0999999</v>
      </c>
      <c r="C78">
        <v>12582.099999904631</v>
      </c>
      <c r="D78" t="s">
        <v>736</v>
      </c>
      <c r="E78" t="s">
        <v>737</v>
      </c>
      <c r="F78" t="s">
        <v>414</v>
      </c>
      <c r="G78" t="s">
        <v>415</v>
      </c>
      <c r="H78" t="s">
        <v>732</v>
      </c>
      <c r="I78" t="s">
        <v>416</v>
      </c>
      <c r="J78" t="s">
        <v>579</v>
      </c>
      <c r="K78">
        <v>1689011759.0999999</v>
      </c>
      <c r="L78">
        <f t="shared" si="46"/>
        <v>5.1750826717579176E-3</v>
      </c>
      <c r="M78">
        <f t="shared" si="47"/>
        <v>5.1750826717579175</v>
      </c>
      <c r="N78">
        <f t="shared" si="48"/>
        <v>39.468341774712883</v>
      </c>
      <c r="O78">
        <f t="shared" si="49"/>
        <v>251.238</v>
      </c>
      <c r="P78">
        <f t="shared" si="50"/>
        <v>64.85321654616817</v>
      </c>
      <c r="Q78">
        <f t="shared" si="51"/>
        <v>6.4363154512401382</v>
      </c>
      <c r="R78">
        <f t="shared" si="52"/>
        <v>24.933952507775999</v>
      </c>
      <c r="S78">
        <f t="shared" si="53"/>
        <v>0.36641081841559542</v>
      </c>
      <c r="T78">
        <f t="shared" si="54"/>
        <v>2.915909849097738</v>
      </c>
      <c r="U78">
        <f t="shared" si="55"/>
        <v>0.34261888611765295</v>
      </c>
      <c r="V78">
        <f t="shared" si="56"/>
        <v>0.21614554641695524</v>
      </c>
      <c r="W78">
        <f t="shared" si="57"/>
        <v>289.59098895820892</v>
      </c>
      <c r="X78">
        <f t="shared" si="58"/>
        <v>30.390620440196876</v>
      </c>
      <c r="Y78">
        <f t="shared" si="59"/>
        <v>29.9514</v>
      </c>
      <c r="Z78">
        <f t="shared" si="60"/>
        <v>4.2485709959588007</v>
      </c>
      <c r="AA78">
        <f t="shared" si="61"/>
        <v>65.680904770133637</v>
      </c>
      <c r="AB78">
        <f t="shared" si="62"/>
        <v>2.8027895181375997</v>
      </c>
      <c r="AC78">
        <f t="shared" si="63"/>
        <v>4.2672821392254656</v>
      </c>
      <c r="AD78">
        <f t="shared" si="64"/>
        <v>1.445781477821201</v>
      </c>
      <c r="AE78">
        <f t="shared" si="65"/>
        <v>-228.22114582452417</v>
      </c>
      <c r="AF78">
        <f t="shared" si="66"/>
        <v>12.025993681518528</v>
      </c>
      <c r="AG78">
        <f t="shared" si="67"/>
        <v>0.91694117186518243</v>
      </c>
      <c r="AH78">
        <f t="shared" si="68"/>
        <v>74.312777987068458</v>
      </c>
      <c r="AI78">
        <v>0</v>
      </c>
      <c r="AJ78">
        <v>0</v>
      </c>
      <c r="AK78">
        <f t="shared" si="69"/>
        <v>1</v>
      </c>
      <c r="AL78">
        <f t="shared" si="70"/>
        <v>0</v>
      </c>
      <c r="AM78">
        <f t="shared" si="71"/>
        <v>51941.130278929675</v>
      </c>
      <c r="AN78" t="s">
        <v>418</v>
      </c>
      <c r="AO78">
        <v>10076.700000000001</v>
      </c>
      <c r="AP78">
        <v>185.01599999999999</v>
      </c>
      <c r="AQ78">
        <v>473.06</v>
      </c>
      <c r="AR78">
        <f t="shared" si="72"/>
        <v>0.60889527755464423</v>
      </c>
      <c r="AS78">
        <v>-1.4827006201179751</v>
      </c>
      <c r="AT78" t="s">
        <v>738</v>
      </c>
      <c r="AU78">
        <v>8076.91</v>
      </c>
      <c r="AV78">
        <v>664.02815384615383</v>
      </c>
      <c r="AW78">
        <v>974.81320808777957</v>
      </c>
      <c r="AX78">
        <f t="shared" si="73"/>
        <v>0.31881498082209025</v>
      </c>
      <c r="AY78">
        <v>0.5</v>
      </c>
      <c r="AZ78">
        <f t="shared" si="74"/>
        <v>1513.3109994602119</v>
      </c>
      <c r="BA78">
        <f t="shared" si="75"/>
        <v>39.468341774712883</v>
      </c>
      <c r="BB78">
        <f t="shared" si="76"/>
        <v>241.23310863538285</v>
      </c>
      <c r="BC78">
        <f t="shared" si="77"/>
        <v>2.7060559534317682E-2</v>
      </c>
      <c r="BD78">
        <f t="shared" si="78"/>
        <v>-0.51471728524486504</v>
      </c>
      <c r="BE78">
        <f t="shared" si="79"/>
        <v>231.64885039717115</v>
      </c>
      <c r="BF78" t="s">
        <v>739</v>
      </c>
      <c r="BG78">
        <v>528.33000000000004</v>
      </c>
      <c r="BH78">
        <f t="shared" si="80"/>
        <v>528.33000000000004</v>
      </c>
      <c r="BI78">
        <f t="shared" si="81"/>
        <v>0.45801924346471801</v>
      </c>
      <c r="BJ78">
        <f t="shared" si="82"/>
        <v>0.69607333178927699</v>
      </c>
      <c r="BK78">
        <f t="shared" si="83"/>
        <v>9.0782197953280122</v>
      </c>
      <c r="BL78">
        <f t="shared" si="84"/>
        <v>0.39349981369785303</v>
      </c>
      <c r="BM78">
        <f t="shared" si="85"/>
        <v>-1.7419325106156685</v>
      </c>
      <c r="BN78">
        <f t="shared" si="86"/>
        <v>0.55382655276606363</v>
      </c>
      <c r="BO78">
        <f t="shared" si="87"/>
        <v>0.44617344723393637</v>
      </c>
      <c r="BP78">
        <v>9177</v>
      </c>
      <c r="BQ78">
        <v>290.00000000000011</v>
      </c>
      <c r="BR78">
        <v>869.42</v>
      </c>
      <c r="BS78">
        <v>285</v>
      </c>
      <c r="BT78">
        <v>8076.91</v>
      </c>
      <c r="BU78">
        <v>872.83</v>
      </c>
      <c r="BV78">
        <v>-3.41</v>
      </c>
      <c r="BW78">
        <v>300.00000000000011</v>
      </c>
      <c r="BX78">
        <v>19.2</v>
      </c>
      <c r="BY78">
        <v>974.81320808777957</v>
      </c>
      <c r="BZ78">
        <v>3.3609508724575168</v>
      </c>
      <c r="CA78">
        <v>-82.370994509528003</v>
      </c>
      <c r="CB78">
        <v>2.4943354323725888</v>
      </c>
      <c r="CC78">
        <v>0.97496721685471799</v>
      </c>
      <c r="CD78">
        <v>-4.1616783092324854E-3</v>
      </c>
      <c r="CE78">
        <v>289.99999999999989</v>
      </c>
      <c r="CF78">
        <v>867.69</v>
      </c>
      <c r="CG78">
        <v>645</v>
      </c>
      <c r="CH78">
        <v>8069.69</v>
      </c>
      <c r="CI78">
        <v>872.74</v>
      </c>
      <c r="CJ78">
        <v>-5.05</v>
      </c>
      <c r="CX78">
        <f t="shared" si="88"/>
        <v>1800.15</v>
      </c>
      <c r="CY78">
        <f t="shared" si="89"/>
        <v>1513.3109994602119</v>
      </c>
      <c r="CZ78">
        <f t="shared" si="90"/>
        <v>0.84065827817693628</v>
      </c>
      <c r="DA78">
        <f t="shared" si="91"/>
        <v>0.16087047688148706</v>
      </c>
      <c r="DB78">
        <v>6</v>
      </c>
      <c r="DC78">
        <v>0.5</v>
      </c>
      <c r="DD78" t="s">
        <v>421</v>
      </c>
      <c r="DE78">
        <v>2</v>
      </c>
      <c r="DF78">
        <v>1689011759.0999999</v>
      </c>
      <c r="DG78">
        <v>251.238</v>
      </c>
      <c r="DH78">
        <v>300.13900000000001</v>
      </c>
      <c r="DI78">
        <v>28.241299999999999</v>
      </c>
      <c r="DJ78">
        <v>22.209199999999999</v>
      </c>
      <c r="DK78">
        <v>252.38499999999999</v>
      </c>
      <c r="DL78">
        <v>28.2151</v>
      </c>
      <c r="DM78">
        <v>500.21699999999998</v>
      </c>
      <c r="DN78">
        <v>99.144199999999998</v>
      </c>
      <c r="DO78">
        <v>0.100152</v>
      </c>
      <c r="DP78">
        <v>30.027899999999999</v>
      </c>
      <c r="DQ78">
        <v>29.9514</v>
      </c>
      <c r="DR78">
        <v>999.9</v>
      </c>
      <c r="DS78">
        <v>0</v>
      </c>
      <c r="DT78">
        <v>0</v>
      </c>
      <c r="DU78">
        <v>10008.1</v>
      </c>
      <c r="DV78">
        <v>0</v>
      </c>
      <c r="DW78">
        <v>1951.26</v>
      </c>
      <c r="DX78">
        <v>-48.901400000000002</v>
      </c>
      <c r="DY78">
        <v>258.53899999999999</v>
      </c>
      <c r="DZ78">
        <v>306.95600000000002</v>
      </c>
      <c r="EA78">
        <v>6.0320999999999998</v>
      </c>
      <c r="EB78">
        <v>300.13900000000001</v>
      </c>
      <c r="EC78">
        <v>22.209199999999999</v>
      </c>
      <c r="ED78">
        <v>2.79996</v>
      </c>
      <c r="EE78">
        <v>2.2019199999999999</v>
      </c>
      <c r="EF78">
        <v>22.883900000000001</v>
      </c>
      <c r="EG78">
        <v>18.976299999999998</v>
      </c>
      <c r="EH78">
        <v>1800.15</v>
      </c>
      <c r="EI78">
        <v>0.97799700000000001</v>
      </c>
      <c r="EJ78">
        <v>2.2002500000000001E-2</v>
      </c>
      <c r="EK78">
        <v>0</v>
      </c>
      <c r="EL78">
        <v>663.70100000000002</v>
      </c>
      <c r="EM78">
        <v>5.00082</v>
      </c>
      <c r="EN78">
        <v>15614.5</v>
      </c>
      <c r="EO78">
        <v>14130.9</v>
      </c>
      <c r="EP78">
        <v>49.686999999999998</v>
      </c>
      <c r="EQ78">
        <v>51.5</v>
      </c>
      <c r="ER78">
        <v>50.686999999999998</v>
      </c>
      <c r="ES78">
        <v>51.061999999999998</v>
      </c>
      <c r="ET78">
        <v>50.936999999999998</v>
      </c>
      <c r="EU78">
        <v>1755.65</v>
      </c>
      <c r="EV78">
        <v>39.5</v>
      </c>
      <c r="EW78">
        <v>0</v>
      </c>
      <c r="EX78">
        <v>109.3999998569489</v>
      </c>
      <c r="EY78">
        <v>0</v>
      </c>
      <c r="EZ78">
        <v>664.02815384615383</v>
      </c>
      <c r="FA78">
        <v>-2.13073504492501</v>
      </c>
      <c r="FB78">
        <v>-18.882051427240722</v>
      </c>
      <c r="FC78">
        <v>15610.811538461539</v>
      </c>
      <c r="FD78">
        <v>15</v>
      </c>
      <c r="FE78">
        <v>1689011723.0999999</v>
      </c>
      <c r="FF78" t="s">
        <v>740</v>
      </c>
      <c r="FG78">
        <v>1689011719.0999999</v>
      </c>
      <c r="FH78">
        <v>1689011723.0999999</v>
      </c>
      <c r="FI78">
        <v>70</v>
      </c>
      <c r="FJ78">
        <v>0.217</v>
      </c>
      <c r="FK78">
        <v>2E-3</v>
      </c>
      <c r="FL78">
        <v>-1.1970000000000001</v>
      </c>
      <c r="FM78">
        <v>2.5999999999999999E-2</v>
      </c>
      <c r="FN78">
        <v>300</v>
      </c>
      <c r="FO78">
        <v>22</v>
      </c>
      <c r="FP78">
        <v>0.05</v>
      </c>
      <c r="FQ78">
        <v>0.01</v>
      </c>
      <c r="FR78">
        <v>39.221727541143281</v>
      </c>
      <c r="FS78">
        <v>0.54933301265198931</v>
      </c>
      <c r="FT78">
        <v>6.3980575151167812E-2</v>
      </c>
      <c r="FU78">
        <v>1</v>
      </c>
      <c r="FV78">
        <v>0.36140975807780212</v>
      </c>
      <c r="FW78">
        <v>4.0692907838433032E-2</v>
      </c>
      <c r="FX78">
        <v>3.579692169683373E-3</v>
      </c>
      <c r="FY78">
        <v>1</v>
      </c>
      <c r="FZ78">
        <v>2</v>
      </c>
      <c r="GA78">
        <v>2</v>
      </c>
      <c r="GB78" t="s">
        <v>423</v>
      </c>
      <c r="GC78">
        <v>2.9446099999999999</v>
      </c>
      <c r="GD78">
        <v>2.7088800000000002</v>
      </c>
      <c r="GE78">
        <v>6.0347699999999997E-2</v>
      </c>
      <c r="GF78">
        <v>6.9866899999999996E-2</v>
      </c>
      <c r="GG78">
        <v>0.126528</v>
      </c>
      <c r="GH78">
        <v>0.107055</v>
      </c>
      <c r="GI78">
        <v>30852.6</v>
      </c>
      <c r="GJ78">
        <v>29795.5</v>
      </c>
      <c r="GK78">
        <v>33834.5</v>
      </c>
      <c r="GL78">
        <v>32078</v>
      </c>
      <c r="GM78">
        <v>42666.6</v>
      </c>
      <c r="GN78">
        <v>40757.800000000003</v>
      </c>
      <c r="GO78">
        <v>49001.9</v>
      </c>
      <c r="GP78">
        <v>45409.599999999999</v>
      </c>
      <c r="GQ78">
        <v>1.9728699999999999</v>
      </c>
      <c r="GR78">
        <v>1.7581</v>
      </c>
      <c r="GS78">
        <v>-1.3634599999999999E-3</v>
      </c>
      <c r="GT78">
        <v>0</v>
      </c>
      <c r="GU78">
        <v>29.973600000000001</v>
      </c>
      <c r="GV78">
        <v>999.9</v>
      </c>
      <c r="GW78">
        <v>31.7</v>
      </c>
      <c r="GX78">
        <v>44.9</v>
      </c>
      <c r="GY78">
        <v>30.6616</v>
      </c>
      <c r="GZ78">
        <v>60.148699999999998</v>
      </c>
      <c r="HA78">
        <v>25.260400000000001</v>
      </c>
      <c r="HB78">
        <v>1</v>
      </c>
      <c r="HC78">
        <v>0.50077000000000005</v>
      </c>
      <c r="HD78">
        <v>2.9595500000000001</v>
      </c>
      <c r="HE78">
        <v>20.196899999999999</v>
      </c>
      <c r="HF78">
        <v>5.2650600000000001</v>
      </c>
      <c r="HG78">
        <v>12.039899999999999</v>
      </c>
      <c r="HH78">
        <v>4.9653499999999999</v>
      </c>
      <c r="HI78">
        <v>3.30063</v>
      </c>
      <c r="HJ78">
        <v>9999</v>
      </c>
      <c r="HK78">
        <v>9999</v>
      </c>
      <c r="HL78">
        <v>9999</v>
      </c>
      <c r="HM78">
        <v>999.9</v>
      </c>
      <c r="HN78">
        <v>1.86873</v>
      </c>
      <c r="HO78">
        <v>1.8724099999999999</v>
      </c>
      <c r="HP78">
        <v>1.8721000000000001</v>
      </c>
      <c r="HQ78">
        <v>1.87164</v>
      </c>
      <c r="HR78">
        <v>1.8649</v>
      </c>
      <c r="HS78">
        <v>1.8660399999999999</v>
      </c>
      <c r="HT78">
        <v>1.86805</v>
      </c>
      <c r="HU78">
        <v>1.87259</v>
      </c>
      <c r="HV78">
        <v>0</v>
      </c>
      <c r="HW78">
        <v>0</v>
      </c>
      <c r="HX78">
        <v>0</v>
      </c>
      <c r="HY78">
        <v>0</v>
      </c>
      <c r="HZ78" t="s">
        <v>424</v>
      </c>
      <c r="IA78" t="s">
        <v>425</v>
      </c>
      <c r="IB78" t="s">
        <v>426</v>
      </c>
      <c r="IC78" t="s">
        <v>426</v>
      </c>
      <c r="ID78" t="s">
        <v>426</v>
      </c>
      <c r="IE78" t="s">
        <v>426</v>
      </c>
      <c r="IF78">
        <v>0</v>
      </c>
      <c r="IG78">
        <v>100</v>
      </c>
      <c r="IH78">
        <v>100</v>
      </c>
      <c r="II78">
        <v>-1.147</v>
      </c>
      <c r="IJ78">
        <v>2.6200000000000001E-2</v>
      </c>
      <c r="IK78">
        <v>-0.86883293434335751</v>
      </c>
      <c r="IL78">
        <v>-1.171017271736434E-3</v>
      </c>
      <c r="IM78">
        <v>2.801297040296544E-7</v>
      </c>
      <c r="IN78">
        <v>-3.6238253961199429E-11</v>
      </c>
      <c r="IO78">
        <v>2.6195000000001301E-2</v>
      </c>
      <c r="IP78">
        <v>0</v>
      </c>
      <c r="IQ78">
        <v>0</v>
      </c>
      <c r="IR78">
        <v>0</v>
      </c>
      <c r="IS78">
        <v>0</v>
      </c>
      <c r="IT78">
        <v>2161</v>
      </c>
      <c r="IU78">
        <v>1</v>
      </c>
      <c r="IV78">
        <v>19</v>
      </c>
      <c r="IW78">
        <v>0.7</v>
      </c>
      <c r="IX78">
        <v>0.6</v>
      </c>
      <c r="IY78">
        <v>0.81664999999999999</v>
      </c>
      <c r="IZ78">
        <v>2.50854</v>
      </c>
      <c r="JA78">
        <v>1.4440900000000001</v>
      </c>
      <c r="JB78">
        <v>2.2827099999999998</v>
      </c>
      <c r="JC78">
        <v>1.54419</v>
      </c>
      <c r="JD78">
        <v>2.3950200000000001</v>
      </c>
      <c r="JE78">
        <v>49.294899999999998</v>
      </c>
      <c r="JF78">
        <v>24.008700000000001</v>
      </c>
      <c r="JG78">
        <v>18</v>
      </c>
      <c r="JH78">
        <v>510.40899999999999</v>
      </c>
      <c r="JI78">
        <v>410.63099999999997</v>
      </c>
      <c r="JJ78">
        <v>25.6999</v>
      </c>
      <c r="JK78">
        <v>33.4666</v>
      </c>
      <c r="JL78">
        <v>30</v>
      </c>
      <c r="JM78">
        <v>33.241900000000001</v>
      </c>
      <c r="JN78">
        <v>33.184399999999997</v>
      </c>
      <c r="JO78">
        <v>16.474299999999999</v>
      </c>
      <c r="JP78">
        <v>32.054299999999998</v>
      </c>
      <c r="JQ78">
        <v>0</v>
      </c>
      <c r="JR78">
        <v>25.714600000000001</v>
      </c>
      <c r="JS78">
        <v>300</v>
      </c>
      <c r="JT78">
        <v>22.060400000000001</v>
      </c>
      <c r="JU78">
        <v>99.313299999999998</v>
      </c>
      <c r="JV78">
        <v>98.892300000000006</v>
      </c>
    </row>
    <row r="79" spans="1:282" x14ac:dyDescent="0.25">
      <c r="A79">
        <v>63</v>
      </c>
      <c r="B79">
        <v>1689011886.5999999</v>
      </c>
      <c r="C79">
        <v>12709.599999904631</v>
      </c>
      <c r="D79" t="s">
        <v>741</v>
      </c>
      <c r="E79" t="s">
        <v>742</v>
      </c>
      <c r="F79" t="s">
        <v>414</v>
      </c>
      <c r="G79" t="s">
        <v>415</v>
      </c>
      <c r="H79" t="s">
        <v>732</v>
      </c>
      <c r="I79" t="s">
        <v>416</v>
      </c>
      <c r="J79" t="s">
        <v>579</v>
      </c>
      <c r="K79">
        <v>1689011886.5999999</v>
      </c>
      <c r="L79">
        <f t="shared" si="46"/>
        <v>5.6592994772697979E-3</v>
      </c>
      <c r="M79">
        <f t="shared" si="47"/>
        <v>5.6592994772697978</v>
      </c>
      <c r="N79">
        <f t="shared" si="48"/>
        <v>28.336815364888043</v>
      </c>
      <c r="O79">
        <f t="shared" si="49"/>
        <v>164.75299999999999</v>
      </c>
      <c r="P79">
        <f t="shared" si="50"/>
        <v>42.928746218619501</v>
      </c>
      <c r="Q79">
        <f t="shared" si="51"/>
        <v>4.2603172031572711</v>
      </c>
      <c r="R79">
        <f t="shared" si="52"/>
        <v>16.350350336281998</v>
      </c>
      <c r="S79">
        <f t="shared" si="53"/>
        <v>0.40487788071575431</v>
      </c>
      <c r="T79">
        <f t="shared" si="54"/>
        <v>2.912695689787292</v>
      </c>
      <c r="U79">
        <f t="shared" si="55"/>
        <v>0.37600959270275319</v>
      </c>
      <c r="V79">
        <f t="shared" si="56"/>
        <v>0.23742794284380497</v>
      </c>
      <c r="W79">
        <f t="shared" si="57"/>
        <v>289.56488666112631</v>
      </c>
      <c r="X79">
        <f t="shared" si="58"/>
        <v>30.485561225528244</v>
      </c>
      <c r="Y79">
        <f t="shared" si="59"/>
        <v>29.999700000000001</v>
      </c>
      <c r="Z79">
        <f t="shared" si="60"/>
        <v>4.2603763579502454</v>
      </c>
      <c r="AA79">
        <f t="shared" si="61"/>
        <v>65.250642958454037</v>
      </c>
      <c r="AB79">
        <f t="shared" si="62"/>
        <v>2.8199796659881993</v>
      </c>
      <c r="AC79">
        <f t="shared" si="63"/>
        <v>4.3217653315442712</v>
      </c>
      <c r="AD79">
        <f t="shared" si="64"/>
        <v>1.4403966919620461</v>
      </c>
      <c r="AE79">
        <f t="shared" si="65"/>
        <v>-249.5751069475981</v>
      </c>
      <c r="AF79">
        <f t="shared" si="66"/>
        <v>39.147392031933357</v>
      </c>
      <c r="AG79">
        <f t="shared" si="67"/>
        <v>2.9921370178669893</v>
      </c>
      <c r="AH79">
        <f t="shared" si="68"/>
        <v>82.129308763328538</v>
      </c>
      <c r="AI79">
        <v>0</v>
      </c>
      <c r="AJ79">
        <v>0</v>
      </c>
      <c r="AK79">
        <f t="shared" si="69"/>
        <v>1</v>
      </c>
      <c r="AL79">
        <f t="shared" si="70"/>
        <v>0</v>
      </c>
      <c r="AM79">
        <f t="shared" si="71"/>
        <v>51811.811094769444</v>
      </c>
      <c r="AN79" t="s">
        <v>418</v>
      </c>
      <c r="AO79">
        <v>10076.700000000001</v>
      </c>
      <c r="AP79">
        <v>185.01599999999999</v>
      </c>
      <c r="AQ79">
        <v>473.06</v>
      </c>
      <c r="AR79">
        <f t="shared" si="72"/>
        <v>0.60889527755464423</v>
      </c>
      <c r="AS79">
        <v>-1.4827006201179751</v>
      </c>
      <c r="AT79" t="s">
        <v>743</v>
      </c>
      <c r="AU79">
        <v>8075.63</v>
      </c>
      <c r="AV79">
        <v>644.95904000000007</v>
      </c>
      <c r="AW79">
        <v>860.88942657671726</v>
      </c>
      <c r="AX79">
        <f t="shared" si="73"/>
        <v>0.25082244003780285</v>
      </c>
      <c r="AY79">
        <v>0.5</v>
      </c>
      <c r="AZ79">
        <f t="shared" si="74"/>
        <v>1513.1763060420344</v>
      </c>
      <c r="BA79">
        <f t="shared" si="75"/>
        <v>28.336815364888043</v>
      </c>
      <c r="BB79">
        <f t="shared" si="76"/>
        <v>189.7692866444261</v>
      </c>
      <c r="BC79">
        <f t="shared" si="77"/>
        <v>1.9706570784870366E-2</v>
      </c>
      <c r="BD79">
        <f t="shared" si="78"/>
        <v>-0.4504985362857819</v>
      </c>
      <c r="BE79">
        <f t="shared" si="79"/>
        <v>224.5863399975328</v>
      </c>
      <c r="BF79" t="s">
        <v>744</v>
      </c>
      <c r="BG79">
        <v>518.04</v>
      </c>
      <c r="BH79">
        <f t="shared" si="80"/>
        <v>518.04</v>
      </c>
      <c r="BI79">
        <f t="shared" si="81"/>
        <v>0.39825024677099419</v>
      </c>
      <c r="BJ79">
        <f t="shared" si="82"/>
        <v>0.62981113526348509</v>
      </c>
      <c r="BK79">
        <f t="shared" si="83"/>
        <v>8.6222638189577054</v>
      </c>
      <c r="BL79">
        <f t="shared" si="84"/>
        <v>0.31948346848077669</v>
      </c>
      <c r="BM79">
        <f t="shared" si="85"/>
        <v>-1.3464242496865662</v>
      </c>
      <c r="BN79">
        <f t="shared" si="86"/>
        <v>0.50587299390655216</v>
      </c>
      <c r="BO79">
        <f t="shared" si="87"/>
        <v>0.49412700609344784</v>
      </c>
      <c r="BP79">
        <v>9179</v>
      </c>
      <c r="BQ79">
        <v>290.00000000000011</v>
      </c>
      <c r="BR79">
        <v>794.74</v>
      </c>
      <c r="BS79">
        <v>295</v>
      </c>
      <c r="BT79">
        <v>8075.63</v>
      </c>
      <c r="BU79">
        <v>797.21</v>
      </c>
      <c r="BV79">
        <v>-2.4700000000000002</v>
      </c>
      <c r="BW79">
        <v>300.00000000000011</v>
      </c>
      <c r="BX79">
        <v>19.2</v>
      </c>
      <c r="BY79">
        <v>860.88942657671726</v>
      </c>
      <c r="BZ79">
        <v>3.1355482515108801</v>
      </c>
      <c r="CA79">
        <v>-51.424469578816868</v>
      </c>
      <c r="CB79">
        <v>2.3266814451839801</v>
      </c>
      <c r="CC79">
        <v>0.94578910829639462</v>
      </c>
      <c r="CD79">
        <v>-4.1609797552836511E-3</v>
      </c>
      <c r="CE79">
        <v>289.99999999999989</v>
      </c>
      <c r="CF79">
        <v>794.2</v>
      </c>
      <c r="CG79">
        <v>705</v>
      </c>
      <c r="CH79">
        <v>8066.84</v>
      </c>
      <c r="CI79">
        <v>797.14</v>
      </c>
      <c r="CJ79">
        <v>-2.94</v>
      </c>
      <c r="CX79">
        <f t="shared" si="88"/>
        <v>1799.99</v>
      </c>
      <c r="CY79">
        <f t="shared" si="89"/>
        <v>1513.1763060420344</v>
      </c>
      <c r="CZ79">
        <f t="shared" si="90"/>
        <v>0.84065817367987283</v>
      </c>
      <c r="DA79">
        <f t="shared" si="91"/>
        <v>0.16087027520215463</v>
      </c>
      <c r="DB79">
        <v>6</v>
      </c>
      <c r="DC79">
        <v>0.5</v>
      </c>
      <c r="DD79" t="s">
        <v>421</v>
      </c>
      <c r="DE79">
        <v>2</v>
      </c>
      <c r="DF79">
        <v>1689011886.5999999</v>
      </c>
      <c r="DG79">
        <v>164.75299999999999</v>
      </c>
      <c r="DH79">
        <v>199.86600000000001</v>
      </c>
      <c r="DI79">
        <v>28.415299999999998</v>
      </c>
      <c r="DJ79">
        <v>21.818999999999999</v>
      </c>
      <c r="DK79">
        <v>165.89599999999999</v>
      </c>
      <c r="DL79">
        <v>28.398700000000002</v>
      </c>
      <c r="DM79">
        <v>500.14299999999997</v>
      </c>
      <c r="DN79">
        <v>99.141499999999994</v>
      </c>
      <c r="DO79">
        <v>0.100094</v>
      </c>
      <c r="DP79">
        <v>30.248999999999999</v>
      </c>
      <c r="DQ79">
        <v>29.999700000000001</v>
      </c>
      <c r="DR79">
        <v>999.9</v>
      </c>
      <c r="DS79">
        <v>0</v>
      </c>
      <c r="DT79">
        <v>0</v>
      </c>
      <c r="DU79">
        <v>9990</v>
      </c>
      <c r="DV79">
        <v>0</v>
      </c>
      <c r="DW79">
        <v>2041.9</v>
      </c>
      <c r="DX79">
        <v>-35.112699999999997</v>
      </c>
      <c r="DY79">
        <v>169.571</v>
      </c>
      <c r="DZ79">
        <v>204.32400000000001</v>
      </c>
      <c r="EA79">
        <v>6.5963900000000004</v>
      </c>
      <c r="EB79">
        <v>199.86600000000001</v>
      </c>
      <c r="EC79">
        <v>21.818999999999999</v>
      </c>
      <c r="ED79">
        <v>2.8171400000000002</v>
      </c>
      <c r="EE79">
        <v>2.16317</v>
      </c>
      <c r="EF79">
        <v>22.9849</v>
      </c>
      <c r="EG79">
        <v>18.6921</v>
      </c>
      <c r="EH79">
        <v>1799.99</v>
      </c>
      <c r="EI79">
        <v>0.97799700000000001</v>
      </c>
      <c r="EJ79">
        <v>2.2002500000000001E-2</v>
      </c>
      <c r="EK79">
        <v>0</v>
      </c>
      <c r="EL79">
        <v>645.04399999999998</v>
      </c>
      <c r="EM79">
        <v>5.00082</v>
      </c>
      <c r="EN79">
        <v>15335.9</v>
      </c>
      <c r="EO79">
        <v>14129.7</v>
      </c>
      <c r="EP79">
        <v>49.875</v>
      </c>
      <c r="EQ79">
        <v>51.686999999999998</v>
      </c>
      <c r="ER79">
        <v>50.875</v>
      </c>
      <c r="ES79">
        <v>51.25</v>
      </c>
      <c r="ET79">
        <v>51.061999999999998</v>
      </c>
      <c r="EU79">
        <v>1755.49</v>
      </c>
      <c r="EV79">
        <v>39.49</v>
      </c>
      <c r="EW79">
        <v>0</v>
      </c>
      <c r="EX79">
        <v>125.5999999046326</v>
      </c>
      <c r="EY79">
        <v>0</v>
      </c>
      <c r="EZ79">
        <v>644.95904000000007</v>
      </c>
      <c r="FA79">
        <v>-4.2187692230914697</v>
      </c>
      <c r="FB79">
        <v>129.7615380031348</v>
      </c>
      <c r="FC79">
        <v>15318.212</v>
      </c>
      <c r="FD79">
        <v>15</v>
      </c>
      <c r="FE79">
        <v>1689011841.5999999</v>
      </c>
      <c r="FF79" t="s">
        <v>745</v>
      </c>
      <c r="FG79">
        <v>1689011833.5999999</v>
      </c>
      <c r="FH79">
        <v>1689011841.5999999</v>
      </c>
      <c r="FI79">
        <v>71</v>
      </c>
      <c r="FJ79">
        <v>-8.6999999999999994E-2</v>
      </c>
      <c r="FK79">
        <v>-0.01</v>
      </c>
      <c r="FL79">
        <v>-1.181</v>
      </c>
      <c r="FM79">
        <v>1.7000000000000001E-2</v>
      </c>
      <c r="FN79">
        <v>200</v>
      </c>
      <c r="FO79">
        <v>22</v>
      </c>
      <c r="FP79">
        <v>0.1</v>
      </c>
      <c r="FQ79">
        <v>0.01</v>
      </c>
      <c r="FR79">
        <v>28.233158659054169</v>
      </c>
      <c r="FS79">
        <v>-0.42768059833912853</v>
      </c>
      <c r="FT79">
        <v>6.2531273345221808E-2</v>
      </c>
      <c r="FU79">
        <v>1</v>
      </c>
      <c r="FV79">
        <v>0.40722951118431189</v>
      </c>
      <c r="FW79">
        <v>-1.465723968835877E-2</v>
      </c>
      <c r="FX79">
        <v>1.6347823306085861E-3</v>
      </c>
      <c r="FY79">
        <v>1</v>
      </c>
      <c r="FZ79">
        <v>2</v>
      </c>
      <c r="GA79">
        <v>2</v>
      </c>
      <c r="GB79" t="s">
        <v>423</v>
      </c>
      <c r="GC79">
        <v>2.94441</v>
      </c>
      <c r="GD79">
        <v>2.7086700000000001</v>
      </c>
      <c r="GE79">
        <v>4.16891E-2</v>
      </c>
      <c r="GF79">
        <v>4.9412999999999999E-2</v>
      </c>
      <c r="GG79">
        <v>0.127077</v>
      </c>
      <c r="GH79">
        <v>0.105712</v>
      </c>
      <c r="GI79">
        <v>31462.3</v>
      </c>
      <c r="GJ79">
        <v>30448</v>
      </c>
      <c r="GK79">
        <v>33832.400000000001</v>
      </c>
      <c r="GL79">
        <v>32076.1</v>
      </c>
      <c r="GM79">
        <v>42637.4</v>
      </c>
      <c r="GN79">
        <v>40816.5</v>
      </c>
      <c r="GO79">
        <v>48999.5</v>
      </c>
      <c r="GP79">
        <v>45407.199999999997</v>
      </c>
      <c r="GQ79">
        <v>1.9730799999999999</v>
      </c>
      <c r="GR79">
        <v>1.75587</v>
      </c>
      <c r="GS79">
        <v>-1.1101399999999999E-3</v>
      </c>
      <c r="GT79">
        <v>0</v>
      </c>
      <c r="GU79">
        <v>30.017800000000001</v>
      </c>
      <c r="GV79">
        <v>999.9</v>
      </c>
      <c r="GW79">
        <v>31.6</v>
      </c>
      <c r="GX79">
        <v>45</v>
      </c>
      <c r="GY79">
        <v>30.721399999999999</v>
      </c>
      <c r="GZ79">
        <v>60.168700000000001</v>
      </c>
      <c r="HA79">
        <v>25.316500000000001</v>
      </c>
      <c r="HB79">
        <v>1</v>
      </c>
      <c r="HC79">
        <v>0.50412299999999999</v>
      </c>
      <c r="HD79">
        <v>2.9874299999999998</v>
      </c>
      <c r="HE79">
        <v>20.1965</v>
      </c>
      <c r="HF79">
        <v>5.2662599999999999</v>
      </c>
      <c r="HG79">
        <v>12.039899999999999</v>
      </c>
      <c r="HH79">
        <v>4.9657</v>
      </c>
      <c r="HI79">
        <v>3.3010000000000002</v>
      </c>
      <c r="HJ79">
        <v>9999</v>
      </c>
      <c r="HK79">
        <v>9999</v>
      </c>
      <c r="HL79">
        <v>9999</v>
      </c>
      <c r="HM79">
        <v>999.9</v>
      </c>
      <c r="HN79">
        <v>1.8687199999999999</v>
      </c>
      <c r="HO79">
        <v>1.87239</v>
      </c>
      <c r="HP79">
        <v>1.8721000000000001</v>
      </c>
      <c r="HQ79">
        <v>1.87164</v>
      </c>
      <c r="HR79">
        <v>1.8649199999999999</v>
      </c>
      <c r="HS79">
        <v>1.8660399999999999</v>
      </c>
      <c r="HT79">
        <v>1.8680300000000001</v>
      </c>
      <c r="HU79">
        <v>1.87262</v>
      </c>
      <c r="HV79">
        <v>0</v>
      </c>
      <c r="HW79">
        <v>0</v>
      </c>
      <c r="HX79">
        <v>0</v>
      </c>
      <c r="HY79">
        <v>0</v>
      </c>
      <c r="HZ79" t="s">
        <v>424</v>
      </c>
      <c r="IA79" t="s">
        <v>425</v>
      </c>
      <c r="IB79" t="s">
        <v>426</v>
      </c>
      <c r="IC79" t="s">
        <v>426</v>
      </c>
      <c r="ID79" t="s">
        <v>426</v>
      </c>
      <c r="IE79" t="s">
        <v>426</v>
      </c>
      <c r="IF79">
        <v>0</v>
      </c>
      <c r="IG79">
        <v>100</v>
      </c>
      <c r="IH79">
        <v>100</v>
      </c>
      <c r="II79">
        <v>-1.143</v>
      </c>
      <c r="IJ79">
        <v>1.66E-2</v>
      </c>
      <c r="IK79">
        <v>-0.95615099698510397</v>
      </c>
      <c r="IL79">
        <v>-1.171017271736434E-3</v>
      </c>
      <c r="IM79">
        <v>2.801297040296544E-7</v>
      </c>
      <c r="IN79">
        <v>-3.6238253961199429E-11</v>
      </c>
      <c r="IO79">
        <v>1.668500000000606E-2</v>
      </c>
      <c r="IP79">
        <v>0</v>
      </c>
      <c r="IQ79">
        <v>0</v>
      </c>
      <c r="IR79">
        <v>0</v>
      </c>
      <c r="IS79">
        <v>0</v>
      </c>
      <c r="IT79">
        <v>2161</v>
      </c>
      <c r="IU79">
        <v>1</v>
      </c>
      <c r="IV79">
        <v>19</v>
      </c>
      <c r="IW79">
        <v>0.9</v>
      </c>
      <c r="IX79">
        <v>0.8</v>
      </c>
      <c r="IY79">
        <v>0.59570299999999998</v>
      </c>
      <c r="IZ79">
        <v>2.52075</v>
      </c>
      <c r="JA79">
        <v>1.4440900000000001</v>
      </c>
      <c r="JB79">
        <v>2.2827099999999998</v>
      </c>
      <c r="JC79">
        <v>1.54419</v>
      </c>
      <c r="JD79">
        <v>2.4206500000000002</v>
      </c>
      <c r="JE79">
        <v>49.484200000000001</v>
      </c>
      <c r="JF79">
        <v>24.008700000000001</v>
      </c>
      <c r="JG79">
        <v>18</v>
      </c>
      <c r="JH79">
        <v>510.99299999999999</v>
      </c>
      <c r="JI79">
        <v>409.66300000000001</v>
      </c>
      <c r="JJ79">
        <v>25.981200000000001</v>
      </c>
      <c r="JK79">
        <v>33.5105</v>
      </c>
      <c r="JL79">
        <v>30.000299999999999</v>
      </c>
      <c r="JM79">
        <v>33.297400000000003</v>
      </c>
      <c r="JN79">
        <v>33.242600000000003</v>
      </c>
      <c r="JO79">
        <v>12.0555</v>
      </c>
      <c r="JP79">
        <v>33.8797</v>
      </c>
      <c r="JQ79">
        <v>0</v>
      </c>
      <c r="JR79">
        <v>25.976099999999999</v>
      </c>
      <c r="JS79">
        <v>200</v>
      </c>
      <c r="JT79">
        <v>21.678599999999999</v>
      </c>
      <c r="JU79">
        <v>99.307900000000004</v>
      </c>
      <c r="JV79">
        <v>98.886700000000005</v>
      </c>
    </row>
    <row r="80" spans="1:282" x14ac:dyDescent="0.25">
      <c r="A80">
        <v>64</v>
      </c>
      <c r="B80">
        <v>1689012008.5999999</v>
      </c>
      <c r="C80">
        <v>12831.599999904631</v>
      </c>
      <c r="D80" t="s">
        <v>746</v>
      </c>
      <c r="E80" t="s">
        <v>747</v>
      </c>
      <c r="F80" t="s">
        <v>414</v>
      </c>
      <c r="G80" t="s">
        <v>415</v>
      </c>
      <c r="H80" t="s">
        <v>732</v>
      </c>
      <c r="I80" t="s">
        <v>416</v>
      </c>
      <c r="J80" t="s">
        <v>579</v>
      </c>
      <c r="K80">
        <v>1689012008.5999999</v>
      </c>
      <c r="L80">
        <f t="shared" si="46"/>
        <v>5.6605386588355648E-3</v>
      </c>
      <c r="M80">
        <f t="shared" si="47"/>
        <v>5.6605386588355646</v>
      </c>
      <c r="N80">
        <f t="shared" si="48"/>
        <v>17.193261625201561</v>
      </c>
      <c r="O80">
        <f t="shared" si="49"/>
        <v>98.541899999999998</v>
      </c>
      <c r="P80">
        <f t="shared" si="50"/>
        <v>26.231367119250937</v>
      </c>
      <c r="Q80">
        <f t="shared" si="51"/>
        <v>2.6032434831472115</v>
      </c>
      <c r="R80">
        <f t="shared" si="52"/>
        <v>9.77945822746236</v>
      </c>
      <c r="S80">
        <f t="shared" si="53"/>
        <v>0.41435440326919498</v>
      </c>
      <c r="T80">
        <f t="shared" si="54"/>
        <v>2.9159881099925031</v>
      </c>
      <c r="U80">
        <f t="shared" si="55"/>
        <v>0.38420432605224719</v>
      </c>
      <c r="V80">
        <f t="shared" si="56"/>
        <v>0.24265349565597988</v>
      </c>
      <c r="W80">
        <f t="shared" si="57"/>
        <v>289.60259895878272</v>
      </c>
      <c r="X80">
        <f t="shared" si="58"/>
        <v>30.452518441032289</v>
      </c>
      <c r="Y80">
        <f t="shared" si="59"/>
        <v>29.8782</v>
      </c>
      <c r="Z80">
        <f t="shared" si="60"/>
        <v>4.2307339844243579</v>
      </c>
      <c r="AA80">
        <f t="shared" si="61"/>
        <v>65.386008863724982</v>
      </c>
      <c r="AB80">
        <f t="shared" si="62"/>
        <v>2.8205362829099601</v>
      </c>
      <c r="AC80">
        <f t="shared" si="63"/>
        <v>4.3136694407949161</v>
      </c>
      <c r="AD80">
        <f t="shared" si="64"/>
        <v>1.4101977015143978</v>
      </c>
      <c r="AE80">
        <f t="shared" si="65"/>
        <v>-249.62975485464841</v>
      </c>
      <c r="AF80">
        <f t="shared" si="66"/>
        <v>53.151602508338264</v>
      </c>
      <c r="AG80">
        <f t="shared" si="67"/>
        <v>4.0548332507190628</v>
      </c>
      <c r="AH80">
        <f t="shared" si="68"/>
        <v>97.179279863191653</v>
      </c>
      <c r="AI80">
        <v>0</v>
      </c>
      <c r="AJ80">
        <v>0</v>
      </c>
      <c r="AK80">
        <f t="shared" si="69"/>
        <v>1</v>
      </c>
      <c r="AL80">
        <f t="shared" si="70"/>
        <v>0</v>
      </c>
      <c r="AM80">
        <f t="shared" si="71"/>
        <v>51911.029777408141</v>
      </c>
      <c r="AN80" t="s">
        <v>418</v>
      </c>
      <c r="AO80">
        <v>10076.700000000001</v>
      </c>
      <c r="AP80">
        <v>185.01599999999999</v>
      </c>
      <c r="AQ80">
        <v>473.06</v>
      </c>
      <c r="AR80">
        <f t="shared" si="72"/>
        <v>0.60889527755464423</v>
      </c>
      <c r="AS80">
        <v>-1.4827006201179751</v>
      </c>
      <c r="AT80" t="s">
        <v>748</v>
      </c>
      <c r="AU80">
        <v>8077.85</v>
      </c>
      <c r="AV80">
        <v>651.904</v>
      </c>
      <c r="AW80">
        <v>784.10571821019676</v>
      </c>
      <c r="AX80">
        <f t="shared" si="73"/>
        <v>0.16860190550830445</v>
      </c>
      <c r="AY80">
        <v>0.5</v>
      </c>
      <c r="AZ80">
        <f t="shared" si="74"/>
        <v>1513.3775994605089</v>
      </c>
      <c r="BA80">
        <f t="shared" si="75"/>
        <v>17.193261625201561</v>
      </c>
      <c r="BB80">
        <f t="shared" si="76"/>
        <v>127.57917351131267</v>
      </c>
      <c r="BC80">
        <f t="shared" si="77"/>
        <v>1.2340583243717345E-2</v>
      </c>
      <c r="BD80">
        <f t="shared" si="78"/>
        <v>-0.3966884961892525</v>
      </c>
      <c r="BE80">
        <f t="shared" si="79"/>
        <v>218.99187667172691</v>
      </c>
      <c r="BF80" t="s">
        <v>749</v>
      </c>
      <c r="BG80">
        <v>521.87</v>
      </c>
      <c r="BH80">
        <f t="shared" si="80"/>
        <v>521.87</v>
      </c>
      <c r="BI80">
        <f t="shared" si="81"/>
        <v>0.33443923710794654</v>
      </c>
      <c r="BJ80">
        <f t="shared" si="82"/>
        <v>0.5041331482701743</v>
      </c>
      <c r="BK80">
        <f t="shared" si="83"/>
        <v>6.3725818113131885</v>
      </c>
      <c r="BL80">
        <f t="shared" si="84"/>
        <v>0.22067098498227344</v>
      </c>
      <c r="BM80">
        <f t="shared" si="85"/>
        <v>-1.0798548770680756</v>
      </c>
      <c r="BN80">
        <f t="shared" si="86"/>
        <v>0.40357470745348373</v>
      </c>
      <c r="BO80">
        <f t="shared" si="87"/>
        <v>0.59642529254651633</v>
      </c>
      <c r="BP80">
        <v>9181</v>
      </c>
      <c r="BQ80">
        <v>290.00000000000011</v>
      </c>
      <c r="BR80">
        <v>742.46</v>
      </c>
      <c r="BS80">
        <v>205</v>
      </c>
      <c r="BT80">
        <v>8077.85</v>
      </c>
      <c r="BU80">
        <v>743.32</v>
      </c>
      <c r="BV80">
        <v>-0.86</v>
      </c>
      <c r="BW80">
        <v>300.00000000000011</v>
      </c>
      <c r="BX80">
        <v>19.3</v>
      </c>
      <c r="BY80">
        <v>784.10571821019676</v>
      </c>
      <c r="BZ80">
        <v>2.3832353329028391</v>
      </c>
      <c r="CA80">
        <v>-32.948896657041423</v>
      </c>
      <c r="CB80">
        <v>1.767956814041248</v>
      </c>
      <c r="CC80">
        <v>0.92539837045666884</v>
      </c>
      <c r="CD80">
        <v>-4.1598914349277013E-3</v>
      </c>
      <c r="CE80">
        <v>289.99999999999989</v>
      </c>
      <c r="CF80">
        <v>740.91</v>
      </c>
      <c r="CG80">
        <v>625</v>
      </c>
      <c r="CH80">
        <v>8066.79</v>
      </c>
      <c r="CI80">
        <v>743.26</v>
      </c>
      <c r="CJ80">
        <v>-2.35</v>
      </c>
      <c r="CX80">
        <f t="shared" si="88"/>
        <v>1800.23</v>
      </c>
      <c r="CY80">
        <f t="shared" si="89"/>
        <v>1513.3775994605089</v>
      </c>
      <c r="CZ80">
        <f t="shared" si="90"/>
        <v>0.84065791563328518</v>
      </c>
      <c r="DA80">
        <f t="shared" si="91"/>
        <v>0.1608697771722406</v>
      </c>
      <c r="DB80">
        <v>6</v>
      </c>
      <c r="DC80">
        <v>0.5</v>
      </c>
      <c r="DD80" t="s">
        <v>421</v>
      </c>
      <c r="DE80">
        <v>2</v>
      </c>
      <c r="DF80">
        <v>1689012008.5999999</v>
      </c>
      <c r="DG80">
        <v>98.541899999999998</v>
      </c>
      <c r="DH80">
        <v>119.839</v>
      </c>
      <c r="DI80">
        <v>28.4209</v>
      </c>
      <c r="DJ80">
        <v>21.822600000000001</v>
      </c>
      <c r="DK80">
        <v>99.677899999999994</v>
      </c>
      <c r="DL80">
        <v>28.407800000000002</v>
      </c>
      <c r="DM80">
        <v>500.09800000000001</v>
      </c>
      <c r="DN80">
        <v>99.1417</v>
      </c>
      <c r="DO80">
        <v>9.9924399999999997E-2</v>
      </c>
      <c r="DP80">
        <v>30.2163</v>
      </c>
      <c r="DQ80">
        <v>29.8782</v>
      </c>
      <c r="DR80">
        <v>999.9</v>
      </c>
      <c r="DS80">
        <v>0</v>
      </c>
      <c r="DT80">
        <v>0</v>
      </c>
      <c r="DU80">
        <v>10008.799999999999</v>
      </c>
      <c r="DV80">
        <v>0</v>
      </c>
      <c r="DW80">
        <v>540.58399999999995</v>
      </c>
      <c r="DX80">
        <v>-21.296700000000001</v>
      </c>
      <c r="DY80">
        <v>101.42400000000001</v>
      </c>
      <c r="DZ80">
        <v>122.512</v>
      </c>
      <c r="EA80">
        <v>6.5982900000000004</v>
      </c>
      <c r="EB80">
        <v>119.839</v>
      </c>
      <c r="EC80">
        <v>21.822600000000001</v>
      </c>
      <c r="ED80">
        <v>2.8176899999999998</v>
      </c>
      <c r="EE80">
        <v>2.1635300000000002</v>
      </c>
      <c r="EF80">
        <v>22.988099999999999</v>
      </c>
      <c r="EG80">
        <v>18.694800000000001</v>
      </c>
      <c r="EH80">
        <v>1800.23</v>
      </c>
      <c r="EI80">
        <v>0.97800799999999999</v>
      </c>
      <c r="EJ80">
        <v>2.1991900000000002E-2</v>
      </c>
      <c r="EK80">
        <v>0</v>
      </c>
      <c r="EL80">
        <v>651.44500000000005</v>
      </c>
      <c r="EM80">
        <v>5.00082</v>
      </c>
      <c r="EN80">
        <v>13394.4</v>
      </c>
      <c r="EO80">
        <v>14131.6</v>
      </c>
      <c r="EP80">
        <v>49.936999999999998</v>
      </c>
      <c r="EQ80">
        <v>51.186999999999998</v>
      </c>
      <c r="ER80">
        <v>50.811999999999998</v>
      </c>
      <c r="ES80">
        <v>51.061999999999998</v>
      </c>
      <c r="ET80">
        <v>51.125</v>
      </c>
      <c r="EU80">
        <v>1755.75</v>
      </c>
      <c r="EV80">
        <v>39.479999999999997</v>
      </c>
      <c r="EW80">
        <v>0</v>
      </c>
      <c r="EX80">
        <v>120.19999980926509</v>
      </c>
      <c r="EY80">
        <v>0</v>
      </c>
      <c r="EZ80">
        <v>651.904</v>
      </c>
      <c r="FA80">
        <v>-3.107897434888323</v>
      </c>
      <c r="FB80">
        <v>-133.278632548204</v>
      </c>
      <c r="FC80">
        <v>13404.553846153851</v>
      </c>
      <c r="FD80">
        <v>15</v>
      </c>
      <c r="FE80">
        <v>1689011963.5999999</v>
      </c>
      <c r="FF80" t="s">
        <v>750</v>
      </c>
      <c r="FG80">
        <v>1689011959.0999999</v>
      </c>
      <c r="FH80">
        <v>1689011963.5999999</v>
      </c>
      <c r="FI80">
        <v>72</v>
      </c>
      <c r="FJ80">
        <v>-6.6000000000000003E-2</v>
      </c>
      <c r="FK80">
        <v>-4.0000000000000001E-3</v>
      </c>
      <c r="FL80">
        <v>-1.1599999999999999</v>
      </c>
      <c r="FM80">
        <v>1.2999999999999999E-2</v>
      </c>
      <c r="FN80">
        <v>120</v>
      </c>
      <c r="FO80">
        <v>22</v>
      </c>
      <c r="FP80">
        <v>0.06</v>
      </c>
      <c r="FQ80">
        <v>0.01</v>
      </c>
      <c r="FR80">
        <v>17.16479500852294</v>
      </c>
      <c r="FS80">
        <v>-0.39107526143890448</v>
      </c>
      <c r="FT80">
        <v>4.6898317409420361E-2</v>
      </c>
      <c r="FU80">
        <v>1</v>
      </c>
      <c r="FV80">
        <v>0.41181137394589662</v>
      </c>
      <c r="FW80">
        <v>1.556978693998029E-2</v>
      </c>
      <c r="FX80">
        <v>1.33116073405296E-3</v>
      </c>
      <c r="FY80">
        <v>1</v>
      </c>
      <c r="FZ80">
        <v>2</v>
      </c>
      <c r="GA80">
        <v>2</v>
      </c>
      <c r="GB80" t="s">
        <v>423</v>
      </c>
      <c r="GC80">
        <v>2.9443199999999998</v>
      </c>
      <c r="GD80">
        <v>2.7086600000000001</v>
      </c>
      <c r="GE80">
        <v>2.5832899999999999E-2</v>
      </c>
      <c r="GF80">
        <v>3.08978E-2</v>
      </c>
      <c r="GG80">
        <v>0.127114</v>
      </c>
      <c r="GH80">
        <v>0.10573399999999999</v>
      </c>
      <c r="GI80">
        <v>31986.6</v>
      </c>
      <c r="GJ80">
        <v>31046.799999999999</v>
      </c>
      <c r="GK80">
        <v>33836.800000000003</v>
      </c>
      <c r="GL80">
        <v>32082.5</v>
      </c>
      <c r="GM80">
        <v>42639.6</v>
      </c>
      <c r="GN80">
        <v>40822.199999999997</v>
      </c>
      <c r="GO80">
        <v>49004.800000000003</v>
      </c>
      <c r="GP80">
        <v>45415.199999999997</v>
      </c>
      <c r="GQ80">
        <v>1.9737499999999999</v>
      </c>
      <c r="GR80">
        <v>1.7557799999999999</v>
      </c>
      <c r="GS80">
        <v>2.61143E-2</v>
      </c>
      <c r="GT80">
        <v>0</v>
      </c>
      <c r="GU80">
        <v>29.452999999999999</v>
      </c>
      <c r="GV80">
        <v>999.9</v>
      </c>
      <c r="GW80">
        <v>31.3</v>
      </c>
      <c r="GX80">
        <v>45.1</v>
      </c>
      <c r="GY80">
        <v>30.59</v>
      </c>
      <c r="GZ80">
        <v>60.328800000000001</v>
      </c>
      <c r="HA80">
        <v>25.929500000000001</v>
      </c>
      <c r="HB80">
        <v>1</v>
      </c>
      <c r="HC80">
        <v>0.49371399999999999</v>
      </c>
      <c r="HD80">
        <v>1.8627899999999999</v>
      </c>
      <c r="HE80">
        <v>20.213000000000001</v>
      </c>
      <c r="HF80">
        <v>5.2690999999999999</v>
      </c>
      <c r="HG80">
        <v>12.039899999999999</v>
      </c>
      <c r="HH80">
        <v>4.9656500000000001</v>
      </c>
      <c r="HI80">
        <v>3.3010000000000002</v>
      </c>
      <c r="HJ80">
        <v>9999</v>
      </c>
      <c r="HK80">
        <v>9999</v>
      </c>
      <c r="HL80">
        <v>9999</v>
      </c>
      <c r="HM80">
        <v>999.9</v>
      </c>
      <c r="HN80">
        <v>1.86873</v>
      </c>
      <c r="HO80">
        <v>1.87239</v>
      </c>
      <c r="HP80">
        <v>1.8721000000000001</v>
      </c>
      <c r="HQ80">
        <v>1.8716299999999999</v>
      </c>
      <c r="HR80">
        <v>1.86487</v>
      </c>
      <c r="HS80">
        <v>1.86602</v>
      </c>
      <c r="HT80">
        <v>1.8680099999999999</v>
      </c>
      <c r="HU80">
        <v>1.8725799999999999</v>
      </c>
      <c r="HV80">
        <v>0</v>
      </c>
      <c r="HW80">
        <v>0</v>
      </c>
      <c r="HX80">
        <v>0</v>
      </c>
      <c r="HY80">
        <v>0</v>
      </c>
      <c r="HZ80" t="s">
        <v>424</v>
      </c>
      <c r="IA80" t="s">
        <v>425</v>
      </c>
      <c r="IB80" t="s">
        <v>426</v>
      </c>
      <c r="IC80" t="s">
        <v>426</v>
      </c>
      <c r="ID80" t="s">
        <v>426</v>
      </c>
      <c r="IE80" t="s">
        <v>426</v>
      </c>
      <c r="IF80">
        <v>0</v>
      </c>
      <c r="IG80">
        <v>100</v>
      </c>
      <c r="IH80">
        <v>100</v>
      </c>
      <c r="II80">
        <v>-1.1359999999999999</v>
      </c>
      <c r="IJ80">
        <v>1.3100000000000001E-2</v>
      </c>
      <c r="IK80">
        <v>-1.0219870906260859</v>
      </c>
      <c r="IL80">
        <v>-1.171017271736434E-3</v>
      </c>
      <c r="IM80">
        <v>2.801297040296544E-7</v>
      </c>
      <c r="IN80">
        <v>-3.6238253961199429E-11</v>
      </c>
      <c r="IO80">
        <v>1.304500000000175E-2</v>
      </c>
      <c r="IP80">
        <v>0</v>
      </c>
      <c r="IQ80">
        <v>0</v>
      </c>
      <c r="IR80">
        <v>0</v>
      </c>
      <c r="IS80">
        <v>0</v>
      </c>
      <c r="IT80">
        <v>2161</v>
      </c>
      <c r="IU80">
        <v>1</v>
      </c>
      <c r="IV80">
        <v>19</v>
      </c>
      <c r="IW80">
        <v>0.8</v>
      </c>
      <c r="IX80">
        <v>0.8</v>
      </c>
      <c r="IY80">
        <v>0.41381800000000002</v>
      </c>
      <c r="IZ80">
        <v>2.5439500000000002</v>
      </c>
      <c r="JA80">
        <v>1.4440900000000001</v>
      </c>
      <c r="JB80">
        <v>2.2827099999999998</v>
      </c>
      <c r="JC80">
        <v>1.54419</v>
      </c>
      <c r="JD80">
        <v>2.4487299999999999</v>
      </c>
      <c r="JE80">
        <v>49.389400000000002</v>
      </c>
      <c r="JF80">
        <v>24.026199999999999</v>
      </c>
      <c r="JG80">
        <v>18</v>
      </c>
      <c r="JH80">
        <v>511.19200000000001</v>
      </c>
      <c r="JI80">
        <v>409.34300000000002</v>
      </c>
      <c r="JJ80">
        <v>26.718699999999998</v>
      </c>
      <c r="JK80">
        <v>33.448900000000002</v>
      </c>
      <c r="JL80">
        <v>29.9984</v>
      </c>
      <c r="JM80">
        <v>33.266100000000002</v>
      </c>
      <c r="JN80">
        <v>33.203699999999998</v>
      </c>
      <c r="JO80">
        <v>8.4032499999999999</v>
      </c>
      <c r="JP80">
        <v>32.9983</v>
      </c>
      <c r="JQ80">
        <v>0</v>
      </c>
      <c r="JR80">
        <v>26.752199999999998</v>
      </c>
      <c r="JS80">
        <v>120</v>
      </c>
      <c r="JT80">
        <v>21.716100000000001</v>
      </c>
      <c r="JU80">
        <v>99.319500000000005</v>
      </c>
      <c r="JV80">
        <v>98.905199999999994</v>
      </c>
    </row>
    <row r="81" spans="1:282" x14ac:dyDescent="0.25">
      <c r="A81">
        <v>65</v>
      </c>
      <c r="B81">
        <v>1689012127.5999999</v>
      </c>
      <c r="C81">
        <v>12950.599999904631</v>
      </c>
      <c r="D81" t="s">
        <v>751</v>
      </c>
      <c r="E81" t="s">
        <v>752</v>
      </c>
      <c r="F81" t="s">
        <v>414</v>
      </c>
      <c r="G81" t="s">
        <v>415</v>
      </c>
      <c r="H81" t="s">
        <v>732</v>
      </c>
      <c r="I81" t="s">
        <v>416</v>
      </c>
      <c r="J81" t="s">
        <v>579</v>
      </c>
      <c r="K81">
        <v>1689012127.5999999</v>
      </c>
      <c r="L81">
        <f t="shared" ref="L81:L112" si="92">(M81)/1000</f>
        <v>5.8917688568941385E-3</v>
      </c>
      <c r="M81">
        <f t="shared" ref="M81:M112" si="93">1000*DM81*AK81*(DI81-DJ81)/(100*DB81*(1000-AK81*DI81))</f>
        <v>5.8917688568941387</v>
      </c>
      <c r="N81">
        <f t="shared" ref="N81:N112" si="94">DM81*AK81*(DH81-DG81*(1000-AK81*DJ81)/(1000-AK81*DI81))/(100*DB81)</f>
        <v>10.447670096777641</v>
      </c>
      <c r="O81">
        <f t="shared" ref="O81:O112" si="95">DG81 - IF(AK81&gt;1, N81*DB81*100/(AM81*DU81), 0)</f>
        <v>57.171700000000001</v>
      </c>
      <c r="P81">
        <f t="shared" ref="P81:P112" si="96">((V81-L81/2)*O81-N81)/(V81+L81/2)</f>
        <v>15.002383098908423</v>
      </c>
      <c r="Q81">
        <f t="shared" ref="Q81:Q112" si="97">P81*(DN81+DO81)/1000</f>
        <v>1.4890053565584032</v>
      </c>
      <c r="R81">
        <f t="shared" ref="R81:R112" si="98">(DG81 - IF(AK81&gt;1, N81*DB81*100/(AM81*DU81), 0))*(DN81+DO81)/1000</f>
        <v>5.6743629983521799</v>
      </c>
      <c r="S81">
        <f t="shared" ref="S81:S112" si="99">2/((1/U81-1/T81)+SIGN(U81)*SQRT((1/U81-1/T81)*(1/U81-1/T81) + 4*DC81/((DC81+1)*(DC81+1))*(2*1/U81*1/T81-1/T81*1/T81)))</f>
        <v>0.43291053226574538</v>
      </c>
      <c r="T81">
        <f t="shared" ref="T81:T112" si="100">IF(LEFT(DD81,1)&lt;&gt;"0",IF(LEFT(DD81,1)="1",3,DE81),$D$5+$E$5*(DU81*DN81/($K$5*1000))+$F$5*(DU81*DN81/($K$5*1000))*MAX(MIN(DB81,$J$5),$I$5)*MAX(MIN(DB81,$J$5),$I$5)+$G$5*MAX(MIN(DB81,$J$5),$I$5)*(DU81*DN81/($K$5*1000))+$H$5*(DU81*DN81/($K$5*1000))*(DU81*DN81/($K$5*1000)))</f>
        <v>2.9136369481325746</v>
      </c>
      <c r="U81">
        <f t="shared" ref="U81:U112" si="101">L81*(1000-(1000*0.61365*EXP(17.502*Y81/(240.97+Y81))/(DN81+DO81)+DI81)/2)/(1000*0.61365*EXP(17.502*Y81/(240.97+Y81))/(DN81+DO81)-DI81)</f>
        <v>0.40008974364650901</v>
      </c>
      <c r="V81">
        <f t="shared" ref="V81:V112" si="102">1/((DC81+1)/(S81/1.6)+1/(T81/1.37)) + DC81/((DC81+1)/(S81/1.6) + DC81/(T81/1.37))</f>
        <v>0.25279723238865676</v>
      </c>
      <c r="W81">
        <f t="shared" ref="W81:W112" si="103">(CX81*DA81)</f>
        <v>289.53877165920971</v>
      </c>
      <c r="X81">
        <f t="shared" ref="X81:X112" si="104">(DP81+(W81+2*0.95*0.0000000567*(((DP81+$B$7)+273)^4-(DP81+273)^4)-44100*L81)/(1.84*29.3*T81+8*0.95*0.0000000567*(DP81+273)^3))</f>
        <v>30.672477821672452</v>
      </c>
      <c r="Y81">
        <f t="shared" ref="Y81:Y112" si="105">($C$7*DQ81+$D$7*DR81+$E$7*X81)</f>
        <v>30.045200000000001</v>
      </c>
      <c r="Z81">
        <f t="shared" ref="Z81:Z112" si="106">0.61365*EXP(17.502*Y81/(240.97+Y81))</f>
        <v>4.2715234908832311</v>
      </c>
      <c r="AA81">
        <f t="shared" ref="AA81:AA112" si="107">(AB81/AC81*100)</f>
        <v>65.30021274356524</v>
      </c>
      <c r="AB81">
        <f t="shared" ref="AB81:AB112" si="108">DI81*(DN81+DO81)/1000</f>
        <v>2.8624657564892395</v>
      </c>
      <c r="AC81">
        <f t="shared" ref="AC81:AC112" si="109">0.61365*EXP(17.502*DP81/(240.97+DP81))</f>
        <v>4.3835473671888003</v>
      </c>
      <c r="AD81">
        <f t="shared" ref="AD81:AD112" si="110">(Z81-DI81*(DN81+DO81)/1000)</f>
        <v>1.4090577343939916</v>
      </c>
      <c r="AE81">
        <f t="shared" ref="AE81:AE112" si="111">(-L81*44100)</f>
        <v>-259.8270065890315</v>
      </c>
      <c r="AF81">
        <f t="shared" ref="AF81:AF112" si="112">2*29.3*T81*0.92*(DP81-Y81)</f>
        <v>70.937325808711734</v>
      </c>
      <c r="AG81">
        <f t="shared" ref="AG81:AG112" si="113">2*0.95*0.0000000567*(((DP81+$B$7)+273)^4-(Y81+273)^4)</f>
        <v>5.4280454456532885</v>
      </c>
      <c r="AH81">
        <f t="shared" ref="AH81:AH112" si="114">W81+AG81+AE81+AF81</f>
        <v>106.07713632454326</v>
      </c>
      <c r="AI81">
        <v>0</v>
      </c>
      <c r="AJ81">
        <v>0</v>
      </c>
      <c r="AK81">
        <f t="shared" ref="AK81:AK112" si="115">IF(AI81*$H$13&gt;=AM81,1,(AM81/(AM81-AI81*$H$13)))</f>
        <v>1</v>
      </c>
      <c r="AL81">
        <f t="shared" ref="AL81:AL112" si="116">(AK81-1)*100</f>
        <v>0</v>
      </c>
      <c r="AM81">
        <f t="shared" ref="AM81:AM112" si="117">MAX(0,($B$13+$C$13*DU81)/(1+$D$13*DU81)*DN81/(DP81+273)*$E$13)</f>
        <v>51796.453464188897</v>
      </c>
      <c r="AN81" t="s">
        <v>418</v>
      </c>
      <c r="AO81">
        <v>10076.700000000001</v>
      </c>
      <c r="AP81">
        <v>185.01599999999999</v>
      </c>
      <c r="AQ81">
        <v>473.06</v>
      </c>
      <c r="AR81">
        <f t="shared" ref="AR81:AR112" si="118">1-AP81/AQ81</f>
        <v>0.60889527755464423</v>
      </c>
      <c r="AS81">
        <v>-1.4827006201179751</v>
      </c>
      <c r="AT81" t="s">
        <v>753</v>
      </c>
      <c r="AU81">
        <v>8079.1</v>
      </c>
      <c r="AV81">
        <v>663.83339999999998</v>
      </c>
      <c r="AW81">
        <v>757.81275927639808</v>
      </c>
      <c r="AX81">
        <f t="shared" ref="AX81:AX112" si="119">1-AV81/AW81</f>
        <v>0.12401395744000776</v>
      </c>
      <c r="AY81">
        <v>0.5</v>
      </c>
      <c r="AZ81">
        <f t="shared" ref="AZ81:AZ112" si="120">CY81</f>
        <v>1513.0416060410412</v>
      </c>
      <c r="BA81">
        <f t="shared" ref="BA81:BA112" si="121">N81</f>
        <v>10.447670096777641</v>
      </c>
      <c r="BB81">
        <f t="shared" ref="BB81:BB112" si="122">AX81*AY81*AZ81</f>
        <v>93.819138668267328</v>
      </c>
      <c r="BC81">
        <f t="shared" ref="BC81:BC112" si="123">(BA81-AS81)/AZ81</f>
        <v>7.8850248858074075E-3</v>
      </c>
      <c r="BD81">
        <f t="shared" ref="BD81:BD112" si="124">(AQ81-AW81)/AW81</f>
        <v>-0.37575608986617737</v>
      </c>
      <c r="BE81">
        <f t="shared" ref="BE81:BE112" si="125">AP81/(AR81+AP81/AW81)</f>
        <v>216.8901762284255</v>
      </c>
      <c r="BF81" t="s">
        <v>754</v>
      </c>
      <c r="BG81">
        <v>538.16999999999996</v>
      </c>
      <c r="BH81">
        <f t="shared" ref="BH81:BH112" si="126">IF(BG81&lt;&gt;0, BG81, BE81)</f>
        <v>538.16999999999996</v>
      </c>
      <c r="BI81">
        <f t="shared" ref="BI81:BI112" si="127">1-BH81/AW81</f>
        <v>0.28983776874662981</v>
      </c>
      <c r="BJ81">
        <f t="shared" ref="BJ81:BJ112" si="128">(AW81-AV81)/(AW81-BH81)</f>
        <v>0.42787369629669703</v>
      </c>
      <c r="BK81">
        <f t="shared" ref="BK81:BK112" si="129">(AQ81-AW81)/(AQ81-BH81)</f>
        <v>4.3734105249024458</v>
      </c>
      <c r="BL81">
        <f t="shared" ref="BL81:BL112" si="130">(AW81-AV81)/(AW81-AP81)</f>
        <v>0.16407103873129486</v>
      </c>
      <c r="BM81">
        <f t="shared" ref="BM81:BM112" si="131">(AQ81-AW81)/(AQ81-AP81)</f>
        <v>-0.98857382648622472</v>
      </c>
      <c r="BN81">
        <f t="shared" ref="BN81:BN112" si="132">(BJ81*BH81/AV81)</f>
        <v>0.34687737485940512</v>
      </c>
      <c r="BO81">
        <f t="shared" ref="BO81:BO112" si="133">(1-BN81)</f>
        <v>0.65312262514059483</v>
      </c>
      <c r="BP81">
        <v>9183</v>
      </c>
      <c r="BQ81">
        <v>290.00000000000011</v>
      </c>
      <c r="BR81">
        <v>724.93</v>
      </c>
      <c r="BS81">
        <v>195</v>
      </c>
      <c r="BT81">
        <v>8079.1</v>
      </c>
      <c r="BU81">
        <v>725.26</v>
      </c>
      <c r="BV81">
        <v>-0.33</v>
      </c>
      <c r="BW81">
        <v>300.00000000000011</v>
      </c>
      <c r="BX81">
        <v>19.3</v>
      </c>
      <c r="BY81">
        <v>757.81275927639808</v>
      </c>
      <c r="BZ81">
        <v>2.0224539701666542</v>
      </c>
      <c r="CA81">
        <v>-26.298421375872799</v>
      </c>
      <c r="CB81">
        <v>1.500441625563727</v>
      </c>
      <c r="CC81">
        <v>0.91646776990357626</v>
      </c>
      <c r="CD81">
        <v>-4.1601590656284767E-3</v>
      </c>
      <c r="CE81">
        <v>289.99999999999989</v>
      </c>
      <c r="CF81">
        <v>723.7</v>
      </c>
      <c r="CG81">
        <v>665</v>
      </c>
      <c r="CH81">
        <v>8066.31</v>
      </c>
      <c r="CI81">
        <v>725.21</v>
      </c>
      <c r="CJ81">
        <v>-1.51</v>
      </c>
      <c r="CX81">
        <f t="shared" ref="CX81:CX112" si="134">$B$11*DV81+$C$11*DW81+$F$11*EH81*(1-EK81)</f>
        <v>1799.83</v>
      </c>
      <c r="CY81">
        <f t="shared" ref="CY81:CY112" si="135">CX81*CZ81</f>
        <v>1513.0416060410412</v>
      </c>
      <c r="CZ81">
        <f t="shared" ref="CZ81:CZ112" si="136">($B$11*$D$9+$C$11*$D$9+$F$11*((EU81+EM81)/MAX(EU81+EM81+EV81, 0.1)*$I$9+EV81/MAX(EU81+EM81+EV81, 0.1)*$J$9))/($B$11+$C$11+$F$11)</f>
        <v>0.84065806550676525</v>
      </c>
      <c r="DA81">
        <f t="shared" ref="DA81:DA112" si="137">($B$11*$K$9+$C$11*$K$9+$F$11*((EU81+EM81)/MAX(EU81+EM81+EV81, 0.1)*$P$9+EV81/MAX(EU81+EM81+EV81, 0.1)*$Q$9))/($B$11+$C$11+$F$11)</f>
        <v>0.16087006642805696</v>
      </c>
      <c r="DB81">
        <v>6</v>
      </c>
      <c r="DC81">
        <v>0.5</v>
      </c>
      <c r="DD81" t="s">
        <v>421</v>
      </c>
      <c r="DE81">
        <v>2</v>
      </c>
      <c r="DF81">
        <v>1689012127.5999999</v>
      </c>
      <c r="DG81">
        <v>57.171700000000001</v>
      </c>
      <c r="DH81">
        <v>70.111199999999997</v>
      </c>
      <c r="DI81">
        <v>28.840599999999998</v>
      </c>
      <c r="DJ81">
        <v>21.9754</v>
      </c>
      <c r="DK81">
        <v>58.2346</v>
      </c>
      <c r="DL81">
        <v>28.821300000000001</v>
      </c>
      <c r="DM81">
        <v>500.07400000000001</v>
      </c>
      <c r="DN81">
        <v>99.151399999999995</v>
      </c>
      <c r="DO81">
        <v>9.9855399999999997E-2</v>
      </c>
      <c r="DP81">
        <v>30.4968</v>
      </c>
      <c r="DQ81">
        <v>30.045200000000001</v>
      </c>
      <c r="DR81">
        <v>999.9</v>
      </c>
      <c r="DS81">
        <v>0</v>
      </c>
      <c r="DT81">
        <v>0</v>
      </c>
      <c r="DU81">
        <v>9994.3799999999992</v>
      </c>
      <c r="DV81">
        <v>0</v>
      </c>
      <c r="DW81">
        <v>539.60400000000004</v>
      </c>
      <c r="DX81">
        <v>-12.939500000000001</v>
      </c>
      <c r="DY81">
        <v>58.869500000000002</v>
      </c>
      <c r="DZ81">
        <v>71.686599999999999</v>
      </c>
      <c r="EA81">
        <v>6.8652499999999996</v>
      </c>
      <c r="EB81">
        <v>70.111199999999997</v>
      </c>
      <c r="EC81">
        <v>21.9754</v>
      </c>
      <c r="ED81">
        <v>2.8595899999999999</v>
      </c>
      <c r="EE81">
        <v>2.17889</v>
      </c>
      <c r="EF81">
        <v>23.232199999999999</v>
      </c>
      <c r="EG81">
        <v>18.8079</v>
      </c>
      <c r="EH81">
        <v>1799.83</v>
      </c>
      <c r="EI81">
        <v>0.97800100000000001</v>
      </c>
      <c r="EJ81">
        <v>2.1998899999999998E-2</v>
      </c>
      <c r="EK81">
        <v>0</v>
      </c>
      <c r="EL81">
        <v>663.62300000000005</v>
      </c>
      <c r="EM81">
        <v>5.00082</v>
      </c>
      <c r="EN81">
        <v>13607.3</v>
      </c>
      <c r="EO81">
        <v>14128.4</v>
      </c>
      <c r="EP81">
        <v>49.75</v>
      </c>
      <c r="EQ81">
        <v>50.811999999999998</v>
      </c>
      <c r="ER81">
        <v>50.686999999999998</v>
      </c>
      <c r="ES81">
        <v>50.625</v>
      </c>
      <c r="ET81">
        <v>50.936999999999998</v>
      </c>
      <c r="EU81">
        <v>1755.34</v>
      </c>
      <c r="EV81">
        <v>39.479999999999997</v>
      </c>
      <c r="EW81">
        <v>0</v>
      </c>
      <c r="EX81">
        <v>117</v>
      </c>
      <c r="EY81">
        <v>0</v>
      </c>
      <c r="EZ81">
        <v>663.83339999999998</v>
      </c>
      <c r="FA81">
        <v>-1.976307677133317</v>
      </c>
      <c r="FB81">
        <v>-2623.2461509574659</v>
      </c>
      <c r="FC81">
        <v>13768.12</v>
      </c>
      <c r="FD81">
        <v>15</v>
      </c>
      <c r="FE81">
        <v>1689012089.5999999</v>
      </c>
      <c r="FF81" t="s">
        <v>755</v>
      </c>
      <c r="FG81">
        <v>1689012080.0999999</v>
      </c>
      <c r="FH81">
        <v>1689012089.5999999</v>
      </c>
      <c r="FI81">
        <v>73</v>
      </c>
      <c r="FJ81">
        <v>2.5999999999999999E-2</v>
      </c>
      <c r="FK81">
        <v>6.0000000000000001E-3</v>
      </c>
      <c r="FL81">
        <v>-1.077</v>
      </c>
      <c r="FM81">
        <v>1.9E-2</v>
      </c>
      <c r="FN81">
        <v>70</v>
      </c>
      <c r="FO81">
        <v>22</v>
      </c>
      <c r="FP81">
        <v>0.11</v>
      </c>
      <c r="FQ81">
        <v>0.02</v>
      </c>
      <c r="FR81">
        <v>10.606635340060491</v>
      </c>
      <c r="FS81">
        <v>-0.65451186450979693</v>
      </c>
      <c r="FT81">
        <v>6.0640124590659497E-2</v>
      </c>
      <c r="FU81">
        <v>1</v>
      </c>
      <c r="FV81">
        <v>0.4289789389217406</v>
      </c>
      <c r="FW81">
        <v>3.5248910089489272E-2</v>
      </c>
      <c r="FX81">
        <v>2.9036491992870711E-3</v>
      </c>
      <c r="FY81">
        <v>1</v>
      </c>
      <c r="FZ81">
        <v>2</v>
      </c>
      <c r="GA81">
        <v>2</v>
      </c>
      <c r="GB81" t="s">
        <v>423</v>
      </c>
      <c r="GC81">
        <v>2.94442</v>
      </c>
      <c r="GD81">
        <v>2.7084700000000002</v>
      </c>
      <c r="GE81">
        <v>1.52937E-2</v>
      </c>
      <c r="GF81">
        <v>1.8423999999999999E-2</v>
      </c>
      <c r="GG81">
        <v>0.12845799999999999</v>
      </c>
      <c r="GH81">
        <v>0.106313</v>
      </c>
      <c r="GI81">
        <v>32353.5</v>
      </c>
      <c r="GJ81">
        <v>31465.1</v>
      </c>
      <c r="GK81">
        <v>33857.599999999999</v>
      </c>
      <c r="GL81">
        <v>32100.9</v>
      </c>
      <c r="GM81">
        <v>42596.6</v>
      </c>
      <c r="GN81">
        <v>40818.5</v>
      </c>
      <c r="GO81">
        <v>49032.6</v>
      </c>
      <c r="GP81">
        <v>45441.5</v>
      </c>
      <c r="GQ81">
        <v>1.9769300000000001</v>
      </c>
      <c r="GR81">
        <v>1.75922</v>
      </c>
      <c r="GS81">
        <v>4.8693300000000002E-2</v>
      </c>
      <c r="GT81">
        <v>0</v>
      </c>
      <c r="GU81">
        <v>29.252300000000002</v>
      </c>
      <c r="GV81">
        <v>999.9</v>
      </c>
      <c r="GW81">
        <v>31.1</v>
      </c>
      <c r="GX81">
        <v>45.1</v>
      </c>
      <c r="GY81">
        <v>30.388000000000002</v>
      </c>
      <c r="GZ81">
        <v>59.948799999999999</v>
      </c>
      <c r="HA81">
        <v>26.0657</v>
      </c>
      <c r="HB81">
        <v>1</v>
      </c>
      <c r="HC81">
        <v>0.47127000000000002</v>
      </c>
      <c r="HD81">
        <v>2.48773</v>
      </c>
      <c r="HE81">
        <v>20.205100000000002</v>
      </c>
      <c r="HF81">
        <v>5.2706</v>
      </c>
      <c r="HG81">
        <v>12.039899999999999</v>
      </c>
      <c r="HH81">
        <v>4.9658499999999997</v>
      </c>
      <c r="HI81">
        <v>3.3010000000000002</v>
      </c>
      <c r="HJ81">
        <v>9999</v>
      </c>
      <c r="HK81">
        <v>9999</v>
      </c>
      <c r="HL81">
        <v>9999</v>
      </c>
      <c r="HM81">
        <v>999.9</v>
      </c>
      <c r="HN81">
        <v>1.8687400000000001</v>
      </c>
      <c r="HO81">
        <v>1.8723799999999999</v>
      </c>
      <c r="HP81">
        <v>1.8721000000000001</v>
      </c>
      <c r="HQ81">
        <v>1.87164</v>
      </c>
      <c r="HR81">
        <v>1.86486</v>
      </c>
      <c r="HS81">
        <v>1.8660000000000001</v>
      </c>
      <c r="HT81">
        <v>1.8680300000000001</v>
      </c>
      <c r="HU81">
        <v>1.8725700000000001</v>
      </c>
      <c r="HV81">
        <v>0</v>
      </c>
      <c r="HW81">
        <v>0</v>
      </c>
      <c r="HX81">
        <v>0</v>
      </c>
      <c r="HY81">
        <v>0</v>
      </c>
      <c r="HZ81" t="s">
        <v>424</v>
      </c>
      <c r="IA81" t="s">
        <v>425</v>
      </c>
      <c r="IB81" t="s">
        <v>426</v>
      </c>
      <c r="IC81" t="s">
        <v>426</v>
      </c>
      <c r="ID81" t="s">
        <v>426</v>
      </c>
      <c r="IE81" t="s">
        <v>426</v>
      </c>
      <c r="IF81">
        <v>0</v>
      </c>
      <c r="IG81">
        <v>100</v>
      </c>
      <c r="IH81">
        <v>100</v>
      </c>
      <c r="II81">
        <v>-1.0629999999999999</v>
      </c>
      <c r="IJ81">
        <v>1.9300000000000001E-2</v>
      </c>
      <c r="IK81">
        <v>-0.99563364377760766</v>
      </c>
      <c r="IL81">
        <v>-1.171017271736434E-3</v>
      </c>
      <c r="IM81">
        <v>2.801297040296544E-7</v>
      </c>
      <c r="IN81">
        <v>-3.6238253961199429E-11</v>
      </c>
      <c r="IO81">
        <v>1.9357142857145959E-2</v>
      </c>
      <c r="IP81">
        <v>0</v>
      </c>
      <c r="IQ81">
        <v>0</v>
      </c>
      <c r="IR81">
        <v>0</v>
      </c>
      <c r="IS81">
        <v>0</v>
      </c>
      <c r="IT81">
        <v>2161</v>
      </c>
      <c r="IU81">
        <v>1</v>
      </c>
      <c r="IV81">
        <v>19</v>
      </c>
      <c r="IW81">
        <v>0.8</v>
      </c>
      <c r="IX81">
        <v>0.6</v>
      </c>
      <c r="IY81">
        <v>0.299072</v>
      </c>
      <c r="IZ81">
        <v>2.5622600000000002</v>
      </c>
      <c r="JA81">
        <v>1.4440900000000001</v>
      </c>
      <c r="JB81">
        <v>2.2827099999999998</v>
      </c>
      <c r="JC81">
        <v>1.54419</v>
      </c>
      <c r="JD81">
        <v>2.4389599999999998</v>
      </c>
      <c r="JE81">
        <v>49.075299999999999</v>
      </c>
      <c r="JF81">
        <v>24.017499999999998</v>
      </c>
      <c r="JG81">
        <v>18</v>
      </c>
      <c r="JH81">
        <v>511.68900000000002</v>
      </c>
      <c r="JI81">
        <v>410.12400000000002</v>
      </c>
      <c r="JJ81">
        <v>26.950600000000001</v>
      </c>
      <c r="JK81">
        <v>33.180100000000003</v>
      </c>
      <c r="JL81">
        <v>29.999400000000001</v>
      </c>
      <c r="JM81">
        <v>33.0657</v>
      </c>
      <c r="JN81">
        <v>33.006999999999998</v>
      </c>
      <c r="JO81">
        <v>6.0981300000000003</v>
      </c>
      <c r="JP81">
        <v>31.4876</v>
      </c>
      <c r="JQ81">
        <v>0</v>
      </c>
      <c r="JR81">
        <v>26.896999999999998</v>
      </c>
      <c r="JS81">
        <v>70</v>
      </c>
      <c r="JT81">
        <v>21.887699999999999</v>
      </c>
      <c r="JU81">
        <v>99.377799999999993</v>
      </c>
      <c r="JV81">
        <v>98.962100000000007</v>
      </c>
    </row>
    <row r="82" spans="1:282" x14ac:dyDescent="0.25">
      <c r="A82">
        <v>66</v>
      </c>
      <c r="B82">
        <v>1689012259</v>
      </c>
      <c r="C82">
        <v>13082</v>
      </c>
      <c r="D82" t="s">
        <v>756</v>
      </c>
      <c r="E82" t="s">
        <v>757</v>
      </c>
      <c r="F82" t="s">
        <v>414</v>
      </c>
      <c r="G82" t="s">
        <v>415</v>
      </c>
      <c r="H82" t="s">
        <v>732</v>
      </c>
      <c r="I82" t="s">
        <v>416</v>
      </c>
      <c r="J82" t="s">
        <v>579</v>
      </c>
      <c r="K82">
        <v>1689012259</v>
      </c>
      <c r="L82">
        <f t="shared" si="92"/>
        <v>6.2689561244115791E-3</v>
      </c>
      <c r="M82">
        <f t="shared" si="93"/>
        <v>6.268956124411579</v>
      </c>
      <c r="N82">
        <f t="shared" si="94"/>
        <v>4.806539739396583</v>
      </c>
      <c r="O82">
        <f t="shared" si="95"/>
        <v>23.8902</v>
      </c>
      <c r="P82">
        <f t="shared" si="96"/>
        <v>5.717968495258039</v>
      </c>
      <c r="Q82">
        <f t="shared" si="97"/>
        <v>0.5675060459411827</v>
      </c>
      <c r="R82">
        <f t="shared" si="98"/>
        <v>2.3710926266886001</v>
      </c>
      <c r="S82">
        <f t="shared" si="99"/>
        <v>0.46389998174680269</v>
      </c>
      <c r="T82">
        <f t="shared" si="100"/>
        <v>2.9095471458567213</v>
      </c>
      <c r="U82">
        <f t="shared" si="101"/>
        <v>0.42638180738795606</v>
      </c>
      <c r="V82">
        <f t="shared" si="102"/>
        <v>0.26960617867588799</v>
      </c>
      <c r="W82">
        <f t="shared" si="103"/>
        <v>289.58779695819737</v>
      </c>
      <c r="X82">
        <f t="shared" si="104"/>
        <v>30.619914322150969</v>
      </c>
      <c r="Y82">
        <f t="shared" si="105"/>
        <v>30.052099999999999</v>
      </c>
      <c r="Z82">
        <f t="shared" si="106"/>
        <v>4.2732161528102557</v>
      </c>
      <c r="AA82">
        <f t="shared" si="107"/>
        <v>65.221844351388924</v>
      </c>
      <c r="AB82">
        <f t="shared" si="108"/>
        <v>2.8664671952701997</v>
      </c>
      <c r="AC82">
        <f t="shared" si="109"/>
        <v>4.3949496120147007</v>
      </c>
      <c r="AD82">
        <f t="shared" si="110"/>
        <v>1.406748957540056</v>
      </c>
      <c r="AE82">
        <f t="shared" si="111"/>
        <v>-276.46096508655063</v>
      </c>
      <c r="AF82">
        <f t="shared" si="112"/>
        <v>76.876843757012523</v>
      </c>
      <c r="AG82">
        <f t="shared" si="113"/>
        <v>5.8923240821186083</v>
      </c>
      <c r="AH82">
        <f t="shared" si="114"/>
        <v>95.895999710777858</v>
      </c>
      <c r="AI82">
        <v>0</v>
      </c>
      <c r="AJ82">
        <v>0</v>
      </c>
      <c r="AK82">
        <f t="shared" si="115"/>
        <v>1</v>
      </c>
      <c r="AL82">
        <f t="shared" si="116"/>
        <v>0</v>
      </c>
      <c r="AM82">
        <f t="shared" si="117"/>
        <v>51672.548949523654</v>
      </c>
      <c r="AN82" t="s">
        <v>418</v>
      </c>
      <c r="AO82">
        <v>10076.700000000001</v>
      </c>
      <c r="AP82">
        <v>185.01599999999999</v>
      </c>
      <c r="AQ82">
        <v>473.06</v>
      </c>
      <c r="AR82">
        <f t="shared" si="118"/>
        <v>0.60889527755464423</v>
      </c>
      <c r="AS82">
        <v>-1.4827006201179751</v>
      </c>
      <c r="AT82" t="s">
        <v>758</v>
      </c>
      <c r="AU82">
        <v>8081.35</v>
      </c>
      <c r="AV82">
        <v>678.14207999999996</v>
      </c>
      <c r="AW82">
        <v>745.77732690335313</v>
      </c>
      <c r="AX82">
        <f t="shared" si="119"/>
        <v>9.0690940128457576E-2</v>
      </c>
      <c r="AY82">
        <v>0.5</v>
      </c>
      <c r="AZ82">
        <f t="shared" si="120"/>
        <v>1513.2941994602058</v>
      </c>
      <c r="BA82">
        <f t="shared" si="121"/>
        <v>4.806539739396583</v>
      </c>
      <c r="BB82">
        <f t="shared" si="122"/>
        <v>68.621036819993833</v>
      </c>
      <c r="BC82">
        <f t="shared" si="123"/>
        <v>4.1559931715577439E-3</v>
      </c>
      <c r="BD82">
        <f t="shared" si="124"/>
        <v>-0.36568197646305645</v>
      </c>
      <c r="BE82">
        <f t="shared" si="125"/>
        <v>215.89300655052597</v>
      </c>
      <c r="BF82" t="s">
        <v>759</v>
      </c>
      <c r="BG82">
        <v>558.78</v>
      </c>
      <c r="BH82">
        <f t="shared" si="126"/>
        <v>558.78</v>
      </c>
      <c r="BI82">
        <f t="shared" si="127"/>
        <v>0.25074150172922394</v>
      </c>
      <c r="BJ82">
        <f t="shared" si="128"/>
        <v>0.3616909825577852</v>
      </c>
      <c r="BK82">
        <f t="shared" si="129"/>
        <v>3.1814900478692629</v>
      </c>
      <c r="BL82">
        <f t="shared" si="130"/>
        <v>0.12061325141098764</v>
      </c>
      <c r="BM82">
        <f t="shared" si="131"/>
        <v>-0.94679051430806804</v>
      </c>
      <c r="BN82">
        <f t="shared" si="132"/>
        <v>0.29802853000014279</v>
      </c>
      <c r="BO82">
        <f t="shared" si="133"/>
        <v>0.70197146999985716</v>
      </c>
      <c r="BP82">
        <v>9185</v>
      </c>
      <c r="BQ82">
        <v>290.00000000000011</v>
      </c>
      <c r="BR82">
        <v>722.76</v>
      </c>
      <c r="BS82">
        <v>185</v>
      </c>
      <c r="BT82">
        <v>8081.35</v>
      </c>
      <c r="BU82">
        <v>721.84</v>
      </c>
      <c r="BV82">
        <v>0.92</v>
      </c>
      <c r="BW82">
        <v>300.00000000000011</v>
      </c>
      <c r="BX82">
        <v>19.2</v>
      </c>
      <c r="BY82">
        <v>745.77732690335313</v>
      </c>
      <c r="BZ82">
        <v>2.4377377467395851</v>
      </c>
      <c r="CA82">
        <v>-19.340749589099762</v>
      </c>
      <c r="CB82">
        <v>1.80891038708955</v>
      </c>
      <c r="CC82">
        <v>0.80325672274589643</v>
      </c>
      <c r="CD82">
        <v>-4.1607461624026841E-3</v>
      </c>
      <c r="CE82">
        <v>289.99999999999989</v>
      </c>
      <c r="CF82">
        <v>719.58</v>
      </c>
      <c r="CG82">
        <v>675</v>
      </c>
      <c r="CH82">
        <v>8067.75</v>
      </c>
      <c r="CI82">
        <v>721.8</v>
      </c>
      <c r="CJ82">
        <v>-2.2200000000000002</v>
      </c>
      <c r="CX82">
        <f t="shared" si="134"/>
        <v>1800.13</v>
      </c>
      <c r="CY82">
        <f t="shared" si="135"/>
        <v>1513.2941994602058</v>
      </c>
      <c r="CZ82">
        <f t="shared" si="136"/>
        <v>0.84065828549060662</v>
      </c>
      <c r="DA82">
        <f t="shared" si="137"/>
        <v>0.16087049099687098</v>
      </c>
      <c r="DB82">
        <v>6</v>
      </c>
      <c r="DC82">
        <v>0.5</v>
      </c>
      <c r="DD82" t="s">
        <v>421</v>
      </c>
      <c r="DE82">
        <v>2</v>
      </c>
      <c r="DF82">
        <v>1689012259</v>
      </c>
      <c r="DG82">
        <v>23.8902</v>
      </c>
      <c r="DH82">
        <v>29.836400000000001</v>
      </c>
      <c r="DI82">
        <v>28.881399999999999</v>
      </c>
      <c r="DJ82">
        <v>21.5776</v>
      </c>
      <c r="DK82">
        <v>24.896599999999999</v>
      </c>
      <c r="DL82">
        <v>28.858799999999999</v>
      </c>
      <c r="DM82">
        <v>500.11500000000001</v>
      </c>
      <c r="DN82">
        <v>99.149199999999993</v>
      </c>
      <c r="DO82">
        <v>0.100393</v>
      </c>
      <c r="DP82">
        <v>30.542200000000001</v>
      </c>
      <c r="DQ82">
        <v>30.052099999999999</v>
      </c>
      <c r="DR82">
        <v>999.9</v>
      </c>
      <c r="DS82">
        <v>0</v>
      </c>
      <c r="DT82">
        <v>0</v>
      </c>
      <c r="DU82">
        <v>9971.25</v>
      </c>
      <c r="DV82">
        <v>0</v>
      </c>
      <c r="DW82">
        <v>1908.83</v>
      </c>
      <c r="DX82">
        <v>-5.9461700000000004</v>
      </c>
      <c r="DY82">
        <v>24.6007</v>
      </c>
      <c r="DZ82">
        <v>30.494399999999999</v>
      </c>
      <c r="EA82">
        <v>7.3037400000000003</v>
      </c>
      <c r="EB82">
        <v>29.836400000000001</v>
      </c>
      <c r="EC82">
        <v>21.5776</v>
      </c>
      <c r="ED82">
        <v>2.8635600000000001</v>
      </c>
      <c r="EE82">
        <v>2.1394000000000002</v>
      </c>
      <c r="EF82">
        <v>23.255199999999999</v>
      </c>
      <c r="EG82">
        <v>18.515599999999999</v>
      </c>
      <c r="EH82">
        <v>1800.13</v>
      </c>
      <c r="EI82">
        <v>0.97799700000000001</v>
      </c>
      <c r="EJ82">
        <v>2.2002500000000001E-2</v>
      </c>
      <c r="EK82">
        <v>0</v>
      </c>
      <c r="EL82">
        <v>678.37699999999995</v>
      </c>
      <c r="EM82">
        <v>5.00082</v>
      </c>
      <c r="EN82">
        <v>15757.5</v>
      </c>
      <c r="EO82">
        <v>14130.8</v>
      </c>
      <c r="EP82">
        <v>49.625</v>
      </c>
      <c r="EQ82">
        <v>50.75</v>
      </c>
      <c r="ER82">
        <v>50.5</v>
      </c>
      <c r="ES82">
        <v>50.436999999999998</v>
      </c>
      <c r="ET82">
        <v>50.811999999999998</v>
      </c>
      <c r="EU82">
        <v>1755.63</v>
      </c>
      <c r="EV82">
        <v>39.5</v>
      </c>
      <c r="EW82">
        <v>0</v>
      </c>
      <c r="EX82">
        <v>129.79999995231631</v>
      </c>
      <c r="EY82">
        <v>0</v>
      </c>
      <c r="EZ82">
        <v>678.14207999999996</v>
      </c>
      <c r="FA82">
        <v>7.9923090477151404E-2</v>
      </c>
      <c r="FB82">
        <v>58.099999871031777</v>
      </c>
      <c r="FC82">
        <v>15767.168</v>
      </c>
      <c r="FD82">
        <v>15</v>
      </c>
      <c r="FE82">
        <v>1689012211</v>
      </c>
      <c r="FF82" t="s">
        <v>760</v>
      </c>
      <c r="FG82">
        <v>1689012211</v>
      </c>
      <c r="FH82">
        <v>1689012210</v>
      </c>
      <c r="FI82">
        <v>74</v>
      </c>
      <c r="FJ82">
        <v>1.7999999999999999E-2</v>
      </c>
      <c r="FK82">
        <v>3.0000000000000001E-3</v>
      </c>
      <c r="FL82">
        <v>-1.0129999999999999</v>
      </c>
      <c r="FM82">
        <v>2.3E-2</v>
      </c>
      <c r="FN82">
        <v>30</v>
      </c>
      <c r="FO82">
        <v>22</v>
      </c>
      <c r="FP82">
        <v>0.24</v>
      </c>
      <c r="FQ82">
        <v>0.02</v>
      </c>
      <c r="FR82">
        <v>4.7377073381450234</v>
      </c>
      <c r="FS82">
        <v>-0.42527276185090351</v>
      </c>
      <c r="FT82">
        <v>6.4794939556287554E-2</v>
      </c>
      <c r="FU82">
        <v>1</v>
      </c>
      <c r="FV82">
        <v>0.46531560725665372</v>
      </c>
      <c r="FW82">
        <v>6.5898427841988376E-4</v>
      </c>
      <c r="FX82">
        <v>9.438744630772065E-4</v>
      </c>
      <c r="FY82">
        <v>1</v>
      </c>
      <c r="FZ82">
        <v>2</v>
      </c>
      <c r="GA82">
        <v>2</v>
      </c>
      <c r="GB82" t="s">
        <v>423</v>
      </c>
      <c r="GC82">
        <v>2.9447199999999998</v>
      </c>
      <c r="GD82">
        <v>2.7088100000000002</v>
      </c>
      <c r="GE82">
        <v>6.5736400000000004E-3</v>
      </c>
      <c r="GF82">
        <v>7.9060799999999994E-3</v>
      </c>
      <c r="GG82">
        <v>0.12864</v>
      </c>
      <c r="GH82">
        <v>0.105006</v>
      </c>
      <c r="GI82">
        <v>32662.400000000001</v>
      </c>
      <c r="GJ82">
        <v>31821.599999999999</v>
      </c>
      <c r="GK82">
        <v>33879.699999999997</v>
      </c>
      <c r="GL82">
        <v>32119.599999999999</v>
      </c>
      <c r="GM82">
        <v>42610.8</v>
      </c>
      <c r="GN82">
        <v>40900.800000000003</v>
      </c>
      <c r="GO82">
        <v>49060.800000000003</v>
      </c>
      <c r="GP82">
        <v>45467.3</v>
      </c>
      <c r="GQ82">
        <v>1.9810700000000001</v>
      </c>
      <c r="GR82">
        <v>1.7615499999999999</v>
      </c>
      <c r="GS82">
        <v>4.06802E-2</v>
      </c>
      <c r="GT82">
        <v>0</v>
      </c>
      <c r="GU82">
        <v>29.389800000000001</v>
      </c>
      <c r="GV82">
        <v>999.9</v>
      </c>
      <c r="GW82">
        <v>31</v>
      </c>
      <c r="GX82">
        <v>45</v>
      </c>
      <c r="GY82">
        <v>30.136199999999999</v>
      </c>
      <c r="GZ82">
        <v>60.218800000000002</v>
      </c>
      <c r="HA82">
        <v>26.181899999999999</v>
      </c>
      <c r="HB82">
        <v>1</v>
      </c>
      <c r="HC82">
        <v>0.44807900000000001</v>
      </c>
      <c r="HD82">
        <v>2.54514</v>
      </c>
      <c r="HE82">
        <v>20.2044</v>
      </c>
      <c r="HF82">
        <v>5.2707499999999996</v>
      </c>
      <c r="HG82">
        <v>12.039899999999999</v>
      </c>
      <c r="HH82">
        <v>4.9658499999999997</v>
      </c>
      <c r="HI82">
        <v>3.3010000000000002</v>
      </c>
      <c r="HJ82">
        <v>9999</v>
      </c>
      <c r="HK82">
        <v>9999</v>
      </c>
      <c r="HL82">
        <v>9999</v>
      </c>
      <c r="HM82">
        <v>999.9</v>
      </c>
      <c r="HN82">
        <v>1.8687199999999999</v>
      </c>
      <c r="HO82">
        <v>1.87235</v>
      </c>
      <c r="HP82">
        <v>1.8721000000000001</v>
      </c>
      <c r="HQ82">
        <v>1.87164</v>
      </c>
      <c r="HR82">
        <v>1.86486</v>
      </c>
      <c r="HS82">
        <v>1.8660099999999999</v>
      </c>
      <c r="HT82">
        <v>1.8680099999999999</v>
      </c>
      <c r="HU82">
        <v>1.8725700000000001</v>
      </c>
      <c r="HV82">
        <v>0</v>
      </c>
      <c r="HW82">
        <v>0</v>
      </c>
      <c r="HX82">
        <v>0</v>
      </c>
      <c r="HY82">
        <v>0</v>
      </c>
      <c r="HZ82" t="s">
        <v>424</v>
      </c>
      <c r="IA82" t="s">
        <v>425</v>
      </c>
      <c r="IB82" t="s">
        <v>426</v>
      </c>
      <c r="IC82" t="s">
        <v>426</v>
      </c>
      <c r="ID82" t="s">
        <v>426</v>
      </c>
      <c r="IE82" t="s">
        <v>426</v>
      </c>
      <c r="IF82">
        <v>0</v>
      </c>
      <c r="IG82">
        <v>100</v>
      </c>
      <c r="IH82">
        <v>100</v>
      </c>
      <c r="II82">
        <v>-1.006</v>
      </c>
      <c r="IJ82">
        <v>2.2599999999999999E-2</v>
      </c>
      <c r="IK82">
        <v>-0.97734358471102034</v>
      </c>
      <c r="IL82">
        <v>-1.171017271736434E-3</v>
      </c>
      <c r="IM82">
        <v>2.801297040296544E-7</v>
      </c>
      <c r="IN82">
        <v>-3.6238253961199429E-11</v>
      </c>
      <c r="IO82">
        <v>2.2576190476193862E-2</v>
      </c>
      <c r="IP82">
        <v>0</v>
      </c>
      <c r="IQ82">
        <v>0</v>
      </c>
      <c r="IR82">
        <v>0</v>
      </c>
      <c r="IS82">
        <v>0</v>
      </c>
      <c r="IT82">
        <v>2161</v>
      </c>
      <c r="IU82">
        <v>1</v>
      </c>
      <c r="IV82">
        <v>19</v>
      </c>
      <c r="IW82">
        <v>0.8</v>
      </c>
      <c r="IX82">
        <v>0.8</v>
      </c>
      <c r="IY82">
        <v>0.20996100000000001</v>
      </c>
      <c r="IZ82">
        <v>2.5915499999999998</v>
      </c>
      <c r="JA82">
        <v>1.4440900000000001</v>
      </c>
      <c r="JB82">
        <v>2.2814899999999998</v>
      </c>
      <c r="JC82">
        <v>1.54419</v>
      </c>
      <c r="JD82">
        <v>2.4096700000000002</v>
      </c>
      <c r="JE82">
        <v>48.856900000000003</v>
      </c>
      <c r="JF82">
        <v>24.026199999999999</v>
      </c>
      <c r="JG82">
        <v>18</v>
      </c>
      <c r="JH82">
        <v>512.53099999999995</v>
      </c>
      <c r="JI82">
        <v>410.04199999999997</v>
      </c>
      <c r="JJ82">
        <v>26.8431</v>
      </c>
      <c r="JK82">
        <v>32.9116</v>
      </c>
      <c r="JL82">
        <v>29.9999</v>
      </c>
      <c r="JM82">
        <v>32.829099999999997</v>
      </c>
      <c r="JN82">
        <v>32.7849</v>
      </c>
      <c r="JO82">
        <v>4.3005199999999997</v>
      </c>
      <c r="JP82">
        <v>32.9542</v>
      </c>
      <c r="JQ82">
        <v>0</v>
      </c>
      <c r="JR82">
        <v>26.823</v>
      </c>
      <c r="JS82">
        <v>30</v>
      </c>
      <c r="JT82">
        <v>21.4711</v>
      </c>
      <c r="JU82">
        <v>99.438100000000006</v>
      </c>
      <c r="JV82">
        <v>99.019000000000005</v>
      </c>
    </row>
    <row r="83" spans="1:282" x14ac:dyDescent="0.25">
      <c r="A83">
        <v>67</v>
      </c>
      <c r="B83">
        <v>1689012375.5</v>
      </c>
      <c r="C83">
        <v>13198.5</v>
      </c>
      <c r="D83" t="s">
        <v>761</v>
      </c>
      <c r="E83" t="s">
        <v>762</v>
      </c>
      <c r="F83" t="s">
        <v>414</v>
      </c>
      <c r="G83" t="s">
        <v>415</v>
      </c>
      <c r="H83" t="s">
        <v>732</v>
      </c>
      <c r="I83" t="s">
        <v>416</v>
      </c>
      <c r="J83" t="s">
        <v>579</v>
      </c>
      <c r="K83">
        <v>1689012375.5</v>
      </c>
      <c r="L83">
        <f t="shared" si="92"/>
        <v>6.6494387421794521E-3</v>
      </c>
      <c r="M83">
        <f t="shared" si="93"/>
        <v>6.6494387421794521</v>
      </c>
      <c r="N83">
        <f t="shared" si="94"/>
        <v>1.7574163948732042</v>
      </c>
      <c r="O83">
        <f t="shared" si="95"/>
        <v>7.6150799999999998</v>
      </c>
      <c r="P83">
        <f t="shared" si="96"/>
        <v>1.4598509769165198</v>
      </c>
      <c r="Q83">
        <f t="shared" si="97"/>
        <v>0.14489229704586157</v>
      </c>
      <c r="R83">
        <f t="shared" si="98"/>
        <v>0.75580757956439992</v>
      </c>
      <c r="S83">
        <f t="shared" si="99"/>
        <v>0.50261200623652846</v>
      </c>
      <c r="T83">
        <f t="shared" si="100"/>
        <v>2.9099083850130398</v>
      </c>
      <c r="U83">
        <f t="shared" si="101"/>
        <v>0.45889163376373387</v>
      </c>
      <c r="V83">
        <f t="shared" si="102"/>
        <v>0.29041778737714025</v>
      </c>
      <c r="W83">
        <f t="shared" si="103"/>
        <v>289.57502895815099</v>
      </c>
      <c r="X83">
        <f t="shared" si="104"/>
        <v>30.438602178087191</v>
      </c>
      <c r="Y83">
        <f t="shared" si="105"/>
        <v>29.979199999999999</v>
      </c>
      <c r="Z83">
        <f t="shared" si="106"/>
        <v>4.2553623133322658</v>
      </c>
      <c r="AA83">
        <f t="shared" si="107"/>
        <v>65.58164886304715</v>
      </c>
      <c r="AB83">
        <f t="shared" si="108"/>
        <v>2.8688030332919996</v>
      </c>
      <c r="AC83">
        <f t="shared" si="109"/>
        <v>4.3743990628885587</v>
      </c>
      <c r="AD83">
        <f t="shared" si="110"/>
        <v>1.3865592800402662</v>
      </c>
      <c r="AE83">
        <f t="shared" si="111"/>
        <v>-293.24024853011383</v>
      </c>
      <c r="AF83">
        <f t="shared" si="112"/>
        <v>75.474477688293376</v>
      </c>
      <c r="AG83">
        <f t="shared" si="113"/>
        <v>5.779692558307981</v>
      </c>
      <c r="AH83">
        <f t="shared" si="114"/>
        <v>77.588950674638539</v>
      </c>
      <c r="AI83">
        <v>0</v>
      </c>
      <c r="AJ83">
        <v>0</v>
      </c>
      <c r="AK83">
        <f t="shared" si="115"/>
        <v>1</v>
      </c>
      <c r="AL83">
        <f t="shared" si="116"/>
        <v>0</v>
      </c>
      <c r="AM83">
        <f t="shared" si="117"/>
        <v>51696.788870236436</v>
      </c>
      <c r="AN83" t="s">
        <v>418</v>
      </c>
      <c r="AO83">
        <v>10076.700000000001</v>
      </c>
      <c r="AP83">
        <v>185.01599999999999</v>
      </c>
      <c r="AQ83">
        <v>473.06</v>
      </c>
      <c r="AR83">
        <f t="shared" si="118"/>
        <v>0.60889527755464423</v>
      </c>
      <c r="AS83">
        <v>-1.4827006201179751</v>
      </c>
      <c r="AT83" t="s">
        <v>763</v>
      </c>
      <c r="AU83">
        <v>8087.63</v>
      </c>
      <c r="AV83">
        <v>684.85752000000002</v>
      </c>
      <c r="AW83">
        <v>742.5770544914393</v>
      </c>
      <c r="AX83">
        <f t="shared" si="119"/>
        <v>7.7728680333341349E-2</v>
      </c>
      <c r="AY83">
        <v>0.5</v>
      </c>
      <c r="AZ83">
        <f t="shared" si="120"/>
        <v>1513.2269994601818</v>
      </c>
      <c r="BA83">
        <f t="shared" si="121"/>
        <v>1.7574163948732042</v>
      </c>
      <c r="BB83">
        <f t="shared" si="122"/>
        <v>58.810568856410889</v>
      </c>
      <c r="BC83">
        <f t="shared" si="123"/>
        <v>2.1411969361814433E-3</v>
      </c>
      <c r="BD83">
        <f t="shared" si="124"/>
        <v>-0.362948266259076</v>
      </c>
      <c r="BE83">
        <f t="shared" si="125"/>
        <v>215.62399439288555</v>
      </c>
      <c r="BF83" t="s">
        <v>764</v>
      </c>
      <c r="BG83">
        <v>568.23</v>
      </c>
      <c r="BH83">
        <f t="shared" si="126"/>
        <v>568.23</v>
      </c>
      <c r="BI83">
        <f t="shared" si="127"/>
        <v>0.23478648234134092</v>
      </c>
      <c r="BJ83">
        <f t="shared" si="128"/>
        <v>0.3310611392879792</v>
      </c>
      <c r="BK83">
        <f t="shared" si="129"/>
        <v>2.8319539192123488</v>
      </c>
      <c r="BL83">
        <f t="shared" si="130"/>
        <v>0.10352146016383124</v>
      </c>
      <c r="BM83">
        <f t="shared" si="131"/>
        <v>-0.93568015473830146</v>
      </c>
      <c r="BN83">
        <f t="shared" si="132"/>
        <v>0.27468322342084883</v>
      </c>
      <c r="BO83">
        <f t="shared" si="133"/>
        <v>0.72531677657915117</v>
      </c>
      <c r="BP83">
        <v>9187</v>
      </c>
      <c r="BQ83">
        <v>290.00000000000011</v>
      </c>
      <c r="BR83">
        <v>721.95</v>
      </c>
      <c r="BS83">
        <v>115</v>
      </c>
      <c r="BT83">
        <v>8087.63</v>
      </c>
      <c r="BU83">
        <v>720.66</v>
      </c>
      <c r="BV83">
        <v>1.29</v>
      </c>
      <c r="BW83">
        <v>300.00000000000011</v>
      </c>
      <c r="BX83">
        <v>19.2</v>
      </c>
      <c r="BY83">
        <v>742.5770544914393</v>
      </c>
      <c r="BZ83">
        <v>2.2755581314971631</v>
      </c>
      <c r="CA83">
        <v>-17.725356343498959</v>
      </c>
      <c r="CB83">
        <v>1.6887599246441201</v>
      </c>
      <c r="CC83">
        <v>0.79734765575818534</v>
      </c>
      <c r="CD83">
        <v>-4.1611610678531702E-3</v>
      </c>
      <c r="CE83">
        <v>289.99999999999989</v>
      </c>
      <c r="CF83">
        <v>719.63</v>
      </c>
      <c r="CG83">
        <v>645</v>
      </c>
      <c r="CH83">
        <v>8069.44</v>
      </c>
      <c r="CI83">
        <v>720.61</v>
      </c>
      <c r="CJ83">
        <v>-0.98</v>
      </c>
      <c r="CX83">
        <f t="shared" si="134"/>
        <v>1800.05</v>
      </c>
      <c r="CY83">
        <f t="shared" si="135"/>
        <v>1513.2269994601818</v>
      </c>
      <c r="CZ83">
        <f t="shared" si="136"/>
        <v>0.84065831474691355</v>
      </c>
      <c r="DA83">
        <f t="shared" si="137"/>
        <v>0.16087054746154331</v>
      </c>
      <c r="DB83">
        <v>6</v>
      </c>
      <c r="DC83">
        <v>0.5</v>
      </c>
      <c r="DD83" t="s">
        <v>421</v>
      </c>
      <c r="DE83">
        <v>2</v>
      </c>
      <c r="DF83">
        <v>1689012375.5</v>
      </c>
      <c r="DG83">
        <v>7.6150799999999998</v>
      </c>
      <c r="DH83">
        <v>9.7842699999999994</v>
      </c>
      <c r="DI83">
        <v>28.904399999999999</v>
      </c>
      <c r="DJ83">
        <v>21.157399999999999</v>
      </c>
      <c r="DK83">
        <v>8.5833999999999993</v>
      </c>
      <c r="DL83">
        <v>28.885000000000002</v>
      </c>
      <c r="DM83">
        <v>500.10899999999998</v>
      </c>
      <c r="DN83">
        <v>99.1511</v>
      </c>
      <c r="DO83">
        <v>0.10033</v>
      </c>
      <c r="DP83">
        <v>30.4603</v>
      </c>
      <c r="DQ83">
        <v>29.979199999999999</v>
      </c>
      <c r="DR83">
        <v>999.9</v>
      </c>
      <c r="DS83">
        <v>0</v>
      </c>
      <c r="DT83">
        <v>0</v>
      </c>
      <c r="DU83">
        <v>9973.1200000000008</v>
      </c>
      <c r="DV83">
        <v>0</v>
      </c>
      <c r="DW83">
        <v>1845.51</v>
      </c>
      <c r="DX83">
        <v>-2.16919</v>
      </c>
      <c r="DY83">
        <v>7.8417399999999997</v>
      </c>
      <c r="DZ83">
        <v>9.9957499999999992</v>
      </c>
      <c r="EA83">
        <v>7.7470699999999999</v>
      </c>
      <c r="EB83">
        <v>9.7842699999999994</v>
      </c>
      <c r="EC83">
        <v>21.157399999999999</v>
      </c>
      <c r="ED83">
        <v>2.8658999999999999</v>
      </c>
      <c r="EE83">
        <v>2.0977700000000001</v>
      </c>
      <c r="EF83">
        <v>23.268699999999999</v>
      </c>
      <c r="EG83">
        <v>18.202300000000001</v>
      </c>
      <c r="EH83">
        <v>1800.05</v>
      </c>
      <c r="EI83">
        <v>0.97799400000000003</v>
      </c>
      <c r="EJ83">
        <v>2.2006100000000001E-2</v>
      </c>
      <c r="EK83">
        <v>0</v>
      </c>
      <c r="EL83">
        <v>684.822</v>
      </c>
      <c r="EM83">
        <v>5.00082</v>
      </c>
      <c r="EN83">
        <v>15839.5</v>
      </c>
      <c r="EO83">
        <v>14130.1</v>
      </c>
      <c r="EP83">
        <v>49.625</v>
      </c>
      <c r="EQ83">
        <v>51</v>
      </c>
      <c r="ER83">
        <v>50.5</v>
      </c>
      <c r="ES83">
        <v>50.561999999999998</v>
      </c>
      <c r="ET83">
        <v>50.811999999999998</v>
      </c>
      <c r="EU83">
        <v>1755.55</v>
      </c>
      <c r="EV83">
        <v>39.5</v>
      </c>
      <c r="EW83">
        <v>0</v>
      </c>
      <c r="EX83">
        <v>114.5999999046326</v>
      </c>
      <c r="EY83">
        <v>0</v>
      </c>
      <c r="EZ83">
        <v>684.85752000000002</v>
      </c>
      <c r="FA83">
        <v>0.99230768946830972</v>
      </c>
      <c r="FB83">
        <v>4.2999998034010938</v>
      </c>
      <c r="FC83">
        <v>15836.487999999999</v>
      </c>
      <c r="FD83">
        <v>15</v>
      </c>
      <c r="FE83">
        <v>1689012330.5</v>
      </c>
      <c r="FF83" t="s">
        <v>765</v>
      </c>
      <c r="FG83">
        <v>1689012328.5</v>
      </c>
      <c r="FH83">
        <v>1689012330.5</v>
      </c>
      <c r="FI83">
        <v>75</v>
      </c>
      <c r="FJ83">
        <v>1.9E-2</v>
      </c>
      <c r="FK83">
        <v>-3.0000000000000001E-3</v>
      </c>
      <c r="FL83">
        <v>-0.97099999999999997</v>
      </c>
      <c r="FM83">
        <v>1.9E-2</v>
      </c>
      <c r="FN83">
        <v>10</v>
      </c>
      <c r="FO83">
        <v>21</v>
      </c>
      <c r="FP83">
        <v>0.46</v>
      </c>
      <c r="FQ83">
        <v>0.01</v>
      </c>
      <c r="FR83">
        <v>1.693250381928024</v>
      </c>
      <c r="FS83">
        <v>-0.50494378659156236</v>
      </c>
      <c r="FT83">
        <v>6.7789286488332531E-2</v>
      </c>
      <c r="FU83">
        <v>1</v>
      </c>
      <c r="FV83">
        <v>0.50150713107058498</v>
      </c>
      <c r="FW83">
        <v>-1.1895422305711801E-2</v>
      </c>
      <c r="FX83">
        <v>1.044225483119216E-3</v>
      </c>
      <c r="FY83">
        <v>1</v>
      </c>
      <c r="FZ83">
        <v>2</v>
      </c>
      <c r="GA83">
        <v>2</v>
      </c>
      <c r="GB83" t="s">
        <v>423</v>
      </c>
      <c r="GC83">
        <v>2.9447399999999999</v>
      </c>
      <c r="GD83">
        <v>2.7087599999999998</v>
      </c>
      <c r="GE83">
        <v>2.2672399999999998E-3</v>
      </c>
      <c r="GF83">
        <v>2.5952200000000001E-3</v>
      </c>
      <c r="GG83">
        <v>0.12874099999999999</v>
      </c>
      <c r="GH83">
        <v>0.103576</v>
      </c>
      <c r="GI83">
        <v>32804.300000000003</v>
      </c>
      <c r="GJ83">
        <v>31991.7</v>
      </c>
      <c r="GK83">
        <v>33880.1</v>
      </c>
      <c r="GL83">
        <v>32119.5</v>
      </c>
      <c r="GM83">
        <v>42605.8</v>
      </c>
      <c r="GN83">
        <v>40966.800000000003</v>
      </c>
      <c r="GO83">
        <v>49061</v>
      </c>
      <c r="GP83">
        <v>45468.2</v>
      </c>
      <c r="GQ83">
        <v>1.9819500000000001</v>
      </c>
      <c r="GR83">
        <v>1.76095</v>
      </c>
      <c r="GS83">
        <v>1.0237100000000001E-2</v>
      </c>
      <c r="GT83">
        <v>0</v>
      </c>
      <c r="GU83">
        <v>29.8126</v>
      </c>
      <c r="GV83">
        <v>999.9</v>
      </c>
      <c r="GW83">
        <v>31</v>
      </c>
      <c r="GX83">
        <v>45</v>
      </c>
      <c r="GY83">
        <v>30.135999999999999</v>
      </c>
      <c r="GZ83">
        <v>60.408799999999999</v>
      </c>
      <c r="HA83">
        <v>25.536899999999999</v>
      </c>
      <c r="HB83">
        <v>1</v>
      </c>
      <c r="HC83">
        <v>0.445353</v>
      </c>
      <c r="HD83">
        <v>1.63022</v>
      </c>
      <c r="HE83">
        <v>20.2166</v>
      </c>
      <c r="HF83">
        <v>5.2712000000000003</v>
      </c>
      <c r="HG83">
        <v>12.039899999999999</v>
      </c>
      <c r="HH83">
        <v>4.9657499999999999</v>
      </c>
      <c r="HI83">
        <v>3.3010000000000002</v>
      </c>
      <c r="HJ83">
        <v>9999</v>
      </c>
      <c r="HK83">
        <v>9999</v>
      </c>
      <c r="HL83">
        <v>9999</v>
      </c>
      <c r="HM83">
        <v>999.9</v>
      </c>
      <c r="HN83">
        <v>1.86869</v>
      </c>
      <c r="HO83">
        <v>1.87239</v>
      </c>
      <c r="HP83">
        <v>1.8721000000000001</v>
      </c>
      <c r="HQ83">
        <v>1.87164</v>
      </c>
      <c r="HR83">
        <v>1.86486</v>
      </c>
      <c r="HS83">
        <v>1.8660000000000001</v>
      </c>
      <c r="HT83">
        <v>1.86799</v>
      </c>
      <c r="HU83">
        <v>1.87256</v>
      </c>
      <c r="HV83">
        <v>0</v>
      </c>
      <c r="HW83">
        <v>0</v>
      </c>
      <c r="HX83">
        <v>0</v>
      </c>
      <c r="HY83">
        <v>0</v>
      </c>
      <c r="HZ83" t="s">
        <v>424</v>
      </c>
      <c r="IA83" t="s">
        <v>425</v>
      </c>
      <c r="IB83" t="s">
        <v>426</v>
      </c>
      <c r="IC83" t="s">
        <v>426</v>
      </c>
      <c r="ID83" t="s">
        <v>426</v>
      </c>
      <c r="IE83" t="s">
        <v>426</v>
      </c>
      <c r="IF83">
        <v>0</v>
      </c>
      <c r="IG83">
        <v>100</v>
      </c>
      <c r="IH83">
        <v>100</v>
      </c>
      <c r="II83">
        <v>-0.96799999999999997</v>
      </c>
      <c r="IJ83">
        <v>1.9400000000000001E-2</v>
      </c>
      <c r="IK83">
        <v>-0.95829355371879921</v>
      </c>
      <c r="IL83">
        <v>-1.171017271736434E-3</v>
      </c>
      <c r="IM83">
        <v>2.801297040296544E-7</v>
      </c>
      <c r="IN83">
        <v>-3.6238253961199429E-11</v>
      </c>
      <c r="IO83">
        <v>1.9419999999996659E-2</v>
      </c>
      <c r="IP83">
        <v>0</v>
      </c>
      <c r="IQ83">
        <v>0</v>
      </c>
      <c r="IR83">
        <v>0</v>
      </c>
      <c r="IS83">
        <v>0</v>
      </c>
      <c r="IT83">
        <v>2161</v>
      </c>
      <c r="IU83">
        <v>1</v>
      </c>
      <c r="IV83">
        <v>19</v>
      </c>
      <c r="IW83">
        <v>0.8</v>
      </c>
      <c r="IX83">
        <v>0.8</v>
      </c>
      <c r="IY83">
        <v>0.164795</v>
      </c>
      <c r="IZ83">
        <v>2.6086399999999998</v>
      </c>
      <c r="JA83">
        <v>1.4440900000000001</v>
      </c>
      <c r="JB83">
        <v>2.2814899999999998</v>
      </c>
      <c r="JC83">
        <v>1.54419</v>
      </c>
      <c r="JD83">
        <v>2.4426299999999999</v>
      </c>
      <c r="JE83">
        <v>48.856900000000003</v>
      </c>
      <c r="JF83">
        <v>24.026199999999999</v>
      </c>
      <c r="JG83">
        <v>18</v>
      </c>
      <c r="JH83">
        <v>512.596</v>
      </c>
      <c r="JI83">
        <v>409.26</v>
      </c>
      <c r="JJ83">
        <v>26.5258</v>
      </c>
      <c r="JK83">
        <v>32.877400000000002</v>
      </c>
      <c r="JL83">
        <v>29.9986</v>
      </c>
      <c r="JM83">
        <v>32.765700000000002</v>
      </c>
      <c r="JN83">
        <v>32.723399999999998</v>
      </c>
      <c r="JO83">
        <v>3.4193799999999999</v>
      </c>
      <c r="JP83">
        <v>34.673999999999999</v>
      </c>
      <c r="JQ83">
        <v>0</v>
      </c>
      <c r="JR83">
        <v>26.6614</v>
      </c>
      <c r="JS83">
        <v>10</v>
      </c>
      <c r="JT83">
        <v>21.043600000000001</v>
      </c>
      <c r="JU83">
        <v>99.438800000000001</v>
      </c>
      <c r="JV83">
        <v>99.02</v>
      </c>
    </row>
    <row r="84" spans="1:282" x14ac:dyDescent="0.25">
      <c r="A84">
        <v>68</v>
      </c>
      <c r="B84">
        <v>1689012565</v>
      </c>
      <c r="C84">
        <v>13388</v>
      </c>
      <c r="D84" t="s">
        <v>766</v>
      </c>
      <c r="E84" t="s">
        <v>767</v>
      </c>
      <c r="F84" t="s">
        <v>414</v>
      </c>
      <c r="G84" t="s">
        <v>415</v>
      </c>
      <c r="H84" t="s">
        <v>732</v>
      </c>
      <c r="I84" t="s">
        <v>416</v>
      </c>
      <c r="J84" t="s">
        <v>579</v>
      </c>
      <c r="K84">
        <v>1689012565</v>
      </c>
      <c r="L84">
        <f t="shared" si="92"/>
        <v>6.2939900014943248E-3</v>
      </c>
      <c r="M84">
        <f t="shared" si="93"/>
        <v>6.2939900014943246</v>
      </c>
      <c r="N84">
        <f t="shared" si="94"/>
        <v>48.833837817373457</v>
      </c>
      <c r="O84">
        <f t="shared" si="95"/>
        <v>338.988</v>
      </c>
      <c r="P84">
        <f t="shared" si="96"/>
        <v>151.49450148763225</v>
      </c>
      <c r="Q84">
        <f t="shared" si="97"/>
        <v>15.035868509723386</v>
      </c>
      <c r="R84">
        <f t="shared" si="98"/>
        <v>33.644646797891994</v>
      </c>
      <c r="S84">
        <f t="shared" si="99"/>
        <v>0.46219542054548318</v>
      </c>
      <c r="T84">
        <f t="shared" si="100"/>
        <v>2.910218451855306</v>
      </c>
      <c r="U84">
        <f t="shared" si="101"/>
        <v>0.42494845260724312</v>
      </c>
      <c r="V84">
        <f t="shared" si="102"/>
        <v>0.26868869692666131</v>
      </c>
      <c r="W84">
        <f t="shared" si="103"/>
        <v>289.59418095822053</v>
      </c>
      <c r="X84">
        <f t="shared" si="104"/>
        <v>30.529205150363655</v>
      </c>
      <c r="Y84">
        <f t="shared" si="105"/>
        <v>30.049099999999999</v>
      </c>
      <c r="Z84">
        <f t="shared" si="106"/>
        <v>4.2724801410314246</v>
      </c>
      <c r="AA84">
        <f t="shared" si="107"/>
        <v>65.280446917310499</v>
      </c>
      <c r="AB84">
        <f t="shared" si="108"/>
        <v>2.8552513009638001</v>
      </c>
      <c r="AC84">
        <f t="shared" si="109"/>
        <v>4.3738231519470032</v>
      </c>
      <c r="AD84">
        <f t="shared" si="110"/>
        <v>1.4172288400676245</v>
      </c>
      <c r="AE84">
        <f t="shared" si="111"/>
        <v>-277.5649590658997</v>
      </c>
      <c r="AF84">
        <f t="shared" si="112"/>
        <v>64.154650575439348</v>
      </c>
      <c r="AG84">
        <f t="shared" si="113"/>
        <v>4.9139602591881388</v>
      </c>
      <c r="AH84">
        <f t="shared" si="114"/>
        <v>81.097832726948297</v>
      </c>
      <c r="AI84">
        <v>0</v>
      </c>
      <c r="AJ84">
        <v>0</v>
      </c>
      <c r="AK84">
        <f t="shared" si="115"/>
        <v>1</v>
      </c>
      <c r="AL84">
        <f t="shared" si="116"/>
        <v>0</v>
      </c>
      <c r="AM84">
        <f t="shared" si="117"/>
        <v>51705.960064954161</v>
      </c>
      <c r="AN84" t="s">
        <v>418</v>
      </c>
      <c r="AO84">
        <v>10076.700000000001</v>
      </c>
      <c r="AP84">
        <v>185.01599999999999</v>
      </c>
      <c r="AQ84">
        <v>473.06</v>
      </c>
      <c r="AR84">
        <f t="shared" si="118"/>
        <v>0.60889527755464423</v>
      </c>
      <c r="AS84">
        <v>-1.4827006201179751</v>
      </c>
      <c r="AT84" t="s">
        <v>768</v>
      </c>
      <c r="AU84">
        <v>8077.41</v>
      </c>
      <c r="AV84">
        <v>664.95580769230776</v>
      </c>
      <c r="AW84">
        <v>1058.8603895428621</v>
      </c>
      <c r="AX84">
        <f t="shared" si="119"/>
        <v>0.37200804349722938</v>
      </c>
      <c r="AY84">
        <v>0.5</v>
      </c>
      <c r="AZ84">
        <f t="shared" si="120"/>
        <v>1513.3277994602179</v>
      </c>
      <c r="BA84">
        <f t="shared" si="121"/>
        <v>48.833837817373457</v>
      </c>
      <c r="BB84">
        <f t="shared" si="122"/>
        <v>281.48505692358157</v>
      </c>
      <c r="BC84">
        <f t="shared" si="123"/>
        <v>3.3248935528336035E-2</v>
      </c>
      <c r="BD84">
        <f t="shared" si="124"/>
        <v>-0.55323666399096072</v>
      </c>
      <c r="BE84">
        <f t="shared" si="125"/>
        <v>236.10226730398716</v>
      </c>
      <c r="BF84" t="s">
        <v>769</v>
      </c>
      <c r="BG84">
        <v>530.67999999999995</v>
      </c>
      <c r="BH84">
        <f t="shared" si="126"/>
        <v>530.67999999999995</v>
      </c>
      <c r="BI84">
        <f t="shared" si="127"/>
        <v>0.49881966948531475</v>
      </c>
      <c r="BJ84">
        <f t="shared" si="128"/>
        <v>0.74577661278086649</v>
      </c>
      <c r="BK84">
        <f t="shared" si="129"/>
        <v>10.166615576932708</v>
      </c>
      <c r="BL84">
        <f t="shared" si="130"/>
        <v>0.45077199849806127</v>
      </c>
      <c r="BM84">
        <f t="shared" si="131"/>
        <v>-2.0337184233758112</v>
      </c>
      <c r="BN84">
        <f t="shared" si="132"/>
        <v>0.59518050416619961</v>
      </c>
      <c r="BO84">
        <f t="shared" si="133"/>
        <v>0.40481949583380039</v>
      </c>
      <c r="BP84">
        <v>9189</v>
      </c>
      <c r="BQ84">
        <v>290.00000000000011</v>
      </c>
      <c r="BR84">
        <v>898.28</v>
      </c>
      <c r="BS84">
        <v>295</v>
      </c>
      <c r="BT84">
        <v>8077.41</v>
      </c>
      <c r="BU84">
        <v>901.42</v>
      </c>
      <c r="BV84">
        <v>-3.14</v>
      </c>
      <c r="BW84">
        <v>300.00000000000011</v>
      </c>
      <c r="BX84">
        <v>19.2</v>
      </c>
      <c r="BY84">
        <v>1058.8603895428621</v>
      </c>
      <c r="BZ84">
        <v>4.0179022040409764</v>
      </c>
      <c r="CA84">
        <v>-127.17275352486421</v>
      </c>
      <c r="CB84">
        <v>2.982065540430201</v>
      </c>
      <c r="CC84">
        <v>0.98483756829873725</v>
      </c>
      <c r="CD84">
        <v>-4.1622373748609652E-3</v>
      </c>
      <c r="CE84">
        <v>289.99999999999989</v>
      </c>
      <c r="CF84">
        <v>885.79</v>
      </c>
      <c r="CG84">
        <v>615</v>
      </c>
      <c r="CH84">
        <v>8071.08</v>
      </c>
      <c r="CI84">
        <v>901.29</v>
      </c>
      <c r="CJ84">
        <v>-15.5</v>
      </c>
      <c r="CX84">
        <f t="shared" si="134"/>
        <v>1800.17</v>
      </c>
      <c r="CY84">
        <f t="shared" si="135"/>
        <v>1513.3277994602179</v>
      </c>
      <c r="CZ84">
        <f t="shared" si="136"/>
        <v>0.84065827086342837</v>
      </c>
      <c r="DA84">
        <f t="shared" si="137"/>
        <v>0.16087046276641678</v>
      </c>
      <c r="DB84">
        <v>6</v>
      </c>
      <c r="DC84">
        <v>0.5</v>
      </c>
      <c r="DD84" t="s">
        <v>421</v>
      </c>
      <c r="DE84">
        <v>2</v>
      </c>
      <c r="DF84">
        <v>1689012565</v>
      </c>
      <c r="DG84">
        <v>338.988</v>
      </c>
      <c r="DH84">
        <v>400.12799999999999</v>
      </c>
      <c r="DI84">
        <v>28.7682</v>
      </c>
      <c r="DJ84">
        <v>21.435199999999998</v>
      </c>
      <c r="DK84">
        <v>340.23200000000003</v>
      </c>
      <c r="DL84">
        <v>28.7577</v>
      </c>
      <c r="DM84">
        <v>500.17099999999999</v>
      </c>
      <c r="DN84">
        <v>99.15</v>
      </c>
      <c r="DO84">
        <v>0.100259</v>
      </c>
      <c r="DP84">
        <v>30.457999999999998</v>
      </c>
      <c r="DQ84">
        <v>30.049099999999999</v>
      </c>
      <c r="DR84">
        <v>999.9</v>
      </c>
      <c r="DS84">
        <v>0</v>
      </c>
      <c r="DT84">
        <v>0</v>
      </c>
      <c r="DU84">
        <v>9975</v>
      </c>
      <c r="DV84">
        <v>0</v>
      </c>
      <c r="DW84">
        <v>1841.97</v>
      </c>
      <c r="DX84">
        <v>-61.139800000000001</v>
      </c>
      <c r="DY84">
        <v>349.029</v>
      </c>
      <c r="DZ84">
        <v>408.892</v>
      </c>
      <c r="EA84">
        <v>7.3330700000000002</v>
      </c>
      <c r="EB84">
        <v>400.12799999999999</v>
      </c>
      <c r="EC84">
        <v>21.435199999999998</v>
      </c>
      <c r="ED84">
        <v>2.8523700000000001</v>
      </c>
      <c r="EE84">
        <v>2.1253000000000002</v>
      </c>
      <c r="EF84">
        <v>23.190300000000001</v>
      </c>
      <c r="EG84">
        <v>18.41</v>
      </c>
      <c r="EH84">
        <v>1800.17</v>
      </c>
      <c r="EI84">
        <v>0.97799700000000001</v>
      </c>
      <c r="EJ84">
        <v>2.2002500000000001E-2</v>
      </c>
      <c r="EK84">
        <v>0</v>
      </c>
      <c r="EL84">
        <v>666.13</v>
      </c>
      <c r="EM84">
        <v>5.00082</v>
      </c>
      <c r="EN84">
        <v>15354.4</v>
      </c>
      <c r="EO84">
        <v>14131.1</v>
      </c>
      <c r="EP84">
        <v>49.75</v>
      </c>
      <c r="EQ84">
        <v>51.375</v>
      </c>
      <c r="ER84">
        <v>50.686999999999998</v>
      </c>
      <c r="ES84">
        <v>50.875</v>
      </c>
      <c r="ET84">
        <v>50.936999999999998</v>
      </c>
      <c r="EU84">
        <v>1755.67</v>
      </c>
      <c r="EV84">
        <v>39.5</v>
      </c>
      <c r="EW84">
        <v>0</v>
      </c>
      <c r="EX84">
        <v>187.39999985694891</v>
      </c>
      <c r="EY84">
        <v>0</v>
      </c>
      <c r="EZ84">
        <v>664.95580769230776</v>
      </c>
      <c r="FA84">
        <v>8.8827008683741102</v>
      </c>
      <c r="FB84">
        <v>120.63589852800619</v>
      </c>
      <c r="FC84">
        <v>15357.02307692308</v>
      </c>
      <c r="FD84">
        <v>15</v>
      </c>
      <c r="FE84">
        <v>1689012456</v>
      </c>
      <c r="FF84" t="s">
        <v>770</v>
      </c>
      <c r="FG84">
        <v>1689012454</v>
      </c>
      <c r="FH84">
        <v>1689012456</v>
      </c>
      <c r="FI84">
        <v>76</v>
      </c>
      <c r="FJ84">
        <v>8.1000000000000003E-2</v>
      </c>
      <c r="FK84">
        <v>-8.9999999999999993E-3</v>
      </c>
      <c r="FL84">
        <v>-1.3049999999999999</v>
      </c>
      <c r="FM84">
        <v>1.0999999999999999E-2</v>
      </c>
      <c r="FN84">
        <v>400</v>
      </c>
      <c r="FO84">
        <v>21</v>
      </c>
      <c r="FP84">
        <v>0.03</v>
      </c>
      <c r="FQ84">
        <v>0.01</v>
      </c>
      <c r="FR84">
        <v>48.3583968077156</v>
      </c>
      <c r="FS84">
        <v>3.1542282898153831</v>
      </c>
      <c r="FT84">
        <v>0.23209584579095069</v>
      </c>
      <c r="FU84">
        <v>0</v>
      </c>
      <c r="FV84">
        <v>0.45739263785486889</v>
      </c>
      <c r="FW84">
        <v>3.9786332487213603E-2</v>
      </c>
      <c r="FX84">
        <v>3.0089491417575891E-3</v>
      </c>
      <c r="FY84">
        <v>1</v>
      </c>
      <c r="FZ84">
        <v>1</v>
      </c>
      <c r="GA84">
        <v>2</v>
      </c>
      <c r="GB84" t="s">
        <v>462</v>
      </c>
      <c r="GC84">
        <v>2.9447899999999998</v>
      </c>
      <c r="GD84">
        <v>2.7086999999999999</v>
      </c>
      <c r="GE84">
        <v>7.7219399999999994E-2</v>
      </c>
      <c r="GF84">
        <v>8.7799799999999997E-2</v>
      </c>
      <c r="GG84">
        <v>0.128328</v>
      </c>
      <c r="GH84">
        <v>0.104517</v>
      </c>
      <c r="GI84">
        <v>30330.9</v>
      </c>
      <c r="GJ84">
        <v>29250.799999999999</v>
      </c>
      <c r="GK84">
        <v>33867.4</v>
      </c>
      <c r="GL84">
        <v>32108.2</v>
      </c>
      <c r="GM84">
        <v>42614.5</v>
      </c>
      <c r="GN84">
        <v>40911.9</v>
      </c>
      <c r="GO84">
        <v>49045</v>
      </c>
      <c r="GP84">
        <v>45452.5</v>
      </c>
      <c r="GQ84">
        <v>1.9799199999999999</v>
      </c>
      <c r="GR84">
        <v>1.7605</v>
      </c>
      <c r="GS84">
        <v>-1.5795200000000001E-3</v>
      </c>
      <c r="GT84">
        <v>0</v>
      </c>
      <c r="GU84">
        <v>30.0748</v>
      </c>
      <c r="GV84">
        <v>999.9</v>
      </c>
      <c r="GW84">
        <v>30.8</v>
      </c>
      <c r="GX84">
        <v>45.1</v>
      </c>
      <c r="GY84">
        <v>30.095300000000002</v>
      </c>
      <c r="GZ84">
        <v>60.248800000000003</v>
      </c>
      <c r="HA84">
        <v>25.977599999999999</v>
      </c>
      <c r="HB84">
        <v>1</v>
      </c>
      <c r="HC84">
        <v>0.45905499999999999</v>
      </c>
      <c r="HD84">
        <v>2.5762800000000001</v>
      </c>
      <c r="HE84">
        <v>20.2042</v>
      </c>
      <c r="HF84">
        <v>5.2702999999999998</v>
      </c>
      <c r="HG84">
        <v>12.039899999999999</v>
      </c>
      <c r="HH84">
        <v>4.9656500000000001</v>
      </c>
      <c r="HI84">
        <v>3.3010000000000002</v>
      </c>
      <c r="HJ84">
        <v>9999</v>
      </c>
      <c r="HK84">
        <v>9999</v>
      </c>
      <c r="HL84">
        <v>9999</v>
      </c>
      <c r="HM84">
        <v>999.9</v>
      </c>
      <c r="HN84">
        <v>1.86869</v>
      </c>
      <c r="HO84">
        <v>1.8723799999999999</v>
      </c>
      <c r="HP84">
        <v>1.8721000000000001</v>
      </c>
      <c r="HQ84">
        <v>1.87164</v>
      </c>
      <c r="HR84">
        <v>1.8649</v>
      </c>
      <c r="HS84">
        <v>1.8660099999999999</v>
      </c>
      <c r="HT84">
        <v>1.8680300000000001</v>
      </c>
      <c r="HU84">
        <v>1.8725700000000001</v>
      </c>
      <c r="HV84">
        <v>0</v>
      </c>
      <c r="HW84">
        <v>0</v>
      </c>
      <c r="HX84">
        <v>0</v>
      </c>
      <c r="HY84">
        <v>0</v>
      </c>
      <c r="HZ84" t="s">
        <v>424</v>
      </c>
      <c r="IA84" t="s">
        <v>425</v>
      </c>
      <c r="IB84" t="s">
        <v>426</v>
      </c>
      <c r="IC84" t="s">
        <v>426</v>
      </c>
      <c r="ID84" t="s">
        <v>426</v>
      </c>
      <c r="IE84" t="s">
        <v>426</v>
      </c>
      <c r="IF84">
        <v>0</v>
      </c>
      <c r="IG84">
        <v>100</v>
      </c>
      <c r="IH84">
        <v>100</v>
      </c>
      <c r="II84">
        <v>-1.244</v>
      </c>
      <c r="IJ84">
        <v>1.0500000000000001E-2</v>
      </c>
      <c r="IK84">
        <v>-0.87726482029264297</v>
      </c>
      <c r="IL84">
        <v>-1.171017271736434E-3</v>
      </c>
      <c r="IM84">
        <v>2.801297040296544E-7</v>
      </c>
      <c r="IN84">
        <v>-3.6238253961199429E-11</v>
      </c>
      <c r="IO84">
        <v>1.05349999999973E-2</v>
      </c>
      <c r="IP84">
        <v>0</v>
      </c>
      <c r="IQ84">
        <v>0</v>
      </c>
      <c r="IR84">
        <v>0</v>
      </c>
      <c r="IS84">
        <v>0</v>
      </c>
      <c r="IT84">
        <v>2161</v>
      </c>
      <c r="IU84">
        <v>1</v>
      </c>
      <c r="IV84">
        <v>19</v>
      </c>
      <c r="IW84">
        <v>1.9</v>
      </c>
      <c r="IX84">
        <v>1.8</v>
      </c>
      <c r="IY84">
        <v>1.03149</v>
      </c>
      <c r="IZ84">
        <v>2.52441</v>
      </c>
      <c r="JA84">
        <v>1.4440900000000001</v>
      </c>
      <c r="JB84">
        <v>2.2814899999999998</v>
      </c>
      <c r="JC84">
        <v>1.54419</v>
      </c>
      <c r="JD84">
        <v>2.4523899999999998</v>
      </c>
      <c r="JE84">
        <v>49.012700000000002</v>
      </c>
      <c r="JF84">
        <v>24.017499999999998</v>
      </c>
      <c r="JG84">
        <v>18</v>
      </c>
      <c r="JH84">
        <v>511.79399999999998</v>
      </c>
      <c r="JI84">
        <v>409.428</v>
      </c>
      <c r="JJ84">
        <v>26.516400000000001</v>
      </c>
      <c r="JK84">
        <v>33.018000000000001</v>
      </c>
      <c r="JL84">
        <v>30.001200000000001</v>
      </c>
      <c r="JM84">
        <v>32.833199999999998</v>
      </c>
      <c r="JN84">
        <v>32.788899999999998</v>
      </c>
      <c r="JO84">
        <v>20.7807</v>
      </c>
      <c r="JP84">
        <v>32.8461</v>
      </c>
      <c r="JQ84">
        <v>0</v>
      </c>
      <c r="JR84">
        <v>26.440899999999999</v>
      </c>
      <c r="JS84">
        <v>400</v>
      </c>
      <c r="JT84">
        <v>21.294</v>
      </c>
      <c r="JU84">
        <v>99.404300000000006</v>
      </c>
      <c r="JV84">
        <v>98.985500000000002</v>
      </c>
    </row>
    <row r="85" spans="1:282" x14ac:dyDescent="0.25">
      <c r="A85">
        <v>69</v>
      </c>
      <c r="B85">
        <v>1689012670</v>
      </c>
      <c r="C85">
        <v>13493</v>
      </c>
      <c r="D85" t="s">
        <v>771</v>
      </c>
      <c r="E85" t="s">
        <v>772</v>
      </c>
      <c r="F85" t="s">
        <v>414</v>
      </c>
      <c r="G85" t="s">
        <v>415</v>
      </c>
      <c r="H85" t="s">
        <v>732</v>
      </c>
      <c r="I85" t="s">
        <v>416</v>
      </c>
      <c r="J85" t="s">
        <v>579</v>
      </c>
      <c r="K85">
        <v>1689012670</v>
      </c>
      <c r="L85">
        <f t="shared" si="92"/>
        <v>5.9199613234532369E-3</v>
      </c>
      <c r="M85">
        <f t="shared" si="93"/>
        <v>5.9199613234532373</v>
      </c>
      <c r="N85">
        <f t="shared" si="94"/>
        <v>52.426647032814159</v>
      </c>
      <c r="O85">
        <f t="shared" si="95"/>
        <v>334.90100000000001</v>
      </c>
      <c r="P85">
        <f t="shared" si="96"/>
        <v>123.43887265456007</v>
      </c>
      <c r="Q85">
        <f t="shared" si="97"/>
        <v>12.251199200847745</v>
      </c>
      <c r="R85">
        <f t="shared" si="98"/>
        <v>33.238628766847704</v>
      </c>
      <c r="S85">
        <f t="shared" si="99"/>
        <v>0.43571968739790179</v>
      </c>
      <c r="T85">
        <f t="shared" si="100"/>
        <v>2.9154560232630997</v>
      </c>
      <c r="U85">
        <f t="shared" si="101"/>
        <v>0.40250812268474861</v>
      </c>
      <c r="V85">
        <f t="shared" si="102"/>
        <v>0.2543402209536586</v>
      </c>
      <c r="W85">
        <f t="shared" si="103"/>
        <v>289.57502895815099</v>
      </c>
      <c r="X85">
        <f t="shared" si="104"/>
        <v>30.488464241266026</v>
      </c>
      <c r="Y85">
        <f t="shared" si="105"/>
        <v>29.986999999999998</v>
      </c>
      <c r="Z85">
        <f t="shared" si="106"/>
        <v>4.2572694897055063</v>
      </c>
      <c r="AA85">
        <f t="shared" si="107"/>
        <v>65.673054079017973</v>
      </c>
      <c r="AB85">
        <f t="shared" si="108"/>
        <v>2.84980939090249</v>
      </c>
      <c r="AC85">
        <f t="shared" si="109"/>
        <v>4.3393891617612184</v>
      </c>
      <c r="AD85">
        <f t="shared" si="110"/>
        <v>1.4074600988030164</v>
      </c>
      <c r="AE85">
        <f t="shared" si="111"/>
        <v>-261.07029436428775</v>
      </c>
      <c r="AF85">
        <f t="shared" si="112"/>
        <v>52.340295687011668</v>
      </c>
      <c r="AG85">
        <f t="shared" si="113"/>
        <v>3.9978709919048638</v>
      </c>
      <c r="AH85">
        <f t="shared" si="114"/>
        <v>84.842901272779756</v>
      </c>
      <c r="AI85">
        <v>0</v>
      </c>
      <c r="AJ85">
        <v>0</v>
      </c>
      <c r="AK85">
        <f t="shared" si="115"/>
        <v>1</v>
      </c>
      <c r="AL85">
        <f t="shared" si="116"/>
        <v>0</v>
      </c>
      <c r="AM85">
        <f t="shared" si="117"/>
        <v>51878.31282554831</v>
      </c>
      <c r="AN85" t="s">
        <v>418</v>
      </c>
      <c r="AO85">
        <v>10076.700000000001</v>
      </c>
      <c r="AP85">
        <v>185.01599999999999</v>
      </c>
      <c r="AQ85">
        <v>473.06</v>
      </c>
      <c r="AR85">
        <f t="shared" si="118"/>
        <v>0.60889527755464423</v>
      </c>
      <c r="AS85">
        <v>-1.4827006201179751</v>
      </c>
      <c r="AT85" t="s">
        <v>773</v>
      </c>
      <c r="AU85">
        <v>8076.98</v>
      </c>
      <c r="AV85">
        <v>689.39411999999993</v>
      </c>
      <c r="AW85">
        <v>1084.1981787167399</v>
      </c>
      <c r="AX85">
        <f t="shared" si="119"/>
        <v>0.3641438128811757</v>
      </c>
      <c r="AY85">
        <v>0.5</v>
      </c>
      <c r="AZ85">
        <f t="shared" si="120"/>
        <v>1513.2269994601818</v>
      </c>
      <c r="BA85">
        <f t="shared" si="121"/>
        <v>52.426647032814159</v>
      </c>
      <c r="BB85">
        <f t="shared" si="122"/>
        <v>275.51612466908568</v>
      </c>
      <c r="BC85">
        <f t="shared" si="123"/>
        <v>3.5625420159806416E-2</v>
      </c>
      <c r="BD85">
        <f t="shared" si="124"/>
        <v>-0.56367755518652951</v>
      </c>
      <c r="BE85">
        <f t="shared" si="125"/>
        <v>237.33904226937241</v>
      </c>
      <c r="BF85" t="s">
        <v>774</v>
      </c>
      <c r="BG85">
        <v>542.59</v>
      </c>
      <c r="BH85">
        <f t="shared" si="126"/>
        <v>542.59</v>
      </c>
      <c r="BI85">
        <f t="shared" si="127"/>
        <v>0.49954721318365325</v>
      </c>
      <c r="BJ85">
        <f t="shared" si="128"/>
        <v>0.72894774161677089</v>
      </c>
      <c r="BK85">
        <f t="shared" si="129"/>
        <v>8.7895610343267609</v>
      </c>
      <c r="BL85">
        <f t="shared" si="130"/>
        <v>0.43907015514940606</v>
      </c>
      <c r="BM85">
        <f t="shared" si="131"/>
        <v>-2.1216834189107914</v>
      </c>
      <c r="BN85">
        <f t="shared" si="132"/>
        <v>0.57372081317410106</v>
      </c>
      <c r="BO85">
        <f t="shared" si="133"/>
        <v>0.42627918682589894</v>
      </c>
      <c r="BP85">
        <v>9191</v>
      </c>
      <c r="BQ85">
        <v>290.00000000000011</v>
      </c>
      <c r="BR85">
        <v>943.03</v>
      </c>
      <c r="BS85">
        <v>295</v>
      </c>
      <c r="BT85">
        <v>8076.98</v>
      </c>
      <c r="BU85">
        <v>946.48</v>
      </c>
      <c r="BV85">
        <v>-3.45</v>
      </c>
      <c r="BW85">
        <v>300.00000000000011</v>
      </c>
      <c r="BX85">
        <v>19.2</v>
      </c>
      <c r="BY85">
        <v>1084.1981787167399</v>
      </c>
      <c r="BZ85">
        <v>4.5603493809076339</v>
      </c>
      <c r="CA85">
        <v>-111.2367414713833</v>
      </c>
      <c r="CB85">
        <v>3.384478700779181</v>
      </c>
      <c r="CC85">
        <v>0.9747343000545593</v>
      </c>
      <c r="CD85">
        <v>-4.1619479421579593E-3</v>
      </c>
      <c r="CE85">
        <v>289.99999999999989</v>
      </c>
      <c r="CF85">
        <v>937.96</v>
      </c>
      <c r="CG85">
        <v>655</v>
      </c>
      <c r="CH85">
        <v>8069.42</v>
      </c>
      <c r="CI85">
        <v>946.35</v>
      </c>
      <c r="CJ85">
        <v>-8.39</v>
      </c>
      <c r="CX85">
        <f t="shared" si="134"/>
        <v>1800.05</v>
      </c>
      <c r="CY85">
        <f t="shared" si="135"/>
        <v>1513.2269994601818</v>
      </c>
      <c r="CZ85">
        <f t="shared" si="136"/>
        <v>0.84065831474691355</v>
      </c>
      <c r="DA85">
        <f t="shared" si="137"/>
        <v>0.16087054746154331</v>
      </c>
      <c r="DB85">
        <v>6</v>
      </c>
      <c r="DC85">
        <v>0.5</v>
      </c>
      <c r="DD85" t="s">
        <v>421</v>
      </c>
      <c r="DE85">
        <v>2</v>
      </c>
      <c r="DF85">
        <v>1689012670</v>
      </c>
      <c r="DG85">
        <v>334.90100000000001</v>
      </c>
      <c r="DH85">
        <v>400.18099999999998</v>
      </c>
      <c r="DI85">
        <v>28.713699999999999</v>
      </c>
      <c r="DJ85">
        <v>21.814900000000002</v>
      </c>
      <c r="DK85">
        <v>336.22300000000001</v>
      </c>
      <c r="DL85">
        <v>28.696200000000001</v>
      </c>
      <c r="DM85">
        <v>500.08499999999998</v>
      </c>
      <c r="DN85">
        <v>99.149199999999993</v>
      </c>
      <c r="DO85">
        <v>9.9917699999999998E-2</v>
      </c>
      <c r="DP85">
        <v>30.32</v>
      </c>
      <c r="DQ85">
        <v>29.986999999999998</v>
      </c>
      <c r="DR85">
        <v>999.9</v>
      </c>
      <c r="DS85">
        <v>0</v>
      </c>
      <c r="DT85">
        <v>0</v>
      </c>
      <c r="DU85">
        <v>10005</v>
      </c>
      <c r="DV85">
        <v>0</v>
      </c>
      <c r="DW85">
        <v>1793.78</v>
      </c>
      <c r="DX85">
        <v>-65.279799999999994</v>
      </c>
      <c r="DY85">
        <v>344.80200000000002</v>
      </c>
      <c r="DZ85">
        <v>409.10500000000002</v>
      </c>
      <c r="EA85">
        <v>6.8988100000000001</v>
      </c>
      <c r="EB85">
        <v>400.18099999999998</v>
      </c>
      <c r="EC85">
        <v>21.814900000000002</v>
      </c>
      <c r="ED85">
        <v>2.84694</v>
      </c>
      <c r="EE85">
        <v>2.1629299999999998</v>
      </c>
      <c r="EF85">
        <v>23.158799999999999</v>
      </c>
      <c r="EG85">
        <v>18.690300000000001</v>
      </c>
      <c r="EH85">
        <v>1800.05</v>
      </c>
      <c r="EI85">
        <v>0.97799700000000001</v>
      </c>
      <c r="EJ85">
        <v>2.2002500000000001E-2</v>
      </c>
      <c r="EK85">
        <v>0</v>
      </c>
      <c r="EL85">
        <v>689.98299999999995</v>
      </c>
      <c r="EM85">
        <v>5.00082</v>
      </c>
      <c r="EN85">
        <v>15741.3</v>
      </c>
      <c r="EO85">
        <v>14130.2</v>
      </c>
      <c r="EP85">
        <v>49.875</v>
      </c>
      <c r="EQ85">
        <v>51.5</v>
      </c>
      <c r="ER85">
        <v>50.811999999999998</v>
      </c>
      <c r="ES85">
        <v>51</v>
      </c>
      <c r="ET85">
        <v>51.061999999999998</v>
      </c>
      <c r="EU85">
        <v>1755.55</v>
      </c>
      <c r="EV85">
        <v>39.5</v>
      </c>
      <c r="EW85">
        <v>0</v>
      </c>
      <c r="EX85">
        <v>103.3999998569489</v>
      </c>
      <c r="EY85">
        <v>0</v>
      </c>
      <c r="EZ85">
        <v>689.39411999999993</v>
      </c>
      <c r="FA85">
        <v>8.5327692186866866</v>
      </c>
      <c r="FB85">
        <v>6746.3384724731568</v>
      </c>
      <c r="FC85">
        <v>15147.664000000001</v>
      </c>
      <c r="FD85">
        <v>15</v>
      </c>
      <c r="FE85">
        <v>1689012637</v>
      </c>
      <c r="FF85" t="s">
        <v>775</v>
      </c>
      <c r="FG85">
        <v>1689012627.5</v>
      </c>
      <c r="FH85">
        <v>1689012637</v>
      </c>
      <c r="FI85">
        <v>77</v>
      </c>
      <c r="FJ85">
        <v>-8.1000000000000003E-2</v>
      </c>
      <c r="FK85">
        <v>7.0000000000000001E-3</v>
      </c>
      <c r="FL85">
        <v>-1.3859999999999999</v>
      </c>
      <c r="FM85">
        <v>1.7000000000000001E-2</v>
      </c>
      <c r="FN85">
        <v>400</v>
      </c>
      <c r="FO85">
        <v>21</v>
      </c>
      <c r="FP85">
        <v>0.04</v>
      </c>
      <c r="FQ85">
        <v>0.02</v>
      </c>
      <c r="FR85">
        <v>52.52417696417011</v>
      </c>
      <c r="FS85">
        <v>-0.49438257754941811</v>
      </c>
      <c r="FT85">
        <v>5.7340877314269983E-2</v>
      </c>
      <c r="FU85">
        <v>1</v>
      </c>
      <c r="FV85">
        <v>0.43443316464300019</v>
      </c>
      <c r="FW85">
        <v>3.3085214327001053E-2</v>
      </c>
      <c r="FX85">
        <v>3.784662820605873E-3</v>
      </c>
      <c r="FY85">
        <v>1</v>
      </c>
      <c r="FZ85">
        <v>2</v>
      </c>
      <c r="GA85">
        <v>2</v>
      </c>
      <c r="GB85" t="s">
        <v>423</v>
      </c>
      <c r="GC85">
        <v>2.94448</v>
      </c>
      <c r="GD85">
        <v>2.7086199999999998</v>
      </c>
      <c r="GE85">
        <v>7.6474600000000004E-2</v>
      </c>
      <c r="GF85">
        <v>8.7792599999999998E-2</v>
      </c>
      <c r="GG85">
        <v>0.128111</v>
      </c>
      <c r="GH85">
        <v>0.105796</v>
      </c>
      <c r="GI85">
        <v>30344.7</v>
      </c>
      <c r="GJ85">
        <v>29241.599999999999</v>
      </c>
      <c r="GK85">
        <v>33856.199999999997</v>
      </c>
      <c r="GL85">
        <v>32098.400000000001</v>
      </c>
      <c r="GM85">
        <v>42612.800000000003</v>
      </c>
      <c r="GN85">
        <v>40841.4</v>
      </c>
      <c r="GO85">
        <v>49030.3</v>
      </c>
      <c r="GP85">
        <v>45439</v>
      </c>
      <c r="GQ85">
        <v>1.9776</v>
      </c>
      <c r="GR85">
        <v>1.7594700000000001</v>
      </c>
      <c r="GS85">
        <v>-7.3201999999999998E-3</v>
      </c>
      <c r="GT85">
        <v>0</v>
      </c>
      <c r="GU85">
        <v>30.106100000000001</v>
      </c>
      <c r="GV85">
        <v>999.9</v>
      </c>
      <c r="GW85">
        <v>30.7</v>
      </c>
      <c r="GX85">
        <v>45.2</v>
      </c>
      <c r="GY85">
        <v>30.153400000000001</v>
      </c>
      <c r="GZ85">
        <v>60.188800000000001</v>
      </c>
      <c r="HA85">
        <v>26.197900000000001</v>
      </c>
      <c r="HB85">
        <v>1</v>
      </c>
      <c r="HC85">
        <v>0.47489799999999999</v>
      </c>
      <c r="HD85">
        <v>3.4153899999999999</v>
      </c>
      <c r="HE85">
        <v>20.188500000000001</v>
      </c>
      <c r="HF85">
        <v>5.2667099999999998</v>
      </c>
      <c r="HG85">
        <v>12.039899999999999</v>
      </c>
      <c r="HH85">
        <v>4.9652500000000002</v>
      </c>
      <c r="HI85">
        <v>3.30023</v>
      </c>
      <c r="HJ85">
        <v>9999</v>
      </c>
      <c r="HK85">
        <v>9999</v>
      </c>
      <c r="HL85">
        <v>9999</v>
      </c>
      <c r="HM85">
        <v>999.9</v>
      </c>
      <c r="HN85">
        <v>1.8687400000000001</v>
      </c>
      <c r="HO85">
        <v>1.87239</v>
      </c>
      <c r="HP85">
        <v>1.8721000000000001</v>
      </c>
      <c r="HQ85">
        <v>1.87164</v>
      </c>
      <c r="HR85">
        <v>1.86487</v>
      </c>
      <c r="HS85">
        <v>1.8660000000000001</v>
      </c>
      <c r="HT85">
        <v>1.86805</v>
      </c>
      <c r="HU85">
        <v>1.87259</v>
      </c>
      <c r="HV85">
        <v>0</v>
      </c>
      <c r="HW85">
        <v>0</v>
      </c>
      <c r="HX85">
        <v>0</v>
      </c>
      <c r="HY85">
        <v>0</v>
      </c>
      <c r="HZ85" t="s">
        <v>424</v>
      </c>
      <c r="IA85" t="s">
        <v>425</v>
      </c>
      <c r="IB85" t="s">
        <v>426</v>
      </c>
      <c r="IC85" t="s">
        <v>426</v>
      </c>
      <c r="ID85" t="s">
        <v>426</v>
      </c>
      <c r="IE85" t="s">
        <v>426</v>
      </c>
      <c r="IF85">
        <v>0</v>
      </c>
      <c r="IG85">
        <v>100</v>
      </c>
      <c r="IH85">
        <v>100</v>
      </c>
      <c r="II85">
        <v>-1.3220000000000001</v>
      </c>
      <c r="IJ85">
        <v>1.7500000000000002E-2</v>
      </c>
      <c r="IK85">
        <v>-0.9585972107486862</v>
      </c>
      <c r="IL85">
        <v>-1.171017271736434E-3</v>
      </c>
      <c r="IM85">
        <v>2.801297040296544E-7</v>
      </c>
      <c r="IN85">
        <v>-3.6238253961199429E-11</v>
      </c>
      <c r="IO85">
        <v>1.7490476190477722E-2</v>
      </c>
      <c r="IP85">
        <v>0</v>
      </c>
      <c r="IQ85">
        <v>0</v>
      </c>
      <c r="IR85">
        <v>0</v>
      </c>
      <c r="IS85">
        <v>0</v>
      </c>
      <c r="IT85">
        <v>2161</v>
      </c>
      <c r="IU85">
        <v>1</v>
      </c>
      <c r="IV85">
        <v>19</v>
      </c>
      <c r="IW85">
        <v>0.7</v>
      </c>
      <c r="IX85">
        <v>0.6</v>
      </c>
      <c r="IY85">
        <v>1.03149</v>
      </c>
      <c r="IZ85">
        <v>2.52441</v>
      </c>
      <c r="JA85">
        <v>1.4440900000000001</v>
      </c>
      <c r="JB85">
        <v>2.2827099999999998</v>
      </c>
      <c r="JC85">
        <v>1.54419</v>
      </c>
      <c r="JD85">
        <v>2.4279799999999998</v>
      </c>
      <c r="JE85">
        <v>49.169199999999996</v>
      </c>
      <c r="JF85">
        <v>24.008700000000001</v>
      </c>
      <c r="JG85">
        <v>18</v>
      </c>
      <c r="JH85">
        <v>511.00599999999997</v>
      </c>
      <c r="JI85">
        <v>409.375</v>
      </c>
      <c r="JJ85">
        <v>25.735399999999998</v>
      </c>
      <c r="JK85">
        <v>33.134999999999998</v>
      </c>
      <c r="JL85">
        <v>30.000399999999999</v>
      </c>
      <c r="JM85">
        <v>32.926900000000003</v>
      </c>
      <c r="JN85">
        <v>32.873399999999997</v>
      </c>
      <c r="JO85">
        <v>20.770399999999999</v>
      </c>
      <c r="JP85">
        <v>31.3645</v>
      </c>
      <c r="JQ85">
        <v>0</v>
      </c>
      <c r="JR85">
        <v>25.7407</v>
      </c>
      <c r="JS85">
        <v>400</v>
      </c>
      <c r="JT85">
        <v>21.633900000000001</v>
      </c>
      <c r="JU85">
        <v>99.3733</v>
      </c>
      <c r="JV85">
        <v>98.955799999999996</v>
      </c>
    </row>
    <row r="86" spans="1:282" x14ac:dyDescent="0.25">
      <c r="A86">
        <v>70</v>
      </c>
      <c r="B86">
        <v>1689012811.5</v>
      </c>
      <c r="C86">
        <v>13634.5</v>
      </c>
      <c r="D86" t="s">
        <v>776</v>
      </c>
      <c r="E86" t="s">
        <v>777</v>
      </c>
      <c r="F86" t="s">
        <v>414</v>
      </c>
      <c r="G86" t="s">
        <v>415</v>
      </c>
      <c r="H86" t="s">
        <v>732</v>
      </c>
      <c r="I86" t="s">
        <v>416</v>
      </c>
      <c r="J86" t="s">
        <v>579</v>
      </c>
      <c r="K86">
        <v>1689012811.5</v>
      </c>
      <c r="L86">
        <f t="shared" si="92"/>
        <v>5.9714506453430729E-3</v>
      </c>
      <c r="M86">
        <f t="shared" si="93"/>
        <v>5.9714506453430731</v>
      </c>
      <c r="N86">
        <f t="shared" si="94"/>
        <v>53.314762514619019</v>
      </c>
      <c r="O86">
        <f t="shared" si="95"/>
        <v>333.66899999999998</v>
      </c>
      <c r="P86">
        <f t="shared" si="96"/>
        <v>118.75541154410807</v>
      </c>
      <c r="Q86">
        <f t="shared" si="97"/>
        <v>11.785848279712244</v>
      </c>
      <c r="R86">
        <f t="shared" si="98"/>
        <v>33.114888479693995</v>
      </c>
      <c r="S86">
        <f t="shared" si="99"/>
        <v>0.43583662311817001</v>
      </c>
      <c r="T86">
        <f t="shared" si="100"/>
        <v>2.9079302061384253</v>
      </c>
      <c r="U86">
        <f t="shared" si="101"/>
        <v>0.40252900119199292</v>
      </c>
      <c r="V86">
        <f t="shared" si="102"/>
        <v>0.25436073135031384</v>
      </c>
      <c r="W86">
        <f t="shared" si="103"/>
        <v>289.56807866099678</v>
      </c>
      <c r="X86">
        <f t="shared" si="104"/>
        <v>30.389485328053592</v>
      </c>
      <c r="Y86">
        <f t="shared" si="105"/>
        <v>29.9527</v>
      </c>
      <c r="Z86">
        <f t="shared" si="106"/>
        <v>4.2488883648858158</v>
      </c>
      <c r="AA86">
        <f t="shared" si="107"/>
        <v>65.517852956677544</v>
      </c>
      <c r="AB86">
        <f t="shared" si="108"/>
        <v>2.8291098572464</v>
      </c>
      <c r="AC86">
        <f t="shared" si="109"/>
        <v>4.318074737762081</v>
      </c>
      <c r="AD86">
        <f t="shared" si="110"/>
        <v>1.4197785076394158</v>
      </c>
      <c r="AE86">
        <f t="shared" si="111"/>
        <v>-263.34097345962954</v>
      </c>
      <c r="AF86">
        <f t="shared" si="112"/>
        <v>44.115734583116634</v>
      </c>
      <c r="AG86">
        <f t="shared" si="113"/>
        <v>3.3763718937788592</v>
      </c>
      <c r="AH86">
        <f t="shared" si="114"/>
        <v>73.719211678262738</v>
      </c>
      <c r="AI86">
        <v>0</v>
      </c>
      <c r="AJ86">
        <v>0</v>
      </c>
      <c r="AK86">
        <f t="shared" si="115"/>
        <v>1</v>
      </c>
      <c r="AL86">
        <f t="shared" si="116"/>
        <v>0</v>
      </c>
      <c r="AM86">
        <f t="shared" si="117"/>
        <v>51679.029049341516</v>
      </c>
      <c r="AN86" t="s">
        <v>418</v>
      </c>
      <c r="AO86">
        <v>10076.700000000001</v>
      </c>
      <c r="AP86">
        <v>185.01599999999999</v>
      </c>
      <c r="AQ86">
        <v>473.06</v>
      </c>
      <c r="AR86">
        <f t="shared" si="118"/>
        <v>0.60889527755464423</v>
      </c>
      <c r="AS86">
        <v>-1.4827006201179751</v>
      </c>
      <c r="AT86" t="s">
        <v>778</v>
      </c>
      <c r="AU86">
        <v>8076.81</v>
      </c>
      <c r="AV86">
        <v>697.63099999999997</v>
      </c>
      <c r="AW86">
        <v>1101.263784925794</v>
      </c>
      <c r="AX86">
        <f t="shared" si="119"/>
        <v>0.36651780477189833</v>
      </c>
      <c r="AY86">
        <v>0.5</v>
      </c>
      <c r="AZ86">
        <f t="shared" si="120"/>
        <v>1513.193106041967</v>
      </c>
      <c r="BA86">
        <f t="shared" si="121"/>
        <v>53.314762514619019</v>
      </c>
      <c r="BB86">
        <f t="shared" si="122"/>
        <v>277.30610771123605</v>
      </c>
      <c r="BC86">
        <f t="shared" si="123"/>
        <v>3.6213132954372076E-2</v>
      </c>
      <c r="BD86">
        <f t="shared" si="124"/>
        <v>-0.57043897522528997</v>
      </c>
      <c r="BE86">
        <f t="shared" si="125"/>
        <v>238.14690172060767</v>
      </c>
      <c r="BF86" t="s">
        <v>779</v>
      </c>
      <c r="BG86">
        <v>542.49</v>
      </c>
      <c r="BH86">
        <f t="shared" si="126"/>
        <v>542.49</v>
      </c>
      <c r="BI86">
        <f t="shared" si="127"/>
        <v>0.50739322637713502</v>
      </c>
      <c r="BJ86">
        <f t="shared" si="128"/>
        <v>0.72235454814580657</v>
      </c>
      <c r="BK86">
        <f t="shared" si="129"/>
        <v>9.0480164903614284</v>
      </c>
      <c r="BL86">
        <f t="shared" si="130"/>
        <v>0.44052797896639262</v>
      </c>
      <c r="BM86">
        <f t="shared" si="131"/>
        <v>-2.1809299444730459</v>
      </c>
      <c r="BN86">
        <f t="shared" si="132"/>
        <v>0.56171546107271408</v>
      </c>
      <c r="BO86">
        <f t="shared" si="133"/>
        <v>0.43828453892728592</v>
      </c>
      <c r="BP86">
        <v>9193</v>
      </c>
      <c r="BQ86">
        <v>290.00000000000011</v>
      </c>
      <c r="BR86">
        <v>963.12</v>
      </c>
      <c r="BS86">
        <v>285</v>
      </c>
      <c r="BT86">
        <v>8076.81</v>
      </c>
      <c r="BU86">
        <v>966.37</v>
      </c>
      <c r="BV86">
        <v>-3.25</v>
      </c>
      <c r="BW86">
        <v>300.00000000000011</v>
      </c>
      <c r="BX86">
        <v>19.2</v>
      </c>
      <c r="BY86">
        <v>1101.263784925794</v>
      </c>
      <c r="BZ86">
        <v>4.6355925363144417</v>
      </c>
      <c r="CA86">
        <v>-108.94993077738179</v>
      </c>
      <c r="CB86">
        <v>3.4402396353925448</v>
      </c>
      <c r="CC86">
        <v>0.97284041627982065</v>
      </c>
      <c r="CD86">
        <v>-4.1619392658509557E-3</v>
      </c>
      <c r="CE86">
        <v>289.99999999999989</v>
      </c>
      <c r="CF86">
        <v>958.51</v>
      </c>
      <c r="CG86">
        <v>625</v>
      </c>
      <c r="CH86">
        <v>8070.11</v>
      </c>
      <c r="CI86">
        <v>966.26</v>
      </c>
      <c r="CJ86">
        <v>-7.75</v>
      </c>
      <c r="CX86">
        <f t="shared" si="134"/>
        <v>1800.01</v>
      </c>
      <c r="CY86">
        <f t="shared" si="135"/>
        <v>1513.193106041967</v>
      </c>
      <c r="CZ86">
        <f t="shared" si="136"/>
        <v>0.84065816636683521</v>
      </c>
      <c r="DA86">
        <f t="shared" si="137"/>
        <v>0.16087026108799216</v>
      </c>
      <c r="DB86">
        <v>6</v>
      </c>
      <c r="DC86">
        <v>0.5</v>
      </c>
      <c r="DD86" t="s">
        <v>421</v>
      </c>
      <c r="DE86">
        <v>2</v>
      </c>
      <c r="DF86">
        <v>1689012811.5</v>
      </c>
      <c r="DG86">
        <v>333.66899999999998</v>
      </c>
      <c r="DH86">
        <v>400.017</v>
      </c>
      <c r="DI86">
        <v>28.506399999999999</v>
      </c>
      <c r="DJ86">
        <v>21.5471</v>
      </c>
      <c r="DK86">
        <v>335.017</v>
      </c>
      <c r="DL86">
        <v>28.494900000000001</v>
      </c>
      <c r="DM86">
        <v>500.15600000000001</v>
      </c>
      <c r="DN86">
        <v>99.144499999999994</v>
      </c>
      <c r="DO86">
        <v>0.100226</v>
      </c>
      <c r="DP86">
        <v>30.234100000000002</v>
      </c>
      <c r="DQ86">
        <v>29.9527</v>
      </c>
      <c r="DR86">
        <v>999.9</v>
      </c>
      <c r="DS86">
        <v>0</v>
      </c>
      <c r="DT86">
        <v>0</v>
      </c>
      <c r="DU86">
        <v>9962.5</v>
      </c>
      <c r="DV86">
        <v>0</v>
      </c>
      <c r="DW86">
        <v>1834.25</v>
      </c>
      <c r="DX86">
        <v>-66.347700000000003</v>
      </c>
      <c r="DY86">
        <v>343.46</v>
      </c>
      <c r="DZ86">
        <v>408.82600000000002</v>
      </c>
      <c r="EA86">
        <v>6.9592599999999996</v>
      </c>
      <c r="EB86">
        <v>400.017</v>
      </c>
      <c r="EC86">
        <v>21.5471</v>
      </c>
      <c r="ED86">
        <v>2.8262499999999999</v>
      </c>
      <c r="EE86">
        <v>2.1362800000000002</v>
      </c>
      <c r="EF86">
        <v>23.0382</v>
      </c>
      <c r="EG86">
        <v>18.4923</v>
      </c>
      <c r="EH86">
        <v>1800.01</v>
      </c>
      <c r="EI86">
        <v>0.97799700000000001</v>
      </c>
      <c r="EJ86">
        <v>2.2002500000000001E-2</v>
      </c>
      <c r="EK86">
        <v>0</v>
      </c>
      <c r="EL86">
        <v>697.69299999999998</v>
      </c>
      <c r="EM86">
        <v>5.00082</v>
      </c>
      <c r="EN86">
        <v>15919</v>
      </c>
      <c r="EO86">
        <v>14129.8</v>
      </c>
      <c r="EP86">
        <v>49.936999999999998</v>
      </c>
      <c r="EQ86">
        <v>51.625</v>
      </c>
      <c r="ER86">
        <v>50.936999999999998</v>
      </c>
      <c r="ES86">
        <v>51.186999999999998</v>
      </c>
      <c r="ET86">
        <v>51.125</v>
      </c>
      <c r="EU86">
        <v>1755.51</v>
      </c>
      <c r="EV86">
        <v>39.49</v>
      </c>
      <c r="EW86">
        <v>0</v>
      </c>
      <c r="EX86">
        <v>139.79999995231631</v>
      </c>
      <c r="EY86">
        <v>0</v>
      </c>
      <c r="EZ86">
        <v>697.63099999999997</v>
      </c>
      <c r="FA86">
        <v>-6.7760676588153809E-2</v>
      </c>
      <c r="FB86">
        <v>61.876923743322948</v>
      </c>
      <c r="FC86">
        <v>15929.44230769231</v>
      </c>
      <c r="FD86">
        <v>15</v>
      </c>
      <c r="FE86">
        <v>1689012758.5</v>
      </c>
      <c r="FF86" t="s">
        <v>780</v>
      </c>
      <c r="FG86">
        <v>1689012758.5</v>
      </c>
      <c r="FH86">
        <v>1689012757.5</v>
      </c>
      <c r="FI86">
        <v>78</v>
      </c>
      <c r="FJ86">
        <v>-2.7E-2</v>
      </c>
      <c r="FK86">
        <v>-6.0000000000000001E-3</v>
      </c>
      <c r="FL86">
        <v>-1.413</v>
      </c>
      <c r="FM86">
        <v>1.2E-2</v>
      </c>
      <c r="FN86">
        <v>400</v>
      </c>
      <c r="FO86">
        <v>21</v>
      </c>
      <c r="FP86">
        <v>0.03</v>
      </c>
      <c r="FQ86">
        <v>0.01</v>
      </c>
      <c r="FR86">
        <v>53.218681560986077</v>
      </c>
      <c r="FS86">
        <v>-0.11943089464902459</v>
      </c>
      <c r="FT86">
        <v>3.5091632214982182E-2</v>
      </c>
      <c r="FU86">
        <v>1</v>
      </c>
      <c r="FV86">
        <v>0.43246895398358132</v>
      </c>
      <c r="FW86">
        <v>4.2160649180697007E-2</v>
      </c>
      <c r="FX86">
        <v>3.600480156386106E-3</v>
      </c>
      <c r="FY86">
        <v>1</v>
      </c>
      <c r="FZ86">
        <v>2</v>
      </c>
      <c r="GA86">
        <v>2</v>
      </c>
      <c r="GB86" t="s">
        <v>423</v>
      </c>
      <c r="GC86">
        <v>2.9445800000000002</v>
      </c>
      <c r="GD86">
        <v>2.7085599999999999</v>
      </c>
      <c r="GE86">
        <v>7.6229500000000006E-2</v>
      </c>
      <c r="GF86">
        <v>8.7735400000000005E-2</v>
      </c>
      <c r="GG86">
        <v>0.12745300000000001</v>
      </c>
      <c r="GH86">
        <v>0.10485</v>
      </c>
      <c r="GI86">
        <v>30344.3</v>
      </c>
      <c r="GJ86">
        <v>29236.2</v>
      </c>
      <c r="GK86">
        <v>33847.599999999999</v>
      </c>
      <c r="GL86">
        <v>32091.200000000001</v>
      </c>
      <c r="GM86">
        <v>42636.6</v>
      </c>
      <c r="GN86">
        <v>40875.1</v>
      </c>
      <c r="GO86">
        <v>49019.9</v>
      </c>
      <c r="GP86">
        <v>45428.1</v>
      </c>
      <c r="GQ86">
        <v>1.97648</v>
      </c>
      <c r="GR86">
        <v>1.75745</v>
      </c>
      <c r="GS86">
        <v>-6.4596499999999999E-3</v>
      </c>
      <c r="GT86">
        <v>0</v>
      </c>
      <c r="GU86">
        <v>30.0578</v>
      </c>
      <c r="GV86">
        <v>999.9</v>
      </c>
      <c r="GW86">
        <v>30.5</v>
      </c>
      <c r="GX86">
        <v>45.3</v>
      </c>
      <c r="GY86">
        <v>30.113900000000001</v>
      </c>
      <c r="GZ86">
        <v>60.218800000000002</v>
      </c>
      <c r="HA86">
        <v>26.0657</v>
      </c>
      <c r="HB86">
        <v>1</v>
      </c>
      <c r="HC86">
        <v>0.48233700000000002</v>
      </c>
      <c r="HD86">
        <v>2.7280000000000002</v>
      </c>
      <c r="HE86">
        <v>20.201599999999999</v>
      </c>
      <c r="HF86">
        <v>5.2704500000000003</v>
      </c>
      <c r="HG86">
        <v>12.039899999999999</v>
      </c>
      <c r="HH86">
        <v>4.9658499999999997</v>
      </c>
      <c r="HI86">
        <v>3.3010000000000002</v>
      </c>
      <c r="HJ86">
        <v>9999</v>
      </c>
      <c r="HK86">
        <v>9999</v>
      </c>
      <c r="HL86">
        <v>9999</v>
      </c>
      <c r="HM86">
        <v>999.9</v>
      </c>
      <c r="HN86">
        <v>1.8687400000000001</v>
      </c>
      <c r="HO86">
        <v>1.8724000000000001</v>
      </c>
      <c r="HP86">
        <v>1.8721000000000001</v>
      </c>
      <c r="HQ86">
        <v>1.87164</v>
      </c>
      <c r="HR86">
        <v>1.8648800000000001</v>
      </c>
      <c r="HS86">
        <v>1.8660300000000001</v>
      </c>
      <c r="HT86">
        <v>1.8680300000000001</v>
      </c>
      <c r="HU86">
        <v>1.8725799999999999</v>
      </c>
      <c r="HV86">
        <v>0</v>
      </c>
      <c r="HW86">
        <v>0</v>
      </c>
      <c r="HX86">
        <v>0</v>
      </c>
      <c r="HY86">
        <v>0</v>
      </c>
      <c r="HZ86" t="s">
        <v>424</v>
      </c>
      <c r="IA86" t="s">
        <v>425</v>
      </c>
      <c r="IB86" t="s">
        <v>426</v>
      </c>
      <c r="IC86" t="s">
        <v>426</v>
      </c>
      <c r="ID86" t="s">
        <v>426</v>
      </c>
      <c r="IE86" t="s">
        <v>426</v>
      </c>
      <c r="IF86">
        <v>0</v>
      </c>
      <c r="IG86">
        <v>100</v>
      </c>
      <c r="IH86">
        <v>100</v>
      </c>
      <c r="II86">
        <v>-1.3480000000000001</v>
      </c>
      <c r="IJ86">
        <v>1.15E-2</v>
      </c>
      <c r="IK86">
        <v>-0.98538507952986287</v>
      </c>
      <c r="IL86">
        <v>-1.171017271736434E-3</v>
      </c>
      <c r="IM86">
        <v>2.801297040296544E-7</v>
      </c>
      <c r="IN86">
        <v>-3.6238253961199429E-11</v>
      </c>
      <c r="IO86">
        <v>1.1505000000003211E-2</v>
      </c>
      <c r="IP86">
        <v>0</v>
      </c>
      <c r="IQ86">
        <v>0</v>
      </c>
      <c r="IR86">
        <v>0</v>
      </c>
      <c r="IS86">
        <v>0</v>
      </c>
      <c r="IT86">
        <v>2161</v>
      </c>
      <c r="IU86">
        <v>1</v>
      </c>
      <c r="IV86">
        <v>19</v>
      </c>
      <c r="IW86">
        <v>0.9</v>
      </c>
      <c r="IX86">
        <v>0.9</v>
      </c>
      <c r="IY86">
        <v>1.03149</v>
      </c>
      <c r="IZ86">
        <v>2.5280800000000001</v>
      </c>
      <c r="JA86">
        <v>1.4440900000000001</v>
      </c>
      <c r="JB86">
        <v>2.2814899999999998</v>
      </c>
      <c r="JC86">
        <v>1.54419</v>
      </c>
      <c r="JD86">
        <v>2.4218799999999998</v>
      </c>
      <c r="JE86">
        <v>49.294899999999998</v>
      </c>
      <c r="JF86">
        <v>24.017499999999998</v>
      </c>
      <c r="JG86">
        <v>18</v>
      </c>
      <c r="JH86">
        <v>511.13499999999999</v>
      </c>
      <c r="JI86">
        <v>408.85899999999998</v>
      </c>
      <c r="JJ86">
        <v>26.0764</v>
      </c>
      <c r="JK86">
        <v>33.265999999999998</v>
      </c>
      <c r="JL86">
        <v>30.000399999999999</v>
      </c>
      <c r="JM86">
        <v>33.0351</v>
      </c>
      <c r="JN86">
        <v>32.979900000000001</v>
      </c>
      <c r="JO86">
        <v>20.7651</v>
      </c>
      <c r="JP86">
        <v>32.253399999999999</v>
      </c>
      <c r="JQ86">
        <v>0</v>
      </c>
      <c r="JR86">
        <v>26.0762</v>
      </c>
      <c r="JS86">
        <v>400</v>
      </c>
      <c r="JT86">
        <v>21.4679</v>
      </c>
      <c r="JU86">
        <v>99.3506</v>
      </c>
      <c r="JV86">
        <v>98.932599999999994</v>
      </c>
    </row>
    <row r="87" spans="1:282" x14ac:dyDescent="0.25">
      <c r="A87">
        <v>71</v>
      </c>
      <c r="B87">
        <v>1689012927</v>
      </c>
      <c r="C87">
        <v>13750</v>
      </c>
      <c r="D87" t="s">
        <v>781</v>
      </c>
      <c r="E87" t="s">
        <v>782</v>
      </c>
      <c r="F87" t="s">
        <v>414</v>
      </c>
      <c r="G87" t="s">
        <v>415</v>
      </c>
      <c r="H87" t="s">
        <v>732</v>
      </c>
      <c r="I87" t="s">
        <v>416</v>
      </c>
      <c r="J87" t="s">
        <v>579</v>
      </c>
      <c r="K87">
        <v>1689012927</v>
      </c>
      <c r="L87">
        <f t="shared" si="92"/>
        <v>5.8439855292754068E-3</v>
      </c>
      <c r="M87">
        <f t="shared" si="93"/>
        <v>5.8439855292754066</v>
      </c>
      <c r="N87">
        <f t="shared" si="94"/>
        <v>58.062622851889017</v>
      </c>
      <c r="O87">
        <f t="shared" si="95"/>
        <v>427.40699999999998</v>
      </c>
      <c r="P87">
        <f t="shared" si="96"/>
        <v>185.64611643186566</v>
      </c>
      <c r="Q87">
        <f t="shared" si="97"/>
        <v>18.423293363851837</v>
      </c>
      <c r="R87">
        <f t="shared" si="98"/>
        <v>42.415347533831998</v>
      </c>
      <c r="S87">
        <f t="shared" si="99"/>
        <v>0.42340523500596339</v>
      </c>
      <c r="T87">
        <f t="shared" si="100"/>
        <v>2.9086994214580186</v>
      </c>
      <c r="U87">
        <f t="shared" si="101"/>
        <v>0.39190467315718208</v>
      </c>
      <c r="V87">
        <f t="shared" si="102"/>
        <v>0.24757503670180442</v>
      </c>
      <c r="W87">
        <f t="shared" si="103"/>
        <v>289.56967466093204</v>
      </c>
      <c r="X87">
        <f t="shared" si="104"/>
        <v>30.534237096326162</v>
      </c>
      <c r="Y87">
        <f t="shared" si="105"/>
        <v>30.027100000000001</v>
      </c>
      <c r="Z87">
        <f t="shared" si="106"/>
        <v>4.2670860961725143</v>
      </c>
      <c r="AA87">
        <f t="shared" si="107"/>
        <v>65.35690213624585</v>
      </c>
      <c r="AB87">
        <f t="shared" si="108"/>
        <v>2.8402534646304001</v>
      </c>
      <c r="AC87">
        <f t="shared" si="109"/>
        <v>4.345759012123132</v>
      </c>
      <c r="AD87">
        <f t="shared" si="110"/>
        <v>1.4268326315421143</v>
      </c>
      <c r="AE87">
        <f t="shared" si="111"/>
        <v>-257.71976184104545</v>
      </c>
      <c r="AF87">
        <f t="shared" si="112"/>
        <v>49.945196322271876</v>
      </c>
      <c r="AG87">
        <f t="shared" si="113"/>
        <v>3.8250326068142813</v>
      </c>
      <c r="AH87">
        <f t="shared" si="114"/>
        <v>85.620141748972713</v>
      </c>
      <c r="AI87">
        <v>0</v>
      </c>
      <c r="AJ87">
        <v>0</v>
      </c>
      <c r="AK87">
        <f t="shared" si="115"/>
        <v>1</v>
      </c>
      <c r="AL87">
        <f t="shared" si="116"/>
        <v>0</v>
      </c>
      <c r="AM87">
        <f t="shared" si="117"/>
        <v>51681.742703502656</v>
      </c>
      <c r="AN87" t="s">
        <v>418</v>
      </c>
      <c r="AO87">
        <v>10076.700000000001</v>
      </c>
      <c r="AP87">
        <v>185.01599999999999</v>
      </c>
      <c r="AQ87">
        <v>473.06</v>
      </c>
      <c r="AR87">
        <f t="shared" si="118"/>
        <v>0.60889527755464423</v>
      </c>
      <c r="AS87">
        <v>-1.4827006201179751</v>
      </c>
      <c r="AT87" t="s">
        <v>783</v>
      </c>
      <c r="AU87">
        <v>8077.19</v>
      </c>
      <c r="AV87">
        <v>718.03288461538477</v>
      </c>
      <c r="AW87">
        <v>1165.228672261507</v>
      </c>
      <c r="AX87">
        <f t="shared" si="119"/>
        <v>0.38378371412556533</v>
      </c>
      <c r="AY87">
        <v>0.5</v>
      </c>
      <c r="AZ87">
        <f t="shared" si="120"/>
        <v>1513.2015060419337</v>
      </c>
      <c r="BA87">
        <f t="shared" si="121"/>
        <v>58.062622851889017</v>
      </c>
      <c r="BB87">
        <f t="shared" si="122"/>
        <v>290.37104710458618</v>
      </c>
      <c r="BC87">
        <f t="shared" si="123"/>
        <v>3.9350557896125224E-2</v>
      </c>
      <c r="BD87">
        <f t="shared" si="124"/>
        <v>-0.59401960210790861</v>
      </c>
      <c r="BE87">
        <f t="shared" si="125"/>
        <v>241.00788491092672</v>
      </c>
      <c r="BF87" t="s">
        <v>784</v>
      </c>
      <c r="BG87">
        <v>546.98</v>
      </c>
      <c r="BH87">
        <f t="shared" si="126"/>
        <v>546.98</v>
      </c>
      <c r="BI87">
        <f t="shared" si="127"/>
        <v>0.53058141030944028</v>
      </c>
      <c r="BJ87">
        <f t="shared" si="128"/>
        <v>0.72332672549107757</v>
      </c>
      <c r="BK87">
        <f t="shared" si="129"/>
        <v>9.3637536831913817</v>
      </c>
      <c r="BL87">
        <f t="shared" si="130"/>
        <v>0.456223226143741</v>
      </c>
      <c r="BM87">
        <f t="shared" si="131"/>
        <v>-2.4029963209145375</v>
      </c>
      <c r="BN87">
        <f t="shared" si="132"/>
        <v>0.55101271931443296</v>
      </c>
      <c r="BO87">
        <f t="shared" si="133"/>
        <v>0.44898728068556704</v>
      </c>
      <c r="BP87">
        <v>9195</v>
      </c>
      <c r="BQ87">
        <v>290.00000000000011</v>
      </c>
      <c r="BR87">
        <v>1019.98</v>
      </c>
      <c r="BS87">
        <v>295</v>
      </c>
      <c r="BT87">
        <v>8077.19</v>
      </c>
      <c r="BU87">
        <v>1023.98</v>
      </c>
      <c r="BV87">
        <v>-4</v>
      </c>
      <c r="BW87">
        <v>300.00000000000011</v>
      </c>
      <c r="BX87">
        <v>19.2</v>
      </c>
      <c r="BY87">
        <v>1165.228672261507</v>
      </c>
      <c r="BZ87">
        <v>4.9828354162566759</v>
      </c>
      <c r="CA87">
        <v>-114.0853237567536</v>
      </c>
      <c r="CB87">
        <v>3.6981041028421151</v>
      </c>
      <c r="CC87">
        <v>0.97141990064385386</v>
      </c>
      <c r="CD87">
        <v>-4.162274972191321E-3</v>
      </c>
      <c r="CE87">
        <v>289.99999999999989</v>
      </c>
      <c r="CF87">
        <v>1017.87</v>
      </c>
      <c r="CG87">
        <v>655</v>
      </c>
      <c r="CH87">
        <v>8069.59</v>
      </c>
      <c r="CI87">
        <v>1023.85</v>
      </c>
      <c r="CJ87">
        <v>-5.98</v>
      </c>
      <c r="CX87">
        <f t="shared" si="134"/>
        <v>1800.02</v>
      </c>
      <c r="CY87">
        <f t="shared" si="135"/>
        <v>1513.2015060419337</v>
      </c>
      <c r="CZ87">
        <f t="shared" si="136"/>
        <v>0.84065816271037752</v>
      </c>
      <c r="DA87">
        <f t="shared" si="137"/>
        <v>0.16087025403102856</v>
      </c>
      <c r="DB87">
        <v>6</v>
      </c>
      <c r="DC87">
        <v>0.5</v>
      </c>
      <c r="DD87" t="s">
        <v>421</v>
      </c>
      <c r="DE87">
        <v>2</v>
      </c>
      <c r="DF87">
        <v>1689012927</v>
      </c>
      <c r="DG87">
        <v>427.40699999999998</v>
      </c>
      <c r="DH87">
        <v>500.05200000000002</v>
      </c>
      <c r="DI87">
        <v>28.6204</v>
      </c>
      <c r="DJ87">
        <v>21.8109</v>
      </c>
      <c r="DK87">
        <v>428.94299999999998</v>
      </c>
      <c r="DL87">
        <v>28.603100000000001</v>
      </c>
      <c r="DM87">
        <v>500.18900000000002</v>
      </c>
      <c r="DN87">
        <v>99.138400000000004</v>
      </c>
      <c r="DO87">
        <v>0.10037600000000001</v>
      </c>
      <c r="DP87">
        <v>30.345600000000001</v>
      </c>
      <c r="DQ87">
        <v>30.027100000000001</v>
      </c>
      <c r="DR87">
        <v>999.9</v>
      </c>
      <c r="DS87">
        <v>0</v>
      </c>
      <c r="DT87">
        <v>0</v>
      </c>
      <c r="DU87">
        <v>9967.5</v>
      </c>
      <c r="DV87">
        <v>0</v>
      </c>
      <c r="DW87">
        <v>1831.74</v>
      </c>
      <c r="DX87">
        <v>-72.645399999999995</v>
      </c>
      <c r="DY87">
        <v>440</v>
      </c>
      <c r="DZ87">
        <v>511.202</v>
      </c>
      <c r="EA87">
        <v>6.8094299999999999</v>
      </c>
      <c r="EB87">
        <v>500.05200000000002</v>
      </c>
      <c r="EC87">
        <v>21.8109</v>
      </c>
      <c r="ED87">
        <v>2.83738</v>
      </c>
      <c r="EE87">
        <v>2.1623000000000001</v>
      </c>
      <c r="EF87">
        <v>23.103200000000001</v>
      </c>
      <c r="EG87">
        <v>18.685700000000001</v>
      </c>
      <c r="EH87">
        <v>1800.02</v>
      </c>
      <c r="EI87">
        <v>0.97799700000000001</v>
      </c>
      <c r="EJ87">
        <v>2.2002500000000001E-2</v>
      </c>
      <c r="EK87">
        <v>0</v>
      </c>
      <c r="EL87">
        <v>718.37900000000002</v>
      </c>
      <c r="EM87">
        <v>5.00082</v>
      </c>
      <c r="EN87">
        <v>16296.6</v>
      </c>
      <c r="EO87">
        <v>14129.9</v>
      </c>
      <c r="EP87">
        <v>50</v>
      </c>
      <c r="EQ87">
        <v>51.686999999999998</v>
      </c>
      <c r="ER87">
        <v>50.936999999999998</v>
      </c>
      <c r="ES87">
        <v>51.186999999999998</v>
      </c>
      <c r="ET87">
        <v>51.186999999999998</v>
      </c>
      <c r="EU87">
        <v>1755.52</v>
      </c>
      <c r="EV87">
        <v>39.49</v>
      </c>
      <c r="EW87">
        <v>0</v>
      </c>
      <c r="EX87">
        <v>113.3999998569489</v>
      </c>
      <c r="EY87">
        <v>0</v>
      </c>
      <c r="EZ87">
        <v>718.03288461538477</v>
      </c>
      <c r="FA87">
        <v>2.0683418923828611</v>
      </c>
      <c r="FB87">
        <v>-11.74700776615482</v>
      </c>
      <c r="FC87">
        <v>16303.13846153846</v>
      </c>
      <c r="FD87">
        <v>15</v>
      </c>
      <c r="FE87">
        <v>1689012890.5</v>
      </c>
      <c r="FF87" t="s">
        <v>785</v>
      </c>
      <c r="FG87">
        <v>1689012890.5</v>
      </c>
      <c r="FH87">
        <v>1689012888</v>
      </c>
      <c r="FI87">
        <v>79</v>
      </c>
      <c r="FJ87">
        <v>-9.7000000000000003E-2</v>
      </c>
      <c r="FK87">
        <v>6.0000000000000001E-3</v>
      </c>
      <c r="FL87">
        <v>-1.6040000000000001</v>
      </c>
      <c r="FM87">
        <v>1.7000000000000001E-2</v>
      </c>
      <c r="FN87">
        <v>500</v>
      </c>
      <c r="FO87">
        <v>21</v>
      </c>
      <c r="FP87">
        <v>0.03</v>
      </c>
      <c r="FQ87">
        <v>0.01</v>
      </c>
      <c r="FR87">
        <v>58.210468942996847</v>
      </c>
      <c r="FS87">
        <v>-0.6809904090447032</v>
      </c>
      <c r="FT87">
        <v>5.932581747689146E-2</v>
      </c>
      <c r="FU87">
        <v>1</v>
      </c>
      <c r="FV87">
        <v>0.42486006294748618</v>
      </c>
      <c r="FW87">
        <v>9.3419382516859023E-3</v>
      </c>
      <c r="FX87">
        <v>8.800193052079492E-4</v>
      </c>
      <c r="FY87">
        <v>1</v>
      </c>
      <c r="FZ87">
        <v>2</v>
      </c>
      <c r="GA87">
        <v>2</v>
      </c>
      <c r="GB87" t="s">
        <v>423</v>
      </c>
      <c r="GC87">
        <v>2.9446099999999999</v>
      </c>
      <c r="GD87">
        <v>2.7087500000000002</v>
      </c>
      <c r="GE87">
        <v>9.2323100000000005E-2</v>
      </c>
      <c r="GF87">
        <v>0.103635</v>
      </c>
      <c r="GG87">
        <v>0.12775900000000001</v>
      </c>
      <c r="GH87">
        <v>0.10573</v>
      </c>
      <c r="GI87">
        <v>29812.7</v>
      </c>
      <c r="GJ87">
        <v>28723.200000000001</v>
      </c>
      <c r="GK87">
        <v>33844.5</v>
      </c>
      <c r="GL87">
        <v>32087.599999999999</v>
      </c>
      <c r="GM87">
        <v>42617.7</v>
      </c>
      <c r="GN87">
        <v>40831.4</v>
      </c>
      <c r="GO87">
        <v>49014.7</v>
      </c>
      <c r="GP87">
        <v>45423.6</v>
      </c>
      <c r="GQ87">
        <v>1.9756499999999999</v>
      </c>
      <c r="GR87">
        <v>1.75705</v>
      </c>
      <c r="GS87">
        <v>3.6656900000000001E-3</v>
      </c>
      <c r="GT87">
        <v>0</v>
      </c>
      <c r="GU87">
        <v>29.967400000000001</v>
      </c>
      <c r="GV87">
        <v>999.9</v>
      </c>
      <c r="GW87">
        <v>30.3</v>
      </c>
      <c r="GX87">
        <v>45.4</v>
      </c>
      <c r="GY87">
        <v>30.072399999999998</v>
      </c>
      <c r="GZ87">
        <v>60.378799999999998</v>
      </c>
      <c r="HA87">
        <v>25.568899999999999</v>
      </c>
      <c r="HB87">
        <v>1</v>
      </c>
      <c r="HC87">
        <v>0.48869699999999999</v>
      </c>
      <c r="HD87">
        <v>3.0831900000000001</v>
      </c>
      <c r="HE87">
        <v>20.1951</v>
      </c>
      <c r="HF87">
        <v>5.2683499999999999</v>
      </c>
      <c r="HG87">
        <v>12.039899999999999</v>
      </c>
      <c r="HH87">
        <v>4.9657</v>
      </c>
      <c r="HI87">
        <v>3.3010000000000002</v>
      </c>
      <c r="HJ87">
        <v>9999</v>
      </c>
      <c r="HK87">
        <v>9999</v>
      </c>
      <c r="HL87">
        <v>9999</v>
      </c>
      <c r="HM87">
        <v>999.9</v>
      </c>
      <c r="HN87">
        <v>1.8687400000000001</v>
      </c>
      <c r="HO87">
        <v>1.87239</v>
      </c>
      <c r="HP87">
        <v>1.8721000000000001</v>
      </c>
      <c r="HQ87">
        <v>1.87164</v>
      </c>
      <c r="HR87">
        <v>1.8648899999999999</v>
      </c>
      <c r="HS87">
        <v>1.86602</v>
      </c>
      <c r="HT87">
        <v>1.8680000000000001</v>
      </c>
      <c r="HU87">
        <v>1.8725799999999999</v>
      </c>
      <c r="HV87">
        <v>0</v>
      </c>
      <c r="HW87">
        <v>0</v>
      </c>
      <c r="HX87">
        <v>0</v>
      </c>
      <c r="HY87">
        <v>0</v>
      </c>
      <c r="HZ87" t="s">
        <v>424</v>
      </c>
      <c r="IA87" t="s">
        <v>425</v>
      </c>
      <c r="IB87" t="s">
        <v>426</v>
      </c>
      <c r="IC87" t="s">
        <v>426</v>
      </c>
      <c r="ID87" t="s">
        <v>426</v>
      </c>
      <c r="IE87" t="s">
        <v>426</v>
      </c>
      <c r="IF87">
        <v>0</v>
      </c>
      <c r="IG87">
        <v>100</v>
      </c>
      <c r="IH87">
        <v>100</v>
      </c>
      <c r="II87">
        <v>-1.536</v>
      </c>
      <c r="IJ87">
        <v>1.7299999999999999E-2</v>
      </c>
      <c r="IK87">
        <v>-1.0824134894597279</v>
      </c>
      <c r="IL87">
        <v>-1.171017271736434E-3</v>
      </c>
      <c r="IM87">
        <v>2.801297040296544E-7</v>
      </c>
      <c r="IN87">
        <v>-3.6238253961199429E-11</v>
      </c>
      <c r="IO87">
        <v>1.725000000000421E-2</v>
      </c>
      <c r="IP87">
        <v>0</v>
      </c>
      <c r="IQ87">
        <v>0</v>
      </c>
      <c r="IR87">
        <v>0</v>
      </c>
      <c r="IS87">
        <v>0</v>
      </c>
      <c r="IT87">
        <v>2161</v>
      </c>
      <c r="IU87">
        <v>1</v>
      </c>
      <c r="IV87">
        <v>19</v>
      </c>
      <c r="IW87">
        <v>0.6</v>
      </c>
      <c r="IX87">
        <v>0.7</v>
      </c>
      <c r="IY87">
        <v>1.2353499999999999</v>
      </c>
      <c r="IZ87">
        <v>2.51709</v>
      </c>
      <c r="JA87">
        <v>1.4440900000000001</v>
      </c>
      <c r="JB87">
        <v>2.2827099999999998</v>
      </c>
      <c r="JC87">
        <v>1.54419</v>
      </c>
      <c r="JD87">
        <v>2.4255399999999998</v>
      </c>
      <c r="JE87">
        <v>49.389400000000002</v>
      </c>
      <c r="JF87">
        <v>24.008700000000001</v>
      </c>
      <c r="JG87">
        <v>18</v>
      </c>
      <c r="JH87">
        <v>511.14600000000002</v>
      </c>
      <c r="JI87">
        <v>409.05200000000002</v>
      </c>
      <c r="JJ87">
        <v>26.125399999999999</v>
      </c>
      <c r="JK87">
        <v>33.331000000000003</v>
      </c>
      <c r="JL87">
        <v>30.0001</v>
      </c>
      <c r="JM87">
        <v>33.103999999999999</v>
      </c>
      <c r="JN87">
        <v>33.044800000000002</v>
      </c>
      <c r="JO87">
        <v>24.870100000000001</v>
      </c>
      <c r="JP87">
        <v>30.9392</v>
      </c>
      <c r="JQ87">
        <v>0</v>
      </c>
      <c r="JR87">
        <v>26.117699999999999</v>
      </c>
      <c r="JS87">
        <v>500</v>
      </c>
      <c r="JT87">
        <v>21.734200000000001</v>
      </c>
      <c r="JU87">
        <v>99.340599999999995</v>
      </c>
      <c r="JV87">
        <v>98.922399999999996</v>
      </c>
    </row>
    <row r="88" spans="1:282" x14ac:dyDescent="0.25">
      <c r="A88">
        <v>72</v>
      </c>
      <c r="B88">
        <v>1689013053.5</v>
      </c>
      <c r="C88">
        <v>13876.5</v>
      </c>
      <c r="D88" t="s">
        <v>786</v>
      </c>
      <c r="E88" t="s">
        <v>787</v>
      </c>
      <c r="F88" t="s">
        <v>414</v>
      </c>
      <c r="G88" t="s">
        <v>415</v>
      </c>
      <c r="H88" t="s">
        <v>732</v>
      </c>
      <c r="I88" t="s">
        <v>416</v>
      </c>
      <c r="J88" t="s">
        <v>579</v>
      </c>
      <c r="K88">
        <v>1689013053.5</v>
      </c>
      <c r="L88">
        <f t="shared" si="92"/>
        <v>5.7726752022631547E-3</v>
      </c>
      <c r="M88">
        <f t="shared" si="93"/>
        <v>5.7726752022631551</v>
      </c>
      <c r="N88">
        <f t="shared" si="94"/>
        <v>61.343201594194625</v>
      </c>
      <c r="O88">
        <f t="shared" si="95"/>
        <v>622.19500000000005</v>
      </c>
      <c r="P88">
        <f t="shared" si="96"/>
        <v>357.24421219707943</v>
      </c>
      <c r="Q88">
        <f t="shared" si="97"/>
        <v>35.450764972556314</v>
      </c>
      <c r="R88">
        <f t="shared" si="98"/>
        <v>61.742886123880503</v>
      </c>
      <c r="S88">
        <f t="shared" si="99"/>
        <v>0.41349771783565248</v>
      </c>
      <c r="T88">
        <f t="shared" si="100"/>
        <v>2.9185780629079074</v>
      </c>
      <c r="U88">
        <f t="shared" si="101"/>
        <v>0.38349191867113919</v>
      </c>
      <c r="V88">
        <f t="shared" si="102"/>
        <v>0.24219665226326373</v>
      </c>
      <c r="W88">
        <f t="shared" si="103"/>
        <v>289.59360195848427</v>
      </c>
      <c r="X88">
        <f t="shared" si="104"/>
        <v>30.509458465531171</v>
      </c>
      <c r="Y88">
        <f t="shared" si="105"/>
        <v>30.05</v>
      </c>
      <c r="Z88">
        <f t="shared" si="106"/>
        <v>4.2727009329641259</v>
      </c>
      <c r="AA88">
        <f t="shared" si="107"/>
        <v>65.33696418241874</v>
      </c>
      <c r="AB88">
        <f t="shared" si="108"/>
        <v>2.8324156414897197</v>
      </c>
      <c r="AC88">
        <f t="shared" si="109"/>
        <v>4.3350891443038355</v>
      </c>
      <c r="AD88">
        <f t="shared" si="110"/>
        <v>1.4402852914744062</v>
      </c>
      <c r="AE88">
        <f t="shared" si="111"/>
        <v>-254.57497641980513</v>
      </c>
      <c r="AF88">
        <f t="shared" si="112"/>
        <v>39.761430359297137</v>
      </c>
      <c r="AG88">
        <f t="shared" si="113"/>
        <v>3.0345054988281701</v>
      </c>
      <c r="AH88">
        <f t="shared" si="114"/>
        <v>77.814561396804478</v>
      </c>
      <c r="AI88">
        <v>0</v>
      </c>
      <c r="AJ88">
        <v>0</v>
      </c>
      <c r="AK88">
        <f t="shared" si="115"/>
        <v>1</v>
      </c>
      <c r="AL88">
        <f t="shared" si="116"/>
        <v>0</v>
      </c>
      <c r="AM88">
        <f t="shared" si="117"/>
        <v>51969.751672771672</v>
      </c>
      <c r="AN88" t="s">
        <v>418</v>
      </c>
      <c r="AO88">
        <v>10076.700000000001</v>
      </c>
      <c r="AP88">
        <v>185.01599999999999</v>
      </c>
      <c r="AQ88">
        <v>473.06</v>
      </c>
      <c r="AR88">
        <f t="shared" si="118"/>
        <v>0.60889527755464423</v>
      </c>
      <c r="AS88">
        <v>-1.4827006201179751</v>
      </c>
      <c r="AT88" t="s">
        <v>788</v>
      </c>
      <c r="AU88">
        <v>8076.73</v>
      </c>
      <c r="AV88">
        <v>729.23763999999994</v>
      </c>
      <c r="AW88">
        <v>1220.0005353048009</v>
      </c>
      <c r="AX88">
        <f t="shared" si="119"/>
        <v>0.40226449177925183</v>
      </c>
      <c r="AY88">
        <v>0.5</v>
      </c>
      <c r="AZ88">
        <f t="shared" si="120"/>
        <v>1513.3274994603544</v>
      </c>
      <c r="BA88">
        <f t="shared" si="121"/>
        <v>61.343201594194625</v>
      </c>
      <c r="BB88">
        <f t="shared" si="122"/>
        <v>304.37895873299271</v>
      </c>
      <c r="BC88">
        <f t="shared" si="123"/>
        <v>4.1515073397341964E-2</v>
      </c>
      <c r="BD88">
        <f t="shared" si="124"/>
        <v>-0.612246071775852</v>
      </c>
      <c r="BE88">
        <f t="shared" si="125"/>
        <v>243.26680271433801</v>
      </c>
      <c r="BF88" t="s">
        <v>789</v>
      </c>
      <c r="BG88">
        <v>554.52</v>
      </c>
      <c r="BH88">
        <f t="shared" si="126"/>
        <v>554.52</v>
      </c>
      <c r="BI88">
        <f t="shared" si="127"/>
        <v>0.5454756092697447</v>
      </c>
      <c r="BJ88">
        <f t="shared" si="128"/>
        <v>0.73745642324463112</v>
      </c>
      <c r="BK88">
        <f t="shared" si="129"/>
        <v>9.169414869933723</v>
      </c>
      <c r="BL88">
        <f t="shared" si="130"/>
        <v>0.47417413358767946</v>
      </c>
      <c r="BM88">
        <f t="shared" si="131"/>
        <v>-2.5931473500742976</v>
      </c>
      <c r="BN88">
        <f t="shared" si="132"/>
        <v>0.56076964954471209</v>
      </c>
      <c r="BO88">
        <f t="shared" si="133"/>
        <v>0.43923035045528791</v>
      </c>
      <c r="BP88">
        <v>9197</v>
      </c>
      <c r="BQ88">
        <v>290.00000000000011</v>
      </c>
      <c r="BR88">
        <v>1054.5899999999999</v>
      </c>
      <c r="BS88">
        <v>295</v>
      </c>
      <c r="BT88">
        <v>8076.73</v>
      </c>
      <c r="BU88">
        <v>1059.02</v>
      </c>
      <c r="BV88">
        <v>-4.43</v>
      </c>
      <c r="BW88">
        <v>300.00000000000011</v>
      </c>
      <c r="BX88">
        <v>19.3</v>
      </c>
      <c r="BY88">
        <v>1220.0005353048009</v>
      </c>
      <c r="BZ88">
        <v>5.6219860925691103</v>
      </c>
      <c r="CA88">
        <v>-130.01892976074001</v>
      </c>
      <c r="CB88">
        <v>4.1722148528541529</v>
      </c>
      <c r="CC88">
        <v>0.97197577393362899</v>
      </c>
      <c r="CD88">
        <v>-4.1621303670745357E-3</v>
      </c>
      <c r="CE88">
        <v>289.99999999999989</v>
      </c>
      <c r="CF88">
        <v>1051.3699999999999</v>
      </c>
      <c r="CG88">
        <v>655</v>
      </c>
      <c r="CH88">
        <v>8069.11</v>
      </c>
      <c r="CI88">
        <v>1058.8699999999999</v>
      </c>
      <c r="CJ88">
        <v>-7.5</v>
      </c>
      <c r="CX88">
        <f t="shared" si="134"/>
        <v>1800.17</v>
      </c>
      <c r="CY88">
        <f t="shared" si="135"/>
        <v>1513.3274994603544</v>
      </c>
      <c r="CZ88">
        <f t="shared" si="136"/>
        <v>0.84065810421257681</v>
      </c>
      <c r="DA88">
        <f t="shared" si="137"/>
        <v>0.1608701411302734</v>
      </c>
      <c r="DB88">
        <v>6</v>
      </c>
      <c r="DC88">
        <v>0.5</v>
      </c>
      <c r="DD88" t="s">
        <v>421</v>
      </c>
      <c r="DE88">
        <v>2</v>
      </c>
      <c r="DF88">
        <v>1689013053.5</v>
      </c>
      <c r="DG88">
        <v>622.19500000000005</v>
      </c>
      <c r="DH88">
        <v>700.08</v>
      </c>
      <c r="DI88">
        <v>28.5428</v>
      </c>
      <c r="DJ88">
        <v>21.816500000000001</v>
      </c>
      <c r="DK88">
        <v>623.93299999999999</v>
      </c>
      <c r="DL88">
        <v>28.520199999999999</v>
      </c>
      <c r="DM88">
        <v>500.23700000000002</v>
      </c>
      <c r="DN88">
        <v>99.134</v>
      </c>
      <c r="DO88">
        <v>9.9979899999999997E-2</v>
      </c>
      <c r="DP88">
        <v>30.302700000000002</v>
      </c>
      <c r="DQ88">
        <v>30.05</v>
      </c>
      <c r="DR88">
        <v>999.9</v>
      </c>
      <c r="DS88">
        <v>0</v>
      </c>
      <c r="DT88">
        <v>0</v>
      </c>
      <c r="DU88">
        <v>10024.4</v>
      </c>
      <c r="DV88">
        <v>0</v>
      </c>
      <c r="DW88">
        <v>1862.56</v>
      </c>
      <c r="DX88">
        <v>-77.884699999999995</v>
      </c>
      <c r="DY88">
        <v>640.476</v>
      </c>
      <c r="DZ88">
        <v>715.69399999999996</v>
      </c>
      <c r="EA88">
        <v>6.7263099999999998</v>
      </c>
      <c r="EB88">
        <v>700.08</v>
      </c>
      <c r="EC88">
        <v>21.816500000000001</v>
      </c>
      <c r="ED88">
        <v>2.8295699999999999</v>
      </c>
      <c r="EE88">
        <v>2.16276</v>
      </c>
      <c r="EF88">
        <v>23.057600000000001</v>
      </c>
      <c r="EG88">
        <v>18.6891</v>
      </c>
      <c r="EH88">
        <v>1800.17</v>
      </c>
      <c r="EI88">
        <v>0.97800100000000001</v>
      </c>
      <c r="EJ88">
        <v>2.1998899999999998E-2</v>
      </c>
      <c r="EK88">
        <v>0</v>
      </c>
      <c r="EL88">
        <v>729.52499999999998</v>
      </c>
      <c r="EM88">
        <v>5.00082</v>
      </c>
      <c r="EN88">
        <v>16547.8</v>
      </c>
      <c r="EO88">
        <v>14131.1</v>
      </c>
      <c r="EP88">
        <v>50.125</v>
      </c>
      <c r="EQ88">
        <v>51.875</v>
      </c>
      <c r="ER88">
        <v>51.125</v>
      </c>
      <c r="ES88">
        <v>51.375</v>
      </c>
      <c r="ET88">
        <v>51.311999999999998</v>
      </c>
      <c r="EU88">
        <v>1755.68</v>
      </c>
      <c r="EV88">
        <v>39.49</v>
      </c>
      <c r="EW88">
        <v>0</v>
      </c>
      <c r="EX88">
        <v>124.3999998569489</v>
      </c>
      <c r="EY88">
        <v>0</v>
      </c>
      <c r="EZ88">
        <v>729.23763999999994</v>
      </c>
      <c r="FA88">
        <v>0.84761540316388628</v>
      </c>
      <c r="FB88">
        <v>89.438461505620779</v>
      </c>
      <c r="FC88">
        <v>16534.124</v>
      </c>
      <c r="FD88">
        <v>15</v>
      </c>
      <c r="FE88">
        <v>1689013017</v>
      </c>
      <c r="FF88" t="s">
        <v>790</v>
      </c>
      <c r="FG88">
        <v>1689013016</v>
      </c>
      <c r="FH88">
        <v>1689013017</v>
      </c>
      <c r="FI88">
        <v>80</v>
      </c>
      <c r="FJ88">
        <v>-2.5000000000000001E-2</v>
      </c>
      <c r="FK88">
        <v>5.0000000000000001E-3</v>
      </c>
      <c r="FL88">
        <v>-1.804</v>
      </c>
      <c r="FM88">
        <v>2.3E-2</v>
      </c>
      <c r="FN88">
        <v>700</v>
      </c>
      <c r="FO88">
        <v>22</v>
      </c>
      <c r="FP88">
        <v>0.02</v>
      </c>
      <c r="FQ88">
        <v>0.01</v>
      </c>
      <c r="FR88">
        <v>61.38611517847125</v>
      </c>
      <c r="FS88">
        <v>-0.37868862250130098</v>
      </c>
      <c r="FT88">
        <v>3.9563708967463182E-2</v>
      </c>
      <c r="FU88">
        <v>1</v>
      </c>
      <c r="FV88">
        <v>0.42119657897799329</v>
      </c>
      <c r="FW88">
        <v>-4.7004853284066027E-2</v>
      </c>
      <c r="FX88">
        <v>3.6565437605675321E-3</v>
      </c>
      <c r="FY88">
        <v>1</v>
      </c>
      <c r="FZ88">
        <v>2</v>
      </c>
      <c r="GA88">
        <v>2</v>
      </c>
      <c r="GB88" t="s">
        <v>423</v>
      </c>
      <c r="GC88">
        <v>2.9446699999999999</v>
      </c>
      <c r="GD88">
        <v>2.70885</v>
      </c>
      <c r="GE88">
        <v>0.12107999999999999</v>
      </c>
      <c r="GF88">
        <v>0.13128200000000001</v>
      </c>
      <c r="GG88">
        <v>0.127475</v>
      </c>
      <c r="GH88">
        <v>0.105724</v>
      </c>
      <c r="GI88">
        <v>28863.200000000001</v>
      </c>
      <c r="GJ88">
        <v>27832.9</v>
      </c>
      <c r="GK88">
        <v>33839.5</v>
      </c>
      <c r="GL88">
        <v>32083.7</v>
      </c>
      <c r="GM88">
        <v>42627.4</v>
      </c>
      <c r="GN88">
        <v>40828.199999999997</v>
      </c>
      <c r="GO88">
        <v>49008.6</v>
      </c>
      <c r="GP88">
        <v>45418.9</v>
      </c>
      <c r="GQ88">
        <v>1.9744999999999999</v>
      </c>
      <c r="GR88">
        <v>1.75648</v>
      </c>
      <c r="GS88">
        <v>-1.75089E-3</v>
      </c>
      <c r="GT88">
        <v>0</v>
      </c>
      <c r="GU88">
        <v>30.078499999999998</v>
      </c>
      <c r="GV88">
        <v>999.9</v>
      </c>
      <c r="GW88">
        <v>30.1</v>
      </c>
      <c r="GX88">
        <v>45.5</v>
      </c>
      <c r="GY88">
        <v>30.027699999999999</v>
      </c>
      <c r="GZ88">
        <v>60.348799999999997</v>
      </c>
      <c r="HA88">
        <v>25.681100000000001</v>
      </c>
      <c r="HB88">
        <v>1</v>
      </c>
      <c r="HC88">
        <v>0.49828800000000001</v>
      </c>
      <c r="HD88">
        <v>3.6944499999999998</v>
      </c>
      <c r="HE88">
        <v>20.182400000000001</v>
      </c>
      <c r="HF88">
        <v>5.2674599999999998</v>
      </c>
      <c r="HG88">
        <v>12.039899999999999</v>
      </c>
      <c r="HH88">
        <v>4.9656500000000001</v>
      </c>
      <c r="HI88">
        <v>3.3007</v>
      </c>
      <c r="HJ88">
        <v>9999</v>
      </c>
      <c r="HK88">
        <v>9999</v>
      </c>
      <c r="HL88">
        <v>9999</v>
      </c>
      <c r="HM88">
        <v>999.9</v>
      </c>
      <c r="HN88">
        <v>1.8687199999999999</v>
      </c>
      <c r="HO88">
        <v>1.8724000000000001</v>
      </c>
      <c r="HP88">
        <v>1.8721000000000001</v>
      </c>
      <c r="HQ88">
        <v>1.87164</v>
      </c>
      <c r="HR88">
        <v>1.8649100000000001</v>
      </c>
      <c r="HS88">
        <v>1.8660099999999999</v>
      </c>
      <c r="HT88">
        <v>1.8680000000000001</v>
      </c>
      <c r="HU88">
        <v>1.8725799999999999</v>
      </c>
      <c r="HV88">
        <v>0</v>
      </c>
      <c r="HW88">
        <v>0</v>
      </c>
      <c r="HX88">
        <v>0</v>
      </c>
      <c r="HY88">
        <v>0</v>
      </c>
      <c r="HZ88" t="s">
        <v>424</v>
      </c>
      <c r="IA88" t="s">
        <v>425</v>
      </c>
      <c r="IB88" t="s">
        <v>426</v>
      </c>
      <c r="IC88" t="s">
        <v>426</v>
      </c>
      <c r="ID88" t="s">
        <v>426</v>
      </c>
      <c r="IE88" t="s">
        <v>426</v>
      </c>
      <c r="IF88">
        <v>0</v>
      </c>
      <c r="IG88">
        <v>100</v>
      </c>
      <c r="IH88">
        <v>100</v>
      </c>
      <c r="II88">
        <v>-1.738</v>
      </c>
      <c r="IJ88">
        <v>2.2599999999999999E-2</v>
      </c>
      <c r="IK88">
        <v>-1.1076108224160579</v>
      </c>
      <c r="IL88">
        <v>-1.171017271736434E-3</v>
      </c>
      <c r="IM88">
        <v>2.801297040296544E-7</v>
      </c>
      <c r="IN88">
        <v>-3.6238253961199429E-11</v>
      </c>
      <c r="IO88">
        <v>2.265238095238686E-2</v>
      </c>
      <c r="IP88">
        <v>0</v>
      </c>
      <c r="IQ88">
        <v>0</v>
      </c>
      <c r="IR88">
        <v>0</v>
      </c>
      <c r="IS88">
        <v>0</v>
      </c>
      <c r="IT88">
        <v>2161</v>
      </c>
      <c r="IU88">
        <v>1</v>
      </c>
      <c r="IV88">
        <v>19</v>
      </c>
      <c r="IW88">
        <v>0.6</v>
      </c>
      <c r="IX88">
        <v>0.6</v>
      </c>
      <c r="IY88">
        <v>1.6272</v>
      </c>
      <c r="IZ88">
        <v>2.5134300000000001</v>
      </c>
      <c r="JA88">
        <v>1.4440900000000001</v>
      </c>
      <c r="JB88">
        <v>2.2827099999999998</v>
      </c>
      <c r="JC88">
        <v>1.54419</v>
      </c>
      <c r="JD88">
        <v>2.3852500000000001</v>
      </c>
      <c r="JE88">
        <v>49.484200000000001</v>
      </c>
      <c r="JF88">
        <v>23.9999</v>
      </c>
      <c r="JG88">
        <v>18</v>
      </c>
      <c r="JH88">
        <v>511.03199999999998</v>
      </c>
      <c r="JI88">
        <v>409.26799999999997</v>
      </c>
      <c r="JJ88">
        <v>25.771899999999999</v>
      </c>
      <c r="JK88">
        <v>33.418100000000003</v>
      </c>
      <c r="JL88">
        <v>30.001300000000001</v>
      </c>
      <c r="JM88">
        <v>33.184699999999999</v>
      </c>
      <c r="JN88">
        <v>33.129199999999997</v>
      </c>
      <c r="JO88">
        <v>32.700899999999997</v>
      </c>
      <c r="JP88">
        <v>30.859300000000001</v>
      </c>
      <c r="JQ88">
        <v>0</v>
      </c>
      <c r="JR88">
        <v>25.733499999999999</v>
      </c>
      <c r="JS88">
        <v>700</v>
      </c>
      <c r="JT88">
        <v>21.735900000000001</v>
      </c>
      <c r="JU88">
        <v>99.327399999999997</v>
      </c>
      <c r="JV88">
        <v>98.9114</v>
      </c>
    </row>
    <row r="89" spans="1:282" x14ac:dyDescent="0.25">
      <c r="A89">
        <v>73</v>
      </c>
      <c r="B89">
        <v>1689013174</v>
      </c>
      <c r="C89">
        <v>13997</v>
      </c>
      <c r="D89" t="s">
        <v>791</v>
      </c>
      <c r="E89" t="s">
        <v>792</v>
      </c>
      <c r="F89" t="s">
        <v>414</v>
      </c>
      <c r="G89" t="s">
        <v>415</v>
      </c>
      <c r="H89" t="s">
        <v>732</v>
      </c>
      <c r="I89" t="s">
        <v>416</v>
      </c>
      <c r="J89" t="s">
        <v>579</v>
      </c>
      <c r="K89">
        <v>1689013174</v>
      </c>
      <c r="L89">
        <f t="shared" si="92"/>
        <v>5.472904299116987E-3</v>
      </c>
      <c r="M89">
        <f t="shared" si="93"/>
        <v>5.4729042991169869</v>
      </c>
      <c r="N89">
        <f t="shared" si="94"/>
        <v>61.86009130191259</v>
      </c>
      <c r="O89">
        <f t="shared" si="95"/>
        <v>820.71600000000001</v>
      </c>
      <c r="P89">
        <f t="shared" si="96"/>
        <v>535.11907852655827</v>
      </c>
      <c r="Q89">
        <f t="shared" si="97"/>
        <v>53.101495064665421</v>
      </c>
      <c r="R89">
        <f t="shared" si="98"/>
        <v>81.442146939503999</v>
      </c>
      <c r="S89">
        <f t="shared" si="99"/>
        <v>0.39066955604675813</v>
      </c>
      <c r="T89">
        <f t="shared" si="100"/>
        <v>2.912542225447285</v>
      </c>
      <c r="U89">
        <f t="shared" si="101"/>
        <v>0.3637182597607484</v>
      </c>
      <c r="V89">
        <f t="shared" si="102"/>
        <v>0.22959025180910766</v>
      </c>
      <c r="W89">
        <f t="shared" si="103"/>
        <v>289.54731795831646</v>
      </c>
      <c r="X89">
        <f t="shared" si="104"/>
        <v>30.435816873063796</v>
      </c>
      <c r="Y89">
        <f t="shared" si="105"/>
        <v>29.942699999999999</v>
      </c>
      <c r="Z89">
        <f t="shared" si="106"/>
        <v>4.246447597181092</v>
      </c>
      <c r="AA89">
        <f t="shared" si="107"/>
        <v>65.302179449337245</v>
      </c>
      <c r="AB89">
        <f t="shared" si="108"/>
        <v>2.8063402542331999</v>
      </c>
      <c r="AC89">
        <f t="shared" si="109"/>
        <v>4.2974679833012548</v>
      </c>
      <c r="AD89">
        <f t="shared" si="110"/>
        <v>1.4401073429478921</v>
      </c>
      <c r="AE89">
        <f t="shared" si="111"/>
        <v>-241.35507959105914</v>
      </c>
      <c r="AF89">
        <f t="shared" si="112"/>
        <v>32.66036310332963</v>
      </c>
      <c r="AG89">
        <f t="shared" si="113"/>
        <v>2.4945299052203045</v>
      </c>
      <c r="AH89">
        <f t="shared" si="114"/>
        <v>83.347131375807251</v>
      </c>
      <c r="AI89">
        <v>0</v>
      </c>
      <c r="AJ89">
        <v>0</v>
      </c>
      <c r="AK89">
        <f t="shared" si="115"/>
        <v>1</v>
      </c>
      <c r="AL89">
        <f t="shared" si="116"/>
        <v>0</v>
      </c>
      <c r="AM89">
        <f t="shared" si="117"/>
        <v>51824.063518188239</v>
      </c>
      <c r="AN89" t="s">
        <v>418</v>
      </c>
      <c r="AO89">
        <v>10076.700000000001</v>
      </c>
      <c r="AP89">
        <v>185.01599999999999</v>
      </c>
      <c r="AQ89">
        <v>473.06</v>
      </c>
      <c r="AR89">
        <f t="shared" si="118"/>
        <v>0.60889527755464423</v>
      </c>
      <c r="AS89">
        <v>-1.4827006201179751</v>
      </c>
      <c r="AT89" t="s">
        <v>793</v>
      </c>
      <c r="AU89">
        <v>8075.71</v>
      </c>
      <c r="AV89">
        <v>729.01107692307698</v>
      </c>
      <c r="AW89">
        <v>1225.12964994502</v>
      </c>
      <c r="AX89">
        <f t="shared" si="119"/>
        <v>0.4049518947192301</v>
      </c>
      <c r="AY89">
        <v>0.5</v>
      </c>
      <c r="AZ89">
        <f t="shared" si="120"/>
        <v>1513.0838994602675</v>
      </c>
      <c r="BA89">
        <f t="shared" si="121"/>
        <v>61.86009130191259</v>
      </c>
      <c r="BB89">
        <f t="shared" si="122"/>
        <v>306.3630959777982</v>
      </c>
      <c r="BC89">
        <f t="shared" si="123"/>
        <v>4.1863370527322107E-2</v>
      </c>
      <c r="BD89">
        <f t="shared" si="124"/>
        <v>-0.61386943820906681</v>
      </c>
      <c r="BE89">
        <f t="shared" si="125"/>
        <v>243.47005186043768</v>
      </c>
      <c r="BF89" t="s">
        <v>794</v>
      </c>
      <c r="BG89">
        <v>553.87</v>
      </c>
      <c r="BH89">
        <f t="shared" si="126"/>
        <v>553.87</v>
      </c>
      <c r="BI89">
        <f t="shared" si="127"/>
        <v>0.54790907229707808</v>
      </c>
      <c r="BJ89">
        <f t="shared" si="128"/>
        <v>0.73908594544983897</v>
      </c>
      <c r="BK89">
        <f t="shared" si="129"/>
        <v>9.306640885348596</v>
      </c>
      <c r="BL89">
        <f t="shared" si="130"/>
        <v>0.47698496510277283</v>
      </c>
      <c r="BM89">
        <f t="shared" si="131"/>
        <v>-2.6109540554395165</v>
      </c>
      <c r="BN89">
        <f t="shared" si="132"/>
        <v>0.56152443435300015</v>
      </c>
      <c r="BO89">
        <f t="shared" si="133"/>
        <v>0.43847556564699985</v>
      </c>
      <c r="BP89">
        <v>9199</v>
      </c>
      <c r="BQ89">
        <v>290.00000000000011</v>
      </c>
      <c r="BR89">
        <v>1060.23</v>
      </c>
      <c r="BS89">
        <v>295</v>
      </c>
      <c r="BT89">
        <v>8075.71</v>
      </c>
      <c r="BU89">
        <v>1063.99</v>
      </c>
      <c r="BV89">
        <v>-3.76</v>
      </c>
      <c r="BW89">
        <v>300.00000000000011</v>
      </c>
      <c r="BX89">
        <v>19.3</v>
      </c>
      <c r="BY89">
        <v>1225.12964994502</v>
      </c>
      <c r="BZ89">
        <v>5.2567612894972582</v>
      </c>
      <c r="CA89">
        <v>-130.13498188153531</v>
      </c>
      <c r="CB89">
        <v>3.9006842659874401</v>
      </c>
      <c r="CC89">
        <v>0.97546074831413043</v>
      </c>
      <c r="CD89">
        <v>-4.1616402669632973E-3</v>
      </c>
      <c r="CE89">
        <v>289.99999999999989</v>
      </c>
      <c r="CF89">
        <v>1057.95</v>
      </c>
      <c r="CG89">
        <v>675</v>
      </c>
      <c r="CH89">
        <v>8067.59</v>
      </c>
      <c r="CI89">
        <v>1063.82</v>
      </c>
      <c r="CJ89">
        <v>-5.87</v>
      </c>
      <c r="CX89">
        <f t="shared" si="134"/>
        <v>1799.88</v>
      </c>
      <c r="CY89">
        <f t="shared" si="135"/>
        <v>1513.0838994602675</v>
      </c>
      <c r="CZ89">
        <f t="shared" si="136"/>
        <v>0.84065821024749843</v>
      </c>
      <c r="DA89">
        <f t="shared" si="137"/>
        <v>0.16087034577767209</v>
      </c>
      <c r="DB89">
        <v>6</v>
      </c>
      <c r="DC89">
        <v>0.5</v>
      </c>
      <c r="DD89" t="s">
        <v>421</v>
      </c>
      <c r="DE89">
        <v>2</v>
      </c>
      <c r="DF89">
        <v>1689013174</v>
      </c>
      <c r="DG89">
        <v>820.71600000000001</v>
      </c>
      <c r="DH89">
        <v>900.32</v>
      </c>
      <c r="DI89">
        <v>28.2803</v>
      </c>
      <c r="DJ89">
        <v>21.9</v>
      </c>
      <c r="DK89">
        <v>822.75400000000002</v>
      </c>
      <c r="DL89">
        <v>28.265499999999999</v>
      </c>
      <c r="DM89">
        <v>500.11399999999998</v>
      </c>
      <c r="DN89">
        <v>99.132800000000003</v>
      </c>
      <c r="DO89">
        <v>0.100244</v>
      </c>
      <c r="DP89">
        <v>30.150700000000001</v>
      </c>
      <c r="DQ89">
        <v>29.942699999999999</v>
      </c>
      <c r="DR89">
        <v>999.9</v>
      </c>
      <c r="DS89">
        <v>0</v>
      </c>
      <c r="DT89">
        <v>0</v>
      </c>
      <c r="DU89">
        <v>9990</v>
      </c>
      <c r="DV89">
        <v>0</v>
      </c>
      <c r="DW89">
        <v>1386.97</v>
      </c>
      <c r="DX89">
        <v>-79.6036</v>
      </c>
      <c r="DY89">
        <v>844.60199999999998</v>
      </c>
      <c r="DZ89">
        <v>920.47799999999995</v>
      </c>
      <c r="EA89">
        <v>6.3803299999999998</v>
      </c>
      <c r="EB89">
        <v>900.32</v>
      </c>
      <c r="EC89">
        <v>21.9</v>
      </c>
      <c r="ED89">
        <v>2.8035100000000002</v>
      </c>
      <c r="EE89">
        <v>2.1710099999999999</v>
      </c>
      <c r="EF89">
        <v>22.904699999999998</v>
      </c>
      <c r="EG89">
        <v>18.75</v>
      </c>
      <c r="EH89">
        <v>1799.88</v>
      </c>
      <c r="EI89">
        <v>0.97800100000000001</v>
      </c>
      <c r="EJ89">
        <v>2.1998899999999998E-2</v>
      </c>
      <c r="EK89">
        <v>0</v>
      </c>
      <c r="EL89">
        <v>728.92700000000002</v>
      </c>
      <c r="EM89">
        <v>5.00082</v>
      </c>
      <c r="EN89">
        <v>15859.8</v>
      </c>
      <c r="EO89">
        <v>14128.9</v>
      </c>
      <c r="EP89">
        <v>50.186999999999998</v>
      </c>
      <c r="EQ89">
        <v>51.875</v>
      </c>
      <c r="ER89">
        <v>51.186999999999998</v>
      </c>
      <c r="ES89">
        <v>51.436999999999998</v>
      </c>
      <c r="ET89">
        <v>51.375</v>
      </c>
      <c r="EU89">
        <v>1755.39</v>
      </c>
      <c r="EV89">
        <v>39.49</v>
      </c>
      <c r="EW89">
        <v>0</v>
      </c>
      <c r="EX89">
        <v>118.4000000953674</v>
      </c>
      <c r="EY89">
        <v>0</v>
      </c>
      <c r="EZ89">
        <v>729.01107692307698</v>
      </c>
      <c r="FA89">
        <v>-1.4018461488032581</v>
      </c>
      <c r="FB89">
        <v>-4965.4598287401868</v>
      </c>
      <c r="FC89">
        <v>16199.44230769231</v>
      </c>
      <c r="FD89">
        <v>15</v>
      </c>
      <c r="FE89">
        <v>1689013138.5</v>
      </c>
      <c r="FF89" t="s">
        <v>795</v>
      </c>
      <c r="FG89">
        <v>1689013138.5</v>
      </c>
      <c r="FH89">
        <v>1689013129.5</v>
      </c>
      <c r="FI89">
        <v>81</v>
      </c>
      <c r="FJ89">
        <v>-0.13700000000000001</v>
      </c>
      <c r="FK89">
        <v>-8.0000000000000002E-3</v>
      </c>
      <c r="FL89">
        <v>-2.0990000000000002</v>
      </c>
      <c r="FM89">
        <v>1.4999999999999999E-2</v>
      </c>
      <c r="FN89">
        <v>900</v>
      </c>
      <c r="FO89">
        <v>22</v>
      </c>
      <c r="FP89">
        <v>0.02</v>
      </c>
      <c r="FQ89">
        <v>0.02</v>
      </c>
      <c r="FR89">
        <v>61.881022666273438</v>
      </c>
      <c r="FS89">
        <v>-0.37201889356977319</v>
      </c>
      <c r="FT89">
        <v>7.5189385962701416E-2</v>
      </c>
      <c r="FU89">
        <v>1</v>
      </c>
      <c r="FV89">
        <v>0.38799960650777038</v>
      </c>
      <c r="FW89">
        <v>9.0736583807123385E-3</v>
      </c>
      <c r="FX89">
        <v>1.1014237220596499E-3</v>
      </c>
      <c r="FY89">
        <v>1</v>
      </c>
      <c r="FZ89">
        <v>2</v>
      </c>
      <c r="GA89">
        <v>2</v>
      </c>
      <c r="GB89" t="s">
        <v>423</v>
      </c>
      <c r="GC89">
        <v>2.9443000000000001</v>
      </c>
      <c r="GD89">
        <v>2.7088199999999998</v>
      </c>
      <c r="GE89">
        <v>0.14599799999999999</v>
      </c>
      <c r="GF89">
        <v>0.15512899999999999</v>
      </c>
      <c r="GG89">
        <v>0.126664</v>
      </c>
      <c r="GH89">
        <v>0.105989</v>
      </c>
      <c r="GI89">
        <v>28039</v>
      </c>
      <c r="GJ89">
        <v>27063.9</v>
      </c>
      <c r="GK89">
        <v>33834</v>
      </c>
      <c r="GL89">
        <v>32079.5</v>
      </c>
      <c r="GM89">
        <v>42662</v>
      </c>
      <c r="GN89">
        <v>40811</v>
      </c>
      <c r="GO89">
        <v>49001.7</v>
      </c>
      <c r="GP89">
        <v>45412.4</v>
      </c>
      <c r="GQ89">
        <v>1.9730000000000001</v>
      </c>
      <c r="GR89">
        <v>1.7560800000000001</v>
      </c>
      <c r="GS89">
        <v>5.90086E-3</v>
      </c>
      <c r="GT89">
        <v>0</v>
      </c>
      <c r="GU89">
        <v>29.846599999999999</v>
      </c>
      <c r="GV89">
        <v>999.9</v>
      </c>
      <c r="GW89">
        <v>29.9</v>
      </c>
      <c r="GX89">
        <v>45.6</v>
      </c>
      <c r="GY89">
        <v>29.980499999999999</v>
      </c>
      <c r="GZ89">
        <v>60.218800000000002</v>
      </c>
      <c r="HA89">
        <v>26.1098</v>
      </c>
      <c r="HB89">
        <v>1</v>
      </c>
      <c r="HC89">
        <v>0.50063999999999997</v>
      </c>
      <c r="HD89">
        <v>2.6068699999999998</v>
      </c>
      <c r="HE89">
        <v>20.202500000000001</v>
      </c>
      <c r="HF89">
        <v>5.2661100000000003</v>
      </c>
      <c r="HG89">
        <v>12.039899999999999</v>
      </c>
      <c r="HH89">
        <v>4.9649999999999999</v>
      </c>
      <c r="HI89">
        <v>3.3003999999999998</v>
      </c>
      <c r="HJ89">
        <v>9999</v>
      </c>
      <c r="HK89">
        <v>9999</v>
      </c>
      <c r="HL89">
        <v>9999</v>
      </c>
      <c r="HM89">
        <v>999.9</v>
      </c>
      <c r="HN89">
        <v>1.8687100000000001</v>
      </c>
      <c r="HO89">
        <v>1.8724099999999999</v>
      </c>
      <c r="HP89">
        <v>1.8721000000000001</v>
      </c>
      <c r="HQ89">
        <v>1.87164</v>
      </c>
      <c r="HR89">
        <v>1.8649199999999999</v>
      </c>
      <c r="HS89">
        <v>1.8660000000000001</v>
      </c>
      <c r="HT89">
        <v>1.8680399999999999</v>
      </c>
      <c r="HU89">
        <v>1.8725700000000001</v>
      </c>
      <c r="HV89">
        <v>0</v>
      </c>
      <c r="HW89">
        <v>0</v>
      </c>
      <c r="HX89">
        <v>0</v>
      </c>
      <c r="HY89">
        <v>0</v>
      </c>
      <c r="HZ89" t="s">
        <v>424</v>
      </c>
      <c r="IA89" t="s">
        <v>425</v>
      </c>
      <c r="IB89" t="s">
        <v>426</v>
      </c>
      <c r="IC89" t="s">
        <v>426</v>
      </c>
      <c r="ID89" t="s">
        <v>426</v>
      </c>
      <c r="IE89" t="s">
        <v>426</v>
      </c>
      <c r="IF89">
        <v>0</v>
      </c>
      <c r="IG89">
        <v>100</v>
      </c>
      <c r="IH89">
        <v>100</v>
      </c>
      <c r="II89">
        <v>-2.0379999999999998</v>
      </c>
      <c r="IJ89">
        <v>1.4800000000000001E-2</v>
      </c>
      <c r="IK89">
        <v>-1.2441702125776539</v>
      </c>
      <c r="IL89">
        <v>-1.171017271736434E-3</v>
      </c>
      <c r="IM89">
        <v>2.801297040296544E-7</v>
      </c>
      <c r="IN89">
        <v>-3.6238253961199429E-11</v>
      </c>
      <c r="IO89">
        <v>1.4771428571428659E-2</v>
      </c>
      <c r="IP89">
        <v>0</v>
      </c>
      <c r="IQ89">
        <v>0</v>
      </c>
      <c r="IR89">
        <v>0</v>
      </c>
      <c r="IS89">
        <v>0</v>
      </c>
      <c r="IT89">
        <v>2161</v>
      </c>
      <c r="IU89">
        <v>1</v>
      </c>
      <c r="IV89">
        <v>19</v>
      </c>
      <c r="IW89">
        <v>0.6</v>
      </c>
      <c r="IX89">
        <v>0.7</v>
      </c>
      <c r="IY89">
        <v>1.9995099999999999</v>
      </c>
      <c r="IZ89">
        <v>2.49146</v>
      </c>
      <c r="JA89">
        <v>1.4440900000000001</v>
      </c>
      <c r="JB89">
        <v>2.2814899999999998</v>
      </c>
      <c r="JC89">
        <v>1.54419</v>
      </c>
      <c r="JD89">
        <v>2.4670399999999999</v>
      </c>
      <c r="JE89">
        <v>49.547499999999999</v>
      </c>
      <c r="JF89">
        <v>24.008700000000001</v>
      </c>
      <c r="JG89">
        <v>18</v>
      </c>
      <c r="JH89">
        <v>510.67700000000002</v>
      </c>
      <c r="JI89">
        <v>409.50799999999998</v>
      </c>
      <c r="JJ89">
        <v>26.159800000000001</v>
      </c>
      <c r="JK89">
        <v>33.496899999999997</v>
      </c>
      <c r="JL89">
        <v>29.9999</v>
      </c>
      <c r="JM89">
        <v>33.264600000000002</v>
      </c>
      <c r="JN89">
        <v>33.2012</v>
      </c>
      <c r="JO89">
        <v>40.182400000000001</v>
      </c>
      <c r="JP89">
        <v>29.716699999999999</v>
      </c>
      <c r="JQ89">
        <v>0</v>
      </c>
      <c r="JR89">
        <v>26.1934</v>
      </c>
      <c r="JS89">
        <v>900</v>
      </c>
      <c r="JT89">
        <v>21.911200000000001</v>
      </c>
      <c r="JU89">
        <v>99.312399999999997</v>
      </c>
      <c r="JV89">
        <v>98.8977</v>
      </c>
    </row>
    <row r="90" spans="1:282" x14ac:dyDescent="0.25">
      <c r="A90">
        <v>74</v>
      </c>
      <c r="B90">
        <v>1689013288.5</v>
      </c>
      <c r="C90">
        <v>14111.5</v>
      </c>
      <c r="D90" t="s">
        <v>796</v>
      </c>
      <c r="E90" t="s">
        <v>797</v>
      </c>
      <c r="F90" t="s">
        <v>414</v>
      </c>
      <c r="G90" t="s">
        <v>415</v>
      </c>
      <c r="H90" t="s">
        <v>732</v>
      </c>
      <c r="I90" t="s">
        <v>416</v>
      </c>
      <c r="J90" t="s">
        <v>579</v>
      </c>
      <c r="K90">
        <v>1689013288.5</v>
      </c>
      <c r="L90">
        <f t="shared" si="92"/>
        <v>5.007476909347581E-3</v>
      </c>
      <c r="M90">
        <f t="shared" si="93"/>
        <v>5.0074769093475808</v>
      </c>
      <c r="N90">
        <f t="shared" si="94"/>
        <v>61.552160355065354</v>
      </c>
      <c r="O90">
        <f t="shared" si="95"/>
        <v>1119.72</v>
      </c>
      <c r="P90">
        <f t="shared" si="96"/>
        <v>800.32154856441707</v>
      </c>
      <c r="Q90">
        <f t="shared" si="97"/>
        <v>79.418611550559717</v>
      </c>
      <c r="R90">
        <f t="shared" si="98"/>
        <v>111.11359913388002</v>
      </c>
      <c r="S90">
        <f t="shared" si="99"/>
        <v>0.35143292241510909</v>
      </c>
      <c r="T90">
        <f t="shared" si="100"/>
        <v>2.9103655727278559</v>
      </c>
      <c r="U90">
        <f t="shared" si="101"/>
        <v>0.32944483738651575</v>
      </c>
      <c r="V90">
        <f t="shared" si="102"/>
        <v>0.20776381950668615</v>
      </c>
      <c r="W90">
        <f t="shared" si="103"/>
        <v>289.55689395835117</v>
      </c>
      <c r="X90">
        <f t="shared" si="104"/>
        <v>30.633767095094068</v>
      </c>
      <c r="Y90">
        <f t="shared" si="105"/>
        <v>30.0779</v>
      </c>
      <c r="Z90">
        <f t="shared" si="106"/>
        <v>4.2795504167252849</v>
      </c>
      <c r="AA90">
        <f t="shared" si="107"/>
        <v>65.454878610215232</v>
      </c>
      <c r="AB90">
        <f t="shared" si="108"/>
        <v>2.8252239168195001</v>
      </c>
      <c r="AC90">
        <f t="shared" si="109"/>
        <v>4.3162923479604176</v>
      </c>
      <c r="AD90">
        <f t="shared" si="110"/>
        <v>1.4543264999057848</v>
      </c>
      <c r="AE90">
        <f t="shared" si="111"/>
        <v>-220.82973170222832</v>
      </c>
      <c r="AF90">
        <f t="shared" si="112"/>
        <v>23.378640684778865</v>
      </c>
      <c r="AG90">
        <f t="shared" si="113"/>
        <v>1.7888172665386952</v>
      </c>
      <c r="AH90">
        <f t="shared" si="114"/>
        <v>93.894620207440397</v>
      </c>
      <c r="AI90">
        <v>0</v>
      </c>
      <c r="AJ90">
        <v>0</v>
      </c>
      <c r="AK90">
        <f t="shared" si="115"/>
        <v>1</v>
      </c>
      <c r="AL90">
        <f t="shared" si="116"/>
        <v>0</v>
      </c>
      <c r="AM90">
        <f t="shared" si="117"/>
        <v>51749.199822573646</v>
      </c>
      <c r="AN90" t="s">
        <v>418</v>
      </c>
      <c r="AO90">
        <v>10076.700000000001</v>
      </c>
      <c r="AP90">
        <v>185.01599999999999</v>
      </c>
      <c r="AQ90">
        <v>473.06</v>
      </c>
      <c r="AR90">
        <f t="shared" si="118"/>
        <v>0.60889527755464423</v>
      </c>
      <c r="AS90">
        <v>-1.4827006201179751</v>
      </c>
      <c r="AT90" t="s">
        <v>798</v>
      </c>
      <c r="AU90">
        <v>8076.26</v>
      </c>
      <c r="AV90">
        <v>725.53984615384627</v>
      </c>
      <c r="AW90">
        <v>1232.40519654574</v>
      </c>
      <c r="AX90">
        <f t="shared" si="119"/>
        <v>0.41128141281176567</v>
      </c>
      <c r="AY90">
        <v>0.5</v>
      </c>
      <c r="AZ90">
        <f t="shared" si="120"/>
        <v>1513.1342994602855</v>
      </c>
      <c r="BA90">
        <f t="shared" si="121"/>
        <v>61.552160355065354</v>
      </c>
      <c r="BB90">
        <f t="shared" si="122"/>
        <v>311.1620062279838</v>
      </c>
      <c r="BC90">
        <f t="shared" si="123"/>
        <v>4.1658470763412746E-2</v>
      </c>
      <c r="BD90">
        <f t="shared" si="124"/>
        <v>-0.61614897330364948</v>
      </c>
      <c r="BE90">
        <f t="shared" si="125"/>
        <v>243.75602877052222</v>
      </c>
      <c r="BF90" t="s">
        <v>799</v>
      </c>
      <c r="BG90">
        <v>551.27</v>
      </c>
      <c r="BH90">
        <f t="shared" si="126"/>
        <v>551.27</v>
      </c>
      <c r="BI90">
        <f t="shared" si="127"/>
        <v>0.55268770243331256</v>
      </c>
      <c r="BJ90">
        <f t="shared" si="128"/>
        <v>0.74414793562625181</v>
      </c>
      <c r="BK90">
        <f t="shared" si="129"/>
        <v>9.7090550638759776</v>
      </c>
      <c r="BL90">
        <f t="shared" si="130"/>
        <v>0.4839321926018727</v>
      </c>
      <c r="BM90">
        <f t="shared" si="131"/>
        <v>-2.6362125110946248</v>
      </c>
      <c r="BN90">
        <f t="shared" si="132"/>
        <v>0.56540855012627089</v>
      </c>
      <c r="BO90">
        <f t="shared" si="133"/>
        <v>0.43459144987372911</v>
      </c>
      <c r="BP90">
        <v>9201</v>
      </c>
      <c r="BQ90">
        <v>290.00000000000011</v>
      </c>
      <c r="BR90">
        <v>1060.05</v>
      </c>
      <c r="BS90">
        <v>285</v>
      </c>
      <c r="BT90">
        <v>8076.26</v>
      </c>
      <c r="BU90">
        <v>1063.77</v>
      </c>
      <c r="BV90">
        <v>-3.72</v>
      </c>
      <c r="BW90">
        <v>300.00000000000011</v>
      </c>
      <c r="BX90">
        <v>19.3</v>
      </c>
      <c r="BY90">
        <v>1232.40519654574</v>
      </c>
      <c r="BZ90">
        <v>4.8482674780940727</v>
      </c>
      <c r="CA90">
        <v>-136.19281733850079</v>
      </c>
      <c r="CB90">
        <v>3.5978190369636889</v>
      </c>
      <c r="CC90">
        <v>0.98083433405576548</v>
      </c>
      <c r="CD90">
        <v>-4.161785317018914E-3</v>
      </c>
      <c r="CE90">
        <v>289.99999999999989</v>
      </c>
      <c r="CF90">
        <v>1056.58</v>
      </c>
      <c r="CG90">
        <v>625</v>
      </c>
      <c r="CH90">
        <v>8069.51</v>
      </c>
      <c r="CI90">
        <v>1063.6300000000001</v>
      </c>
      <c r="CJ90">
        <v>-7.05</v>
      </c>
      <c r="CX90">
        <f t="shared" si="134"/>
        <v>1799.94</v>
      </c>
      <c r="CY90">
        <f t="shared" si="135"/>
        <v>1513.1342994602855</v>
      </c>
      <c r="CZ90">
        <f t="shared" si="136"/>
        <v>0.84065818830643546</v>
      </c>
      <c r="DA90">
        <f t="shared" si="137"/>
        <v>0.16087030343142059</v>
      </c>
      <c r="DB90">
        <v>6</v>
      </c>
      <c r="DC90">
        <v>0.5</v>
      </c>
      <c r="DD90" t="s">
        <v>421</v>
      </c>
      <c r="DE90">
        <v>2</v>
      </c>
      <c r="DF90">
        <v>1689013288.5</v>
      </c>
      <c r="DG90">
        <v>1119.72</v>
      </c>
      <c r="DH90">
        <v>1200.3</v>
      </c>
      <c r="DI90">
        <v>28.470500000000001</v>
      </c>
      <c r="DJ90">
        <v>22.633400000000002</v>
      </c>
      <c r="DK90">
        <v>1122</v>
      </c>
      <c r="DL90">
        <v>28.450500000000002</v>
      </c>
      <c r="DM90">
        <v>500.06799999999998</v>
      </c>
      <c r="DN90">
        <v>99.133499999999998</v>
      </c>
      <c r="DO90">
        <v>9.9878999999999996E-2</v>
      </c>
      <c r="DP90">
        <v>30.226900000000001</v>
      </c>
      <c r="DQ90">
        <v>30.0779</v>
      </c>
      <c r="DR90">
        <v>999.9</v>
      </c>
      <c r="DS90">
        <v>0</v>
      </c>
      <c r="DT90">
        <v>0</v>
      </c>
      <c r="DU90">
        <v>9977.5</v>
      </c>
      <c r="DV90">
        <v>0</v>
      </c>
      <c r="DW90">
        <v>1918.1</v>
      </c>
      <c r="DX90">
        <v>-80.580100000000002</v>
      </c>
      <c r="DY90">
        <v>1152.53</v>
      </c>
      <c r="DZ90">
        <v>1228.0899999999999</v>
      </c>
      <c r="EA90">
        <v>5.8370699999999998</v>
      </c>
      <c r="EB90">
        <v>1200.3</v>
      </c>
      <c r="EC90">
        <v>22.633400000000002</v>
      </c>
      <c r="ED90">
        <v>2.8223799999999999</v>
      </c>
      <c r="EE90">
        <v>2.2437299999999998</v>
      </c>
      <c r="EF90">
        <v>23.015599999999999</v>
      </c>
      <c r="EG90">
        <v>19.277999999999999</v>
      </c>
      <c r="EH90">
        <v>1799.94</v>
      </c>
      <c r="EI90">
        <v>0.97799700000000001</v>
      </c>
      <c r="EJ90">
        <v>2.2002500000000001E-2</v>
      </c>
      <c r="EK90">
        <v>0</v>
      </c>
      <c r="EL90">
        <v>726.07</v>
      </c>
      <c r="EM90">
        <v>5.00082</v>
      </c>
      <c r="EN90">
        <v>16629.2</v>
      </c>
      <c r="EO90">
        <v>14129.3</v>
      </c>
      <c r="EP90">
        <v>50.186999999999998</v>
      </c>
      <c r="EQ90">
        <v>51.875</v>
      </c>
      <c r="ER90">
        <v>51.186999999999998</v>
      </c>
      <c r="ES90">
        <v>51.186999999999998</v>
      </c>
      <c r="ET90">
        <v>51.186999999999998</v>
      </c>
      <c r="EU90">
        <v>1755.45</v>
      </c>
      <c r="EV90">
        <v>39.49</v>
      </c>
      <c r="EW90">
        <v>0</v>
      </c>
      <c r="EX90">
        <v>112.4000000953674</v>
      </c>
      <c r="EY90">
        <v>0</v>
      </c>
      <c r="EZ90">
        <v>725.53984615384627</v>
      </c>
      <c r="FA90">
        <v>-1.331145290920392</v>
      </c>
      <c r="FB90">
        <v>21.993162454028191</v>
      </c>
      <c r="FC90">
        <v>16625.349999999999</v>
      </c>
      <c r="FD90">
        <v>15</v>
      </c>
      <c r="FE90">
        <v>1689013256.5</v>
      </c>
      <c r="FF90" t="s">
        <v>800</v>
      </c>
      <c r="FG90">
        <v>1689013256.5</v>
      </c>
      <c r="FH90">
        <v>1689013255.5</v>
      </c>
      <c r="FI90">
        <v>82</v>
      </c>
      <c r="FJ90">
        <v>-3.1E-2</v>
      </c>
      <c r="FK90">
        <v>5.0000000000000001E-3</v>
      </c>
      <c r="FL90">
        <v>-2.3410000000000002</v>
      </c>
      <c r="FM90">
        <v>0.02</v>
      </c>
      <c r="FN90">
        <v>1200</v>
      </c>
      <c r="FO90">
        <v>22</v>
      </c>
      <c r="FP90">
        <v>0.05</v>
      </c>
      <c r="FQ90">
        <v>0.02</v>
      </c>
      <c r="FR90">
        <v>61.684808216538961</v>
      </c>
      <c r="FS90">
        <v>-0.60588597820759127</v>
      </c>
      <c r="FT90">
        <v>0.14608348352528269</v>
      </c>
      <c r="FU90">
        <v>1</v>
      </c>
      <c r="FV90">
        <v>0.34642445655595588</v>
      </c>
      <c r="FW90">
        <v>3.9936621510536112E-2</v>
      </c>
      <c r="FX90">
        <v>3.0389523287592209E-3</v>
      </c>
      <c r="FY90">
        <v>1</v>
      </c>
      <c r="FZ90">
        <v>2</v>
      </c>
      <c r="GA90">
        <v>2</v>
      </c>
      <c r="GB90" t="s">
        <v>423</v>
      </c>
      <c r="GC90">
        <v>2.9441600000000001</v>
      </c>
      <c r="GD90">
        <v>2.7083400000000002</v>
      </c>
      <c r="GE90">
        <v>0.17819199999999999</v>
      </c>
      <c r="GF90">
        <v>0.18614600000000001</v>
      </c>
      <c r="GG90">
        <v>0.12722800000000001</v>
      </c>
      <c r="GH90">
        <v>0.108461</v>
      </c>
      <c r="GI90">
        <v>26979.9</v>
      </c>
      <c r="GJ90">
        <v>26067.9</v>
      </c>
      <c r="GK90">
        <v>33834.1</v>
      </c>
      <c r="GL90">
        <v>32079.3</v>
      </c>
      <c r="GM90">
        <v>42635.4</v>
      </c>
      <c r="GN90">
        <v>40698.400000000001</v>
      </c>
      <c r="GO90">
        <v>49001.9</v>
      </c>
      <c r="GP90">
        <v>45412</v>
      </c>
      <c r="GQ90">
        <v>1.9722500000000001</v>
      </c>
      <c r="GR90">
        <v>1.75793</v>
      </c>
      <c r="GS90">
        <v>8.4936600000000005E-4</v>
      </c>
      <c r="GT90">
        <v>0</v>
      </c>
      <c r="GU90">
        <v>30.064</v>
      </c>
      <c r="GV90">
        <v>999.9</v>
      </c>
      <c r="GW90">
        <v>29.8</v>
      </c>
      <c r="GX90">
        <v>45.7</v>
      </c>
      <c r="GY90">
        <v>30.036100000000001</v>
      </c>
      <c r="GZ90">
        <v>60.668799999999997</v>
      </c>
      <c r="HA90">
        <v>26.0777</v>
      </c>
      <c r="HB90">
        <v>1</v>
      </c>
      <c r="HC90">
        <v>0.51204300000000003</v>
      </c>
      <c r="HD90">
        <v>4.6221300000000003</v>
      </c>
      <c r="HE90">
        <v>20.1585</v>
      </c>
      <c r="HF90">
        <v>5.2679099999999996</v>
      </c>
      <c r="HG90">
        <v>12.039899999999999</v>
      </c>
      <c r="HH90">
        <v>4.9654999999999996</v>
      </c>
      <c r="HI90">
        <v>3.30078</v>
      </c>
      <c r="HJ90">
        <v>9999</v>
      </c>
      <c r="HK90">
        <v>9999</v>
      </c>
      <c r="HL90">
        <v>9999</v>
      </c>
      <c r="HM90">
        <v>999.9</v>
      </c>
      <c r="HN90">
        <v>1.8687400000000001</v>
      </c>
      <c r="HO90">
        <v>1.87239</v>
      </c>
      <c r="HP90">
        <v>1.8721000000000001</v>
      </c>
      <c r="HQ90">
        <v>1.87164</v>
      </c>
      <c r="HR90">
        <v>1.8648899999999999</v>
      </c>
      <c r="HS90">
        <v>1.8660099999999999</v>
      </c>
      <c r="HT90">
        <v>1.8680000000000001</v>
      </c>
      <c r="HU90">
        <v>1.87259</v>
      </c>
      <c r="HV90">
        <v>0</v>
      </c>
      <c r="HW90">
        <v>0</v>
      </c>
      <c r="HX90">
        <v>0</v>
      </c>
      <c r="HY90">
        <v>0</v>
      </c>
      <c r="HZ90" t="s">
        <v>424</v>
      </c>
      <c r="IA90" t="s">
        <v>425</v>
      </c>
      <c r="IB90" t="s">
        <v>426</v>
      </c>
      <c r="IC90" t="s">
        <v>426</v>
      </c>
      <c r="ID90" t="s">
        <v>426</v>
      </c>
      <c r="IE90" t="s">
        <v>426</v>
      </c>
      <c r="IF90">
        <v>0</v>
      </c>
      <c r="IG90">
        <v>100</v>
      </c>
      <c r="IH90">
        <v>100</v>
      </c>
      <c r="II90">
        <v>-2.2799999999999998</v>
      </c>
      <c r="IJ90">
        <v>0.02</v>
      </c>
      <c r="IK90">
        <v>-1.2752402886537031</v>
      </c>
      <c r="IL90">
        <v>-1.171017271736434E-3</v>
      </c>
      <c r="IM90">
        <v>2.801297040296544E-7</v>
      </c>
      <c r="IN90">
        <v>-3.6238253961199429E-11</v>
      </c>
      <c r="IO90">
        <v>1.99899999999964E-2</v>
      </c>
      <c r="IP90">
        <v>0</v>
      </c>
      <c r="IQ90">
        <v>0</v>
      </c>
      <c r="IR90">
        <v>0</v>
      </c>
      <c r="IS90">
        <v>0</v>
      </c>
      <c r="IT90">
        <v>2161</v>
      </c>
      <c r="IU90">
        <v>1</v>
      </c>
      <c r="IV90">
        <v>19</v>
      </c>
      <c r="IW90">
        <v>0.5</v>
      </c>
      <c r="IX90">
        <v>0.6</v>
      </c>
      <c r="IY90">
        <v>2.5366200000000001</v>
      </c>
      <c r="IZ90">
        <v>2.4841299999999999</v>
      </c>
      <c r="JA90">
        <v>1.4440900000000001</v>
      </c>
      <c r="JB90">
        <v>2.2814899999999998</v>
      </c>
      <c r="JC90">
        <v>1.54419</v>
      </c>
      <c r="JD90">
        <v>2.4706999999999999</v>
      </c>
      <c r="JE90">
        <v>49.5792</v>
      </c>
      <c r="JF90">
        <v>23.982399999999998</v>
      </c>
      <c r="JG90">
        <v>18</v>
      </c>
      <c r="JH90">
        <v>510.41699999999997</v>
      </c>
      <c r="JI90">
        <v>410.89600000000002</v>
      </c>
      <c r="JJ90">
        <v>24.936599999999999</v>
      </c>
      <c r="JK90">
        <v>33.511099999999999</v>
      </c>
      <c r="JL90">
        <v>30.001300000000001</v>
      </c>
      <c r="JM90">
        <v>33.294400000000003</v>
      </c>
      <c r="JN90">
        <v>33.239600000000003</v>
      </c>
      <c r="JO90">
        <v>50.928899999999999</v>
      </c>
      <c r="JP90">
        <v>26.675000000000001</v>
      </c>
      <c r="JQ90">
        <v>0</v>
      </c>
      <c r="JR90">
        <v>24.8809</v>
      </c>
      <c r="JS90">
        <v>1200</v>
      </c>
      <c r="JT90">
        <v>22.630600000000001</v>
      </c>
      <c r="JU90">
        <v>99.312799999999996</v>
      </c>
      <c r="JV90">
        <v>98.896900000000002</v>
      </c>
    </row>
    <row r="91" spans="1:282" x14ac:dyDescent="0.25">
      <c r="A91">
        <v>75</v>
      </c>
      <c r="B91">
        <v>1689013418.5</v>
      </c>
      <c r="C91">
        <v>14241.5</v>
      </c>
      <c r="D91" t="s">
        <v>801</v>
      </c>
      <c r="E91" t="s">
        <v>802</v>
      </c>
      <c r="F91" t="s">
        <v>414</v>
      </c>
      <c r="G91" t="s">
        <v>415</v>
      </c>
      <c r="H91" t="s">
        <v>732</v>
      </c>
      <c r="I91" t="s">
        <v>416</v>
      </c>
      <c r="J91" t="s">
        <v>579</v>
      </c>
      <c r="K91">
        <v>1689013418.5</v>
      </c>
      <c r="L91">
        <f t="shared" si="92"/>
        <v>5.0205563990802053E-3</v>
      </c>
      <c r="M91">
        <f t="shared" si="93"/>
        <v>5.0205563990802053</v>
      </c>
      <c r="N91">
        <f t="shared" si="94"/>
        <v>60.008834913559134</v>
      </c>
      <c r="O91">
        <f t="shared" si="95"/>
        <v>1419.7</v>
      </c>
      <c r="P91">
        <f t="shared" si="96"/>
        <v>1097.8061627084737</v>
      </c>
      <c r="Q91">
        <f t="shared" si="97"/>
        <v>108.93417917643892</v>
      </c>
      <c r="R91">
        <f t="shared" si="98"/>
        <v>140.87537438780004</v>
      </c>
      <c r="S91">
        <f t="shared" si="99"/>
        <v>0.3483731012620781</v>
      </c>
      <c r="T91">
        <f t="shared" si="100"/>
        <v>2.9118116390856672</v>
      </c>
      <c r="U91">
        <f t="shared" si="101"/>
        <v>0.32676362394346836</v>
      </c>
      <c r="V91">
        <f t="shared" si="102"/>
        <v>0.20605699167500077</v>
      </c>
      <c r="W91">
        <f t="shared" si="103"/>
        <v>289.55485995781208</v>
      </c>
      <c r="X91">
        <f t="shared" si="104"/>
        <v>30.409816709786043</v>
      </c>
      <c r="Y91">
        <f t="shared" si="105"/>
        <v>29.9877</v>
      </c>
      <c r="Z91">
        <f t="shared" si="106"/>
        <v>4.25744068297998</v>
      </c>
      <c r="AA91">
        <f t="shared" si="107"/>
        <v>65.390152026505007</v>
      </c>
      <c r="AB91">
        <f t="shared" si="108"/>
        <v>2.7869548866614</v>
      </c>
      <c r="AC91">
        <f t="shared" si="109"/>
        <v>4.262040690059484</v>
      </c>
      <c r="AD91">
        <f t="shared" si="110"/>
        <v>1.47048579631858</v>
      </c>
      <c r="AE91">
        <f t="shared" si="111"/>
        <v>-221.40653719943705</v>
      </c>
      <c r="AF91">
        <f t="shared" si="112"/>
        <v>2.9512538748238804</v>
      </c>
      <c r="AG91">
        <f t="shared" si="113"/>
        <v>0.22535641045599125</v>
      </c>
      <c r="AH91">
        <f t="shared" si="114"/>
        <v>71.324933043654923</v>
      </c>
      <c r="AI91">
        <v>0</v>
      </c>
      <c r="AJ91">
        <v>0</v>
      </c>
      <c r="AK91">
        <f t="shared" si="115"/>
        <v>1</v>
      </c>
      <c r="AL91">
        <f t="shared" si="116"/>
        <v>0</v>
      </c>
      <c r="AM91">
        <f t="shared" si="117"/>
        <v>51827.857597677612</v>
      </c>
      <c r="AN91" t="s">
        <v>418</v>
      </c>
      <c r="AO91">
        <v>10076.700000000001</v>
      </c>
      <c r="AP91">
        <v>185.01599999999999</v>
      </c>
      <c r="AQ91">
        <v>473.06</v>
      </c>
      <c r="AR91">
        <f t="shared" si="118"/>
        <v>0.60889527755464423</v>
      </c>
      <c r="AS91">
        <v>-1.4827006201179751</v>
      </c>
      <c r="AT91" t="s">
        <v>803</v>
      </c>
      <c r="AU91">
        <v>8079.55</v>
      </c>
      <c r="AV91">
        <v>721.3374</v>
      </c>
      <c r="AW91">
        <v>1220.3941770547569</v>
      </c>
      <c r="AX91">
        <f t="shared" si="119"/>
        <v>0.40893080812558247</v>
      </c>
      <c r="AY91">
        <v>0.5</v>
      </c>
      <c r="AZ91">
        <f t="shared" si="120"/>
        <v>1513.1180994600065</v>
      </c>
      <c r="BA91">
        <f t="shared" si="121"/>
        <v>60.008834913559134</v>
      </c>
      <c r="BB91">
        <f t="shared" si="122"/>
        <v>309.38030360081297</v>
      </c>
      <c r="BC91">
        <f t="shared" si="123"/>
        <v>4.0638953136322854E-2</v>
      </c>
      <c r="BD91">
        <f t="shared" si="124"/>
        <v>-0.61237114295181161</v>
      </c>
      <c r="BE91">
        <f t="shared" si="125"/>
        <v>243.28244984227217</v>
      </c>
      <c r="BF91" t="s">
        <v>804</v>
      </c>
      <c r="BG91">
        <v>555.26</v>
      </c>
      <c r="BH91">
        <f t="shared" si="126"/>
        <v>555.26</v>
      </c>
      <c r="BI91">
        <f t="shared" si="127"/>
        <v>0.54501585599167734</v>
      </c>
      <c r="BJ91">
        <f t="shared" si="128"/>
        <v>0.75030992883962455</v>
      </c>
      <c r="BK91">
        <f t="shared" si="129"/>
        <v>9.0916566551673608</v>
      </c>
      <c r="BL91">
        <f t="shared" si="130"/>
        <v>0.48200434209882315</v>
      </c>
      <c r="BM91">
        <f t="shared" si="131"/>
        <v>-2.5945139529195438</v>
      </c>
      <c r="BN91">
        <f t="shared" si="132"/>
        <v>0.57756202726697647</v>
      </c>
      <c r="BO91">
        <f t="shared" si="133"/>
        <v>0.42243797273302353</v>
      </c>
      <c r="BP91">
        <v>9203</v>
      </c>
      <c r="BQ91">
        <v>290.00000000000011</v>
      </c>
      <c r="BR91">
        <v>1054.83</v>
      </c>
      <c r="BS91">
        <v>275</v>
      </c>
      <c r="BT91">
        <v>8079.55</v>
      </c>
      <c r="BU91">
        <v>1058.04</v>
      </c>
      <c r="BV91">
        <v>-3.21</v>
      </c>
      <c r="BW91">
        <v>300.00000000000011</v>
      </c>
      <c r="BX91">
        <v>19.2</v>
      </c>
      <c r="BY91">
        <v>1220.3941770547569</v>
      </c>
      <c r="BZ91">
        <v>4.5797216449397977</v>
      </c>
      <c r="CA91">
        <v>-131.17801326390889</v>
      </c>
      <c r="CB91">
        <v>3.3997728452370959</v>
      </c>
      <c r="CC91">
        <v>0.98153949763788084</v>
      </c>
      <c r="CD91">
        <v>-4.1627815350389341E-3</v>
      </c>
      <c r="CE91">
        <v>289.99999999999989</v>
      </c>
      <c r="CF91">
        <v>1051.92</v>
      </c>
      <c r="CG91">
        <v>635</v>
      </c>
      <c r="CH91">
        <v>8072.25</v>
      </c>
      <c r="CI91">
        <v>1057.8900000000001</v>
      </c>
      <c r="CJ91">
        <v>-5.97</v>
      </c>
      <c r="CX91">
        <f t="shared" si="134"/>
        <v>1799.92</v>
      </c>
      <c r="CY91">
        <f t="shared" si="135"/>
        <v>1513.1180994600065</v>
      </c>
      <c r="CZ91">
        <f t="shared" si="136"/>
        <v>0.84065852896795767</v>
      </c>
      <c r="DA91">
        <f t="shared" si="137"/>
        <v>0.16087096090815817</v>
      </c>
      <c r="DB91">
        <v>6</v>
      </c>
      <c r="DC91">
        <v>0.5</v>
      </c>
      <c r="DD91" t="s">
        <v>421</v>
      </c>
      <c r="DE91">
        <v>2</v>
      </c>
      <c r="DF91">
        <v>1689013418.5</v>
      </c>
      <c r="DG91">
        <v>1419.7</v>
      </c>
      <c r="DH91">
        <v>1500.23</v>
      </c>
      <c r="DI91">
        <v>28.086099999999998</v>
      </c>
      <c r="DJ91">
        <v>22.2331</v>
      </c>
      <c r="DK91">
        <v>1422.01</v>
      </c>
      <c r="DL91">
        <v>28.0655</v>
      </c>
      <c r="DM91">
        <v>500.21</v>
      </c>
      <c r="DN91">
        <v>99.128600000000006</v>
      </c>
      <c r="DO91">
        <v>0.100374</v>
      </c>
      <c r="DP91">
        <v>30.006499999999999</v>
      </c>
      <c r="DQ91">
        <v>29.9877</v>
      </c>
      <c r="DR91">
        <v>999.9</v>
      </c>
      <c r="DS91">
        <v>0</v>
      </c>
      <c r="DT91">
        <v>0</v>
      </c>
      <c r="DU91">
        <v>9986.25</v>
      </c>
      <c r="DV91">
        <v>0</v>
      </c>
      <c r="DW91">
        <v>1970.28</v>
      </c>
      <c r="DX91">
        <v>-80.533299999999997</v>
      </c>
      <c r="DY91">
        <v>1460.73</v>
      </c>
      <c r="DZ91">
        <v>1534.35</v>
      </c>
      <c r="EA91">
        <v>5.85297</v>
      </c>
      <c r="EB91">
        <v>1500.23</v>
      </c>
      <c r="EC91">
        <v>22.2331</v>
      </c>
      <c r="ED91">
        <v>2.7841300000000002</v>
      </c>
      <c r="EE91">
        <v>2.2039399999999998</v>
      </c>
      <c r="EF91">
        <v>22.790299999999998</v>
      </c>
      <c r="EG91">
        <v>18.991</v>
      </c>
      <c r="EH91">
        <v>1799.92</v>
      </c>
      <c r="EI91">
        <v>0.97799000000000003</v>
      </c>
      <c r="EJ91">
        <v>2.20097E-2</v>
      </c>
      <c r="EK91">
        <v>0</v>
      </c>
      <c r="EL91">
        <v>721.005</v>
      </c>
      <c r="EM91">
        <v>5.00082</v>
      </c>
      <c r="EN91">
        <v>16605</v>
      </c>
      <c r="EO91">
        <v>14129.1</v>
      </c>
      <c r="EP91">
        <v>49.5</v>
      </c>
      <c r="EQ91">
        <v>51.375</v>
      </c>
      <c r="ER91">
        <v>50.561999999999998</v>
      </c>
      <c r="ES91">
        <v>50.5</v>
      </c>
      <c r="ET91">
        <v>50.561999999999998</v>
      </c>
      <c r="EU91">
        <v>1755.41</v>
      </c>
      <c r="EV91">
        <v>39.51</v>
      </c>
      <c r="EW91">
        <v>0</v>
      </c>
      <c r="EX91">
        <v>128</v>
      </c>
      <c r="EY91">
        <v>0</v>
      </c>
      <c r="EZ91">
        <v>721.3374</v>
      </c>
      <c r="FA91">
        <v>-1.191846162683569</v>
      </c>
      <c r="FB91">
        <v>-110.8230765622683</v>
      </c>
      <c r="FC91">
        <v>16616.268</v>
      </c>
      <c r="FD91">
        <v>15</v>
      </c>
      <c r="FE91">
        <v>1689013382</v>
      </c>
      <c r="FF91" t="s">
        <v>805</v>
      </c>
      <c r="FG91">
        <v>1689013382</v>
      </c>
      <c r="FH91">
        <v>1689013372.5</v>
      </c>
      <c r="FI91">
        <v>83</v>
      </c>
      <c r="FJ91">
        <v>0.17399999999999999</v>
      </c>
      <c r="FK91">
        <v>1E-3</v>
      </c>
      <c r="FL91">
        <v>-2.3519999999999999</v>
      </c>
      <c r="FM91">
        <v>2.1000000000000001E-2</v>
      </c>
      <c r="FN91">
        <v>1500</v>
      </c>
      <c r="FO91">
        <v>22</v>
      </c>
      <c r="FP91">
        <v>0.06</v>
      </c>
      <c r="FQ91">
        <v>0.01</v>
      </c>
      <c r="FR91">
        <v>59.831482864562481</v>
      </c>
      <c r="FS91">
        <v>-0.68881955845926113</v>
      </c>
      <c r="FT91">
        <v>7.3951721316654298E-2</v>
      </c>
      <c r="FU91">
        <v>1</v>
      </c>
      <c r="FV91">
        <v>0.35336695549334268</v>
      </c>
      <c r="FW91">
        <v>-2.1510665519174871E-2</v>
      </c>
      <c r="FX91">
        <v>2.418982120887282E-3</v>
      </c>
      <c r="FY91">
        <v>1</v>
      </c>
      <c r="FZ91">
        <v>2</v>
      </c>
      <c r="GA91">
        <v>2</v>
      </c>
      <c r="GB91" t="s">
        <v>423</v>
      </c>
      <c r="GC91">
        <v>2.94441</v>
      </c>
      <c r="GD91">
        <v>2.70892</v>
      </c>
      <c r="GE91">
        <v>0.20599300000000001</v>
      </c>
      <c r="GF91">
        <v>0.21304899999999999</v>
      </c>
      <c r="GG91">
        <v>0.12598999999999999</v>
      </c>
      <c r="GH91">
        <v>0.107072</v>
      </c>
      <c r="GI91">
        <v>26055.4</v>
      </c>
      <c r="GJ91">
        <v>25194.2</v>
      </c>
      <c r="GK91">
        <v>33823.5</v>
      </c>
      <c r="GL91">
        <v>32068.6</v>
      </c>
      <c r="GM91">
        <v>42684.7</v>
      </c>
      <c r="GN91">
        <v>40749.199999999997</v>
      </c>
      <c r="GO91">
        <v>48987.4</v>
      </c>
      <c r="GP91">
        <v>45396.7</v>
      </c>
      <c r="GQ91">
        <v>1.9709000000000001</v>
      </c>
      <c r="GR91">
        <v>1.7548999999999999</v>
      </c>
      <c r="GS91">
        <v>-1.58809E-2</v>
      </c>
      <c r="GT91">
        <v>0</v>
      </c>
      <c r="GU91">
        <v>30.246099999999998</v>
      </c>
      <c r="GV91">
        <v>999.9</v>
      </c>
      <c r="GW91">
        <v>29.7</v>
      </c>
      <c r="GX91">
        <v>45.8</v>
      </c>
      <c r="GY91">
        <v>30.090299999999999</v>
      </c>
      <c r="GZ91">
        <v>60.628799999999998</v>
      </c>
      <c r="HA91">
        <v>25.340499999999999</v>
      </c>
      <c r="HB91">
        <v>1</v>
      </c>
      <c r="HC91">
        <v>0.52243899999999999</v>
      </c>
      <c r="HD91">
        <v>3.87229</v>
      </c>
      <c r="HE91">
        <v>20.178599999999999</v>
      </c>
      <c r="HF91">
        <v>5.2695499999999997</v>
      </c>
      <c r="HG91">
        <v>12.039899999999999</v>
      </c>
      <c r="HH91">
        <v>4.9657999999999998</v>
      </c>
      <c r="HI91">
        <v>3.3010000000000002</v>
      </c>
      <c r="HJ91">
        <v>9999</v>
      </c>
      <c r="HK91">
        <v>9999</v>
      </c>
      <c r="HL91">
        <v>9999</v>
      </c>
      <c r="HM91">
        <v>999.9</v>
      </c>
      <c r="HN91">
        <v>1.86873</v>
      </c>
      <c r="HO91">
        <v>1.8724099999999999</v>
      </c>
      <c r="HP91">
        <v>1.8721000000000001</v>
      </c>
      <c r="HQ91">
        <v>1.87164</v>
      </c>
      <c r="HR91">
        <v>1.86487</v>
      </c>
      <c r="HS91">
        <v>1.86602</v>
      </c>
      <c r="HT91">
        <v>1.8680000000000001</v>
      </c>
      <c r="HU91">
        <v>1.87263</v>
      </c>
      <c r="HV91">
        <v>0</v>
      </c>
      <c r="HW91">
        <v>0</v>
      </c>
      <c r="HX91">
        <v>0</v>
      </c>
      <c r="HY91">
        <v>0</v>
      </c>
      <c r="HZ91" t="s">
        <v>424</v>
      </c>
      <c r="IA91" t="s">
        <v>425</v>
      </c>
      <c r="IB91" t="s">
        <v>426</v>
      </c>
      <c r="IC91" t="s">
        <v>426</v>
      </c>
      <c r="ID91" t="s">
        <v>426</v>
      </c>
      <c r="IE91" t="s">
        <v>426</v>
      </c>
      <c r="IF91">
        <v>0</v>
      </c>
      <c r="IG91">
        <v>100</v>
      </c>
      <c r="IH91">
        <v>100</v>
      </c>
      <c r="II91">
        <v>-2.31</v>
      </c>
      <c r="IJ91">
        <v>2.06E-2</v>
      </c>
      <c r="IK91">
        <v>-1.102000370508281</v>
      </c>
      <c r="IL91">
        <v>-1.171017271736434E-3</v>
      </c>
      <c r="IM91">
        <v>2.801297040296544E-7</v>
      </c>
      <c r="IN91">
        <v>-3.6238253961199429E-11</v>
      </c>
      <c r="IO91">
        <v>2.0604999999999759E-2</v>
      </c>
      <c r="IP91">
        <v>0</v>
      </c>
      <c r="IQ91">
        <v>0</v>
      </c>
      <c r="IR91">
        <v>0</v>
      </c>
      <c r="IS91">
        <v>0</v>
      </c>
      <c r="IT91">
        <v>2161</v>
      </c>
      <c r="IU91">
        <v>1</v>
      </c>
      <c r="IV91">
        <v>19</v>
      </c>
      <c r="IW91">
        <v>0.6</v>
      </c>
      <c r="IX91">
        <v>0.8</v>
      </c>
      <c r="IY91">
        <v>3.0419900000000002</v>
      </c>
      <c r="IZ91">
        <v>2.48169</v>
      </c>
      <c r="JA91">
        <v>1.4440900000000001</v>
      </c>
      <c r="JB91">
        <v>2.2827099999999998</v>
      </c>
      <c r="JC91">
        <v>1.54419</v>
      </c>
      <c r="JD91">
        <v>2.36694</v>
      </c>
      <c r="JE91">
        <v>49.8018</v>
      </c>
      <c r="JF91">
        <v>23.982399999999998</v>
      </c>
      <c r="JG91">
        <v>18</v>
      </c>
      <c r="JH91">
        <v>510.63799999999998</v>
      </c>
      <c r="JI91">
        <v>409.98399999999998</v>
      </c>
      <c r="JJ91">
        <v>24.992999999999999</v>
      </c>
      <c r="JK91">
        <v>33.688200000000002</v>
      </c>
      <c r="JL91">
        <v>30.000299999999999</v>
      </c>
      <c r="JM91">
        <v>33.433399999999999</v>
      </c>
      <c r="JN91">
        <v>33.3795</v>
      </c>
      <c r="JO91">
        <v>61.067300000000003</v>
      </c>
      <c r="JP91">
        <v>29.1187</v>
      </c>
      <c r="JQ91">
        <v>0</v>
      </c>
      <c r="JR91">
        <v>25.014199999999999</v>
      </c>
      <c r="JS91">
        <v>1500</v>
      </c>
      <c r="JT91">
        <v>22.116700000000002</v>
      </c>
      <c r="JU91">
        <v>99.282600000000002</v>
      </c>
      <c r="JV91">
        <v>98.863699999999994</v>
      </c>
    </row>
    <row r="92" spans="1:282" x14ac:dyDescent="0.25">
      <c r="A92">
        <v>76</v>
      </c>
      <c r="B92">
        <v>1689013867.0999999</v>
      </c>
      <c r="C92">
        <v>14690.099999904631</v>
      </c>
      <c r="D92" t="s">
        <v>806</v>
      </c>
      <c r="E92" t="s">
        <v>807</v>
      </c>
      <c r="F92" t="s">
        <v>414</v>
      </c>
      <c r="G92" t="s">
        <v>415</v>
      </c>
      <c r="H92" t="s">
        <v>31</v>
      </c>
      <c r="I92" t="s">
        <v>416</v>
      </c>
      <c r="J92" t="s">
        <v>501</v>
      </c>
      <c r="K92">
        <v>1689013867.0999999</v>
      </c>
      <c r="L92">
        <f t="shared" si="92"/>
        <v>6.5857961839251022E-3</v>
      </c>
      <c r="M92">
        <f t="shared" si="93"/>
        <v>6.585796183925102</v>
      </c>
      <c r="N92">
        <f t="shared" si="94"/>
        <v>58.225696552131993</v>
      </c>
      <c r="O92">
        <f t="shared" si="95"/>
        <v>327.47399999999999</v>
      </c>
      <c r="P92">
        <f t="shared" si="96"/>
        <v>117.41115805289451</v>
      </c>
      <c r="Q92">
        <f t="shared" si="97"/>
        <v>11.649693020015775</v>
      </c>
      <c r="R92">
        <f t="shared" si="98"/>
        <v>32.492410732529997</v>
      </c>
      <c r="S92">
        <f t="shared" si="99"/>
        <v>0.49094548457870124</v>
      </c>
      <c r="T92">
        <f t="shared" si="100"/>
        <v>2.9077352359089788</v>
      </c>
      <c r="U92">
        <f t="shared" si="101"/>
        <v>0.44911249263220276</v>
      </c>
      <c r="V92">
        <f t="shared" si="102"/>
        <v>0.2841561957695361</v>
      </c>
      <c r="W92">
        <f t="shared" si="103"/>
        <v>289.58562195845525</v>
      </c>
      <c r="X92">
        <f t="shared" si="104"/>
        <v>30.380876217269368</v>
      </c>
      <c r="Y92">
        <f t="shared" si="105"/>
        <v>29.926100000000002</v>
      </c>
      <c r="Z92">
        <f t="shared" si="106"/>
        <v>4.2423986205952726</v>
      </c>
      <c r="AA92">
        <f t="shared" si="107"/>
        <v>65.185175150241037</v>
      </c>
      <c r="AB92">
        <f t="shared" si="108"/>
        <v>2.8393378527889999</v>
      </c>
      <c r="AC92">
        <f t="shared" si="109"/>
        <v>4.3558030583561314</v>
      </c>
      <c r="AD92">
        <f t="shared" si="110"/>
        <v>1.4030607678062728</v>
      </c>
      <c r="AE92">
        <f t="shared" si="111"/>
        <v>-290.433611711097</v>
      </c>
      <c r="AF92">
        <f t="shared" si="112"/>
        <v>72.079085773221422</v>
      </c>
      <c r="AG92">
        <f t="shared" si="113"/>
        <v>5.5203215093546776</v>
      </c>
      <c r="AH92">
        <f t="shared" si="114"/>
        <v>76.751417529934358</v>
      </c>
      <c r="AI92">
        <v>0</v>
      </c>
      <c r="AJ92">
        <v>0</v>
      </c>
      <c r="AK92">
        <f t="shared" si="115"/>
        <v>1</v>
      </c>
      <c r="AL92">
        <f t="shared" si="116"/>
        <v>0</v>
      </c>
      <c r="AM92">
        <f t="shared" si="117"/>
        <v>51647.148396481942</v>
      </c>
      <c r="AN92" t="s">
        <v>418</v>
      </c>
      <c r="AO92">
        <v>10076.700000000001</v>
      </c>
      <c r="AP92">
        <v>185.01599999999999</v>
      </c>
      <c r="AQ92">
        <v>473.06</v>
      </c>
      <c r="AR92">
        <f t="shared" si="118"/>
        <v>0.60889527755464423</v>
      </c>
      <c r="AS92">
        <v>-1.4827006201179751</v>
      </c>
      <c r="AT92" t="s">
        <v>808</v>
      </c>
      <c r="AU92">
        <v>8114.58</v>
      </c>
      <c r="AV92">
        <v>803.8548461538461</v>
      </c>
      <c r="AW92">
        <v>1304.7404336635079</v>
      </c>
      <c r="AX92">
        <f t="shared" si="119"/>
        <v>0.38389673117069967</v>
      </c>
      <c r="AY92">
        <v>0.5</v>
      </c>
      <c r="AZ92">
        <f t="shared" si="120"/>
        <v>1513.2854994603392</v>
      </c>
      <c r="BA92">
        <f t="shared" si="121"/>
        <v>58.225696552131993</v>
      </c>
      <c r="BB92">
        <f t="shared" si="122"/>
        <v>290.47267828542192</v>
      </c>
      <c r="BC92">
        <f t="shared" si="123"/>
        <v>3.9456135140092795E-2</v>
      </c>
      <c r="BD92">
        <f t="shared" si="124"/>
        <v>-0.63742979998579397</v>
      </c>
      <c r="BE92">
        <f t="shared" si="125"/>
        <v>246.4585651500789</v>
      </c>
      <c r="BF92" t="s">
        <v>809</v>
      </c>
      <c r="BG92">
        <v>584.67999999999995</v>
      </c>
      <c r="BH92">
        <f t="shared" si="126"/>
        <v>584.67999999999995</v>
      </c>
      <c r="BI92">
        <f t="shared" si="127"/>
        <v>0.55188021700353873</v>
      </c>
      <c r="BJ92">
        <f t="shared" si="128"/>
        <v>0.69561604011661482</v>
      </c>
      <c r="BK92">
        <f t="shared" si="129"/>
        <v>7.450998330617348</v>
      </c>
      <c r="BL92">
        <f t="shared" si="130"/>
        <v>0.44732933608572539</v>
      </c>
      <c r="BM92">
        <f t="shared" si="131"/>
        <v>-2.8873381624456957</v>
      </c>
      <c r="BN92">
        <f t="shared" si="132"/>
        <v>0.50595301910706325</v>
      </c>
      <c r="BO92">
        <f t="shared" si="133"/>
        <v>0.49404698089293675</v>
      </c>
      <c r="BP92">
        <v>9205</v>
      </c>
      <c r="BQ92">
        <v>290.00000000000011</v>
      </c>
      <c r="BR92">
        <v>1171.1500000000001</v>
      </c>
      <c r="BS92">
        <v>295</v>
      </c>
      <c r="BT92">
        <v>8114.58</v>
      </c>
      <c r="BU92">
        <v>1174.1199999999999</v>
      </c>
      <c r="BV92">
        <v>-2.97</v>
      </c>
      <c r="BW92">
        <v>300.00000000000011</v>
      </c>
      <c r="BX92">
        <v>19.2</v>
      </c>
      <c r="BY92">
        <v>1304.7404336635079</v>
      </c>
      <c r="BZ92">
        <v>4.5707482314717049</v>
      </c>
      <c r="CA92">
        <v>-105.992889596686</v>
      </c>
      <c r="CB92">
        <v>3.408140099930256</v>
      </c>
      <c r="CC92">
        <v>0.97186509645212527</v>
      </c>
      <c r="CD92">
        <v>-4.180078086763071E-3</v>
      </c>
      <c r="CE92">
        <v>289.99999999999989</v>
      </c>
      <c r="CF92">
        <v>1176.8699999999999</v>
      </c>
      <c r="CG92">
        <v>645</v>
      </c>
      <c r="CH92">
        <v>8107.9</v>
      </c>
      <c r="CI92">
        <v>1174.01</v>
      </c>
      <c r="CJ92">
        <v>2.86</v>
      </c>
      <c r="CX92">
        <f t="shared" si="134"/>
        <v>1800.12</v>
      </c>
      <c r="CY92">
        <f t="shared" si="135"/>
        <v>1513.2854994603392</v>
      </c>
      <c r="CZ92">
        <f t="shared" si="136"/>
        <v>0.84065812249202243</v>
      </c>
      <c r="DA92">
        <f t="shared" si="137"/>
        <v>0.16087017640960341</v>
      </c>
      <c r="DB92">
        <v>6</v>
      </c>
      <c r="DC92">
        <v>0.5</v>
      </c>
      <c r="DD92" t="s">
        <v>421</v>
      </c>
      <c r="DE92">
        <v>2</v>
      </c>
      <c r="DF92">
        <v>1689013867.0999999</v>
      </c>
      <c r="DG92">
        <v>327.47399999999999</v>
      </c>
      <c r="DH92">
        <v>399.91300000000001</v>
      </c>
      <c r="DI92">
        <v>28.616199999999999</v>
      </c>
      <c r="DJ92">
        <v>20.941500000000001</v>
      </c>
      <c r="DK92">
        <v>328.84100000000001</v>
      </c>
      <c r="DL92">
        <v>28.6096</v>
      </c>
      <c r="DM92">
        <v>500.137</v>
      </c>
      <c r="DN92">
        <v>99.120999999999995</v>
      </c>
      <c r="DO92">
        <v>0.100345</v>
      </c>
      <c r="DP92">
        <v>30.385899999999999</v>
      </c>
      <c r="DQ92">
        <v>29.926100000000002</v>
      </c>
      <c r="DR92">
        <v>999.9</v>
      </c>
      <c r="DS92">
        <v>0</v>
      </c>
      <c r="DT92">
        <v>0</v>
      </c>
      <c r="DU92">
        <v>9963.75</v>
      </c>
      <c r="DV92">
        <v>0</v>
      </c>
      <c r="DW92">
        <v>1872.07</v>
      </c>
      <c r="DX92">
        <v>-72.439099999999996</v>
      </c>
      <c r="DY92">
        <v>337.12099999999998</v>
      </c>
      <c r="DZ92">
        <v>408.46699999999998</v>
      </c>
      <c r="EA92">
        <v>7.67476</v>
      </c>
      <c r="EB92">
        <v>399.91300000000001</v>
      </c>
      <c r="EC92">
        <v>20.941500000000001</v>
      </c>
      <c r="ED92">
        <v>2.8364699999999998</v>
      </c>
      <c r="EE92">
        <v>2.0757400000000001</v>
      </c>
      <c r="EF92">
        <v>23.097899999999999</v>
      </c>
      <c r="EG92">
        <v>18.034199999999998</v>
      </c>
      <c r="EH92">
        <v>1800.12</v>
      </c>
      <c r="EI92">
        <v>0.97800299999999996</v>
      </c>
      <c r="EJ92">
        <v>2.19974E-2</v>
      </c>
      <c r="EK92">
        <v>0</v>
      </c>
      <c r="EL92">
        <v>803.78399999999999</v>
      </c>
      <c r="EM92">
        <v>5.00082</v>
      </c>
      <c r="EN92">
        <v>17633.8</v>
      </c>
      <c r="EO92">
        <v>14130.7</v>
      </c>
      <c r="EP92">
        <v>47.375</v>
      </c>
      <c r="EQ92">
        <v>49.561999999999998</v>
      </c>
      <c r="ER92">
        <v>48.625</v>
      </c>
      <c r="ES92">
        <v>48.311999999999998</v>
      </c>
      <c r="ET92">
        <v>48.75</v>
      </c>
      <c r="EU92">
        <v>1755.63</v>
      </c>
      <c r="EV92">
        <v>39.49</v>
      </c>
      <c r="EW92">
        <v>0</v>
      </c>
      <c r="EX92">
        <v>446.59999990463263</v>
      </c>
      <c r="EY92">
        <v>0</v>
      </c>
      <c r="EZ92">
        <v>803.8548461538461</v>
      </c>
      <c r="FA92">
        <v>-1.453401712668358</v>
      </c>
      <c r="FB92">
        <v>-196.89572610362961</v>
      </c>
      <c r="FC92">
        <v>17648.669230769228</v>
      </c>
      <c r="FD92">
        <v>15</v>
      </c>
      <c r="FE92">
        <v>1689013818.5</v>
      </c>
      <c r="FF92" t="s">
        <v>810</v>
      </c>
      <c r="FG92">
        <v>1689013811</v>
      </c>
      <c r="FH92">
        <v>1689013818.5</v>
      </c>
      <c r="FI92">
        <v>85</v>
      </c>
      <c r="FJ92">
        <v>0.34</v>
      </c>
      <c r="FK92">
        <v>-1.7999999999999999E-2</v>
      </c>
      <c r="FL92">
        <v>-1.4390000000000001</v>
      </c>
      <c r="FM92">
        <v>7.0000000000000001E-3</v>
      </c>
      <c r="FN92">
        <v>400</v>
      </c>
      <c r="FO92">
        <v>21</v>
      </c>
      <c r="FP92">
        <v>0.02</v>
      </c>
      <c r="FQ92">
        <v>0.01</v>
      </c>
      <c r="FR92">
        <v>58.182387073519209</v>
      </c>
      <c r="FS92">
        <v>0.48271686265776281</v>
      </c>
      <c r="FT92">
        <v>5.1780080008218987E-2</v>
      </c>
      <c r="FU92">
        <v>1</v>
      </c>
      <c r="FV92">
        <v>0.49503715849466662</v>
      </c>
      <c r="FW92">
        <v>-4.5197354332907093E-2</v>
      </c>
      <c r="FX92">
        <v>3.7045383463180761E-3</v>
      </c>
      <c r="FY92">
        <v>1</v>
      </c>
      <c r="FZ92">
        <v>2</v>
      </c>
      <c r="GA92">
        <v>2</v>
      </c>
      <c r="GB92" t="s">
        <v>423</v>
      </c>
      <c r="GC92">
        <v>2.94414</v>
      </c>
      <c r="GD92">
        <v>2.7086899999999998</v>
      </c>
      <c r="GE92">
        <v>7.4952299999999999E-2</v>
      </c>
      <c r="GF92">
        <v>8.7541999999999995E-2</v>
      </c>
      <c r="GG92">
        <v>0.127579</v>
      </c>
      <c r="GH92">
        <v>0.102574</v>
      </c>
      <c r="GI92">
        <v>30348.6</v>
      </c>
      <c r="GJ92">
        <v>29207.8</v>
      </c>
      <c r="GK92">
        <v>33809.5</v>
      </c>
      <c r="GL92">
        <v>32056.5</v>
      </c>
      <c r="GM92">
        <v>42591.199999999997</v>
      </c>
      <c r="GN92">
        <v>40937.199999999997</v>
      </c>
      <c r="GO92">
        <v>48971.7</v>
      </c>
      <c r="GP92">
        <v>45380.3</v>
      </c>
      <c r="GQ92">
        <v>1.96882</v>
      </c>
      <c r="GR92">
        <v>1.7438199999999999</v>
      </c>
      <c r="GS92">
        <v>-8.3073999999999995E-3</v>
      </c>
      <c r="GT92">
        <v>0</v>
      </c>
      <c r="GU92">
        <v>30.061299999999999</v>
      </c>
      <c r="GV92">
        <v>999.9</v>
      </c>
      <c r="GW92">
        <v>29.5</v>
      </c>
      <c r="GX92">
        <v>46.4</v>
      </c>
      <c r="GY92">
        <v>30.8231</v>
      </c>
      <c r="GZ92">
        <v>60.396099999999997</v>
      </c>
      <c r="HA92">
        <v>25.757200000000001</v>
      </c>
      <c r="HB92">
        <v>1</v>
      </c>
      <c r="HC92">
        <v>0.53493900000000005</v>
      </c>
      <c r="HD92">
        <v>1.8486100000000001</v>
      </c>
      <c r="HE92">
        <v>20.2103</v>
      </c>
      <c r="HF92">
        <v>5.2710499999999998</v>
      </c>
      <c r="HG92">
        <v>12.039899999999999</v>
      </c>
      <c r="HH92">
        <v>4.9657</v>
      </c>
      <c r="HI92">
        <v>3.3010000000000002</v>
      </c>
      <c r="HJ92">
        <v>9999</v>
      </c>
      <c r="HK92">
        <v>9999</v>
      </c>
      <c r="HL92">
        <v>9999</v>
      </c>
      <c r="HM92">
        <v>999.9</v>
      </c>
      <c r="HN92">
        <v>1.86873</v>
      </c>
      <c r="HO92">
        <v>1.87239</v>
      </c>
      <c r="HP92">
        <v>1.8721099999999999</v>
      </c>
      <c r="HQ92">
        <v>1.87164</v>
      </c>
      <c r="HR92">
        <v>1.8648899999999999</v>
      </c>
      <c r="HS92">
        <v>1.86602</v>
      </c>
      <c r="HT92">
        <v>1.8680000000000001</v>
      </c>
      <c r="HU92">
        <v>1.87263</v>
      </c>
      <c r="HV92">
        <v>0</v>
      </c>
      <c r="HW92">
        <v>0</v>
      </c>
      <c r="HX92">
        <v>0</v>
      </c>
      <c r="HY92">
        <v>0</v>
      </c>
      <c r="HZ92" t="s">
        <v>424</v>
      </c>
      <c r="IA92" t="s">
        <v>425</v>
      </c>
      <c r="IB92" t="s">
        <v>426</v>
      </c>
      <c r="IC92" t="s">
        <v>426</v>
      </c>
      <c r="ID92" t="s">
        <v>426</v>
      </c>
      <c r="IE92" t="s">
        <v>426</v>
      </c>
      <c r="IF92">
        <v>0</v>
      </c>
      <c r="IG92">
        <v>100</v>
      </c>
      <c r="IH92">
        <v>100</v>
      </c>
      <c r="II92">
        <v>-1.367</v>
      </c>
      <c r="IJ92">
        <v>6.6E-3</v>
      </c>
      <c r="IK92">
        <v>-1.0116551120624659</v>
      </c>
      <c r="IL92">
        <v>-1.171017271736434E-3</v>
      </c>
      <c r="IM92">
        <v>2.801297040296544E-7</v>
      </c>
      <c r="IN92">
        <v>-3.6238253961199429E-11</v>
      </c>
      <c r="IO92">
        <v>6.5952380952332126E-3</v>
      </c>
      <c r="IP92">
        <v>0</v>
      </c>
      <c r="IQ92">
        <v>0</v>
      </c>
      <c r="IR92">
        <v>0</v>
      </c>
      <c r="IS92">
        <v>0</v>
      </c>
      <c r="IT92">
        <v>2161</v>
      </c>
      <c r="IU92">
        <v>1</v>
      </c>
      <c r="IV92">
        <v>19</v>
      </c>
      <c r="IW92">
        <v>0.9</v>
      </c>
      <c r="IX92">
        <v>0.8</v>
      </c>
      <c r="IY92">
        <v>1.03027</v>
      </c>
      <c r="IZ92">
        <v>2.5097700000000001</v>
      </c>
      <c r="JA92">
        <v>1.4440900000000001</v>
      </c>
      <c r="JB92">
        <v>2.2827099999999998</v>
      </c>
      <c r="JC92">
        <v>1.54419</v>
      </c>
      <c r="JD92">
        <v>2.36938</v>
      </c>
      <c r="JE92">
        <v>50.575099999999999</v>
      </c>
      <c r="JF92">
        <v>23.9999</v>
      </c>
      <c r="JG92">
        <v>18</v>
      </c>
      <c r="JH92">
        <v>511.60300000000001</v>
      </c>
      <c r="JI92">
        <v>405.15300000000002</v>
      </c>
      <c r="JJ92">
        <v>27.106999999999999</v>
      </c>
      <c r="JK92">
        <v>33.9161</v>
      </c>
      <c r="JL92">
        <v>29.999700000000001</v>
      </c>
      <c r="JM92">
        <v>33.725099999999998</v>
      </c>
      <c r="JN92">
        <v>33.667499999999997</v>
      </c>
      <c r="JO92">
        <v>20.7287</v>
      </c>
      <c r="JP92">
        <v>35.5991</v>
      </c>
      <c r="JQ92">
        <v>0</v>
      </c>
      <c r="JR92">
        <v>27.154599999999999</v>
      </c>
      <c r="JS92">
        <v>400</v>
      </c>
      <c r="JT92">
        <v>20.965499999999999</v>
      </c>
      <c r="JU92">
        <v>99.247100000000003</v>
      </c>
      <c r="JV92">
        <v>98.827299999999994</v>
      </c>
    </row>
    <row r="93" spans="1:282" x14ac:dyDescent="0.25">
      <c r="A93">
        <v>77</v>
      </c>
      <c r="B93">
        <v>1689013966.5999999</v>
      </c>
      <c r="C93">
        <v>14789.599999904631</v>
      </c>
      <c r="D93" t="s">
        <v>811</v>
      </c>
      <c r="E93" t="s">
        <v>812</v>
      </c>
      <c r="F93" t="s">
        <v>414</v>
      </c>
      <c r="G93" t="s">
        <v>415</v>
      </c>
      <c r="H93" t="s">
        <v>31</v>
      </c>
      <c r="I93" t="s">
        <v>416</v>
      </c>
      <c r="J93" t="s">
        <v>501</v>
      </c>
      <c r="K93">
        <v>1689013966.5999999</v>
      </c>
      <c r="L93">
        <f t="shared" si="92"/>
        <v>6.297712005999539E-3</v>
      </c>
      <c r="M93">
        <f t="shared" si="93"/>
        <v>6.2977120059995393</v>
      </c>
      <c r="N93">
        <f t="shared" si="94"/>
        <v>48.008739227964412</v>
      </c>
      <c r="O93">
        <f t="shared" si="95"/>
        <v>240.61600000000001</v>
      </c>
      <c r="P93">
        <f t="shared" si="96"/>
        <v>57.03878458055398</v>
      </c>
      <c r="Q93">
        <f t="shared" si="97"/>
        <v>5.6594283214597612</v>
      </c>
      <c r="R93">
        <f t="shared" si="98"/>
        <v>23.8740887452328</v>
      </c>
      <c r="S93">
        <f t="shared" si="99"/>
        <v>0.4583094357474623</v>
      </c>
      <c r="T93">
        <f t="shared" si="100"/>
        <v>2.9162694794728456</v>
      </c>
      <c r="U93">
        <f t="shared" si="101"/>
        <v>0.42172911186629547</v>
      </c>
      <c r="V93">
        <f t="shared" si="102"/>
        <v>0.26662356312235314</v>
      </c>
      <c r="W93">
        <f t="shared" si="103"/>
        <v>289.53935066216297</v>
      </c>
      <c r="X93">
        <f t="shared" si="104"/>
        <v>30.574171973348435</v>
      </c>
      <c r="Y93">
        <f t="shared" si="105"/>
        <v>30.074100000000001</v>
      </c>
      <c r="Z93">
        <f t="shared" si="106"/>
        <v>4.2786169496016884</v>
      </c>
      <c r="AA93">
        <f t="shared" si="107"/>
        <v>64.991538618979192</v>
      </c>
      <c r="AB93">
        <f t="shared" si="108"/>
        <v>2.8501742347144798</v>
      </c>
      <c r="AC93">
        <f t="shared" si="109"/>
        <v>4.3854543149439396</v>
      </c>
      <c r="AD93">
        <f t="shared" si="110"/>
        <v>1.4284427148872085</v>
      </c>
      <c r="AE93">
        <f t="shared" si="111"/>
        <v>-277.72909946457969</v>
      </c>
      <c r="AF93">
        <f t="shared" si="112"/>
        <v>67.652592252309276</v>
      </c>
      <c r="AG93">
        <f t="shared" si="113"/>
        <v>5.1729617509080459</v>
      </c>
      <c r="AH93">
        <f t="shared" si="114"/>
        <v>84.63580520080059</v>
      </c>
      <c r="AI93">
        <v>0</v>
      </c>
      <c r="AJ93">
        <v>0</v>
      </c>
      <c r="AK93">
        <f t="shared" si="115"/>
        <v>1</v>
      </c>
      <c r="AL93">
        <f t="shared" si="116"/>
        <v>0</v>
      </c>
      <c r="AM93">
        <f t="shared" si="117"/>
        <v>51869.304650923608</v>
      </c>
      <c r="AN93" t="s">
        <v>418</v>
      </c>
      <c r="AO93">
        <v>10076.700000000001</v>
      </c>
      <c r="AP93">
        <v>185.01599999999999</v>
      </c>
      <c r="AQ93">
        <v>473.06</v>
      </c>
      <c r="AR93">
        <f t="shared" si="118"/>
        <v>0.60889527755464423</v>
      </c>
      <c r="AS93">
        <v>-1.4827006201179751</v>
      </c>
      <c r="AT93" t="s">
        <v>813</v>
      </c>
      <c r="AU93">
        <v>8115.57</v>
      </c>
      <c r="AV93">
        <v>739.37038461538464</v>
      </c>
      <c r="AW93">
        <v>1163.6967226892741</v>
      </c>
      <c r="AX93">
        <f t="shared" si="119"/>
        <v>0.3646365326983837</v>
      </c>
      <c r="AY93">
        <v>0.5</v>
      </c>
      <c r="AZ93">
        <f t="shared" si="120"/>
        <v>1513.0419060425713</v>
      </c>
      <c r="BA93">
        <f t="shared" si="121"/>
        <v>48.008739227964412</v>
      </c>
      <c r="BB93">
        <f t="shared" si="122"/>
        <v>275.85517722335845</v>
      </c>
      <c r="BC93">
        <f t="shared" si="123"/>
        <v>3.2709893658880509E-2</v>
      </c>
      <c r="BD93">
        <f t="shared" si="124"/>
        <v>-0.59348514885667969</v>
      </c>
      <c r="BE93">
        <f t="shared" si="125"/>
        <v>240.94227978664378</v>
      </c>
      <c r="BF93" t="s">
        <v>814</v>
      </c>
      <c r="BG93">
        <v>560.94000000000005</v>
      </c>
      <c r="BH93">
        <f t="shared" si="126"/>
        <v>560.94000000000005</v>
      </c>
      <c r="BI93">
        <f t="shared" si="127"/>
        <v>0.51796719105328259</v>
      </c>
      <c r="BJ93">
        <f t="shared" si="128"/>
        <v>0.70397611855858655</v>
      </c>
      <c r="BK93">
        <f t="shared" si="129"/>
        <v>7.8588612049302888</v>
      </c>
      <c r="BL93">
        <f t="shared" si="130"/>
        <v>0.43356973141138572</v>
      </c>
      <c r="BM93">
        <f t="shared" si="131"/>
        <v>-2.3976778641085188</v>
      </c>
      <c r="BN93">
        <f t="shared" si="132"/>
        <v>0.53408734263771163</v>
      </c>
      <c r="BO93">
        <f t="shared" si="133"/>
        <v>0.46591265736228837</v>
      </c>
      <c r="BP93">
        <v>9207</v>
      </c>
      <c r="BQ93">
        <v>290.00000000000011</v>
      </c>
      <c r="BR93">
        <v>1025.3399999999999</v>
      </c>
      <c r="BS93">
        <v>285</v>
      </c>
      <c r="BT93">
        <v>8115.57</v>
      </c>
      <c r="BU93">
        <v>1027.33</v>
      </c>
      <c r="BV93">
        <v>-1.99</v>
      </c>
      <c r="BW93">
        <v>300.00000000000011</v>
      </c>
      <c r="BX93">
        <v>19.2</v>
      </c>
      <c r="BY93">
        <v>1163.6967226892741</v>
      </c>
      <c r="BZ93">
        <v>3.468214552687932</v>
      </c>
      <c r="CA93">
        <v>-110.66865724909211</v>
      </c>
      <c r="CB93">
        <v>2.5863796535174179</v>
      </c>
      <c r="CC93">
        <v>0.98493733216205781</v>
      </c>
      <c r="CD93">
        <v>-4.1804876529477298E-3</v>
      </c>
      <c r="CE93">
        <v>289.99999999999989</v>
      </c>
      <c r="CF93">
        <v>1022.52</v>
      </c>
      <c r="CG93">
        <v>635</v>
      </c>
      <c r="CH93">
        <v>8109.2</v>
      </c>
      <c r="CI93">
        <v>1027.22</v>
      </c>
      <c r="CJ93">
        <v>-4.7</v>
      </c>
      <c r="CX93">
        <f t="shared" si="134"/>
        <v>1799.83</v>
      </c>
      <c r="CY93">
        <f t="shared" si="135"/>
        <v>1513.0419060425713</v>
      </c>
      <c r="CZ93">
        <f t="shared" si="136"/>
        <v>0.84065823219002433</v>
      </c>
      <c r="DA93">
        <f t="shared" si="137"/>
        <v>0.16087038812674698</v>
      </c>
      <c r="DB93">
        <v>6</v>
      </c>
      <c r="DC93">
        <v>0.5</v>
      </c>
      <c r="DD93" t="s">
        <v>421</v>
      </c>
      <c r="DE93">
        <v>2</v>
      </c>
      <c r="DF93">
        <v>1689013966.5999999</v>
      </c>
      <c r="DG93">
        <v>240.61600000000001</v>
      </c>
      <c r="DH93">
        <v>300.03300000000002</v>
      </c>
      <c r="DI93">
        <v>28.7256</v>
      </c>
      <c r="DJ93">
        <v>21.386900000000001</v>
      </c>
      <c r="DK93">
        <v>241.876</v>
      </c>
      <c r="DL93">
        <v>28.709599999999998</v>
      </c>
      <c r="DM93">
        <v>500.1</v>
      </c>
      <c r="DN93">
        <v>99.120999999999995</v>
      </c>
      <c r="DO93">
        <v>9.9703299999999995E-2</v>
      </c>
      <c r="DP93">
        <v>30.5044</v>
      </c>
      <c r="DQ93">
        <v>30.074100000000001</v>
      </c>
      <c r="DR93">
        <v>999.9</v>
      </c>
      <c r="DS93">
        <v>0</v>
      </c>
      <c r="DT93">
        <v>0</v>
      </c>
      <c r="DU93">
        <v>10012.5</v>
      </c>
      <c r="DV93">
        <v>0</v>
      </c>
      <c r="DW93">
        <v>1881.24</v>
      </c>
      <c r="DX93">
        <v>-59.435699999999997</v>
      </c>
      <c r="DY93">
        <v>247.71100000000001</v>
      </c>
      <c r="DZ93">
        <v>306.58999999999997</v>
      </c>
      <c r="EA93">
        <v>7.3292700000000002</v>
      </c>
      <c r="EB93">
        <v>300.03300000000002</v>
      </c>
      <c r="EC93">
        <v>21.386900000000001</v>
      </c>
      <c r="ED93">
        <v>2.8463699999999998</v>
      </c>
      <c r="EE93">
        <v>2.1198899999999998</v>
      </c>
      <c r="EF93">
        <v>23.1555</v>
      </c>
      <c r="EG93">
        <v>18.369399999999999</v>
      </c>
      <c r="EH93">
        <v>1799.83</v>
      </c>
      <c r="EI93">
        <v>0.97799499999999995</v>
      </c>
      <c r="EJ93">
        <v>2.2004599999999999E-2</v>
      </c>
      <c r="EK93">
        <v>0</v>
      </c>
      <c r="EL93">
        <v>737.32299999999998</v>
      </c>
      <c r="EM93">
        <v>5.00082</v>
      </c>
      <c r="EN93">
        <v>16302.1</v>
      </c>
      <c r="EO93">
        <v>14128.4</v>
      </c>
      <c r="EP93">
        <v>46.936999999999998</v>
      </c>
      <c r="EQ93">
        <v>49</v>
      </c>
      <c r="ER93">
        <v>48.061999999999998</v>
      </c>
      <c r="ES93">
        <v>48</v>
      </c>
      <c r="ET93">
        <v>48.311999999999998</v>
      </c>
      <c r="EU93">
        <v>1755.33</v>
      </c>
      <c r="EV93">
        <v>39.49</v>
      </c>
      <c r="EW93">
        <v>0</v>
      </c>
      <c r="EX93">
        <v>97.400000095367432</v>
      </c>
      <c r="EY93">
        <v>0</v>
      </c>
      <c r="EZ93">
        <v>739.37038461538464</v>
      </c>
      <c r="FA93">
        <v>-16.063658125303391</v>
      </c>
      <c r="FB93">
        <v>-293.63076890239392</v>
      </c>
      <c r="FC93">
        <v>16333.634615384621</v>
      </c>
      <c r="FD93">
        <v>15</v>
      </c>
      <c r="FE93">
        <v>1689013999.5999999</v>
      </c>
      <c r="FF93" t="s">
        <v>815</v>
      </c>
      <c r="FG93">
        <v>1689013997.5999999</v>
      </c>
      <c r="FH93">
        <v>1689013999.5999999</v>
      </c>
      <c r="FI93">
        <v>86</v>
      </c>
      <c r="FJ93">
        <v>0.08</v>
      </c>
      <c r="FK93">
        <v>0.01</v>
      </c>
      <c r="FL93">
        <v>-1.26</v>
      </c>
      <c r="FM93">
        <v>1.6E-2</v>
      </c>
      <c r="FN93">
        <v>300</v>
      </c>
      <c r="FO93">
        <v>21</v>
      </c>
      <c r="FP93">
        <v>0.03</v>
      </c>
      <c r="FQ93">
        <v>0.02</v>
      </c>
      <c r="FR93">
        <v>47.939904862678723</v>
      </c>
      <c r="FS93">
        <v>0.62981647395844165</v>
      </c>
      <c r="FT93">
        <v>4.9306873115711858E-2</v>
      </c>
      <c r="FU93">
        <v>1</v>
      </c>
      <c r="FV93">
        <v>0.45603729277944233</v>
      </c>
      <c r="FW93">
        <v>1.1292475087163731E-2</v>
      </c>
      <c r="FX93">
        <v>8.5275844659907587E-4</v>
      </c>
      <c r="FY93">
        <v>1</v>
      </c>
      <c r="FZ93">
        <v>2</v>
      </c>
      <c r="GA93">
        <v>2</v>
      </c>
      <c r="GB93" t="s">
        <v>423</v>
      </c>
      <c r="GC93">
        <v>2.9441000000000002</v>
      </c>
      <c r="GD93">
        <v>2.7084700000000002</v>
      </c>
      <c r="GE93">
        <v>5.8123399999999999E-2</v>
      </c>
      <c r="GF93">
        <v>6.9748699999999997E-2</v>
      </c>
      <c r="GG93">
        <v>0.12790599999999999</v>
      </c>
      <c r="GH93">
        <v>0.104126</v>
      </c>
      <c r="GI93">
        <v>30908.3</v>
      </c>
      <c r="GJ93">
        <v>29783.9</v>
      </c>
      <c r="GK93">
        <v>33817.699999999997</v>
      </c>
      <c r="GL93">
        <v>32063.3</v>
      </c>
      <c r="GM93">
        <v>42583.199999999997</v>
      </c>
      <c r="GN93">
        <v>40874.9</v>
      </c>
      <c r="GO93">
        <v>48981.9</v>
      </c>
      <c r="GP93">
        <v>45390.3</v>
      </c>
      <c r="GQ93">
        <v>1.9694499999999999</v>
      </c>
      <c r="GR93">
        <v>1.74472</v>
      </c>
      <c r="GS93">
        <v>-4.0829200000000003E-3</v>
      </c>
      <c r="GT93">
        <v>0</v>
      </c>
      <c r="GU93">
        <v>30.140499999999999</v>
      </c>
      <c r="GV93">
        <v>999.9</v>
      </c>
      <c r="GW93">
        <v>29.5</v>
      </c>
      <c r="GX93">
        <v>46.4</v>
      </c>
      <c r="GY93">
        <v>30.823599999999999</v>
      </c>
      <c r="GZ93">
        <v>60.202399999999997</v>
      </c>
      <c r="HA93">
        <v>25.8614</v>
      </c>
      <c r="HB93">
        <v>1</v>
      </c>
      <c r="HC93">
        <v>0.52988800000000003</v>
      </c>
      <c r="HD93">
        <v>3.18411</v>
      </c>
      <c r="HE93">
        <v>20.190200000000001</v>
      </c>
      <c r="HF93">
        <v>5.2712000000000003</v>
      </c>
      <c r="HG93">
        <v>12.039899999999999</v>
      </c>
      <c r="HH93">
        <v>4.9657</v>
      </c>
      <c r="HI93">
        <v>3.3010000000000002</v>
      </c>
      <c r="HJ93">
        <v>9999</v>
      </c>
      <c r="HK93">
        <v>9999</v>
      </c>
      <c r="HL93">
        <v>9999</v>
      </c>
      <c r="HM93">
        <v>999.9</v>
      </c>
      <c r="HN93">
        <v>1.8687400000000001</v>
      </c>
      <c r="HO93">
        <v>1.8724099999999999</v>
      </c>
      <c r="HP93">
        <v>1.8721000000000001</v>
      </c>
      <c r="HQ93">
        <v>1.87164</v>
      </c>
      <c r="HR93">
        <v>1.8648899999999999</v>
      </c>
      <c r="HS93">
        <v>1.8660099999999999</v>
      </c>
      <c r="HT93">
        <v>1.86798</v>
      </c>
      <c r="HU93">
        <v>1.87259</v>
      </c>
      <c r="HV93">
        <v>0</v>
      </c>
      <c r="HW93">
        <v>0</v>
      </c>
      <c r="HX93">
        <v>0</v>
      </c>
      <c r="HY93">
        <v>0</v>
      </c>
      <c r="HZ93" t="s">
        <v>424</v>
      </c>
      <c r="IA93" t="s">
        <v>425</v>
      </c>
      <c r="IB93" t="s">
        <v>426</v>
      </c>
      <c r="IC93" t="s">
        <v>426</v>
      </c>
      <c r="ID93" t="s">
        <v>426</v>
      </c>
      <c r="IE93" t="s">
        <v>426</v>
      </c>
      <c r="IF93">
        <v>0</v>
      </c>
      <c r="IG93">
        <v>100</v>
      </c>
      <c r="IH93">
        <v>100</v>
      </c>
      <c r="II93">
        <v>-1.26</v>
      </c>
      <c r="IJ93">
        <v>1.6E-2</v>
      </c>
      <c r="IK93">
        <v>-1.0116551120624659</v>
      </c>
      <c r="IL93">
        <v>-1.171017271736434E-3</v>
      </c>
      <c r="IM93">
        <v>2.801297040296544E-7</v>
      </c>
      <c r="IN93">
        <v>-3.6238253961199429E-11</v>
      </c>
      <c r="IO93">
        <v>6.5952380952332126E-3</v>
      </c>
      <c r="IP93">
        <v>0</v>
      </c>
      <c r="IQ93">
        <v>0</v>
      </c>
      <c r="IR93">
        <v>0</v>
      </c>
      <c r="IS93">
        <v>0</v>
      </c>
      <c r="IT93">
        <v>2161</v>
      </c>
      <c r="IU93">
        <v>1</v>
      </c>
      <c r="IV93">
        <v>19</v>
      </c>
      <c r="IW93">
        <v>2.6</v>
      </c>
      <c r="IX93">
        <v>2.5</v>
      </c>
      <c r="IY93">
        <v>0.81787100000000001</v>
      </c>
      <c r="IZ93">
        <v>2.50854</v>
      </c>
      <c r="JA93">
        <v>1.4440900000000001</v>
      </c>
      <c r="JB93">
        <v>2.2827099999999998</v>
      </c>
      <c r="JC93">
        <v>1.54419</v>
      </c>
      <c r="JD93">
        <v>2.4609399999999999</v>
      </c>
      <c r="JE93">
        <v>50.607599999999998</v>
      </c>
      <c r="JF93">
        <v>23.982399999999998</v>
      </c>
      <c r="JG93">
        <v>18</v>
      </c>
      <c r="JH93">
        <v>511.46800000000002</v>
      </c>
      <c r="JI93">
        <v>405.28</v>
      </c>
      <c r="JJ93">
        <v>26.403700000000001</v>
      </c>
      <c r="JK93">
        <v>33.815800000000003</v>
      </c>
      <c r="JL93">
        <v>29.9999</v>
      </c>
      <c r="JM93">
        <v>33.656399999999998</v>
      </c>
      <c r="JN93">
        <v>33.6038</v>
      </c>
      <c r="JO93">
        <v>16.490600000000001</v>
      </c>
      <c r="JP93">
        <v>33.573300000000003</v>
      </c>
      <c r="JQ93">
        <v>0</v>
      </c>
      <c r="JR93">
        <v>26.357600000000001</v>
      </c>
      <c r="JS93">
        <v>300</v>
      </c>
      <c r="JT93">
        <v>21.402000000000001</v>
      </c>
      <c r="JU93">
        <v>99.269000000000005</v>
      </c>
      <c r="JV93">
        <v>98.8489</v>
      </c>
    </row>
    <row r="94" spans="1:282" x14ac:dyDescent="0.25">
      <c r="A94">
        <v>78</v>
      </c>
      <c r="B94">
        <v>1689014122.5999999</v>
      </c>
      <c r="C94">
        <v>14945.599999904631</v>
      </c>
      <c r="D94" t="s">
        <v>816</v>
      </c>
      <c r="E94" t="s">
        <v>817</v>
      </c>
      <c r="F94" t="s">
        <v>414</v>
      </c>
      <c r="G94" t="s">
        <v>415</v>
      </c>
      <c r="H94" t="s">
        <v>31</v>
      </c>
      <c r="I94" t="s">
        <v>416</v>
      </c>
      <c r="J94" t="s">
        <v>501</v>
      </c>
      <c r="K94">
        <v>1689014122.5999999</v>
      </c>
      <c r="L94">
        <f t="shared" si="92"/>
        <v>6.5900248551787445E-3</v>
      </c>
      <c r="M94">
        <f t="shared" si="93"/>
        <v>6.5900248551787444</v>
      </c>
      <c r="N94">
        <f t="shared" si="94"/>
        <v>32.726528079700088</v>
      </c>
      <c r="O94">
        <f t="shared" si="95"/>
        <v>159.33500000000001</v>
      </c>
      <c r="P94">
        <f t="shared" si="96"/>
        <v>40.359674460567874</v>
      </c>
      <c r="Q94">
        <f t="shared" si="97"/>
        <v>4.0043467308281429</v>
      </c>
      <c r="R94">
        <f t="shared" si="98"/>
        <v>15.808665329545001</v>
      </c>
      <c r="S94">
        <f t="shared" si="99"/>
        <v>0.48430801868017559</v>
      </c>
      <c r="T94">
        <f t="shared" si="100"/>
        <v>2.9087427780806676</v>
      </c>
      <c r="U94">
        <f t="shared" si="101"/>
        <v>0.44356111716495938</v>
      </c>
      <c r="V94">
        <f t="shared" si="102"/>
        <v>0.28060040485206661</v>
      </c>
      <c r="W94">
        <f t="shared" si="103"/>
        <v>289.58083395843795</v>
      </c>
      <c r="X94">
        <f t="shared" si="104"/>
        <v>30.252644483394175</v>
      </c>
      <c r="Y94">
        <f t="shared" si="105"/>
        <v>29.998999999999999</v>
      </c>
      <c r="Z94">
        <f t="shared" si="106"/>
        <v>4.260205061803747</v>
      </c>
      <c r="AA94">
        <f t="shared" si="107"/>
        <v>65.650903591171058</v>
      </c>
      <c r="AB94">
        <f t="shared" si="108"/>
        <v>2.8388725653983</v>
      </c>
      <c r="AC94">
        <f t="shared" si="109"/>
        <v>4.3241942000933564</v>
      </c>
      <c r="AD94">
        <f t="shared" si="110"/>
        <v>1.421332496405447</v>
      </c>
      <c r="AE94">
        <f t="shared" si="111"/>
        <v>-290.62009611338266</v>
      </c>
      <c r="AF94">
        <f t="shared" si="112"/>
        <v>40.74083334136003</v>
      </c>
      <c r="AG94">
        <f t="shared" si="113"/>
        <v>3.1183000973143842</v>
      </c>
      <c r="AH94">
        <f t="shared" si="114"/>
        <v>42.819871283729697</v>
      </c>
      <c r="AI94">
        <v>0</v>
      </c>
      <c r="AJ94">
        <v>0</v>
      </c>
      <c r="AK94">
        <f t="shared" si="115"/>
        <v>1</v>
      </c>
      <c r="AL94">
        <f t="shared" si="116"/>
        <v>0</v>
      </c>
      <c r="AM94">
        <f t="shared" si="117"/>
        <v>51697.297810672506</v>
      </c>
      <c r="AN94" t="s">
        <v>418</v>
      </c>
      <c r="AO94">
        <v>10076.700000000001</v>
      </c>
      <c r="AP94">
        <v>185.01599999999999</v>
      </c>
      <c r="AQ94">
        <v>473.06</v>
      </c>
      <c r="AR94">
        <f t="shared" si="118"/>
        <v>0.60889527755464423</v>
      </c>
      <c r="AS94">
        <v>-1.4827006201179751</v>
      </c>
      <c r="AT94" t="s">
        <v>818</v>
      </c>
      <c r="AU94">
        <v>8115.2</v>
      </c>
      <c r="AV94">
        <v>654.74315384615386</v>
      </c>
      <c r="AW94">
        <v>908.05142192059452</v>
      </c>
      <c r="AX94">
        <f t="shared" si="119"/>
        <v>0.27895806554509361</v>
      </c>
      <c r="AY94">
        <v>0.5</v>
      </c>
      <c r="AZ94">
        <f t="shared" si="120"/>
        <v>1513.2602994603303</v>
      </c>
      <c r="BA94">
        <f t="shared" si="121"/>
        <v>32.726528079700088</v>
      </c>
      <c r="BB94">
        <f t="shared" si="122"/>
        <v>211.06808290182141</v>
      </c>
      <c r="BC94">
        <f t="shared" si="123"/>
        <v>2.260630818902604E-2</v>
      </c>
      <c r="BD94">
        <f t="shared" si="124"/>
        <v>-0.47903831371196598</v>
      </c>
      <c r="BE94">
        <f t="shared" si="125"/>
        <v>227.67113036309635</v>
      </c>
      <c r="BF94" t="s">
        <v>819</v>
      </c>
      <c r="BG94">
        <v>530.29</v>
      </c>
      <c r="BH94">
        <f t="shared" si="126"/>
        <v>530.29</v>
      </c>
      <c r="BI94">
        <f t="shared" si="127"/>
        <v>0.41601324859070399</v>
      </c>
      <c r="BJ94">
        <f t="shared" si="128"/>
        <v>0.67055091752509888</v>
      </c>
      <c r="BK94">
        <f t="shared" si="129"/>
        <v>7.6007587265524164</v>
      </c>
      <c r="BL94">
        <f t="shared" si="130"/>
        <v>0.35034005305242094</v>
      </c>
      <c r="BM94">
        <f t="shared" si="131"/>
        <v>-1.5101561633659946</v>
      </c>
      <c r="BN94">
        <f t="shared" si="132"/>
        <v>0.5430930342158834</v>
      </c>
      <c r="BO94">
        <f t="shared" si="133"/>
        <v>0.4569069657841166</v>
      </c>
      <c r="BP94">
        <v>9209</v>
      </c>
      <c r="BQ94">
        <v>290.00000000000011</v>
      </c>
      <c r="BR94">
        <v>833.61</v>
      </c>
      <c r="BS94">
        <v>295</v>
      </c>
      <c r="BT94">
        <v>8115.2</v>
      </c>
      <c r="BU94">
        <v>835.46</v>
      </c>
      <c r="BV94">
        <v>-1.85</v>
      </c>
      <c r="BW94">
        <v>300.00000000000011</v>
      </c>
      <c r="BX94">
        <v>19.2</v>
      </c>
      <c r="BY94">
        <v>908.05142192059452</v>
      </c>
      <c r="BZ94">
        <v>3.515843763297176</v>
      </c>
      <c r="CA94">
        <v>-58.905971435985798</v>
      </c>
      <c r="CB94">
        <v>2.6218186245306869</v>
      </c>
      <c r="CC94">
        <v>0.94744676073337974</v>
      </c>
      <c r="CD94">
        <v>-4.1798035595105682E-3</v>
      </c>
      <c r="CE94">
        <v>289.99999999999989</v>
      </c>
      <c r="CF94">
        <v>832.77</v>
      </c>
      <c r="CG94">
        <v>615</v>
      </c>
      <c r="CH94">
        <v>8109.59</v>
      </c>
      <c r="CI94">
        <v>835.41</v>
      </c>
      <c r="CJ94">
        <v>-2.64</v>
      </c>
      <c r="CX94">
        <f t="shared" si="134"/>
        <v>1800.09</v>
      </c>
      <c r="CY94">
        <f t="shared" si="135"/>
        <v>1513.2602994603303</v>
      </c>
      <c r="CZ94">
        <f t="shared" si="136"/>
        <v>0.84065813346017726</v>
      </c>
      <c r="DA94">
        <f t="shared" si="137"/>
        <v>0.16087019757814219</v>
      </c>
      <c r="DB94">
        <v>6</v>
      </c>
      <c r="DC94">
        <v>0.5</v>
      </c>
      <c r="DD94" t="s">
        <v>421</v>
      </c>
      <c r="DE94">
        <v>2</v>
      </c>
      <c r="DF94">
        <v>1689014122.5999999</v>
      </c>
      <c r="DG94">
        <v>159.33500000000001</v>
      </c>
      <c r="DH94">
        <v>199.85599999999999</v>
      </c>
      <c r="DI94">
        <v>28.6129</v>
      </c>
      <c r="DJ94">
        <v>20.933199999999999</v>
      </c>
      <c r="DK94">
        <v>160.45500000000001</v>
      </c>
      <c r="DL94">
        <v>28.597999999999999</v>
      </c>
      <c r="DM94">
        <v>500.13400000000001</v>
      </c>
      <c r="DN94">
        <v>99.116</v>
      </c>
      <c r="DO94">
        <v>0.10052700000000001</v>
      </c>
      <c r="DP94">
        <v>30.258800000000001</v>
      </c>
      <c r="DQ94">
        <v>29.998999999999999</v>
      </c>
      <c r="DR94">
        <v>999.9</v>
      </c>
      <c r="DS94">
        <v>0</v>
      </c>
      <c r="DT94">
        <v>0</v>
      </c>
      <c r="DU94">
        <v>9970</v>
      </c>
      <c r="DV94">
        <v>0</v>
      </c>
      <c r="DW94">
        <v>1868.03</v>
      </c>
      <c r="DX94">
        <v>-40.520699999999998</v>
      </c>
      <c r="DY94">
        <v>164.029</v>
      </c>
      <c r="DZ94">
        <v>204.12899999999999</v>
      </c>
      <c r="EA94">
        <v>7.6796899999999999</v>
      </c>
      <c r="EB94">
        <v>199.85599999999999</v>
      </c>
      <c r="EC94">
        <v>20.933199999999999</v>
      </c>
      <c r="ED94">
        <v>2.8359999999999999</v>
      </c>
      <c r="EE94">
        <v>2.0748199999999999</v>
      </c>
      <c r="EF94">
        <v>23.095099999999999</v>
      </c>
      <c r="EG94">
        <v>18.027100000000001</v>
      </c>
      <c r="EH94">
        <v>1800.09</v>
      </c>
      <c r="EI94">
        <v>0.97799899999999995</v>
      </c>
      <c r="EJ94">
        <v>2.2001E-2</v>
      </c>
      <c r="EK94">
        <v>0</v>
      </c>
      <c r="EL94">
        <v>653.47699999999998</v>
      </c>
      <c r="EM94">
        <v>5.00082</v>
      </c>
      <c r="EN94">
        <v>14601.9</v>
      </c>
      <c r="EO94">
        <v>14130.5</v>
      </c>
      <c r="EP94">
        <v>46.561999999999998</v>
      </c>
      <c r="EQ94">
        <v>48.625</v>
      </c>
      <c r="ER94">
        <v>47.625</v>
      </c>
      <c r="ES94">
        <v>47.686999999999998</v>
      </c>
      <c r="ET94">
        <v>47.875</v>
      </c>
      <c r="EU94">
        <v>1755.6</v>
      </c>
      <c r="EV94">
        <v>39.49</v>
      </c>
      <c r="EW94">
        <v>0</v>
      </c>
      <c r="EX94">
        <v>153.79999995231631</v>
      </c>
      <c r="EY94">
        <v>0</v>
      </c>
      <c r="EZ94">
        <v>654.74315384615386</v>
      </c>
      <c r="FA94">
        <v>-9.0138803466434467</v>
      </c>
      <c r="FB94">
        <v>-244.16068387869379</v>
      </c>
      <c r="FC94">
        <v>14628.734615384619</v>
      </c>
      <c r="FD94">
        <v>15</v>
      </c>
      <c r="FE94">
        <v>1689014084.5999999</v>
      </c>
      <c r="FF94" t="s">
        <v>820</v>
      </c>
      <c r="FG94">
        <v>1689014072.0999999</v>
      </c>
      <c r="FH94">
        <v>1689014084.5999999</v>
      </c>
      <c r="FI94">
        <v>87</v>
      </c>
      <c r="FJ94">
        <v>-8.0000000000000002E-3</v>
      </c>
      <c r="FK94">
        <v>-1E-3</v>
      </c>
      <c r="FL94">
        <v>-1.163</v>
      </c>
      <c r="FM94">
        <v>1.4999999999999999E-2</v>
      </c>
      <c r="FN94">
        <v>200</v>
      </c>
      <c r="FO94">
        <v>21</v>
      </c>
      <c r="FP94">
        <v>0.04</v>
      </c>
      <c r="FQ94">
        <v>0.01</v>
      </c>
      <c r="FR94">
        <v>32.679661782378957</v>
      </c>
      <c r="FS94">
        <v>-0.62405886713587233</v>
      </c>
      <c r="FT94">
        <v>8.5302256761308773E-2</v>
      </c>
      <c r="FU94">
        <v>1</v>
      </c>
      <c r="FV94">
        <v>0.48693468338180312</v>
      </c>
      <c r="FW94">
        <v>-1.685384678649374E-2</v>
      </c>
      <c r="FX94">
        <v>1.269405102802805E-3</v>
      </c>
      <c r="FY94">
        <v>1</v>
      </c>
      <c r="FZ94">
        <v>2</v>
      </c>
      <c r="GA94">
        <v>2</v>
      </c>
      <c r="GB94" t="s">
        <v>423</v>
      </c>
      <c r="GC94">
        <v>2.9442699999999999</v>
      </c>
      <c r="GD94">
        <v>2.7089300000000001</v>
      </c>
      <c r="GE94">
        <v>4.0393100000000001E-2</v>
      </c>
      <c r="GF94">
        <v>4.9354299999999997E-2</v>
      </c>
      <c r="GG94">
        <v>0.127577</v>
      </c>
      <c r="GH94">
        <v>0.102571</v>
      </c>
      <c r="GI94">
        <v>31495.9</v>
      </c>
      <c r="GJ94">
        <v>30442.7</v>
      </c>
      <c r="GK94">
        <v>33824.1</v>
      </c>
      <c r="GL94">
        <v>32069.7</v>
      </c>
      <c r="GM94">
        <v>42606.1</v>
      </c>
      <c r="GN94">
        <v>40953.599999999999</v>
      </c>
      <c r="GO94">
        <v>48990.5</v>
      </c>
      <c r="GP94">
        <v>45399.6</v>
      </c>
      <c r="GQ94">
        <v>1.97068</v>
      </c>
      <c r="GR94">
        <v>1.74238</v>
      </c>
      <c r="GS94">
        <v>-1.7993200000000001E-2</v>
      </c>
      <c r="GT94">
        <v>0</v>
      </c>
      <c r="GU94">
        <v>30.291799999999999</v>
      </c>
      <c r="GV94">
        <v>999.9</v>
      </c>
      <c r="GW94">
        <v>29.7</v>
      </c>
      <c r="GX94">
        <v>46.6</v>
      </c>
      <c r="GY94">
        <v>31.3523</v>
      </c>
      <c r="GZ94">
        <v>60.142400000000002</v>
      </c>
      <c r="HA94">
        <v>26.610600000000002</v>
      </c>
      <c r="HB94">
        <v>1</v>
      </c>
      <c r="HC94">
        <v>0.52252500000000002</v>
      </c>
      <c r="HD94">
        <v>3.1808399999999999</v>
      </c>
      <c r="HE94">
        <v>20.1907</v>
      </c>
      <c r="HF94">
        <v>5.2704500000000003</v>
      </c>
      <c r="HG94">
        <v>12.039899999999999</v>
      </c>
      <c r="HH94">
        <v>4.9656500000000001</v>
      </c>
      <c r="HI94">
        <v>3.3010000000000002</v>
      </c>
      <c r="HJ94">
        <v>9999</v>
      </c>
      <c r="HK94">
        <v>9999</v>
      </c>
      <c r="HL94">
        <v>9999</v>
      </c>
      <c r="HM94">
        <v>999.9</v>
      </c>
      <c r="HN94">
        <v>1.8687400000000001</v>
      </c>
      <c r="HO94">
        <v>1.8724099999999999</v>
      </c>
      <c r="HP94">
        <v>1.8721000000000001</v>
      </c>
      <c r="HQ94">
        <v>1.87164</v>
      </c>
      <c r="HR94">
        <v>1.8648899999999999</v>
      </c>
      <c r="HS94">
        <v>1.8660399999999999</v>
      </c>
      <c r="HT94">
        <v>1.8680099999999999</v>
      </c>
      <c r="HU94">
        <v>1.87259</v>
      </c>
      <c r="HV94">
        <v>0</v>
      </c>
      <c r="HW94">
        <v>0</v>
      </c>
      <c r="HX94">
        <v>0</v>
      </c>
      <c r="HY94">
        <v>0</v>
      </c>
      <c r="HZ94" t="s">
        <v>424</v>
      </c>
      <c r="IA94" t="s">
        <v>425</v>
      </c>
      <c r="IB94" t="s">
        <v>426</v>
      </c>
      <c r="IC94" t="s">
        <v>426</v>
      </c>
      <c r="ID94" t="s">
        <v>426</v>
      </c>
      <c r="IE94" t="s">
        <v>426</v>
      </c>
      <c r="IF94">
        <v>0</v>
      </c>
      <c r="IG94">
        <v>100</v>
      </c>
      <c r="IH94">
        <v>100</v>
      </c>
      <c r="II94">
        <v>-1.1200000000000001</v>
      </c>
      <c r="IJ94">
        <v>1.49E-2</v>
      </c>
      <c r="IK94">
        <v>-0.93906832771017279</v>
      </c>
      <c r="IL94">
        <v>-1.171017271736434E-3</v>
      </c>
      <c r="IM94">
        <v>2.801297040296544E-7</v>
      </c>
      <c r="IN94">
        <v>-3.6238253961199429E-11</v>
      </c>
      <c r="IO94">
        <v>1.492857142857318E-2</v>
      </c>
      <c r="IP94">
        <v>0</v>
      </c>
      <c r="IQ94">
        <v>0</v>
      </c>
      <c r="IR94">
        <v>0</v>
      </c>
      <c r="IS94">
        <v>0</v>
      </c>
      <c r="IT94">
        <v>2161</v>
      </c>
      <c r="IU94">
        <v>1</v>
      </c>
      <c r="IV94">
        <v>19</v>
      </c>
      <c r="IW94">
        <v>0.8</v>
      </c>
      <c r="IX94">
        <v>0.6</v>
      </c>
      <c r="IY94">
        <v>0.59570299999999998</v>
      </c>
      <c r="IZ94">
        <v>2.5354000000000001</v>
      </c>
      <c r="JA94">
        <v>1.4440900000000001</v>
      </c>
      <c r="JB94">
        <v>2.2827099999999998</v>
      </c>
      <c r="JC94">
        <v>1.54419</v>
      </c>
      <c r="JD94">
        <v>2.32544</v>
      </c>
      <c r="JE94">
        <v>50.738199999999999</v>
      </c>
      <c r="JF94">
        <v>23.973700000000001</v>
      </c>
      <c r="JG94">
        <v>18</v>
      </c>
      <c r="JH94">
        <v>511.721</v>
      </c>
      <c r="JI94">
        <v>403.42500000000001</v>
      </c>
      <c r="JJ94">
        <v>25.9392</v>
      </c>
      <c r="JK94">
        <v>33.729199999999999</v>
      </c>
      <c r="JL94">
        <v>30</v>
      </c>
      <c r="JM94">
        <v>33.585900000000002</v>
      </c>
      <c r="JN94">
        <v>33.5381</v>
      </c>
      <c r="JO94">
        <v>12.0321</v>
      </c>
      <c r="JP94">
        <v>37.5471</v>
      </c>
      <c r="JQ94">
        <v>0</v>
      </c>
      <c r="JR94">
        <v>25.946999999999999</v>
      </c>
      <c r="JS94">
        <v>200</v>
      </c>
      <c r="JT94">
        <v>20.814599999999999</v>
      </c>
      <c r="JU94">
        <v>99.287199999999999</v>
      </c>
      <c r="JV94">
        <v>98.868799999999993</v>
      </c>
    </row>
    <row r="95" spans="1:282" x14ac:dyDescent="0.25">
      <c r="A95">
        <v>79</v>
      </c>
      <c r="B95">
        <v>1689014244.5999999</v>
      </c>
      <c r="C95">
        <v>15067.599999904631</v>
      </c>
      <c r="D95" t="s">
        <v>821</v>
      </c>
      <c r="E95" t="s">
        <v>822</v>
      </c>
      <c r="F95" t="s">
        <v>414</v>
      </c>
      <c r="G95" t="s">
        <v>415</v>
      </c>
      <c r="H95" t="s">
        <v>31</v>
      </c>
      <c r="I95" t="s">
        <v>416</v>
      </c>
      <c r="J95" t="s">
        <v>501</v>
      </c>
      <c r="K95">
        <v>1689014244.5999999</v>
      </c>
      <c r="L95">
        <f t="shared" si="92"/>
        <v>6.8866891150236057E-3</v>
      </c>
      <c r="M95">
        <f t="shared" si="93"/>
        <v>6.8866891150236054</v>
      </c>
      <c r="N95">
        <f t="shared" si="94"/>
        <v>20.363223505695025</v>
      </c>
      <c r="O95">
        <f t="shared" si="95"/>
        <v>94.704999999999998</v>
      </c>
      <c r="P95">
        <f t="shared" si="96"/>
        <v>24.12804125930116</v>
      </c>
      <c r="Q95">
        <f t="shared" si="97"/>
        <v>2.3938205691159578</v>
      </c>
      <c r="R95">
        <f t="shared" si="98"/>
        <v>9.3959876212800015</v>
      </c>
      <c r="S95">
        <f t="shared" si="99"/>
        <v>0.50986054857764673</v>
      </c>
      <c r="T95">
        <f t="shared" si="100"/>
        <v>2.9144884062195686</v>
      </c>
      <c r="U95">
        <f t="shared" si="101"/>
        <v>0.46499429997548997</v>
      </c>
      <c r="V95">
        <f t="shared" si="102"/>
        <v>0.29432277873981588</v>
      </c>
      <c r="W95">
        <f t="shared" si="103"/>
        <v>289.55268495807002</v>
      </c>
      <c r="X95">
        <f t="shared" si="104"/>
        <v>30.208543645735613</v>
      </c>
      <c r="Y95">
        <f t="shared" si="105"/>
        <v>29.984000000000002</v>
      </c>
      <c r="Z95">
        <f t="shared" si="106"/>
        <v>4.2565358721921243</v>
      </c>
      <c r="AA95">
        <f t="shared" si="107"/>
        <v>65.544669553105422</v>
      </c>
      <c r="AB95">
        <f t="shared" si="108"/>
        <v>2.8397104323167999</v>
      </c>
      <c r="AC95">
        <f t="shared" si="109"/>
        <v>4.3324811181113931</v>
      </c>
      <c r="AD95">
        <f t="shared" si="110"/>
        <v>1.4168254398753244</v>
      </c>
      <c r="AE95">
        <f t="shared" si="111"/>
        <v>-303.70298997254099</v>
      </c>
      <c r="AF95">
        <f t="shared" si="112"/>
        <v>48.426202058272814</v>
      </c>
      <c r="AG95">
        <f t="shared" si="113"/>
        <v>3.6995676266537365</v>
      </c>
      <c r="AH95">
        <f t="shared" si="114"/>
        <v>37.975464670455573</v>
      </c>
      <c r="AI95">
        <v>0</v>
      </c>
      <c r="AJ95">
        <v>0</v>
      </c>
      <c r="AK95">
        <f t="shared" si="115"/>
        <v>1</v>
      </c>
      <c r="AL95">
        <f t="shared" si="116"/>
        <v>0</v>
      </c>
      <c r="AM95">
        <f t="shared" si="117"/>
        <v>51854.784063744934</v>
      </c>
      <c r="AN95" t="s">
        <v>418</v>
      </c>
      <c r="AO95">
        <v>10076.700000000001</v>
      </c>
      <c r="AP95">
        <v>185.01599999999999</v>
      </c>
      <c r="AQ95">
        <v>473.06</v>
      </c>
      <c r="AR95">
        <f t="shared" si="118"/>
        <v>0.60889527755464423</v>
      </c>
      <c r="AS95">
        <v>-1.4827006201179751</v>
      </c>
      <c r="AT95" t="s">
        <v>823</v>
      </c>
      <c r="AU95">
        <v>8116.22</v>
      </c>
      <c r="AV95">
        <v>646.86423076923086</v>
      </c>
      <c r="AW95">
        <v>792.29155258728872</v>
      </c>
      <c r="AX95">
        <f t="shared" si="119"/>
        <v>0.1835527860206938</v>
      </c>
      <c r="AY95">
        <v>0.5</v>
      </c>
      <c r="AZ95">
        <f t="shared" si="120"/>
        <v>1513.1093994601399</v>
      </c>
      <c r="BA95">
        <f t="shared" si="121"/>
        <v>20.363223505695025</v>
      </c>
      <c r="BB95">
        <f t="shared" si="122"/>
        <v>138.86772291250378</v>
      </c>
      <c r="BC95">
        <f t="shared" si="123"/>
        <v>1.4437769095616863E-2</v>
      </c>
      <c r="BD95">
        <f t="shared" si="124"/>
        <v>-0.40292181778893593</v>
      </c>
      <c r="BE95">
        <f t="shared" si="125"/>
        <v>219.62562133520802</v>
      </c>
      <c r="BF95" t="s">
        <v>824</v>
      </c>
      <c r="BG95">
        <v>529.17999999999995</v>
      </c>
      <c r="BH95">
        <f t="shared" si="126"/>
        <v>529.17999999999995</v>
      </c>
      <c r="BI95">
        <f t="shared" si="127"/>
        <v>0.33208930693262839</v>
      </c>
      <c r="BJ95">
        <f t="shared" si="128"/>
        <v>0.55272115719742676</v>
      </c>
      <c r="BK95">
        <f t="shared" si="129"/>
        <v>5.6883740660600326</v>
      </c>
      <c r="BL95">
        <f t="shared" si="130"/>
        <v>0.23947501459340303</v>
      </c>
      <c r="BM95">
        <f t="shared" si="131"/>
        <v>-1.1082735713546845</v>
      </c>
      <c r="BN95">
        <f t="shared" si="132"/>
        <v>0.45216440800554919</v>
      </c>
      <c r="BO95">
        <f t="shared" si="133"/>
        <v>0.54783559199445087</v>
      </c>
      <c r="BP95">
        <v>9211</v>
      </c>
      <c r="BQ95">
        <v>290.00000000000011</v>
      </c>
      <c r="BR95">
        <v>749.05</v>
      </c>
      <c r="BS95">
        <v>265</v>
      </c>
      <c r="BT95">
        <v>8116.22</v>
      </c>
      <c r="BU95">
        <v>749.3</v>
      </c>
      <c r="BV95">
        <v>-0.25</v>
      </c>
      <c r="BW95">
        <v>300.00000000000011</v>
      </c>
      <c r="BX95">
        <v>19.2</v>
      </c>
      <c r="BY95">
        <v>792.29155258728872</v>
      </c>
      <c r="BZ95">
        <v>2.3874919806406112</v>
      </c>
      <c r="CA95">
        <v>-34.896260066433321</v>
      </c>
      <c r="CB95">
        <v>1.780416685258013</v>
      </c>
      <c r="CC95">
        <v>0.9320655550190512</v>
      </c>
      <c r="CD95">
        <v>-4.1797056729699659E-3</v>
      </c>
      <c r="CE95">
        <v>289.99999999999989</v>
      </c>
      <c r="CF95">
        <v>747.18</v>
      </c>
      <c r="CG95">
        <v>615</v>
      </c>
      <c r="CH95">
        <v>8109.7</v>
      </c>
      <c r="CI95">
        <v>749.26</v>
      </c>
      <c r="CJ95">
        <v>-2.08</v>
      </c>
      <c r="CX95">
        <f t="shared" si="134"/>
        <v>1799.91</v>
      </c>
      <c r="CY95">
        <f t="shared" si="135"/>
        <v>1513.1093994601399</v>
      </c>
      <c r="CZ95">
        <f t="shared" si="136"/>
        <v>0.84065836595170862</v>
      </c>
      <c r="DA95">
        <f t="shared" si="137"/>
        <v>0.16087064628679767</v>
      </c>
      <c r="DB95">
        <v>6</v>
      </c>
      <c r="DC95">
        <v>0.5</v>
      </c>
      <c r="DD95" t="s">
        <v>421</v>
      </c>
      <c r="DE95">
        <v>2</v>
      </c>
      <c r="DF95">
        <v>1689014244.5999999</v>
      </c>
      <c r="DG95">
        <v>94.704999999999998</v>
      </c>
      <c r="DH95">
        <v>119.916</v>
      </c>
      <c r="DI95">
        <v>28.622299999999999</v>
      </c>
      <c r="DJ95">
        <v>20.597200000000001</v>
      </c>
      <c r="DK95">
        <v>95.796499999999995</v>
      </c>
      <c r="DL95">
        <v>28.623200000000001</v>
      </c>
      <c r="DM95">
        <v>500.149</v>
      </c>
      <c r="DN95">
        <v>99.113200000000006</v>
      </c>
      <c r="DO95">
        <v>0.10001599999999999</v>
      </c>
      <c r="DP95">
        <v>30.292200000000001</v>
      </c>
      <c r="DQ95">
        <v>29.984000000000002</v>
      </c>
      <c r="DR95">
        <v>999.9</v>
      </c>
      <c r="DS95">
        <v>0</v>
      </c>
      <c r="DT95">
        <v>0</v>
      </c>
      <c r="DU95">
        <v>10003.1</v>
      </c>
      <c r="DV95">
        <v>0</v>
      </c>
      <c r="DW95">
        <v>1867.11</v>
      </c>
      <c r="DX95">
        <v>-25.210999999999999</v>
      </c>
      <c r="DY95">
        <v>97.495500000000007</v>
      </c>
      <c r="DZ95">
        <v>122.438</v>
      </c>
      <c r="EA95">
        <v>8.0251400000000004</v>
      </c>
      <c r="EB95">
        <v>119.916</v>
      </c>
      <c r="EC95">
        <v>20.597200000000001</v>
      </c>
      <c r="ED95">
        <v>2.8368500000000001</v>
      </c>
      <c r="EE95">
        <v>2.0414500000000002</v>
      </c>
      <c r="EF95">
        <v>23.100100000000001</v>
      </c>
      <c r="EG95">
        <v>17.769600000000001</v>
      </c>
      <c r="EH95">
        <v>1799.91</v>
      </c>
      <c r="EI95">
        <v>0.97799499999999995</v>
      </c>
      <c r="EJ95">
        <v>2.2004599999999999E-2</v>
      </c>
      <c r="EK95">
        <v>0</v>
      </c>
      <c r="EL95">
        <v>646.46600000000001</v>
      </c>
      <c r="EM95">
        <v>5.00082</v>
      </c>
      <c r="EN95">
        <v>14429.2</v>
      </c>
      <c r="EO95">
        <v>14129</v>
      </c>
      <c r="EP95">
        <v>46.375</v>
      </c>
      <c r="EQ95">
        <v>48.5</v>
      </c>
      <c r="ER95">
        <v>47.436999999999998</v>
      </c>
      <c r="ES95">
        <v>47.625</v>
      </c>
      <c r="ET95">
        <v>47.75</v>
      </c>
      <c r="EU95">
        <v>1755.41</v>
      </c>
      <c r="EV95">
        <v>39.5</v>
      </c>
      <c r="EW95">
        <v>0</v>
      </c>
      <c r="EX95">
        <v>120</v>
      </c>
      <c r="EY95">
        <v>0</v>
      </c>
      <c r="EZ95">
        <v>646.86423076923086</v>
      </c>
      <c r="FA95">
        <v>-4.6629059743925412</v>
      </c>
      <c r="FB95">
        <v>-99.377777364792962</v>
      </c>
      <c r="FC95">
        <v>14439.83846153846</v>
      </c>
      <c r="FD95">
        <v>15</v>
      </c>
      <c r="FE95">
        <v>1689014204.0999999</v>
      </c>
      <c r="FF95" t="s">
        <v>825</v>
      </c>
      <c r="FG95">
        <v>1689014197.0999999</v>
      </c>
      <c r="FH95">
        <v>1689014204.0999999</v>
      </c>
      <c r="FI95">
        <v>88</v>
      </c>
      <c r="FJ95">
        <v>-4.2999999999999997E-2</v>
      </c>
      <c r="FK95">
        <v>-1.6E-2</v>
      </c>
      <c r="FL95">
        <v>-1.1200000000000001</v>
      </c>
      <c r="FM95">
        <v>-1E-3</v>
      </c>
      <c r="FN95">
        <v>120</v>
      </c>
      <c r="FO95">
        <v>20</v>
      </c>
      <c r="FP95">
        <v>0.06</v>
      </c>
      <c r="FQ95">
        <v>0.01</v>
      </c>
      <c r="FR95">
        <v>20.336972639511661</v>
      </c>
      <c r="FS95">
        <v>-0.51848152200602549</v>
      </c>
      <c r="FT95">
        <v>9.0797255146157982E-2</v>
      </c>
      <c r="FU95">
        <v>1</v>
      </c>
      <c r="FV95">
        <v>0.51031004508465805</v>
      </c>
      <c r="FW95">
        <v>3.8128721777212541E-3</v>
      </c>
      <c r="FX95">
        <v>1.4268678990029119E-3</v>
      </c>
      <c r="FY95">
        <v>1</v>
      </c>
      <c r="FZ95">
        <v>2</v>
      </c>
      <c r="GA95">
        <v>2</v>
      </c>
      <c r="GB95" t="s">
        <v>423</v>
      </c>
      <c r="GC95">
        <v>2.9443000000000001</v>
      </c>
      <c r="GD95">
        <v>2.70871</v>
      </c>
      <c r="GE95">
        <v>2.4830600000000001E-2</v>
      </c>
      <c r="GF95">
        <v>3.08749E-2</v>
      </c>
      <c r="GG95">
        <v>0.12765000000000001</v>
      </c>
      <c r="GH95">
        <v>0.1014</v>
      </c>
      <c r="GI95">
        <v>32005.8</v>
      </c>
      <c r="GJ95">
        <v>31032.6</v>
      </c>
      <c r="GK95">
        <v>33824.300000000003</v>
      </c>
      <c r="GL95">
        <v>32068.7</v>
      </c>
      <c r="GM95">
        <v>42601.9</v>
      </c>
      <c r="GN95">
        <v>41005.5</v>
      </c>
      <c r="GO95">
        <v>48990.2</v>
      </c>
      <c r="GP95">
        <v>45398.3</v>
      </c>
      <c r="GQ95">
        <v>1.9710300000000001</v>
      </c>
      <c r="GR95">
        <v>1.7402500000000001</v>
      </c>
      <c r="GS95">
        <v>-2.4545899999999999E-2</v>
      </c>
      <c r="GT95">
        <v>0</v>
      </c>
      <c r="GU95">
        <v>30.383299999999998</v>
      </c>
      <c r="GV95">
        <v>999.9</v>
      </c>
      <c r="GW95">
        <v>29.7</v>
      </c>
      <c r="GX95">
        <v>46.8</v>
      </c>
      <c r="GY95">
        <v>31.671399999999998</v>
      </c>
      <c r="GZ95">
        <v>60.1524</v>
      </c>
      <c r="HA95">
        <v>25.9255</v>
      </c>
      <c r="HB95">
        <v>1</v>
      </c>
      <c r="HC95">
        <v>0.52147900000000003</v>
      </c>
      <c r="HD95">
        <v>2.6852200000000002</v>
      </c>
      <c r="HE95">
        <v>20.199000000000002</v>
      </c>
      <c r="HF95">
        <v>5.2690999999999999</v>
      </c>
      <c r="HG95">
        <v>12.039899999999999</v>
      </c>
      <c r="HH95">
        <v>4.9657</v>
      </c>
      <c r="HI95">
        <v>3.3010000000000002</v>
      </c>
      <c r="HJ95">
        <v>9999</v>
      </c>
      <c r="HK95">
        <v>9999</v>
      </c>
      <c r="HL95">
        <v>9999</v>
      </c>
      <c r="HM95">
        <v>999.9</v>
      </c>
      <c r="HN95">
        <v>1.8687400000000001</v>
      </c>
      <c r="HO95">
        <v>1.8724099999999999</v>
      </c>
      <c r="HP95">
        <v>1.8721000000000001</v>
      </c>
      <c r="HQ95">
        <v>1.87164</v>
      </c>
      <c r="HR95">
        <v>1.8648800000000001</v>
      </c>
      <c r="HS95">
        <v>1.8660600000000001</v>
      </c>
      <c r="HT95">
        <v>1.86805</v>
      </c>
      <c r="HU95">
        <v>1.87262</v>
      </c>
      <c r="HV95">
        <v>0</v>
      </c>
      <c r="HW95">
        <v>0</v>
      </c>
      <c r="HX95">
        <v>0</v>
      </c>
      <c r="HY95">
        <v>0</v>
      </c>
      <c r="HZ95" t="s">
        <v>424</v>
      </c>
      <c r="IA95" t="s">
        <v>425</v>
      </c>
      <c r="IB95" t="s">
        <v>426</v>
      </c>
      <c r="IC95" t="s">
        <v>426</v>
      </c>
      <c r="ID95" t="s">
        <v>426</v>
      </c>
      <c r="IE95" t="s">
        <v>426</v>
      </c>
      <c r="IF95">
        <v>0</v>
      </c>
      <c r="IG95">
        <v>100</v>
      </c>
      <c r="IH95">
        <v>100</v>
      </c>
      <c r="II95">
        <v>-1.091</v>
      </c>
      <c r="IJ95">
        <v>-8.9999999999999998E-4</v>
      </c>
      <c r="IK95">
        <v>-0.98190072716059373</v>
      </c>
      <c r="IL95">
        <v>-1.171017271736434E-3</v>
      </c>
      <c r="IM95">
        <v>2.801297040296544E-7</v>
      </c>
      <c r="IN95">
        <v>-3.6238253961199429E-11</v>
      </c>
      <c r="IO95">
        <v>-9.2000000000069804E-4</v>
      </c>
      <c r="IP95">
        <v>0</v>
      </c>
      <c r="IQ95">
        <v>0</v>
      </c>
      <c r="IR95">
        <v>0</v>
      </c>
      <c r="IS95">
        <v>0</v>
      </c>
      <c r="IT95">
        <v>2161</v>
      </c>
      <c r="IU95">
        <v>1</v>
      </c>
      <c r="IV95">
        <v>19</v>
      </c>
      <c r="IW95">
        <v>0.8</v>
      </c>
      <c r="IX95">
        <v>0.7</v>
      </c>
      <c r="IY95">
        <v>0.41137699999999999</v>
      </c>
      <c r="IZ95">
        <v>2.5451700000000002</v>
      </c>
      <c r="JA95">
        <v>1.4440900000000001</v>
      </c>
      <c r="JB95">
        <v>2.2827099999999998</v>
      </c>
      <c r="JC95">
        <v>1.54419</v>
      </c>
      <c r="JD95">
        <v>2.4487299999999999</v>
      </c>
      <c r="JE95">
        <v>50.967799999999997</v>
      </c>
      <c r="JF95">
        <v>23.982399999999998</v>
      </c>
      <c r="JG95">
        <v>18</v>
      </c>
      <c r="JH95">
        <v>511.983</v>
      </c>
      <c r="JI95">
        <v>402.17399999999998</v>
      </c>
      <c r="JJ95">
        <v>26.332999999999998</v>
      </c>
      <c r="JK95">
        <v>33.750500000000002</v>
      </c>
      <c r="JL95">
        <v>30.0002</v>
      </c>
      <c r="JM95">
        <v>33.589399999999998</v>
      </c>
      <c r="JN95">
        <v>33.542999999999999</v>
      </c>
      <c r="JO95">
        <v>8.3566000000000003</v>
      </c>
      <c r="JP95">
        <v>39.333100000000002</v>
      </c>
      <c r="JQ95">
        <v>0</v>
      </c>
      <c r="JR95">
        <v>26.3386</v>
      </c>
      <c r="JS95">
        <v>120</v>
      </c>
      <c r="JT95">
        <v>20.494700000000002</v>
      </c>
      <c r="JU95">
        <v>99.287099999999995</v>
      </c>
      <c r="JV95">
        <v>98.866</v>
      </c>
    </row>
    <row r="96" spans="1:282" x14ac:dyDescent="0.25">
      <c r="A96">
        <v>80</v>
      </c>
      <c r="B96">
        <v>1689014371.5999999</v>
      </c>
      <c r="C96">
        <v>15194.599999904631</v>
      </c>
      <c r="D96" t="s">
        <v>826</v>
      </c>
      <c r="E96" t="s">
        <v>827</v>
      </c>
      <c r="F96" t="s">
        <v>414</v>
      </c>
      <c r="G96" t="s">
        <v>415</v>
      </c>
      <c r="H96" t="s">
        <v>31</v>
      </c>
      <c r="I96" t="s">
        <v>416</v>
      </c>
      <c r="J96" t="s">
        <v>501</v>
      </c>
      <c r="K96">
        <v>1689014371.5999999</v>
      </c>
      <c r="L96">
        <f t="shared" si="92"/>
        <v>7.1704002568773011E-3</v>
      </c>
      <c r="M96">
        <f t="shared" si="93"/>
        <v>7.1704002568773006</v>
      </c>
      <c r="N96">
        <f t="shared" si="94"/>
        <v>12.389863593496836</v>
      </c>
      <c r="O96">
        <f t="shared" si="95"/>
        <v>54.487099999999998</v>
      </c>
      <c r="P96">
        <f t="shared" si="96"/>
        <v>13.65011015274241</v>
      </c>
      <c r="Q96">
        <f t="shared" si="97"/>
        <v>1.3542847901114696</v>
      </c>
      <c r="R96">
        <f t="shared" si="98"/>
        <v>5.4058941621403305</v>
      </c>
      <c r="S96">
        <f t="shared" si="99"/>
        <v>0.53818993909105306</v>
      </c>
      <c r="T96">
        <f t="shared" si="100"/>
        <v>2.9155079872071079</v>
      </c>
      <c r="U96">
        <f t="shared" si="101"/>
        <v>0.48847512313878577</v>
      </c>
      <c r="V96">
        <f t="shared" si="102"/>
        <v>0.30938002960902244</v>
      </c>
      <c r="W96">
        <f t="shared" si="103"/>
        <v>289.56371595890766</v>
      </c>
      <c r="X96">
        <f t="shared" si="104"/>
        <v>30.174395719410633</v>
      </c>
      <c r="Y96">
        <f t="shared" si="105"/>
        <v>29.940799999999999</v>
      </c>
      <c r="Z96">
        <f t="shared" si="106"/>
        <v>4.2459839894862954</v>
      </c>
      <c r="AA96">
        <f t="shared" si="107"/>
        <v>65.439780277401553</v>
      </c>
      <c r="AB96">
        <f t="shared" si="108"/>
        <v>2.8416237323349907</v>
      </c>
      <c r="AC96">
        <f t="shared" si="109"/>
        <v>4.3423491342563301</v>
      </c>
      <c r="AD96">
        <f t="shared" si="110"/>
        <v>1.4043602571513047</v>
      </c>
      <c r="AE96">
        <f t="shared" si="111"/>
        <v>-316.21465132828899</v>
      </c>
      <c r="AF96">
        <f t="shared" si="112"/>
        <v>61.473436929727939</v>
      </c>
      <c r="AG96">
        <f t="shared" si="113"/>
        <v>4.6946011307203062</v>
      </c>
      <c r="AH96">
        <f t="shared" si="114"/>
        <v>39.517102691066896</v>
      </c>
      <c r="AI96">
        <v>0</v>
      </c>
      <c r="AJ96">
        <v>0</v>
      </c>
      <c r="AK96">
        <f t="shared" si="115"/>
        <v>1</v>
      </c>
      <c r="AL96">
        <f t="shared" si="116"/>
        <v>0</v>
      </c>
      <c r="AM96">
        <f t="shared" si="117"/>
        <v>51877.009835649951</v>
      </c>
      <c r="AN96" t="s">
        <v>418</v>
      </c>
      <c r="AO96">
        <v>10076.700000000001</v>
      </c>
      <c r="AP96">
        <v>185.01599999999999</v>
      </c>
      <c r="AQ96">
        <v>473.06</v>
      </c>
      <c r="AR96">
        <f t="shared" si="118"/>
        <v>0.60889527755464423</v>
      </c>
      <c r="AS96">
        <v>-1.4827006201179751</v>
      </c>
      <c r="AT96" t="s">
        <v>828</v>
      </c>
      <c r="AU96">
        <v>8124.75</v>
      </c>
      <c r="AV96">
        <v>659.02111538461531</v>
      </c>
      <c r="AW96">
        <v>752.29784659224299</v>
      </c>
      <c r="AX96">
        <f t="shared" si="119"/>
        <v>0.1239890977093081</v>
      </c>
      <c r="AY96">
        <v>0.5</v>
      </c>
      <c r="AZ96">
        <f t="shared" si="120"/>
        <v>1513.1756994605739</v>
      </c>
      <c r="BA96">
        <f t="shared" si="121"/>
        <v>12.389863593496836</v>
      </c>
      <c r="BB96">
        <f t="shared" si="122"/>
        <v>93.808644825883874</v>
      </c>
      <c r="BC96">
        <f t="shared" si="123"/>
        <v>9.1678476059060352E-3</v>
      </c>
      <c r="BD96">
        <f t="shared" si="124"/>
        <v>-0.37117990946954577</v>
      </c>
      <c r="BE96">
        <f t="shared" si="125"/>
        <v>216.43607107326866</v>
      </c>
      <c r="BF96" t="s">
        <v>829</v>
      </c>
      <c r="BG96">
        <v>551.22</v>
      </c>
      <c r="BH96">
        <f t="shared" si="126"/>
        <v>551.22</v>
      </c>
      <c r="BI96">
        <f t="shared" si="127"/>
        <v>0.26728488922716565</v>
      </c>
      <c r="BJ96">
        <f t="shared" si="128"/>
        <v>0.46388367882603948</v>
      </c>
      <c r="BK96">
        <f t="shared" si="129"/>
        <v>3.5726438919171302</v>
      </c>
      <c r="BL96">
        <f t="shared" si="130"/>
        <v>0.1644274918507557</v>
      </c>
      <c r="BM96">
        <f t="shared" si="131"/>
        <v>-0.96942774920582619</v>
      </c>
      <c r="BN96">
        <f t="shared" si="132"/>
        <v>0.38800268378845149</v>
      </c>
      <c r="BO96">
        <f t="shared" si="133"/>
        <v>0.61199731621154851</v>
      </c>
      <c r="BP96">
        <v>9213</v>
      </c>
      <c r="BQ96">
        <v>290.00000000000011</v>
      </c>
      <c r="BR96">
        <v>723.87</v>
      </c>
      <c r="BS96">
        <v>145</v>
      </c>
      <c r="BT96">
        <v>8124.75</v>
      </c>
      <c r="BU96">
        <v>724.02</v>
      </c>
      <c r="BV96">
        <v>-0.15</v>
      </c>
      <c r="BW96">
        <v>300.00000000000011</v>
      </c>
      <c r="BX96">
        <v>19.2</v>
      </c>
      <c r="BY96">
        <v>752.29784659224299</v>
      </c>
      <c r="BZ96">
        <v>2.126132012685046</v>
      </c>
      <c r="CA96">
        <v>-22.975600847380939</v>
      </c>
      <c r="CB96">
        <v>1.5858210286794601</v>
      </c>
      <c r="CC96">
        <v>0.88230659049254978</v>
      </c>
      <c r="CD96">
        <v>-4.1802529477196898E-3</v>
      </c>
      <c r="CE96">
        <v>289.99999999999989</v>
      </c>
      <c r="CF96">
        <v>722.54</v>
      </c>
      <c r="CG96">
        <v>645</v>
      </c>
      <c r="CH96">
        <v>8110.41</v>
      </c>
      <c r="CI96">
        <v>723.97</v>
      </c>
      <c r="CJ96">
        <v>-1.43</v>
      </c>
      <c r="CX96">
        <f t="shared" si="134"/>
        <v>1799.99</v>
      </c>
      <c r="CY96">
        <f t="shared" si="135"/>
        <v>1513.1756994605739</v>
      </c>
      <c r="CZ96">
        <f t="shared" si="136"/>
        <v>0.84065783668830041</v>
      </c>
      <c r="DA96">
        <f t="shared" si="137"/>
        <v>0.16086962480841985</v>
      </c>
      <c r="DB96">
        <v>6</v>
      </c>
      <c r="DC96">
        <v>0.5</v>
      </c>
      <c r="DD96" t="s">
        <v>421</v>
      </c>
      <c r="DE96">
        <v>2</v>
      </c>
      <c r="DF96">
        <v>1689014371.5999999</v>
      </c>
      <c r="DG96">
        <v>54.487099999999998</v>
      </c>
      <c r="DH96">
        <v>69.8215</v>
      </c>
      <c r="DI96">
        <v>28.641300000000001</v>
      </c>
      <c r="DJ96">
        <v>20.284500000000001</v>
      </c>
      <c r="DK96">
        <v>55.551099999999998</v>
      </c>
      <c r="DL96">
        <v>28.646100000000001</v>
      </c>
      <c r="DM96">
        <v>500.07400000000001</v>
      </c>
      <c r="DN96">
        <v>99.114500000000007</v>
      </c>
      <c r="DO96">
        <v>9.9702299999999994E-2</v>
      </c>
      <c r="DP96">
        <v>30.331900000000001</v>
      </c>
      <c r="DQ96">
        <v>29.940799999999999</v>
      </c>
      <c r="DR96">
        <v>999.9</v>
      </c>
      <c r="DS96">
        <v>0</v>
      </c>
      <c r="DT96">
        <v>0</v>
      </c>
      <c r="DU96">
        <v>10008.799999999999</v>
      </c>
      <c r="DV96">
        <v>0</v>
      </c>
      <c r="DW96">
        <v>1863.72</v>
      </c>
      <c r="DX96">
        <v>-15.3344</v>
      </c>
      <c r="DY96">
        <v>56.093699999999998</v>
      </c>
      <c r="DZ96">
        <v>71.267200000000003</v>
      </c>
      <c r="EA96">
        <v>8.3568599999999993</v>
      </c>
      <c r="EB96">
        <v>69.8215</v>
      </c>
      <c r="EC96">
        <v>20.284500000000001</v>
      </c>
      <c r="ED96">
        <v>2.8387699999999998</v>
      </c>
      <c r="EE96">
        <v>2.0104899999999999</v>
      </c>
      <c r="EF96">
        <v>23.1113</v>
      </c>
      <c r="EG96">
        <v>17.527200000000001</v>
      </c>
      <c r="EH96">
        <v>1799.99</v>
      </c>
      <c r="EI96">
        <v>0.97800900000000002</v>
      </c>
      <c r="EJ96">
        <v>2.19911E-2</v>
      </c>
      <c r="EK96">
        <v>0</v>
      </c>
      <c r="EL96">
        <v>658.62</v>
      </c>
      <c r="EM96">
        <v>5.00082</v>
      </c>
      <c r="EN96">
        <v>14601.9</v>
      </c>
      <c r="EO96">
        <v>14129.8</v>
      </c>
      <c r="EP96">
        <v>46.061999999999998</v>
      </c>
      <c r="EQ96">
        <v>48.186999999999998</v>
      </c>
      <c r="ER96">
        <v>47.125</v>
      </c>
      <c r="ES96">
        <v>47.125</v>
      </c>
      <c r="ET96">
        <v>47.436999999999998</v>
      </c>
      <c r="EU96">
        <v>1755.52</v>
      </c>
      <c r="EV96">
        <v>39.47</v>
      </c>
      <c r="EW96">
        <v>0</v>
      </c>
      <c r="EX96">
        <v>125</v>
      </c>
      <c r="EY96">
        <v>0</v>
      </c>
      <c r="EZ96">
        <v>659.02111538461531</v>
      </c>
      <c r="FA96">
        <v>-1.6128888819682941</v>
      </c>
      <c r="FB96">
        <v>-282.21196519077819</v>
      </c>
      <c r="FC96">
        <v>14624.25769230769</v>
      </c>
      <c r="FD96">
        <v>15</v>
      </c>
      <c r="FE96">
        <v>1689014330.5999999</v>
      </c>
      <c r="FF96" t="s">
        <v>830</v>
      </c>
      <c r="FG96">
        <v>1689014326.0999999</v>
      </c>
      <c r="FH96">
        <v>1689014330.5999999</v>
      </c>
      <c r="FI96">
        <v>89</v>
      </c>
      <c r="FJ96">
        <v>-1.7999999999999999E-2</v>
      </c>
      <c r="FK96">
        <v>-4.0000000000000001E-3</v>
      </c>
      <c r="FL96">
        <v>-1.0820000000000001</v>
      </c>
      <c r="FM96">
        <v>-5.0000000000000001E-3</v>
      </c>
      <c r="FN96">
        <v>70</v>
      </c>
      <c r="FO96">
        <v>20</v>
      </c>
      <c r="FP96">
        <v>0.17</v>
      </c>
      <c r="FQ96">
        <v>0.01</v>
      </c>
      <c r="FR96">
        <v>12.34147882609332</v>
      </c>
      <c r="FS96">
        <v>2.5097507334273818E-2</v>
      </c>
      <c r="FT96">
        <v>5.4853779524075788E-2</v>
      </c>
      <c r="FU96">
        <v>1</v>
      </c>
      <c r="FV96">
        <v>0.53331858509320873</v>
      </c>
      <c r="FW96">
        <v>2.1910291236733031E-2</v>
      </c>
      <c r="FX96">
        <v>1.723172999265214E-3</v>
      </c>
      <c r="FY96">
        <v>1</v>
      </c>
      <c r="FZ96">
        <v>2</v>
      </c>
      <c r="GA96">
        <v>2</v>
      </c>
      <c r="GB96" t="s">
        <v>423</v>
      </c>
      <c r="GC96">
        <v>2.94415</v>
      </c>
      <c r="GD96">
        <v>2.70844</v>
      </c>
      <c r="GE96">
        <v>1.4568299999999999E-2</v>
      </c>
      <c r="GF96">
        <v>1.83124E-2</v>
      </c>
      <c r="GG96">
        <v>0.12772700000000001</v>
      </c>
      <c r="GH96">
        <v>0.100313</v>
      </c>
      <c r="GI96">
        <v>32341.8</v>
      </c>
      <c r="GJ96">
        <v>31436.400000000001</v>
      </c>
      <c r="GK96">
        <v>33823.9</v>
      </c>
      <c r="GL96">
        <v>32071</v>
      </c>
      <c r="GM96">
        <v>42597.4</v>
      </c>
      <c r="GN96">
        <v>41057</v>
      </c>
      <c r="GO96">
        <v>48989.8</v>
      </c>
      <c r="GP96">
        <v>45400.7</v>
      </c>
      <c r="GQ96">
        <v>1.9713000000000001</v>
      </c>
      <c r="GR96">
        <v>1.73925</v>
      </c>
      <c r="GS96">
        <v>-1.3746299999999999E-2</v>
      </c>
      <c r="GT96">
        <v>0</v>
      </c>
      <c r="GU96">
        <v>30.1645</v>
      </c>
      <c r="GV96">
        <v>999.9</v>
      </c>
      <c r="GW96">
        <v>29.7</v>
      </c>
      <c r="GX96">
        <v>46.9</v>
      </c>
      <c r="GY96">
        <v>31.8325</v>
      </c>
      <c r="GZ96">
        <v>59.9024</v>
      </c>
      <c r="HA96">
        <v>25.9575</v>
      </c>
      <c r="HB96">
        <v>1</v>
      </c>
      <c r="HC96">
        <v>0.51836599999999999</v>
      </c>
      <c r="HD96">
        <v>2.1871700000000001</v>
      </c>
      <c r="HE96">
        <v>20.206199999999999</v>
      </c>
      <c r="HF96">
        <v>5.2695499999999997</v>
      </c>
      <c r="HG96">
        <v>12.039899999999999</v>
      </c>
      <c r="HH96">
        <v>4.9655500000000004</v>
      </c>
      <c r="HI96">
        <v>3.3010000000000002</v>
      </c>
      <c r="HJ96">
        <v>9999</v>
      </c>
      <c r="HK96">
        <v>9999</v>
      </c>
      <c r="HL96">
        <v>9999</v>
      </c>
      <c r="HM96">
        <v>999.9</v>
      </c>
      <c r="HN96">
        <v>1.8687400000000001</v>
      </c>
      <c r="HO96">
        <v>1.8724099999999999</v>
      </c>
      <c r="HP96">
        <v>1.8721000000000001</v>
      </c>
      <c r="HQ96">
        <v>1.87165</v>
      </c>
      <c r="HR96">
        <v>1.8649100000000001</v>
      </c>
      <c r="HS96">
        <v>1.8660699999999999</v>
      </c>
      <c r="HT96">
        <v>1.8680099999999999</v>
      </c>
      <c r="HU96">
        <v>1.8725799999999999</v>
      </c>
      <c r="HV96">
        <v>0</v>
      </c>
      <c r="HW96">
        <v>0</v>
      </c>
      <c r="HX96">
        <v>0</v>
      </c>
      <c r="HY96">
        <v>0</v>
      </c>
      <c r="HZ96" t="s">
        <v>424</v>
      </c>
      <c r="IA96" t="s">
        <v>425</v>
      </c>
      <c r="IB96" t="s">
        <v>426</v>
      </c>
      <c r="IC96" t="s">
        <v>426</v>
      </c>
      <c r="ID96" t="s">
        <v>426</v>
      </c>
      <c r="IE96" t="s">
        <v>426</v>
      </c>
      <c r="IF96">
        <v>0</v>
      </c>
      <c r="IG96">
        <v>100</v>
      </c>
      <c r="IH96">
        <v>100</v>
      </c>
      <c r="II96">
        <v>-1.0640000000000001</v>
      </c>
      <c r="IJ96">
        <v>-4.7999999999999996E-3</v>
      </c>
      <c r="IK96">
        <v>-0.99983796937074865</v>
      </c>
      <c r="IL96">
        <v>-1.171017271736434E-3</v>
      </c>
      <c r="IM96">
        <v>2.801297040296544E-7</v>
      </c>
      <c r="IN96">
        <v>-3.6238253961199429E-11</v>
      </c>
      <c r="IO96">
        <v>-4.76499999999902E-3</v>
      </c>
      <c r="IP96">
        <v>0</v>
      </c>
      <c r="IQ96">
        <v>0</v>
      </c>
      <c r="IR96">
        <v>0</v>
      </c>
      <c r="IS96">
        <v>0</v>
      </c>
      <c r="IT96">
        <v>2161</v>
      </c>
      <c r="IU96">
        <v>1</v>
      </c>
      <c r="IV96">
        <v>19</v>
      </c>
      <c r="IW96">
        <v>0.8</v>
      </c>
      <c r="IX96">
        <v>0.7</v>
      </c>
      <c r="IY96">
        <v>0.29663099999999998</v>
      </c>
      <c r="IZ96">
        <v>2.5647000000000002</v>
      </c>
      <c r="JA96">
        <v>1.4440900000000001</v>
      </c>
      <c r="JB96">
        <v>2.2827099999999998</v>
      </c>
      <c r="JC96">
        <v>1.54419</v>
      </c>
      <c r="JD96">
        <v>2.4475099999999999</v>
      </c>
      <c r="JE96">
        <v>51.066699999999997</v>
      </c>
      <c r="JF96">
        <v>23.991199999999999</v>
      </c>
      <c r="JG96">
        <v>18</v>
      </c>
      <c r="JH96">
        <v>512.01800000000003</v>
      </c>
      <c r="JI96">
        <v>401.42099999999999</v>
      </c>
      <c r="JJ96">
        <v>26.727599999999999</v>
      </c>
      <c r="JK96">
        <v>33.723199999999999</v>
      </c>
      <c r="JL96">
        <v>29.998999999999999</v>
      </c>
      <c r="JM96">
        <v>33.570799999999998</v>
      </c>
      <c r="JN96">
        <v>33.519799999999996</v>
      </c>
      <c r="JO96">
        <v>6.0508499999999996</v>
      </c>
      <c r="JP96">
        <v>41.4405</v>
      </c>
      <c r="JQ96">
        <v>0</v>
      </c>
      <c r="JR96">
        <v>26.763000000000002</v>
      </c>
      <c r="JS96">
        <v>70</v>
      </c>
      <c r="JT96">
        <v>20.273700000000002</v>
      </c>
      <c r="JU96">
        <v>99.286100000000005</v>
      </c>
      <c r="JV96">
        <v>98.871899999999997</v>
      </c>
    </row>
    <row r="97" spans="1:282" x14ac:dyDescent="0.25">
      <c r="A97">
        <v>81</v>
      </c>
      <c r="B97">
        <v>1689014510.5999999</v>
      </c>
      <c r="C97">
        <v>15333.599999904631</v>
      </c>
      <c r="D97" t="s">
        <v>831</v>
      </c>
      <c r="E97" t="s">
        <v>832</v>
      </c>
      <c r="F97" t="s">
        <v>414</v>
      </c>
      <c r="G97" t="s">
        <v>415</v>
      </c>
      <c r="H97" t="s">
        <v>31</v>
      </c>
      <c r="I97" t="s">
        <v>416</v>
      </c>
      <c r="J97" t="s">
        <v>501</v>
      </c>
      <c r="K97">
        <v>1689014510.5999999</v>
      </c>
      <c r="L97">
        <f t="shared" si="92"/>
        <v>7.3194571313118751E-3</v>
      </c>
      <c r="M97">
        <f t="shared" si="93"/>
        <v>7.319457131311875</v>
      </c>
      <c r="N97">
        <f t="shared" si="94"/>
        <v>5.5854229547109924</v>
      </c>
      <c r="O97">
        <f t="shared" si="95"/>
        <v>22.977399999999999</v>
      </c>
      <c r="P97">
        <f t="shared" si="96"/>
        <v>5.0127173786750463</v>
      </c>
      <c r="Q97">
        <f t="shared" si="97"/>
        <v>0.49732628817135804</v>
      </c>
      <c r="R97">
        <f t="shared" si="98"/>
        <v>2.2796547641888001</v>
      </c>
      <c r="S97">
        <f t="shared" si="99"/>
        <v>0.55192454287886794</v>
      </c>
      <c r="T97">
        <f t="shared" si="100"/>
        <v>2.9135035939062632</v>
      </c>
      <c r="U97">
        <f t="shared" si="101"/>
        <v>0.4997391127167165</v>
      </c>
      <c r="V97">
        <f t="shared" si="102"/>
        <v>0.31661339678141748</v>
      </c>
      <c r="W97">
        <f t="shared" si="103"/>
        <v>289.54673895858025</v>
      </c>
      <c r="X97">
        <f t="shared" si="104"/>
        <v>30.159525028476391</v>
      </c>
      <c r="Y97">
        <f t="shared" si="105"/>
        <v>29.971699999999998</v>
      </c>
      <c r="Z97">
        <f t="shared" si="106"/>
        <v>4.2535291921332545</v>
      </c>
      <c r="AA97">
        <f t="shared" si="107"/>
        <v>65.597868725373687</v>
      </c>
      <c r="AB97">
        <f t="shared" si="108"/>
        <v>2.8524406690383999</v>
      </c>
      <c r="AC97">
        <f t="shared" si="109"/>
        <v>4.3483740012654666</v>
      </c>
      <c r="AD97">
        <f t="shared" si="110"/>
        <v>1.4010885230948547</v>
      </c>
      <c r="AE97">
        <f t="shared" si="111"/>
        <v>-322.7880594908537</v>
      </c>
      <c r="AF97">
        <f t="shared" si="112"/>
        <v>60.378786532097337</v>
      </c>
      <c r="AG97">
        <f t="shared" si="113"/>
        <v>4.6154352299522525</v>
      </c>
      <c r="AH97">
        <f t="shared" si="114"/>
        <v>31.752901229776143</v>
      </c>
      <c r="AI97">
        <v>0</v>
      </c>
      <c r="AJ97">
        <v>0</v>
      </c>
      <c r="AK97">
        <f t="shared" si="115"/>
        <v>1</v>
      </c>
      <c r="AL97">
        <f t="shared" si="116"/>
        <v>0</v>
      </c>
      <c r="AM97">
        <f t="shared" si="117"/>
        <v>51815.86694781627</v>
      </c>
      <c r="AN97" t="s">
        <v>418</v>
      </c>
      <c r="AO97">
        <v>10076.700000000001</v>
      </c>
      <c r="AP97">
        <v>185.01599999999999</v>
      </c>
      <c r="AQ97">
        <v>473.06</v>
      </c>
      <c r="AR97">
        <f t="shared" si="118"/>
        <v>0.60889527755464423</v>
      </c>
      <c r="AS97">
        <v>-1.4827006201179751</v>
      </c>
      <c r="AT97" t="s">
        <v>833</v>
      </c>
      <c r="AU97">
        <v>8124.15</v>
      </c>
      <c r="AV97">
        <v>675.63784615384623</v>
      </c>
      <c r="AW97">
        <v>742.16189083997426</v>
      </c>
      <c r="AX97">
        <f t="shared" si="119"/>
        <v>8.9635489920988132E-2</v>
      </c>
      <c r="AY97">
        <v>0.5</v>
      </c>
      <c r="AZ97">
        <f t="shared" si="120"/>
        <v>1513.0835994604042</v>
      </c>
      <c r="BA97">
        <f t="shared" si="121"/>
        <v>5.5854229547109924</v>
      </c>
      <c r="BB97">
        <f t="shared" si="122"/>
        <v>67.81299486452275</v>
      </c>
      <c r="BC97">
        <f t="shared" si="123"/>
        <v>4.6713371140560912E-3</v>
      </c>
      <c r="BD97">
        <f t="shared" si="124"/>
        <v>-0.36259190098727168</v>
      </c>
      <c r="BE97">
        <f t="shared" si="125"/>
        <v>215.58897547006057</v>
      </c>
      <c r="BF97" t="s">
        <v>834</v>
      </c>
      <c r="BG97">
        <v>569.25</v>
      </c>
      <c r="BH97">
        <f t="shared" si="126"/>
        <v>569.25</v>
      </c>
      <c r="BI97">
        <f t="shared" si="127"/>
        <v>0.23298406045111486</v>
      </c>
      <c r="BJ97">
        <f t="shared" si="128"/>
        <v>0.38472799275380326</v>
      </c>
      <c r="BK97">
        <f t="shared" si="129"/>
        <v>2.7976077642163868</v>
      </c>
      <c r="BL97">
        <f t="shared" si="130"/>
        <v>0.11940148133522777</v>
      </c>
      <c r="BM97">
        <f t="shared" si="131"/>
        <v>-0.93423883448353129</v>
      </c>
      <c r="BN97">
        <f t="shared" si="132"/>
        <v>0.32414763489319637</v>
      </c>
      <c r="BO97">
        <f t="shared" si="133"/>
        <v>0.67585236510680358</v>
      </c>
      <c r="BP97">
        <v>9215</v>
      </c>
      <c r="BQ97">
        <v>290.00000000000011</v>
      </c>
      <c r="BR97">
        <v>720.76</v>
      </c>
      <c r="BS97">
        <v>165</v>
      </c>
      <c r="BT97">
        <v>8124.15</v>
      </c>
      <c r="BU97">
        <v>720.22</v>
      </c>
      <c r="BV97">
        <v>0.54</v>
      </c>
      <c r="BW97">
        <v>300.00000000000011</v>
      </c>
      <c r="BX97">
        <v>19.2</v>
      </c>
      <c r="BY97">
        <v>742.16189083997426</v>
      </c>
      <c r="BZ97">
        <v>2.4078950658623839</v>
      </c>
      <c r="CA97">
        <v>-17.825066194427389</v>
      </c>
      <c r="CB97">
        <v>1.7961666009192041</v>
      </c>
      <c r="CC97">
        <v>0.77862947232226309</v>
      </c>
      <c r="CD97">
        <v>-4.1806963292547279E-3</v>
      </c>
      <c r="CE97">
        <v>289.99999999999989</v>
      </c>
      <c r="CF97">
        <v>719.37</v>
      </c>
      <c r="CG97">
        <v>645</v>
      </c>
      <c r="CH97">
        <v>8111.28</v>
      </c>
      <c r="CI97">
        <v>720.19</v>
      </c>
      <c r="CJ97">
        <v>-0.82</v>
      </c>
      <c r="CX97">
        <f t="shared" si="134"/>
        <v>1799.88</v>
      </c>
      <c r="CY97">
        <f t="shared" si="135"/>
        <v>1513.0835994604042</v>
      </c>
      <c r="CZ97">
        <f t="shared" si="136"/>
        <v>0.8406580435697959</v>
      </c>
      <c r="DA97">
        <f t="shared" si="137"/>
        <v>0.1608700240897061</v>
      </c>
      <c r="DB97">
        <v>6</v>
      </c>
      <c r="DC97">
        <v>0.5</v>
      </c>
      <c r="DD97" t="s">
        <v>421</v>
      </c>
      <c r="DE97">
        <v>2</v>
      </c>
      <c r="DF97">
        <v>1689014510.5999999</v>
      </c>
      <c r="DG97">
        <v>22.977399999999999</v>
      </c>
      <c r="DH97">
        <v>29.879200000000001</v>
      </c>
      <c r="DI97">
        <v>28.750699999999998</v>
      </c>
      <c r="DJ97">
        <v>20.222999999999999</v>
      </c>
      <c r="DK97">
        <v>23.991299999999999</v>
      </c>
      <c r="DL97">
        <v>28.751999999999999</v>
      </c>
      <c r="DM97">
        <v>500.18299999999999</v>
      </c>
      <c r="DN97">
        <v>99.112899999999996</v>
      </c>
      <c r="DO97">
        <v>0.100012</v>
      </c>
      <c r="DP97">
        <v>30.356100000000001</v>
      </c>
      <c r="DQ97">
        <v>29.971699999999998</v>
      </c>
      <c r="DR97">
        <v>999.9</v>
      </c>
      <c r="DS97">
        <v>0</v>
      </c>
      <c r="DT97">
        <v>0</v>
      </c>
      <c r="DU97">
        <v>9997.5</v>
      </c>
      <c r="DV97">
        <v>0</v>
      </c>
      <c r="DW97">
        <v>1859.81</v>
      </c>
      <c r="DX97">
        <v>-6.9018199999999998</v>
      </c>
      <c r="DY97">
        <v>23.657599999999999</v>
      </c>
      <c r="DZ97">
        <v>30.495899999999999</v>
      </c>
      <c r="EA97">
        <v>8.5276800000000001</v>
      </c>
      <c r="EB97">
        <v>29.879200000000001</v>
      </c>
      <c r="EC97">
        <v>20.222999999999999</v>
      </c>
      <c r="ED97">
        <v>2.8495599999999999</v>
      </c>
      <c r="EE97">
        <v>2.0043600000000001</v>
      </c>
      <c r="EF97">
        <v>23.174099999999999</v>
      </c>
      <c r="EG97">
        <v>17.4788</v>
      </c>
      <c r="EH97">
        <v>1799.88</v>
      </c>
      <c r="EI97">
        <v>0.97800500000000001</v>
      </c>
      <c r="EJ97">
        <v>2.1994699999999999E-2</v>
      </c>
      <c r="EK97">
        <v>0</v>
      </c>
      <c r="EL97">
        <v>675.54300000000001</v>
      </c>
      <c r="EM97">
        <v>5.00082</v>
      </c>
      <c r="EN97">
        <v>14915.3</v>
      </c>
      <c r="EO97">
        <v>14128.8</v>
      </c>
      <c r="EP97">
        <v>45.875</v>
      </c>
      <c r="EQ97">
        <v>48</v>
      </c>
      <c r="ER97">
        <v>46.936999999999998</v>
      </c>
      <c r="ES97">
        <v>47.125</v>
      </c>
      <c r="ET97">
        <v>47.375</v>
      </c>
      <c r="EU97">
        <v>1755.4</v>
      </c>
      <c r="EV97">
        <v>39.479999999999997</v>
      </c>
      <c r="EW97">
        <v>0</v>
      </c>
      <c r="EX97">
        <v>137</v>
      </c>
      <c r="EY97">
        <v>0</v>
      </c>
      <c r="EZ97">
        <v>675.63784615384623</v>
      </c>
      <c r="FA97">
        <v>1.573606831875638</v>
      </c>
      <c r="FB97">
        <v>49.104274208827931</v>
      </c>
      <c r="FC97">
        <v>14923.01153846154</v>
      </c>
      <c r="FD97">
        <v>15</v>
      </c>
      <c r="FE97">
        <v>1689014470.5999999</v>
      </c>
      <c r="FF97" t="s">
        <v>835</v>
      </c>
      <c r="FG97">
        <v>1689014466.5999999</v>
      </c>
      <c r="FH97">
        <v>1689014470.5999999</v>
      </c>
      <c r="FI97">
        <v>90</v>
      </c>
      <c r="FJ97">
        <v>1.4E-2</v>
      </c>
      <c r="FK97">
        <v>3.0000000000000001E-3</v>
      </c>
      <c r="FL97">
        <v>-1.022</v>
      </c>
      <c r="FM97">
        <v>-1E-3</v>
      </c>
      <c r="FN97">
        <v>30</v>
      </c>
      <c r="FO97">
        <v>20</v>
      </c>
      <c r="FP97">
        <v>0.33</v>
      </c>
      <c r="FQ97">
        <v>0.01</v>
      </c>
      <c r="FR97">
        <v>5.5232699627451911</v>
      </c>
      <c r="FS97">
        <v>-0.1938602584383522</v>
      </c>
      <c r="FT97">
        <v>7.2069368489074928E-2</v>
      </c>
      <c r="FU97">
        <v>1</v>
      </c>
      <c r="FV97">
        <v>0.55350984882945575</v>
      </c>
      <c r="FW97">
        <v>1.3664244245432181E-2</v>
      </c>
      <c r="FX97">
        <v>1.3868115859857609E-3</v>
      </c>
      <c r="FY97">
        <v>1</v>
      </c>
      <c r="FZ97">
        <v>2</v>
      </c>
      <c r="GA97">
        <v>2</v>
      </c>
      <c r="GB97" t="s">
        <v>423</v>
      </c>
      <c r="GC97">
        <v>2.9444499999999998</v>
      </c>
      <c r="GD97">
        <v>2.70865</v>
      </c>
      <c r="GE97">
        <v>6.3181000000000001E-3</v>
      </c>
      <c r="GF97">
        <v>7.8964699999999992E-3</v>
      </c>
      <c r="GG97">
        <v>0.12806100000000001</v>
      </c>
      <c r="GH97">
        <v>0.100102</v>
      </c>
      <c r="GI97">
        <v>32615.7</v>
      </c>
      <c r="GJ97">
        <v>31771.8</v>
      </c>
      <c r="GK97">
        <v>33827.5</v>
      </c>
      <c r="GL97">
        <v>32073.4</v>
      </c>
      <c r="GM97">
        <v>42584.7</v>
      </c>
      <c r="GN97">
        <v>41070.199999999997</v>
      </c>
      <c r="GO97">
        <v>48994.3</v>
      </c>
      <c r="GP97">
        <v>45405.1</v>
      </c>
      <c r="GQ97">
        <v>1.972</v>
      </c>
      <c r="GR97">
        <v>1.73813</v>
      </c>
      <c r="GS97">
        <v>-2.43261E-2</v>
      </c>
      <c r="GT97">
        <v>0</v>
      </c>
      <c r="GU97">
        <v>30.3675</v>
      </c>
      <c r="GV97">
        <v>999.9</v>
      </c>
      <c r="GW97">
        <v>29.6</v>
      </c>
      <c r="GX97">
        <v>47.1</v>
      </c>
      <c r="GY97">
        <v>32.052399999999999</v>
      </c>
      <c r="GZ97">
        <v>60.162399999999998</v>
      </c>
      <c r="HA97">
        <v>25.973600000000001</v>
      </c>
      <c r="HB97">
        <v>1</v>
      </c>
      <c r="HC97">
        <v>0.51788900000000004</v>
      </c>
      <c r="HD97">
        <v>2.20072</v>
      </c>
      <c r="HE97">
        <v>20.201499999999999</v>
      </c>
      <c r="HF97">
        <v>5.2709000000000001</v>
      </c>
      <c r="HG97">
        <v>12.039899999999999</v>
      </c>
      <c r="HH97">
        <v>4.9657999999999998</v>
      </c>
      <c r="HI97">
        <v>3.3010000000000002</v>
      </c>
      <c r="HJ97">
        <v>9999</v>
      </c>
      <c r="HK97">
        <v>9999</v>
      </c>
      <c r="HL97">
        <v>9999</v>
      </c>
      <c r="HM97">
        <v>999.9</v>
      </c>
      <c r="HN97">
        <v>1.8687400000000001</v>
      </c>
      <c r="HO97">
        <v>1.8724099999999999</v>
      </c>
      <c r="HP97">
        <v>1.8721000000000001</v>
      </c>
      <c r="HQ97">
        <v>1.87164</v>
      </c>
      <c r="HR97">
        <v>1.86486</v>
      </c>
      <c r="HS97">
        <v>1.86602</v>
      </c>
      <c r="HT97">
        <v>1.8680300000000001</v>
      </c>
      <c r="HU97">
        <v>1.8725799999999999</v>
      </c>
      <c r="HV97">
        <v>0</v>
      </c>
      <c r="HW97">
        <v>0</v>
      </c>
      <c r="HX97">
        <v>0</v>
      </c>
      <c r="HY97">
        <v>0</v>
      </c>
      <c r="HZ97" t="s">
        <v>424</v>
      </c>
      <c r="IA97" t="s">
        <v>425</v>
      </c>
      <c r="IB97" t="s">
        <v>426</v>
      </c>
      <c r="IC97" t="s">
        <v>426</v>
      </c>
      <c r="ID97" t="s">
        <v>426</v>
      </c>
      <c r="IE97" t="s">
        <v>426</v>
      </c>
      <c r="IF97">
        <v>0</v>
      </c>
      <c r="IG97">
        <v>100</v>
      </c>
      <c r="IH97">
        <v>100</v>
      </c>
      <c r="II97">
        <v>-1.014</v>
      </c>
      <c r="IJ97">
        <v>-1.2999999999999999E-3</v>
      </c>
      <c r="IK97">
        <v>-0.98597799145908815</v>
      </c>
      <c r="IL97">
        <v>-1.171017271736434E-3</v>
      </c>
      <c r="IM97">
        <v>2.801297040296544E-7</v>
      </c>
      <c r="IN97">
        <v>-3.6238253961199429E-11</v>
      </c>
      <c r="IO97">
        <v>-1.290000000004454E-3</v>
      </c>
      <c r="IP97">
        <v>0</v>
      </c>
      <c r="IQ97">
        <v>0</v>
      </c>
      <c r="IR97">
        <v>0</v>
      </c>
      <c r="IS97">
        <v>0</v>
      </c>
      <c r="IT97">
        <v>2161</v>
      </c>
      <c r="IU97">
        <v>1</v>
      </c>
      <c r="IV97">
        <v>19</v>
      </c>
      <c r="IW97">
        <v>0.7</v>
      </c>
      <c r="IX97">
        <v>0.7</v>
      </c>
      <c r="IY97">
        <v>0.20507800000000001</v>
      </c>
      <c r="IZ97">
        <v>2.5891099999999998</v>
      </c>
      <c r="JA97">
        <v>1.4440900000000001</v>
      </c>
      <c r="JB97">
        <v>2.2827099999999998</v>
      </c>
      <c r="JC97">
        <v>1.54419</v>
      </c>
      <c r="JD97">
        <v>2.4438499999999999</v>
      </c>
      <c r="JE97">
        <v>51.1327</v>
      </c>
      <c r="JF97">
        <v>23.9999</v>
      </c>
      <c r="JG97">
        <v>18</v>
      </c>
      <c r="JH97">
        <v>512.19500000000005</v>
      </c>
      <c r="JI97">
        <v>400.53100000000001</v>
      </c>
      <c r="JJ97">
        <v>26.193100000000001</v>
      </c>
      <c r="JK97">
        <v>33.686799999999998</v>
      </c>
      <c r="JL97">
        <v>29.999600000000001</v>
      </c>
      <c r="JM97">
        <v>33.534500000000001</v>
      </c>
      <c r="JN97">
        <v>33.487099999999998</v>
      </c>
      <c r="JO97">
        <v>4.2331300000000001</v>
      </c>
      <c r="JP97">
        <v>41.8399</v>
      </c>
      <c r="JQ97">
        <v>0</v>
      </c>
      <c r="JR97">
        <v>26.648800000000001</v>
      </c>
      <c r="JS97">
        <v>30</v>
      </c>
      <c r="JT97">
        <v>20.169599999999999</v>
      </c>
      <c r="JU97">
        <v>99.2958</v>
      </c>
      <c r="JV97">
        <v>98.880700000000004</v>
      </c>
    </row>
    <row r="98" spans="1:282" x14ac:dyDescent="0.25">
      <c r="A98">
        <v>82</v>
      </c>
      <c r="B98">
        <v>1689014636.5999999</v>
      </c>
      <c r="C98">
        <v>15459.599999904631</v>
      </c>
      <c r="D98" t="s">
        <v>836</v>
      </c>
      <c r="E98" t="s">
        <v>837</v>
      </c>
      <c r="F98" t="s">
        <v>414</v>
      </c>
      <c r="G98" t="s">
        <v>415</v>
      </c>
      <c r="H98" t="s">
        <v>31</v>
      </c>
      <c r="I98" t="s">
        <v>416</v>
      </c>
      <c r="J98" t="s">
        <v>501</v>
      </c>
      <c r="K98">
        <v>1689014636.5999999</v>
      </c>
      <c r="L98">
        <f t="shared" si="92"/>
        <v>7.5485808378917933E-3</v>
      </c>
      <c r="M98">
        <f t="shared" si="93"/>
        <v>7.5485808378917936</v>
      </c>
      <c r="N98">
        <f t="shared" si="94"/>
        <v>2.0552524441216056</v>
      </c>
      <c r="O98">
        <f t="shared" si="95"/>
        <v>7.3293400000000002</v>
      </c>
      <c r="P98">
        <f t="shared" si="96"/>
        <v>0.91191769696527281</v>
      </c>
      <c r="Q98">
        <f t="shared" si="97"/>
        <v>9.0473866957988078E-2</v>
      </c>
      <c r="R98">
        <f t="shared" si="98"/>
        <v>0.72716401299876599</v>
      </c>
      <c r="S98">
        <f t="shared" si="99"/>
        <v>0.56807610721400315</v>
      </c>
      <c r="T98">
        <f t="shared" si="100"/>
        <v>2.9141508162238394</v>
      </c>
      <c r="U98">
        <f t="shared" si="101"/>
        <v>0.51296568248648911</v>
      </c>
      <c r="V98">
        <f t="shared" si="102"/>
        <v>0.32510831383197436</v>
      </c>
      <c r="W98">
        <f t="shared" si="103"/>
        <v>289.52976195825278</v>
      </c>
      <c r="X98">
        <f t="shared" si="104"/>
        <v>30.160335622007793</v>
      </c>
      <c r="Y98">
        <f t="shared" si="105"/>
        <v>29.989799999999999</v>
      </c>
      <c r="Z98">
        <f t="shared" si="106"/>
        <v>4.2579542988007386</v>
      </c>
      <c r="AA98">
        <f t="shared" si="107"/>
        <v>65.321136403635407</v>
      </c>
      <c r="AB98">
        <f t="shared" si="108"/>
        <v>2.8502832355220997</v>
      </c>
      <c r="AC98">
        <f t="shared" si="109"/>
        <v>4.363493032193281</v>
      </c>
      <c r="AD98">
        <f t="shared" si="110"/>
        <v>1.4076710632786389</v>
      </c>
      <c r="AE98">
        <f t="shared" si="111"/>
        <v>-332.89241495102806</v>
      </c>
      <c r="AF98">
        <f t="shared" si="112"/>
        <v>67.069276619538428</v>
      </c>
      <c r="AG98">
        <f t="shared" si="113"/>
        <v>5.1277232491011953</v>
      </c>
      <c r="AH98">
        <f t="shared" si="114"/>
        <v>28.83434687586437</v>
      </c>
      <c r="AI98">
        <v>0</v>
      </c>
      <c r="AJ98">
        <v>0</v>
      </c>
      <c r="AK98">
        <f t="shared" si="115"/>
        <v>1</v>
      </c>
      <c r="AL98">
        <f t="shared" si="116"/>
        <v>0</v>
      </c>
      <c r="AM98">
        <f t="shared" si="117"/>
        <v>51823.907356917924</v>
      </c>
      <c r="AN98" t="s">
        <v>418</v>
      </c>
      <c r="AO98">
        <v>10076.700000000001</v>
      </c>
      <c r="AP98">
        <v>185.01599999999999</v>
      </c>
      <c r="AQ98">
        <v>473.06</v>
      </c>
      <c r="AR98">
        <f t="shared" si="118"/>
        <v>0.60889527755464423</v>
      </c>
      <c r="AS98">
        <v>-1.4827006201179751</v>
      </c>
      <c r="AT98" t="s">
        <v>838</v>
      </c>
      <c r="AU98">
        <v>8123.03</v>
      </c>
      <c r="AV98">
        <v>682.16</v>
      </c>
      <c r="AW98">
        <v>740.14429980899092</v>
      </c>
      <c r="AX98">
        <f t="shared" si="119"/>
        <v>7.8341885256638433E-2</v>
      </c>
      <c r="AY98">
        <v>0.5</v>
      </c>
      <c r="AZ98">
        <f t="shared" si="120"/>
        <v>1512.9914994602345</v>
      </c>
      <c r="BA98">
        <f t="shared" si="121"/>
        <v>2.0552524441216056</v>
      </c>
      <c r="BB98">
        <f t="shared" si="122"/>
        <v>59.265303222491511</v>
      </c>
      <c r="BC98">
        <f t="shared" si="123"/>
        <v>2.3383826449135761E-3</v>
      </c>
      <c r="BD98">
        <f t="shared" si="124"/>
        <v>-0.36085436296397522</v>
      </c>
      <c r="BE98">
        <f t="shared" si="125"/>
        <v>215.41839573885972</v>
      </c>
      <c r="BF98" t="s">
        <v>839</v>
      </c>
      <c r="BG98">
        <v>582.39</v>
      </c>
      <c r="BH98">
        <f t="shared" si="126"/>
        <v>582.39</v>
      </c>
      <c r="BI98">
        <f t="shared" si="127"/>
        <v>0.21313992399820225</v>
      </c>
      <c r="BJ98">
        <f t="shared" si="128"/>
        <v>0.36756082008032998</v>
      </c>
      <c r="BK98">
        <f t="shared" si="129"/>
        <v>2.4429186847982343</v>
      </c>
      <c r="BL98">
        <f t="shared" si="130"/>
        <v>0.10445206960074319</v>
      </c>
      <c r="BM98">
        <f t="shared" si="131"/>
        <v>-0.92723438019535531</v>
      </c>
      <c r="BN98">
        <f t="shared" si="132"/>
        <v>0.31380284098537492</v>
      </c>
      <c r="BO98">
        <f t="shared" si="133"/>
        <v>0.68619715901462508</v>
      </c>
      <c r="BP98">
        <v>9217</v>
      </c>
      <c r="BQ98">
        <v>290.00000000000011</v>
      </c>
      <c r="BR98">
        <v>718.79</v>
      </c>
      <c r="BS98">
        <v>145</v>
      </c>
      <c r="BT98">
        <v>8123.03</v>
      </c>
      <c r="BU98">
        <v>717.31</v>
      </c>
      <c r="BV98">
        <v>1.48</v>
      </c>
      <c r="BW98">
        <v>300.00000000000011</v>
      </c>
      <c r="BX98">
        <v>19.2</v>
      </c>
      <c r="BY98">
        <v>740.14429980899092</v>
      </c>
      <c r="BZ98">
        <v>2.2240315520472151</v>
      </c>
      <c r="CA98">
        <v>-18.544488794372871</v>
      </c>
      <c r="CB98">
        <v>1.6584525820267619</v>
      </c>
      <c r="CC98">
        <v>0.81703257043473931</v>
      </c>
      <c r="CD98">
        <v>-4.1796400444938844E-3</v>
      </c>
      <c r="CE98">
        <v>289.99999999999989</v>
      </c>
      <c r="CF98">
        <v>716.05</v>
      </c>
      <c r="CG98">
        <v>645</v>
      </c>
      <c r="CH98">
        <v>8108.57</v>
      </c>
      <c r="CI98">
        <v>717.27</v>
      </c>
      <c r="CJ98">
        <v>-1.22</v>
      </c>
      <c r="CX98">
        <f t="shared" si="134"/>
        <v>1799.77</v>
      </c>
      <c r="CY98">
        <f t="shared" si="135"/>
        <v>1512.9914994602345</v>
      </c>
      <c r="CZ98">
        <f t="shared" si="136"/>
        <v>0.84065825047658005</v>
      </c>
      <c r="DA98">
        <f t="shared" si="137"/>
        <v>0.16087042341979962</v>
      </c>
      <c r="DB98">
        <v>6</v>
      </c>
      <c r="DC98">
        <v>0.5</v>
      </c>
      <c r="DD98" t="s">
        <v>421</v>
      </c>
      <c r="DE98">
        <v>2</v>
      </c>
      <c r="DF98">
        <v>1689014636.5999999</v>
      </c>
      <c r="DG98">
        <v>7.3293400000000002</v>
      </c>
      <c r="DH98">
        <v>9.8617000000000008</v>
      </c>
      <c r="DI98">
        <v>28.728999999999999</v>
      </c>
      <c r="DJ98">
        <v>19.932099999999998</v>
      </c>
      <c r="DK98">
        <v>8.3210200000000007</v>
      </c>
      <c r="DL98">
        <v>28.7363</v>
      </c>
      <c r="DM98">
        <v>500.06599999999997</v>
      </c>
      <c r="DN98">
        <v>99.112899999999996</v>
      </c>
      <c r="DO98">
        <v>9.9854899999999996E-2</v>
      </c>
      <c r="DP98">
        <v>30.416699999999999</v>
      </c>
      <c r="DQ98">
        <v>29.989799999999999</v>
      </c>
      <c r="DR98">
        <v>999.9</v>
      </c>
      <c r="DS98">
        <v>0</v>
      </c>
      <c r="DT98">
        <v>0</v>
      </c>
      <c r="DU98">
        <v>10001.200000000001</v>
      </c>
      <c r="DV98">
        <v>0</v>
      </c>
      <c r="DW98">
        <v>1908.45</v>
      </c>
      <c r="DX98">
        <v>-2.5323699999999998</v>
      </c>
      <c r="DY98">
        <v>7.5461299999999998</v>
      </c>
      <c r="DZ98">
        <v>10.0623</v>
      </c>
      <c r="EA98">
        <v>8.7968799999999998</v>
      </c>
      <c r="EB98">
        <v>9.8617000000000008</v>
      </c>
      <c r="EC98">
        <v>19.932099999999998</v>
      </c>
      <c r="ED98">
        <v>2.8474200000000001</v>
      </c>
      <c r="EE98">
        <v>1.97553</v>
      </c>
      <c r="EF98">
        <v>23.1616</v>
      </c>
      <c r="EG98">
        <v>17.249600000000001</v>
      </c>
      <c r="EH98">
        <v>1799.77</v>
      </c>
      <c r="EI98">
        <v>0.97799499999999995</v>
      </c>
      <c r="EJ98">
        <v>2.2004599999999999E-2</v>
      </c>
      <c r="EK98">
        <v>0</v>
      </c>
      <c r="EL98">
        <v>682.18200000000002</v>
      </c>
      <c r="EM98">
        <v>5.00082</v>
      </c>
      <c r="EN98">
        <v>15155.6</v>
      </c>
      <c r="EO98">
        <v>14127.9</v>
      </c>
      <c r="EP98">
        <v>46.436999999999998</v>
      </c>
      <c r="EQ98">
        <v>48.686999999999998</v>
      </c>
      <c r="ER98">
        <v>47.5</v>
      </c>
      <c r="ES98">
        <v>48.061999999999998</v>
      </c>
      <c r="ET98">
        <v>48.061999999999998</v>
      </c>
      <c r="EU98">
        <v>1755.28</v>
      </c>
      <c r="EV98">
        <v>39.49</v>
      </c>
      <c r="EW98">
        <v>0</v>
      </c>
      <c r="EX98">
        <v>123.7999999523163</v>
      </c>
      <c r="EY98">
        <v>0</v>
      </c>
      <c r="EZ98">
        <v>682.16</v>
      </c>
      <c r="FA98">
        <v>-1.0191452995539001</v>
      </c>
      <c r="FB98">
        <v>82.027350813716978</v>
      </c>
      <c r="FC98">
        <v>15125.60384615385</v>
      </c>
      <c r="FD98">
        <v>15</v>
      </c>
      <c r="FE98">
        <v>1689014595.0999999</v>
      </c>
      <c r="FF98" t="s">
        <v>840</v>
      </c>
      <c r="FG98">
        <v>1689014590.5999999</v>
      </c>
      <c r="FH98">
        <v>1689014595.0999999</v>
      </c>
      <c r="FI98">
        <v>91</v>
      </c>
      <c r="FJ98">
        <v>4.0000000000000001E-3</v>
      </c>
      <c r="FK98">
        <v>-6.0000000000000001E-3</v>
      </c>
      <c r="FL98">
        <v>-0.995</v>
      </c>
      <c r="FM98">
        <v>-7.0000000000000001E-3</v>
      </c>
      <c r="FN98">
        <v>10</v>
      </c>
      <c r="FO98">
        <v>20</v>
      </c>
      <c r="FP98">
        <v>0.44</v>
      </c>
      <c r="FQ98">
        <v>0.01</v>
      </c>
      <c r="FR98">
        <v>1.9485208206261699</v>
      </c>
      <c r="FS98">
        <v>0.24649772392970001</v>
      </c>
      <c r="FT98">
        <v>9.4500370069146147E-2</v>
      </c>
      <c r="FU98">
        <v>1</v>
      </c>
      <c r="FV98">
        <v>0.56986573302093635</v>
      </c>
      <c r="FW98">
        <v>-5.5377865028835016E-3</v>
      </c>
      <c r="FX98">
        <v>7.3327206350018599E-4</v>
      </c>
      <c r="FY98">
        <v>1</v>
      </c>
      <c r="FZ98">
        <v>2</v>
      </c>
      <c r="GA98">
        <v>2</v>
      </c>
      <c r="GB98" t="s">
        <v>423</v>
      </c>
      <c r="GC98">
        <v>2.9441700000000002</v>
      </c>
      <c r="GD98">
        <v>2.7085300000000001</v>
      </c>
      <c r="GE98">
        <v>2.1917099999999999E-3</v>
      </c>
      <c r="GF98">
        <v>2.6084400000000001E-3</v>
      </c>
      <c r="GG98">
        <v>0.12801699999999999</v>
      </c>
      <c r="GH98">
        <v>9.9082100000000006E-2</v>
      </c>
      <c r="GI98">
        <v>32752.9</v>
      </c>
      <c r="GJ98">
        <v>31943.5</v>
      </c>
      <c r="GK98">
        <v>33829.599999999999</v>
      </c>
      <c r="GL98">
        <v>32076</v>
      </c>
      <c r="GM98">
        <v>42588.800000000003</v>
      </c>
      <c r="GN98">
        <v>41119.599999999999</v>
      </c>
      <c r="GO98">
        <v>48996.800000000003</v>
      </c>
      <c r="GP98">
        <v>45408.3</v>
      </c>
      <c r="GQ98">
        <v>1.97235</v>
      </c>
      <c r="GR98">
        <v>1.73743</v>
      </c>
      <c r="GS98">
        <v>-2.1271399999999999E-2</v>
      </c>
      <c r="GT98">
        <v>0</v>
      </c>
      <c r="GU98">
        <v>30.335799999999999</v>
      </c>
      <c r="GV98">
        <v>999.9</v>
      </c>
      <c r="GW98">
        <v>29.5</v>
      </c>
      <c r="GX98">
        <v>47.2</v>
      </c>
      <c r="GY98">
        <v>32.105800000000002</v>
      </c>
      <c r="GZ98">
        <v>60.132399999999997</v>
      </c>
      <c r="HA98">
        <v>26.526399999999999</v>
      </c>
      <c r="HB98">
        <v>1</v>
      </c>
      <c r="HC98">
        <v>0.51323700000000005</v>
      </c>
      <c r="HD98">
        <v>2.3736199999999998</v>
      </c>
      <c r="HE98">
        <v>20.204000000000001</v>
      </c>
      <c r="HF98">
        <v>5.2659599999999998</v>
      </c>
      <c r="HG98">
        <v>12.039899999999999</v>
      </c>
      <c r="HH98">
        <v>4.9657499999999999</v>
      </c>
      <c r="HI98">
        <v>3.3010000000000002</v>
      </c>
      <c r="HJ98">
        <v>9999</v>
      </c>
      <c r="HK98">
        <v>9999</v>
      </c>
      <c r="HL98">
        <v>9999</v>
      </c>
      <c r="HM98">
        <v>999.9</v>
      </c>
      <c r="HN98">
        <v>1.8687199999999999</v>
      </c>
      <c r="HO98">
        <v>1.8724000000000001</v>
      </c>
      <c r="HP98">
        <v>1.8721000000000001</v>
      </c>
      <c r="HQ98">
        <v>1.87164</v>
      </c>
      <c r="HR98">
        <v>1.8648499999999999</v>
      </c>
      <c r="HS98">
        <v>1.86602</v>
      </c>
      <c r="HT98">
        <v>1.8680000000000001</v>
      </c>
      <c r="HU98">
        <v>1.87262</v>
      </c>
      <c r="HV98">
        <v>0</v>
      </c>
      <c r="HW98">
        <v>0</v>
      </c>
      <c r="HX98">
        <v>0</v>
      </c>
      <c r="HY98">
        <v>0</v>
      </c>
      <c r="HZ98" t="s">
        <v>424</v>
      </c>
      <c r="IA98" t="s">
        <v>425</v>
      </c>
      <c r="IB98" t="s">
        <v>426</v>
      </c>
      <c r="IC98" t="s">
        <v>426</v>
      </c>
      <c r="ID98" t="s">
        <v>426</v>
      </c>
      <c r="IE98" t="s">
        <v>426</v>
      </c>
      <c r="IF98">
        <v>0</v>
      </c>
      <c r="IG98">
        <v>100</v>
      </c>
      <c r="IH98">
        <v>100</v>
      </c>
      <c r="II98">
        <v>-0.99199999999999999</v>
      </c>
      <c r="IJ98">
        <v>-7.3000000000000001E-3</v>
      </c>
      <c r="IK98">
        <v>-0.98195673592776256</v>
      </c>
      <c r="IL98">
        <v>-1.171017271736434E-3</v>
      </c>
      <c r="IM98">
        <v>2.801297040296544E-7</v>
      </c>
      <c r="IN98">
        <v>-3.6238253961199429E-11</v>
      </c>
      <c r="IO98">
        <v>-7.2600000000022646E-3</v>
      </c>
      <c r="IP98">
        <v>0</v>
      </c>
      <c r="IQ98">
        <v>0</v>
      </c>
      <c r="IR98">
        <v>0</v>
      </c>
      <c r="IS98">
        <v>0</v>
      </c>
      <c r="IT98">
        <v>2161</v>
      </c>
      <c r="IU98">
        <v>1</v>
      </c>
      <c r="IV98">
        <v>19</v>
      </c>
      <c r="IW98">
        <v>0.8</v>
      </c>
      <c r="IX98">
        <v>0.7</v>
      </c>
      <c r="IY98">
        <v>0.161133</v>
      </c>
      <c r="IZ98">
        <v>2.6110799999999998</v>
      </c>
      <c r="JA98">
        <v>1.4440900000000001</v>
      </c>
      <c r="JB98">
        <v>2.2827099999999998</v>
      </c>
      <c r="JC98">
        <v>1.54419</v>
      </c>
      <c r="JD98">
        <v>2.4267599999999998</v>
      </c>
      <c r="JE98">
        <v>51.2652</v>
      </c>
      <c r="JF98">
        <v>23.982399999999998</v>
      </c>
      <c r="JG98">
        <v>18</v>
      </c>
      <c r="JH98">
        <v>512.25</v>
      </c>
      <c r="JI98">
        <v>399.94900000000001</v>
      </c>
      <c r="JJ98">
        <v>26.610099999999999</v>
      </c>
      <c r="JK98">
        <v>33.668700000000001</v>
      </c>
      <c r="JL98">
        <v>29.9998</v>
      </c>
      <c r="JM98">
        <v>33.5122</v>
      </c>
      <c r="JN98">
        <v>33.4621</v>
      </c>
      <c r="JO98">
        <v>3.3452700000000002</v>
      </c>
      <c r="JP98">
        <v>42.993200000000002</v>
      </c>
      <c r="JQ98">
        <v>0</v>
      </c>
      <c r="JR98">
        <v>26.655799999999999</v>
      </c>
      <c r="JS98">
        <v>10</v>
      </c>
      <c r="JT98">
        <v>19.8977</v>
      </c>
      <c r="JU98">
        <v>99.301299999999998</v>
      </c>
      <c r="JV98">
        <v>98.888099999999994</v>
      </c>
    </row>
    <row r="99" spans="1:282" x14ac:dyDescent="0.25">
      <c r="A99">
        <v>83</v>
      </c>
      <c r="B99">
        <v>1689014826.0999999</v>
      </c>
      <c r="C99">
        <v>15649.099999904631</v>
      </c>
      <c r="D99" t="s">
        <v>841</v>
      </c>
      <c r="E99" t="s">
        <v>842</v>
      </c>
      <c r="F99" t="s">
        <v>414</v>
      </c>
      <c r="G99" t="s">
        <v>415</v>
      </c>
      <c r="H99" t="s">
        <v>31</v>
      </c>
      <c r="I99" t="s">
        <v>416</v>
      </c>
      <c r="J99" t="s">
        <v>501</v>
      </c>
      <c r="K99">
        <v>1689014826.0999999</v>
      </c>
      <c r="L99">
        <f t="shared" si="92"/>
        <v>6.9797598499775852E-3</v>
      </c>
      <c r="M99">
        <f t="shared" si="93"/>
        <v>6.9797598499775848</v>
      </c>
      <c r="N99">
        <f t="shared" si="94"/>
        <v>50.658013416909093</v>
      </c>
      <c r="O99">
        <f t="shared" si="95"/>
        <v>336.49900000000002</v>
      </c>
      <c r="P99">
        <f t="shared" si="96"/>
        <v>162.12786383732418</v>
      </c>
      <c r="Q99">
        <f t="shared" si="97"/>
        <v>16.085689325306561</v>
      </c>
      <c r="R99">
        <f t="shared" si="98"/>
        <v>33.386108002431008</v>
      </c>
      <c r="S99">
        <f t="shared" si="99"/>
        <v>0.52144099327985649</v>
      </c>
      <c r="T99">
        <f t="shared" si="100"/>
        <v>2.9155344668733143</v>
      </c>
      <c r="U99">
        <f t="shared" si="101"/>
        <v>0.47462881887085367</v>
      </c>
      <c r="V99">
        <f t="shared" si="102"/>
        <v>0.30049790608803129</v>
      </c>
      <c r="W99">
        <f t="shared" si="103"/>
        <v>289.58823495873065</v>
      </c>
      <c r="X99">
        <f t="shared" si="104"/>
        <v>30.243528926651461</v>
      </c>
      <c r="Y99">
        <f t="shared" si="105"/>
        <v>29.905799999999999</v>
      </c>
      <c r="Z99">
        <f t="shared" si="106"/>
        <v>4.237451734862522</v>
      </c>
      <c r="AA99">
        <f t="shared" si="107"/>
        <v>65.108731154994572</v>
      </c>
      <c r="AB99">
        <f t="shared" si="108"/>
        <v>2.8303764867906001</v>
      </c>
      <c r="AC99">
        <f t="shared" si="109"/>
        <v>4.3471535024277284</v>
      </c>
      <c r="AD99">
        <f t="shared" si="110"/>
        <v>1.407075248071922</v>
      </c>
      <c r="AE99">
        <f t="shared" si="111"/>
        <v>-307.80740938401152</v>
      </c>
      <c r="AF99">
        <f t="shared" si="112"/>
        <v>70.008993826914121</v>
      </c>
      <c r="AG99">
        <f t="shared" si="113"/>
        <v>5.3459809842968262</v>
      </c>
      <c r="AH99">
        <f t="shared" si="114"/>
        <v>57.135800385930082</v>
      </c>
      <c r="AI99">
        <v>0</v>
      </c>
      <c r="AJ99">
        <v>0</v>
      </c>
      <c r="AK99">
        <f t="shared" si="115"/>
        <v>1</v>
      </c>
      <c r="AL99">
        <f t="shared" si="116"/>
        <v>0</v>
      </c>
      <c r="AM99">
        <f t="shared" si="117"/>
        <v>51874.494341367492</v>
      </c>
      <c r="AN99" t="s">
        <v>418</v>
      </c>
      <c r="AO99">
        <v>10076.700000000001</v>
      </c>
      <c r="AP99">
        <v>185.01599999999999</v>
      </c>
      <c r="AQ99">
        <v>473.06</v>
      </c>
      <c r="AR99">
        <f t="shared" si="118"/>
        <v>0.60889527755464423</v>
      </c>
      <c r="AS99">
        <v>-1.4827006201179751</v>
      </c>
      <c r="AT99" t="s">
        <v>843</v>
      </c>
      <c r="AU99">
        <v>8113.48</v>
      </c>
      <c r="AV99">
        <v>692.46232000000009</v>
      </c>
      <c r="AW99">
        <v>1097.2083080672619</v>
      </c>
      <c r="AX99">
        <f t="shared" si="119"/>
        <v>0.36888709745574566</v>
      </c>
      <c r="AY99">
        <v>0.5</v>
      </c>
      <c r="AZ99">
        <f t="shared" si="120"/>
        <v>1513.3019994604822</v>
      </c>
      <c r="BA99">
        <f t="shared" si="121"/>
        <v>50.658013416909093</v>
      </c>
      <c r="BB99">
        <f t="shared" si="122"/>
        <v>279.11879107747683</v>
      </c>
      <c r="BC99">
        <f t="shared" si="123"/>
        <v>3.4454929720317634E-2</v>
      </c>
      <c r="BD99">
        <f t="shared" si="124"/>
        <v>-0.56885124135334197</v>
      </c>
      <c r="BE99">
        <f t="shared" si="125"/>
        <v>237.95670441350322</v>
      </c>
      <c r="BF99" t="s">
        <v>844</v>
      </c>
      <c r="BG99">
        <v>548.13</v>
      </c>
      <c r="BH99">
        <f t="shared" si="126"/>
        <v>548.13</v>
      </c>
      <c r="BI99">
        <f t="shared" si="127"/>
        <v>0.50043214586523344</v>
      </c>
      <c r="BJ99">
        <f t="shared" si="128"/>
        <v>0.73713709341743028</v>
      </c>
      <c r="BK99">
        <f t="shared" si="129"/>
        <v>8.3142175045592381</v>
      </c>
      <c r="BL99">
        <f t="shared" si="130"/>
        <v>0.44370686365995671</v>
      </c>
      <c r="BM99">
        <f t="shared" si="131"/>
        <v>-2.1668505786173711</v>
      </c>
      <c r="BN99">
        <f t="shared" si="132"/>
        <v>0.58349305564365728</v>
      </c>
      <c r="BO99">
        <f t="shared" si="133"/>
        <v>0.41650694435634272</v>
      </c>
      <c r="BP99">
        <v>9219</v>
      </c>
      <c r="BQ99">
        <v>290.00000000000011</v>
      </c>
      <c r="BR99">
        <v>946.17</v>
      </c>
      <c r="BS99">
        <v>285</v>
      </c>
      <c r="BT99">
        <v>8113.48</v>
      </c>
      <c r="BU99">
        <v>949.48</v>
      </c>
      <c r="BV99">
        <v>-3.31</v>
      </c>
      <c r="BW99">
        <v>300.00000000000011</v>
      </c>
      <c r="BX99">
        <v>19.2</v>
      </c>
      <c r="BY99">
        <v>1097.2083080672619</v>
      </c>
      <c r="BZ99">
        <v>4.6631123118799609</v>
      </c>
      <c r="CA99">
        <v>-119.85730749178229</v>
      </c>
      <c r="CB99">
        <v>3.476543990925042</v>
      </c>
      <c r="CC99">
        <v>0.97698492898561384</v>
      </c>
      <c r="CD99">
        <v>-4.1796040044493974E-3</v>
      </c>
      <c r="CE99">
        <v>289.99999999999989</v>
      </c>
      <c r="CF99">
        <v>936.93</v>
      </c>
      <c r="CG99">
        <v>615</v>
      </c>
      <c r="CH99">
        <v>8107.7</v>
      </c>
      <c r="CI99">
        <v>949.38</v>
      </c>
      <c r="CJ99">
        <v>-12.45</v>
      </c>
      <c r="CX99">
        <f t="shared" si="134"/>
        <v>1800.14</v>
      </c>
      <c r="CY99">
        <f t="shared" si="135"/>
        <v>1513.3019994604822</v>
      </c>
      <c r="CZ99">
        <f t="shared" si="136"/>
        <v>0.84065794852649356</v>
      </c>
      <c r="DA99">
        <f t="shared" si="137"/>
        <v>0.16086984065613266</v>
      </c>
      <c r="DB99">
        <v>6</v>
      </c>
      <c r="DC99">
        <v>0.5</v>
      </c>
      <c r="DD99" t="s">
        <v>421</v>
      </c>
      <c r="DE99">
        <v>2</v>
      </c>
      <c r="DF99">
        <v>1689014826.0999999</v>
      </c>
      <c r="DG99">
        <v>336.49900000000002</v>
      </c>
      <c r="DH99">
        <v>400.08300000000003</v>
      </c>
      <c r="DI99">
        <v>28.5274</v>
      </c>
      <c r="DJ99">
        <v>20.393699999999999</v>
      </c>
      <c r="DK99">
        <v>337.73899999999998</v>
      </c>
      <c r="DL99">
        <v>28.532800000000002</v>
      </c>
      <c r="DM99">
        <v>500.18900000000002</v>
      </c>
      <c r="DN99">
        <v>99.116</v>
      </c>
      <c r="DO99">
        <v>0.10006900000000001</v>
      </c>
      <c r="DP99">
        <v>30.351199999999999</v>
      </c>
      <c r="DQ99">
        <v>29.905799999999999</v>
      </c>
      <c r="DR99">
        <v>999.9</v>
      </c>
      <c r="DS99">
        <v>0</v>
      </c>
      <c r="DT99">
        <v>0</v>
      </c>
      <c r="DU99">
        <v>10008.799999999999</v>
      </c>
      <c r="DV99">
        <v>0</v>
      </c>
      <c r="DW99">
        <v>1866.98</v>
      </c>
      <c r="DX99">
        <v>-63.584000000000003</v>
      </c>
      <c r="DY99">
        <v>346.38</v>
      </c>
      <c r="DZ99">
        <v>408.41199999999998</v>
      </c>
      <c r="EA99">
        <v>8.1337200000000003</v>
      </c>
      <c r="EB99">
        <v>400.08300000000003</v>
      </c>
      <c r="EC99">
        <v>20.393699999999999</v>
      </c>
      <c r="ED99">
        <v>2.8275199999999998</v>
      </c>
      <c r="EE99">
        <v>2.0213399999999999</v>
      </c>
      <c r="EF99">
        <v>23.0456</v>
      </c>
      <c r="EG99">
        <v>17.612500000000001</v>
      </c>
      <c r="EH99">
        <v>1800.14</v>
      </c>
      <c r="EI99">
        <v>0.97800600000000004</v>
      </c>
      <c r="EJ99">
        <v>2.1993800000000001E-2</v>
      </c>
      <c r="EK99">
        <v>0</v>
      </c>
      <c r="EL99">
        <v>693.45399999999995</v>
      </c>
      <c r="EM99">
        <v>5.00082</v>
      </c>
      <c r="EN99">
        <v>15455.7</v>
      </c>
      <c r="EO99">
        <v>14130.9</v>
      </c>
      <c r="EP99">
        <v>47.186999999999998</v>
      </c>
      <c r="EQ99">
        <v>49.375</v>
      </c>
      <c r="ER99">
        <v>48.311999999999998</v>
      </c>
      <c r="ES99">
        <v>48.625</v>
      </c>
      <c r="ET99">
        <v>48.75</v>
      </c>
      <c r="EU99">
        <v>1755.66</v>
      </c>
      <c r="EV99">
        <v>39.479999999999997</v>
      </c>
      <c r="EW99">
        <v>0</v>
      </c>
      <c r="EX99">
        <v>187.79999995231631</v>
      </c>
      <c r="EY99">
        <v>0</v>
      </c>
      <c r="EZ99">
        <v>692.46232000000009</v>
      </c>
      <c r="FA99">
        <v>7.247461549366438</v>
      </c>
      <c r="FB99">
        <v>115.31538441826039</v>
      </c>
      <c r="FC99">
        <v>15446.444</v>
      </c>
      <c r="FD99">
        <v>15</v>
      </c>
      <c r="FE99">
        <v>1689014716.0999999</v>
      </c>
      <c r="FF99" t="s">
        <v>845</v>
      </c>
      <c r="FG99">
        <v>1689014707.0999999</v>
      </c>
      <c r="FH99">
        <v>1689014716.0999999</v>
      </c>
      <c r="FI99">
        <v>92</v>
      </c>
      <c r="FJ99">
        <v>0.107</v>
      </c>
      <c r="FK99">
        <v>2E-3</v>
      </c>
      <c r="FL99">
        <v>-1.3029999999999999</v>
      </c>
      <c r="FM99">
        <v>-5.0000000000000001E-3</v>
      </c>
      <c r="FN99">
        <v>400</v>
      </c>
      <c r="FO99">
        <v>20</v>
      </c>
      <c r="FP99">
        <v>0.06</v>
      </c>
      <c r="FQ99">
        <v>0.01</v>
      </c>
      <c r="FR99">
        <v>50.254712911498203</v>
      </c>
      <c r="FS99">
        <v>2.688347199700472</v>
      </c>
      <c r="FT99">
        <v>0.20214801867130491</v>
      </c>
      <c r="FU99">
        <v>0</v>
      </c>
      <c r="FV99">
        <v>0.51778453409368363</v>
      </c>
      <c r="FW99">
        <v>-1.406690640430217E-2</v>
      </c>
      <c r="FX99">
        <v>1.2435850866975579E-3</v>
      </c>
      <c r="FY99">
        <v>1</v>
      </c>
      <c r="FZ99">
        <v>1</v>
      </c>
      <c r="GA99">
        <v>2</v>
      </c>
      <c r="GB99" t="s">
        <v>462</v>
      </c>
      <c r="GC99">
        <v>2.9445199999999998</v>
      </c>
      <c r="GD99">
        <v>2.7088100000000002</v>
      </c>
      <c r="GE99">
        <v>7.6623700000000003E-2</v>
      </c>
      <c r="GF99">
        <v>8.76252E-2</v>
      </c>
      <c r="GG99">
        <v>0.12742200000000001</v>
      </c>
      <c r="GH99">
        <v>0.10073</v>
      </c>
      <c r="GI99">
        <v>30320.1</v>
      </c>
      <c r="GJ99">
        <v>29231.1</v>
      </c>
      <c r="GK99">
        <v>33836.9</v>
      </c>
      <c r="GL99">
        <v>32083.3</v>
      </c>
      <c r="GM99">
        <v>42628.5</v>
      </c>
      <c r="GN99">
        <v>41055.599999999999</v>
      </c>
      <c r="GO99">
        <v>49007.4</v>
      </c>
      <c r="GP99">
        <v>45418.8</v>
      </c>
      <c r="GQ99">
        <v>1.9735499999999999</v>
      </c>
      <c r="GR99">
        <v>1.7388300000000001</v>
      </c>
      <c r="GS99">
        <v>-1.8939399999999999E-2</v>
      </c>
      <c r="GT99">
        <v>0</v>
      </c>
      <c r="GU99">
        <v>30.213999999999999</v>
      </c>
      <c r="GV99">
        <v>999.9</v>
      </c>
      <c r="GW99">
        <v>29.3</v>
      </c>
      <c r="GX99">
        <v>47.4</v>
      </c>
      <c r="GY99">
        <v>32.215699999999998</v>
      </c>
      <c r="GZ99">
        <v>60.152500000000003</v>
      </c>
      <c r="HA99">
        <v>26.093800000000002</v>
      </c>
      <c r="HB99">
        <v>1</v>
      </c>
      <c r="HC99">
        <v>0.50318600000000002</v>
      </c>
      <c r="HD99">
        <v>2.2526799999999998</v>
      </c>
      <c r="HE99">
        <v>20.2059</v>
      </c>
      <c r="HF99">
        <v>5.2690999999999999</v>
      </c>
      <c r="HG99">
        <v>12.039899999999999</v>
      </c>
      <c r="HH99">
        <v>4.9657499999999999</v>
      </c>
      <c r="HI99">
        <v>3.3010000000000002</v>
      </c>
      <c r="HJ99">
        <v>9999</v>
      </c>
      <c r="HK99">
        <v>9999</v>
      </c>
      <c r="HL99">
        <v>9999</v>
      </c>
      <c r="HM99">
        <v>999.9</v>
      </c>
      <c r="HN99">
        <v>1.86873</v>
      </c>
      <c r="HO99">
        <v>1.8724099999999999</v>
      </c>
      <c r="HP99">
        <v>1.8721000000000001</v>
      </c>
      <c r="HQ99">
        <v>1.87164</v>
      </c>
      <c r="HR99">
        <v>1.8649</v>
      </c>
      <c r="HS99">
        <v>1.8660399999999999</v>
      </c>
      <c r="HT99">
        <v>1.86799</v>
      </c>
      <c r="HU99">
        <v>1.87262</v>
      </c>
      <c r="HV99">
        <v>0</v>
      </c>
      <c r="HW99">
        <v>0</v>
      </c>
      <c r="HX99">
        <v>0</v>
      </c>
      <c r="HY99">
        <v>0</v>
      </c>
      <c r="HZ99" t="s">
        <v>424</v>
      </c>
      <c r="IA99" t="s">
        <v>425</v>
      </c>
      <c r="IB99" t="s">
        <v>426</v>
      </c>
      <c r="IC99" t="s">
        <v>426</v>
      </c>
      <c r="ID99" t="s">
        <v>426</v>
      </c>
      <c r="IE99" t="s">
        <v>426</v>
      </c>
      <c r="IF99">
        <v>0</v>
      </c>
      <c r="IG99">
        <v>100</v>
      </c>
      <c r="IH99">
        <v>100</v>
      </c>
      <c r="II99">
        <v>-1.24</v>
      </c>
      <c r="IJ99">
        <v>-5.4000000000000003E-3</v>
      </c>
      <c r="IK99">
        <v>-0.87520676979709733</v>
      </c>
      <c r="IL99">
        <v>-1.171017271736434E-3</v>
      </c>
      <c r="IM99">
        <v>2.801297040296544E-7</v>
      </c>
      <c r="IN99">
        <v>-3.6238253961199429E-11</v>
      </c>
      <c r="IO99">
        <v>-5.4199999999973159E-3</v>
      </c>
      <c r="IP99">
        <v>0</v>
      </c>
      <c r="IQ99">
        <v>0</v>
      </c>
      <c r="IR99">
        <v>0</v>
      </c>
      <c r="IS99">
        <v>0</v>
      </c>
      <c r="IT99">
        <v>2161</v>
      </c>
      <c r="IU99">
        <v>1</v>
      </c>
      <c r="IV99">
        <v>19</v>
      </c>
      <c r="IW99">
        <v>2</v>
      </c>
      <c r="IX99">
        <v>1.8</v>
      </c>
      <c r="IY99">
        <v>1.02783</v>
      </c>
      <c r="IZ99">
        <v>2.5439500000000002</v>
      </c>
      <c r="JA99">
        <v>1.4440900000000001</v>
      </c>
      <c r="JB99">
        <v>2.2827099999999998</v>
      </c>
      <c r="JC99">
        <v>1.54419</v>
      </c>
      <c r="JD99">
        <v>2.3315399999999999</v>
      </c>
      <c r="JE99">
        <v>51.398099999999999</v>
      </c>
      <c r="JF99">
        <v>23.982399999999998</v>
      </c>
      <c r="JG99">
        <v>18</v>
      </c>
      <c r="JH99">
        <v>512.35799999999995</v>
      </c>
      <c r="JI99">
        <v>400.23700000000002</v>
      </c>
      <c r="JJ99">
        <v>26.691800000000001</v>
      </c>
      <c r="JK99">
        <v>33.579500000000003</v>
      </c>
      <c r="JL99">
        <v>29.999600000000001</v>
      </c>
      <c r="JM99">
        <v>33.426200000000001</v>
      </c>
      <c r="JN99">
        <v>33.377400000000002</v>
      </c>
      <c r="JO99">
        <v>20.703900000000001</v>
      </c>
      <c r="JP99">
        <v>40.723999999999997</v>
      </c>
      <c r="JQ99">
        <v>0</v>
      </c>
      <c r="JR99">
        <v>26.713799999999999</v>
      </c>
      <c r="JS99">
        <v>400</v>
      </c>
      <c r="JT99">
        <v>20.409600000000001</v>
      </c>
      <c r="JU99">
        <v>99.322699999999998</v>
      </c>
      <c r="JV99">
        <v>98.910700000000006</v>
      </c>
    </row>
    <row r="100" spans="1:282" x14ac:dyDescent="0.25">
      <c r="A100">
        <v>84</v>
      </c>
      <c r="B100">
        <v>1689014936.5999999</v>
      </c>
      <c r="C100">
        <v>15759.599999904631</v>
      </c>
      <c r="D100" t="s">
        <v>846</v>
      </c>
      <c r="E100" t="s">
        <v>847</v>
      </c>
      <c r="F100" t="s">
        <v>414</v>
      </c>
      <c r="G100" t="s">
        <v>415</v>
      </c>
      <c r="H100" t="s">
        <v>31</v>
      </c>
      <c r="I100" t="s">
        <v>416</v>
      </c>
      <c r="J100" t="s">
        <v>501</v>
      </c>
      <c r="K100">
        <v>1689014936.5999999</v>
      </c>
      <c r="L100">
        <f t="shared" si="92"/>
        <v>6.6460572601272309E-3</v>
      </c>
      <c r="M100">
        <f t="shared" si="93"/>
        <v>6.6460572601272307</v>
      </c>
      <c r="N100">
        <f t="shared" si="94"/>
        <v>55.724403933994132</v>
      </c>
      <c r="O100">
        <f t="shared" si="95"/>
        <v>330.58499999999998</v>
      </c>
      <c r="P100">
        <f t="shared" si="96"/>
        <v>128.38359834593155</v>
      </c>
      <c r="Q100">
        <f t="shared" si="97"/>
        <v>12.737606183981645</v>
      </c>
      <c r="R100">
        <f t="shared" si="98"/>
        <v>32.799061520190001</v>
      </c>
      <c r="S100">
        <f t="shared" si="99"/>
        <v>0.48891474275731223</v>
      </c>
      <c r="T100">
        <f t="shared" si="100"/>
        <v>2.9168136569202368</v>
      </c>
      <c r="U100">
        <f t="shared" si="101"/>
        <v>0.44752892883464845</v>
      </c>
      <c r="V100">
        <f t="shared" si="102"/>
        <v>0.28313141876504855</v>
      </c>
      <c r="W100">
        <f t="shared" si="103"/>
        <v>289.54035495855703</v>
      </c>
      <c r="X100">
        <f t="shared" si="104"/>
        <v>30.462726278494497</v>
      </c>
      <c r="Y100">
        <f t="shared" si="105"/>
        <v>30.055800000000001</v>
      </c>
      <c r="Z100">
        <f t="shared" si="106"/>
        <v>4.2741240528459237</v>
      </c>
      <c r="AA100">
        <f t="shared" si="107"/>
        <v>65.147878625330733</v>
      </c>
      <c r="AB100">
        <f t="shared" si="108"/>
        <v>2.8536478281108004</v>
      </c>
      <c r="AC100">
        <f t="shared" si="109"/>
        <v>4.3802620873080089</v>
      </c>
      <c r="AD100">
        <f t="shared" si="110"/>
        <v>1.4204762247351232</v>
      </c>
      <c r="AE100">
        <f t="shared" si="111"/>
        <v>-293.09112517161088</v>
      </c>
      <c r="AF100">
        <f t="shared" si="112"/>
        <v>67.287813243378693</v>
      </c>
      <c r="AG100">
        <f t="shared" si="113"/>
        <v>5.1431173485696755</v>
      </c>
      <c r="AH100">
        <f t="shared" si="114"/>
        <v>68.880160378894502</v>
      </c>
      <c r="AI100">
        <v>0</v>
      </c>
      <c r="AJ100">
        <v>0</v>
      </c>
      <c r="AK100">
        <f t="shared" si="115"/>
        <v>1</v>
      </c>
      <c r="AL100">
        <f t="shared" si="116"/>
        <v>0</v>
      </c>
      <c r="AM100">
        <f t="shared" si="117"/>
        <v>51888.184913499317</v>
      </c>
      <c r="AN100" t="s">
        <v>418</v>
      </c>
      <c r="AO100">
        <v>10076.700000000001</v>
      </c>
      <c r="AP100">
        <v>185.01599999999999</v>
      </c>
      <c r="AQ100">
        <v>473.06</v>
      </c>
      <c r="AR100">
        <f t="shared" si="118"/>
        <v>0.60889527755464423</v>
      </c>
      <c r="AS100">
        <v>-1.4827006201179751</v>
      </c>
      <c r="AT100" t="s">
        <v>848</v>
      </c>
      <c r="AU100">
        <v>8112.9</v>
      </c>
      <c r="AV100">
        <v>737.08708000000001</v>
      </c>
      <c r="AW100">
        <v>1188.0310451781679</v>
      </c>
      <c r="AX100">
        <f t="shared" si="119"/>
        <v>0.37957254316577249</v>
      </c>
      <c r="AY100">
        <v>0.5</v>
      </c>
      <c r="AZ100">
        <f t="shared" si="120"/>
        <v>1513.049999460392</v>
      </c>
      <c r="BA100">
        <f t="shared" si="121"/>
        <v>55.724403933994132</v>
      </c>
      <c r="BB100">
        <f t="shared" si="122"/>
        <v>287.15611811607585</v>
      </c>
      <c r="BC100">
        <f t="shared" si="123"/>
        <v>3.7809130282881742E-2</v>
      </c>
      <c r="BD100">
        <f t="shared" si="124"/>
        <v>-0.60181175237802342</v>
      </c>
      <c r="BE100">
        <f t="shared" si="125"/>
        <v>241.96845952000103</v>
      </c>
      <c r="BF100" t="s">
        <v>849</v>
      </c>
      <c r="BG100">
        <v>566.87</v>
      </c>
      <c r="BH100">
        <f t="shared" si="126"/>
        <v>566.87</v>
      </c>
      <c r="BI100">
        <f t="shared" si="127"/>
        <v>0.52284916938766779</v>
      </c>
      <c r="BJ100">
        <f t="shared" si="128"/>
        <v>0.72596948678393614</v>
      </c>
      <c r="BK100">
        <f t="shared" si="129"/>
        <v>7.6214800679902774</v>
      </c>
      <c r="BL100">
        <f t="shared" si="130"/>
        <v>0.44958843573285151</v>
      </c>
      <c r="BM100">
        <f t="shared" si="131"/>
        <v>-2.4821591325567205</v>
      </c>
      <c r="BN100">
        <f t="shared" si="132"/>
        <v>0.55831981612431714</v>
      </c>
      <c r="BO100">
        <f t="shared" si="133"/>
        <v>0.44168018387568286</v>
      </c>
      <c r="BP100">
        <v>9221</v>
      </c>
      <c r="BQ100">
        <v>290.00000000000011</v>
      </c>
      <c r="BR100">
        <v>1037.72</v>
      </c>
      <c r="BS100">
        <v>275</v>
      </c>
      <c r="BT100">
        <v>8112.9</v>
      </c>
      <c r="BU100">
        <v>1041.1400000000001</v>
      </c>
      <c r="BV100">
        <v>-3.42</v>
      </c>
      <c r="BW100">
        <v>300.00000000000011</v>
      </c>
      <c r="BX100">
        <v>19.2</v>
      </c>
      <c r="BY100">
        <v>1188.0310451781679</v>
      </c>
      <c r="BZ100">
        <v>3.8641263583839578</v>
      </c>
      <c r="CA100">
        <v>-119.1684596554945</v>
      </c>
      <c r="CB100">
        <v>2.8804795181144311</v>
      </c>
      <c r="CC100">
        <v>0.98390401000856909</v>
      </c>
      <c r="CD100">
        <v>-4.179260289210231E-3</v>
      </c>
      <c r="CE100">
        <v>289.99999999999989</v>
      </c>
      <c r="CF100">
        <v>1034.22</v>
      </c>
      <c r="CG100">
        <v>645</v>
      </c>
      <c r="CH100">
        <v>8105.71</v>
      </c>
      <c r="CI100">
        <v>1041.01</v>
      </c>
      <c r="CJ100">
        <v>-6.79</v>
      </c>
      <c r="CX100">
        <f t="shared" si="134"/>
        <v>1799.84</v>
      </c>
      <c r="CY100">
        <f t="shared" si="135"/>
        <v>1513.049999460392</v>
      </c>
      <c r="CZ100">
        <f t="shared" si="136"/>
        <v>0.84065805819427952</v>
      </c>
      <c r="DA100">
        <f t="shared" si="137"/>
        <v>0.16087005231495968</v>
      </c>
      <c r="DB100">
        <v>6</v>
      </c>
      <c r="DC100">
        <v>0.5</v>
      </c>
      <c r="DD100" t="s">
        <v>421</v>
      </c>
      <c r="DE100">
        <v>2</v>
      </c>
      <c r="DF100">
        <v>1689014936.5999999</v>
      </c>
      <c r="DG100">
        <v>330.58499999999998</v>
      </c>
      <c r="DH100">
        <v>400.07299999999998</v>
      </c>
      <c r="DI100">
        <v>28.7622</v>
      </c>
      <c r="DJ100">
        <v>21.0183</v>
      </c>
      <c r="DK100">
        <v>331.988</v>
      </c>
      <c r="DL100">
        <v>28.756699999999999</v>
      </c>
      <c r="DM100">
        <v>500.12799999999999</v>
      </c>
      <c r="DN100">
        <v>99.115200000000002</v>
      </c>
      <c r="DO100">
        <v>0.10001400000000001</v>
      </c>
      <c r="DP100">
        <v>30.483699999999999</v>
      </c>
      <c r="DQ100">
        <v>30.055800000000001</v>
      </c>
      <c r="DR100">
        <v>999.9</v>
      </c>
      <c r="DS100">
        <v>0</v>
      </c>
      <c r="DT100">
        <v>0</v>
      </c>
      <c r="DU100">
        <v>10016.200000000001</v>
      </c>
      <c r="DV100">
        <v>0</v>
      </c>
      <c r="DW100">
        <v>1868.31</v>
      </c>
      <c r="DX100">
        <v>-69.489000000000004</v>
      </c>
      <c r="DY100">
        <v>340.37400000000002</v>
      </c>
      <c r="DZ100">
        <v>408.66300000000001</v>
      </c>
      <c r="EA100">
        <v>7.7438500000000001</v>
      </c>
      <c r="EB100">
        <v>400.07299999999998</v>
      </c>
      <c r="EC100">
        <v>21.0183</v>
      </c>
      <c r="ED100">
        <v>2.8507699999999998</v>
      </c>
      <c r="EE100">
        <v>2.08324</v>
      </c>
      <c r="EF100">
        <v>23.181000000000001</v>
      </c>
      <c r="EG100">
        <v>18.0916</v>
      </c>
      <c r="EH100">
        <v>1799.84</v>
      </c>
      <c r="EI100">
        <v>0.97800600000000004</v>
      </c>
      <c r="EJ100">
        <v>2.1994400000000001E-2</v>
      </c>
      <c r="EK100">
        <v>0</v>
      </c>
      <c r="EL100">
        <v>740.26400000000001</v>
      </c>
      <c r="EM100">
        <v>5.00082</v>
      </c>
      <c r="EN100">
        <v>16341.5</v>
      </c>
      <c r="EO100">
        <v>14128.5</v>
      </c>
      <c r="EP100">
        <v>47.436999999999998</v>
      </c>
      <c r="EQ100">
        <v>49.561999999999998</v>
      </c>
      <c r="ER100">
        <v>48.561999999999998</v>
      </c>
      <c r="ES100">
        <v>48.811999999999998</v>
      </c>
      <c r="ET100">
        <v>48.936999999999998</v>
      </c>
      <c r="EU100">
        <v>1755.36</v>
      </c>
      <c r="EV100">
        <v>39.479999999999997</v>
      </c>
      <c r="EW100">
        <v>0</v>
      </c>
      <c r="EX100">
        <v>108.5999999046326</v>
      </c>
      <c r="EY100">
        <v>0</v>
      </c>
      <c r="EZ100">
        <v>737.08708000000001</v>
      </c>
      <c r="FA100">
        <v>25.544384638994959</v>
      </c>
      <c r="FB100">
        <v>539.48461600842802</v>
      </c>
      <c r="FC100">
        <v>16289.668</v>
      </c>
      <c r="FD100">
        <v>15</v>
      </c>
      <c r="FE100">
        <v>1689014904.5999999</v>
      </c>
      <c r="FF100" t="s">
        <v>850</v>
      </c>
      <c r="FG100">
        <v>1689014901.5999999</v>
      </c>
      <c r="FH100">
        <v>1689014904.5999999</v>
      </c>
      <c r="FI100">
        <v>93</v>
      </c>
      <c r="FJ100">
        <v>-0.16900000000000001</v>
      </c>
      <c r="FK100">
        <v>1.0999999999999999E-2</v>
      </c>
      <c r="FL100">
        <v>-1.472</v>
      </c>
      <c r="FM100">
        <v>6.0000000000000001E-3</v>
      </c>
      <c r="FN100">
        <v>400</v>
      </c>
      <c r="FO100">
        <v>20</v>
      </c>
      <c r="FP100">
        <v>0.03</v>
      </c>
      <c r="FQ100">
        <v>0.01</v>
      </c>
      <c r="FR100">
        <v>55.701675579197357</v>
      </c>
      <c r="FS100">
        <v>-0.56791955276779749</v>
      </c>
      <c r="FT100">
        <v>6.6389204778599914E-2</v>
      </c>
      <c r="FU100">
        <v>1</v>
      </c>
      <c r="FV100">
        <v>0.48950387684930352</v>
      </c>
      <c r="FW100">
        <v>3.9844884741599307E-2</v>
      </c>
      <c r="FX100">
        <v>3.892410961991236E-3</v>
      </c>
      <c r="FY100">
        <v>1</v>
      </c>
      <c r="FZ100">
        <v>2</v>
      </c>
      <c r="GA100">
        <v>2</v>
      </c>
      <c r="GB100" t="s">
        <v>423</v>
      </c>
      <c r="GC100">
        <v>2.94441</v>
      </c>
      <c r="GD100">
        <v>2.7088100000000002</v>
      </c>
      <c r="GE100">
        <v>7.5597399999999995E-2</v>
      </c>
      <c r="GF100">
        <v>8.7646000000000002E-2</v>
      </c>
      <c r="GG100">
        <v>0.128133</v>
      </c>
      <c r="GH100">
        <v>0.102922</v>
      </c>
      <c r="GI100">
        <v>30361.5</v>
      </c>
      <c r="GJ100">
        <v>29237</v>
      </c>
      <c r="GK100">
        <v>33844.9</v>
      </c>
      <c r="GL100">
        <v>32090</v>
      </c>
      <c r="GM100">
        <v>42602.400000000001</v>
      </c>
      <c r="GN100">
        <v>40963.599999999999</v>
      </c>
      <c r="GO100">
        <v>49017.9</v>
      </c>
      <c r="GP100">
        <v>45428</v>
      </c>
      <c r="GQ100">
        <v>1.9737199999999999</v>
      </c>
      <c r="GR100">
        <v>1.7402500000000001</v>
      </c>
      <c r="GS100">
        <v>-6.2137800000000003E-3</v>
      </c>
      <c r="GT100">
        <v>0</v>
      </c>
      <c r="GU100">
        <v>30.1569</v>
      </c>
      <c r="GV100">
        <v>999.9</v>
      </c>
      <c r="GW100">
        <v>29.2</v>
      </c>
      <c r="GX100">
        <v>47.5</v>
      </c>
      <c r="GY100">
        <v>32.2667</v>
      </c>
      <c r="GZ100">
        <v>60.222499999999997</v>
      </c>
      <c r="HA100">
        <v>26.438300000000002</v>
      </c>
      <c r="HB100">
        <v>1</v>
      </c>
      <c r="HC100">
        <v>0.49518299999999998</v>
      </c>
      <c r="HD100">
        <v>2.6682000000000001</v>
      </c>
      <c r="HE100">
        <v>20.199300000000001</v>
      </c>
      <c r="HF100">
        <v>5.2682099999999998</v>
      </c>
      <c r="HG100">
        <v>12.039899999999999</v>
      </c>
      <c r="HH100">
        <v>4.9654999999999996</v>
      </c>
      <c r="HI100">
        <v>3.3007</v>
      </c>
      <c r="HJ100">
        <v>9999</v>
      </c>
      <c r="HK100">
        <v>9999</v>
      </c>
      <c r="HL100">
        <v>9999</v>
      </c>
      <c r="HM100">
        <v>999.9</v>
      </c>
      <c r="HN100">
        <v>1.8687199999999999</v>
      </c>
      <c r="HO100">
        <v>1.8724099999999999</v>
      </c>
      <c r="HP100">
        <v>1.8721000000000001</v>
      </c>
      <c r="HQ100">
        <v>1.87164</v>
      </c>
      <c r="HR100">
        <v>1.8648899999999999</v>
      </c>
      <c r="HS100">
        <v>1.8660300000000001</v>
      </c>
      <c r="HT100">
        <v>1.8680000000000001</v>
      </c>
      <c r="HU100">
        <v>1.87262</v>
      </c>
      <c r="HV100">
        <v>0</v>
      </c>
      <c r="HW100">
        <v>0</v>
      </c>
      <c r="HX100">
        <v>0</v>
      </c>
      <c r="HY100">
        <v>0</v>
      </c>
      <c r="HZ100" t="s">
        <v>424</v>
      </c>
      <c r="IA100" t="s">
        <v>425</v>
      </c>
      <c r="IB100" t="s">
        <v>426</v>
      </c>
      <c r="IC100" t="s">
        <v>426</v>
      </c>
      <c r="ID100" t="s">
        <v>426</v>
      </c>
      <c r="IE100" t="s">
        <v>426</v>
      </c>
      <c r="IF100">
        <v>0</v>
      </c>
      <c r="IG100">
        <v>100</v>
      </c>
      <c r="IH100">
        <v>100</v>
      </c>
      <c r="II100">
        <v>-1.403</v>
      </c>
      <c r="IJ100">
        <v>5.4999999999999997E-3</v>
      </c>
      <c r="IK100">
        <v>-1.044588566318664</v>
      </c>
      <c r="IL100">
        <v>-1.171017271736434E-3</v>
      </c>
      <c r="IM100">
        <v>2.801297040296544E-7</v>
      </c>
      <c r="IN100">
        <v>-3.6238253961199429E-11</v>
      </c>
      <c r="IO100">
        <v>5.4999999999999997E-3</v>
      </c>
      <c r="IP100">
        <v>0</v>
      </c>
      <c r="IQ100">
        <v>0</v>
      </c>
      <c r="IR100">
        <v>0</v>
      </c>
      <c r="IS100">
        <v>0</v>
      </c>
      <c r="IT100">
        <v>2161</v>
      </c>
      <c r="IU100">
        <v>1</v>
      </c>
      <c r="IV100">
        <v>19</v>
      </c>
      <c r="IW100">
        <v>0.6</v>
      </c>
      <c r="IX100">
        <v>0.5</v>
      </c>
      <c r="IY100">
        <v>1.02783</v>
      </c>
      <c r="IZ100">
        <v>2.5354000000000001</v>
      </c>
      <c r="JA100">
        <v>1.4440900000000001</v>
      </c>
      <c r="JB100">
        <v>2.2814899999999998</v>
      </c>
      <c r="JC100">
        <v>1.54419</v>
      </c>
      <c r="JD100">
        <v>2.4487299999999999</v>
      </c>
      <c r="JE100">
        <v>51.364800000000002</v>
      </c>
      <c r="JF100">
        <v>23.982399999999998</v>
      </c>
      <c r="JG100">
        <v>18</v>
      </c>
      <c r="JH100">
        <v>511.81900000000002</v>
      </c>
      <c r="JI100">
        <v>400.56</v>
      </c>
      <c r="JJ100">
        <v>26.706900000000001</v>
      </c>
      <c r="JK100">
        <v>33.474600000000002</v>
      </c>
      <c r="JL100">
        <v>30</v>
      </c>
      <c r="JM100">
        <v>33.345199999999998</v>
      </c>
      <c r="JN100">
        <v>33.295900000000003</v>
      </c>
      <c r="JO100">
        <v>20.7041</v>
      </c>
      <c r="JP100">
        <v>39.085999999999999</v>
      </c>
      <c r="JQ100">
        <v>0</v>
      </c>
      <c r="JR100">
        <v>26.6844</v>
      </c>
      <c r="JS100">
        <v>400</v>
      </c>
      <c r="JT100">
        <v>20.9526</v>
      </c>
      <c r="JU100">
        <v>99.344899999999996</v>
      </c>
      <c r="JV100">
        <v>98.930999999999997</v>
      </c>
    </row>
    <row r="101" spans="1:282" x14ac:dyDescent="0.25">
      <c r="A101">
        <v>85</v>
      </c>
      <c r="B101">
        <v>1689015046.0999999</v>
      </c>
      <c r="C101">
        <v>15869.099999904631</v>
      </c>
      <c r="D101" t="s">
        <v>851</v>
      </c>
      <c r="E101" t="s">
        <v>852</v>
      </c>
      <c r="F101" t="s">
        <v>414</v>
      </c>
      <c r="G101" t="s">
        <v>415</v>
      </c>
      <c r="H101" t="s">
        <v>31</v>
      </c>
      <c r="I101" t="s">
        <v>416</v>
      </c>
      <c r="J101" t="s">
        <v>501</v>
      </c>
      <c r="K101">
        <v>1689015046.0999999</v>
      </c>
      <c r="L101">
        <f t="shared" si="92"/>
        <v>6.4835639037706776E-3</v>
      </c>
      <c r="M101">
        <f t="shared" si="93"/>
        <v>6.4835639037706772</v>
      </c>
      <c r="N101">
        <f t="shared" si="94"/>
        <v>57.079063671345189</v>
      </c>
      <c r="O101">
        <f t="shared" si="95"/>
        <v>328.83800000000002</v>
      </c>
      <c r="P101">
        <f t="shared" si="96"/>
        <v>118.93923067505889</v>
      </c>
      <c r="Q101">
        <f t="shared" si="97"/>
        <v>11.80027067409004</v>
      </c>
      <c r="R101">
        <f t="shared" si="98"/>
        <v>32.624873945314008</v>
      </c>
      <c r="S101">
        <f t="shared" si="99"/>
        <v>0.48103521929463738</v>
      </c>
      <c r="T101">
        <f t="shared" si="100"/>
        <v>2.9103192884329556</v>
      </c>
      <c r="U101">
        <f t="shared" si="101"/>
        <v>0.44083252801224793</v>
      </c>
      <c r="V101">
        <f t="shared" si="102"/>
        <v>0.27885184846225736</v>
      </c>
      <c r="W101">
        <f t="shared" si="103"/>
        <v>289.5766249581568</v>
      </c>
      <c r="X101">
        <f t="shared" si="104"/>
        <v>30.399514767623618</v>
      </c>
      <c r="Y101">
        <f t="shared" si="105"/>
        <v>29.9665</v>
      </c>
      <c r="Z101">
        <f t="shared" si="106"/>
        <v>4.2522586321312641</v>
      </c>
      <c r="AA101">
        <f t="shared" si="107"/>
        <v>65.351499669793739</v>
      </c>
      <c r="AB101">
        <f t="shared" si="108"/>
        <v>2.8452785563958001</v>
      </c>
      <c r="AC101">
        <f t="shared" si="109"/>
        <v>4.3538075954987194</v>
      </c>
      <c r="AD101">
        <f t="shared" si="110"/>
        <v>1.406980075735464</v>
      </c>
      <c r="AE101">
        <f t="shared" si="111"/>
        <v>-285.92516815628687</v>
      </c>
      <c r="AF101">
        <f t="shared" si="112"/>
        <v>64.549126312848244</v>
      </c>
      <c r="AG101">
        <f t="shared" si="113"/>
        <v>4.940026336192231</v>
      </c>
      <c r="AH101">
        <f t="shared" si="114"/>
        <v>73.140609450910375</v>
      </c>
      <c r="AI101">
        <v>0</v>
      </c>
      <c r="AJ101">
        <v>0</v>
      </c>
      <c r="AK101">
        <f t="shared" si="115"/>
        <v>1</v>
      </c>
      <c r="AL101">
        <f t="shared" si="116"/>
        <v>0</v>
      </c>
      <c r="AM101">
        <f t="shared" si="117"/>
        <v>51721.679964238967</v>
      </c>
      <c r="AN101" t="s">
        <v>418</v>
      </c>
      <c r="AO101">
        <v>10076.700000000001</v>
      </c>
      <c r="AP101">
        <v>185.01599999999999</v>
      </c>
      <c r="AQ101">
        <v>473.06</v>
      </c>
      <c r="AR101">
        <f t="shared" si="118"/>
        <v>0.60889527755464423</v>
      </c>
      <c r="AS101">
        <v>-1.4827006201179751</v>
      </c>
      <c r="AT101" t="s">
        <v>853</v>
      </c>
      <c r="AU101">
        <v>8111.83</v>
      </c>
      <c r="AV101">
        <v>761.49553846153856</v>
      </c>
      <c r="AW101">
        <v>1231.1299983396891</v>
      </c>
      <c r="AX101">
        <f t="shared" si="119"/>
        <v>0.38146618189102943</v>
      </c>
      <c r="AY101">
        <v>0.5</v>
      </c>
      <c r="AZ101">
        <f t="shared" si="120"/>
        <v>1513.2353994601847</v>
      </c>
      <c r="BA101">
        <f t="shared" si="121"/>
        <v>57.079063671345189</v>
      </c>
      <c r="BB101">
        <f t="shared" si="122"/>
        <v>288.62406506721169</v>
      </c>
      <c r="BC101">
        <f t="shared" si="123"/>
        <v>3.869970548690168E-2</v>
      </c>
      <c r="BD101">
        <f t="shared" si="124"/>
        <v>-0.61575138235769411</v>
      </c>
      <c r="BE101">
        <f t="shared" si="125"/>
        <v>243.70610101696218</v>
      </c>
      <c r="BF101" t="s">
        <v>854</v>
      </c>
      <c r="BG101">
        <v>571.25</v>
      </c>
      <c r="BH101">
        <f t="shared" si="126"/>
        <v>571.25</v>
      </c>
      <c r="BI101">
        <f t="shared" si="127"/>
        <v>0.53599538572661554</v>
      </c>
      <c r="BJ101">
        <f t="shared" si="128"/>
        <v>0.71169676465385889</v>
      </c>
      <c r="BK101">
        <f t="shared" si="129"/>
        <v>7.7204399464272244</v>
      </c>
      <c r="BL101">
        <f t="shared" si="130"/>
        <v>0.44893239228565712</v>
      </c>
      <c r="BM101">
        <f t="shared" si="131"/>
        <v>-2.6317854159076015</v>
      </c>
      <c r="BN101">
        <f t="shared" si="132"/>
        <v>0.53389252631721251</v>
      </c>
      <c r="BO101">
        <f t="shared" si="133"/>
        <v>0.46610747368278749</v>
      </c>
      <c r="BP101">
        <v>9223</v>
      </c>
      <c r="BQ101">
        <v>290.00000000000011</v>
      </c>
      <c r="BR101">
        <v>1079.8800000000001</v>
      </c>
      <c r="BS101">
        <v>285</v>
      </c>
      <c r="BT101">
        <v>8111.83</v>
      </c>
      <c r="BU101">
        <v>1083.31</v>
      </c>
      <c r="BV101">
        <v>-3.43</v>
      </c>
      <c r="BW101">
        <v>300.00000000000011</v>
      </c>
      <c r="BX101">
        <v>19.2</v>
      </c>
      <c r="BY101">
        <v>1231.1299983396891</v>
      </c>
      <c r="BZ101">
        <v>3.723991992223465</v>
      </c>
      <c r="CA101">
        <v>-119.9073147266141</v>
      </c>
      <c r="CB101">
        <v>2.775805269959176</v>
      </c>
      <c r="CC101">
        <v>0.98521653086341232</v>
      </c>
      <c r="CD101">
        <v>-4.1790066740823124E-3</v>
      </c>
      <c r="CE101">
        <v>289.99999999999989</v>
      </c>
      <c r="CF101">
        <v>1077.81</v>
      </c>
      <c r="CG101">
        <v>625</v>
      </c>
      <c r="CH101">
        <v>8105.65</v>
      </c>
      <c r="CI101">
        <v>1083.2</v>
      </c>
      <c r="CJ101">
        <v>-5.39</v>
      </c>
      <c r="CX101">
        <f t="shared" si="134"/>
        <v>1800.06</v>
      </c>
      <c r="CY101">
        <f t="shared" si="135"/>
        <v>1513.2353994601847</v>
      </c>
      <c r="CZ101">
        <f t="shared" si="136"/>
        <v>0.84065831108973299</v>
      </c>
      <c r="DA101">
        <f t="shared" si="137"/>
        <v>0.1608705404031848</v>
      </c>
      <c r="DB101">
        <v>6</v>
      </c>
      <c r="DC101">
        <v>0.5</v>
      </c>
      <c r="DD101" t="s">
        <v>421</v>
      </c>
      <c r="DE101">
        <v>2</v>
      </c>
      <c r="DF101">
        <v>1689015046.0999999</v>
      </c>
      <c r="DG101">
        <v>328.83800000000002</v>
      </c>
      <c r="DH101">
        <v>399.87299999999999</v>
      </c>
      <c r="DI101">
        <v>28.678599999999999</v>
      </c>
      <c r="DJ101">
        <v>21.1234</v>
      </c>
      <c r="DK101">
        <v>330.13400000000001</v>
      </c>
      <c r="DL101">
        <v>28.6632</v>
      </c>
      <c r="DM101">
        <v>500.12900000000002</v>
      </c>
      <c r="DN101">
        <v>99.112200000000001</v>
      </c>
      <c r="DO101">
        <v>0.10040300000000001</v>
      </c>
      <c r="DP101">
        <v>30.3779</v>
      </c>
      <c r="DQ101">
        <v>29.9665</v>
      </c>
      <c r="DR101">
        <v>999.9</v>
      </c>
      <c r="DS101">
        <v>0</v>
      </c>
      <c r="DT101">
        <v>0</v>
      </c>
      <c r="DU101">
        <v>9979.3799999999992</v>
      </c>
      <c r="DV101">
        <v>0</v>
      </c>
      <c r="DW101">
        <v>1874.85</v>
      </c>
      <c r="DX101">
        <v>-71.034800000000004</v>
      </c>
      <c r="DY101">
        <v>338.54700000000003</v>
      </c>
      <c r="DZ101">
        <v>408.50200000000001</v>
      </c>
      <c r="EA101">
        <v>7.5551599999999999</v>
      </c>
      <c r="EB101">
        <v>399.87299999999999</v>
      </c>
      <c r="EC101">
        <v>21.1234</v>
      </c>
      <c r="ED101">
        <v>2.8424</v>
      </c>
      <c r="EE101">
        <v>2.0935899999999998</v>
      </c>
      <c r="EF101">
        <v>23.132400000000001</v>
      </c>
      <c r="EG101">
        <v>18.170500000000001</v>
      </c>
      <c r="EH101">
        <v>1800.06</v>
      </c>
      <c r="EI101">
        <v>0.977993</v>
      </c>
      <c r="EJ101">
        <v>2.20073E-2</v>
      </c>
      <c r="EK101">
        <v>0</v>
      </c>
      <c r="EL101">
        <v>761.9</v>
      </c>
      <c r="EM101">
        <v>5.00082</v>
      </c>
      <c r="EN101">
        <v>16744</v>
      </c>
      <c r="EO101">
        <v>14130.2</v>
      </c>
      <c r="EP101">
        <v>47.625</v>
      </c>
      <c r="EQ101">
        <v>49.75</v>
      </c>
      <c r="ER101">
        <v>48.811999999999998</v>
      </c>
      <c r="ES101">
        <v>48.875</v>
      </c>
      <c r="ET101">
        <v>49.186999999999998</v>
      </c>
      <c r="EU101">
        <v>1755.56</v>
      </c>
      <c r="EV101">
        <v>39.5</v>
      </c>
      <c r="EW101">
        <v>0</v>
      </c>
      <c r="EX101">
        <v>107.5999999046326</v>
      </c>
      <c r="EY101">
        <v>0</v>
      </c>
      <c r="EZ101">
        <v>761.49553846153856</v>
      </c>
      <c r="FA101">
        <v>4.4069743605163376</v>
      </c>
      <c r="FB101">
        <v>87.562394827657911</v>
      </c>
      <c r="FC101">
        <v>16759.776923076919</v>
      </c>
      <c r="FD101">
        <v>15</v>
      </c>
      <c r="FE101">
        <v>1689015006.0999999</v>
      </c>
      <c r="FF101" t="s">
        <v>855</v>
      </c>
      <c r="FG101">
        <v>1689014999.0999999</v>
      </c>
      <c r="FH101">
        <v>1689015006.0999999</v>
      </c>
      <c r="FI101">
        <v>94</v>
      </c>
      <c r="FJ101">
        <v>0.106</v>
      </c>
      <c r="FK101">
        <v>0.01</v>
      </c>
      <c r="FL101">
        <v>-1.3660000000000001</v>
      </c>
      <c r="FM101">
        <v>1.4999999999999999E-2</v>
      </c>
      <c r="FN101">
        <v>400</v>
      </c>
      <c r="FO101">
        <v>21</v>
      </c>
      <c r="FP101">
        <v>0.03</v>
      </c>
      <c r="FQ101">
        <v>0.01</v>
      </c>
      <c r="FR101">
        <v>57.079130370595763</v>
      </c>
      <c r="FS101">
        <v>-0.4660870525608613</v>
      </c>
      <c r="FT101">
        <v>6.8995086921489812E-2</v>
      </c>
      <c r="FU101">
        <v>1</v>
      </c>
      <c r="FV101">
        <v>0.48590845726924342</v>
      </c>
      <c r="FW101">
        <v>-3.2828807830570288E-2</v>
      </c>
      <c r="FX101">
        <v>2.7919458002927762E-3</v>
      </c>
      <c r="FY101">
        <v>1</v>
      </c>
      <c r="FZ101">
        <v>2</v>
      </c>
      <c r="GA101">
        <v>2</v>
      </c>
      <c r="GB101" t="s">
        <v>423</v>
      </c>
      <c r="GC101">
        <v>2.94448</v>
      </c>
      <c r="GD101">
        <v>2.7088800000000002</v>
      </c>
      <c r="GE101">
        <v>7.52718E-2</v>
      </c>
      <c r="GF101">
        <v>8.7626999999999997E-2</v>
      </c>
      <c r="GG101">
        <v>0.12786400000000001</v>
      </c>
      <c r="GH101">
        <v>0.103301</v>
      </c>
      <c r="GI101">
        <v>30376.7</v>
      </c>
      <c r="GJ101">
        <v>29242.400000000001</v>
      </c>
      <c r="GK101">
        <v>33849.4</v>
      </c>
      <c r="GL101">
        <v>32094.799999999999</v>
      </c>
      <c r="GM101">
        <v>42620.4</v>
      </c>
      <c r="GN101">
        <v>40952.400000000001</v>
      </c>
      <c r="GO101">
        <v>49023.9</v>
      </c>
      <c r="GP101">
        <v>45434.9</v>
      </c>
      <c r="GQ101">
        <v>1.97488</v>
      </c>
      <c r="GR101">
        <v>1.7405299999999999</v>
      </c>
      <c r="GS101">
        <v>-7.3090200000000003E-3</v>
      </c>
      <c r="GT101">
        <v>0</v>
      </c>
      <c r="GU101">
        <v>30.0854</v>
      </c>
      <c r="GV101">
        <v>999.9</v>
      </c>
      <c r="GW101">
        <v>29.1</v>
      </c>
      <c r="GX101">
        <v>47.5</v>
      </c>
      <c r="GY101">
        <v>32.154499999999999</v>
      </c>
      <c r="GZ101">
        <v>60.292400000000001</v>
      </c>
      <c r="HA101">
        <v>26.137799999999999</v>
      </c>
      <c r="HB101">
        <v>1</v>
      </c>
      <c r="HC101">
        <v>0.48719800000000002</v>
      </c>
      <c r="HD101">
        <v>2.24878</v>
      </c>
      <c r="HE101">
        <v>20.2059</v>
      </c>
      <c r="HF101">
        <v>5.2692500000000004</v>
      </c>
      <c r="HG101">
        <v>12.039899999999999</v>
      </c>
      <c r="HH101">
        <v>4.9657999999999998</v>
      </c>
      <c r="HI101">
        <v>3.3010000000000002</v>
      </c>
      <c r="HJ101">
        <v>9999</v>
      </c>
      <c r="HK101">
        <v>9999</v>
      </c>
      <c r="HL101">
        <v>9999</v>
      </c>
      <c r="HM101">
        <v>999.9</v>
      </c>
      <c r="HN101">
        <v>1.8687400000000001</v>
      </c>
      <c r="HO101">
        <v>1.8724099999999999</v>
      </c>
      <c r="HP101">
        <v>1.8721000000000001</v>
      </c>
      <c r="HQ101">
        <v>1.87164</v>
      </c>
      <c r="HR101">
        <v>1.86483</v>
      </c>
      <c r="HS101">
        <v>1.86602</v>
      </c>
      <c r="HT101">
        <v>1.86798</v>
      </c>
      <c r="HU101">
        <v>1.8725700000000001</v>
      </c>
      <c r="HV101">
        <v>0</v>
      </c>
      <c r="HW101">
        <v>0</v>
      </c>
      <c r="HX101">
        <v>0</v>
      </c>
      <c r="HY101">
        <v>0</v>
      </c>
      <c r="HZ101" t="s">
        <v>424</v>
      </c>
      <c r="IA101" t="s">
        <v>425</v>
      </c>
      <c r="IB101" t="s">
        <v>426</v>
      </c>
      <c r="IC101" t="s">
        <v>426</v>
      </c>
      <c r="ID101" t="s">
        <v>426</v>
      </c>
      <c r="IE101" t="s">
        <v>426</v>
      </c>
      <c r="IF101">
        <v>0</v>
      </c>
      <c r="IG101">
        <v>100</v>
      </c>
      <c r="IH101">
        <v>100</v>
      </c>
      <c r="II101">
        <v>-1.296</v>
      </c>
      <c r="IJ101">
        <v>1.54E-2</v>
      </c>
      <c r="IK101">
        <v>-0.93838651377675664</v>
      </c>
      <c r="IL101">
        <v>-1.171017271736434E-3</v>
      </c>
      <c r="IM101">
        <v>2.801297040296544E-7</v>
      </c>
      <c r="IN101">
        <v>-3.6238253961199429E-11</v>
      </c>
      <c r="IO101">
        <v>1.542500000000047E-2</v>
      </c>
      <c r="IP101">
        <v>0</v>
      </c>
      <c r="IQ101">
        <v>0</v>
      </c>
      <c r="IR101">
        <v>0</v>
      </c>
      <c r="IS101">
        <v>0</v>
      </c>
      <c r="IT101">
        <v>2161</v>
      </c>
      <c r="IU101">
        <v>1</v>
      </c>
      <c r="IV101">
        <v>19</v>
      </c>
      <c r="IW101">
        <v>0.8</v>
      </c>
      <c r="IX101">
        <v>0.7</v>
      </c>
      <c r="IY101">
        <v>1.02905</v>
      </c>
      <c r="IZ101">
        <v>2.5366200000000001</v>
      </c>
      <c r="JA101">
        <v>1.4440900000000001</v>
      </c>
      <c r="JB101">
        <v>2.2814899999999998</v>
      </c>
      <c r="JC101">
        <v>1.54419</v>
      </c>
      <c r="JD101">
        <v>2.4108900000000002</v>
      </c>
      <c r="JE101">
        <v>51.364800000000002</v>
      </c>
      <c r="JF101">
        <v>23.982399999999998</v>
      </c>
      <c r="JG101">
        <v>18</v>
      </c>
      <c r="JH101">
        <v>511.964</v>
      </c>
      <c r="JI101">
        <v>400.238</v>
      </c>
      <c r="JJ101">
        <v>26.6173</v>
      </c>
      <c r="JK101">
        <v>33.391199999999998</v>
      </c>
      <c r="JL101">
        <v>29.999300000000002</v>
      </c>
      <c r="JM101">
        <v>33.268300000000004</v>
      </c>
      <c r="JN101">
        <v>33.221299999999999</v>
      </c>
      <c r="JO101">
        <v>20.7117</v>
      </c>
      <c r="JP101">
        <v>38.466900000000003</v>
      </c>
      <c r="JQ101">
        <v>0</v>
      </c>
      <c r="JR101">
        <v>26.645099999999999</v>
      </c>
      <c r="JS101">
        <v>400</v>
      </c>
      <c r="JT101">
        <v>21.054200000000002</v>
      </c>
      <c r="JU101">
        <v>99.357500000000002</v>
      </c>
      <c r="JV101">
        <v>98.945999999999998</v>
      </c>
    </row>
    <row r="102" spans="1:282" x14ac:dyDescent="0.25">
      <c r="A102">
        <v>86</v>
      </c>
      <c r="B102">
        <v>1689015173.5999999</v>
      </c>
      <c r="C102">
        <v>15996.599999904631</v>
      </c>
      <c r="D102" t="s">
        <v>856</v>
      </c>
      <c r="E102" t="s">
        <v>857</v>
      </c>
      <c r="F102" t="s">
        <v>414</v>
      </c>
      <c r="G102" t="s">
        <v>415</v>
      </c>
      <c r="H102" t="s">
        <v>31</v>
      </c>
      <c r="I102" t="s">
        <v>416</v>
      </c>
      <c r="J102" t="s">
        <v>501</v>
      </c>
      <c r="K102">
        <v>1689015173.5999999</v>
      </c>
      <c r="L102">
        <f t="shared" si="92"/>
        <v>6.290139957138903E-3</v>
      </c>
      <c r="M102">
        <f t="shared" si="93"/>
        <v>6.2901399571389032</v>
      </c>
      <c r="N102">
        <f t="shared" si="94"/>
        <v>60.108597679923172</v>
      </c>
      <c r="O102">
        <f t="shared" si="95"/>
        <v>424.702</v>
      </c>
      <c r="P102">
        <f t="shared" si="96"/>
        <v>194.94693343090978</v>
      </c>
      <c r="Q102">
        <f t="shared" si="97"/>
        <v>19.340981857945085</v>
      </c>
      <c r="R102">
        <f t="shared" si="98"/>
        <v>42.135331561622806</v>
      </c>
      <c r="S102">
        <f t="shared" si="99"/>
        <v>0.46474891937509333</v>
      </c>
      <c r="T102">
        <f t="shared" si="100"/>
        <v>2.9153397161750352</v>
      </c>
      <c r="U102">
        <f t="shared" si="101"/>
        <v>0.42716759923122705</v>
      </c>
      <c r="V102">
        <f t="shared" si="102"/>
        <v>0.27010258300026591</v>
      </c>
      <c r="W102">
        <f t="shared" si="103"/>
        <v>289.5702409581337</v>
      </c>
      <c r="X102">
        <f t="shared" si="104"/>
        <v>30.430155929144348</v>
      </c>
      <c r="Y102">
        <f t="shared" si="105"/>
        <v>29.9847</v>
      </c>
      <c r="Z102">
        <f t="shared" si="106"/>
        <v>4.2567070397567157</v>
      </c>
      <c r="AA102">
        <f t="shared" si="107"/>
        <v>65.490277702670795</v>
      </c>
      <c r="AB102">
        <f t="shared" si="108"/>
        <v>2.8481048294383604</v>
      </c>
      <c r="AC102">
        <f t="shared" si="109"/>
        <v>4.3488971635895357</v>
      </c>
      <c r="AD102">
        <f t="shared" si="110"/>
        <v>1.4086022103183553</v>
      </c>
      <c r="AE102">
        <f t="shared" si="111"/>
        <v>-277.39517210982564</v>
      </c>
      <c r="AF102">
        <f t="shared" si="112"/>
        <v>58.703665349743041</v>
      </c>
      <c r="AG102">
        <f t="shared" si="113"/>
        <v>4.4848954639303482</v>
      </c>
      <c r="AH102">
        <f t="shared" si="114"/>
        <v>75.363629661981435</v>
      </c>
      <c r="AI102">
        <v>0</v>
      </c>
      <c r="AJ102">
        <v>0</v>
      </c>
      <c r="AK102">
        <f t="shared" si="115"/>
        <v>1</v>
      </c>
      <c r="AL102">
        <f t="shared" si="116"/>
        <v>0</v>
      </c>
      <c r="AM102">
        <f t="shared" si="117"/>
        <v>51867.672784083305</v>
      </c>
      <c r="AN102" t="s">
        <v>418</v>
      </c>
      <c r="AO102">
        <v>10076.700000000001</v>
      </c>
      <c r="AP102">
        <v>185.01599999999999</v>
      </c>
      <c r="AQ102">
        <v>473.06</v>
      </c>
      <c r="AR102">
        <f t="shared" si="118"/>
        <v>0.60889527755464423</v>
      </c>
      <c r="AS102">
        <v>-1.4827006201179751</v>
      </c>
      <c r="AT102" t="s">
        <v>858</v>
      </c>
      <c r="AU102">
        <v>8110.98</v>
      </c>
      <c r="AV102">
        <v>780.60588000000007</v>
      </c>
      <c r="AW102">
        <v>1276.24073016951</v>
      </c>
      <c r="AX102">
        <f t="shared" si="119"/>
        <v>0.38835529884999032</v>
      </c>
      <c r="AY102">
        <v>0.5</v>
      </c>
      <c r="AZ102">
        <f t="shared" si="120"/>
        <v>1513.2017994601729</v>
      </c>
      <c r="BA102">
        <f t="shared" si="121"/>
        <v>60.108597679923172</v>
      </c>
      <c r="BB102">
        <f t="shared" si="122"/>
        <v>293.82996852484928</v>
      </c>
      <c r="BC102">
        <f t="shared" si="123"/>
        <v>4.0702633529786661E-2</v>
      </c>
      <c r="BD102">
        <f t="shared" si="124"/>
        <v>-0.62933325287528774</v>
      </c>
      <c r="BE102">
        <f t="shared" si="125"/>
        <v>245.42331962567121</v>
      </c>
      <c r="BF102" t="s">
        <v>859</v>
      </c>
      <c r="BG102">
        <v>578.99</v>
      </c>
      <c r="BH102">
        <f t="shared" si="126"/>
        <v>578.99</v>
      </c>
      <c r="BI102">
        <f t="shared" si="127"/>
        <v>0.54633167057511267</v>
      </c>
      <c r="BJ102">
        <f t="shared" si="128"/>
        <v>0.71084163662190092</v>
      </c>
      <c r="BK102">
        <f t="shared" si="129"/>
        <v>7.5821838022232608</v>
      </c>
      <c r="BL102">
        <f t="shared" si="130"/>
        <v>0.45420052942945899</v>
      </c>
      <c r="BM102">
        <f t="shared" si="131"/>
        <v>-2.7883959748146467</v>
      </c>
      <c r="BN102">
        <f t="shared" si="132"/>
        <v>0.5272445541759363</v>
      </c>
      <c r="BO102">
        <f t="shared" si="133"/>
        <v>0.4727554458240637</v>
      </c>
      <c r="BP102">
        <v>9225</v>
      </c>
      <c r="BQ102">
        <v>290.00000000000011</v>
      </c>
      <c r="BR102">
        <v>1127.3399999999999</v>
      </c>
      <c r="BS102">
        <v>275</v>
      </c>
      <c r="BT102">
        <v>8110.98</v>
      </c>
      <c r="BU102">
        <v>1130.79</v>
      </c>
      <c r="BV102">
        <v>-3.45</v>
      </c>
      <c r="BW102">
        <v>300.00000000000011</v>
      </c>
      <c r="BX102">
        <v>19.2</v>
      </c>
      <c r="BY102">
        <v>1276.24073016951</v>
      </c>
      <c r="BZ102">
        <v>5.4990257724834111</v>
      </c>
      <c r="CA102">
        <v>-117.9721917960109</v>
      </c>
      <c r="CB102">
        <v>4.0982088982682781</v>
      </c>
      <c r="CC102">
        <v>0.96731453758019426</v>
      </c>
      <c r="CD102">
        <v>-4.1784965517241432E-3</v>
      </c>
      <c r="CE102">
        <v>289.99999999999989</v>
      </c>
      <c r="CF102">
        <v>1127.76</v>
      </c>
      <c r="CG102">
        <v>685</v>
      </c>
      <c r="CH102">
        <v>8102.7</v>
      </c>
      <c r="CI102">
        <v>1130.6400000000001</v>
      </c>
      <c r="CJ102">
        <v>-2.88</v>
      </c>
      <c r="CX102">
        <f t="shared" si="134"/>
        <v>1800.02</v>
      </c>
      <c r="CY102">
        <f t="shared" si="135"/>
        <v>1513.2017994601729</v>
      </c>
      <c r="CZ102">
        <f t="shared" si="136"/>
        <v>0.84065832571869914</v>
      </c>
      <c r="DA102">
        <f t="shared" si="137"/>
        <v>0.16087056863708943</v>
      </c>
      <c r="DB102">
        <v>6</v>
      </c>
      <c r="DC102">
        <v>0.5</v>
      </c>
      <c r="DD102" t="s">
        <v>421</v>
      </c>
      <c r="DE102">
        <v>2</v>
      </c>
      <c r="DF102">
        <v>1689015173.5999999</v>
      </c>
      <c r="DG102">
        <v>424.702</v>
      </c>
      <c r="DH102">
        <v>500.029</v>
      </c>
      <c r="DI102">
        <v>28.7074</v>
      </c>
      <c r="DJ102">
        <v>21.376799999999999</v>
      </c>
      <c r="DK102">
        <v>426.21600000000001</v>
      </c>
      <c r="DL102">
        <v>28.6891</v>
      </c>
      <c r="DM102">
        <v>500.06</v>
      </c>
      <c r="DN102">
        <v>99.111900000000006</v>
      </c>
      <c r="DO102">
        <v>9.9621399999999999E-2</v>
      </c>
      <c r="DP102">
        <v>30.3582</v>
      </c>
      <c r="DQ102">
        <v>29.9847</v>
      </c>
      <c r="DR102">
        <v>999.9</v>
      </c>
      <c r="DS102">
        <v>0</v>
      </c>
      <c r="DT102">
        <v>0</v>
      </c>
      <c r="DU102">
        <v>10008.1</v>
      </c>
      <c r="DV102">
        <v>0</v>
      </c>
      <c r="DW102">
        <v>1881.57</v>
      </c>
      <c r="DX102">
        <v>-75.326800000000006</v>
      </c>
      <c r="DY102">
        <v>437.255</v>
      </c>
      <c r="DZ102">
        <v>510.952</v>
      </c>
      <c r="EA102">
        <v>7.3306100000000001</v>
      </c>
      <c r="EB102">
        <v>500.029</v>
      </c>
      <c r="EC102">
        <v>21.376799999999999</v>
      </c>
      <c r="ED102">
        <v>2.8452500000000001</v>
      </c>
      <c r="EE102">
        <v>2.1187</v>
      </c>
      <c r="EF102">
        <v>23.149000000000001</v>
      </c>
      <c r="EG102">
        <v>18.360499999999998</v>
      </c>
      <c r="EH102">
        <v>1800.02</v>
      </c>
      <c r="EI102">
        <v>0.97799599999999998</v>
      </c>
      <c r="EJ102">
        <v>2.2003700000000001E-2</v>
      </c>
      <c r="EK102">
        <v>0</v>
      </c>
      <c r="EL102">
        <v>781.04100000000005</v>
      </c>
      <c r="EM102">
        <v>5.00082</v>
      </c>
      <c r="EN102">
        <v>17137.3</v>
      </c>
      <c r="EO102">
        <v>14129.9</v>
      </c>
      <c r="EP102">
        <v>47.936999999999998</v>
      </c>
      <c r="EQ102">
        <v>49.936999999999998</v>
      </c>
      <c r="ER102">
        <v>49.061999999999998</v>
      </c>
      <c r="ES102">
        <v>49.186999999999998</v>
      </c>
      <c r="ET102">
        <v>49.436999999999998</v>
      </c>
      <c r="EU102">
        <v>1755.52</v>
      </c>
      <c r="EV102">
        <v>39.5</v>
      </c>
      <c r="EW102">
        <v>0</v>
      </c>
      <c r="EX102">
        <v>125.5999999046326</v>
      </c>
      <c r="EY102">
        <v>0</v>
      </c>
      <c r="EZ102">
        <v>780.60588000000007</v>
      </c>
      <c r="FA102">
        <v>3.6130000114490759</v>
      </c>
      <c r="FB102">
        <v>141.31538484004801</v>
      </c>
      <c r="FC102">
        <v>17150.635999999999</v>
      </c>
      <c r="FD102">
        <v>15</v>
      </c>
      <c r="FE102">
        <v>1689015132.0999999</v>
      </c>
      <c r="FF102" t="s">
        <v>860</v>
      </c>
      <c r="FG102">
        <v>1689015120.5999999</v>
      </c>
      <c r="FH102">
        <v>1689015132.0999999</v>
      </c>
      <c r="FI102">
        <v>95</v>
      </c>
      <c r="FJ102">
        <v>-0.124</v>
      </c>
      <c r="FK102">
        <v>3.0000000000000001E-3</v>
      </c>
      <c r="FL102">
        <v>-1.5840000000000001</v>
      </c>
      <c r="FM102">
        <v>1.7999999999999999E-2</v>
      </c>
      <c r="FN102">
        <v>500</v>
      </c>
      <c r="FO102">
        <v>21</v>
      </c>
      <c r="FP102">
        <v>0.02</v>
      </c>
      <c r="FQ102">
        <v>0.01</v>
      </c>
      <c r="FR102">
        <v>60.126086752966877</v>
      </c>
      <c r="FS102">
        <v>-0.18440008909967659</v>
      </c>
      <c r="FT102">
        <v>7.0504498278435052E-2</v>
      </c>
      <c r="FU102">
        <v>1</v>
      </c>
      <c r="FV102">
        <v>0.46237147093356151</v>
      </c>
      <c r="FW102">
        <v>2.7023158217327779E-2</v>
      </c>
      <c r="FX102">
        <v>2.1257361592894198E-3</v>
      </c>
      <c r="FY102">
        <v>1</v>
      </c>
      <c r="FZ102">
        <v>2</v>
      </c>
      <c r="GA102">
        <v>2</v>
      </c>
      <c r="GB102" t="s">
        <v>423</v>
      </c>
      <c r="GC102">
        <v>2.9443199999999998</v>
      </c>
      <c r="GD102">
        <v>2.7083499999999998</v>
      </c>
      <c r="GE102">
        <v>9.1832700000000003E-2</v>
      </c>
      <c r="GF102">
        <v>0.103571</v>
      </c>
      <c r="GG102">
        <v>0.12796099999999999</v>
      </c>
      <c r="GH102">
        <v>0.104187</v>
      </c>
      <c r="GI102">
        <v>29835.599999999999</v>
      </c>
      <c r="GJ102">
        <v>28733.599999999999</v>
      </c>
      <c r="GK102">
        <v>33852.199999999997</v>
      </c>
      <c r="GL102">
        <v>32097.1</v>
      </c>
      <c r="GM102">
        <v>42618.2</v>
      </c>
      <c r="GN102">
        <v>40915.4</v>
      </c>
      <c r="GO102">
        <v>49026.5</v>
      </c>
      <c r="GP102">
        <v>45438.6</v>
      </c>
      <c r="GQ102">
        <v>1.97505</v>
      </c>
      <c r="GR102">
        <v>1.74142</v>
      </c>
      <c r="GS102">
        <v>-1.45696E-2</v>
      </c>
      <c r="GT102">
        <v>0</v>
      </c>
      <c r="GU102">
        <v>30.221800000000002</v>
      </c>
      <c r="GV102">
        <v>999.9</v>
      </c>
      <c r="GW102">
        <v>29</v>
      </c>
      <c r="GX102">
        <v>47.6</v>
      </c>
      <c r="GY102">
        <v>32.2087</v>
      </c>
      <c r="GZ102">
        <v>59.982399999999998</v>
      </c>
      <c r="HA102">
        <v>26.0457</v>
      </c>
      <c r="HB102">
        <v>1</v>
      </c>
      <c r="HC102">
        <v>0.48661599999999999</v>
      </c>
      <c r="HD102">
        <v>2.7554599999999998</v>
      </c>
      <c r="HE102">
        <v>20.195599999999999</v>
      </c>
      <c r="HF102">
        <v>5.2662599999999999</v>
      </c>
      <c r="HG102">
        <v>12.039899999999999</v>
      </c>
      <c r="HH102">
        <v>4.9649999999999999</v>
      </c>
      <c r="HI102">
        <v>3.30037</v>
      </c>
      <c r="HJ102">
        <v>9999</v>
      </c>
      <c r="HK102">
        <v>9999</v>
      </c>
      <c r="HL102">
        <v>9999</v>
      </c>
      <c r="HM102">
        <v>999.9</v>
      </c>
      <c r="HN102">
        <v>1.8687400000000001</v>
      </c>
      <c r="HO102">
        <v>1.8724000000000001</v>
      </c>
      <c r="HP102">
        <v>1.8721000000000001</v>
      </c>
      <c r="HQ102">
        <v>1.87164</v>
      </c>
      <c r="HR102">
        <v>1.86483</v>
      </c>
      <c r="HS102">
        <v>1.86602</v>
      </c>
      <c r="HT102">
        <v>1.86798</v>
      </c>
      <c r="HU102">
        <v>1.8725799999999999</v>
      </c>
      <c r="HV102">
        <v>0</v>
      </c>
      <c r="HW102">
        <v>0</v>
      </c>
      <c r="HX102">
        <v>0</v>
      </c>
      <c r="HY102">
        <v>0</v>
      </c>
      <c r="HZ102" t="s">
        <v>424</v>
      </c>
      <c r="IA102" t="s">
        <v>425</v>
      </c>
      <c r="IB102" t="s">
        <v>426</v>
      </c>
      <c r="IC102" t="s">
        <v>426</v>
      </c>
      <c r="ID102" t="s">
        <v>426</v>
      </c>
      <c r="IE102" t="s">
        <v>426</v>
      </c>
      <c r="IF102">
        <v>0</v>
      </c>
      <c r="IG102">
        <v>100</v>
      </c>
      <c r="IH102">
        <v>100</v>
      </c>
      <c r="II102">
        <v>-1.514</v>
      </c>
      <c r="IJ102">
        <v>1.83E-2</v>
      </c>
      <c r="IK102">
        <v>-1.062413943975848</v>
      </c>
      <c r="IL102">
        <v>-1.171017271736434E-3</v>
      </c>
      <c r="IM102">
        <v>2.801297040296544E-7</v>
      </c>
      <c r="IN102">
        <v>-3.6238253961199429E-11</v>
      </c>
      <c r="IO102">
        <v>1.8347619047620611E-2</v>
      </c>
      <c r="IP102">
        <v>0</v>
      </c>
      <c r="IQ102">
        <v>0</v>
      </c>
      <c r="IR102">
        <v>0</v>
      </c>
      <c r="IS102">
        <v>0</v>
      </c>
      <c r="IT102">
        <v>2161</v>
      </c>
      <c r="IU102">
        <v>1</v>
      </c>
      <c r="IV102">
        <v>19</v>
      </c>
      <c r="IW102">
        <v>0.9</v>
      </c>
      <c r="IX102">
        <v>0.7</v>
      </c>
      <c r="IY102">
        <v>1.2341299999999999</v>
      </c>
      <c r="IZ102">
        <v>2.5366200000000001</v>
      </c>
      <c r="JA102">
        <v>1.4440900000000001</v>
      </c>
      <c r="JB102">
        <v>2.2814899999999998</v>
      </c>
      <c r="JC102">
        <v>1.54419</v>
      </c>
      <c r="JD102">
        <v>2.3571800000000001</v>
      </c>
      <c r="JE102">
        <v>51.398099999999999</v>
      </c>
      <c r="JF102">
        <v>23.982399999999998</v>
      </c>
      <c r="JG102">
        <v>18</v>
      </c>
      <c r="JH102">
        <v>511.61399999999998</v>
      </c>
      <c r="JI102">
        <v>400.41300000000001</v>
      </c>
      <c r="JJ102">
        <v>25.956</v>
      </c>
      <c r="JK102">
        <v>33.343000000000004</v>
      </c>
      <c r="JL102">
        <v>29.9999</v>
      </c>
      <c r="JM102">
        <v>33.210900000000002</v>
      </c>
      <c r="JN102">
        <v>33.165599999999998</v>
      </c>
      <c r="JO102">
        <v>24.819500000000001</v>
      </c>
      <c r="JP102">
        <v>37.748899999999999</v>
      </c>
      <c r="JQ102">
        <v>0</v>
      </c>
      <c r="JR102">
        <v>26.45</v>
      </c>
      <c r="JS102">
        <v>500</v>
      </c>
      <c r="JT102">
        <v>21.291899999999998</v>
      </c>
      <c r="JU102">
        <v>99.364000000000004</v>
      </c>
      <c r="JV102">
        <v>98.953599999999994</v>
      </c>
    </row>
    <row r="103" spans="1:282" x14ac:dyDescent="0.25">
      <c r="A103">
        <v>87</v>
      </c>
      <c r="B103">
        <v>1689015303.0999999</v>
      </c>
      <c r="C103">
        <v>16126.099999904631</v>
      </c>
      <c r="D103" t="s">
        <v>861</v>
      </c>
      <c r="E103" t="s">
        <v>862</v>
      </c>
      <c r="F103" t="s">
        <v>414</v>
      </c>
      <c r="G103" t="s">
        <v>415</v>
      </c>
      <c r="H103" t="s">
        <v>31</v>
      </c>
      <c r="I103" t="s">
        <v>416</v>
      </c>
      <c r="J103" t="s">
        <v>501</v>
      </c>
      <c r="K103">
        <v>1689015303.0999999</v>
      </c>
      <c r="L103">
        <f t="shared" si="92"/>
        <v>6.0753999196211791E-3</v>
      </c>
      <c r="M103">
        <f t="shared" si="93"/>
        <v>6.0753999196211792</v>
      </c>
      <c r="N103">
        <f t="shared" si="94"/>
        <v>61.210124298598856</v>
      </c>
      <c r="O103">
        <f t="shared" si="95"/>
        <v>622.04100000000005</v>
      </c>
      <c r="P103">
        <f t="shared" si="96"/>
        <v>369.72819371957547</v>
      </c>
      <c r="Q103">
        <f t="shared" si="97"/>
        <v>36.680581253283805</v>
      </c>
      <c r="R103">
        <f t="shared" si="98"/>
        <v>61.712430458250608</v>
      </c>
      <c r="S103">
        <f t="shared" si="99"/>
        <v>0.43603753774870668</v>
      </c>
      <c r="T103">
        <f t="shared" si="100"/>
        <v>2.9194600481356288</v>
      </c>
      <c r="U103">
        <f t="shared" si="101"/>
        <v>0.40282137280512353</v>
      </c>
      <c r="V103">
        <f t="shared" si="102"/>
        <v>0.25453651158365653</v>
      </c>
      <c r="W103">
        <f t="shared" si="103"/>
        <v>289.54891395832226</v>
      </c>
      <c r="X103">
        <f t="shared" si="104"/>
        <v>30.483731413086865</v>
      </c>
      <c r="Y103">
        <f t="shared" si="105"/>
        <v>30.079699999999999</v>
      </c>
      <c r="Z103">
        <f t="shared" si="106"/>
        <v>4.2799926473044598</v>
      </c>
      <c r="AA103">
        <f t="shared" si="107"/>
        <v>65.25138670263749</v>
      </c>
      <c r="AB103">
        <f t="shared" si="108"/>
        <v>2.8373743348426803</v>
      </c>
      <c r="AC103">
        <f t="shared" si="109"/>
        <v>4.3483740012654666</v>
      </c>
      <c r="AD103">
        <f t="shared" si="110"/>
        <v>1.4426183124617795</v>
      </c>
      <c r="AE103">
        <f t="shared" si="111"/>
        <v>-267.92513645529402</v>
      </c>
      <c r="AF103">
        <f t="shared" si="112"/>
        <v>43.503682283810718</v>
      </c>
      <c r="AG103">
        <f t="shared" si="113"/>
        <v>3.3204679062627624</v>
      </c>
      <c r="AH103">
        <f t="shared" si="114"/>
        <v>68.447927693101718</v>
      </c>
      <c r="AI103">
        <v>0</v>
      </c>
      <c r="AJ103">
        <v>0</v>
      </c>
      <c r="AK103">
        <f t="shared" si="115"/>
        <v>1</v>
      </c>
      <c r="AL103">
        <f t="shared" si="116"/>
        <v>0</v>
      </c>
      <c r="AM103">
        <f t="shared" si="117"/>
        <v>51985.169752856149</v>
      </c>
      <c r="AN103" t="s">
        <v>418</v>
      </c>
      <c r="AO103">
        <v>10076.700000000001</v>
      </c>
      <c r="AP103">
        <v>185.01599999999999</v>
      </c>
      <c r="AQ103">
        <v>473.06</v>
      </c>
      <c r="AR103">
        <f t="shared" si="118"/>
        <v>0.60889527755464423</v>
      </c>
      <c r="AS103">
        <v>-1.4827006201179751</v>
      </c>
      <c r="AT103" t="s">
        <v>863</v>
      </c>
      <c r="AU103">
        <v>8109.17</v>
      </c>
      <c r="AV103">
        <v>783.2896538461539</v>
      </c>
      <c r="AW103">
        <v>1306.3507869876821</v>
      </c>
      <c r="AX103">
        <f t="shared" si="119"/>
        <v>0.40039868184843086</v>
      </c>
      <c r="AY103">
        <v>0.5</v>
      </c>
      <c r="AZ103">
        <f t="shared" si="120"/>
        <v>1513.0922994602706</v>
      </c>
      <c r="BA103">
        <f t="shared" si="121"/>
        <v>61.210124298598856</v>
      </c>
      <c r="BB103">
        <f t="shared" si="122"/>
        <v>302.92008110945176</v>
      </c>
      <c r="BC103">
        <f t="shared" si="123"/>
        <v>4.1433576088570241E-2</v>
      </c>
      <c r="BD103">
        <f t="shared" si="124"/>
        <v>-0.63787674435376562</v>
      </c>
      <c r="BE103">
        <f t="shared" si="125"/>
        <v>246.51596704263639</v>
      </c>
      <c r="BF103" t="s">
        <v>864</v>
      </c>
      <c r="BG103">
        <v>579.87</v>
      </c>
      <c r="BH103">
        <f t="shared" si="126"/>
        <v>579.87</v>
      </c>
      <c r="BI103">
        <f t="shared" si="127"/>
        <v>0.55611463186153554</v>
      </c>
      <c r="BJ103">
        <f t="shared" si="128"/>
        <v>0.71999307140712732</v>
      </c>
      <c r="BK103">
        <f t="shared" si="129"/>
        <v>7.801617704219475</v>
      </c>
      <c r="BL103">
        <f t="shared" si="130"/>
        <v>0.46646295041524838</v>
      </c>
      <c r="BM103">
        <f t="shared" si="131"/>
        <v>-2.8929288129163675</v>
      </c>
      <c r="BN103">
        <f t="shared" si="132"/>
        <v>0.5330114859385755</v>
      </c>
      <c r="BO103">
        <f t="shared" si="133"/>
        <v>0.4669885140614245</v>
      </c>
      <c r="BP103">
        <v>9227</v>
      </c>
      <c r="BQ103">
        <v>290.00000000000011</v>
      </c>
      <c r="BR103">
        <v>1140.54</v>
      </c>
      <c r="BS103">
        <v>275</v>
      </c>
      <c r="BT103">
        <v>8109.17</v>
      </c>
      <c r="BU103">
        <v>1143.32</v>
      </c>
      <c r="BV103">
        <v>-2.78</v>
      </c>
      <c r="BW103">
        <v>300.00000000000011</v>
      </c>
      <c r="BX103">
        <v>19.2</v>
      </c>
      <c r="BY103">
        <v>1306.3507869876821</v>
      </c>
      <c r="BZ103">
        <v>3.9713848962180349</v>
      </c>
      <c r="CA103">
        <v>-132.2020028406784</v>
      </c>
      <c r="CB103">
        <v>2.9590211073752042</v>
      </c>
      <c r="CC103">
        <v>0.9861666175058923</v>
      </c>
      <c r="CD103">
        <v>-4.1778097886540633E-3</v>
      </c>
      <c r="CE103">
        <v>289.99999999999989</v>
      </c>
      <c r="CF103">
        <v>1139.58</v>
      </c>
      <c r="CG103">
        <v>645</v>
      </c>
      <c r="CH103">
        <v>8101.8</v>
      </c>
      <c r="CI103">
        <v>1143.17</v>
      </c>
      <c r="CJ103">
        <v>-3.59</v>
      </c>
      <c r="CX103">
        <f t="shared" si="134"/>
        <v>1799.89</v>
      </c>
      <c r="CY103">
        <f t="shared" si="135"/>
        <v>1513.0922994602706</v>
      </c>
      <c r="CZ103">
        <f t="shared" si="136"/>
        <v>0.84065820659055301</v>
      </c>
      <c r="DA103">
        <f t="shared" si="137"/>
        <v>0.16087033871976744</v>
      </c>
      <c r="DB103">
        <v>6</v>
      </c>
      <c r="DC103">
        <v>0.5</v>
      </c>
      <c r="DD103" t="s">
        <v>421</v>
      </c>
      <c r="DE103">
        <v>2</v>
      </c>
      <c r="DF103">
        <v>1689015303.0999999</v>
      </c>
      <c r="DG103">
        <v>622.04100000000005</v>
      </c>
      <c r="DH103">
        <v>700.01300000000003</v>
      </c>
      <c r="DI103">
        <v>28.599799999999998</v>
      </c>
      <c r="DJ103">
        <v>21.519200000000001</v>
      </c>
      <c r="DK103">
        <v>623.75699999999995</v>
      </c>
      <c r="DL103">
        <v>28.581499999999998</v>
      </c>
      <c r="DM103">
        <v>500.09699999999998</v>
      </c>
      <c r="DN103">
        <v>99.109800000000007</v>
      </c>
      <c r="DO103">
        <v>9.9786600000000003E-2</v>
      </c>
      <c r="DP103">
        <v>30.356100000000001</v>
      </c>
      <c r="DQ103">
        <v>30.079699999999999</v>
      </c>
      <c r="DR103">
        <v>999.9</v>
      </c>
      <c r="DS103">
        <v>0</v>
      </c>
      <c r="DT103">
        <v>0</v>
      </c>
      <c r="DU103">
        <v>10031.9</v>
      </c>
      <c r="DV103">
        <v>0</v>
      </c>
      <c r="DW103">
        <v>1948.31</v>
      </c>
      <c r="DX103">
        <v>-77.972399999999993</v>
      </c>
      <c r="DY103">
        <v>640.35500000000002</v>
      </c>
      <c r="DZ103">
        <v>715.40800000000002</v>
      </c>
      <c r="EA103">
        <v>7.0806399999999998</v>
      </c>
      <c r="EB103">
        <v>700.01300000000003</v>
      </c>
      <c r="EC103">
        <v>21.519200000000001</v>
      </c>
      <c r="ED103">
        <v>2.8345199999999999</v>
      </c>
      <c r="EE103">
        <v>2.1327600000000002</v>
      </c>
      <c r="EF103">
        <v>23.086500000000001</v>
      </c>
      <c r="EG103">
        <v>18.466000000000001</v>
      </c>
      <c r="EH103">
        <v>1799.89</v>
      </c>
      <c r="EI103">
        <v>0.97799999999999998</v>
      </c>
      <c r="EJ103">
        <v>2.2000100000000002E-2</v>
      </c>
      <c r="EK103">
        <v>0</v>
      </c>
      <c r="EL103">
        <v>783.38</v>
      </c>
      <c r="EM103">
        <v>5.00082</v>
      </c>
      <c r="EN103">
        <v>17312.2</v>
      </c>
      <c r="EO103">
        <v>14128.9</v>
      </c>
      <c r="EP103">
        <v>48.25</v>
      </c>
      <c r="EQ103">
        <v>50.311999999999998</v>
      </c>
      <c r="ER103">
        <v>49.311999999999998</v>
      </c>
      <c r="ES103">
        <v>49.561999999999998</v>
      </c>
      <c r="ET103">
        <v>49.686999999999998</v>
      </c>
      <c r="EU103">
        <v>1755.4</v>
      </c>
      <c r="EV103">
        <v>39.49</v>
      </c>
      <c r="EW103">
        <v>0</v>
      </c>
      <c r="EX103">
        <v>127.4000000953674</v>
      </c>
      <c r="EY103">
        <v>0</v>
      </c>
      <c r="EZ103">
        <v>783.2896538461539</v>
      </c>
      <c r="FA103">
        <v>-2.574359226521479E-2</v>
      </c>
      <c r="FB103">
        <v>59.620513019414616</v>
      </c>
      <c r="FC103">
        <v>17307.95</v>
      </c>
      <c r="FD103">
        <v>15</v>
      </c>
      <c r="FE103">
        <v>1689015264.5999999</v>
      </c>
      <c r="FF103" t="s">
        <v>865</v>
      </c>
      <c r="FG103">
        <v>1689015261.0999999</v>
      </c>
      <c r="FH103">
        <v>1689015132.0999999</v>
      </c>
      <c r="FI103">
        <v>96</v>
      </c>
      <c r="FJ103">
        <v>-2.3E-2</v>
      </c>
      <c r="FK103">
        <v>3.0000000000000001E-3</v>
      </c>
      <c r="FL103">
        <v>-1.782</v>
      </c>
      <c r="FM103">
        <v>1.7999999999999999E-2</v>
      </c>
      <c r="FN103">
        <v>700</v>
      </c>
      <c r="FO103">
        <v>21</v>
      </c>
      <c r="FP103">
        <v>0.03</v>
      </c>
      <c r="FQ103">
        <v>0.01</v>
      </c>
      <c r="FR103">
        <v>61.258927185116399</v>
      </c>
      <c r="FS103">
        <v>-0.63303280435293152</v>
      </c>
      <c r="FT103">
        <v>0.11320235683854669</v>
      </c>
      <c r="FU103">
        <v>1</v>
      </c>
      <c r="FV103">
        <v>0.44020772353103621</v>
      </c>
      <c r="FW103">
        <v>2.6810023130251731E-3</v>
      </c>
      <c r="FX103">
        <v>4.5167394625257519E-4</v>
      </c>
      <c r="FY103">
        <v>1</v>
      </c>
      <c r="FZ103">
        <v>2</v>
      </c>
      <c r="GA103">
        <v>2</v>
      </c>
      <c r="GB103" t="s">
        <v>423</v>
      </c>
      <c r="GC103">
        <v>2.9443999999999999</v>
      </c>
      <c r="GD103">
        <v>2.70872</v>
      </c>
      <c r="GE103">
        <v>0.121021</v>
      </c>
      <c r="GF103">
        <v>0.13122600000000001</v>
      </c>
      <c r="GG103">
        <v>0.12762599999999999</v>
      </c>
      <c r="GH103">
        <v>0.104672</v>
      </c>
      <c r="GI103">
        <v>28872.7</v>
      </c>
      <c r="GJ103">
        <v>27843.3</v>
      </c>
      <c r="GK103">
        <v>33848.199999999997</v>
      </c>
      <c r="GL103">
        <v>32093.4</v>
      </c>
      <c r="GM103">
        <v>42630.9</v>
      </c>
      <c r="GN103">
        <v>40889.4</v>
      </c>
      <c r="GO103">
        <v>49021.4</v>
      </c>
      <c r="GP103">
        <v>45433.599999999999</v>
      </c>
      <c r="GQ103">
        <v>1.9746999999999999</v>
      </c>
      <c r="GR103">
        <v>1.74098</v>
      </c>
      <c r="GS103">
        <v>-1.6294400000000001E-2</v>
      </c>
      <c r="GT103">
        <v>0</v>
      </c>
      <c r="GU103">
        <v>30.344799999999999</v>
      </c>
      <c r="GV103">
        <v>999.9</v>
      </c>
      <c r="GW103">
        <v>29</v>
      </c>
      <c r="GX103">
        <v>47.7</v>
      </c>
      <c r="GY103">
        <v>32.374899999999997</v>
      </c>
      <c r="GZ103">
        <v>60.032499999999999</v>
      </c>
      <c r="HA103">
        <v>26.4864</v>
      </c>
      <c r="HB103">
        <v>1</v>
      </c>
      <c r="HC103">
        <v>0.491367</v>
      </c>
      <c r="HD103">
        <v>3.4552900000000002</v>
      </c>
      <c r="HE103">
        <v>20.185300000000002</v>
      </c>
      <c r="HF103">
        <v>5.2697000000000003</v>
      </c>
      <c r="HG103">
        <v>12.039899999999999</v>
      </c>
      <c r="HH103">
        <v>4.9658499999999997</v>
      </c>
      <c r="HI103">
        <v>3.3010000000000002</v>
      </c>
      <c r="HJ103">
        <v>9999</v>
      </c>
      <c r="HK103">
        <v>9999</v>
      </c>
      <c r="HL103">
        <v>9999</v>
      </c>
      <c r="HM103">
        <v>999.9</v>
      </c>
      <c r="HN103">
        <v>1.8687400000000001</v>
      </c>
      <c r="HO103">
        <v>1.8724099999999999</v>
      </c>
      <c r="HP103">
        <v>1.8721000000000001</v>
      </c>
      <c r="HQ103">
        <v>1.87164</v>
      </c>
      <c r="HR103">
        <v>1.8648800000000001</v>
      </c>
      <c r="HS103">
        <v>1.8660300000000001</v>
      </c>
      <c r="HT103">
        <v>1.8680300000000001</v>
      </c>
      <c r="HU103">
        <v>1.8725799999999999</v>
      </c>
      <c r="HV103">
        <v>0</v>
      </c>
      <c r="HW103">
        <v>0</v>
      </c>
      <c r="HX103">
        <v>0</v>
      </c>
      <c r="HY103">
        <v>0</v>
      </c>
      <c r="HZ103" t="s">
        <v>424</v>
      </c>
      <c r="IA103" t="s">
        <v>425</v>
      </c>
      <c r="IB103" t="s">
        <v>426</v>
      </c>
      <c r="IC103" t="s">
        <v>426</v>
      </c>
      <c r="ID103" t="s">
        <v>426</v>
      </c>
      <c r="IE103" t="s">
        <v>426</v>
      </c>
      <c r="IF103">
        <v>0</v>
      </c>
      <c r="IG103">
        <v>100</v>
      </c>
      <c r="IH103">
        <v>100</v>
      </c>
      <c r="II103">
        <v>-1.716</v>
      </c>
      <c r="IJ103">
        <v>1.83E-2</v>
      </c>
      <c r="IK103">
        <v>-1.0855571450783961</v>
      </c>
      <c r="IL103">
        <v>-1.171017271736434E-3</v>
      </c>
      <c r="IM103">
        <v>2.801297040296544E-7</v>
      </c>
      <c r="IN103">
        <v>-3.6238253961199429E-11</v>
      </c>
      <c r="IO103">
        <v>1.8347619047620611E-2</v>
      </c>
      <c r="IP103">
        <v>0</v>
      </c>
      <c r="IQ103">
        <v>0</v>
      </c>
      <c r="IR103">
        <v>0</v>
      </c>
      <c r="IS103">
        <v>0</v>
      </c>
      <c r="IT103">
        <v>2161</v>
      </c>
      <c r="IU103">
        <v>1</v>
      </c>
      <c r="IV103">
        <v>19</v>
      </c>
      <c r="IW103">
        <v>0.7</v>
      </c>
      <c r="IX103">
        <v>2.9</v>
      </c>
      <c r="IY103">
        <v>1.62476</v>
      </c>
      <c r="IZ103">
        <v>2.52563</v>
      </c>
      <c r="JA103">
        <v>1.4440900000000001</v>
      </c>
      <c r="JB103">
        <v>2.2814899999999998</v>
      </c>
      <c r="JC103">
        <v>1.54419</v>
      </c>
      <c r="JD103">
        <v>2.3010299999999999</v>
      </c>
      <c r="JE103">
        <v>51.531500000000001</v>
      </c>
      <c r="JF103">
        <v>23.9649</v>
      </c>
      <c r="JG103">
        <v>18</v>
      </c>
      <c r="JH103">
        <v>511.38499999999999</v>
      </c>
      <c r="JI103">
        <v>400.161</v>
      </c>
      <c r="JJ103">
        <v>25.808199999999999</v>
      </c>
      <c r="JK103">
        <v>33.3705</v>
      </c>
      <c r="JL103">
        <v>30.000499999999999</v>
      </c>
      <c r="JM103">
        <v>33.2117</v>
      </c>
      <c r="JN103">
        <v>33.168500000000002</v>
      </c>
      <c r="JO103">
        <v>32.665799999999997</v>
      </c>
      <c r="JP103">
        <v>37.527999999999999</v>
      </c>
      <c r="JQ103">
        <v>0</v>
      </c>
      <c r="JR103">
        <v>25.7699</v>
      </c>
      <c r="JS103">
        <v>700</v>
      </c>
      <c r="JT103">
        <v>21.444400000000002</v>
      </c>
      <c r="JU103">
        <v>99.353099999999998</v>
      </c>
      <c r="JV103">
        <v>98.942499999999995</v>
      </c>
    </row>
    <row r="104" spans="1:282" x14ac:dyDescent="0.25">
      <c r="A104">
        <v>88</v>
      </c>
      <c r="B104">
        <v>1689015434.0999999</v>
      </c>
      <c r="C104">
        <v>16257.099999904631</v>
      </c>
      <c r="D104" t="s">
        <v>866</v>
      </c>
      <c r="E104" t="s">
        <v>867</v>
      </c>
      <c r="F104" t="s">
        <v>414</v>
      </c>
      <c r="G104" t="s">
        <v>415</v>
      </c>
      <c r="H104" t="s">
        <v>31</v>
      </c>
      <c r="I104" t="s">
        <v>416</v>
      </c>
      <c r="J104" t="s">
        <v>501</v>
      </c>
      <c r="K104">
        <v>1689015434.0999999</v>
      </c>
      <c r="L104">
        <f t="shared" si="92"/>
        <v>5.7204348363620273E-3</v>
      </c>
      <c r="M104">
        <f t="shared" si="93"/>
        <v>5.7204348363620277</v>
      </c>
      <c r="N104">
        <f t="shared" si="94"/>
        <v>60.806082029913426</v>
      </c>
      <c r="O104">
        <f t="shared" si="95"/>
        <v>821.24400000000003</v>
      </c>
      <c r="P104">
        <f t="shared" si="96"/>
        <v>551.67134005438697</v>
      </c>
      <c r="Q104">
        <f t="shared" si="97"/>
        <v>54.731166957386407</v>
      </c>
      <c r="R104">
        <f t="shared" si="98"/>
        <v>81.475398871220406</v>
      </c>
      <c r="S104">
        <f t="shared" si="99"/>
        <v>0.40976332286203615</v>
      </c>
      <c r="T104">
        <f t="shared" si="100"/>
        <v>2.9159686430110883</v>
      </c>
      <c r="U104">
        <f t="shared" si="101"/>
        <v>0.38025199496684475</v>
      </c>
      <c r="V104">
        <f t="shared" si="102"/>
        <v>0.24013161576654302</v>
      </c>
      <c r="W104">
        <f t="shared" si="103"/>
        <v>289.54195095856284</v>
      </c>
      <c r="X104">
        <f t="shared" si="104"/>
        <v>30.397358064512243</v>
      </c>
      <c r="Y104">
        <f t="shared" si="105"/>
        <v>29.946899999999999</v>
      </c>
      <c r="Z104">
        <f t="shared" si="106"/>
        <v>4.2474725707410101</v>
      </c>
      <c r="AA104">
        <f t="shared" si="107"/>
        <v>65.243124972505115</v>
      </c>
      <c r="AB104">
        <f t="shared" si="108"/>
        <v>2.8080521559132197</v>
      </c>
      <c r="AC104">
        <f t="shared" si="109"/>
        <v>4.3039816947710499</v>
      </c>
      <c r="AD104">
        <f t="shared" si="110"/>
        <v>1.4394204148277905</v>
      </c>
      <c r="AE104">
        <f t="shared" si="111"/>
        <v>-252.27117628356541</v>
      </c>
      <c r="AF104">
        <f t="shared" si="112"/>
        <v>36.188752481159568</v>
      </c>
      <c r="AG104">
        <f t="shared" si="113"/>
        <v>2.761191246725538</v>
      </c>
      <c r="AH104">
        <f t="shared" si="114"/>
        <v>76.220718402882554</v>
      </c>
      <c r="AI104">
        <v>0</v>
      </c>
      <c r="AJ104">
        <v>0</v>
      </c>
      <c r="AK104">
        <f t="shared" si="115"/>
        <v>1</v>
      </c>
      <c r="AL104">
        <f t="shared" si="116"/>
        <v>0</v>
      </c>
      <c r="AM104">
        <f t="shared" si="117"/>
        <v>51916.503017145791</v>
      </c>
      <c r="AN104" t="s">
        <v>418</v>
      </c>
      <c r="AO104">
        <v>10076.700000000001</v>
      </c>
      <c r="AP104">
        <v>185.01599999999999</v>
      </c>
      <c r="AQ104">
        <v>473.06</v>
      </c>
      <c r="AR104">
        <f t="shared" si="118"/>
        <v>0.60889527755464423</v>
      </c>
      <c r="AS104">
        <v>-1.4827006201179751</v>
      </c>
      <c r="AT104" t="s">
        <v>868</v>
      </c>
      <c r="AU104">
        <v>8106.95</v>
      </c>
      <c r="AV104">
        <v>778.56887999999992</v>
      </c>
      <c r="AW104">
        <v>1305.303260043532</v>
      </c>
      <c r="AX104">
        <f t="shared" si="119"/>
        <v>0.40353410289189462</v>
      </c>
      <c r="AY104">
        <v>0.5</v>
      </c>
      <c r="AZ104">
        <f t="shared" si="120"/>
        <v>1513.0583994603951</v>
      </c>
      <c r="BA104">
        <f t="shared" si="121"/>
        <v>60.806082029913426</v>
      </c>
      <c r="BB104">
        <f t="shared" si="122"/>
        <v>305.28533192464823</v>
      </c>
      <c r="BC104">
        <f t="shared" si="123"/>
        <v>4.1167467608815081E-2</v>
      </c>
      <c r="BD104">
        <f t="shared" si="124"/>
        <v>-0.63758613459356306</v>
      </c>
      <c r="BE104">
        <f t="shared" si="125"/>
        <v>246.47864045296689</v>
      </c>
      <c r="BF104" t="s">
        <v>869</v>
      </c>
      <c r="BG104">
        <v>579.35</v>
      </c>
      <c r="BH104">
        <f t="shared" si="126"/>
        <v>579.35</v>
      </c>
      <c r="BI104">
        <f t="shared" si="127"/>
        <v>0.55615678154310388</v>
      </c>
      <c r="BJ104">
        <f t="shared" si="128"/>
        <v>0.725576161765492</v>
      </c>
      <c r="BK104">
        <f t="shared" si="129"/>
        <v>7.8299300032320245</v>
      </c>
      <c r="BL104">
        <f t="shared" si="130"/>
        <v>0.47017796134097278</v>
      </c>
      <c r="BM104">
        <f t="shared" si="131"/>
        <v>-2.8892921221880408</v>
      </c>
      <c r="BN104">
        <f t="shared" si="132"/>
        <v>0.53991696832120728</v>
      </c>
      <c r="BO104">
        <f t="shared" si="133"/>
        <v>0.46008303167879272</v>
      </c>
      <c r="BP104">
        <v>9229</v>
      </c>
      <c r="BQ104">
        <v>290.00000000000011</v>
      </c>
      <c r="BR104">
        <v>1135.77</v>
      </c>
      <c r="BS104">
        <v>295</v>
      </c>
      <c r="BT104">
        <v>8106.95</v>
      </c>
      <c r="BU104">
        <v>1138.3399999999999</v>
      </c>
      <c r="BV104">
        <v>-2.57</v>
      </c>
      <c r="BW104">
        <v>300.00000000000011</v>
      </c>
      <c r="BX104">
        <v>19.2</v>
      </c>
      <c r="BY104">
        <v>1305.303260043532</v>
      </c>
      <c r="BZ104">
        <v>5.0766224311350729</v>
      </c>
      <c r="CA104">
        <v>-135.35900700591421</v>
      </c>
      <c r="CB104">
        <v>3.7816835766047632</v>
      </c>
      <c r="CC104">
        <v>0.97861226755912079</v>
      </c>
      <c r="CD104">
        <v>-4.1770413793103516E-3</v>
      </c>
      <c r="CE104">
        <v>289.99999999999989</v>
      </c>
      <c r="CF104">
        <v>1133.99</v>
      </c>
      <c r="CG104">
        <v>645</v>
      </c>
      <c r="CH104">
        <v>8099.99</v>
      </c>
      <c r="CI104">
        <v>1138.19</v>
      </c>
      <c r="CJ104">
        <v>-4.2</v>
      </c>
      <c r="CX104">
        <f t="shared" si="134"/>
        <v>1799.85</v>
      </c>
      <c r="CY104">
        <f t="shared" si="135"/>
        <v>1513.0583994603951</v>
      </c>
      <c r="CZ104">
        <f t="shared" si="136"/>
        <v>0.84065805453809772</v>
      </c>
      <c r="DA104">
        <f t="shared" si="137"/>
        <v>0.16087004525852869</v>
      </c>
      <c r="DB104">
        <v>6</v>
      </c>
      <c r="DC104">
        <v>0.5</v>
      </c>
      <c r="DD104" t="s">
        <v>421</v>
      </c>
      <c r="DE104">
        <v>2</v>
      </c>
      <c r="DF104">
        <v>1689015434.0999999</v>
      </c>
      <c r="DG104">
        <v>821.24400000000003</v>
      </c>
      <c r="DH104">
        <v>899.83900000000006</v>
      </c>
      <c r="DI104">
        <v>28.304200000000002</v>
      </c>
      <c r="DJ104">
        <v>21.634799999999998</v>
      </c>
      <c r="DK104">
        <v>823.29</v>
      </c>
      <c r="DL104">
        <v>28.291399999999999</v>
      </c>
      <c r="DM104">
        <v>500.06200000000001</v>
      </c>
      <c r="DN104">
        <v>99.109899999999996</v>
      </c>
      <c r="DO104">
        <v>9.9834099999999995E-2</v>
      </c>
      <c r="DP104">
        <v>30.177099999999999</v>
      </c>
      <c r="DQ104">
        <v>29.946899999999999</v>
      </c>
      <c r="DR104">
        <v>999.9</v>
      </c>
      <c r="DS104">
        <v>0</v>
      </c>
      <c r="DT104">
        <v>0</v>
      </c>
      <c r="DU104">
        <v>10011.9</v>
      </c>
      <c r="DV104">
        <v>0</v>
      </c>
      <c r="DW104">
        <v>1949.65</v>
      </c>
      <c r="DX104">
        <v>-78.595399999999998</v>
      </c>
      <c r="DY104">
        <v>845.16499999999996</v>
      </c>
      <c r="DZ104">
        <v>919.73800000000006</v>
      </c>
      <c r="EA104">
        <v>6.6693800000000003</v>
      </c>
      <c r="EB104">
        <v>899.83900000000006</v>
      </c>
      <c r="EC104">
        <v>21.634799999999998</v>
      </c>
      <c r="ED104">
        <v>2.8052199999999998</v>
      </c>
      <c r="EE104">
        <v>2.1442199999999998</v>
      </c>
      <c r="EF104">
        <v>22.914899999999999</v>
      </c>
      <c r="EG104">
        <v>18.551600000000001</v>
      </c>
      <c r="EH104">
        <v>1799.85</v>
      </c>
      <c r="EI104">
        <v>0.97800399999999998</v>
      </c>
      <c r="EJ104">
        <v>2.1996499999999999E-2</v>
      </c>
      <c r="EK104">
        <v>0</v>
      </c>
      <c r="EL104">
        <v>777.71299999999997</v>
      </c>
      <c r="EM104">
        <v>5.00082</v>
      </c>
      <c r="EN104">
        <v>17245.900000000001</v>
      </c>
      <c r="EO104">
        <v>14128.6</v>
      </c>
      <c r="EP104">
        <v>48.561999999999998</v>
      </c>
      <c r="EQ104">
        <v>50.561999999999998</v>
      </c>
      <c r="ER104">
        <v>49.625</v>
      </c>
      <c r="ES104">
        <v>49.936999999999998</v>
      </c>
      <c r="ET104">
        <v>49.936999999999998</v>
      </c>
      <c r="EU104">
        <v>1755.37</v>
      </c>
      <c r="EV104">
        <v>39.479999999999997</v>
      </c>
      <c r="EW104">
        <v>0</v>
      </c>
      <c r="EX104">
        <v>129.20000004768369</v>
      </c>
      <c r="EY104">
        <v>0</v>
      </c>
      <c r="EZ104">
        <v>778.56887999999992</v>
      </c>
      <c r="FA104">
        <v>-4.149692319571332</v>
      </c>
      <c r="FB104">
        <v>18.869230722796932</v>
      </c>
      <c r="FC104">
        <v>17248.88</v>
      </c>
      <c r="FD104">
        <v>15</v>
      </c>
      <c r="FE104">
        <v>1689015379.5999999</v>
      </c>
      <c r="FF104" t="s">
        <v>870</v>
      </c>
      <c r="FG104">
        <v>1689015379.5999999</v>
      </c>
      <c r="FH104">
        <v>1689015378.5999999</v>
      </c>
      <c r="FI104">
        <v>97</v>
      </c>
      <c r="FJ104">
        <v>-0.16600000000000001</v>
      </c>
      <c r="FK104">
        <v>-6.0000000000000001E-3</v>
      </c>
      <c r="FL104">
        <v>-2.1059999999999999</v>
      </c>
      <c r="FM104">
        <v>1.2999999999999999E-2</v>
      </c>
      <c r="FN104">
        <v>900</v>
      </c>
      <c r="FO104">
        <v>21</v>
      </c>
      <c r="FP104">
        <v>0.02</v>
      </c>
      <c r="FQ104">
        <v>0.01</v>
      </c>
      <c r="FR104">
        <v>60.978183257700401</v>
      </c>
      <c r="FS104">
        <v>0.48892205707238362</v>
      </c>
      <c r="FT104">
        <v>6.9239246759558115E-2</v>
      </c>
      <c r="FU104">
        <v>1</v>
      </c>
      <c r="FV104">
        <v>0.40950452500441947</v>
      </c>
      <c r="FW104">
        <v>1.427751209968162E-2</v>
      </c>
      <c r="FX104">
        <v>1.620210972091444E-3</v>
      </c>
      <c r="FY104">
        <v>1</v>
      </c>
      <c r="FZ104">
        <v>2</v>
      </c>
      <c r="GA104">
        <v>2</v>
      </c>
      <c r="GB104" t="s">
        <v>423</v>
      </c>
      <c r="GC104">
        <v>2.9442400000000002</v>
      </c>
      <c r="GD104">
        <v>2.7086000000000001</v>
      </c>
      <c r="GE104">
        <v>0.14602499999999999</v>
      </c>
      <c r="GF104">
        <v>0.155026</v>
      </c>
      <c r="GG104">
        <v>0.12671299999999999</v>
      </c>
      <c r="GH104">
        <v>0.10505399999999999</v>
      </c>
      <c r="GI104">
        <v>28044.9</v>
      </c>
      <c r="GJ104">
        <v>27073</v>
      </c>
      <c r="GK104">
        <v>33842</v>
      </c>
      <c r="GL104">
        <v>32086.3</v>
      </c>
      <c r="GM104">
        <v>42669.599999999999</v>
      </c>
      <c r="GN104">
        <v>40863.800000000003</v>
      </c>
      <c r="GO104">
        <v>49013.3</v>
      </c>
      <c r="GP104">
        <v>45423.7</v>
      </c>
      <c r="GQ104">
        <v>1.97333</v>
      </c>
      <c r="GR104">
        <v>1.7402500000000001</v>
      </c>
      <c r="GS104">
        <v>-2.3871699999999999E-2</v>
      </c>
      <c r="GT104">
        <v>0</v>
      </c>
      <c r="GU104">
        <v>30.3353</v>
      </c>
      <c r="GV104">
        <v>999.9</v>
      </c>
      <c r="GW104">
        <v>28.9</v>
      </c>
      <c r="GX104">
        <v>47.8</v>
      </c>
      <c r="GY104">
        <v>32.423400000000001</v>
      </c>
      <c r="GZ104">
        <v>60.1325</v>
      </c>
      <c r="HA104">
        <v>26.770800000000001</v>
      </c>
      <c r="HB104">
        <v>1</v>
      </c>
      <c r="HC104">
        <v>0.49721300000000002</v>
      </c>
      <c r="HD104">
        <v>2.6583600000000001</v>
      </c>
      <c r="HE104">
        <v>20.1996</v>
      </c>
      <c r="HF104">
        <v>5.2629599999999996</v>
      </c>
      <c r="HG104">
        <v>12.039899999999999</v>
      </c>
      <c r="HH104">
        <v>4.9652500000000002</v>
      </c>
      <c r="HI104">
        <v>3.30023</v>
      </c>
      <c r="HJ104">
        <v>9999</v>
      </c>
      <c r="HK104">
        <v>9999</v>
      </c>
      <c r="HL104">
        <v>9999</v>
      </c>
      <c r="HM104">
        <v>999.9</v>
      </c>
      <c r="HN104">
        <v>1.86873</v>
      </c>
      <c r="HO104">
        <v>1.8724000000000001</v>
      </c>
      <c r="HP104">
        <v>1.8721000000000001</v>
      </c>
      <c r="HQ104">
        <v>1.87164</v>
      </c>
      <c r="HR104">
        <v>1.86487</v>
      </c>
      <c r="HS104">
        <v>1.8660399999999999</v>
      </c>
      <c r="HT104">
        <v>1.86798</v>
      </c>
      <c r="HU104">
        <v>1.87256</v>
      </c>
      <c r="HV104">
        <v>0</v>
      </c>
      <c r="HW104">
        <v>0</v>
      </c>
      <c r="HX104">
        <v>0</v>
      </c>
      <c r="HY104">
        <v>0</v>
      </c>
      <c r="HZ104" t="s">
        <v>424</v>
      </c>
      <c r="IA104" t="s">
        <v>425</v>
      </c>
      <c r="IB104" t="s">
        <v>426</v>
      </c>
      <c r="IC104" t="s">
        <v>426</v>
      </c>
      <c r="ID104" t="s">
        <v>426</v>
      </c>
      <c r="IE104" t="s">
        <v>426</v>
      </c>
      <c r="IF104">
        <v>0</v>
      </c>
      <c r="IG104">
        <v>100</v>
      </c>
      <c r="IH104">
        <v>100</v>
      </c>
      <c r="II104">
        <v>-2.0459999999999998</v>
      </c>
      <c r="IJ104">
        <v>1.2800000000000001E-2</v>
      </c>
      <c r="IK104">
        <v>-1.2513653819137851</v>
      </c>
      <c r="IL104">
        <v>-1.171017271736434E-3</v>
      </c>
      <c r="IM104">
        <v>2.801297040296544E-7</v>
      </c>
      <c r="IN104">
        <v>-3.6238253961199429E-11</v>
      </c>
      <c r="IO104">
        <v>1.2745000000002451E-2</v>
      </c>
      <c r="IP104">
        <v>0</v>
      </c>
      <c r="IQ104">
        <v>0</v>
      </c>
      <c r="IR104">
        <v>0</v>
      </c>
      <c r="IS104">
        <v>0</v>
      </c>
      <c r="IT104">
        <v>2161</v>
      </c>
      <c r="IU104">
        <v>1</v>
      </c>
      <c r="IV104">
        <v>19</v>
      </c>
      <c r="IW104">
        <v>0.9</v>
      </c>
      <c r="IX104">
        <v>0.9</v>
      </c>
      <c r="IY104">
        <v>1.9982899999999999</v>
      </c>
      <c r="IZ104">
        <v>2.50122</v>
      </c>
      <c r="JA104">
        <v>1.4440900000000001</v>
      </c>
      <c r="JB104">
        <v>2.2814899999999998</v>
      </c>
      <c r="JC104">
        <v>1.54419</v>
      </c>
      <c r="JD104">
        <v>2.4597199999999999</v>
      </c>
      <c r="JE104">
        <v>51.598399999999998</v>
      </c>
      <c r="JF104">
        <v>24.017499999999998</v>
      </c>
      <c r="JG104">
        <v>18</v>
      </c>
      <c r="JH104">
        <v>510.96699999999998</v>
      </c>
      <c r="JI104">
        <v>400.10399999999998</v>
      </c>
      <c r="JJ104">
        <v>25.683700000000002</v>
      </c>
      <c r="JK104">
        <v>33.469200000000001</v>
      </c>
      <c r="JL104">
        <v>29.9983</v>
      </c>
      <c r="JM104">
        <v>33.273499999999999</v>
      </c>
      <c r="JN104">
        <v>33.226100000000002</v>
      </c>
      <c r="JO104">
        <v>40.169499999999999</v>
      </c>
      <c r="JP104">
        <v>36.753999999999998</v>
      </c>
      <c r="JQ104">
        <v>0</v>
      </c>
      <c r="JR104">
        <v>25.744199999999999</v>
      </c>
      <c r="JS104">
        <v>900</v>
      </c>
      <c r="JT104">
        <v>21.64</v>
      </c>
      <c r="JU104">
        <v>99.335999999999999</v>
      </c>
      <c r="JV104">
        <v>98.9208</v>
      </c>
    </row>
    <row r="105" spans="1:282" x14ac:dyDescent="0.25">
      <c r="A105">
        <v>89</v>
      </c>
      <c r="B105">
        <v>1689015562.5</v>
      </c>
      <c r="C105">
        <v>16385.5</v>
      </c>
      <c r="D105" t="s">
        <v>871</v>
      </c>
      <c r="E105" t="s">
        <v>872</v>
      </c>
      <c r="F105" t="s">
        <v>414</v>
      </c>
      <c r="G105" t="s">
        <v>415</v>
      </c>
      <c r="H105" t="s">
        <v>31</v>
      </c>
      <c r="I105" t="s">
        <v>416</v>
      </c>
      <c r="J105" t="s">
        <v>501</v>
      </c>
      <c r="K105">
        <v>1689015562.5</v>
      </c>
      <c r="L105">
        <f t="shared" si="92"/>
        <v>5.502550511168644E-3</v>
      </c>
      <c r="M105">
        <f t="shared" si="93"/>
        <v>5.5025505111686437</v>
      </c>
      <c r="N105">
        <f t="shared" si="94"/>
        <v>59.61043578480826</v>
      </c>
      <c r="O105">
        <f t="shared" si="95"/>
        <v>1121.01</v>
      </c>
      <c r="P105">
        <f t="shared" si="96"/>
        <v>837.95978971481304</v>
      </c>
      <c r="Q105">
        <f t="shared" si="97"/>
        <v>83.128778627714567</v>
      </c>
      <c r="R105">
        <f t="shared" si="98"/>
        <v>111.20842941780001</v>
      </c>
      <c r="S105">
        <f t="shared" si="99"/>
        <v>0.39075661340660039</v>
      </c>
      <c r="T105">
        <f t="shared" si="100"/>
        <v>2.9132292425620863</v>
      </c>
      <c r="U105">
        <f t="shared" si="101"/>
        <v>0.36379963672544652</v>
      </c>
      <c r="V105">
        <f t="shared" si="102"/>
        <v>0.22964159195711981</v>
      </c>
      <c r="W105">
        <f t="shared" si="103"/>
        <v>289.59635595796254</v>
      </c>
      <c r="X105">
        <f t="shared" si="104"/>
        <v>30.505796158306325</v>
      </c>
      <c r="Y105">
        <f t="shared" si="105"/>
        <v>30.011700000000001</v>
      </c>
      <c r="Z105">
        <f t="shared" si="106"/>
        <v>4.2633137969128736</v>
      </c>
      <c r="AA105">
        <f t="shared" si="107"/>
        <v>65.245013674122504</v>
      </c>
      <c r="AB105">
        <f t="shared" si="108"/>
        <v>2.8163754734439999</v>
      </c>
      <c r="AC105">
        <f t="shared" si="109"/>
        <v>4.3166141209056583</v>
      </c>
      <c r="AD105">
        <f t="shared" si="110"/>
        <v>1.4469383234688737</v>
      </c>
      <c r="AE105">
        <f t="shared" si="111"/>
        <v>-242.6624775425372</v>
      </c>
      <c r="AF105">
        <f t="shared" si="112"/>
        <v>34.003060231264051</v>
      </c>
      <c r="AG105">
        <f t="shared" si="113"/>
        <v>2.5983531028535611</v>
      </c>
      <c r="AH105">
        <f t="shared" si="114"/>
        <v>83.535291749542921</v>
      </c>
      <c r="AI105">
        <v>0</v>
      </c>
      <c r="AJ105">
        <v>0</v>
      </c>
      <c r="AK105">
        <f t="shared" si="115"/>
        <v>1</v>
      </c>
      <c r="AL105">
        <f t="shared" si="116"/>
        <v>0</v>
      </c>
      <c r="AM105">
        <f t="shared" si="117"/>
        <v>51829.722962566862</v>
      </c>
      <c r="AN105" t="s">
        <v>418</v>
      </c>
      <c r="AO105">
        <v>10076.700000000001</v>
      </c>
      <c r="AP105">
        <v>185.01599999999999</v>
      </c>
      <c r="AQ105">
        <v>473.06</v>
      </c>
      <c r="AR105">
        <f t="shared" si="118"/>
        <v>0.60889527755464423</v>
      </c>
      <c r="AS105">
        <v>-1.4827006201179751</v>
      </c>
      <c r="AT105" t="s">
        <v>873</v>
      </c>
      <c r="AU105">
        <v>8105.82</v>
      </c>
      <c r="AV105">
        <v>770.76846153846157</v>
      </c>
      <c r="AW105">
        <v>1299.324882106637</v>
      </c>
      <c r="AX105">
        <f t="shared" si="119"/>
        <v>0.40679311837021859</v>
      </c>
      <c r="AY105">
        <v>0.5</v>
      </c>
      <c r="AZ105">
        <f t="shared" si="120"/>
        <v>1513.3364994600843</v>
      </c>
      <c r="BA105">
        <f t="shared" si="121"/>
        <v>59.61043578480826</v>
      </c>
      <c r="BB105">
        <f t="shared" si="122"/>
        <v>307.80743687941913</v>
      </c>
      <c r="BC105">
        <f t="shared" si="123"/>
        <v>4.0369829464050155E-2</v>
      </c>
      <c r="BD105">
        <f t="shared" si="124"/>
        <v>-0.63591861703363006</v>
      </c>
      <c r="BE105">
        <f t="shared" si="125"/>
        <v>246.26467896718952</v>
      </c>
      <c r="BF105" t="s">
        <v>874</v>
      </c>
      <c r="BG105">
        <v>576.64</v>
      </c>
      <c r="BH105">
        <f t="shared" si="126"/>
        <v>576.64</v>
      </c>
      <c r="BI105">
        <f t="shared" si="127"/>
        <v>0.55620029452135555</v>
      </c>
      <c r="BJ105">
        <f t="shared" si="128"/>
        <v>0.73137882589632386</v>
      </c>
      <c r="BK105">
        <f t="shared" si="129"/>
        <v>7.9770697249144353</v>
      </c>
      <c r="BL105">
        <f t="shared" si="130"/>
        <v>0.47433564342493839</v>
      </c>
      <c r="BM105">
        <f t="shared" si="131"/>
        <v>-2.8685370363785987</v>
      </c>
      <c r="BN105">
        <f t="shared" si="132"/>
        <v>0.54717117683182614</v>
      </c>
      <c r="BO105">
        <f t="shared" si="133"/>
        <v>0.45282882316817386</v>
      </c>
      <c r="BP105">
        <v>9231</v>
      </c>
      <c r="BQ105">
        <v>290.00000000000011</v>
      </c>
      <c r="BR105">
        <v>1126.58</v>
      </c>
      <c r="BS105">
        <v>275</v>
      </c>
      <c r="BT105">
        <v>8105.82</v>
      </c>
      <c r="BU105">
        <v>1129.0899999999999</v>
      </c>
      <c r="BV105">
        <v>-2.5099999999999998</v>
      </c>
      <c r="BW105">
        <v>300.00000000000011</v>
      </c>
      <c r="BX105">
        <v>19.2</v>
      </c>
      <c r="BY105">
        <v>1299.324882106637</v>
      </c>
      <c r="BZ105">
        <v>4.9570630670436158</v>
      </c>
      <c r="CA105">
        <v>-137.9855185878524</v>
      </c>
      <c r="CB105">
        <v>3.691892249372696</v>
      </c>
      <c r="CC105">
        <v>0.9803496609239386</v>
      </c>
      <c r="CD105">
        <v>-4.1762909899888878E-3</v>
      </c>
      <c r="CE105">
        <v>289.99999999999989</v>
      </c>
      <c r="CF105">
        <v>1123.6300000000001</v>
      </c>
      <c r="CG105">
        <v>645</v>
      </c>
      <c r="CH105">
        <v>8098.38</v>
      </c>
      <c r="CI105">
        <v>1128.94</v>
      </c>
      <c r="CJ105">
        <v>-5.31</v>
      </c>
      <c r="CX105">
        <f t="shared" si="134"/>
        <v>1800.18</v>
      </c>
      <c r="CY105">
        <f t="shared" si="135"/>
        <v>1513.3364994600843</v>
      </c>
      <c r="CZ105">
        <f t="shared" si="136"/>
        <v>0.84065843385666106</v>
      </c>
      <c r="DA105">
        <f t="shared" si="137"/>
        <v>0.16087077734335598</v>
      </c>
      <c r="DB105">
        <v>6</v>
      </c>
      <c r="DC105">
        <v>0.5</v>
      </c>
      <c r="DD105" t="s">
        <v>421</v>
      </c>
      <c r="DE105">
        <v>2</v>
      </c>
      <c r="DF105">
        <v>1689015562.5</v>
      </c>
      <c r="DG105">
        <v>1121.01</v>
      </c>
      <c r="DH105">
        <v>1199.92</v>
      </c>
      <c r="DI105">
        <v>28.389800000000001</v>
      </c>
      <c r="DJ105">
        <v>21.976199999999999</v>
      </c>
      <c r="DK105">
        <v>1123.21</v>
      </c>
      <c r="DL105">
        <v>28.3796</v>
      </c>
      <c r="DM105">
        <v>500.15600000000001</v>
      </c>
      <c r="DN105">
        <v>99.103499999999997</v>
      </c>
      <c r="DO105">
        <v>0.10027999999999999</v>
      </c>
      <c r="DP105">
        <v>30.228200000000001</v>
      </c>
      <c r="DQ105">
        <v>30.011700000000001</v>
      </c>
      <c r="DR105">
        <v>999.9</v>
      </c>
      <c r="DS105">
        <v>0</v>
      </c>
      <c r="DT105">
        <v>0</v>
      </c>
      <c r="DU105">
        <v>9996.8799999999992</v>
      </c>
      <c r="DV105">
        <v>0</v>
      </c>
      <c r="DW105">
        <v>1929.26</v>
      </c>
      <c r="DX105">
        <v>-78.911100000000005</v>
      </c>
      <c r="DY105">
        <v>1153.76</v>
      </c>
      <c r="DZ105">
        <v>1226.8800000000001</v>
      </c>
      <c r="EA105">
        <v>6.41357</v>
      </c>
      <c r="EB105">
        <v>1199.92</v>
      </c>
      <c r="EC105">
        <v>21.976199999999999</v>
      </c>
      <c r="ED105">
        <v>2.8135300000000001</v>
      </c>
      <c r="EE105">
        <v>2.1779199999999999</v>
      </c>
      <c r="EF105">
        <v>22.963699999999999</v>
      </c>
      <c r="EG105">
        <v>18.800799999999999</v>
      </c>
      <c r="EH105">
        <v>1800.18</v>
      </c>
      <c r="EI105">
        <v>0.97799400000000003</v>
      </c>
      <c r="EJ105">
        <v>2.2006299999999999E-2</v>
      </c>
      <c r="EK105">
        <v>0</v>
      </c>
      <c r="EL105">
        <v>770.21299999999997</v>
      </c>
      <c r="EM105">
        <v>5.00082</v>
      </c>
      <c r="EN105">
        <v>17173</v>
      </c>
      <c r="EO105">
        <v>14131.1</v>
      </c>
      <c r="EP105">
        <v>48.875</v>
      </c>
      <c r="EQ105">
        <v>51.061999999999998</v>
      </c>
      <c r="ER105">
        <v>50</v>
      </c>
      <c r="ES105">
        <v>50.25</v>
      </c>
      <c r="ET105">
        <v>50.311999999999998</v>
      </c>
      <c r="EU105">
        <v>1755.67</v>
      </c>
      <c r="EV105">
        <v>39.51</v>
      </c>
      <c r="EW105">
        <v>0</v>
      </c>
      <c r="EX105">
        <v>126.5999999046326</v>
      </c>
      <c r="EY105">
        <v>0</v>
      </c>
      <c r="EZ105">
        <v>770.76846153846157</v>
      </c>
      <c r="FA105">
        <v>-4.0351453007778586</v>
      </c>
      <c r="FB105">
        <v>-70.034188203736349</v>
      </c>
      <c r="FC105">
        <v>17137.403846153851</v>
      </c>
      <c r="FD105">
        <v>15</v>
      </c>
      <c r="FE105">
        <v>1689015521.5</v>
      </c>
      <c r="FF105" t="s">
        <v>875</v>
      </c>
      <c r="FG105">
        <v>1689015516.5</v>
      </c>
      <c r="FH105">
        <v>1689015521.5</v>
      </c>
      <c r="FI105">
        <v>98</v>
      </c>
      <c r="FJ105">
        <v>5.8000000000000003E-2</v>
      </c>
      <c r="FK105">
        <v>-3.0000000000000001E-3</v>
      </c>
      <c r="FL105">
        <v>-2.2589999999999999</v>
      </c>
      <c r="FM105">
        <v>0.01</v>
      </c>
      <c r="FN105">
        <v>1200</v>
      </c>
      <c r="FO105">
        <v>21</v>
      </c>
      <c r="FP105">
        <v>0.02</v>
      </c>
      <c r="FQ105">
        <v>0.01</v>
      </c>
      <c r="FR105">
        <v>59.52912793635582</v>
      </c>
      <c r="FS105">
        <v>0.32726342883693599</v>
      </c>
      <c r="FT105">
        <v>0.10974496525319111</v>
      </c>
      <c r="FU105">
        <v>1</v>
      </c>
      <c r="FV105">
        <v>0.39424111235667347</v>
      </c>
      <c r="FW105">
        <v>-3.197609518420283E-2</v>
      </c>
      <c r="FX105">
        <v>2.3992091234269789E-3</v>
      </c>
      <c r="FY105">
        <v>1</v>
      </c>
      <c r="FZ105">
        <v>2</v>
      </c>
      <c r="GA105">
        <v>2</v>
      </c>
      <c r="GB105" t="s">
        <v>423</v>
      </c>
      <c r="GC105">
        <v>2.9444300000000001</v>
      </c>
      <c r="GD105">
        <v>2.7089099999999999</v>
      </c>
      <c r="GE105">
        <v>0.17824400000000001</v>
      </c>
      <c r="GF105">
        <v>0.18601999999999999</v>
      </c>
      <c r="GG105">
        <v>0.12696099999999999</v>
      </c>
      <c r="GH105">
        <v>0.106198</v>
      </c>
      <c r="GI105">
        <v>26982.1</v>
      </c>
      <c r="GJ105">
        <v>26076.400000000001</v>
      </c>
      <c r="GK105">
        <v>33839.199999999997</v>
      </c>
      <c r="GL105">
        <v>32085</v>
      </c>
      <c r="GM105">
        <v>42655.9</v>
      </c>
      <c r="GN105">
        <v>40810.1</v>
      </c>
      <c r="GO105">
        <v>49010.3</v>
      </c>
      <c r="GP105">
        <v>45421.2</v>
      </c>
      <c r="GQ105">
        <v>1.9725299999999999</v>
      </c>
      <c r="GR105">
        <v>1.7399500000000001</v>
      </c>
      <c r="GS105">
        <v>-2.4259099999999999E-2</v>
      </c>
      <c r="GT105">
        <v>0</v>
      </c>
      <c r="GU105">
        <v>30.406400000000001</v>
      </c>
      <c r="GV105">
        <v>999.9</v>
      </c>
      <c r="GW105">
        <v>28.8</v>
      </c>
      <c r="GX105">
        <v>47.9</v>
      </c>
      <c r="GY105">
        <v>32.482100000000003</v>
      </c>
      <c r="GZ105">
        <v>60.322499999999998</v>
      </c>
      <c r="HA105">
        <v>25.9816</v>
      </c>
      <c r="HB105">
        <v>1</v>
      </c>
      <c r="HC105">
        <v>0.50463400000000003</v>
      </c>
      <c r="HD105">
        <v>3.3934099999999998</v>
      </c>
      <c r="HE105">
        <v>20.185500000000001</v>
      </c>
      <c r="HF105">
        <v>5.2707499999999996</v>
      </c>
      <c r="HG105">
        <v>12.039899999999999</v>
      </c>
      <c r="HH105">
        <v>4.9658499999999997</v>
      </c>
      <c r="HI105">
        <v>3.3010000000000002</v>
      </c>
      <c r="HJ105">
        <v>9999</v>
      </c>
      <c r="HK105">
        <v>9999</v>
      </c>
      <c r="HL105">
        <v>9999</v>
      </c>
      <c r="HM105">
        <v>999.9</v>
      </c>
      <c r="HN105">
        <v>1.8687100000000001</v>
      </c>
      <c r="HO105">
        <v>1.87239</v>
      </c>
      <c r="HP105">
        <v>1.8721000000000001</v>
      </c>
      <c r="HQ105">
        <v>1.87164</v>
      </c>
      <c r="HR105">
        <v>1.8648100000000001</v>
      </c>
      <c r="HS105">
        <v>1.8660099999999999</v>
      </c>
      <c r="HT105">
        <v>1.86798</v>
      </c>
      <c r="HU105">
        <v>1.8725700000000001</v>
      </c>
      <c r="HV105">
        <v>0</v>
      </c>
      <c r="HW105">
        <v>0</v>
      </c>
      <c r="HX105">
        <v>0</v>
      </c>
      <c r="HY105">
        <v>0</v>
      </c>
      <c r="HZ105" t="s">
        <v>424</v>
      </c>
      <c r="IA105" t="s">
        <v>425</v>
      </c>
      <c r="IB105" t="s">
        <v>426</v>
      </c>
      <c r="IC105" t="s">
        <v>426</v>
      </c>
      <c r="ID105" t="s">
        <v>426</v>
      </c>
      <c r="IE105" t="s">
        <v>426</v>
      </c>
      <c r="IF105">
        <v>0</v>
      </c>
      <c r="IG105">
        <v>100</v>
      </c>
      <c r="IH105">
        <v>100</v>
      </c>
      <c r="II105">
        <v>-2.2000000000000002</v>
      </c>
      <c r="IJ105">
        <v>1.0200000000000001E-2</v>
      </c>
      <c r="IK105">
        <v>-1.192950048965834</v>
      </c>
      <c r="IL105">
        <v>-1.171017271736434E-3</v>
      </c>
      <c r="IM105">
        <v>2.801297040296544E-7</v>
      </c>
      <c r="IN105">
        <v>-3.6238253961199429E-11</v>
      </c>
      <c r="IO105">
        <v>1.0149999999999441E-2</v>
      </c>
      <c r="IP105">
        <v>0</v>
      </c>
      <c r="IQ105">
        <v>0</v>
      </c>
      <c r="IR105">
        <v>0</v>
      </c>
      <c r="IS105">
        <v>0</v>
      </c>
      <c r="IT105">
        <v>2161</v>
      </c>
      <c r="IU105">
        <v>1</v>
      </c>
      <c r="IV105">
        <v>19</v>
      </c>
      <c r="IW105">
        <v>0.8</v>
      </c>
      <c r="IX105">
        <v>0.7</v>
      </c>
      <c r="IY105">
        <v>2.5341800000000001</v>
      </c>
      <c r="IZ105">
        <v>2.49878</v>
      </c>
      <c r="JA105">
        <v>1.4440900000000001</v>
      </c>
      <c r="JB105">
        <v>2.2814899999999998</v>
      </c>
      <c r="JC105">
        <v>1.54419</v>
      </c>
      <c r="JD105">
        <v>2.3864700000000001</v>
      </c>
      <c r="JE105">
        <v>51.799700000000001</v>
      </c>
      <c r="JF105">
        <v>24.026199999999999</v>
      </c>
      <c r="JG105">
        <v>18</v>
      </c>
      <c r="JH105">
        <v>510.89100000000002</v>
      </c>
      <c r="JI105">
        <v>400.28399999999999</v>
      </c>
      <c r="JJ105">
        <v>25.5199</v>
      </c>
      <c r="JK105">
        <v>33.532600000000002</v>
      </c>
      <c r="JL105">
        <v>30.000399999999999</v>
      </c>
      <c r="JM105">
        <v>33.330199999999998</v>
      </c>
      <c r="JN105">
        <v>33.281199999999998</v>
      </c>
      <c r="JO105">
        <v>50.880600000000001</v>
      </c>
      <c r="JP105">
        <v>35.433100000000003</v>
      </c>
      <c r="JQ105">
        <v>0</v>
      </c>
      <c r="JR105">
        <v>25.509599999999999</v>
      </c>
      <c r="JS105">
        <v>1200</v>
      </c>
      <c r="JT105">
        <v>21.897600000000001</v>
      </c>
      <c r="JU105">
        <v>99.328999999999994</v>
      </c>
      <c r="JV105">
        <v>98.915899999999993</v>
      </c>
    </row>
    <row r="106" spans="1:282" x14ac:dyDescent="0.25">
      <c r="A106">
        <v>90</v>
      </c>
      <c r="B106">
        <v>1689015692</v>
      </c>
      <c r="C106">
        <v>16515</v>
      </c>
      <c r="D106" t="s">
        <v>876</v>
      </c>
      <c r="E106" t="s">
        <v>877</v>
      </c>
      <c r="F106" t="s">
        <v>414</v>
      </c>
      <c r="G106" t="s">
        <v>415</v>
      </c>
      <c r="H106" t="s">
        <v>31</v>
      </c>
      <c r="I106" t="s">
        <v>416</v>
      </c>
      <c r="J106" t="s">
        <v>501</v>
      </c>
      <c r="K106">
        <v>1689015692</v>
      </c>
      <c r="L106">
        <f t="shared" si="92"/>
        <v>5.2093171285958282E-3</v>
      </c>
      <c r="M106">
        <f t="shared" si="93"/>
        <v>5.2093171285958286</v>
      </c>
      <c r="N106">
        <f t="shared" si="94"/>
        <v>58.329557435381311</v>
      </c>
      <c r="O106">
        <f t="shared" si="95"/>
        <v>1421.11</v>
      </c>
      <c r="P106">
        <f t="shared" si="96"/>
        <v>1118.6918206928124</v>
      </c>
      <c r="Q106">
        <f t="shared" si="97"/>
        <v>110.97877162021081</v>
      </c>
      <c r="R106">
        <f t="shared" si="98"/>
        <v>140.97988312771</v>
      </c>
      <c r="S106">
        <f t="shared" si="99"/>
        <v>0.36396201469812162</v>
      </c>
      <c r="T106">
        <f t="shared" si="100"/>
        <v>2.9087485125936472</v>
      </c>
      <c r="U106">
        <f t="shared" si="101"/>
        <v>0.34042229061396012</v>
      </c>
      <c r="V106">
        <f t="shared" si="102"/>
        <v>0.21475188478434432</v>
      </c>
      <c r="W106">
        <f t="shared" si="103"/>
        <v>289.59418095822053</v>
      </c>
      <c r="X106">
        <f t="shared" si="104"/>
        <v>30.505194749419328</v>
      </c>
      <c r="Y106">
        <f t="shared" si="105"/>
        <v>30.012899999999998</v>
      </c>
      <c r="Z106">
        <f t="shared" si="106"/>
        <v>4.263607637863057</v>
      </c>
      <c r="AA106">
        <f t="shared" si="107"/>
        <v>65.145205424486221</v>
      </c>
      <c r="AB106">
        <f t="shared" si="108"/>
        <v>2.7995782830443998</v>
      </c>
      <c r="AC106">
        <f t="shared" si="109"/>
        <v>4.2974433264924796</v>
      </c>
      <c r="AD106">
        <f t="shared" si="110"/>
        <v>1.4640293548186571</v>
      </c>
      <c r="AE106">
        <f t="shared" si="111"/>
        <v>-229.73088537107603</v>
      </c>
      <c r="AF106">
        <f t="shared" si="112"/>
        <v>21.593625138968012</v>
      </c>
      <c r="AG106">
        <f t="shared" si="113"/>
        <v>1.6519997317756276</v>
      </c>
      <c r="AH106">
        <f t="shared" si="114"/>
        <v>83.108920457888132</v>
      </c>
      <c r="AI106">
        <v>0</v>
      </c>
      <c r="AJ106">
        <v>0</v>
      </c>
      <c r="AK106">
        <f t="shared" si="115"/>
        <v>1</v>
      </c>
      <c r="AL106">
        <f t="shared" si="116"/>
        <v>0</v>
      </c>
      <c r="AM106">
        <f t="shared" si="117"/>
        <v>51715.658830367523</v>
      </c>
      <c r="AN106" t="s">
        <v>418</v>
      </c>
      <c r="AO106">
        <v>10076.700000000001</v>
      </c>
      <c r="AP106">
        <v>185.01599999999999</v>
      </c>
      <c r="AQ106">
        <v>473.06</v>
      </c>
      <c r="AR106">
        <f t="shared" si="118"/>
        <v>0.60889527755464423</v>
      </c>
      <c r="AS106">
        <v>-1.4827006201179751</v>
      </c>
      <c r="AT106" t="s">
        <v>878</v>
      </c>
      <c r="AU106">
        <v>8104.3</v>
      </c>
      <c r="AV106">
        <v>763.31376923076937</v>
      </c>
      <c r="AW106">
        <v>1281.9287960139141</v>
      </c>
      <c r="AX106">
        <f t="shared" si="119"/>
        <v>0.40455837203731526</v>
      </c>
      <c r="AY106">
        <v>0.5</v>
      </c>
      <c r="AZ106">
        <f t="shared" si="120"/>
        <v>1513.3277994602179</v>
      </c>
      <c r="BA106">
        <f t="shared" si="121"/>
        <v>58.329557435381311</v>
      </c>
      <c r="BB106">
        <f t="shared" si="122"/>
        <v>306.11471545421921</v>
      </c>
      <c r="BC106">
        <f t="shared" si="123"/>
        <v>3.9523663066807768E-2</v>
      </c>
      <c r="BD106">
        <f t="shared" si="124"/>
        <v>-0.63097794396151052</v>
      </c>
      <c r="BE106">
        <f t="shared" si="125"/>
        <v>245.63290959299567</v>
      </c>
      <c r="BF106" t="s">
        <v>879</v>
      </c>
      <c r="BG106">
        <v>573.08000000000004</v>
      </c>
      <c r="BH106">
        <f t="shared" si="126"/>
        <v>573.08000000000004</v>
      </c>
      <c r="BI106">
        <f t="shared" si="127"/>
        <v>0.55295488970841422</v>
      </c>
      <c r="BJ106">
        <f t="shared" si="128"/>
        <v>0.73162997482606262</v>
      </c>
      <c r="BK106">
        <f t="shared" si="129"/>
        <v>8.0870705460299313</v>
      </c>
      <c r="BL106">
        <f t="shared" si="130"/>
        <v>0.47279512889971448</v>
      </c>
      <c r="BM106">
        <f t="shared" si="131"/>
        <v>-2.8081431865059301</v>
      </c>
      <c r="BN106">
        <f t="shared" si="132"/>
        <v>0.54929247037670048</v>
      </c>
      <c r="BO106">
        <f t="shared" si="133"/>
        <v>0.45070752962329952</v>
      </c>
      <c r="BP106">
        <v>9233</v>
      </c>
      <c r="BQ106">
        <v>290.00000000000011</v>
      </c>
      <c r="BR106">
        <v>1115.3399999999999</v>
      </c>
      <c r="BS106">
        <v>295</v>
      </c>
      <c r="BT106">
        <v>8104.3</v>
      </c>
      <c r="BU106">
        <v>1118.26</v>
      </c>
      <c r="BV106">
        <v>-2.92</v>
      </c>
      <c r="BW106">
        <v>300.00000000000011</v>
      </c>
      <c r="BX106">
        <v>19.2</v>
      </c>
      <c r="BY106">
        <v>1281.9287960139141</v>
      </c>
      <c r="BZ106">
        <v>4.6894362081616681</v>
      </c>
      <c r="CA106">
        <v>-132.63805853482361</v>
      </c>
      <c r="CB106">
        <v>3.492083176546728</v>
      </c>
      <c r="CC106">
        <v>0.98096106514358217</v>
      </c>
      <c r="CD106">
        <v>-4.1759374860956657E-3</v>
      </c>
      <c r="CE106">
        <v>289.99999999999989</v>
      </c>
      <c r="CF106">
        <v>1114.3699999999999</v>
      </c>
      <c r="CG106">
        <v>655</v>
      </c>
      <c r="CH106">
        <v>8096.96</v>
      </c>
      <c r="CI106">
        <v>1118.1199999999999</v>
      </c>
      <c r="CJ106">
        <v>-3.75</v>
      </c>
      <c r="CX106">
        <f t="shared" si="134"/>
        <v>1800.17</v>
      </c>
      <c r="CY106">
        <f t="shared" si="135"/>
        <v>1513.3277994602179</v>
      </c>
      <c r="CZ106">
        <f t="shared" si="136"/>
        <v>0.84065827086342837</v>
      </c>
      <c r="DA106">
        <f t="shared" si="137"/>
        <v>0.16087046276641678</v>
      </c>
      <c r="DB106">
        <v>6</v>
      </c>
      <c r="DC106">
        <v>0.5</v>
      </c>
      <c r="DD106" t="s">
        <v>421</v>
      </c>
      <c r="DE106">
        <v>2</v>
      </c>
      <c r="DF106">
        <v>1689015692</v>
      </c>
      <c r="DG106">
        <v>1421.11</v>
      </c>
      <c r="DH106">
        <v>1499.97</v>
      </c>
      <c r="DI106">
        <v>28.220400000000001</v>
      </c>
      <c r="DJ106">
        <v>22.147099999999998</v>
      </c>
      <c r="DK106">
        <v>1423.43</v>
      </c>
      <c r="DL106">
        <v>28.2088</v>
      </c>
      <c r="DM106">
        <v>500.12099999999998</v>
      </c>
      <c r="DN106">
        <v>99.103899999999996</v>
      </c>
      <c r="DO106">
        <v>0.100161</v>
      </c>
      <c r="DP106">
        <v>30.150600000000001</v>
      </c>
      <c r="DQ106">
        <v>30.012899999999998</v>
      </c>
      <c r="DR106">
        <v>999.9</v>
      </c>
      <c r="DS106">
        <v>0</v>
      </c>
      <c r="DT106">
        <v>0</v>
      </c>
      <c r="DU106">
        <v>9971.25</v>
      </c>
      <c r="DV106">
        <v>0</v>
      </c>
      <c r="DW106">
        <v>1313.74</v>
      </c>
      <c r="DX106">
        <v>-78.855999999999995</v>
      </c>
      <c r="DY106">
        <v>1462.38</v>
      </c>
      <c r="DZ106">
        <v>1533.94</v>
      </c>
      <c r="EA106">
        <v>6.0733600000000001</v>
      </c>
      <c r="EB106">
        <v>1499.97</v>
      </c>
      <c r="EC106">
        <v>22.147099999999998</v>
      </c>
      <c r="ED106">
        <v>2.7967599999999999</v>
      </c>
      <c r="EE106">
        <v>2.1948599999999998</v>
      </c>
      <c r="EF106">
        <v>22.864899999999999</v>
      </c>
      <c r="EG106">
        <v>18.924900000000001</v>
      </c>
      <c r="EH106">
        <v>1800.17</v>
      </c>
      <c r="EI106">
        <v>0.97799700000000001</v>
      </c>
      <c r="EJ106">
        <v>2.2002799999999999E-2</v>
      </c>
      <c r="EK106">
        <v>0</v>
      </c>
      <c r="EL106">
        <v>763.346</v>
      </c>
      <c r="EM106">
        <v>5.00082</v>
      </c>
      <c r="EN106">
        <v>16183.3</v>
      </c>
      <c r="EO106">
        <v>14131.1</v>
      </c>
      <c r="EP106">
        <v>49</v>
      </c>
      <c r="EQ106">
        <v>51.125</v>
      </c>
      <c r="ER106">
        <v>50.186999999999998</v>
      </c>
      <c r="ES106">
        <v>50.311999999999998</v>
      </c>
      <c r="ET106">
        <v>50.436999999999998</v>
      </c>
      <c r="EU106">
        <v>1755.67</v>
      </c>
      <c r="EV106">
        <v>39.5</v>
      </c>
      <c r="EW106">
        <v>0</v>
      </c>
      <c r="EX106">
        <v>127.4000000953674</v>
      </c>
      <c r="EY106">
        <v>0</v>
      </c>
      <c r="EZ106">
        <v>763.31376923076937</v>
      </c>
      <c r="FA106">
        <v>-2.869128201157829</v>
      </c>
      <c r="FB106">
        <v>-3104.6495715796818</v>
      </c>
      <c r="FC106">
        <v>16527.207692307689</v>
      </c>
      <c r="FD106">
        <v>15</v>
      </c>
      <c r="FE106">
        <v>1689015648.5</v>
      </c>
      <c r="FF106" t="s">
        <v>880</v>
      </c>
      <c r="FG106">
        <v>1689015646.5</v>
      </c>
      <c r="FH106">
        <v>1689015648.5</v>
      </c>
      <c r="FI106">
        <v>99</v>
      </c>
      <c r="FJ106">
        <v>8.1000000000000003E-2</v>
      </c>
      <c r="FK106">
        <v>1E-3</v>
      </c>
      <c r="FL106">
        <v>-2.3620000000000001</v>
      </c>
      <c r="FM106">
        <v>1.2E-2</v>
      </c>
      <c r="FN106">
        <v>1500</v>
      </c>
      <c r="FO106">
        <v>22</v>
      </c>
      <c r="FP106">
        <v>0.03</v>
      </c>
      <c r="FQ106">
        <v>0.01</v>
      </c>
      <c r="FR106">
        <v>58.194151114806623</v>
      </c>
      <c r="FS106">
        <v>-0.26362852198359371</v>
      </c>
      <c r="FT106">
        <v>5.4194096028287828E-2</v>
      </c>
      <c r="FU106">
        <v>1</v>
      </c>
      <c r="FV106">
        <v>0.36728190922123211</v>
      </c>
      <c r="FW106">
        <v>-2.8823010927994962E-2</v>
      </c>
      <c r="FX106">
        <v>2.1625930138680629E-3</v>
      </c>
      <c r="FY106">
        <v>1</v>
      </c>
      <c r="FZ106">
        <v>2</v>
      </c>
      <c r="GA106">
        <v>2</v>
      </c>
      <c r="GB106" t="s">
        <v>423</v>
      </c>
      <c r="GC106">
        <v>2.9443000000000001</v>
      </c>
      <c r="GD106">
        <v>2.7085699999999999</v>
      </c>
      <c r="GE106">
        <v>0.20608699999999999</v>
      </c>
      <c r="GF106">
        <v>0.21298500000000001</v>
      </c>
      <c r="GG106">
        <v>0.126415</v>
      </c>
      <c r="GH106">
        <v>0.106763</v>
      </c>
      <c r="GI106">
        <v>26060.1</v>
      </c>
      <c r="GJ106">
        <v>25204.7</v>
      </c>
      <c r="GK106">
        <v>33833</v>
      </c>
      <c r="GL106">
        <v>32078.7</v>
      </c>
      <c r="GM106">
        <v>42675.9</v>
      </c>
      <c r="GN106">
        <v>40777.1</v>
      </c>
      <c r="GO106">
        <v>49001.5</v>
      </c>
      <c r="GP106">
        <v>45412.3</v>
      </c>
      <c r="GQ106">
        <v>1.9714</v>
      </c>
      <c r="GR106">
        <v>1.7394000000000001</v>
      </c>
      <c r="GS106">
        <v>-2.4713599999999999E-2</v>
      </c>
      <c r="GT106">
        <v>0</v>
      </c>
      <c r="GU106">
        <v>30.414999999999999</v>
      </c>
      <c r="GV106">
        <v>999.9</v>
      </c>
      <c r="GW106">
        <v>28.7</v>
      </c>
      <c r="GX106">
        <v>48</v>
      </c>
      <c r="GY106">
        <v>32.531199999999998</v>
      </c>
      <c r="GZ106">
        <v>60.3125</v>
      </c>
      <c r="HA106">
        <v>26.234000000000002</v>
      </c>
      <c r="HB106">
        <v>1</v>
      </c>
      <c r="HC106">
        <v>0.51455499999999998</v>
      </c>
      <c r="HD106">
        <v>3.76932</v>
      </c>
      <c r="HE106">
        <v>20.177900000000001</v>
      </c>
      <c r="HF106">
        <v>5.2706</v>
      </c>
      <c r="HG106">
        <v>12.039899999999999</v>
      </c>
      <c r="HH106">
        <v>4.9657999999999998</v>
      </c>
      <c r="HI106">
        <v>3.3010000000000002</v>
      </c>
      <c r="HJ106">
        <v>9999</v>
      </c>
      <c r="HK106">
        <v>9999</v>
      </c>
      <c r="HL106">
        <v>9999</v>
      </c>
      <c r="HM106">
        <v>999.9</v>
      </c>
      <c r="HN106">
        <v>1.86869</v>
      </c>
      <c r="HO106">
        <v>1.87235</v>
      </c>
      <c r="HP106">
        <v>1.87209</v>
      </c>
      <c r="HQ106">
        <v>1.87164</v>
      </c>
      <c r="HR106">
        <v>1.8647800000000001</v>
      </c>
      <c r="HS106">
        <v>1.8660000000000001</v>
      </c>
      <c r="HT106">
        <v>1.86798</v>
      </c>
      <c r="HU106">
        <v>1.87256</v>
      </c>
      <c r="HV106">
        <v>0</v>
      </c>
      <c r="HW106">
        <v>0</v>
      </c>
      <c r="HX106">
        <v>0</v>
      </c>
      <c r="HY106">
        <v>0</v>
      </c>
      <c r="HZ106" t="s">
        <v>424</v>
      </c>
      <c r="IA106" t="s">
        <v>425</v>
      </c>
      <c r="IB106" t="s">
        <v>426</v>
      </c>
      <c r="IC106" t="s">
        <v>426</v>
      </c>
      <c r="ID106" t="s">
        <v>426</v>
      </c>
      <c r="IE106" t="s">
        <v>426</v>
      </c>
      <c r="IF106">
        <v>0</v>
      </c>
      <c r="IG106">
        <v>100</v>
      </c>
      <c r="IH106">
        <v>100</v>
      </c>
      <c r="II106">
        <v>-2.3199999999999998</v>
      </c>
      <c r="IJ106">
        <v>1.1599999999999999E-2</v>
      </c>
      <c r="IK106">
        <v>-1.111995727155606</v>
      </c>
      <c r="IL106">
        <v>-1.171017271736434E-3</v>
      </c>
      <c r="IM106">
        <v>2.801297040296544E-7</v>
      </c>
      <c r="IN106">
        <v>-3.6238253961199429E-11</v>
      </c>
      <c r="IO106">
        <v>1.159999999999428E-2</v>
      </c>
      <c r="IP106">
        <v>0</v>
      </c>
      <c r="IQ106">
        <v>0</v>
      </c>
      <c r="IR106">
        <v>0</v>
      </c>
      <c r="IS106">
        <v>0</v>
      </c>
      <c r="IT106">
        <v>2161</v>
      </c>
      <c r="IU106">
        <v>1</v>
      </c>
      <c r="IV106">
        <v>19</v>
      </c>
      <c r="IW106">
        <v>0.8</v>
      </c>
      <c r="IX106">
        <v>0.7</v>
      </c>
      <c r="IY106">
        <v>3.0432100000000002</v>
      </c>
      <c r="IZ106">
        <v>2.49756</v>
      </c>
      <c r="JA106">
        <v>1.4440900000000001</v>
      </c>
      <c r="JB106">
        <v>2.2814899999999998</v>
      </c>
      <c r="JC106">
        <v>1.54419</v>
      </c>
      <c r="JD106">
        <v>2.3535200000000001</v>
      </c>
      <c r="JE106">
        <v>51.9009</v>
      </c>
      <c r="JF106">
        <v>24.035</v>
      </c>
      <c r="JG106">
        <v>18</v>
      </c>
      <c r="JH106">
        <v>510.65800000000002</v>
      </c>
      <c r="JI106">
        <v>400.375</v>
      </c>
      <c r="JJ106">
        <v>25.266300000000001</v>
      </c>
      <c r="JK106">
        <v>33.601500000000001</v>
      </c>
      <c r="JL106">
        <v>30.000399999999999</v>
      </c>
      <c r="JM106">
        <v>33.394599999999997</v>
      </c>
      <c r="JN106">
        <v>33.345700000000001</v>
      </c>
      <c r="JO106">
        <v>61.0655</v>
      </c>
      <c r="JP106">
        <v>34.8277</v>
      </c>
      <c r="JQ106">
        <v>0</v>
      </c>
      <c r="JR106">
        <v>25.258400000000002</v>
      </c>
      <c r="JS106">
        <v>1500</v>
      </c>
      <c r="JT106">
        <v>22.166699999999999</v>
      </c>
      <c r="JU106">
        <v>99.311000000000007</v>
      </c>
      <c r="JV106">
        <v>98.896600000000007</v>
      </c>
    </row>
    <row r="107" spans="1:282" x14ac:dyDescent="0.25">
      <c r="A107">
        <v>91</v>
      </c>
      <c r="B107">
        <v>1689017367.0999999</v>
      </c>
      <c r="C107">
        <v>18190.099999904629</v>
      </c>
      <c r="D107" t="s">
        <v>881</v>
      </c>
      <c r="E107" t="s">
        <v>882</v>
      </c>
      <c r="F107" t="s">
        <v>414</v>
      </c>
      <c r="G107" t="s">
        <v>415</v>
      </c>
      <c r="H107" t="s">
        <v>416</v>
      </c>
      <c r="I107" t="s">
        <v>500</v>
      </c>
      <c r="J107" t="s">
        <v>501</v>
      </c>
      <c r="K107">
        <v>1689017367.0999999</v>
      </c>
      <c r="L107">
        <f t="shared" si="92"/>
        <v>5.383192940641701E-3</v>
      </c>
      <c r="M107">
        <f t="shared" si="93"/>
        <v>5.3831929406417007</v>
      </c>
      <c r="N107">
        <f t="shared" si="94"/>
        <v>52.37231089768887</v>
      </c>
      <c r="O107">
        <f t="shared" si="95"/>
        <v>334.92500000000001</v>
      </c>
      <c r="P107">
        <f t="shared" si="96"/>
        <v>93.526424286091398</v>
      </c>
      <c r="Q107">
        <f t="shared" si="97"/>
        <v>9.2767581743154057</v>
      </c>
      <c r="R107">
        <f t="shared" si="98"/>
        <v>33.220752907524997</v>
      </c>
      <c r="S107">
        <f t="shared" si="99"/>
        <v>0.37649825585250218</v>
      </c>
      <c r="T107">
        <f t="shared" si="100"/>
        <v>2.9104459048246665</v>
      </c>
      <c r="U107">
        <f t="shared" si="101"/>
        <v>0.35138265140281294</v>
      </c>
      <c r="V107">
        <f t="shared" si="102"/>
        <v>0.22173092397378752</v>
      </c>
      <c r="W107">
        <f t="shared" si="103"/>
        <v>289.57822095816266</v>
      </c>
      <c r="X107">
        <f t="shared" si="104"/>
        <v>30.368932204594419</v>
      </c>
      <c r="Y107">
        <f t="shared" si="105"/>
        <v>30.0106</v>
      </c>
      <c r="Z107">
        <f t="shared" si="106"/>
        <v>4.2630444582125806</v>
      </c>
      <c r="AA107">
        <f t="shared" si="107"/>
        <v>65.437533411070376</v>
      </c>
      <c r="AB107">
        <f t="shared" si="108"/>
        <v>2.7975558805851999</v>
      </c>
      <c r="AC107">
        <f t="shared" si="109"/>
        <v>4.2751548457844599</v>
      </c>
      <c r="AD107">
        <f t="shared" si="110"/>
        <v>1.4654885776273807</v>
      </c>
      <c r="AE107">
        <f t="shared" si="111"/>
        <v>-237.39880868229901</v>
      </c>
      <c r="AF107">
        <f t="shared" si="112"/>
        <v>7.7512532052726009</v>
      </c>
      <c r="AG107">
        <f t="shared" si="113"/>
        <v>0.5923839287877386</v>
      </c>
      <c r="AH107">
        <f t="shared" si="114"/>
        <v>60.523049409923999</v>
      </c>
      <c r="AI107">
        <v>0</v>
      </c>
      <c r="AJ107">
        <v>0</v>
      </c>
      <c r="AK107">
        <f t="shared" si="115"/>
        <v>1</v>
      </c>
      <c r="AL107">
        <f t="shared" si="116"/>
        <v>0</v>
      </c>
      <c r="AM107">
        <f t="shared" si="117"/>
        <v>51779.030710637904</v>
      </c>
      <c r="AN107" t="s">
        <v>418</v>
      </c>
      <c r="AO107">
        <v>10076.700000000001</v>
      </c>
      <c r="AP107">
        <v>185.01599999999999</v>
      </c>
      <c r="AQ107">
        <v>473.06</v>
      </c>
      <c r="AR107">
        <f t="shared" si="118"/>
        <v>0.60889527755464423</v>
      </c>
      <c r="AS107">
        <v>-1.4827006201179751</v>
      </c>
      <c r="AT107" t="s">
        <v>883</v>
      </c>
      <c r="AU107">
        <v>8082.81</v>
      </c>
      <c r="AV107">
        <v>693.38100000000009</v>
      </c>
      <c r="AW107">
        <v>1086.8150259228489</v>
      </c>
      <c r="AX107">
        <f t="shared" si="119"/>
        <v>0.36200642845250652</v>
      </c>
      <c r="AY107">
        <v>0.5</v>
      </c>
      <c r="AZ107">
        <f t="shared" si="120"/>
        <v>1513.2437994601878</v>
      </c>
      <c r="BA107">
        <f t="shared" si="121"/>
        <v>52.37231089768887</v>
      </c>
      <c r="BB107">
        <f t="shared" si="122"/>
        <v>273.90199161024179</v>
      </c>
      <c r="BC107">
        <f t="shared" si="123"/>
        <v>3.5589117587673767E-2</v>
      </c>
      <c r="BD107">
        <f t="shared" si="124"/>
        <v>-0.56472813798437338</v>
      </c>
      <c r="BE107">
        <f t="shared" si="125"/>
        <v>237.46420683624766</v>
      </c>
      <c r="BF107" t="s">
        <v>884</v>
      </c>
      <c r="BG107">
        <v>543.04</v>
      </c>
      <c r="BH107">
        <f t="shared" si="126"/>
        <v>543.04</v>
      </c>
      <c r="BI107">
        <f t="shared" si="127"/>
        <v>0.50033815594434983</v>
      </c>
      <c r="BJ107">
        <f t="shared" si="128"/>
        <v>0.72352352934036623</v>
      </c>
      <c r="BK107">
        <f t="shared" si="129"/>
        <v>8.7704347802636367</v>
      </c>
      <c r="BL107">
        <f t="shared" si="130"/>
        <v>0.43627683620552948</v>
      </c>
      <c r="BM107">
        <f t="shared" si="131"/>
        <v>-2.1307683059631479</v>
      </c>
      <c r="BN107">
        <f t="shared" si="132"/>
        <v>0.56664693346514028</v>
      </c>
      <c r="BO107">
        <f t="shared" si="133"/>
        <v>0.43335306653485972</v>
      </c>
      <c r="BP107">
        <v>9235</v>
      </c>
      <c r="BQ107">
        <v>290.00000000000011</v>
      </c>
      <c r="BR107">
        <v>952.98</v>
      </c>
      <c r="BS107">
        <v>295</v>
      </c>
      <c r="BT107">
        <v>8082.81</v>
      </c>
      <c r="BU107">
        <v>956.4</v>
      </c>
      <c r="BV107">
        <v>-3.42</v>
      </c>
      <c r="BW107">
        <v>300.00000000000011</v>
      </c>
      <c r="BX107">
        <v>19.2</v>
      </c>
      <c r="BY107">
        <v>1086.8150259228489</v>
      </c>
      <c r="BZ107">
        <v>4.679248552958799</v>
      </c>
      <c r="CA107">
        <v>-105.4150979197593</v>
      </c>
      <c r="CB107">
        <v>3.475314690221579</v>
      </c>
      <c r="CC107">
        <v>0.97046608416783398</v>
      </c>
      <c r="CD107">
        <v>-4.1642166852057863E-3</v>
      </c>
      <c r="CE107">
        <v>289.99999999999989</v>
      </c>
      <c r="CF107">
        <v>950.64</v>
      </c>
      <c r="CG107">
        <v>635</v>
      </c>
      <c r="CH107">
        <v>8076.09</v>
      </c>
      <c r="CI107">
        <v>956.29</v>
      </c>
      <c r="CJ107">
        <v>-5.65</v>
      </c>
      <c r="CX107">
        <f t="shared" si="134"/>
        <v>1800.07</v>
      </c>
      <c r="CY107">
        <f t="shared" si="135"/>
        <v>1513.2437994601878</v>
      </c>
      <c r="CZ107">
        <f t="shared" si="136"/>
        <v>0.84065830743259307</v>
      </c>
      <c r="DA107">
        <f t="shared" si="137"/>
        <v>0.16087053334490473</v>
      </c>
      <c r="DB107">
        <v>6</v>
      </c>
      <c r="DC107">
        <v>0.5</v>
      </c>
      <c r="DD107" t="s">
        <v>421</v>
      </c>
      <c r="DE107">
        <v>2</v>
      </c>
      <c r="DF107">
        <v>1689017367.0999999</v>
      </c>
      <c r="DG107">
        <v>334.92500000000001</v>
      </c>
      <c r="DH107">
        <v>399.90699999999998</v>
      </c>
      <c r="DI107">
        <v>28.2044</v>
      </c>
      <c r="DJ107">
        <v>21.929500000000001</v>
      </c>
      <c r="DK107">
        <v>336.26499999999999</v>
      </c>
      <c r="DL107">
        <v>28.184100000000001</v>
      </c>
      <c r="DM107">
        <v>500.21800000000002</v>
      </c>
      <c r="DN107">
        <v>99.088399999999993</v>
      </c>
      <c r="DO107">
        <v>0.100233</v>
      </c>
      <c r="DP107">
        <v>30.06</v>
      </c>
      <c r="DQ107">
        <v>30.0106</v>
      </c>
      <c r="DR107">
        <v>999.9</v>
      </c>
      <c r="DS107">
        <v>0</v>
      </c>
      <c r="DT107">
        <v>0</v>
      </c>
      <c r="DU107">
        <v>9982.5</v>
      </c>
      <c r="DV107">
        <v>0</v>
      </c>
      <c r="DW107">
        <v>1612.17</v>
      </c>
      <c r="DX107">
        <v>-64.981800000000007</v>
      </c>
      <c r="DY107">
        <v>344.64600000000002</v>
      </c>
      <c r="DZ107">
        <v>408.87299999999999</v>
      </c>
      <c r="EA107">
        <v>6.2748600000000003</v>
      </c>
      <c r="EB107">
        <v>399.90699999999998</v>
      </c>
      <c r="EC107">
        <v>21.929500000000001</v>
      </c>
      <c r="ED107">
        <v>2.7947299999999999</v>
      </c>
      <c r="EE107">
        <v>2.1729599999999998</v>
      </c>
      <c r="EF107">
        <v>22.853000000000002</v>
      </c>
      <c r="EG107">
        <v>18.764399999999998</v>
      </c>
      <c r="EH107">
        <v>1800.07</v>
      </c>
      <c r="EI107">
        <v>0.97799599999999998</v>
      </c>
      <c r="EJ107">
        <v>2.2003499999999999E-2</v>
      </c>
      <c r="EK107">
        <v>0</v>
      </c>
      <c r="EL107">
        <v>693.88400000000001</v>
      </c>
      <c r="EM107">
        <v>5.00082</v>
      </c>
      <c r="EN107">
        <v>16801.3</v>
      </c>
      <c r="EO107">
        <v>14130.3</v>
      </c>
      <c r="EP107">
        <v>48.811999999999998</v>
      </c>
      <c r="EQ107">
        <v>50.625</v>
      </c>
      <c r="ER107">
        <v>49.875</v>
      </c>
      <c r="ES107">
        <v>49.686999999999998</v>
      </c>
      <c r="ET107">
        <v>50</v>
      </c>
      <c r="EU107">
        <v>1755.57</v>
      </c>
      <c r="EV107">
        <v>39.5</v>
      </c>
      <c r="EW107">
        <v>0</v>
      </c>
      <c r="EX107">
        <v>1673</v>
      </c>
      <c r="EY107">
        <v>0</v>
      </c>
      <c r="EZ107">
        <v>693.38100000000009</v>
      </c>
      <c r="FA107">
        <v>3.845264952529329</v>
      </c>
      <c r="FB107">
        <v>402.53675172394321</v>
      </c>
      <c r="FC107">
        <v>16794.261538461538</v>
      </c>
      <c r="FD107">
        <v>15</v>
      </c>
      <c r="FE107">
        <v>1689017327.0999999</v>
      </c>
      <c r="FF107" t="s">
        <v>885</v>
      </c>
      <c r="FG107">
        <v>1689017327.0999999</v>
      </c>
      <c r="FH107">
        <v>1689017327.0999999</v>
      </c>
      <c r="FI107">
        <v>102</v>
      </c>
      <c r="FJ107">
        <v>7.0000000000000007E-2</v>
      </c>
      <c r="FK107">
        <v>-8.5000000000000006E-2</v>
      </c>
      <c r="FL107">
        <v>-1.403</v>
      </c>
      <c r="FM107">
        <v>0.02</v>
      </c>
      <c r="FN107">
        <v>400</v>
      </c>
      <c r="FO107">
        <v>22</v>
      </c>
      <c r="FP107">
        <v>0.03</v>
      </c>
      <c r="FQ107">
        <v>0.01</v>
      </c>
      <c r="FR107">
        <v>52.118703998174666</v>
      </c>
      <c r="FS107">
        <v>-5.0633122740226688E-2</v>
      </c>
      <c r="FT107">
        <v>9.3607562301451425E-2</v>
      </c>
      <c r="FU107">
        <v>1</v>
      </c>
      <c r="FV107">
        <v>0.37915047625088077</v>
      </c>
      <c r="FW107">
        <v>-1.680988154054032E-2</v>
      </c>
      <c r="FX107">
        <v>1.559904053661282E-3</v>
      </c>
      <c r="FY107">
        <v>1</v>
      </c>
      <c r="FZ107">
        <v>2</v>
      </c>
      <c r="GA107">
        <v>2</v>
      </c>
      <c r="GB107" t="s">
        <v>423</v>
      </c>
      <c r="GC107">
        <v>2.94442</v>
      </c>
      <c r="GD107">
        <v>2.7087400000000001</v>
      </c>
      <c r="GE107">
        <v>7.6317499999999996E-2</v>
      </c>
      <c r="GF107">
        <v>8.7567999999999993E-2</v>
      </c>
      <c r="GG107">
        <v>0.12628600000000001</v>
      </c>
      <c r="GH107">
        <v>0.10598200000000001</v>
      </c>
      <c r="GI107">
        <v>30321.4</v>
      </c>
      <c r="GJ107">
        <v>29226.9</v>
      </c>
      <c r="GK107">
        <v>33828.400000000001</v>
      </c>
      <c r="GL107">
        <v>32077.7</v>
      </c>
      <c r="GM107">
        <v>42674.9</v>
      </c>
      <c r="GN107">
        <v>40809.699999999997</v>
      </c>
      <c r="GO107">
        <v>48995.8</v>
      </c>
      <c r="GP107">
        <v>45411.7</v>
      </c>
      <c r="GQ107">
        <v>1.9694799999999999</v>
      </c>
      <c r="GR107">
        <v>1.7468999999999999</v>
      </c>
      <c r="GS107">
        <v>-1.1868800000000001E-2</v>
      </c>
      <c r="GT107">
        <v>0</v>
      </c>
      <c r="GU107">
        <v>30.203700000000001</v>
      </c>
      <c r="GV107">
        <v>999.9</v>
      </c>
      <c r="GW107">
        <v>29.4</v>
      </c>
      <c r="GX107">
        <v>46.9</v>
      </c>
      <c r="GY107">
        <v>31.523299999999999</v>
      </c>
      <c r="GZ107">
        <v>60.327100000000002</v>
      </c>
      <c r="HA107">
        <v>25.600999999999999</v>
      </c>
      <c r="HB107">
        <v>1</v>
      </c>
      <c r="HC107">
        <v>0.52408299999999997</v>
      </c>
      <c r="HD107">
        <v>3.9136700000000002</v>
      </c>
      <c r="HE107">
        <v>20.1784</v>
      </c>
      <c r="HF107">
        <v>5.27</v>
      </c>
      <c r="HG107">
        <v>12.039899999999999</v>
      </c>
      <c r="HH107">
        <v>4.9657999999999998</v>
      </c>
      <c r="HI107">
        <v>3.3010000000000002</v>
      </c>
      <c r="HJ107">
        <v>9999</v>
      </c>
      <c r="HK107">
        <v>9999</v>
      </c>
      <c r="HL107">
        <v>9999</v>
      </c>
      <c r="HM107">
        <v>999.9</v>
      </c>
      <c r="HN107">
        <v>1.86849</v>
      </c>
      <c r="HO107">
        <v>1.8721300000000001</v>
      </c>
      <c r="HP107">
        <v>1.87195</v>
      </c>
      <c r="HQ107">
        <v>1.8714900000000001</v>
      </c>
      <c r="HR107">
        <v>1.8647</v>
      </c>
      <c r="HS107">
        <v>1.8658399999999999</v>
      </c>
      <c r="HT107">
        <v>1.8678399999999999</v>
      </c>
      <c r="HU107">
        <v>1.8724099999999999</v>
      </c>
      <c r="HV107">
        <v>0</v>
      </c>
      <c r="HW107">
        <v>0</v>
      </c>
      <c r="HX107">
        <v>0</v>
      </c>
      <c r="HY107">
        <v>0</v>
      </c>
      <c r="HZ107" t="s">
        <v>424</v>
      </c>
      <c r="IA107" t="s">
        <v>425</v>
      </c>
      <c r="IB107" t="s">
        <v>426</v>
      </c>
      <c r="IC107" t="s">
        <v>426</v>
      </c>
      <c r="ID107" t="s">
        <v>426</v>
      </c>
      <c r="IE107" t="s">
        <v>426</v>
      </c>
      <c r="IF107">
        <v>0</v>
      </c>
      <c r="IG107">
        <v>100</v>
      </c>
      <c r="IH107">
        <v>100</v>
      </c>
      <c r="II107">
        <v>-1.34</v>
      </c>
      <c r="IJ107">
        <v>2.0299999999999999E-2</v>
      </c>
      <c r="IK107">
        <v>-0.97617546649469822</v>
      </c>
      <c r="IL107">
        <v>-1.171017271736434E-3</v>
      </c>
      <c r="IM107">
        <v>2.801297040296544E-7</v>
      </c>
      <c r="IN107">
        <v>-3.6238253961199429E-11</v>
      </c>
      <c r="IO107">
        <v>2.0285000000001219E-2</v>
      </c>
      <c r="IP107">
        <v>0</v>
      </c>
      <c r="IQ107">
        <v>0</v>
      </c>
      <c r="IR107">
        <v>0</v>
      </c>
      <c r="IS107">
        <v>0</v>
      </c>
      <c r="IT107">
        <v>2161</v>
      </c>
      <c r="IU107">
        <v>1</v>
      </c>
      <c r="IV107">
        <v>19</v>
      </c>
      <c r="IW107">
        <v>0.7</v>
      </c>
      <c r="IX107">
        <v>0.7</v>
      </c>
      <c r="IY107">
        <v>1.03149</v>
      </c>
      <c r="IZ107">
        <v>2.50854</v>
      </c>
      <c r="JA107">
        <v>1.4440900000000001</v>
      </c>
      <c r="JB107">
        <v>2.2790499999999998</v>
      </c>
      <c r="JC107">
        <v>1.54419</v>
      </c>
      <c r="JD107">
        <v>2.4047900000000002</v>
      </c>
      <c r="JE107">
        <v>48.1785</v>
      </c>
      <c r="JF107">
        <v>24.07</v>
      </c>
      <c r="JG107">
        <v>18</v>
      </c>
      <c r="JH107">
        <v>510.303</v>
      </c>
      <c r="JI107">
        <v>405.61099999999999</v>
      </c>
      <c r="JJ107">
        <v>25.1556</v>
      </c>
      <c r="JK107">
        <v>33.785299999999999</v>
      </c>
      <c r="JL107">
        <v>30.000699999999998</v>
      </c>
      <c r="JM107">
        <v>33.510199999999998</v>
      </c>
      <c r="JN107">
        <v>33.4542</v>
      </c>
      <c r="JO107">
        <v>20.779199999999999</v>
      </c>
      <c r="JP107">
        <v>35.912799999999997</v>
      </c>
      <c r="JQ107">
        <v>0</v>
      </c>
      <c r="JR107">
        <v>25.152799999999999</v>
      </c>
      <c r="JS107">
        <v>400</v>
      </c>
      <c r="JT107">
        <v>21.833400000000001</v>
      </c>
      <c r="JU107">
        <v>99.298599999999993</v>
      </c>
      <c r="JV107">
        <v>98.894599999999997</v>
      </c>
    </row>
    <row r="108" spans="1:282" x14ac:dyDescent="0.25">
      <c r="A108">
        <v>92</v>
      </c>
      <c r="B108">
        <v>1689017542.5999999</v>
      </c>
      <c r="C108">
        <v>18365.599999904629</v>
      </c>
      <c r="D108" t="s">
        <v>886</v>
      </c>
      <c r="E108" t="s">
        <v>887</v>
      </c>
      <c r="F108" t="s">
        <v>414</v>
      </c>
      <c r="G108" t="s">
        <v>415</v>
      </c>
      <c r="H108" t="s">
        <v>416</v>
      </c>
      <c r="I108" t="s">
        <v>500</v>
      </c>
      <c r="J108" t="s">
        <v>501</v>
      </c>
      <c r="K108">
        <v>1689017542.5999999</v>
      </c>
      <c r="L108">
        <f t="shared" si="92"/>
        <v>6.0749220871847741E-3</v>
      </c>
      <c r="M108">
        <f t="shared" si="93"/>
        <v>6.074922087184774</v>
      </c>
      <c r="N108">
        <f t="shared" si="94"/>
        <v>43.896046606803459</v>
      </c>
      <c r="O108">
        <f t="shared" si="95"/>
        <v>245.554</v>
      </c>
      <c r="P108">
        <f t="shared" si="96"/>
        <v>69.288338857644504</v>
      </c>
      <c r="Q108">
        <f t="shared" si="97"/>
        <v>6.8730222673912955</v>
      </c>
      <c r="R108">
        <f t="shared" si="98"/>
        <v>24.357606744108001</v>
      </c>
      <c r="S108">
        <f t="shared" si="99"/>
        <v>0.43596129981732962</v>
      </c>
      <c r="T108">
        <f t="shared" si="100"/>
        <v>2.91317887188284</v>
      </c>
      <c r="U108">
        <f t="shared" si="101"/>
        <v>0.40269053406920258</v>
      </c>
      <c r="V108">
        <f t="shared" si="102"/>
        <v>0.25445890966666185</v>
      </c>
      <c r="W108">
        <f t="shared" si="103"/>
        <v>289.54354695856864</v>
      </c>
      <c r="X108">
        <f t="shared" si="104"/>
        <v>30.129311827035977</v>
      </c>
      <c r="Y108">
        <f t="shared" si="105"/>
        <v>29.870799999999999</v>
      </c>
      <c r="Z108">
        <f t="shared" si="106"/>
        <v>4.2289344271492579</v>
      </c>
      <c r="AA108">
        <f t="shared" si="107"/>
        <v>65.373459206862222</v>
      </c>
      <c r="AB108">
        <f t="shared" si="108"/>
        <v>2.7854113745106002</v>
      </c>
      <c r="AC108">
        <f t="shared" si="109"/>
        <v>4.2607679145395698</v>
      </c>
      <c r="AD108">
        <f t="shared" si="110"/>
        <v>1.4435230526386578</v>
      </c>
      <c r="AE108">
        <f t="shared" si="111"/>
        <v>-267.90406404484855</v>
      </c>
      <c r="AF108">
        <f t="shared" si="112"/>
        <v>20.495716563993891</v>
      </c>
      <c r="AG108">
        <f t="shared" si="113"/>
        <v>1.5633638230843638</v>
      </c>
      <c r="AH108">
        <f t="shared" si="114"/>
        <v>43.698563300798369</v>
      </c>
      <c r="AI108">
        <v>0</v>
      </c>
      <c r="AJ108">
        <v>0</v>
      </c>
      <c r="AK108">
        <f t="shared" si="115"/>
        <v>1</v>
      </c>
      <c r="AL108">
        <f t="shared" si="116"/>
        <v>0</v>
      </c>
      <c r="AM108">
        <f t="shared" si="117"/>
        <v>51866.910126960778</v>
      </c>
      <c r="AN108" t="s">
        <v>418</v>
      </c>
      <c r="AO108">
        <v>10076.700000000001</v>
      </c>
      <c r="AP108">
        <v>185.01599999999999</v>
      </c>
      <c r="AQ108">
        <v>473.06</v>
      </c>
      <c r="AR108">
        <f t="shared" si="118"/>
        <v>0.60889527755464423</v>
      </c>
      <c r="AS108">
        <v>-1.4827006201179751</v>
      </c>
      <c r="AT108" t="s">
        <v>888</v>
      </c>
      <c r="AU108">
        <v>8084.66</v>
      </c>
      <c r="AV108">
        <v>681.58684615384618</v>
      </c>
      <c r="AW108">
        <v>992.65804990067375</v>
      </c>
      <c r="AX108">
        <f t="shared" si="119"/>
        <v>0.31337196507695031</v>
      </c>
      <c r="AY108">
        <v>0.5</v>
      </c>
      <c r="AZ108">
        <f t="shared" si="120"/>
        <v>1513.066799460398</v>
      </c>
      <c r="BA108">
        <f t="shared" si="121"/>
        <v>43.896046606803459</v>
      </c>
      <c r="BB108">
        <f t="shared" si="122"/>
        <v>237.07635811979841</v>
      </c>
      <c r="BC108">
        <f t="shared" si="123"/>
        <v>2.9991238485376038E-2</v>
      </c>
      <c r="BD108">
        <f t="shared" si="124"/>
        <v>-0.52344112854639635</v>
      </c>
      <c r="BE108">
        <f t="shared" si="125"/>
        <v>232.64267825656677</v>
      </c>
      <c r="BF108" t="s">
        <v>889</v>
      </c>
      <c r="BG108">
        <v>530.51</v>
      </c>
      <c r="BH108">
        <f t="shared" si="126"/>
        <v>530.51</v>
      </c>
      <c r="BI108">
        <f t="shared" si="127"/>
        <v>0.46556621381040197</v>
      </c>
      <c r="BJ108">
        <f t="shared" si="128"/>
        <v>0.67309859646423675</v>
      </c>
      <c r="BK108">
        <f t="shared" si="129"/>
        <v>9.0443524786888396</v>
      </c>
      <c r="BL108">
        <f t="shared" si="130"/>
        <v>0.38515974222130217</v>
      </c>
      <c r="BM108">
        <f t="shared" si="131"/>
        <v>-1.8038843020534145</v>
      </c>
      <c r="BN108">
        <f t="shared" si="132"/>
        <v>0.52390320973072557</v>
      </c>
      <c r="BO108">
        <f t="shared" si="133"/>
        <v>0.47609679026927443</v>
      </c>
      <c r="BP108">
        <v>9237</v>
      </c>
      <c r="BQ108">
        <v>290.00000000000011</v>
      </c>
      <c r="BR108">
        <v>894.22</v>
      </c>
      <c r="BS108">
        <v>295</v>
      </c>
      <c r="BT108">
        <v>8084.66</v>
      </c>
      <c r="BU108">
        <v>895.63</v>
      </c>
      <c r="BV108">
        <v>-1.41</v>
      </c>
      <c r="BW108">
        <v>300.00000000000011</v>
      </c>
      <c r="BX108">
        <v>19.2</v>
      </c>
      <c r="BY108">
        <v>992.65804990067375</v>
      </c>
      <c r="BZ108">
        <v>3.42904268992221</v>
      </c>
      <c r="CA108">
        <v>-78.442201223284428</v>
      </c>
      <c r="CB108">
        <v>2.547393155872876</v>
      </c>
      <c r="CC108">
        <v>0.97131784298422041</v>
      </c>
      <c r="CD108">
        <v>-4.1646918798665163E-3</v>
      </c>
      <c r="CE108">
        <v>289.99999999999989</v>
      </c>
      <c r="CF108">
        <v>894.32</v>
      </c>
      <c r="CG108">
        <v>685</v>
      </c>
      <c r="CH108">
        <v>8076.81</v>
      </c>
      <c r="CI108">
        <v>895.54</v>
      </c>
      <c r="CJ108">
        <v>-1.22</v>
      </c>
      <c r="CX108">
        <f t="shared" si="134"/>
        <v>1799.86</v>
      </c>
      <c r="CY108">
        <f t="shared" si="135"/>
        <v>1513.066799460398</v>
      </c>
      <c r="CZ108">
        <f t="shared" si="136"/>
        <v>0.84065805088195644</v>
      </c>
      <c r="DA108">
        <f t="shared" si="137"/>
        <v>0.16087003820217607</v>
      </c>
      <c r="DB108">
        <v>6</v>
      </c>
      <c r="DC108">
        <v>0.5</v>
      </c>
      <c r="DD108" t="s">
        <v>421</v>
      </c>
      <c r="DE108">
        <v>2</v>
      </c>
      <c r="DF108">
        <v>1689017542.5999999</v>
      </c>
      <c r="DG108">
        <v>245.554</v>
      </c>
      <c r="DH108">
        <v>299.99700000000001</v>
      </c>
      <c r="DI108">
        <v>28.080300000000001</v>
      </c>
      <c r="DJ108">
        <v>20.998000000000001</v>
      </c>
      <c r="DK108">
        <v>246.65799999999999</v>
      </c>
      <c r="DL108">
        <v>28.064299999999999</v>
      </c>
      <c r="DM108">
        <v>500.20499999999998</v>
      </c>
      <c r="DN108">
        <v>99.094499999999996</v>
      </c>
      <c r="DO108">
        <v>0.10000199999999999</v>
      </c>
      <c r="DP108">
        <v>30.001300000000001</v>
      </c>
      <c r="DQ108">
        <v>29.870799999999999</v>
      </c>
      <c r="DR108">
        <v>999.9</v>
      </c>
      <c r="DS108">
        <v>0</v>
      </c>
      <c r="DT108">
        <v>0</v>
      </c>
      <c r="DU108">
        <v>9997.5</v>
      </c>
      <c r="DV108">
        <v>0</v>
      </c>
      <c r="DW108">
        <v>1575.8</v>
      </c>
      <c r="DX108">
        <v>-54.442900000000002</v>
      </c>
      <c r="DY108">
        <v>252.649</v>
      </c>
      <c r="DZ108">
        <v>306.43200000000002</v>
      </c>
      <c r="EA108">
        <v>7.0823600000000004</v>
      </c>
      <c r="EB108">
        <v>299.99700000000001</v>
      </c>
      <c r="EC108">
        <v>20.998000000000001</v>
      </c>
      <c r="ED108">
        <v>2.7826</v>
      </c>
      <c r="EE108">
        <v>2.0807799999999999</v>
      </c>
      <c r="EF108">
        <v>22.781300000000002</v>
      </c>
      <c r="EG108">
        <v>18.072800000000001</v>
      </c>
      <c r="EH108">
        <v>1799.86</v>
      </c>
      <c r="EI108">
        <v>0.97800600000000004</v>
      </c>
      <c r="EJ108">
        <v>2.1993599999999999E-2</v>
      </c>
      <c r="EK108">
        <v>0</v>
      </c>
      <c r="EL108">
        <v>681.22299999999996</v>
      </c>
      <c r="EM108">
        <v>5.00082</v>
      </c>
      <c r="EN108">
        <v>16574.2</v>
      </c>
      <c r="EO108">
        <v>14128.7</v>
      </c>
      <c r="EP108">
        <v>48.25</v>
      </c>
      <c r="EQ108">
        <v>50.061999999999998</v>
      </c>
      <c r="ER108">
        <v>49.25</v>
      </c>
      <c r="ES108">
        <v>49.25</v>
      </c>
      <c r="ET108">
        <v>49.436999999999998</v>
      </c>
      <c r="EU108">
        <v>1755.38</v>
      </c>
      <c r="EV108">
        <v>39.479999999999997</v>
      </c>
      <c r="EW108">
        <v>0</v>
      </c>
      <c r="EX108">
        <v>173.60000014305109</v>
      </c>
      <c r="EY108">
        <v>0</v>
      </c>
      <c r="EZ108">
        <v>681.58684615384618</v>
      </c>
      <c r="FA108">
        <v>0.23282050561983689</v>
      </c>
      <c r="FB108">
        <v>-60.91623863452223</v>
      </c>
      <c r="FC108">
        <v>16593.515384615381</v>
      </c>
      <c r="FD108">
        <v>15</v>
      </c>
      <c r="FE108">
        <v>1689017444.5999999</v>
      </c>
      <c r="FF108" t="s">
        <v>890</v>
      </c>
      <c r="FG108">
        <v>1689017443.0999999</v>
      </c>
      <c r="FH108">
        <v>1689017444.5999999</v>
      </c>
      <c r="FI108">
        <v>103</v>
      </c>
      <c r="FJ108">
        <v>0.14499999999999999</v>
      </c>
      <c r="FK108">
        <v>-4.0000000000000001E-3</v>
      </c>
      <c r="FL108">
        <v>-1.159</v>
      </c>
      <c r="FM108">
        <v>1.6E-2</v>
      </c>
      <c r="FN108">
        <v>300</v>
      </c>
      <c r="FO108">
        <v>22</v>
      </c>
      <c r="FP108">
        <v>0.05</v>
      </c>
      <c r="FQ108">
        <v>0.01</v>
      </c>
      <c r="FR108">
        <v>43.951209403499178</v>
      </c>
      <c r="FS108">
        <v>0.65054781493724334</v>
      </c>
      <c r="FT108">
        <v>5.3235313798223528E-2</v>
      </c>
      <c r="FU108">
        <v>1</v>
      </c>
      <c r="FV108">
        <v>0.43200874133255712</v>
      </c>
      <c r="FW108">
        <v>3.4427731421832988E-2</v>
      </c>
      <c r="FX108">
        <v>2.540748245222069E-3</v>
      </c>
      <c r="FY108">
        <v>1</v>
      </c>
      <c r="FZ108">
        <v>2</v>
      </c>
      <c r="GA108">
        <v>2</v>
      </c>
      <c r="GB108" t="s">
        <v>423</v>
      </c>
      <c r="GC108">
        <v>2.9443000000000001</v>
      </c>
      <c r="GD108">
        <v>2.7086399999999999</v>
      </c>
      <c r="GE108">
        <v>5.9082500000000003E-2</v>
      </c>
      <c r="GF108">
        <v>6.9720900000000002E-2</v>
      </c>
      <c r="GG108">
        <v>0.12587599999999999</v>
      </c>
      <c r="GH108">
        <v>0.102757</v>
      </c>
      <c r="GI108">
        <v>30871.9</v>
      </c>
      <c r="GJ108">
        <v>29785.9</v>
      </c>
      <c r="GK108">
        <v>33813.300000000003</v>
      </c>
      <c r="GL108">
        <v>32065.3</v>
      </c>
      <c r="GM108">
        <v>42678.3</v>
      </c>
      <c r="GN108">
        <v>40941.4</v>
      </c>
      <c r="GO108">
        <v>48976.4</v>
      </c>
      <c r="GP108">
        <v>45394.5</v>
      </c>
      <c r="GQ108">
        <v>1.9684299999999999</v>
      </c>
      <c r="GR108">
        <v>1.7427299999999999</v>
      </c>
      <c r="GS108">
        <v>-1.8604099999999998E-2</v>
      </c>
      <c r="GT108">
        <v>0</v>
      </c>
      <c r="GU108">
        <v>30.173500000000001</v>
      </c>
      <c r="GV108">
        <v>999.9</v>
      </c>
      <c r="GW108">
        <v>29.7</v>
      </c>
      <c r="GX108">
        <v>46.8</v>
      </c>
      <c r="GY108">
        <v>31.678799999999999</v>
      </c>
      <c r="GZ108">
        <v>60.407200000000003</v>
      </c>
      <c r="HA108">
        <v>25.488800000000001</v>
      </c>
      <c r="HB108">
        <v>1</v>
      </c>
      <c r="HC108">
        <v>0.53530699999999998</v>
      </c>
      <c r="HD108">
        <v>2.6490300000000002</v>
      </c>
      <c r="HE108">
        <v>20.202200000000001</v>
      </c>
      <c r="HF108">
        <v>5.2709000000000001</v>
      </c>
      <c r="HG108">
        <v>12.039899999999999</v>
      </c>
      <c r="HH108">
        <v>4.9657999999999998</v>
      </c>
      <c r="HI108">
        <v>3.3010000000000002</v>
      </c>
      <c r="HJ108">
        <v>9999</v>
      </c>
      <c r="HK108">
        <v>9999</v>
      </c>
      <c r="HL108">
        <v>9999</v>
      </c>
      <c r="HM108">
        <v>999.9</v>
      </c>
      <c r="HN108">
        <v>1.8685499999999999</v>
      </c>
      <c r="HO108">
        <v>1.8722099999999999</v>
      </c>
      <c r="HP108">
        <v>1.87195</v>
      </c>
      <c r="HQ108">
        <v>1.8714900000000001</v>
      </c>
      <c r="HR108">
        <v>1.8647100000000001</v>
      </c>
      <c r="HS108">
        <v>1.86588</v>
      </c>
      <c r="HT108">
        <v>1.86785</v>
      </c>
      <c r="HU108">
        <v>1.87242</v>
      </c>
      <c r="HV108">
        <v>0</v>
      </c>
      <c r="HW108">
        <v>0</v>
      </c>
      <c r="HX108">
        <v>0</v>
      </c>
      <c r="HY108">
        <v>0</v>
      </c>
      <c r="HZ108" t="s">
        <v>424</v>
      </c>
      <c r="IA108" t="s">
        <v>425</v>
      </c>
      <c r="IB108" t="s">
        <v>426</v>
      </c>
      <c r="IC108" t="s">
        <v>426</v>
      </c>
      <c r="ID108" t="s">
        <v>426</v>
      </c>
      <c r="IE108" t="s">
        <v>426</v>
      </c>
      <c r="IF108">
        <v>0</v>
      </c>
      <c r="IG108">
        <v>100</v>
      </c>
      <c r="IH108">
        <v>100</v>
      </c>
      <c r="II108">
        <v>-1.1040000000000001</v>
      </c>
      <c r="IJ108">
        <v>1.6E-2</v>
      </c>
      <c r="IK108">
        <v>-0.83109549765843771</v>
      </c>
      <c r="IL108">
        <v>-1.171017271736434E-3</v>
      </c>
      <c r="IM108">
        <v>2.801297040296544E-7</v>
      </c>
      <c r="IN108">
        <v>-3.6238253961199429E-11</v>
      </c>
      <c r="IO108">
        <v>1.6034999999998689E-2</v>
      </c>
      <c r="IP108">
        <v>0</v>
      </c>
      <c r="IQ108">
        <v>0</v>
      </c>
      <c r="IR108">
        <v>0</v>
      </c>
      <c r="IS108">
        <v>0</v>
      </c>
      <c r="IT108">
        <v>2161</v>
      </c>
      <c r="IU108">
        <v>1</v>
      </c>
      <c r="IV108">
        <v>19</v>
      </c>
      <c r="IW108">
        <v>1.7</v>
      </c>
      <c r="IX108">
        <v>1.6</v>
      </c>
      <c r="IY108">
        <v>0.81664999999999999</v>
      </c>
      <c r="IZ108">
        <v>2.52563</v>
      </c>
      <c r="JA108">
        <v>1.4440900000000001</v>
      </c>
      <c r="JB108">
        <v>2.2790499999999998</v>
      </c>
      <c r="JC108">
        <v>1.54419</v>
      </c>
      <c r="JD108">
        <v>2.3034699999999999</v>
      </c>
      <c r="JE108">
        <v>48.454599999999999</v>
      </c>
      <c r="JF108">
        <v>24.07</v>
      </c>
      <c r="JG108">
        <v>18</v>
      </c>
      <c r="JH108">
        <v>510.90100000000001</v>
      </c>
      <c r="JI108">
        <v>404.1</v>
      </c>
      <c r="JJ108">
        <v>25.842600000000001</v>
      </c>
      <c r="JK108">
        <v>33.966900000000003</v>
      </c>
      <c r="JL108">
        <v>29.9998</v>
      </c>
      <c r="JM108">
        <v>33.671599999999998</v>
      </c>
      <c r="JN108">
        <v>33.608800000000002</v>
      </c>
      <c r="JO108">
        <v>16.477499999999999</v>
      </c>
      <c r="JP108">
        <v>39.853299999999997</v>
      </c>
      <c r="JQ108">
        <v>0</v>
      </c>
      <c r="JR108">
        <v>25.880099999999999</v>
      </c>
      <c r="JS108">
        <v>300</v>
      </c>
      <c r="JT108">
        <v>20.941400000000002</v>
      </c>
      <c r="JU108">
        <v>99.257199999999997</v>
      </c>
      <c r="JV108">
        <v>98.856700000000004</v>
      </c>
    </row>
    <row r="109" spans="1:282" x14ac:dyDescent="0.25">
      <c r="A109">
        <v>93</v>
      </c>
      <c r="B109">
        <v>1689017694.0999999</v>
      </c>
      <c r="C109">
        <v>18517.099999904629</v>
      </c>
      <c r="D109" t="s">
        <v>891</v>
      </c>
      <c r="E109" t="s">
        <v>892</v>
      </c>
      <c r="F109" t="s">
        <v>414</v>
      </c>
      <c r="G109" t="s">
        <v>415</v>
      </c>
      <c r="H109" t="s">
        <v>416</v>
      </c>
      <c r="I109" t="s">
        <v>500</v>
      </c>
      <c r="J109" t="s">
        <v>501</v>
      </c>
      <c r="K109">
        <v>1689017694.0999999</v>
      </c>
      <c r="L109">
        <f t="shared" si="92"/>
        <v>6.687999042422811E-3</v>
      </c>
      <c r="M109">
        <f t="shared" si="93"/>
        <v>6.6879990424228106</v>
      </c>
      <c r="N109">
        <f t="shared" si="94"/>
        <v>31.356576255454414</v>
      </c>
      <c r="O109">
        <f t="shared" si="95"/>
        <v>160.94900000000001</v>
      </c>
      <c r="P109">
        <f t="shared" si="96"/>
        <v>47.357581915076622</v>
      </c>
      <c r="Q109">
        <f t="shared" si="97"/>
        <v>4.6979516204126028</v>
      </c>
      <c r="R109">
        <f t="shared" si="98"/>
        <v>15.966410968991401</v>
      </c>
      <c r="S109">
        <f t="shared" si="99"/>
        <v>0.48715325504785179</v>
      </c>
      <c r="T109">
        <f t="shared" si="100"/>
        <v>2.9159304898164065</v>
      </c>
      <c r="U109">
        <f t="shared" si="101"/>
        <v>0.44604037773169353</v>
      </c>
      <c r="V109">
        <f t="shared" si="102"/>
        <v>0.2821793574377246</v>
      </c>
      <c r="W109">
        <f t="shared" si="103"/>
        <v>289.5499309585918</v>
      </c>
      <c r="X109">
        <f t="shared" si="104"/>
        <v>30.11524092177352</v>
      </c>
      <c r="Y109">
        <f t="shared" si="105"/>
        <v>29.957000000000001</v>
      </c>
      <c r="Z109">
        <f t="shared" si="106"/>
        <v>4.2499382708481281</v>
      </c>
      <c r="AA109">
        <f t="shared" si="107"/>
        <v>65.527987566514568</v>
      </c>
      <c r="AB109">
        <f t="shared" si="108"/>
        <v>2.81546268068232</v>
      </c>
      <c r="AC109">
        <f t="shared" si="109"/>
        <v>4.2965804158482177</v>
      </c>
      <c r="AD109">
        <f t="shared" si="110"/>
        <v>1.4344755901658082</v>
      </c>
      <c r="AE109">
        <f t="shared" si="111"/>
        <v>-294.94075777084595</v>
      </c>
      <c r="AF109">
        <f t="shared" si="112"/>
        <v>29.884412832182907</v>
      </c>
      <c r="AG109">
        <f t="shared" si="113"/>
        <v>2.2799771221417595</v>
      </c>
      <c r="AH109">
        <f t="shared" si="114"/>
        <v>26.773563142070518</v>
      </c>
      <c r="AI109">
        <v>0</v>
      </c>
      <c r="AJ109">
        <v>0</v>
      </c>
      <c r="AK109">
        <f t="shared" si="115"/>
        <v>1</v>
      </c>
      <c r="AL109">
        <f t="shared" si="116"/>
        <v>0</v>
      </c>
      <c r="AM109">
        <f t="shared" si="117"/>
        <v>51920.380602490768</v>
      </c>
      <c r="AN109" t="s">
        <v>418</v>
      </c>
      <c r="AO109">
        <v>10076.700000000001</v>
      </c>
      <c r="AP109">
        <v>185.01599999999999</v>
      </c>
      <c r="AQ109">
        <v>473.06</v>
      </c>
      <c r="AR109">
        <f t="shared" si="118"/>
        <v>0.60889527755464423</v>
      </c>
      <c r="AS109">
        <v>-1.4827006201179751</v>
      </c>
      <c r="AT109" t="s">
        <v>893</v>
      </c>
      <c r="AU109">
        <v>8085.95</v>
      </c>
      <c r="AV109">
        <v>683.10626923076939</v>
      </c>
      <c r="AW109">
        <v>903.79237276065771</v>
      </c>
      <c r="AX109">
        <f t="shared" si="119"/>
        <v>0.24417787777495492</v>
      </c>
      <c r="AY109">
        <v>0.5</v>
      </c>
      <c r="AZ109">
        <f t="shared" si="120"/>
        <v>1513.1003994604102</v>
      </c>
      <c r="BA109">
        <f t="shared" si="121"/>
        <v>31.356576255454414</v>
      </c>
      <c r="BB109">
        <f t="shared" si="122"/>
        <v>184.73282220033977</v>
      </c>
      <c r="BC109">
        <f t="shared" si="123"/>
        <v>2.1703303288587637E-2</v>
      </c>
      <c r="BD109">
        <f t="shared" si="124"/>
        <v>-0.47658332349605287</v>
      </c>
      <c r="BE109">
        <f t="shared" si="125"/>
        <v>227.40244955829104</v>
      </c>
      <c r="BF109" t="s">
        <v>894</v>
      </c>
      <c r="BG109">
        <v>525.39</v>
      </c>
      <c r="BH109">
        <f t="shared" si="126"/>
        <v>525.39</v>
      </c>
      <c r="BI109">
        <f t="shared" si="127"/>
        <v>0.41868285699824803</v>
      </c>
      <c r="BJ109">
        <f t="shared" si="128"/>
        <v>0.58320486185078413</v>
      </c>
      <c r="BK109">
        <f t="shared" si="129"/>
        <v>8.2310791660741032</v>
      </c>
      <c r="BL109">
        <f t="shared" si="130"/>
        <v>0.30703026962653607</v>
      </c>
      <c r="BM109">
        <f t="shared" si="131"/>
        <v>-1.4953700572157647</v>
      </c>
      <c r="BN109">
        <f t="shared" si="132"/>
        <v>0.44855393101987617</v>
      </c>
      <c r="BO109">
        <f t="shared" si="133"/>
        <v>0.55144606898012383</v>
      </c>
      <c r="BP109">
        <v>9239</v>
      </c>
      <c r="BQ109">
        <v>290.00000000000011</v>
      </c>
      <c r="BR109">
        <v>846.68</v>
      </c>
      <c r="BS109">
        <v>295</v>
      </c>
      <c r="BT109">
        <v>8085.95</v>
      </c>
      <c r="BU109">
        <v>848.56</v>
      </c>
      <c r="BV109">
        <v>-1.88</v>
      </c>
      <c r="BW109">
        <v>300.00000000000011</v>
      </c>
      <c r="BX109">
        <v>19.2</v>
      </c>
      <c r="BY109">
        <v>903.79237276065771</v>
      </c>
      <c r="BZ109">
        <v>3.5095423190757642</v>
      </c>
      <c r="CA109">
        <v>-44.659217997849417</v>
      </c>
      <c r="CB109">
        <v>2.607636082038876</v>
      </c>
      <c r="CC109">
        <v>0.91285699819435862</v>
      </c>
      <c r="CD109">
        <v>-4.1650743047830924E-3</v>
      </c>
      <c r="CE109">
        <v>289.99999999999989</v>
      </c>
      <c r="CF109">
        <v>847.92</v>
      </c>
      <c r="CG109">
        <v>625</v>
      </c>
      <c r="CH109">
        <v>8079.81</v>
      </c>
      <c r="CI109">
        <v>848.52</v>
      </c>
      <c r="CJ109">
        <v>-0.6</v>
      </c>
      <c r="CX109">
        <f t="shared" si="134"/>
        <v>1799.9</v>
      </c>
      <c r="CY109">
        <f t="shared" si="135"/>
        <v>1513.1003994604102</v>
      </c>
      <c r="CZ109">
        <f t="shared" si="136"/>
        <v>0.84065803625779778</v>
      </c>
      <c r="DA109">
        <f t="shared" si="137"/>
        <v>0.16087000997754974</v>
      </c>
      <c r="DB109">
        <v>6</v>
      </c>
      <c r="DC109">
        <v>0.5</v>
      </c>
      <c r="DD109" t="s">
        <v>421</v>
      </c>
      <c r="DE109">
        <v>2</v>
      </c>
      <c r="DF109">
        <v>1689017694.0999999</v>
      </c>
      <c r="DG109">
        <v>160.94900000000001</v>
      </c>
      <c r="DH109">
        <v>199.863</v>
      </c>
      <c r="DI109">
        <v>28.3812</v>
      </c>
      <c r="DJ109">
        <v>20.584499999999998</v>
      </c>
      <c r="DK109">
        <v>162.012</v>
      </c>
      <c r="DL109">
        <v>28.368500000000001</v>
      </c>
      <c r="DM109">
        <v>500.072</v>
      </c>
      <c r="DN109">
        <v>99.101799999999997</v>
      </c>
      <c r="DO109">
        <v>9.9878599999999998E-2</v>
      </c>
      <c r="DP109">
        <v>30.147099999999998</v>
      </c>
      <c r="DQ109">
        <v>29.957000000000001</v>
      </c>
      <c r="DR109">
        <v>999.9</v>
      </c>
      <c r="DS109">
        <v>0</v>
      </c>
      <c r="DT109">
        <v>0</v>
      </c>
      <c r="DU109">
        <v>10012.5</v>
      </c>
      <c r="DV109">
        <v>0</v>
      </c>
      <c r="DW109">
        <v>1563.13</v>
      </c>
      <c r="DX109">
        <v>-38.914400000000001</v>
      </c>
      <c r="DY109">
        <v>165.65</v>
      </c>
      <c r="DZ109">
        <v>204.06399999999999</v>
      </c>
      <c r="EA109">
        <v>7.7967000000000004</v>
      </c>
      <c r="EB109">
        <v>199.863</v>
      </c>
      <c r="EC109">
        <v>20.584499999999998</v>
      </c>
      <c r="ED109">
        <v>2.81263</v>
      </c>
      <c r="EE109">
        <v>2.0399600000000002</v>
      </c>
      <c r="EF109">
        <v>22.958400000000001</v>
      </c>
      <c r="EG109">
        <v>17.757999999999999</v>
      </c>
      <c r="EH109">
        <v>1799.9</v>
      </c>
      <c r="EI109">
        <v>0.97800299999999996</v>
      </c>
      <c r="EJ109">
        <v>2.1997200000000001E-2</v>
      </c>
      <c r="EK109">
        <v>0</v>
      </c>
      <c r="EL109">
        <v>682.98099999999999</v>
      </c>
      <c r="EM109">
        <v>5.00082</v>
      </c>
      <c r="EN109">
        <v>16717.400000000001</v>
      </c>
      <c r="EO109">
        <v>14129</v>
      </c>
      <c r="EP109">
        <v>47.875</v>
      </c>
      <c r="EQ109">
        <v>49.686999999999998</v>
      </c>
      <c r="ER109">
        <v>48.875</v>
      </c>
      <c r="ES109">
        <v>48.875</v>
      </c>
      <c r="ET109">
        <v>49.125</v>
      </c>
      <c r="EU109">
        <v>1755.42</v>
      </c>
      <c r="EV109">
        <v>39.479999999999997</v>
      </c>
      <c r="EW109">
        <v>0</v>
      </c>
      <c r="EX109">
        <v>149.60000014305109</v>
      </c>
      <c r="EY109">
        <v>0</v>
      </c>
      <c r="EZ109">
        <v>683.10626923076939</v>
      </c>
      <c r="FA109">
        <v>0.5222905956847137</v>
      </c>
      <c r="FB109">
        <v>434.61880351709539</v>
      </c>
      <c r="FC109">
        <v>16681.061538461541</v>
      </c>
      <c r="FD109">
        <v>15</v>
      </c>
      <c r="FE109">
        <v>1689017657.0999999</v>
      </c>
      <c r="FF109" t="s">
        <v>895</v>
      </c>
      <c r="FG109">
        <v>1689017647.0999999</v>
      </c>
      <c r="FH109">
        <v>1689017657.0999999</v>
      </c>
      <c r="FI109">
        <v>104</v>
      </c>
      <c r="FJ109">
        <v>-0.05</v>
      </c>
      <c r="FK109">
        <v>-3.0000000000000001E-3</v>
      </c>
      <c r="FL109">
        <v>-1.105</v>
      </c>
      <c r="FM109">
        <v>1.2999999999999999E-2</v>
      </c>
      <c r="FN109">
        <v>200</v>
      </c>
      <c r="FO109">
        <v>21</v>
      </c>
      <c r="FP109">
        <v>7.0000000000000007E-2</v>
      </c>
      <c r="FQ109">
        <v>0.01</v>
      </c>
      <c r="FR109">
        <v>31.244036366477431</v>
      </c>
      <c r="FS109">
        <v>-0.45980234295383149</v>
      </c>
      <c r="FT109">
        <v>7.6078587036623332E-2</v>
      </c>
      <c r="FU109">
        <v>1</v>
      </c>
      <c r="FV109">
        <v>0.48951883358117693</v>
      </c>
      <c r="FW109">
        <v>-1.289250156744768E-2</v>
      </c>
      <c r="FX109">
        <v>1.0899191044539641E-3</v>
      </c>
      <c r="FY109">
        <v>1</v>
      </c>
      <c r="FZ109">
        <v>2</v>
      </c>
      <c r="GA109">
        <v>2</v>
      </c>
      <c r="GB109" t="s">
        <v>423</v>
      </c>
      <c r="GC109">
        <v>2.9439299999999999</v>
      </c>
      <c r="GD109">
        <v>2.70865</v>
      </c>
      <c r="GE109">
        <v>4.0724799999999999E-2</v>
      </c>
      <c r="GF109">
        <v>4.9326000000000002E-2</v>
      </c>
      <c r="GG109">
        <v>0.126802</v>
      </c>
      <c r="GH109">
        <v>0.101308</v>
      </c>
      <c r="GI109">
        <v>31468.7</v>
      </c>
      <c r="GJ109">
        <v>30433.8</v>
      </c>
      <c r="GK109">
        <v>33808.5</v>
      </c>
      <c r="GL109">
        <v>32061</v>
      </c>
      <c r="GM109">
        <v>42627.8</v>
      </c>
      <c r="GN109">
        <v>41001.5</v>
      </c>
      <c r="GO109">
        <v>48970.5</v>
      </c>
      <c r="GP109">
        <v>45388.2</v>
      </c>
      <c r="GQ109">
        <v>1.9673799999999999</v>
      </c>
      <c r="GR109">
        <v>1.7417199999999999</v>
      </c>
      <c r="GS109">
        <v>-1.90362E-2</v>
      </c>
      <c r="GT109">
        <v>0</v>
      </c>
      <c r="GU109">
        <v>30.2668</v>
      </c>
      <c r="GV109">
        <v>999.9</v>
      </c>
      <c r="GW109">
        <v>29.8</v>
      </c>
      <c r="GX109">
        <v>46.8</v>
      </c>
      <c r="GY109">
        <v>31.782699999999998</v>
      </c>
      <c r="GZ109">
        <v>60.327199999999998</v>
      </c>
      <c r="HA109">
        <v>25.9816</v>
      </c>
      <c r="HB109">
        <v>1</v>
      </c>
      <c r="HC109">
        <v>0.54415400000000003</v>
      </c>
      <c r="HD109">
        <v>3.2671000000000001</v>
      </c>
      <c r="HE109">
        <v>20.191500000000001</v>
      </c>
      <c r="HF109">
        <v>5.2702999999999998</v>
      </c>
      <c r="HG109">
        <v>12.039899999999999</v>
      </c>
      <c r="HH109">
        <v>4.9657499999999999</v>
      </c>
      <c r="HI109">
        <v>3.3010000000000002</v>
      </c>
      <c r="HJ109">
        <v>9999</v>
      </c>
      <c r="HK109">
        <v>9999</v>
      </c>
      <c r="HL109">
        <v>9999</v>
      </c>
      <c r="HM109">
        <v>999.9</v>
      </c>
      <c r="HN109">
        <v>1.8685499999999999</v>
      </c>
      <c r="HO109">
        <v>1.87222</v>
      </c>
      <c r="HP109">
        <v>1.87195</v>
      </c>
      <c r="HQ109">
        <v>1.8714900000000001</v>
      </c>
      <c r="HR109">
        <v>1.8647400000000001</v>
      </c>
      <c r="HS109">
        <v>1.8658399999999999</v>
      </c>
      <c r="HT109">
        <v>1.8678399999999999</v>
      </c>
      <c r="HU109">
        <v>1.87243</v>
      </c>
      <c r="HV109">
        <v>0</v>
      </c>
      <c r="HW109">
        <v>0</v>
      </c>
      <c r="HX109">
        <v>0</v>
      </c>
      <c r="HY109">
        <v>0</v>
      </c>
      <c r="HZ109" t="s">
        <v>424</v>
      </c>
      <c r="IA109" t="s">
        <v>425</v>
      </c>
      <c r="IB109" t="s">
        <v>426</v>
      </c>
      <c r="IC109" t="s">
        <v>426</v>
      </c>
      <c r="ID109" t="s">
        <v>426</v>
      </c>
      <c r="IE109" t="s">
        <v>426</v>
      </c>
      <c r="IF109">
        <v>0</v>
      </c>
      <c r="IG109">
        <v>100</v>
      </c>
      <c r="IH109">
        <v>100</v>
      </c>
      <c r="II109">
        <v>-1.0629999999999999</v>
      </c>
      <c r="IJ109">
        <v>1.2699999999999999E-2</v>
      </c>
      <c r="IK109">
        <v>-0.88061927413391061</v>
      </c>
      <c r="IL109">
        <v>-1.171017271736434E-3</v>
      </c>
      <c r="IM109">
        <v>2.801297040296544E-7</v>
      </c>
      <c r="IN109">
        <v>-3.6238253961199429E-11</v>
      </c>
      <c r="IO109">
        <v>1.269999999999882E-2</v>
      </c>
      <c r="IP109">
        <v>0</v>
      </c>
      <c r="IQ109">
        <v>0</v>
      </c>
      <c r="IR109">
        <v>0</v>
      </c>
      <c r="IS109">
        <v>0</v>
      </c>
      <c r="IT109">
        <v>2161</v>
      </c>
      <c r="IU109">
        <v>1</v>
      </c>
      <c r="IV109">
        <v>19</v>
      </c>
      <c r="IW109">
        <v>0.8</v>
      </c>
      <c r="IX109">
        <v>0.6</v>
      </c>
      <c r="IY109">
        <v>0.59448199999999995</v>
      </c>
      <c r="IZ109">
        <v>2.5354000000000001</v>
      </c>
      <c r="JA109">
        <v>1.4440900000000001</v>
      </c>
      <c r="JB109">
        <v>2.2790499999999998</v>
      </c>
      <c r="JC109">
        <v>1.54419</v>
      </c>
      <c r="JD109">
        <v>2.4194300000000002</v>
      </c>
      <c r="JE109">
        <v>48.516199999999998</v>
      </c>
      <c r="JF109">
        <v>24.078700000000001</v>
      </c>
      <c r="JG109">
        <v>18</v>
      </c>
      <c r="JH109">
        <v>510.90300000000002</v>
      </c>
      <c r="JI109">
        <v>404.06099999999998</v>
      </c>
      <c r="JJ109">
        <v>25.772400000000001</v>
      </c>
      <c r="JK109">
        <v>34.040599999999998</v>
      </c>
      <c r="JL109">
        <v>30.0001</v>
      </c>
      <c r="JM109">
        <v>33.759399999999999</v>
      </c>
      <c r="JN109">
        <v>33.695099999999996</v>
      </c>
      <c r="JO109">
        <v>12.0124</v>
      </c>
      <c r="JP109">
        <v>41.728700000000003</v>
      </c>
      <c r="JQ109">
        <v>0</v>
      </c>
      <c r="JR109">
        <v>25.7791</v>
      </c>
      <c r="JS109">
        <v>200</v>
      </c>
      <c r="JT109">
        <v>20.499099999999999</v>
      </c>
      <c r="JU109">
        <v>99.244399999999999</v>
      </c>
      <c r="JV109">
        <v>98.843199999999996</v>
      </c>
    </row>
    <row r="110" spans="1:282" x14ac:dyDescent="0.25">
      <c r="A110">
        <v>94</v>
      </c>
      <c r="B110">
        <v>1689017816.0999999</v>
      </c>
      <c r="C110">
        <v>18639.099999904629</v>
      </c>
      <c r="D110" t="s">
        <v>896</v>
      </c>
      <c r="E110" t="s">
        <v>897</v>
      </c>
      <c r="F110" t="s">
        <v>414</v>
      </c>
      <c r="G110" t="s">
        <v>415</v>
      </c>
      <c r="H110" t="s">
        <v>416</v>
      </c>
      <c r="I110" t="s">
        <v>500</v>
      </c>
      <c r="J110" t="s">
        <v>501</v>
      </c>
      <c r="K110">
        <v>1689017816.0999999</v>
      </c>
      <c r="L110">
        <f t="shared" si="92"/>
        <v>6.8804585850980949E-3</v>
      </c>
      <c r="M110">
        <f t="shared" si="93"/>
        <v>6.8804585850980953</v>
      </c>
      <c r="N110">
        <f t="shared" si="94"/>
        <v>19.836029132744827</v>
      </c>
      <c r="O110">
        <f t="shared" si="95"/>
        <v>95.331100000000006</v>
      </c>
      <c r="P110">
        <f t="shared" si="96"/>
        <v>25.631815440865015</v>
      </c>
      <c r="Q110">
        <f t="shared" si="97"/>
        <v>2.5425799467940911</v>
      </c>
      <c r="R110">
        <f t="shared" si="98"/>
        <v>9.4564875330439015</v>
      </c>
      <c r="S110">
        <f t="shared" si="99"/>
        <v>0.50291484505004824</v>
      </c>
      <c r="T110">
        <f t="shared" si="100"/>
        <v>2.9079519612218698</v>
      </c>
      <c r="U110">
        <f t="shared" si="101"/>
        <v>0.45911752155790531</v>
      </c>
      <c r="V110">
        <f t="shared" si="102"/>
        <v>0.29056495236438284</v>
      </c>
      <c r="W110">
        <f t="shared" si="103"/>
        <v>289.56008595836272</v>
      </c>
      <c r="X110">
        <f t="shared" si="104"/>
        <v>30.13683641229758</v>
      </c>
      <c r="Y110">
        <f t="shared" si="105"/>
        <v>30.0168</v>
      </c>
      <c r="Z110">
        <f t="shared" si="106"/>
        <v>4.2645627428492663</v>
      </c>
      <c r="AA110">
        <f t="shared" si="107"/>
        <v>65.621901010450657</v>
      </c>
      <c r="AB110">
        <f t="shared" si="108"/>
        <v>2.8311502230841001</v>
      </c>
      <c r="AC110">
        <f t="shared" si="109"/>
        <v>4.3143374079230403</v>
      </c>
      <c r="AD110">
        <f t="shared" si="110"/>
        <v>1.4334125197651661</v>
      </c>
      <c r="AE110">
        <f t="shared" si="111"/>
        <v>-303.42822360282599</v>
      </c>
      <c r="AF110">
        <f t="shared" si="112"/>
        <v>31.699602940172355</v>
      </c>
      <c r="AG110">
        <f t="shared" si="113"/>
        <v>2.4266805050130285</v>
      </c>
      <c r="AH110">
        <f t="shared" si="114"/>
        <v>20.258145800722133</v>
      </c>
      <c r="AI110">
        <v>0</v>
      </c>
      <c r="AJ110">
        <v>0</v>
      </c>
      <c r="AK110">
        <f t="shared" si="115"/>
        <v>1</v>
      </c>
      <c r="AL110">
        <f t="shared" si="116"/>
        <v>0</v>
      </c>
      <c r="AM110">
        <f t="shared" si="117"/>
        <v>51681.208133907916</v>
      </c>
      <c r="AN110" t="s">
        <v>418</v>
      </c>
      <c r="AO110">
        <v>10076.700000000001</v>
      </c>
      <c r="AP110">
        <v>185.01599999999999</v>
      </c>
      <c r="AQ110">
        <v>473.06</v>
      </c>
      <c r="AR110">
        <f t="shared" si="118"/>
        <v>0.60889527755464423</v>
      </c>
      <c r="AS110">
        <v>-1.4827006201179751</v>
      </c>
      <c r="AT110" t="s">
        <v>898</v>
      </c>
      <c r="AU110">
        <v>8087.68</v>
      </c>
      <c r="AV110">
        <v>698.31252000000006</v>
      </c>
      <c r="AW110">
        <v>850.28513781845481</v>
      </c>
      <c r="AX110">
        <f t="shared" si="119"/>
        <v>0.17873135852799371</v>
      </c>
      <c r="AY110">
        <v>0.5</v>
      </c>
      <c r="AZ110">
        <f t="shared" si="120"/>
        <v>1513.1510994602916</v>
      </c>
      <c r="BA110">
        <f t="shared" si="121"/>
        <v>19.836029132744827</v>
      </c>
      <c r="BB110">
        <f t="shared" si="122"/>
        <v>135.22377583233262</v>
      </c>
      <c r="BC110">
        <f t="shared" si="123"/>
        <v>1.4088962933355917E-2</v>
      </c>
      <c r="BD110">
        <f t="shared" si="124"/>
        <v>-0.44364545614226236</v>
      </c>
      <c r="BE110">
        <f t="shared" si="125"/>
        <v>223.85801440937274</v>
      </c>
      <c r="BF110" t="s">
        <v>899</v>
      </c>
      <c r="BG110">
        <v>532.25</v>
      </c>
      <c r="BH110">
        <f t="shared" si="126"/>
        <v>532.25</v>
      </c>
      <c r="BI110">
        <f t="shared" si="127"/>
        <v>0.37403351378624095</v>
      </c>
      <c r="BJ110">
        <f t="shared" si="128"/>
        <v>0.47784851340925055</v>
      </c>
      <c r="BK110">
        <f t="shared" si="129"/>
        <v>6.373122787944836</v>
      </c>
      <c r="BL110">
        <f t="shared" si="130"/>
        <v>0.22843779934960176</v>
      </c>
      <c r="BM110">
        <f t="shared" si="131"/>
        <v>-1.3096094270960508</v>
      </c>
      <c r="BN110">
        <f t="shared" si="132"/>
        <v>0.36421353473953694</v>
      </c>
      <c r="BO110">
        <f t="shared" si="133"/>
        <v>0.63578646526046301</v>
      </c>
      <c r="BP110">
        <v>9241</v>
      </c>
      <c r="BQ110">
        <v>290.00000000000011</v>
      </c>
      <c r="BR110">
        <v>806.61</v>
      </c>
      <c r="BS110">
        <v>275</v>
      </c>
      <c r="BT110">
        <v>8087.68</v>
      </c>
      <c r="BU110">
        <v>807.19</v>
      </c>
      <c r="BV110">
        <v>-0.57999999999999996</v>
      </c>
      <c r="BW110">
        <v>300.00000000000011</v>
      </c>
      <c r="BX110">
        <v>19.2</v>
      </c>
      <c r="BY110">
        <v>850.28513781845481</v>
      </c>
      <c r="BZ110">
        <v>2.936346607981501</v>
      </c>
      <c r="CA110">
        <v>-34.854317154799752</v>
      </c>
      <c r="CB110">
        <v>2.182102447648032</v>
      </c>
      <c r="CC110">
        <v>0.90110577737507214</v>
      </c>
      <c r="CD110">
        <v>-4.1654969966629729E-3</v>
      </c>
      <c r="CE110">
        <v>289.99999999999989</v>
      </c>
      <c r="CF110">
        <v>805.19</v>
      </c>
      <c r="CG110">
        <v>655</v>
      </c>
      <c r="CH110">
        <v>8080.29</v>
      </c>
      <c r="CI110">
        <v>807.15</v>
      </c>
      <c r="CJ110">
        <v>-1.96</v>
      </c>
      <c r="CX110">
        <f t="shared" si="134"/>
        <v>1799.96</v>
      </c>
      <c r="CY110">
        <f t="shared" si="135"/>
        <v>1513.1510994602916</v>
      </c>
      <c r="CZ110">
        <f t="shared" si="136"/>
        <v>0.84065818099307288</v>
      </c>
      <c r="DA110">
        <f t="shared" si="137"/>
        <v>0.16087028931663078</v>
      </c>
      <c r="DB110">
        <v>6</v>
      </c>
      <c r="DC110">
        <v>0.5</v>
      </c>
      <c r="DD110" t="s">
        <v>421</v>
      </c>
      <c r="DE110">
        <v>2</v>
      </c>
      <c r="DF110">
        <v>1689017816.0999999</v>
      </c>
      <c r="DG110">
        <v>95.331100000000006</v>
      </c>
      <c r="DH110">
        <v>119.91500000000001</v>
      </c>
      <c r="DI110">
        <v>28.540900000000001</v>
      </c>
      <c r="DJ110">
        <v>20.522099999999998</v>
      </c>
      <c r="DK110">
        <v>96.417199999999994</v>
      </c>
      <c r="DL110">
        <v>28.543700000000001</v>
      </c>
      <c r="DM110">
        <v>500.13099999999997</v>
      </c>
      <c r="DN110">
        <v>99.096000000000004</v>
      </c>
      <c r="DO110">
        <v>0.100249</v>
      </c>
      <c r="DP110">
        <v>30.219000000000001</v>
      </c>
      <c r="DQ110">
        <v>30.0168</v>
      </c>
      <c r="DR110">
        <v>999.9</v>
      </c>
      <c r="DS110">
        <v>0</v>
      </c>
      <c r="DT110">
        <v>0</v>
      </c>
      <c r="DU110">
        <v>9967.5</v>
      </c>
      <c r="DV110">
        <v>0</v>
      </c>
      <c r="DW110">
        <v>1563.44</v>
      </c>
      <c r="DX110">
        <v>-24.584399999999999</v>
      </c>
      <c r="DY110">
        <v>98.131799999999998</v>
      </c>
      <c r="DZ110">
        <v>122.428</v>
      </c>
      <c r="EA110">
        <v>8.0187899999999992</v>
      </c>
      <c r="EB110">
        <v>119.91500000000001</v>
      </c>
      <c r="EC110">
        <v>20.522099999999998</v>
      </c>
      <c r="ED110">
        <v>2.82829</v>
      </c>
      <c r="EE110">
        <v>2.0336599999999998</v>
      </c>
      <c r="EF110">
        <v>23.0501</v>
      </c>
      <c r="EG110">
        <v>17.7089</v>
      </c>
      <c r="EH110">
        <v>1799.96</v>
      </c>
      <c r="EI110">
        <v>0.97799899999999995</v>
      </c>
      <c r="EJ110">
        <v>2.2000800000000001E-2</v>
      </c>
      <c r="EK110">
        <v>0</v>
      </c>
      <c r="EL110">
        <v>697.72900000000004</v>
      </c>
      <c r="EM110">
        <v>5.00082</v>
      </c>
      <c r="EN110">
        <v>16992.099999999999</v>
      </c>
      <c r="EO110">
        <v>14129.5</v>
      </c>
      <c r="EP110">
        <v>47.561999999999998</v>
      </c>
      <c r="EQ110">
        <v>49.311999999999998</v>
      </c>
      <c r="ER110">
        <v>48.561999999999998</v>
      </c>
      <c r="ES110">
        <v>48.5</v>
      </c>
      <c r="ET110">
        <v>48.811999999999998</v>
      </c>
      <c r="EU110">
        <v>1755.47</v>
      </c>
      <c r="EV110">
        <v>39.49</v>
      </c>
      <c r="EW110">
        <v>0</v>
      </c>
      <c r="EX110">
        <v>120.2000000476837</v>
      </c>
      <c r="EY110">
        <v>0</v>
      </c>
      <c r="EZ110">
        <v>698.31252000000006</v>
      </c>
      <c r="FA110">
        <v>-3.1940000101742609</v>
      </c>
      <c r="FB110">
        <v>-91.730769214631337</v>
      </c>
      <c r="FC110">
        <v>17010.919999999998</v>
      </c>
      <c r="FD110">
        <v>15</v>
      </c>
      <c r="FE110">
        <v>1689017777.5999999</v>
      </c>
      <c r="FF110" t="s">
        <v>900</v>
      </c>
      <c r="FG110">
        <v>1689017767.5999999</v>
      </c>
      <c r="FH110">
        <v>1689017777.5999999</v>
      </c>
      <c r="FI110">
        <v>105</v>
      </c>
      <c r="FJ110">
        <v>-9.5000000000000001E-2</v>
      </c>
      <c r="FK110">
        <v>-1.6E-2</v>
      </c>
      <c r="FL110">
        <v>-1.1140000000000001</v>
      </c>
      <c r="FM110">
        <v>-3.0000000000000001E-3</v>
      </c>
      <c r="FN110">
        <v>120</v>
      </c>
      <c r="FO110">
        <v>20</v>
      </c>
      <c r="FP110">
        <v>0.05</v>
      </c>
      <c r="FQ110">
        <v>0.01</v>
      </c>
      <c r="FR110">
        <v>19.75145133847661</v>
      </c>
      <c r="FS110">
        <v>-0.27265943608446203</v>
      </c>
      <c r="FT110">
        <v>7.3803054664060952E-2</v>
      </c>
      <c r="FU110">
        <v>1</v>
      </c>
      <c r="FV110">
        <v>0.49927542670972391</v>
      </c>
      <c r="FW110">
        <v>3.8140720104355021E-2</v>
      </c>
      <c r="FX110">
        <v>2.851417159865496E-3</v>
      </c>
      <c r="FY110">
        <v>1</v>
      </c>
      <c r="FZ110">
        <v>2</v>
      </c>
      <c r="GA110">
        <v>2</v>
      </c>
      <c r="GB110" t="s">
        <v>423</v>
      </c>
      <c r="GC110">
        <v>2.94408</v>
      </c>
      <c r="GD110">
        <v>2.7086199999999998</v>
      </c>
      <c r="GE110">
        <v>2.49664E-2</v>
      </c>
      <c r="GF110">
        <v>3.0852500000000001E-2</v>
      </c>
      <c r="GG110">
        <v>0.127328</v>
      </c>
      <c r="GH110">
        <v>0.101079</v>
      </c>
      <c r="GI110">
        <v>31984.2</v>
      </c>
      <c r="GJ110">
        <v>31023.8</v>
      </c>
      <c r="GK110">
        <v>33807.9</v>
      </c>
      <c r="GL110">
        <v>32060.5</v>
      </c>
      <c r="GM110">
        <v>42600.5</v>
      </c>
      <c r="GN110">
        <v>41010.800000000003</v>
      </c>
      <c r="GO110">
        <v>48969</v>
      </c>
      <c r="GP110">
        <v>45387.3</v>
      </c>
      <c r="GQ110">
        <v>1.9677500000000001</v>
      </c>
      <c r="GR110">
        <v>1.7419500000000001</v>
      </c>
      <c r="GS110">
        <v>-2.3242100000000002E-2</v>
      </c>
      <c r="GT110">
        <v>0</v>
      </c>
      <c r="GU110">
        <v>30.3949</v>
      </c>
      <c r="GV110">
        <v>999.9</v>
      </c>
      <c r="GW110">
        <v>29.8</v>
      </c>
      <c r="GX110">
        <v>46.8</v>
      </c>
      <c r="GY110">
        <v>31.785</v>
      </c>
      <c r="GZ110">
        <v>60.427199999999999</v>
      </c>
      <c r="HA110">
        <v>25.512799999999999</v>
      </c>
      <c r="HB110">
        <v>1</v>
      </c>
      <c r="HC110">
        <v>0.54794200000000004</v>
      </c>
      <c r="HD110">
        <v>3.7743099999999998</v>
      </c>
      <c r="HE110">
        <v>20.180800000000001</v>
      </c>
      <c r="HF110">
        <v>5.2702999999999998</v>
      </c>
      <c r="HG110">
        <v>12.039899999999999</v>
      </c>
      <c r="HH110">
        <v>4.9657</v>
      </c>
      <c r="HI110">
        <v>3.3010000000000002</v>
      </c>
      <c r="HJ110">
        <v>9999</v>
      </c>
      <c r="HK110">
        <v>9999</v>
      </c>
      <c r="HL110">
        <v>9999</v>
      </c>
      <c r="HM110">
        <v>999.9</v>
      </c>
      <c r="HN110">
        <v>1.8685700000000001</v>
      </c>
      <c r="HO110">
        <v>1.8722000000000001</v>
      </c>
      <c r="HP110">
        <v>1.87195</v>
      </c>
      <c r="HQ110">
        <v>1.8714900000000001</v>
      </c>
      <c r="HR110">
        <v>1.8647199999999999</v>
      </c>
      <c r="HS110">
        <v>1.86585</v>
      </c>
      <c r="HT110">
        <v>1.8678399999999999</v>
      </c>
      <c r="HU110">
        <v>1.87243</v>
      </c>
      <c r="HV110">
        <v>0</v>
      </c>
      <c r="HW110">
        <v>0</v>
      </c>
      <c r="HX110">
        <v>0</v>
      </c>
      <c r="HY110">
        <v>0</v>
      </c>
      <c r="HZ110" t="s">
        <v>424</v>
      </c>
      <c r="IA110" t="s">
        <v>425</v>
      </c>
      <c r="IB110" t="s">
        <v>426</v>
      </c>
      <c r="IC110" t="s">
        <v>426</v>
      </c>
      <c r="ID110" t="s">
        <v>426</v>
      </c>
      <c r="IE110" t="s">
        <v>426</v>
      </c>
      <c r="IF110">
        <v>0</v>
      </c>
      <c r="IG110">
        <v>100</v>
      </c>
      <c r="IH110">
        <v>100</v>
      </c>
      <c r="II110">
        <v>-1.0860000000000001</v>
      </c>
      <c r="IJ110">
        <v>-2.8E-3</v>
      </c>
      <c r="IK110">
        <v>-0.97584896802499355</v>
      </c>
      <c r="IL110">
        <v>-1.171017271736434E-3</v>
      </c>
      <c r="IM110">
        <v>2.801297040296544E-7</v>
      </c>
      <c r="IN110">
        <v>-3.6238253961199429E-11</v>
      </c>
      <c r="IO110">
        <v>-2.8550000000038271E-3</v>
      </c>
      <c r="IP110">
        <v>0</v>
      </c>
      <c r="IQ110">
        <v>0</v>
      </c>
      <c r="IR110">
        <v>0</v>
      </c>
      <c r="IS110">
        <v>0</v>
      </c>
      <c r="IT110">
        <v>2161</v>
      </c>
      <c r="IU110">
        <v>1</v>
      </c>
      <c r="IV110">
        <v>19</v>
      </c>
      <c r="IW110">
        <v>0.8</v>
      </c>
      <c r="IX110">
        <v>0.6</v>
      </c>
      <c r="IY110">
        <v>0.41015600000000002</v>
      </c>
      <c r="IZ110">
        <v>2.5573700000000001</v>
      </c>
      <c r="JA110">
        <v>1.4440900000000001</v>
      </c>
      <c r="JB110">
        <v>2.2790499999999998</v>
      </c>
      <c r="JC110">
        <v>1.54419</v>
      </c>
      <c r="JD110">
        <v>2.3315399999999999</v>
      </c>
      <c r="JE110">
        <v>48.485399999999998</v>
      </c>
      <c r="JF110">
        <v>24.061199999999999</v>
      </c>
      <c r="JG110">
        <v>18</v>
      </c>
      <c r="JH110">
        <v>511.34800000000001</v>
      </c>
      <c r="JI110">
        <v>404.37299999999999</v>
      </c>
      <c r="JJ110">
        <v>25.513400000000001</v>
      </c>
      <c r="JK110">
        <v>34.043599999999998</v>
      </c>
      <c r="JL110">
        <v>30.0002</v>
      </c>
      <c r="JM110">
        <v>33.783200000000001</v>
      </c>
      <c r="JN110">
        <v>33.721899999999998</v>
      </c>
      <c r="JO110">
        <v>8.3336600000000001</v>
      </c>
      <c r="JP110">
        <v>41.652799999999999</v>
      </c>
      <c r="JQ110">
        <v>0</v>
      </c>
      <c r="JR110">
        <v>25.497399999999999</v>
      </c>
      <c r="JS110">
        <v>120</v>
      </c>
      <c r="JT110">
        <v>20.389399999999998</v>
      </c>
      <c r="JU110">
        <v>99.242000000000004</v>
      </c>
      <c r="JV110">
        <v>98.841499999999996</v>
      </c>
    </row>
    <row r="111" spans="1:282" x14ac:dyDescent="0.25">
      <c r="A111">
        <v>95</v>
      </c>
      <c r="B111">
        <v>1689017942.0999999</v>
      </c>
      <c r="C111">
        <v>18765.099999904629</v>
      </c>
      <c r="D111" t="s">
        <v>901</v>
      </c>
      <c r="E111" t="s">
        <v>902</v>
      </c>
      <c r="F111" t="s">
        <v>414</v>
      </c>
      <c r="G111" t="s">
        <v>415</v>
      </c>
      <c r="H111" t="s">
        <v>416</v>
      </c>
      <c r="I111" t="s">
        <v>500</v>
      </c>
      <c r="J111" t="s">
        <v>501</v>
      </c>
      <c r="K111">
        <v>1689017942.0999999</v>
      </c>
      <c r="L111">
        <f t="shared" si="92"/>
        <v>7.3993012055765554E-3</v>
      </c>
      <c r="M111">
        <f t="shared" si="93"/>
        <v>7.3993012055765552</v>
      </c>
      <c r="N111">
        <f t="shared" si="94"/>
        <v>12.313838001379498</v>
      </c>
      <c r="O111">
        <f t="shared" si="95"/>
        <v>54.643700000000003</v>
      </c>
      <c r="P111">
        <f t="shared" si="96"/>
        <v>14.367600471640634</v>
      </c>
      <c r="Q111">
        <f t="shared" si="97"/>
        <v>1.4252197605836341</v>
      </c>
      <c r="R111">
        <f t="shared" si="98"/>
        <v>5.4204793058608001</v>
      </c>
      <c r="S111">
        <f t="shared" si="99"/>
        <v>0.54337874453779933</v>
      </c>
      <c r="T111">
        <f t="shared" si="100"/>
        <v>2.9099338002641684</v>
      </c>
      <c r="U111">
        <f t="shared" si="101"/>
        <v>0.49266159619902694</v>
      </c>
      <c r="V111">
        <f t="shared" si="102"/>
        <v>0.31207479989263509</v>
      </c>
      <c r="W111">
        <f t="shared" si="103"/>
        <v>289.56704895812214</v>
      </c>
      <c r="X111">
        <f t="shared" si="104"/>
        <v>29.992152726834412</v>
      </c>
      <c r="Y111">
        <f t="shared" si="105"/>
        <v>29.988199999999999</v>
      </c>
      <c r="Z111">
        <f t="shared" si="106"/>
        <v>4.2575629675634321</v>
      </c>
      <c r="AA111">
        <f t="shared" si="107"/>
        <v>65.418705320817949</v>
      </c>
      <c r="AB111">
        <f t="shared" si="108"/>
        <v>2.8208787859647999</v>
      </c>
      <c r="AC111">
        <f t="shared" si="109"/>
        <v>4.3120370116330049</v>
      </c>
      <c r="AD111">
        <f t="shared" si="110"/>
        <v>1.4366841815986322</v>
      </c>
      <c r="AE111">
        <f t="shared" si="111"/>
        <v>-326.30918316592607</v>
      </c>
      <c r="AF111">
        <f t="shared" si="112"/>
        <v>34.748997755325362</v>
      </c>
      <c r="AG111">
        <f t="shared" si="113"/>
        <v>2.6578088019634705</v>
      </c>
      <c r="AH111">
        <f t="shared" si="114"/>
        <v>0.66467234948491694</v>
      </c>
      <c r="AI111">
        <v>0</v>
      </c>
      <c r="AJ111">
        <v>0</v>
      </c>
      <c r="AK111">
        <f t="shared" si="115"/>
        <v>1</v>
      </c>
      <c r="AL111">
        <f t="shared" si="116"/>
        <v>0</v>
      </c>
      <c r="AM111">
        <f t="shared" si="117"/>
        <v>51739.091603740606</v>
      </c>
      <c r="AN111" t="s">
        <v>418</v>
      </c>
      <c r="AO111">
        <v>10076.700000000001</v>
      </c>
      <c r="AP111">
        <v>185.01599999999999</v>
      </c>
      <c r="AQ111">
        <v>473.06</v>
      </c>
      <c r="AR111">
        <f t="shared" si="118"/>
        <v>0.60889527755464423</v>
      </c>
      <c r="AS111">
        <v>-1.4827006201179751</v>
      </c>
      <c r="AT111" t="s">
        <v>903</v>
      </c>
      <c r="AU111">
        <v>8090.9</v>
      </c>
      <c r="AV111">
        <v>711.68653846153859</v>
      </c>
      <c r="AW111">
        <v>812.46716806512734</v>
      </c>
      <c r="AX111">
        <f t="shared" si="119"/>
        <v>0.12404271035787895</v>
      </c>
      <c r="AY111">
        <v>0.5</v>
      </c>
      <c r="AZ111">
        <f t="shared" si="120"/>
        <v>1513.1849994601669</v>
      </c>
      <c r="BA111">
        <f t="shared" si="121"/>
        <v>12.313838001379498</v>
      </c>
      <c r="BB111">
        <f t="shared" si="122"/>
        <v>93.849784302962348</v>
      </c>
      <c r="BC111">
        <f t="shared" si="123"/>
        <v>9.1175491604922245E-3</v>
      </c>
      <c r="BD111">
        <f t="shared" si="124"/>
        <v>-0.41774877977336367</v>
      </c>
      <c r="BE111">
        <f t="shared" si="125"/>
        <v>221.14792685530315</v>
      </c>
      <c r="BF111" t="s">
        <v>904</v>
      </c>
      <c r="BG111">
        <v>551.23</v>
      </c>
      <c r="BH111">
        <f t="shared" si="126"/>
        <v>551.23</v>
      </c>
      <c r="BI111">
        <f t="shared" si="127"/>
        <v>0.32153566117294052</v>
      </c>
      <c r="BJ111">
        <f t="shared" si="128"/>
        <v>0.38578212415188867</v>
      </c>
      <c r="BK111">
        <f t="shared" si="129"/>
        <v>4.3419108106067199</v>
      </c>
      <c r="BL111">
        <f t="shared" si="130"/>
        <v>0.16061908038894279</v>
      </c>
      <c r="BM111">
        <f t="shared" si="131"/>
        <v>-1.1783170906706175</v>
      </c>
      <c r="BN111">
        <f t="shared" si="132"/>
        <v>0.29880385366841955</v>
      </c>
      <c r="BO111">
        <f t="shared" si="133"/>
        <v>0.70119614633158045</v>
      </c>
      <c r="BP111">
        <v>9243</v>
      </c>
      <c r="BQ111">
        <v>290.00000000000011</v>
      </c>
      <c r="BR111">
        <v>779.31</v>
      </c>
      <c r="BS111">
        <v>235</v>
      </c>
      <c r="BT111">
        <v>8090.9</v>
      </c>
      <c r="BU111">
        <v>779.47</v>
      </c>
      <c r="BV111">
        <v>-0.16</v>
      </c>
      <c r="BW111">
        <v>300.00000000000011</v>
      </c>
      <c r="BX111">
        <v>19.2</v>
      </c>
      <c r="BY111">
        <v>812.46716806512734</v>
      </c>
      <c r="BZ111">
        <v>2.730659920101437</v>
      </c>
      <c r="CA111">
        <v>-26.694997771622329</v>
      </c>
      <c r="CB111">
        <v>2.0295721961758799</v>
      </c>
      <c r="CC111">
        <v>0.86069780539292429</v>
      </c>
      <c r="CD111">
        <v>-4.1659617352614109E-3</v>
      </c>
      <c r="CE111">
        <v>289.99999999999989</v>
      </c>
      <c r="CF111">
        <v>776.79</v>
      </c>
      <c r="CG111">
        <v>625</v>
      </c>
      <c r="CH111">
        <v>8082.42</v>
      </c>
      <c r="CI111">
        <v>779.44</v>
      </c>
      <c r="CJ111">
        <v>-2.65</v>
      </c>
      <c r="CX111">
        <f t="shared" si="134"/>
        <v>1800</v>
      </c>
      <c r="CY111">
        <f t="shared" si="135"/>
        <v>1513.1849994601669</v>
      </c>
      <c r="CZ111">
        <f t="shared" si="136"/>
        <v>0.84065833303342608</v>
      </c>
      <c r="DA111">
        <f t="shared" si="137"/>
        <v>0.1608705827545123</v>
      </c>
      <c r="DB111">
        <v>6</v>
      </c>
      <c r="DC111">
        <v>0.5</v>
      </c>
      <c r="DD111" t="s">
        <v>421</v>
      </c>
      <c r="DE111">
        <v>2</v>
      </c>
      <c r="DF111">
        <v>1689017942.0999999</v>
      </c>
      <c r="DG111">
        <v>54.643700000000003</v>
      </c>
      <c r="DH111">
        <v>69.902199999999993</v>
      </c>
      <c r="DI111">
        <v>28.437200000000001</v>
      </c>
      <c r="DJ111">
        <v>19.8124</v>
      </c>
      <c r="DK111">
        <v>55.689399999999999</v>
      </c>
      <c r="DL111">
        <v>28.4483</v>
      </c>
      <c r="DM111">
        <v>500.108</v>
      </c>
      <c r="DN111">
        <v>99.096599999999995</v>
      </c>
      <c r="DO111">
        <v>0.100184</v>
      </c>
      <c r="DP111">
        <v>30.209700000000002</v>
      </c>
      <c r="DQ111">
        <v>29.988199999999999</v>
      </c>
      <c r="DR111">
        <v>999.9</v>
      </c>
      <c r="DS111">
        <v>0</v>
      </c>
      <c r="DT111">
        <v>0</v>
      </c>
      <c r="DU111">
        <v>9978.75</v>
      </c>
      <c r="DV111">
        <v>0</v>
      </c>
      <c r="DW111">
        <v>1648.58</v>
      </c>
      <c r="DX111">
        <v>-15.2585</v>
      </c>
      <c r="DY111">
        <v>56.243099999999998</v>
      </c>
      <c r="DZ111">
        <v>71.315200000000004</v>
      </c>
      <c r="EA111">
        <v>8.6247299999999996</v>
      </c>
      <c r="EB111">
        <v>69.902199999999993</v>
      </c>
      <c r="EC111">
        <v>19.8124</v>
      </c>
      <c r="ED111">
        <v>2.8180299999999998</v>
      </c>
      <c r="EE111">
        <v>1.9633499999999999</v>
      </c>
      <c r="EF111">
        <v>22.990100000000002</v>
      </c>
      <c r="EG111">
        <v>17.151800000000001</v>
      </c>
      <c r="EH111">
        <v>1800</v>
      </c>
      <c r="EI111">
        <v>0.97799599999999998</v>
      </c>
      <c r="EJ111">
        <v>2.20044E-2</v>
      </c>
      <c r="EK111">
        <v>0</v>
      </c>
      <c r="EL111">
        <v>711.35400000000004</v>
      </c>
      <c r="EM111">
        <v>5.00082</v>
      </c>
      <c r="EN111">
        <v>17534.900000000001</v>
      </c>
      <c r="EO111">
        <v>14129.8</v>
      </c>
      <c r="EP111">
        <v>47.311999999999998</v>
      </c>
      <c r="EQ111">
        <v>49.125</v>
      </c>
      <c r="ER111">
        <v>48.311999999999998</v>
      </c>
      <c r="ES111">
        <v>48.25</v>
      </c>
      <c r="ET111">
        <v>48.561999999999998</v>
      </c>
      <c r="EU111">
        <v>1755.5</v>
      </c>
      <c r="EV111">
        <v>39.5</v>
      </c>
      <c r="EW111">
        <v>0</v>
      </c>
      <c r="EX111">
        <v>124.2000000476837</v>
      </c>
      <c r="EY111">
        <v>0</v>
      </c>
      <c r="EZ111">
        <v>711.68653846153859</v>
      </c>
      <c r="FA111">
        <v>-1.360136754716528</v>
      </c>
      <c r="FB111">
        <v>871.04273546363015</v>
      </c>
      <c r="FC111">
        <v>17446.192307692309</v>
      </c>
      <c r="FD111">
        <v>15</v>
      </c>
      <c r="FE111">
        <v>1689017903.5999999</v>
      </c>
      <c r="FF111" t="s">
        <v>905</v>
      </c>
      <c r="FG111">
        <v>1689017898.5999999</v>
      </c>
      <c r="FH111">
        <v>1689017903.5999999</v>
      </c>
      <c r="FI111">
        <v>106</v>
      </c>
      <c r="FJ111">
        <v>-6.0000000000000001E-3</v>
      </c>
      <c r="FK111">
        <v>-8.0000000000000002E-3</v>
      </c>
      <c r="FL111">
        <v>-1.0629999999999999</v>
      </c>
      <c r="FM111">
        <v>-1.0999999999999999E-2</v>
      </c>
      <c r="FN111">
        <v>70</v>
      </c>
      <c r="FO111">
        <v>20</v>
      </c>
      <c r="FP111">
        <v>0.17</v>
      </c>
      <c r="FQ111">
        <v>0.01</v>
      </c>
      <c r="FR111">
        <v>12.157647204225331</v>
      </c>
      <c r="FS111">
        <v>-4.3806237167527247E-2</v>
      </c>
      <c r="FT111">
        <v>9.1885055522176989E-2</v>
      </c>
      <c r="FU111">
        <v>1</v>
      </c>
      <c r="FV111">
        <v>0.54835509983434394</v>
      </c>
      <c r="FW111">
        <v>-3.798569284202049E-2</v>
      </c>
      <c r="FX111">
        <v>3.021499199829936E-3</v>
      </c>
      <c r="FY111">
        <v>1</v>
      </c>
      <c r="FZ111">
        <v>2</v>
      </c>
      <c r="GA111">
        <v>2</v>
      </c>
      <c r="GB111" t="s">
        <v>423</v>
      </c>
      <c r="GC111">
        <v>2.9439899999999999</v>
      </c>
      <c r="GD111">
        <v>2.7086600000000001</v>
      </c>
      <c r="GE111">
        <v>1.4589100000000001E-2</v>
      </c>
      <c r="GF111">
        <v>1.8314899999999999E-2</v>
      </c>
      <c r="GG111">
        <v>0.12701999999999999</v>
      </c>
      <c r="GH111">
        <v>9.8572699999999999E-2</v>
      </c>
      <c r="GI111">
        <v>32319.4</v>
      </c>
      <c r="GJ111">
        <v>31420.400000000001</v>
      </c>
      <c r="GK111">
        <v>33803.5</v>
      </c>
      <c r="GL111">
        <v>32056.799999999999</v>
      </c>
      <c r="GM111">
        <v>42611.1</v>
      </c>
      <c r="GN111">
        <v>41119.699999999997</v>
      </c>
      <c r="GO111">
        <v>48964</v>
      </c>
      <c r="GP111">
        <v>45381.5</v>
      </c>
      <c r="GQ111">
        <v>1.9675800000000001</v>
      </c>
      <c r="GR111">
        <v>1.7401</v>
      </c>
      <c r="GS111">
        <v>-3.6083200000000003E-2</v>
      </c>
      <c r="GT111">
        <v>0</v>
      </c>
      <c r="GU111">
        <v>30.575099999999999</v>
      </c>
      <c r="GV111">
        <v>999.9</v>
      </c>
      <c r="GW111">
        <v>30</v>
      </c>
      <c r="GX111">
        <v>46.8</v>
      </c>
      <c r="GY111">
        <v>31.999400000000001</v>
      </c>
      <c r="GZ111">
        <v>60.397199999999998</v>
      </c>
      <c r="HA111">
        <v>25.789300000000001</v>
      </c>
      <c r="HB111">
        <v>1</v>
      </c>
      <c r="HC111">
        <v>0.55061499999999997</v>
      </c>
      <c r="HD111">
        <v>3.26986</v>
      </c>
      <c r="HE111">
        <v>20.191199999999998</v>
      </c>
      <c r="HF111">
        <v>5.2706</v>
      </c>
      <c r="HG111">
        <v>12.039899999999999</v>
      </c>
      <c r="HH111">
        <v>4.9658499999999997</v>
      </c>
      <c r="HI111">
        <v>3.3010000000000002</v>
      </c>
      <c r="HJ111">
        <v>9999</v>
      </c>
      <c r="HK111">
        <v>9999</v>
      </c>
      <c r="HL111">
        <v>9999</v>
      </c>
      <c r="HM111">
        <v>999.9</v>
      </c>
      <c r="HN111">
        <v>1.86849</v>
      </c>
      <c r="HO111">
        <v>1.8722099999999999</v>
      </c>
      <c r="HP111">
        <v>1.87195</v>
      </c>
      <c r="HQ111">
        <v>1.8714900000000001</v>
      </c>
      <c r="HR111">
        <v>1.86473</v>
      </c>
      <c r="HS111">
        <v>1.8658600000000001</v>
      </c>
      <c r="HT111">
        <v>1.8678600000000001</v>
      </c>
      <c r="HU111">
        <v>1.8724099999999999</v>
      </c>
      <c r="HV111">
        <v>0</v>
      </c>
      <c r="HW111">
        <v>0</v>
      </c>
      <c r="HX111">
        <v>0</v>
      </c>
      <c r="HY111">
        <v>0</v>
      </c>
      <c r="HZ111" t="s">
        <v>424</v>
      </c>
      <c r="IA111" t="s">
        <v>425</v>
      </c>
      <c r="IB111" t="s">
        <v>426</v>
      </c>
      <c r="IC111" t="s">
        <v>426</v>
      </c>
      <c r="ID111" t="s">
        <v>426</v>
      </c>
      <c r="IE111" t="s">
        <v>426</v>
      </c>
      <c r="IF111">
        <v>0</v>
      </c>
      <c r="IG111">
        <v>100</v>
      </c>
      <c r="IH111">
        <v>100</v>
      </c>
      <c r="II111">
        <v>-1.046</v>
      </c>
      <c r="IJ111">
        <v>-1.11E-2</v>
      </c>
      <c r="IK111">
        <v>-0.98137445302999882</v>
      </c>
      <c r="IL111">
        <v>-1.171017271736434E-3</v>
      </c>
      <c r="IM111">
        <v>2.801297040296544E-7</v>
      </c>
      <c r="IN111">
        <v>-3.6238253961199429E-11</v>
      </c>
      <c r="IO111">
        <v>-1.114500000000263E-2</v>
      </c>
      <c r="IP111">
        <v>0</v>
      </c>
      <c r="IQ111">
        <v>0</v>
      </c>
      <c r="IR111">
        <v>0</v>
      </c>
      <c r="IS111">
        <v>0</v>
      </c>
      <c r="IT111">
        <v>2161</v>
      </c>
      <c r="IU111">
        <v>1</v>
      </c>
      <c r="IV111">
        <v>19</v>
      </c>
      <c r="IW111">
        <v>0.7</v>
      </c>
      <c r="IX111">
        <v>0.6</v>
      </c>
      <c r="IY111">
        <v>0.29541000000000001</v>
      </c>
      <c r="IZ111">
        <v>2.5695800000000002</v>
      </c>
      <c r="JA111">
        <v>1.4440900000000001</v>
      </c>
      <c r="JB111">
        <v>2.2790499999999998</v>
      </c>
      <c r="JC111">
        <v>1.54419</v>
      </c>
      <c r="JD111">
        <v>2.3974600000000001</v>
      </c>
      <c r="JE111">
        <v>48.516199999999998</v>
      </c>
      <c r="JF111">
        <v>24.07</v>
      </c>
      <c r="JG111">
        <v>18</v>
      </c>
      <c r="JH111">
        <v>511.65800000000002</v>
      </c>
      <c r="JI111">
        <v>403.61200000000002</v>
      </c>
      <c r="JJ111">
        <v>25.771100000000001</v>
      </c>
      <c r="JK111">
        <v>34.091999999999999</v>
      </c>
      <c r="JL111">
        <v>29.9999</v>
      </c>
      <c r="JM111">
        <v>33.836300000000001</v>
      </c>
      <c r="JN111">
        <v>33.776800000000001</v>
      </c>
      <c r="JO111">
        <v>6.0186299999999999</v>
      </c>
      <c r="JP111">
        <v>43.851900000000001</v>
      </c>
      <c r="JQ111">
        <v>0</v>
      </c>
      <c r="JR111">
        <v>25.783200000000001</v>
      </c>
      <c r="JS111">
        <v>70</v>
      </c>
      <c r="JT111">
        <v>19.710999999999999</v>
      </c>
      <c r="JU111">
        <v>99.230699999999999</v>
      </c>
      <c r="JV111">
        <v>98.829400000000007</v>
      </c>
    </row>
    <row r="112" spans="1:282" x14ac:dyDescent="0.25">
      <c r="A112">
        <v>96</v>
      </c>
      <c r="B112">
        <v>1689018072.0999999</v>
      </c>
      <c r="C112">
        <v>18895.099999904629</v>
      </c>
      <c r="D112" t="s">
        <v>906</v>
      </c>
      <c r="E112" t="s">
        <v>907</v>
      </c>
      <c r="F112" t="s">
        <v>414</v>
      </c>
      <c r="G112" t="s">
        <v>415</v>
      </c>
      <c r="H112" t="s">
        <v>416</v>
      </c>
      <c r="I112" t="s">
        <v>500</v>
      </c>
      <c r="J112" t="s">
        <v>501</v>
      </c>
      <c r="K112">
        <v>1689018072.0999999</v>
      </c>
      <c r="L112">
        <f t="shared" si="92"/>
        <v>7.5283207366304934E-3</v>
      </c>
      <c r="M112">
        <f t="shared" si="93"/>
        <v>7.5283207366304934</v>
      </c>
      <c r="N112">
        <f t="shared" si="94"/>
        <v>5.4591296520569834</v>
      </c>
      <c r="O112">
        <f t="shared" si="95"/>
        <v>23.145499999999998</v>
      </c>
      <c r="P112">
        <f t="shared" si="96"/>
        <v>5.7309473796800434</v>
      </c>
      <c r="Q112">
        <f t="shared" si="97"/>
        <v>0.56849659830212873</v>
      </c>
      <c r="R112">
        <f t="shared" si="98"/>
        <v>2.2959795552574995</v>
      </c>
      <c r="S112">
        <f t="shared" si="99"/>
        <v>0.55779283904194987</v>
      </c>
      <c r="T112">
        <f t="shared" si="100"/>
        <v>2.9157461736494037</v>
      </c>
      <c r="U112">
        <f t="shared" si="101"/>
        <v>0.5045857935799356</v>
      </c>
      <c r="V112">
        <f t="shared" si="102"/>
        <v>0.31972255344444322</v>
      </c>
      <c r="W112">
        <f t="shared" si="103"/>
        <v>289.54949295805847</v>
      </c>
      <c r="X112">
        <f t="shared" si="104"/>
        <v>29.979429244559764</v>
      </c>
      <c r="Y112">
        <f t="shared" si="105"/>
        <v>29.96</v>
      </c>
      <c r="Z112">
        <f t="shared" si="106"/>
        <v>4.2506708972732925</v>
      </c>
      <c r="AA112">
        <f t="shared" si="107"/>
        <v>65.400643364442317</v>
      </c>
      <c r="AB112">
        <f t="shared" si="108"/>
        <v>2.8234333795955004</v>
      </c>
      <c r="AC112">
        <f t="shared" si="109"/>
        <v>4.3171339521264906</v>
      </c>
      <c r="AD112">
        <f t="shared" si="110"/>
        <v>1.4272375176777921</v>
      </c>
      <c r="AE112">
        <f t="shared" si="111"/>
        <v>-331.99894448540476</v>
      </c>
      <c r="AF112">
        <f t="shared" si="112"/>
        <v>42.48945919503636</v>
      </c>
      <c r="AG112">
        <f t="shared" si="113"/>
        <v>3.2432449035139004</v>
      </c>
      <c r="AH112">
        <f t="shared" si="114"/>
        <v>3.2832525712039882</v>
      </c>
      <c r="AI112">
        <v>0</v>
      </c>
      <c r="AJ112">
        <v>0</v>
      </c>
      <c r="AK112">
        <f t="shared" si="115"/>
        <v>1</v>
      </c>
      <c r="AL112">
        <f t="shared" si="116"/>
        <v>0</v>
      </c>
      <c r="AM112">
        <f t="shared" si="117"/>
        <v>51900.79549732399</v>
      </c>
      <c r="AN112" t="s">
        <v>418</v>
      </c>
      <c r="AO112">
        <v>10076.700000000001</v>
      </c>
      <c r="AP112">
        <v>185.01599999999999</v>
      </c>
      <c r="AQ112">
        <v>473.06</v>
      </c>
      <c r="AR112">
        <f t="shared" si="118"/>
        <v>0.60889527755464423</v>
      </c>
      <c r="AS112">
        <v>-1.4827006201179751</v>
      </c>
      <c r="AT112" t="s">
        <v>908</v>
      </c>
      <c r="AU112">
        <v>8096.7</v>
      </c>
      <c r="AV112">
        <v>729.06367999999998</v>
      </c>
      <c r="AW112">
        <v>802.47086561092578</v>
      </c>
      <c r="AX112">
        <f t="shared" si="119"/>
        <v>9.1476449497067347E-2</v>
      </c>
      <c r="AY112">
        <v>0.5</v>
      </c>
      <c r="AZ112">
        <f t="shared" si="120"/>
        <v>1513.0925994601339</v>
      </c>
      <c r="BA112">
        <f t="shared" si="121"/>
        <v>5.4591296520569834</v>
      </c>
      <c r="BB112">
        <f t="shared" si="122"/>
        <v>69.206169379450643</v>
      </c>
      <c r="BC112">
        <f t="shared" si="123"/>
        <v>4.5878423268025893E-3</v>
      </c>
      <c r="BD112">
        <f t="shared" si="124"/>
        <v>-0.41049573227825953</v>
      </c>
      <c r="BE112">
        <f t="shared" si="125"/>
        <v>220.40061826445987</v>
      </c>
      <c r="BF112" t="s">
        <v>909</v>
      </c>
      <c r="BG112">
        <v>569.61</v>
      </c>
      <c r="BH112">
        <f t="shared" si="126"/>
        <v>569.61</v>
      </c>
      <c r="BI112">
        <f t="shared" si="127"/>
        <v>0.29017983778594558</v>
      </c>
      <c r="BJ112">
        <f t="shared" si="128"/>
        <v>0.31524054253743855</v>
      </c>
      <c r="BK112">
        <f t="shared" si="129"/>
        <v>3.411816319118858</v>
      </c>
      <c r="BL112">
        <f t="shared" si="130"/>
        <v>0.1188867230616036</v>
      </c>
      <c r="BM112">
        <f t="shared" si="131"/>
        <v>-1.1436130091615371</v>
      </c>
      <c r="BN112">
        <f t="shared" si="132"/>
        <v>0.24629421319513597</v>
      </c>
      <c r="BO112">
        <f t="shared" si="133"/>
        <v>0.753705786804864</v>
      </c>
      <c r="BP112">
        <v>9245</v>
      </c>
      <c r="BQ112">
        <v>290.00000000000011</v>
      </c>
      <c r="BR112">
        <v>776.51</v>
      </c>
      <c r="BS112">
        <v>155</v>
      </c>
      <c r="BT112">
        <v>8096.7</v>
      </c>
      <c r="BU112">
        <v>775.09</v>
      </c>
      <c r="BV112">
        <v>1.42</v>
      </c>
      <c r="BW112">
        <v>300.00000000000011</v>
      </c>
      <c r="BX112">
        <v>19.2</v>
      </c>
      <c r="BY112">
        <v>802.47086561092578</v>
      </c>
      <c r="BZ112">
        <v>2.5574301147560159</v>
      </c>
      <c r="CA112">
        <v>-22.166214107913639</v>
      </c>
      <c r="CB112">
        <v>1.901025734545158</v>
      </c>
      <c r="CC112">
        <v>0.82922530364526437</v>
      </c>
      <c r="CD112">
        <v>-4.1664206896551729E-3</v>
      </c>
      <c r="CE112">
        <v>289.99999999999989</v>
      </c>
      <c r="CF112">
        <v>773.35</v>
      </c>
      <c r="CG112">
        <v>695</v>
      </c>
      <c r="CH112">
        <v>8081.52</v>
      </c>
      <c r="CI112">
        <v>775.04</v>
      </c>
      <c r="CJ112">
        <v>-1.69</v>
      </c>
      <c r="CX112">
        <f t="shared" si="134"/>
        <v>1799.89</v>
      </c>
      <c r="CY112">
        <f t="shared" si="135"/>
        <v>1513.0925994601339</v>
      </c>
      <c r="CZ112">
        <f t="shared" si="136"/>
        <v>0.84065837326732962</v>
      </c>
      <c r="DA112">
        <f t="shared" si="137"/>
        <v>0.16087066040594616</v>
      </c>
      <c r="DB112">
        <v>6</v>
      </c>
      <c r="DC112">
        <v>0.5</v>
      </c>
      <c r="DD112" t="s">
        <v>421</v>
      </c>
      <c r="DE112">
        <v>2</v>
      </c>
      <c r="DF112">
        <v>1689018072.0999999</v>
      </c>
      <c r="DG112">
        <v>23.145499999999998</v>
      </c>
      <c r="DH112">
        <v>29.903199999999998</v>
      </c>
      <c r="DI112">
        <v>28.462700000000002</v>
      </c>
      <c r="DJ112">
        <v>19.6889</v>
      </c>
      <c r="DK112">
        <v>24.084</v>
      </c>
      <c r="DL112">
        <v>28.478100000000001</v>
      </c>
      <c r="DM112">
        <v>500.17399999999998</v>
      </c>
      <c r="DN112">
        <v>99.097300000000004</v>
      </c>
      <c r="DO112">
        <v>0.100365</v>
      </c>
      <c r="DP112">
        <v>30.2303</v>
      </c>
      <c r="DQ112">
        <v>29.96</v>
      </c>
      <c r="DR112">
        <v>999.9</v>
      </c>
      <c r="DS112">
        <v>0</v>
      </c>
      <c r="DT112">
        <v>0</v>
      </c>
      <c r="DU112">
        <v>10011.9</v>
      </c>
      <c r="DV112">
        <v>0</v>
      </c>
      <c r="DW112">
        <v>1613.93</v>
      </c>
      <c r="DX112">
        <v>-6.7577699999999998</v>
      </c>
      <c r="DY112">
        <v>23.823599999999999</v>
      </c>
      <c r="DZ112">
        <v>30.503799999999998</v>
      </c>
      <c r="EA112">
        <v>8.7738300000000002</v>
      </c>
      <c r="EB112">
        <v>29.903199999999998</v>
      </c>
      <c r="EC112">
        <v>19.6889</v>
      </c>
      <c r="ED112">
        <v>2.8205800000000001</v>
      </c>
      <c r="EE112">
        <v>1.95112</v>
      </c>
      <c r="EF112">
        <v>23.004999999999999</v>
      </c>
      <c r="EG112">
        <v>17.053100000000001</v>
      </c>
      <c r="EH112">
        <v>1799.89</v>
      </c>
      <c r="EI112">
        <v>0.97799199999999997</v>
      </c>
      <c r="EJ112">
        <v>2.2008E-2</v>
      </c>
      <c r="EK112">
        <v>0</v>
      </c>
      <c r="EL112">
        <v>729.39099999999996</v>
      </c>
      <c r="EM112">
        <v>5.00082</v>
      </c>
      <c r="EN112">
        <v>17866.900000000001</v>
      </c>
      <c r="EO112">
        <v>14128.9</v>
      </c>
      <c r="EP112">
        <v>47.125</v>
      </c>
      <c r="EQ112">
        <v>48.811999999999998</v>
      </c>
      <c r="ER112">
        <v>48.061999999999998</v>
      </c>
      <c r="ES112">
        <v>48</v>
      </c>
      <c r="ET112">
        <v>48.436999999999998</v>
      </c>
      <c r="EU112">
        <v>1755.39</v>
      </c>
      <c r="EV112">
        <v>39.5</v>
      </c>
      <c r="EW112">
        <v>0</v>
      </c>
      <c r="EX112">
        <v>127.80000019073491</v>
      </c>
      <c r="EY112">
        <v>0</v>
      </c>
      <c r="EZ112">
        <v>729.06367999999998</v>
      </c>
      <c r="FA112">
        <v>0.55215385560155983</v>
      </c>
      <c r="FB112">
        <v>1123.5923053527761</v>
      </c>
      <c r="FC112">
        <v>17689.400000000001</v>
      </c>
      <c r="FD112">
        <v>15</v>
      </c>
      <c r="FE112">
        <v>1689018033.5999999</v>
      </c>
      <c r="FF112" t="s">
        <v>910</v>
      </c>
      <c r="FG112">
        <v>1689018033.0999999</v>
      </c>
      <c r="FH112">
        <v>1689018033.5999999</v>
      </c>
      <c r="FI112">
        <v>107</v>
      </c>
      <c r="FJ112">
        <v>7.0999999999999994E-2</v>
      </c>
      <c r="FK112">
        <v>-4.0000000000000001E-3</v>
      </c>
      <c r="FL112">
        <v>-0.94599999999999995</v>
      </c>
      <c r="FM112">
        <v>-1.4999999999999999E-2</v>
      </c>
      <c r="FN112">
        <v>30</v>
      </c>
      <c r="FO112">
        <v>19</v>
      </c>
      <c r="FP112">
        <v>0.16</v>
      </c>
      <c r="FQ112">
        <v>0.01</v>
      </c>
      <c r="FR112">
        <v>5.4317177100922107</v>
      </c>
      <c r="FS112">
        <v>-0.56408518507447047</v>
      </c>
      <c r="FT112">
        <v>0.10777683535354241</v>
      </c>
      <c r="FU112">
        <v>1</v>
      </c>
      <c r="FV112">
        <v>0.55556176383841605</v>
      </c>
      <c r="FW112">
        <v>1.9846035930685159E-2</v>
      </c>
      <c r="FX112">
        <v>1.978698086796838E-3</v>
      </c>
      <c r="FY112">
        <v>1</v>
      </c>
      <c r="FZ112">
        <v>2</v>
      </c>
      <c r="GA112">
        <v>2</v>
      </c>
      <c r="GB112" t="s">
        <v>423</v>
      </c>
      <c r="GC112">
        <v>2.94415</v>
      </c>
      <c r="GD112">
        <v>2.70913</v>
      </c>
      <c r="GE112">
        <v>6.3347999999999998E-3</v>
      </c>
      <c r="GF112">
        <v>7.8936600000000003E-3</v>
      </c>
      <c r="GG112">
        <v>0.127105</v>
      </c>
      <c r="GH112">
        <v>9.8130999999999996E-2</v>
      </c>
      <c r="GI112">
        <v>32588.6</v>
      </c>
      <c r="GJ112">
        <v>31752.2</v>
      </c>
      <c r="GK112">
        <v>33802.800000000003</v>
      </c>
      <c r="GL112">
        <v>32055.9</v>
      </c>
      <c r="GM112">
        <v>42605.8</v>
      </c>
      <c r="GN112">
        <v>41138.9</v>
      </c>
      <c r="GO112">
        <v>48962.8</v>
      </c>
      <c r="GP112">
        <v>45380.800000000003</v>
      </c>
      <c r="GQ112">
        <v>1.96723</v>
      </c>
      <c r="GR112">
        <v>1.7406999999999999</v>
      </c>
      <c r="GS112">
        <v>-2.2560400000000001E-2</v>
      </c>
      <c r="GT112">
        <v>0</v>
      </c>
      <c r="GU112">
        <v>30.327000000000002</v>
      </c>
      <c r="GV112">
        <v>999.9</v>
      </c>
      <c r="GW112">
        <v>29.8</v>
      </c>
      <c r="GX112">
        <v>46.7</v>
      </c>
      <c r="GY112">
        <v>31.6235</v>
      </c>
      <c r="GZ112">
        <v>60.117199999999997</v>
      </c>
      <c r="HA112">
        <v>25.941500000000001</v>
      </c>
      <c r="HB112">
        <v>1</v>
      </c>
      <c r="HC112">
        <v>0.54948399999999997</v>
      </c>
      <c r="HD112">
        <v>2.8942600000000001</v>
      </c>
      <c r="HE112">
        <v>20.198</v>
      </c>
      <c r="HF112">
        <v>5.26776</v>
      </c>
      <c r="HG112">
        <v>12.039899999999999</v>
      </c>
      <c r="HH112">
        <v>4.9657999999999998</v>
      </c>
      <c r="HI112">
        <v>3.3010000000000002</v>
      </c>
      <c r="HJ112">
        <v>9999</v>
      </c>
      <c r="HK112">
        <v>9999</v>
      </c>
      <c r="HL112">
        <v>9999</v>
      </c>
      <c r="HM112">
        <v>999.9</v>
      </c>
      <c r="HN112">
        <v>1.86856</v>
      </c>
      <c r="HO112">
        <v>1.87216</v>
      </c>
      <c r="HP112">
        <v>1.87195</v>
      </c>
      <c r="HQ112">
        <v>1.8714900000000001</v>
      </c>
      <c r="HR112">
        <v>1.86473</v>
      </c>
      <c r="HS112">
        <v>1.86585</v>
      </c>
      <c r="HT112">
        <v>1.8678399999999999</v>
      </c>
      <c r="HU112">
        <v>1.8724099999999999</v>
      </c>
      <c r="HV112">
        <v>0</v>
      </c>
      <c r="HW112">
        <v>0</v>
      </c>
      <c r="HX112">
        <v>0</v>
      </c>
      <c r="HY112">
        <v>0</v>
      </c>
      <c r="HZ112" t="s">
        <v>424</v>
      </c>
      <c r="IA112" t="s">
        <v>425</v>
      </c>
      <c r="IB112" t="s">
        <v>426</v>
      </c>
      <c r="IC112" t="s">
        <v>426</v>
      </c>
      <c r="ID112" t="s">
        <v>426</v>
      </c>
      <c r="IE112" t="s">
        <v>426</v>
      </c>
      <c r="IF112">
        <v>0</v>
      </c>
      <c r="IG112">
        <v>100</v>
      </c>
      <c r="IH112">
        <v>100</v>
      </c>
      <c r="II112">
        <v>-0.93899999999999995</v>
      </c>
      <c r="IJ112">
        <v>-1.54E-2</v>
      </c>
      <c r="IK112">
        <v>-0.91051680656596223</v>
      </c>
      <c r="IL112">
        <v>-1.171017271736434E-3</v>
      </c>
      <c r="IM112">
        <v>2.801297040296544E-7</v>
      </c>
      <c r="IN112">
        <v>-3.6238253961199429E-11</v>
      </c>
      <c r="IO112">
        <v>-1.533000000000229E-2</v>
      </c>
      <c r="IP112">
        <v>0</v>
      </c>
      <c r="IQ112">
        <v>0</v>
      </c>
      <c r="IR112">
        <v>0</v>
      </c>
      <c r="IS112">
        <v>0</v>
      </c>
      <c r="IT112">
        <v>2161</v>
      </c>
      <c r="IU112">
        <v>1</v>
      </c>
      <c r="IV112">
        <v>19</v>
      </c>
      <c r="IW112">
        <v>0.7</v>
      </c>
      <c r="IX112">
        <v>0.6</v>
      </c>
      <c r="IY112">
        <v>0.20385700000000001</v>
      </c>
      <c r="IZ112">
        <v>2.5927699999999998</v>
      </c>
      <c r="JA112">
        <v>1.4440900000000001</v>
      </c>
      <c r="JB112">
        <v>2.2790499999999998</v>
      </c>
      <c r="JC112">
        <v>1.54419</v>
      </c>
      <c r="JD112">
        <v>2.3852500000000001</v>
      </c>
      <c r="JE112">
        <v>48.393000000000001</v>
      </c>
      <c r="JF112">
        <v>24.078700000000001</v>
      </c>
      <c r="JG112">
        <v>18</v>
      </c>
      <c r="JH112">
        <v>511.63099999999997</v>
      </c>
      <c r="JI112">
        <v>404.11200000000002</v>
      </c>
      <c r="JJ112">
        <v>26.247900000000001</v>
      </c>
      <c r="JK112">
        <v>34.110599999999998</v>
      </c>
      <c r="JL112">
        <v>30</v>
      </c>
      <c r="JM112">
        <v>33.862099999999998</v>
      </c>
      <c r="JN112">
        <v>33.797699999999999</v>
      </c>
      <c r="JO112">
        <v>4.2101100000000002</v>
      </c>
      <c r="JP112">
        <v>43.368000000000002</v>
      </c>
      <c r="JQ112">
        <v>0</v>
      </c>
      <c r="JR112">
        <v>26.255299999999998</v>
      </c>
      <c r="JS112">
        <v>30</v>
      </c>
      <c r="JT112">
        <v>19.648</v>
      </c>
      <c r="JU112">
        <v>99.228300000000004</v>
      </c>
      <c r="JV112">
        <v>98.827200000000005</v>
      </c>
    </row>
    <row r="113" spans="1:282" x14ac:dyDescent="0.25">
      <c r="A113">
        <v>97</v>
      </c>
      <c r="B113">
        <v>1689018197.0999999</v>
      </c>
      <c r="C113">
        <v>19020.099999904629</v>
      </c>
      <c r="D113" t="s">
        <v>911</v>
      </c>
      <c r="E113" t="s">
        <v>912</v>
      </c>
      <c r="F113" t="s">
        <v>414</v>
      </c>
      <c r="G113" t="s">
        <v>415</v>
      </c>
      <c r="H113" t="s">
        <v>416</v>
      </c>
      <c r="I113" t="s">
        <v>500</v>
      </c>
      <c r="J113" t="s">
        <v>501</v>
      </c>
      <c r="K113">
        <v>1689018197.0999999</v>
      </c>
      <c r="L113">
        <f t="shared" ref="L113:L144" si="138">(M113)/1000</f>
        <v>7.7494346056540203E-3</v>
      </c>
      <c r="M113">
        <f t="shared" ref="M113:M144" si="139">1000*DM113*AK113*(DI113-DJ113)/(100*DB113*(1000-AK113*DI113))</f>
        <v>7.7494346056540202</v>
      </c>
      <c r="N113">
        <f t="shared" ref="N113:N144" si="140">DM113*AK113*(DH113-DG113*(1000-AK113*DJ113)/(1000-AK113*DI113))/(100*DB113)</f>
        <v>2.1056089521033172</v>
      </c>
      <c r="O113">
        <f t="shared" ref="O113:O144" si="141">DG113 - IF(AK113&gt;1, N113*DB113*100/(AM113*DU113), 0)</f>
        <v>7.2686200000000003</v>
      </c>
      <c r="P113">
        <f t="shared" ref="P113:P144" si="142">((V113-L113/2)*O113-N113)/(V113+L113/2)</f>
        <v>0.90038041658069934</v>
      </c>
      <c r="Q113">
        <f t="shared" ref="Q113:Q144" si="143">P113*(DN113+DO113)/1000</f>
        <v>8.9313013749063919E-2</v>
      </c>
      <c r="R113">
        <f t="shared" ref="R113:R144" si="144">(DG113 - IF(AK113&gt;1, N113*DB113*100/(AM113*DU113), 0))*(DN113+DO113)/1000</f>
        <v>0.72100897136575604</v>
      </c>
      <c r="S113">
        <f t="shared" ref="S113:S144" si="145">2/((1/U113-1/T113)+SIGN(U113)*SQRT((1/U113-1/T113)*(1/U113-1/T113) + 4*DC113/((DC113+1)*(DC113+1))*(2*1/U113*1/T113-1/T113*1/T113)))</f>
        <v>0.58808202460356884</v>
      </c>
      <c r="T113">
        <f t="shared" ref="T113:T144" si="146">IF(LEFT(DD113,1)&lt;&gt;"0",IF(LEFT(DD113,1)="1",3,DE113),$D$5+$E$5*(DU113*DN113/($K$5*1000))+$F$5*(DU113*DN113/($K$5*1000))*MAX(MIN(DB113,$J$5),$I$5)*MAX(MIN(DB113,$J$5),$I$5)+$G$5*MAX(MIN(DB113,$J$5),$I$5)*(DU113*DN113/($K$5*1000))+$H$5*(DU113*DN113/($K$5*1000))*(DU113*DN113/($K$5*1000)))</f>
        <v>2.9186609880102163</v>
      </c>
      <c r="U113">
        <f t="shared" ref="U113:U144" si="147">L113*(1000-(1000*0.61365*EXP(17.502*Y113/(240.97+Y113))/(DN113+DO113)+DI113)/2)/(1000*0.61365*EXP(17.502*Y113/(240.97+Y113))/(DN113+DO113)-DI113)</f>
        <v>0.52931768097399079</v>
      </c>
      <c r="V113">
        <f t="shared" ref="V113:V144" si="148">1/((DC113+1)/(S113/1.6)+1/(T113/1.37)) + DC113/((DC113+1)/(S113/1.6) + DC113/(T113/1.37))</f>
        <v>0.33561261183215141</v>
      </c>
      <c r="W113">
        <f t="shared" ref="W113:W144" si="149">(CX113*DA113)</f>
        <v>289.56864495812795</v>
      </c>
      <c r="X113">
        <f t="shared" ref="X113:X144" si="150">(DP113+(W113+2*0.95*0.0000000567*(((DP113+$B$7)+273)^4-(DP113+273)^4)-44100*L113)/(1.84*29.3*T113+8*0.95*0.0000000567*(DP113+273)^3))</f>
        <v>29.909297907433363</v>
      </c>
      <c r="Y113">
        <f t="shared" ref="Y113:Y144" si="151">($C$7*DQ113+$D$7*DR113+$E$7*X113)</f>
        <v>29.8949</v>
      </c>
      <c r="Z113">
        <f t="shared" ref="Z113:Z144" si="152">0.61365*EXP(17.502*Y113/(240.97+Y113))</f>
        <v>4.2347976003089869</v>
      </c>
      <c r="AA113">
        <f t="shared" ref="AA113:AA144" si="153">(AB113/AC113*100)</f>
        <v>65.700743921485952</v>
      </c>
      <c r="AB113">
        <f t="shared" ref="AB113:AB144" si="154">DI113*(DN113+DO113)/1000</f>
        <v>2.8342917003274</v>
      </c>
      <c r="AC113">
        <f t="shared" ref="AC113:AC144" si="155">0.61365*EXP(17.502*DP113/(240.97+DP113))</f>
        <v>4.3139415646715511</v>
      </c>
      <c r="AD113">
        <f t="shared" ref="AD113:AD144" si="156">(Z113-DI113*(DN113+DO113)/1000)</f>
        <v>1.4005058999815869</v>
      </c>
      <c r="AE113">
        <f t="shared" ref="AE113:AE144" si="157">(-L113*44100)</f>
        <v>-341.7500661093423</v>
      </c>
      <c r="AF113">
        <f t="shared" ref="AF113:AF144" si="158">2*29.3*T113*0.92*(DP113-Y113)</f>
        <v>50.745649507358436</v>
      </c>
      <c r="AG113">
        <f t="shared" ref="AG113:AG144" si="159">2*0.95*0.0000000567*(((DP113+$B$7)+273)^4-(Y113+273)^4)</f>
        <v>3.868083122154109</v>
      </c>
      <c r="AH113">
        <f t="shared" ref="AH113:AH144" si="160">W113+AG113+AE113+AF113</f>
        <v>2.4323114782982174</v>
      </c>
      <c r="AI113">
        <v>0</v>
      </c>
      <c r="AJ113">
        <v>0</v>
      </c>
      <c r="AK113">
        <f t="shared" ref="AK113:AK144" si="161">IF(AI113*$H$13&gt;=AM113,1,(AM113/(AM113-AI113*$H$13)))</f>
        <v>1</v>
      </c>
      <c r="AL113">
        <f t="shared" ref="AL113:AL144" si="162">(AK113-1)*100</f>
        <v>0</v>
      </c>
      <c r="AM113">
        <f t="shared" ref="AM113:AM144" si="163">MAX(0,($B$13+$C$13*DU113)/(1+$D$13*DU113)*DN113/(DP113+273)*$E$13)</f>
        <v>51985.88696647196</v>
      </c>
      <c r="AN113" t="s">
        <v>418</v>
      </c>
      <c r="AO113">
        <v>10076.700000000001</v>
      </c>
      <c r="AP113">
        <v>185.01599999999999</v>
      </c>
      <c r="AQ113">
        <v>473.06</v>
      </c>
      <c r="AR113">
        <f t="shared" ref="AR113:AR144" si="164">1-AP113/AQ113</f>
        <v>0.60889527755464423</v>
      </c>
      <c r="AS113">
        <v>-1.4827006201179751</v>
      </c>
      <c r="AT113" t="s">
        <v>913</v>
      </c>
      <c r="AU113">
        <v>8097.97</v>
      </c>
      <c r="AV113">
        <v>736.84357692307685</v>
      </c>
      <c r="AW113">
        <v>798.6539786891924</v>
      </c>
      <c r="AX113">
        <f t="shared" ref="AX113:AX144" si="165">1-AV113/AW113</f>
        <v>7.7393218359173677E-2</v>
      </c>
      <c r="AY113">
        <v>0.5</v>
      </c>
      <c r="AZ113">
        <f t="shared" ref="AZ113:AZ144" si="166">CY113</f>
        <v>1513.19339946017</v>
      </c>
      <c r="BA113">
        <f t="shared" ref="BA113:BA144" si="167">N113</f>
        <v>2.1056089521033172</v>
      </c>
      <c r="BB113">
        <f t="shared" ref="BB113:BB144" si="168">AX113*AY113*AZ113</f>
        <v>58.555453592040628</v>
      </c>
      <c r="BC113">
        <f t="shared" ref="BC113:BC144" si="169">(BA113-AS113)/AZ113</f>
        <v>2.3713489455488095E-3</v>
      </c>
      <c r="BD113">
        <f t="shared" ref="BD113:BD144" si="170">(AQ113-AW113)/AW113</f>
        <v>-0.40767840313470965</v>
      </c>
      <c r="BE113">
        <f t="shared" ref="BE113:BE144" si="171">AP113/(AR113+AP113/AW113)</f>
        <v>220.11169847227492</v>
      </c>
      <c r="BF113" t="s">
        <v>914</v>
      </c>
      <c r="BG113">
        <v>585.80999999999995</v>
      </c>
      <c r="BH113">
        <f t="shared" ref="BH113:BH144" si="172">IF(BG113&lt;&gt;0, BG113, BE113)</f>
        <v>585.80999999999995</v>
      </c>
      <c r="BI113">
        <f t="shared" ref="BI113:BI144" si="173">1-BH113/AW113</f>
        <v>0.26650337238478061</v>
      </c>
      <c r="BJ113">
        <f t="shared" ref="BJ113:BJ144" si="174">(AW113-AV113)/(AW113-BH113)</f>
        <v>0.29040239778816956</v>
      </c>
      <c r="BK113">
        <f t="shared" ref="BK113:BK144" si="175">(AQ113-AW113)/(AQ113-BH113)</f>
        <v>2.8877514739617967</v>
      </c>
      <c r="BL113">
        <f t="shared" ref="BL113:BL144" si="176">(AW113-AV113)/(AW113-AP113)</f>
        <v>0.10072779702806255</v>
      </c>
      <c r="BM113">
        <f t="shared" ref="BM113:BM144" si="177">(AQ113-AW113)/(AQ113-AP113)</f>
        <v>-1.13036195403894</v>
      </c>
      <c r="BN113">
        <f t="shared" ref="BN113:BN144" si="178">(BJ113*BH113/AV113)</f>
        <v>0.2308775349018852</v>
      </c>
      <c r="BO113">
        <f t="shared" ref="BO113:BO144" si="179">(1-BN113)</f>
        <v>0.76912246509811477</v>
      </c>
      <c r="BP113">
        <v>9247</v>
      </c>
      <c r="BQ113">
        <v>290.00000000000011</v>
      </c>
      <c r="BR113">
        <v>775.6</v>
      </c>
      <c r="BS113">
        <v>145</v>
      </c>
      <c r="BT113">
        <v>8097.97</v>
      </c>
      <c r="BU113">
        <v>773.7</v>
      </c>
      <c r="BV113">
        <v>1.9</v>
      </c>
      <c r="BW113">
        <v>300.00000000000011</v>
      </c>
      <c r="BX113">
        <v>19.2</v>
      </c>
      <c r="BY113">
        <v>798.6539786891924</v>
      </c>
      <c r="BZ113">
        <v>2.1544009248545559</v>
      </c>
      <c r="CA113">
        <v>-20.205496632332999</v>
      </c>
      <c r="CB113">
        <v>1.6015568244898071</v>
      </c>
      <c r="CC113">
        <v>0.8504013664828427</v>
      </c>
      <c r="CD113">
        <v>-4.1666996662958859E-3</v>
      </c>
      <c r="CE113">
        <v>289.99999999999989</v>
      </c>
      <c r="CF113">
        <v>771.99</v>
      </c>
      <c r="CG113">
        <v>685</v>
      </c>
      <c r="CH113">
        <v>8082.39</v>
      </c>
      <c r="CI113">
        <v>773.65</v>
      </c>
      <c r="CJ113">
        <v>-1.66</v>
      </c>
      <c r="CX113">
        <f t="shared" ref="CX113:CX144" si="180">$B$11*DV113+$C$11*DW113+$F$11*EH113*(1-EK113)</f>
        <v>1800.01</v>
      </c>
      <c r="CY113">
        <f t="shared" ref="CY113:CY144" si="181">CX113*CZ113</f>
        <v>1513.19339946017</v>
      </c>
      <c r="CZ113">
        <f t="shared" ref="CZ113:CZ144" si="182">($B$11*$D$9+$C$11*$D$9+$F$11*((EU113+EM113)/MAX(EU113+EM113+EV113, 0.1)*$I$9+EV113/MAX(EU113+EM113+EV113, 0.1)*$J$9))/($B$11+$C$11+$F$11)</f>
        <v>0.84065832937604235</v>
      </c>
      <c r="DA113">
        <f t="shared" ref="DA113:DA144" si="183">($B$11*$K$9+$C$11*$K$9+$F$11*((EU113+EM113)/MAX(EU113+EM113+EV113, 0.1)*$P$9+EV113/MAX(EU113+EM113+EV113, 0.1)*$Q$9))/($B$11+$C$11+$F$11)</f>
        <v>0.16087057569576166</v>
      </c>
      <c r="DB113">
        <v>6</v>
      </c>
      <c r="DC113">
        <v>0.5</v>
      </c>
      <c r="DD113" t="s">
        <v>421</v>
      </c>
      <c r="DE113">
        <v>2</v>
      </c>
      <c r="DF113">
        <v>1689018197.0999999</v>
      </c>
      <c r="DG113">
        <v>7.2686200000000003</v>
      </c>
      <c r="DH113">
        <v>9.8622800000000002</v>
      </c>
      <c r="DI113">
        <v>28.573</v>
      </c>
      <c r="DJ113">
        <v>19.541699999999999</v>
      </c>
      <c r="DK113">
        <v>8.3090299999999999</v>
      </c>
      <c r="DL113">
        <v>28.5825</v>
      </c>
      <c r="DM113">
        <v>500.12799999999999</v>
      </c>
      <c r="DN113">
        <v>99.095200000000006</v>
      </c>
      <c r="DO113">
        <v>9.9553799999999998E-2</v>
      </c>
      <c r="DP113">
        <v>30.217400000000001</v>
      </c>
      <c r="DQ113">
        <v>29.8949</v>
      </c>
      <c r="DR113">
        <v>999.9</v>
      </c>
      <c r="DS113">
        <v>0</v>
      </c>
      <c r="DT113">
        <v>0</v>
      </c>
      <c r="DU113">
        <v>10028.799999999999</v>
      </c>
      <c r="DV113">
        <v>0</v>
      </c>
      <c r="DW113">
        <v>571.99800000000005</v>
      </c>
      <c r="DX113">
        <v>-2.5936599999999999</v>
      </c>
      <c r="DY113">
        <v>7.4824200000000003</v>
      </c>
      <c r="DZ113">
        <v>10.0588</v>
      </c>
      <c r="EA113">
        <v>9.0313099999999995</v>
      </c>
      <c r="EB113">
        <v>9.8622800000000002</v>
      </c>
      <c r="EC113">
        <v>19.541699999999999</v>
      </c>
      <c r="ED113">
        <v>2.8314499999999998</v>
      </c>
      <c r="EE113">
        <v>1.93649</v>
      </c>
      <c r="EF113">
        <v>23.0686</v>
      </c>
      <c r="EG113">
        <v>16.9344</v>
      </c>
      <c r="EH113">
        <v>1800.01</v>
      </c>
      <c r="EI113">
        <v>0.97799599999999998</v>
      </c>
      <c r="EJ113">
        <v>2.20044E-2</v>
      </c>
      <c r="EK113">
        <v>0</v>
      </c>
      <c r="EL113">
        <v>737.31399999999996</v>
      </c>
      <c r="EM113">
        <v>5.00082</v>
      </c>
      <c r="EN113">
        <v>15607.9</v>
      </c>
      <c r="EO113">
        <v>14129.9</v>
      </c>
      <c r="EP113">
        <v>46.936999999999998</v>
      </c>
      <c r="EQ113">
        <v>48.5</v>
      </c>
      <c r="ER113">
        <v>47.875</v>
      </c>
      <c r="ES113">
        <v>47.875</v>
      </c>
      <c r="ET113">
        <v>48.25</v>
      </c>
      <c r="EU113">
        <v>1755.51</v>
      </c>
      <c r="EV113">
        <v>39.5</v>
      </c>
      <c r="EW113">
        <v>0</v>
      </c>
      <c r="EX113">
        <v>123</v>
      </c>
      <c r="EY113">
        <v>0</v>
      </c>
      <c r="EZ113">
        <v>736.84357692307685</v>
      </c>
      <c r="FA113">
        <v>0.97391451146156627</v>
      </c>
      <c r="FB113">
        <v>379.31282024995858</v>
      </c>
      <c r="FC113">
        <v>15532.81923076923</v>
      </c>
      <c r="FD113">
        <v>15</v>
      </c>
      <c r="FE113">
        <v>1689018156.5999999</v>
      </c>
      <c r="FF113" t="s">
        <v>915</v>
      </c>
      <c r="FG113">
        <v>1689018142.5999999</v>
      </c>
      <c r="FH113">
        <v>1689018156.5999999</v>
      </c>
      <c r="FI113">
        <v>108</v>
      </c>
      <c r="FJ113">
        <v>-0.12</v>
      </c>
      <c r="FK113">
        <v>6.0000000000000001E-3</v>
      </c>
      <c r="FL113">
        <v>-1.0429999999999999</v>
      </c>
      <c r="FM113">
        <v>-8.9999999999999993E-3</v>
      </c>
      <c r="FN113">
        <v>10</v>
      </c>
      <c r="FO113">
        <v>20</v>
      </c>
      <c r="FP113">
        <v>0.47</v>
      </c>
      <c r="FQ113">
        <v>0.01</v>
      </c>
      <c r="FR113">
        <v>1.9704189705985169</v>
      </c>
      <c r="FS113">
        <v>-2.4737512629964928E-3</v>
      </c>
      <c r="FT113">
        <v>9.1860034051840025E-2</v>
      </c>
      <c r="FU113">
        <v>1</v>
      </c>
      <c r="FV113">
        <v>0.58998734254750906</v>
      </c>
      <c r="FW113">
        <v>4.6298637955065162E-2</v>
      </c>
      <c r="FX113">
        <v>3.8747647187664549E-3</v>
      </c>
      <c r="FY113">
        <v>1</v>
      </c>
      <c r="FZ113">
        <v>2</v>
      </c>
      <c r="GA113">
        <v>2</v>
      </c>
      <c r="GB113" t="s">
        <v>423</v>
      </c>
      <c r="GC113">
        <v>2.9440499999999998</v>
      </c>
      <c r="GD113">
        <v>2.7084700000000002</v>
      </c>
      <c r="GE113">
        <v>2.18579E-3</v>
      </c>
      <c r="GF113">
        <v>2.6054300000000002E-3</v>
      </c>
      <c r="GG113">
        <v>0.12742700000000001</v>
      </c>
      <c r="GH113">
        <v>9.7608399999999998E-2</v>
      </c>
      <c r="GI113">
        <v>32727.5</v>
      </c>
      <c r="GJ113">
        <v>31926</v>
      </c>
      <c r="GK113">
        <v>33806</v>
      </c>
      <c r="GL113">
        <v>32060.7</v>
      </c>
      <c r="GM113">
        <v>42593.4</v>
      </c>
      <c r="GN113">
        <v>41168.699999999997</v>
      </c>
      <c r="GO113">
        <v>48966.8</v>
      </c>
      <c r="GP113">
        <v>45387.5</v>
      </c>
      <c r="GQ113">
        <v>1.9676</v>
      </c>
      <c r="GR113">
        <v>1.7415499999999999</v>
      </c>
      <c r="GS113">
        <v>-1.5646199999999999E-2</v>
      </c>
      <c r="GT113">
        <v>0</v>
      </c>
      <c r="GU113">
        <v>30.1495</v>
      </c>
      <c r="GV113">
        <v>999.9</v>
      </c>
      <c r="GW113">
        <v>29.7</v>
      </c>
      <c r="GX113">
        <v>46.6</v>
      </c>
      <c r="GY113">
        <v>31.360099999999999</v>
      </c>
      <c r="GZ113">
        <v>59.797199999999997</v>
      </c>
      <c r="HA113">
        <v>25.745200000000001</v>
      </c>
      <c r="HB113">
        <v>1</v>
      </c>
      <c r="HC113">
        <v>0.54448200000000002</v>
      </c>
      <c r="HD113">
        <v>2.4748199999999998</v>
      </c>
      <c r="HE113">
        <v>20.204899999999999</v>
      </c>
      <c r="HF113">
        <v>5.2706</v>
      </c>
      <c r="HG113">
        <v>12.039899999999999</v>
      </c>
      <c r="HH113">
        <v>4.9657</v>
      </c>
      <c r="HI113">
        <v>3.3010000000000002</v>
      </c>
      <c r="HJ113">
        <v>9999</v>
      </c>
      <c r="HK113">
        <v>9999</v>
      </c>
      <c r="HL113">
        <v>9999</v>
      </c>
      <c r="HM113">
        <v>999.9</v>
      </c>
      <c r="HN113">
        <v>1.86853</v>
      </c>
      <c r="HO113">
        <v>1.8722300000000001</v>
      </c>
      <c r="HP113">
        <v>1.87195</v>
      </c>
      <c r="HQ113">
        <v>1.8714900000000001</v>
      </c>
      <c r="HR113">
        <v>1.86466</v>
      </c>
      <c r="HS113">
        <v>1.8658399999999999</v>
      </c>
      <c r="HT113">
        <v>1.8678600000000001</v>
      </c>
      <c r="HU113">
        <v>1.87242</v>
      </c>
      <c r="HV113">
        <v>0</v>
      </c>
      <c r="HW113">
        <v>0</v>
      </c>
      <c r="HX113">
        <v>0</v>
      </c>
      <c r="HY113">
        <v>0</v>
      </c>
      <c r="HZ113" t="s">
        <v>424</v>
      </c>
      <c r="IA113" t="s">
        <v>425</v>
      </c>
      <c r="IB113" t="s">
        <v>426</v>
      </c>
      <c r="IC113" t="s">
        <v>426</v>
      </c>
      <c r="ID113" t="s">
        <v>426</v>
      </c>
      <c r="IE113" t="s">
        <v>426</v>
      </c>
      <c r="IF113">
        <v>0</v>
      </c>
      <c r="IG113">
        <v>100</v>
      </c>
      <c r="IH113">
        <v>100</v>
      </c>
      <c r="II113">
        <v>-1.04</v>
      </c>
      <c r="IJ113">
        <v>-9.4999999999999998E-3</v>
      </c>
      <c r="IK113">
        <v>-1.0306937673870209</v>
      </c>
      <c r="IL113">
        <v>-1.171017271736434E-3</v>
      </c>
      <c r="IM113">
        <v>2.801297040296544E-7</v>
      </c>
      <c r="IN113">
        <v>-3.6238253961199429E-11</v>
      </c>
      <c r="IO113">
        <v>-9.4299999999947204E-3</v>
      </c>
      <c r="IP113">
        <v>0</v>
      </c>
      <c r="IQ113">
        <v>0</v>
      </c>
      <c r="IR113">
        <v>0</v>
      </c>
      <c r="IS113">
        <v>0</v>
      </c>
      <c r="IT113">
        <v>2161</v>
      </c>
      <c r="IU113">
        <v>1</v>
      </c>
      <c r="IV113">
        <v>19</v>
      </c>
      <c r="IW113">
        <v>0.9</v>
      </c>
      <c r="IX113">
        <v>0.7</v>
      </c>
      <c r="IY113">
        <v>0.159912</v>
      </c>
      <c r="IZ113">
        <v>2.6220699999999999</v>
      </c>
      <c r="JA113">
        <v>1.4440900000000001</v>
      </c>
      <c r="JB113">
        <v>2.2802699999999998</v>
      </c>
      <c r="JC113">
        <v>1.54419</v>
      </c>
      <c r="JD113">
        <v>2.3596200000000001</v>
      </c>
      <c r="JE113">
        <v>48.300899999999999</v>
      </c>
      <c r="JF113">
        <v>24.078700000000001</v>
      </c>
      <c r="JG113">
        <v>18</v>
      </c>
      <c r="JH113">
        <v>511.79199999999997</v>
      </c>
      <c r="JI113">
        <v>404.55200000000002</v>
      </c>
      <c r="JJ113">
        <v>26.3537</v>
      </c>
      <c r="JK113">
        <v>34.086100000000002</v>
      </c>
      <c r="JL113">
        <v>29.9999</v>
      </c>
      <c r="JM113">
        <v>33.8508</v>
      </c>
      <c r="JN113">
        <v>33.786200000000001</v>
      </c>
      <c r="JO113">
        <v>3.3307699999999998</v>
      </c>
      <c r="JP113">
        <v>44.044600000000003</v>
      </c>
      <c r="JQ113">
        <v>0</v>
      </c>
      <c r="JR113">
        <v>26.363700000000001</v>
      </c>
      <c r="JS113">
        <v>10</v>
      </c>
      <c r="JT113">
        <v>19.466000000000001</v>
      </c>
      <c r="JU113">
        <v>99.236999999999995</v>
      </c>
      <c r="JV113">
        <v>98.841999999999999</v>
      </c>
    </row>
    <row r="114" spans="1:282" x14ac:dyDescent="0.25">
      <c r="A114">
        <v>98</v>
      </c>
      <c r="B114">
        <v>1689018386.5999999</v>
      </c>
      <c r="C114">
        <v>19209.599999904629</v>
      </c>
      <c r="D114" t="s">
        <v>916</v>
      </c>
      <c r="E114" t="s">
        <v>917</v>
      </c>
      <c r="F114" t="s">
        <v>414</v>
      </c>
      <c r="G114" t="s">
        <v>415</v>
      </c>
      <c r="H114" t="s">
        <v>416</v>
      </c>
      <c r="I114" t="s">
        <v>500</v>
      </c>
      <c r="J114" t="s">
        <v>501</v>
      </c>
      <c r="K114">
        <v>1689018386.5999999</v>
      </c>
      <c r="L114">
        <f t="shared" si="138"/>
        <v>6.8644794682125579E-3</v>
      </c>
      <c r="M114">
        <f t="shared" si="139"/>
        <v>6.8644794682125578</v>
      </c>
      <c r="N114">
        <f t="shared" si="140"/>
        <v>49.178972530211631</v>
      </c>
      <c r="O114">
        <f t="shared" si="141"/>
        <v>338.17700000000002</v>
      </c>
      <c r="P114">
        <f t="shared" si="142"/>
        <v>161.5461366682882</v>
      </c>
      <c r="Q114">
        <f t="shared" si="143"/>
        <v>16.023968899067739</v>
      </c>
      <c r="R114">
        <f t="shared" si="144"/>
        <v>33.544211221262707</v>
      </c>
      <c r="S114">
        <f t="shared" si="145"/>
        <v>0.49823957555155235</v>
      </c>
      <c r="T114">
        <f t="shared" si="146"/>
        <v>2.9179357126723056</v>
      </c>
      <c r="U114">
        <f t="shared" si="147"/>
        <v>0.45534915310888813</v>
      </c>
      <c r="V114">
        <f t="shared" si="148"/>
        <v>0.28813844407450939</v>
      </c>
      <c r="W114">
        <f t="shared" si="149"/>
        <v>289.55747295808743</v>
      </c>
      <c r="X114">
        <f t="shared" si="150"/>
        <v>30.378356799602319</v>
      </c>
      <c r="Y114">
        <f t="shared" si="151"/>
        <v>30.011700000000001</v>
      </c>
      <c r="Z114">
        <f t="shared" si="152"/>
        <v>4.2633137969128736</v>
      </c>
      <c r="AA114">
        <f t="shared" si="153"/>
        <v>64.513213893722067</v>
      </c>
      <c r="AB114">
        <f t="shared" si="154"/>
        <v>2.82138699425589</v>
      </c>
      <c r="AC114">
        <f t="shared" si="155"/>
        <v>4.3733474492586799</v>
      </c>
      <c r="AD114">
        <f t="shared" si="156"/>
        <v>1.4419268026569836</v>
      </c>
      <c r="AE114">
        <f t="shared" si="157"/>
        <v>-302.72354454817378</v>
      </c>
      <c r="AF114">
        <f t="shared" si="158"/>
        <v>69.909341762922011</v>
      </c>
      <c r="AG114">
        <f t="shared" si="159"/>
        <v>5.339544242746209</v>
      </c>
      <c r="AH114">
        <f t="shared" si="160"/>
        <v>62.082814415581893</v>
      </c>
      <c r="AI114">
        <v>0</v>
      </c>
      <c r="AJ114">
        <v>0</v>
      </c>
      <c r="AK114">
        <f t="shared" si="161"/>
        <v>1</v>
      </c>
      <c r="AL114">
        <f t="shared" si="162"/>
        <v>0</v>
      </c>
      <c r="AM114">
        <f t="shared" si="163"/>
        <v>51924.295253860568</v>
      </c>
      <c r="AN114" t="s">
        <v>418</v>
      </c>
      <c r="AO114">
        <v>10076.700000000001</v>
      </c>
      <c r="AP114">
        <v>185.01599999999999</v>
      </c>
      <c r="AQ114">
        <v>473.06</v>
      </c>
      <c r="AR114">
        <f t="shared" si="164"/>
        <v>0.60889527755464423</v>
      </c>
      <c r="AS114">
        <v>-1.4827006201179751</v>
      </c>
      <c r="AT114" t="s">
        <v>918</v>
      </c>
      <c r="AU114">
        <v>8091.76</v>
      </c>
      <c r="AV114">
        <v>684.96883999999989</v>
      </c>
      <c r="AW114">
        <v>1069.6703036731519</v>
      </c>
      <c r="AX114">
        <f t="shared" si="165"/>
        <v>0.35964489464849281</v>
      </c>
      <c r="AY114">
        <v>0.5</v>
      </c>
      <c r="AZ114">
        <f t="shared" si="166"/>
        <v>1513.1345994601488</v>
      </c>
      <c r="BA114">
        <f t="shared" si="167"/>
        <v>49.178972530211631</v>
      </c>
      <c r="BB114">
        <f t="shared" si="168"/>
        <v>272.09556680591731</v>
      </c>
      <c r="BC114">
        <f t="shared" si="169"/>
        <v>3.3481273356913858E-2</v>
      </c>
      <c r="BD114">
        <f t="shared" si="170"/>
        <v>-0.55775158160831961</v>
      </c>
      <c r="BE114">
        <f t="shared" si="171"/>
        <v>236.63549616965105</v>
      </c>
      <c r="BF114" t="s">
        <v>919</v>
      </c>
      <c r="BG114">
        <v>537.54999999999995</v>
      </c>
      <c r="BH114">
        <f t="shared" si="172"/>
        <v>537.54999999999995</v>
      </c>
      <c r="BI114">
        <f t="shared" si="173"/>
        <v>0.49746197669122771</v>
      </c>
      <c r="BJ114">
        <f t="shared" si="174"/>
        <v>0.72295956575535958</v>
      </c>
      <c r="BK114">
        <f t="shared" si="175"/>
        <v>9.251206445544307</v>
      </c>
      <c r="BL114">
        <f t="shared" si="176"/>
        <v>0.43486078355787372</v>
      </c>
      <c r="BM114">
        <f t="shared" si="177"/>
        <v>-2.071247113889378</v>
      </c>
      <c r="BN114">
        <f t="shared" si="178"/>
        <v>0.56736437028550613</v>
      </c>
      <c r="BO114">
        <f t="shared" si="179"/>
        <v>0.43263562971449387</v>
      </c>
      <c r="BP114">
        <v>9249</v>
      </c>
      <c r="BQ114">
        <v>290.00000000000011</v>
      </c>
      <c r="BR114">
        <v>912.69</v>
      </c>
      <c r="BS114">
        <v>295</v>
      </c>
      <c r="BT114">
        <v>8091.76</v>
      </c>
      <c r="BU114">
        <v>914.77</v>
      </c>
      <c r="BV114">
        <v>-2.08</v>
      </c>
      <c r="BW114">
        <v>300.00000000000011</v>
      </c>
      <c r="BX114">
        <v>19.2</v>
      </c>
      <c r="BY114">
        <v>1069.6703036731519</v>
      </c>
      <c r="BZ114">
        <v>4.818562658097524</v>
      </c>
      <c r="CA114">
        <v>-125.3448765309154</v>
      </c>
      <c r="CB114">
        <v>3.5828185405965001</v>
      </c>
      <c r="CC114">
        <v>0.97763488308629198</v>
      </c>
      <c r="CD114">
        <v>-4.1684211345939994E-3</v>
      </c>
      <c r="CE114">
        <v>289.99999999999989</v>
      </c>
      <c r="CF114">
        <v>899.25</v>
      </c>
      <c r="CG114">
        <v>635</v>
      </c>
      <c r="CH114">
        <v>8085.35</v>
      </c>
      <c r="CI114">
        <v>914.64</v>
      </c>
      <c r="CJ114">
        <v>-15.39</v>
      </c>
      <c r="CX114">
        <f t="shared" si="180"/>
        <v>1799.94</v>
      </c>
      <c r="CY114">
        <f t="shared" si="181"/>
        <v>1513.1345994601488</v>
      </c>
      <c r="CZ114">
        <f t="shared" si="182"/>
        <v>0.84065835497858199</v>
      </c>
      <c r="DA114">
        <f t="shared" si="183"/>
        <v>0.16087062510866329</v>
      </c>
      <c r="DB114">
        <v>6</v>
      </c>
      <c r="DC114">
        <v>0.5</v>
      </c>
      <c r="DD114" t="s">
        <v>421</v>
      </c>
      <c r="DE114">
        <v>2</v>
      </c>
      <c r="DF114">
        <v>1689018386.5999999</v>
      </c>
      <c r="DG114">
        <v>338.17700000000002</v>
      </c>
      <c r="DH114">
        <v>399.96300000000002</v>
      </c>
      <c r="DI114">
        <v>28.443899999999999</v>
      </c>
      <c r="DJ114">
        <v>20.442699999999999</v>
      </c>
      <c r="DK114">
        <v>339.63799999999998</v>
      </c>
      <c r="DL114">
        <v>28.437899999999999</v>
      </c>
      <c r="DM114">
        <v>500.11700000000002</v>
      </c>
      <c r="DN114">
        <v>99.091700000000003</v>
      </c>
      <c r="DO114">
        <v>9.9585099999999996E-2</v>
      </c>
      <c r="DP114">
        <v>30.456099999999999</v>
      </c>
      <c r="DQ114">
        <v>30.011700000000001</v>
      </c>
      <c r="DR114">
        <v>999.9</v>
      </c>
      <c r="DS114">
        <v>0</v>
      </c>
      <c r="DT114">
        <v>0</v>
      </c>
      <c r="DU114">
        <v>10025</v>
      </c>
      <c r="DV114">
        <v>0</v>
      </c>
      <c r="DW114">
        <v>523.07799999999997</v>
      </c>
      <c r="DX114">
        <v>-61.722099999999998</v>
      </c>
      <c r="DY114">
        <v>348.13799999999998</v>
      </c>
      <c r="DZ114">
        <v>408.31</v>
      </c>
      <c r="EA114">
        <v>7.9857800000000001</v>
      </c>
      <c r="EB114">
        <v>399.96300000000002</v>
      </c>
      <c r="EC114">
        <v>20.442699999999999</v>
      </c>
      <c r="ED114">
        <v>2.8170299999999999</v>
      </c>
      <c r="EE114">
        <v>2.0257000000000001</v>
      </c>
      <c r="EF114">
        <v>22.984200000000001</v>
      </c>
      <c r="EG114">
        <v>17.646699999999999</v>
      </c>
      <c r="EH114">
        <v>1799.94</v>
      </c>
      <c r="EI114">
        <v>0.97799599999999998</v>
      </c>
      <c r="EJ114">
        <v>2.2004300000000001E-2</v>
      </c>
      <c r="EK114">
        <v>0</v>
      </c>
      <c r="EL114">
        <v>685.31600000000003</v>
      </c>
      <c r="EM114">
        <v>5.00082</v>
      </c>
      <c r="EN114">
        <v>14532.3</v>
      </c>
      <c r="EO114">
        <v>14129.3</v>
      </c>
      <c r="EP114">
        <v>46.936999999999998</v>
      </c>
      <c r="EQ114">
        <v>48.186999999999998</v>
      </c>
      <c r="ER114">
        <v>47.811999999999998</v>
      </c>
      <c r="ES114">
        <v>48</v>
      </c>
      <c r="ET114">
        <v>48.436999999999998</v>
      </c>
      <c r="EU114">
        <v>1755.44</v>
      </c>
      <c r="EV114">
        <v>39.5</v>
      </c>
      <c r="EW114">
        <v>0</v>
      </c>
      <c r="EX114">
        <v>187.4000000953674</v>
      </c>
      <c r="EY114">
        <v>0</v>
      </c>
      <c r="EZ114">
        <v>684.96883999999989</v>
      </c>
      <c r="FA114">
        <v>0.29999999678262179</v>
      </c>
      <c r="FB114">
        <v>-74.123076700814934</v>
      </c>
      <c r="FC114">
        <v>14532.716</v>
      </c>
      <c r="FD114">
        <v>15</v>
      </c>
      <c r="FE114">
        <v>1689018420.5999999</v>
      </c>
      <c r="FF114" t="s">
        <v>920</v>
      </c>
      <c r="FG114">
        <v>1689018419.5999999</v>
      </c>
      <c r="FH114">
        <v>1689018420.5999999</v>
      </c>
      <c r="FI114">
        <v>109</v>
      </c>
      <c r="FJ114">
        <v>-3.0000000000000001E-3</v>
      </c>
      <c r="FK114">
        <v>1.4999999999999999E-2</v>
      </c>
      <c r="FL114">
        <v>-1.4610000000000001</v>
      </c>
      <c r="FM114">
        <v>6.0000000000000001E-3</v>
      </c>
      <c r="FN114">
        <v>400</v>
      </c>
      <c r="FO114">
        <v>20</v>
      </c>
      <c r="FP114">
        <v>0.04</v>
      </c>
      <c r="FQ114">
        <v>0.02</v>
      </c>
      <c r="FR114">
        <v>48.429030390646638</v>
      </c>
      <c r="FS114">
        <v>4.412606562088885</v>
      </c>
      <c r="FT114">
        <v>0.33046838273355128</v>
      </c>
      <c r="FU114">
        <v>0</v>
      </c>
      <c r="FV114">
        <v>0.50342688075366648</v>
      </c>
      <c r="FW114">
        <v>-3.6081791284732503E-2</v>
      </c>
      <c r="FX114">
        <v>3.0136637154569552E-3</v>
      </c>
      <c r="FY114">
        <v>1</v>
      </c>
      <c r="FZ114">
        <v>1</v>
      </c>
      <c r="GA114">
        <v>2</v>
      </c>
      <c r="GB114" t="s">
        <v>462</v>
      </c>
      <c r="GC114">
        <v>2.94421</v>
      </c>
      <c r="GD114">
        <v>2.7084600000000001</v>
      </c>
      <c r="GE114">
        <v>7.6915200000000003E-2</v>
      </c>
      <c r="GF114">
        <v>8.7551799999999999E-2</v>
      </c>
      <c r="GG114">
        <v>0.127052</v>
      </c>
      <c r="GH114">
        <v>0.100842</v>
      </c>
      <c r="GI114">
        <v>30302.3</v>
      </c>
      <c r="GJ114">
        <v>29232.400000000001</v>
      </c>
      <c r="GK114">
        <v>33828.699999999997</v>
      </c>
      <c r="GL114">
        <v>32083</v>
      </c>
      <c r="GM114">
        <v>42638.3</v>
      </c>
      <c r="GN114">
        <v>41051.199999999997</v>
      </c>
      <c r="GO114">
        <v>48997</v>
      </c>
      <c r="GP114">
        <v>45419.3</v>
      </c>
      <c r="GQ114">
        <v>1.9711000000000001</v>
      </c>
      <c r="GR114">
        <v>1.7507999999999999</v>
      </c>
      <c r="GS114">
        <v>2.3450700000000001E-2</v>
      </c>
      <c r="GT114">
        <v>0</v>
      </c>
      <c r="GU114">
        <v>29.63</v>
      </c>
      <c r="GV114">
        <v>999.9</v>
      </c>
      <c r="GW114">
        <v>29.1</v>
      </c>
      <c r="GX114">
        <v>46.4</v>
      </c>
      <c r="GY114">
        <v>30.4133</v>
      </c>
      <c r="GZ114">
        <v>59.737200000000001</v>
      </c>
      <c r="HA114">
        <v>25.368600000000001</v>
      </c>
      <c r="HB114">
        <v>1</v>
      </c>
      <c r="HC114">
        <v>0.51392499999999997</v>
      </c>
      <c r="HD114">
        <v>2.3869899999999999</v>
      </c>
      <c r="HE114">
        <v>20.2057</v>
      </c>
      <c r="HF114">
        <v>5.2661100000000003</v>
      </c>
      <c r="HG114">
        <v>12.039899999999999</v>
      </c>
      <c r="HH114">
        <v>4.96495</v>
      </c>
      <c r="HI114">
        <v>3.30023</v>
      </c>
      <c r="HJ114">
        <v>9999</v>
      </c>
      <c r="HK114">
        <v>9999</v>
      </c>
      <c r="HL114">
        <v>9999</v>
      </c>
      <c r="HM114">
        <v>999.9</v>
      </c>
      <c r="HN114">
        <v>1.8685700000000001</v>
      </c>
      <c r="HO114">
        <v>1.87216</v>
      </c>
      <c r="HP114">
        <v>1.87195</v>
      </c>
      <c r="HQ114">
        <v>1.8714900000000001</v>
      </c>
      <c r="HR114">
        <v>1.86466</v>
      </c>
      <c r="HS114">
        <v>1.8658399999999999</v>
      </c>
      <c r="HT114">
        <v>1.8678300000000001</v>
      </c>
      <c r="HU114">
        <v>1.8724099999999999</v>
      </c>
      <c r="HV114">
        <v>0</v>
      </c>
      <c r="HW114">
        <v>0</v>
      </c>
      <c r="HX114">
        <v>0</v>
      </c>
      <c r="HY114">
        <v>0</v>
      </c>
      <c r="HZ114" t="s">
        <v>424</v>
      </c>
      <c r="IA114" t="s">
        <v>425</v>
      </c>
      <c r="IB114" t="s">
        <v>426</v>
      </c>
      <c r="IC114" t="s">
        <v>426</v>
      </c>
      <c r="ID114" t="s">
        <v>426</v>
      </c>
      <c r="IE114" t="s">
        <v>426</v>
      </c>
      <c r="IF114">
        <v>0</v>
      </c>
      <c r="IG114">
        <v>100</v>
      </c>
      <c r="IH114">
        <v>100</v>
      </c>
      <c r="II114">
        <v>-1.4610000000000001</v>
      </c>
      <c r="IJ114">
        <v>6.0000000000000001E-3</v>
      </c>
      <c r="IK114">
        <v>-1.0306937673870209</v>
      </c>
      <c r="IL114">
        <v>-1.171017271736434E-3</v>
      </c>
      <c r="IM114">
        <v>2.801297040296544E-7</v>
      </c>
      <c r="IN114">
        <v>-3.6238253961199429E-11</v>
      </c>
      <c r="IO114">
        <v>-9.4299999999947204E-3</v>
      </c>
      <c r="IP114">
        <v>0</v>
      </c>
      <c r="IQ114">
        <v>0</v>
      </c>
      <c r="IR114">
        <v>0</v>
      </c>
      <c r="IS114">
        <v>0</v>
      </c>
      <c r="IT114">
        <v>2161</v>
      </c>
      <c r="IU114">
        <v>1</v>
      </c>
      <c r="IV114">
        <v>19</v>
      </c>
      <c r="IW114">
        <v>4.0999999999999996</v>
      </c>
      <c r="IX114">
        <v>3.8</v>
      </c>
      <c r="IY114">
        <v>1.03149</v>
      </c>
      <c r="IZ114">
        <v>2.5390600000000001</v>
      </c>
      <c r="JA114">
        <v>1.4440900000000001</v>
      </c>
      <c r="JB114">
        <v>2.2790499999999998</v>
      </c>
      <c r="JC114">
        <v>1.54419</v>
      </c>
      <c r="JD114">
        <v>2.3791500000000001</v>
      </c>
      <c r="JE114">
        <v>47.934699999999999</v>
      </c>
      <c r="JF114">
        <v>24.078700000000001</v>
      </c>
      <c r="JG114">
        <v>18</v>
      </c>
      <c r="JH114">
        <v>512.02800000000002</v>
      </c>
      <c r="JI114">
        <v>408.471</v>
      </c>
      <c r="JJ114">
        <v>27.186900000000001</v>
      </c>
      <c r="JK114">
        <v>33.738900000000001</v>
      </c>
      <c r="JL114">
        <v>29.998799999999999</v>
      </c>
      <c r="JM114">
        <v>33.5884</v>
      </c>
      <c r="JN114">
        <v>33.527500000000003</v>
      </c>
      <c r="JO114">
        <v>20.768599999999999</v>
      </c>
      <c r="JP114">
        <v>36.866</v>
      </c>
      <c r="JQ114">
        <v>0</v>
      </c>
      <c r="JR114">
        <v>27.216100000000001</v>
      </c>
      <c r="JS114">
        <v>400</v>
      </c>
      <c r="JT114">
        <v>20.589500000000001</v>
      </c>
      <c r="JU114">
        <v>99.300399999999996</v>
      </c>
      <c r="JV114">
        <v>98.910899999999998</v>
      </c>
    </row>
    <row r="115" spans="1:282" x14ac:dyDescent="0.25">
      <c r="A115">
        <v>99</v>
      </c>
      <c r="B115">
        <v>1689018562.5999999</v>
      </c>
      <c r="C115">
        <v>19385.599999904629</v>
      </c>
      <c r="D115" t="s">
        <v>921</v>
      </c>
      <c r="E115" t="s">
        <v>922</v>
      </c>
      <c r="F115" t="s">
        <v>414</v>
      </c>
      <c r="G115" t="s">
        <v>415</v>
      </c>
      <c r="H115" t="s">
        <v>416</v>
      </c>
      <c r="I115" t="s">
        <v>500</v>
      </c>
      <c r="J115" t="s">
        <v>501</v>
      </c>
      <c r="K115">
        <v>1689018562.5999999</v>
      </c>
      <c r="L115">
        <f t="shared" si="138"/>
        <v>6.5427018563186026E-3</v>
      </c>
      <c r="M115">
        <f t="shared" si="139"/>
        <v>6.5427018563186028</v>
      </c>
      <c r="N115">
        <f t="shared" si="140"/>
        <v>55.509035190215194</v>
      </c>
      <c r="O115">
        <f t="shared" si="141"/>
        <v>330.75400000000002</v>
      </c>
      <c r="P115">
        <f t="shared" si="142"/>
        <v>125.06459016651318</v>
      </c>
      <c r="Q115">
        <f t="shared" si="143"/>
        <v>12.405842440270787</v>
      </c>
      <c r="R115">
        <f t="shared" si="144"/>
        <v>32.809302817257404</v>
      </c>
      <c r="S115">
        <f t="shared" si="145"/>
        <v>0.47779305549236539</v>
      </c>
      <c r="T115">
        <f t="shared" si="146"/>
        <v>2.9118841668559772</v>
      </c>
      <c r="U115">
        <f t="shared" si="147"/>
        <v>0.43812597109522405</v>
      </c>
      <c r="V115">
        <f t="shared" si="148"/>
        <v>0.27711770773406574</v>
      </c>
      <c r="W115">
        <f t="shared" si="149"/>
        <v>289.5856346602842</v>
      </c>
      <c r="X115">
        <f t="shared" si="150"/>
        <v>30.57392622077354</v>
      </c>
      <c r="Y115">
        <f t="shared" si="151"/>
        <v>30.128599999999999</v>
      </c>
      <c r="Z115">
        <f t="shared" si="152"/>
        <v>4.2920218245849853</v>
      </c>
      <c r="AA115">
        <f t="shared" si="153"/>
        <v>65.073687753962602</v>
      </c>
      <c r="AB115">
        <f t="shared" si="154"/>
        <v>2.8641307008361601</v>
      </c>
      <c r="AC115">
        <f t="shared" si="155"/>
        <v>4.4013652824858562</v>
      </c>
      <c r="AD115">
        <f t="shared" si="156"/>
        <v>1.4278911237488252</v>
      </c>
      <c r="AE115">
        <f t="shared" si="157"/>
        <v>-288.53315186365035</v>
      </c>
      <c r="AF115">
        <f t="shared" si="158"/>
        <v>68.932332700274145</v>
      </c>
      <c r="AG115">
        <f t="shared" si="159"/>
        <v>5.2818293784346944</v>
      </c>
      <c r="AH115">
        <f t="shared" si="160"/>
        <v>75.266644875342678</v>
      </c>
      <c r="AI115">
        <v>0</v>
      </c>
      <c r="AJ115">
        <v>0</v>
      </c>
      <c r="AK115">
        <f t="shared" si="161"/>
        <v>1</v>
      </c>
      <c r="AL115">
        <f t="shared" si="162"/>
        <v>0</v>
      </c>
      <c r="AM115">
        <f t="shared" si="163"/>
        <v>51733.401981978634</v>
      </c>
      <c r="AN115" t="s">
        <v>418</v>
      </c>
      <c r="AO115">
        <v>10076.700000000001</v>
      </c>
      <c r="AP115">
        <v>185.01599999999999</v>
      </c>
      <c r="AQ115">
        <v>473.06</v>
      </c>
      <c r="AR115">
        <f t="shared" si="164"/>
        <v>0.60889527755464423</v>
      </c>
      <c r="AS115">
        <v>-1.4827006201179751</v>
      </c>
      <c r="AT115" t="s">
        <v>923</v>
      </c>
      <c r="AU115">
        <v>8090.85</v>
      </c>
      <c r="AV115">
        <v>699.11187999999993</v>
      </c>
      <c r="AW115">
        <v>1114.845182784326</v>
      </c>
      <c r="AX115">
        <f t="shared" si="165"/>
        <v>0.37290675800027417</v>
      </c>
      <c r="AY115">
        <v>0.5</v>
      </c>
      <c r="AZ115">
        <f t="shared" si="166"/>
        <v>1513.285506041598</v>
      </c>
      <c r="BA115">
        <f t="shared" si="167"/>
        <v>55.509035190215194</v>
      </c>
      <c r="BB115">
        <f t="shared" si="168"/>
        <v>282.15719599338831</v>
      </c>
      <c r="BC115">
        <f t="shared" si="169"/>
        <v>3.7660927553195341E-2</v>
      </c>
      <c r="BD115">
        <f t="shared" si="170"/>
        <v>-0.57567202396790862</v>
      </c>
      <c r="BE115">
        <f t="shared" si="171"/>
        <v>238.77593560980299</v>
      </c>
      <c r="BF115" t="s">
        <v>924</v>
      </c>
      <c r="BG115">
        <v>545.19000000000005</v>
      </c>
      <c r="BH115">
        <f t="shared" si="172"/>
        <v>545.19000000000005</v>
      </c>
      <c r="BI115">
        <f t="shared" si="173"/>
        <v>0.51097245750446896</v>
      </c>
      <c r="BJ115">
        <f t="shared" si="174"/>
        <v>0.72979815746137888</v>
      </c>
      <c r="BK115">
        <f t="shared" si="175"/>
        <v>8.8976179507046389</v>
      </c>
      <c r="BL115">
        <f t="shared" si="176"/>
        <v>0.44710717891154361</v>
      </c>
      <c r="BM115">
        <f t="shared" si="177"/>
        <v>-2.2280803723886837</v>
      </c>
      <c r="BN115">
        <f t="shared" si="178"/>
        <v>0.5691201492189909</v>
      </c>
      <c r="BO115">
        <f t="shared" si="179"/>
        <v>0.4308798507810091</v>
      </c>
      <c r="BP115">
        <v>9251</v>
      </c>
      <c r="BQ115">
        <v>290.00000000000011</v>
      </c>
      <c r="BR115">
        <v>963.43</v>
      </c>
      <c r="BS115">
        <v>265</v>
      </c>
      <c r="BT115">
        <v>8090.85</v>
      </c>
      <c r="BU115">
        <v>966.98</v>
      </c>
      <c r="BV115">
        <v>-3.55</v>
      </c>
      <c r="BW115">
        <v>300.00000000000011</v>
      </c>
      <c r="BX115">
        <v>19.2</v>
      </c>
      <c r="BY115">
        <v>1114.845182784326</v>
      </c>
      <c r="BZ115">
        <v>4.5614045252944058</v>
      </c>
      <c r="CA115">
        <v>-119.63454461388891</v>
      </c>
      <c r="CB115">
        <v>3.3908392186845822</v>
      </c>
      <c r="CC115">
        <v>0.97800121876491586</v>
      </c>
      <c r="CD115">
        <v>-4.1674840934371512E-3</v>
      </c>
      <c r="CE115">
        <v>289.99999999999989</v>
      </c>
      <c r="CF115">
        <v>957.41</v>
      </c>
      <c r="CG115">
        <v>645</v>
      </c>
      <c r="CH115">
        <v>8083.22</v>
      </c>
      <c r="CI115">
        <v>966.84</v>
      </c>
      <c r="CJ115">
        <v>-9.43</v>
      </c>
      <c r="CX115">
        <f t="shared" si="180"/>
        <v>1800.12</v>
      </c>
      <c r="CY115">
        <f t="shared" si="181"/>
        <v>1513.285506041598</v>
      </c>
      <c r="CZ115">
        <f t="shared" si="182"/>
        <v>0.84065812614803348</v>
      </c>
      <c r="DA115">
        <f t="shared" si="183"/>
        <v>0.16087018346570464</v>
      </c>
      <c r="DB115">
        <v>6</v>
      </c>
      <c r="DC115">
        <v>0.5</v>
      </c>
      <c r="DD115" t="s">
        <v>421</v>
      </c>
      <c r="DE115">
        <v>2</v>
      </c>
      <c r="DF115">
        <v>1689018562.5999999</v>
      </c>
      <c r="DG115">
        <v>330.75400000000002</v>
      </c>
      <c r="DH115">
        <v>399.93400000000003</v>
      </c>
      <c r="DI115">
        <v>28.8736</v>
      </c>
      <c r="DJ115">
        <v>21.252099999999999</v>
      </c>
      <c r="DK115">
        <v>332.11799999999999</v>
      </c>
      <c r="DL115">
        <v>28.860199999999999</v>
      </c>
      <c r="DM115">
        <v>500.2</v>
      </c>
      <c r="DN115">
        <v>99.095500000000001</v>
      </c>
      <c r="DO115">
        <v>9.9983100000000005E-2</v>
      </c>
      <c r="DP115">
        <v>30.567699999999999</v>
      </c>
      <c r="DQ115">
        <v>30.128599999999999</v>
      </c>
      <c r="DR115">
        <v>999.9</v>
      </c>
      <c r="DS115">
        <v>0</v>
      </c>
      <c r="DT115">
        <v>0</v>
      </c>
      <c r="DU115">
        <v>9990</v>
      </c>
      <c r="DV115">
        <v>0</v>
      </c>
      <c r="DW115">
        <v>1849.94</v>
      </c>
      <c r="DX115">
        <v>-69.180199999999999</v>
      </c>
      <c r="DY115">
        <v>340.58800000000002</v>
      </c>
      <c r="DZ115">
        <v>408.61799999999999</v>
      </c>
      <c r="EA115">
        <v>7.6215000000000002</v>
      </c>
      <c r="EB115">
        <v>399.93400000000003</v>
      </c>
      <c r="EC115">
        <v>21.252099999999999</v>
      </c>
      <c r="ED115">
        <v>2.86124</v>
      </c>
      <c r="EE115">
        <v>2.1059800000000002</v>
      </c>
      <c r="EF115">
        <v>23.241700000000002</v>
      </c>
      <c r="EG115">
        <v>18.264500000000002</v>
      </c>
      <c r="EH115">
        <v>1800.12</v>
      </c>
      <c r="EI115">
        <v>0.97799899999999995</v>
      </c>
      <c r="EJ115">
        <v>2.20009E-2</v>
      </c>
      <c r="EK115">
        <v>0</v>
      </c>
      <c r="EL115">
        <v>699.21699999999998</v>
      </c>
      <c r="EM115">
        <v>5.00082</v>
      </c>
      <c r="EN115">
        <v>17609.400000000001</v>
      </c>
      <c r="EO115">
        <v>14130.7</v>
      </c>
      <c r="EP115">
        <v>47.561999999999998</v>
      </c>
      <c r="EQ115">
        <v>48.75</v>
      </c>
      <c r="ER115">
        <v>48.436999999999998</v>
      </c>
      <c r="ES115">
        <v>48.561999999999998</v>
      </c>
      <c r="ET115">
        <v>49</v>
      </c>
      <c r="EU115">
        <v>1755.62</v>
      </c>
      <c r="EV115">
        <v>39.49</v>
      </c>
      <c r="EW115">
        <v>0</v>
      </c>
      <c r="EX115">
        <v>174.20000004768369</v>
      </c>
      <c r="EY115">
        <v>0</v>
      </c>
      <c r="EZ115">
        <v>699.11187999999993</v>
      </c>
      <c r="FA115">
        <v>2.7366923203501141</v>
      </c>
      <c r="FB115">
        <v>509.30000151519778</v>
      </c>
      <c r="FC115">
        <v>17550.98</v>
      </c>
      <c r="FD115">
        <v>15</v>
      </c>
      <c r="FE115">
        <v>1689018520.5999999</v>
      </c>
      <c r="FF115" t="s">
        <v>925</v>
      </c>
      <c r="FG115">
        <v>1689018520.5999999</v>
      </c>
      <c r="FH115">
        <v>1689018518.5999999</v>
      </c>
      <c r="FI115">
        <v>110</v>
      </c>
      <c r="FJ115">
        <v>2.9000000000000001E-2</v>
      </c>
      <c r="FK115">
        <v>8.0000000000000002E-3</v>
      </c>
      <c r="FL115">
        <v>-1.4319999999999999</v>
      </c>
      <c r="FM115">
        <v>1.2999999999999999E-2</v>
      </c>
      <c r="FN115">
        <v>400</v>
      </c>
      <c r="FO115">
        <v>21</v>
      </c>
      <c r="FP115">
        <v>0.02</v>
      </c>
      <c r="FQ115">
        <v>0.01</v>
      </c>
      <c r="FR115">
        <v>55.40786207672739</v>
      </c>
      <c r="FS115">
        <v>-0.41814426097331758</v>
      </c>
      <c r="FT115">
        <v>5.9025697761352677E-2</v>
      </c>
      <c r="FU115">
        <v>1</v>
      </c>
      <c r="FV115">
        <v>0.47881401467442131</v>
      </c>
      <c r="FW115">
        <v>-1.339609660294897E-2</v>
      </c>
      <c r="FX115">
        <v>1.106583176675678E-3</v>
      </c>
      <c r="FY115">
        <v>1</v>
      </c>
      <c r="FZ115">
        <v>2</v>
      </c>
      <c r="GA115">
        <v>2</v>
      </c>
      <c r="GB115" t="s">
        <v>423</v>
      </c>
      <c r="GC115">
        <v>2.94469</v>
      </c>
      <c r="GD115">
        <v>2.7085599999999999</v>
      </c>
      <c r="GE115">
        <v>7.5638200000000003E-2</v>
      </c>
      <c r="GF115">
        <v>8.7641399999999994E-2</v>
      </c>
      <c r="GG115">
        <v>0.128472</v>
      </c>
      <c r="GH115">
        <v>0.103746</v>
      </c>
      <c r="GI115">
        <v>30379.4</v>
      </c>
      <c r="GJ115">
        <v>29259.4</v>
      </c>
      <c r="GK115">
        <v>33865.1</v>
      </c>
      <c r="GL115">
        <v>32113.4</v>
      </c>
      <c r="GM115">
        <v>42608.2</v>
      </c>
      <c r="GN115">
        <v>40956.400000000001</v>
      </c>
      <c r="GO115">
        <v>49044.6</v>
      </c>
      <c r="GP115">
        <v>45462.2</v>
      </c>
      <c r="GQ115">
        <v>1.97655</v>
      </c>
      <c r="GR115">
        <v>1.75928</v>
      </c>
      <c r="GS115">
        <v>3.6638200000000003E-2</v>
      </c>
      <c r="GT115">
        <v>0</v>
      </c>
      <c r="GU115">
        <v>29.5322</v>
      </c>
      <c r="GV115">
        <v>999.9</v>
      </c>
      <c r="GW115">
        <v>29</v>
      </c>
      <c r="GX115">
        <v>46</v>
      </c>
      <c r="GY115">
        <v>29.696899999999999</v>
      </c>
      <c r="GZ115">
        <v>60.377200000000002</v>
      </c>
      <c r="HA115">
        <v>25.228400000000001</v>
      </c>
      <c r="HB115">
        <v>1</v>
      </c>
      <c r="HC115">
        <v>0.47281000000000001</v>
      </c>
      <c r="HD115">
        <v>3.0789399999999998</v>
      </c>
      <c r="HE115">
        <v>20.196100000000001</v>
      </c>
      <c r="HF115">
        <v>5.2695499999999997</v>
      </c>
      <c r="HG115">
        <v>12.039899999999999</v>
      </c>
      <c r="HH115">
        <v>4.9658499999999997</v>
      </c>
      <c r="HI115">
        <v>3.3010000000000002</v>
      </c>
      <c r="HJ115">
        <v>9999</v>
      </c>
      <c r="HK115">
        <v>9999</v>
      </c>
      <c r="HL115">
        <v>9999</v>
      </c>
      <c r="HM115">
        <v>999.9</v>
      </c>
      <c r="HN115">
        <v>1.86849</v>
      </c>
      <c r="HO115">
        <v>1.8721099999999999</v>
      </c>
      <c r="HP115">
        <v>1.87195</v>
      </c>
      <c r="HQ115">
        <v>1.8714500000000001</v>
      </c>
      <c r="HR115">
        <v>1.8646499999999999</v>
      </c>
      <c r="HS115">
        <v>1.8658399999999999</v>
      </c>
      <c r="HT115">
        <v>1.8678300000000001</v>
      </c>
      <c r="HU115">
        <v>1.8724099999999999</v>
      </c>
      <c r="HV115">
        <v>0</v>
      </c>
      <c r="HW115">
        <v>0</v>
      </c>
      <c r="HX115">
        <v>0</v>
      </c>
      <c r="HY115">
        <v>0</v>
      </c>
      <c r="HZ115" t="s">
        <v>424</v>
      </c>
      <c r="IA115" t="s">
        <v>425</v>
      </c>
      <c r="IB115" t="s">
        <v>426</v>
      </c>
      <c r="IC115" t="s">
        <v>426</v>
      </c>
      <c r="ID115" t="s">
        <v>426</v>
      </c>
      <c r="IE115" t="s">
        <v>426</v>
      </c>
      <c r="IF115">
        <v>0</v>
      </c>
      <c r="IG115">
        <v>100</v>
      </c>
      <c r="IH115">
        <v>100</v>
      </c>
      <c r="II115">
        <v>-1.3640000000000001</v>
      </c>
      <c r="IJ115">
        <v>1.34E-2</v>
      </c>
      <c r="IK115">
        <v>-1.0051441485783501</v>
      </c>
      <c r="IL115">
        <v>-1.171017271736434E-3</v>
      </c>
      <c r="IM115">
        <v>2.801297040296544E-7</v>
      </c>
      <c r="IN115">
        <v>-3.6238253961199429E-11</v>
      </c>
      <c r="IO115">
        <v>1.33800000000015E-2</v>
      </c>
      <c r="IP115">
        <v>0</v>
      </c>
      <c r="IQ115">
        <v>0</v>
      </c>
      <c r="IR115">
        <v>0</v>
      </c>
      <c r="IS115">
        <v>0</v>
      </c>
      <c r="IT115">
        <v>2161</v>
      </c>
      <c r="IU115">
        <v>1</v>
      </c>
      <c r="IV115">
        <v>19</v>
      </c>
      <c r="IW115">
        <v>0.7</v>
      </c>
      <c r="IX115">
        <v>0.7</v>
      </c>
      <c r="IY115">
        <v>1.03271</v>
      </c>
      <c r="IZ115">
        <v>2.5390600000000001</v>
      </c>
      <c r="JA115">
        <v>1.4440900000000001</v>
      </c>
      <c r="JB115">
        <v>2.2790499999999998</v>
      </c>
      <c r="JC115">
        <v>1.54419</v>
      </c>
      <c r="JD115">
        <v>2.34375</v>
      </c>
      <c r="JE115">
        <v>47.571800000000003</v>
      </c>
      <c r="JF115">
        <v>24.078700000000001</v>
      </c>
      <c r="JG115">
        <v>18</v>
      </c>
      <c r="JH115">
        <v>512.43299999999999</v>
      </c>
      <c r="JI115">
        <v>411.06200000000001</v>
      </c>
      <c r="JJ115">
        <v>26.748200000000001</v>
      </c>
      <c r="JK115">
        <v>33.278799999999997</v>
      </c>
      <c r="JL115">
        <v>30.0002</v>
      </c>
      <c r="JM115">
        <v>33.187899999999999</v>
      </c>
      <c r="JN115">
        <v>33.141599999999997</v>
      </c>
      <c r="JO115">
        <v>20.7851</v>
      </c>
      <c r="JP115">
        <v>33.2119</v>
      </c>
      <c r="JQ115">
        <v>0</v>
      </c>
      <c r="JR115">
        <v>26.69</v>
      </c>
      <c r="JS115">
        <v>400</v>
      </c>
      <c r="JT115">
        <v>21.1691</v>
      </c>
      <c r="JU115">
        <v>99.401200000000003</v>
      </c>
      <c r="JV115">
        <v>99.004599999999996</v>
      </c>
    </row>
    <row r="116" spans="1:282" x14ac:dyDescent="0.25">
      <c r="A116">
        <v>100</v>
      </c>
      <c r="B116">
        <v>1689018721.5999999</v>
      </c>
      <c r="C116">
        <v>19544.599999904629</v>
      </c>
      <c r="D116" t="s">
        <v>926</v>
      </c>
      <c r="E116" t="s">
        <v>927</v>
      </c>
      <c r="F116" t="s">
        <v>414</v>
      </c>
      <c r="G116" t="s">
        <v>415</v>
      </c>
      <c r="H116" t="s">
        <v>416</v>
      </c>
      <c r="I116" t="s">
        <v>500</v>
      </c>
      <c r="J116" t="s">
        <v>501</v>
      </c>
      <c r="K116">
        <v>1689018721.5999999</v>
      </c>
      <c r="L116">
        <f t="shared" si="138"/>
        <v>6.9584432214018291E-3</v>
      </c>
      <c r="M116">
        <f t="shared" si="139"/>
        <v>6.9584432214018292</v>
      </c>
      <c r="N116">
        <f t="shared" si="140"/>
        <v>55.735923368751365</v>
      </c>
      <c r="O116">
        <f t="shared" si="141"/>
        <v>330.39299999999997</v>
      </c>
      <c r="P116">
        <f t="shared" si="142"/>
        <v>135.12312496371376</v>
      </c>
      <c r="Q116">
        <f t="shared" si="143"/>
        <v>13.402039986930552</v>
      </c>
      <c r="R116">
        <f t="shared" si="144"/>
        <v>32.769669873983702</v>
      </c>
      <c r="S116">
        <f t="shared" si="145"/>
        <v>0.50875290466487244</v>
      </c>
      <c r="T116">
        <f t="shared" si="146"/>
        <v>2.9135357766146699</v>
      </c>
      <c r="U116">
        <f t="shared" si="147"/>
        <v>0.46405900873111655</v>
      </c>
      <c r="V116">
        <f t="shared" si="148"/>
        <v>0.29372455490226906</v>
      </c>
      <c r="W116">
        <f t="shared" si="149"/>
        <v>289.59621495875956</v>
      </c>
      <c r="X116">
        <f t="shared" si="150"/>
        <v>30.176061359345656</v>
      </c>
      <c r="Y116">
        <f t="shared" si="151"/>
        <v>29.942499999999999</v>
      </c>
      <c r="Z116">
        <f t="shared" si="152"/>
        <v>4.2463987942936781</v>
      </c>
      <c r="AA116">
        <f t="shared" si="153"/>
        <v>64.959072793068756</v>
      </c>
      <c r="AB116">
        <f t="shared" si="154"/>
        <v>2.81208207861898</v>
      </c>
      <c r="AC116">
        <f t="shared" si="155"/>
        <v>4.329005876634116</v>
      </c>
      <c r="AD116">
        <f t="shared" si="156"/>
        <v>1.4343167156746981</v>
      </c>
      <c r="AE116">
        <f t="shared" si="157"/>
        <v>-306.86734606382066</v>
      </c>
      <c r="AF116">
        <f t="shared" si="158"/>
        <v>52.729923342816853</v>
      </c>
      <c r="AG116">
        <f t="shared" si="159"/>
        <v>4.0285654490639446</v>
      </c>
      <c r="AH116">
        <f t="shared" si="160"/>
        <v>39.487357686819685</v>
      </c>
      <c r="AI116">
        <v>0</v>
      </c>
      <c r="AJ116">
        <v>0</v>
      </c>
      <c r="AK116">
        <f t="shared" si="161"/>
        <v>1</v>
      </c>
      <c r="AL116">
        <f t="shared" si="162"/>
        <v>0</v>
      </c>
      <c r="AM116">
        <f t="shared" si="163"/>
        <v>51829.473637968782</v>
      </c>
      <c r="AN116" t="s">
        <v>418</v>
      </c>
      <c r="AO116">
        <v>10076.700000000001</v>
      </c>
      <c r="AP116">
        <v>185.01599999999999</v>
      </c>
      <c r="AQ116">
        <v>473.06</v>
      </c>
      <c r="AR116">
        <f t="shared" si="164"/>
        <v>0.60889527755464423</v>
      </c>
      <c r="AS116">
        <v>-1.4827006201179751</v>
      </c>
      <c r="AT116" t="s">
        <v>928</v>
      </c>
      <c r="AU116">
        <v>8087.54</v>
      </c>
      <c r="AV116">
        <v>702.9956538461538</v>
      </c>
      <c r="AW116">
        <v>1122.701558006107</v>
      </c>
      <c r="AX116">
        <f t="shared" si="165"/>
        <v>0.37383568337193862</v>
      </c>
      <c r="AY116">
        <v>0.5</v>
      </c>
      <c r="AZ116">
        <f t="shared" si="166"/>
        <v>1513.3439994604971</v>
      </c>
      <c r="BA116">
        <f t="shared" si="167"/>
        <v>55.735923368751365</v>
      </c>
      <c r="BB116">
        <f t="shared" si="168"/>
        <v>282.87099410756883</v>
      </c>
      <c r="BC116">
        <f t="shared" si="169"/>
        <v>3.7809396944295297E-2</v>
      </c>
      <c r="BD116">
        <f t="shared" si="170"/>
        <v>-0.57864136143166667</v>
      </c>
      <c r="BE116">
        <f t="shared" si="171"/>
        <v>239.1343420751621</v>
      </c>
      <c r="BF116" t="s">
        <v>929</v>
      </c>
      <c r="BG116">
        <v>543.62</v>
      </c>
      <c r="BH116">
        <f t="shared" si="172"/>
        <v>543.62</v>
      </c>
      <c r="BI116">
        <f t="shared" si="173"/>
        <v>0.51579295840164585</v>
      </c>
      <c r="BJ116">
        <f t="shared" si="174"/>
        <v>0.72477857109641708</v>
      </c>
      <c r="BK116">
        <f t="shared" si="175"/>
        <v>9.2069381803586605</v>
      </c>
      <c r="BL116">
        <f t="shared" si="176"/>
        <v>0.44759770541034577</v>
      </c>
      <c r="BM116">
        <f t="shared" si="177"/>
        <v>-2.2553552860191743</v>
      </c>
      <c r="BN116">
        <f t="shared" si="178"/>
        <v>0.56046452728946683</v>
      </c>
      <c r="BO116">
        <f t="shared" si="179"/>
        <v>0.43953547271053317</v>
      </c>
      <c r="BP116">
        <v>9253</v>
      </c>
      <c r="BQ116">
        <v>290.00000000000011</v>
      </c>
      <c r="BR116">
        <v>977.87</v>
      </c>
      <c r="BS116">
        <v>295</v>
      </c>
      <c r="BT116">
        <v>8087.54</v>
      </c>
      <c r="BU116">
        <v>982.88</v>
      </c>
      <c r="BV116">
        <v>-5.01</v>
      </c>
      <c r="BW116">
        <v>300.00000000000011</v>
      </c>
      <c r="BX116">
        <v>19.2</v>
      </c>
      <c r="BY116">
        <v>1122.701558006107</v>
      </c>
      <c r="BZ116">
        <v>5.8173626731205923</v>
      </c>
      <c r="CA116">
        <v>-113.084723124942</v>
      </c>
      <c r="CB116">
        <v>4.3231542897013879</v>
      </c>
      <c r="CC116">
        <v>0.96068723031421732</v>
      </c>
      <c r="CD116">
        <v>-4.1665250278086824E-3</v>
      </c>
      <c r="CE116">
        <v>289.99999999999989</v>
      </c>
      <c r="CF116">
        <v>975.49</v>
      </c>
      <c r="CG116">
        <v>665</v>
      </c>
      <c r="CH116">
        <v>8080.13</v>
      </c>
      <c r="CI116">
        <v>982.75</v>
      </c>
      <c r="CJ116">
        <v>-7.26</v>
      </c>
      <c r="CX116">
        <f t="shared" si="180"/>
        <v>1800.19</v>
      </c>
      <c r="CY116">
        <f t="shared" si="181"/>
        <v>1513.3439994604971</v>
      </c>
      <c r="CZ116">
        <f t="shared" si="182"/>
        <v>0.84065793025208291</v>
      </c>
      <c r="DA116">
        <f t="shared" si="183"/>
        <v>0.16086980538652007</v>
      </c>
      <c r="DB116">
        <v>6</v>
      </c>
      <c r="DC116">
        <v>0.5</v>
      </c>
      <c r="DD116" t="s">
        <v>421</v>
      </c>
      <c r="DE116">
        <v>2</v>
      </c>
      <c r="DF116">
        <v>1689018721.5999999</v>
      </c>
      <c r="DG116">
        <v>330.39299999999997</v>
      </c>
      <c r="DH116">
        <v>400.005</v>
      </c>
      <c r="DI116">
        <v>28.3522</v>
      </c>
      <c r="DJ116">
        <v>20.2423</v>
      </c>
      <c r="DK116">
        <v>331.67500000000001</v>
      </c>
      <c r="DL116">
        <v>28.331700000000001</v>
      </c>
      <c r="DM116">
        <v>500.21499999999997</v>
      </c>
      <c r="DN116">
        <v>99.084000000000003</v>
      </c>
      <c r="DO116">
        <v>9.9910899999999997E-2</v>
      </c>
      <c r="DP116">
        <v>30.278199999999998</v>
      </c>
      <c r="DQ116">
        <v>29.942499999999999</v>
      </c>
      <c r="DR116">
        <v>999.9</v>
      </c>
      <c r="DS116">
        <v>0</v>
      </c>
      <c r="DT116">
        <v>0</v>
      </c>
      <c r="DU116">
        <v>10000.6</v>
      </c>
      <c r="DV116">
        <v>0</v>
      </c>
      <c r="DW116">
        <v>1688.35</v>
      </c>
      <c r="DX116">
        <v>-69.612099999999998</v>
      </c>
      <c r="DY116">
        <v>340.03399999999999</v>
      </c>
      <c r="DZ116">
        <v>408.26900000000001</v>
      </c>
      <c r="EA116">
        <v>8.1099599999999992</v>
      </c>
      <c r="EB116">
        <v>400.005</v>
      </c>
      <c r="EC116">
        <v>20.2423</v>
      </c>
      <c r="ED116">
        <v>2.80925</v>
      </c>
      <c r="EE116">
        <v>2.00569</v>
      </c>
      <c r="EF116">
        <v>22.938600000000001</v>
      </c>
      <c r="EG116">
        <v>17.4893</v>
      </c>
      <c r="EH116">
        <v>1800.19</v>
      </c>
      <c r="EI116">
        <v>0.97800600000000004</v>
      </c>
      <c r="EJ116">
        <v>2.1993599999999999E-2</v>
      </c>
      <c r="EK116">
        <v>0</v>
      </c>
      <c r="EL116">
        <v>703.09299999999996</v>
      </c>
      <c r="EM116">
        <v>5.00082</v>
      </c>
      <c r="EN116">
        <v>17278.2</v>
      </c>
      <c r="EO116">
        <v>14131.3</v>
      </c>
      <c r="EP116">
        <v>48.25</v>
      </c>
      <c r="EQ116">
        <v>49.875</v>
      </c>
      <c r="ER116">
        <v>49.125</v>
      </c>
      <c r="ES116">
        <v>49.375</v>
      </c>
      <c r="ET116">
        <v>49.625</v>
      </c>
      <c r="EU116">
        <v>1755.71</v>
      </c>
      <c r="EV116">
        <v>39.479999999999997</v>
      </c>
      <c r="EW116">
        <v>0</v>
      </c>
      <c r="EX116">
        <v>157.20000004768369</v>
      </c>
      <c r="EY116">
        <v>0</v>
      </c>
      <c r="EZ116">
        <v>702.9956538461538</v>
      </c>
      <c r="FA116">
        <v>-4.6871810045354102E-2</v>
      </c>
      <c r="FB116">
        <v>-429.59316227419521</v>
      </c>
      <c r="FC116">
        <v>17322.992307692311</v>
      </c>
      <c r="FD116">
        <v>15</v>
      </c>
      <c r="FE116">
        <v>1689018649.0999999</v>
      </c>
      <c r="FF116" t="s">
        <v>930</v>
      </c>
      <c r="FG116">
        <v>1689018643.0999999</v>
      </c>
      <c r="FH116">
        <v>1689018649.0999999</v>
      </c>
      <c r="FI116">
        <v>111</v>
      </c>
      <c r="FJ116">
        <v>8.1000000000000003E-2</v>
      </c>
      <c r="FK116">
        <v>7.0000000000000001E-3</v>
      </c>
      <c r="FL116">
        <v>-1.351</v>
      </c>
      <c r="FM116">
        <v>2.1000000000000001E-2</v>
      </c>
      <c r="FN116">
        <v>400</v>
      </c>
      <c r="FO116">
        <v>21</v>
      </c>
      <c r="FP116">
        <v>0.02</v>
      </c>
      <c r="FQ116">
        <v>0.01</v>
      </c>
      <c r="FR116">
        <v>55.764629298074738</v>
      </c>
      <c r="FS116">
        <v>3.5707554393647742E-2</v>
      </c>
      <c r="FT116">
        <v>3.5224057771147052E-2</v>
      </c>
      <c r="FU116">
        <v>1</v>
      </c>
      <c r="FV116">
        <v>0.51329673975104906</v>
      </c>
      <c r="FW116">
        <v>-4.4440289445245737E-2</v>
      </c>
      <c r="FX116">
        <v>3.3233397665625311E-3</v>
      </c>
      <c r="FY116">
        <v>1</v>
      </c>
      <c r="FZ116">
        <v>2</v>
      </c>
      <c r="GA116">
        <v>2</v>
      </c>
      <c r="GB116" t="s">
        <v>423</v>
      </c>
      <c r="GC116">
        <v>2.9447399999999999</v>
      </c>
      <c r="GD116">
        <v>2.70858</v>
      </c>
      <c r="GE116">
        <v>7.5554700000000002E-2</v>
      </c>
      <c r="GF116">
        <v>8.7644600000000003E-2</v>
      </c>
      <c r="GG116">
        <v>0.12684200000000001</v>
      </c>
      <c r="GH116">
        <v>0.100232</v>
      </c>
      <c r="GI116">
        <v>30378.6</v>
      </c>
      <c r="GJ116">
        <v>29254.7</v>
      </c>
      <c r="GK116">
        <v>33861.5</v>
      </c>
      <c r="GL116">
        <v>32108.6</v>
      </c>
      <c r="GM116">
        <v>42684.1</v>
      </c>
      <c r="GN116">
        <v>41111.199999999997</v>
      </c>
      <c r="GO116">
        <v>49039.9</v>
      </c>
      <c r="GP116">
        <v>45455.7</v>
      </c>
      <c r="GQ116">
        <v>1.9770700000000001</v>
      </c>
      <c r="GR116">
        <v>1.7572000000000001</v>
      </c>
      <c r="GS116">
        <v>-1.5571700000000001E-2</v>
      </c>
      <c r="GT116">
        <v>0</v>
      </c>
      <c r="GU116">
        <v>30.195900000000002</v>
      </c>
      <c r="GV116">
        <v>999.9</v>
      </c>
      <c r="GW116">
        <v>29.4</v>
      </c>
      <c r="GX116">
        <v>45.8</v>
      </c>
      <c r="GY116">
        <v>29.799900000000001</v>
      </c>
      <c r="GZ116">
        <v>60.497199999999999</v>
      </c>
      <c r="HA116">
        <v>25.372599999999998</v>
      </c>
      <c r="HB116">
        <v>1</v>
      </c>
      <c r="HC116">
        <v>0.476966</v>
      </c>
      <c r="HD116">
        <v>2.7907600000000001</v>
      </c>
      <c r="HE116">
        <v>20.201599999999999</v>
      </c>
      <c r="HF116">
        <v>5.2697000000000003</v>
      </c>
      <c r="HG116">
        <v>12.039899999999999</v>
      </c>
      <c r="HH116">
        <v>4.9657499999999999</v>
      </c>
      <c r="HI116">
        <v>3.3010000000000002</v>
      </c>
      <c r="HJ116">
        <v>9999</v>
      </c>
      <c r="HK116">
        <v>9999</v>
      </c>
      <c r="HL116">
        <v>9999</v>
      </c>
      <c r="HM116">
        <v>999.9</v>
      </c>
      <c r="HN116">
        <v>1.86846</v>
      </c>
      <c r="HO116">
        <v>1.8721099999999999</v>
      </c>
      <c r="HP116">
        <v>1.87195</v>
      </c>
      <c r="HQ116">
        <v>1.87147</v>
      </c>
      <c r="HR116">
        <v>1.86463</v>
      </c>
      <c r="HS116">
        <v>1.8658399999999999</v>
      </c>
      <c r="HT116">
        <v>1.8678300000000001</v>
      </c>
      <c r="HU116">
        <v>1.8724099999999999</v>
      </c>
      <c r="HV116">
        <v>0</v>
      </c>
      <c r="HW116">
        <v>0</v>
      </c>
      <c r="HX116">
        <v>0</v>
      </c>
      <c r="HY116">
        <v>0</v>
      </c>
      <c r="HZ116" t="s">
        <v>424</v>
      </c>
      <c r="IA116" t="s">
        <v>425</v>
      </c>
      <c r="IB116" t="s">
        <v>426</v>
      </c>
      <c r="IC116" t="s">
        <v>426</v>
      </c>
      <c r="ID116" t="s">
        <v>426</v>
      </c>
      <c r="IE116" t="s">
        <v>426</v>
      </c>
      <c r="IF116">
        <v>0</v>
      </c>
      <c r="IG116">
        <v>100</v>
      </c>
      <c r="IH116">
        <v>100</v>
      </c>
      <c r="II116">
        <v>-1.282</v>
      </c>
      <c r="IJ116">
        <v>2.0500000000000001E-2</v>
      </c>
      <c r="IK116">
        <v>-0.92339695569242108</v>
      </c>
      <c r="IL116">
        <v>-1.171017271736434E-3</v>
      </c>
      <c r="IM116">
        <v>2.801297040296544E-7</v>
      </c>
      <c r="IN116">
        <v>-3.6238253961199429E-11</v>
      </c>
      <c r="IO116">
        <v>2.056500000000128E-2</v>
      </c>
      <c r="IP116">
        <v>0</v>
      </c>
      <c r="IQ116">
        <v>0</v>
      </c>
      <c r="IR116">
        <v>0</v>
      </c>
      <c r="IS116">
        <v>0</v>
      </c>
      <c r="IT116">
        <v>2161</v>
      </c>
      <c r="IU116">
        <v>1</v>
      </c>
      <c r="IV116">
        <v>19</v>
      </c>
      <c r="IW116">
        <v>1.3</v>
      </c>
      <c r="IX116">
        <v>1.2</v>
      </c>
      <c r="IY116">
        <v>1.03271</v>
      </c>
      <c r="IZ116">
        <v>2.5390600000000001</v>
      </c>
      <c r="JA116">
        <v>1.4440900000000001</v>
      </c>
      <c r="JB116">
        <v>2.2790499999999998</v>
      </c>
      <c r="JC116">
        <v>1.54419</v>
      </c>
      <c r="JD116">
        <v>2.34497</v>
      </c>
      <c r="JE116">
        <v>47.541699999999999</v>
      </c>
      <c r="JF116">
        <v>24.078700000000001</v>
      </c>
      <c r="JG116">
        <v>18</v>
      </c>
      <c r="JH116">
        <v>512.41499999999996</v>
      </c>
      <c r="JI116">
        <v>409.49900000000002</v>
      </c>
      <c r="JJ116">
        <v>26.097300000000001</v>
      </c>
      <c r="JK116">
        <v>33.323300000000003</v>
      </c>
      <c r="JL116">
        <v>30.0001</v>
      </c>
      <c r="JM116">
        <v>33.142499999999998</v>
      </c>
      <c r="JN116">
        <v>33.097799999999999</v>
      </c>
      <c r="JO116">
        <v>20.779</v>
      </c>
      <c r="JP116">
        <v>38.420299999999997</v>
      </c>
      <c r="JQ116">
        <v>0</v>
      </c>
      <c r="JR116">
        <v>26.1309</v>
      </c>
      <c r="JS116">
        <v>400</v>
      </c>
      <c r="JT116">
        <v>20.262599999999999</v>
      </c>
      <c r="JU116">
        <v>99.391199999999998</v>
      </c>
      <c r="JV116">
        <v>98.990099999999998</v>
      </c>
    </row>
    <row r="117" spans="1:282" x14ac:dyDescent="0.25">
      <c r="A117">
        <v>101</v>
      </c>
      <c r="B117">
        <v>1689018890.5999999</v>
      </c>
      <c r="C117">
        <v>19713.599999904629</v>
      </c>
      <c r="D117" t="s">
        <v>931</v>
      </c>
      <c r="E117" t="s">
        <v>932</v>
      </c>
      <c r="F117" t="s">
        <v>414</v>
      </c>
      <c r="G117" t="s">
        <v>415</v>
      </c>
      <c r="H117" t="s">
        <v>416</v>
      </c>
      <c r="I117" t="s">
        <v>500</v>
      </c>
      <c r="J117" t="s">
        <v>501</v>
      </c>
      <c r="K117">
        <v>1689018890.5999999</v>
      </c>
      <c r="L117">
        <f t="shared" si="138"/>
        <v>6.6458496024198567E-3</v>
      </c>
      <c r="M117">
        <f t="shared" si="139"/>
        <v>6.6458496024198563</v>
      </c>
      <c r="N117">
        <f t="shared" si="140"/>
        <v>58.757637059799372</v>
      </c>
      <c r="O117">
        <f t="shared" si="141"/>
        <v>426.07600000000002</v>
      </c>
      <c r="P117">
        <f t="shared" si="142"/>
        <v>206.70142233695296</v>
      </c>
      <c r="Q117">
        <f t="shared" si="143"/>
        <v>20.499276657619045</v>
      </c>
      <c r="R117">
        <f t="shared" si="144"/>
        <v>42.255392838727602</v>
      </c>
      <c r="S117">
        <f t="shared" si="145"/>
        <v>0.47837141640840825</v>
      </c>
      <c r="T117">
        <f t="shared" si="146"/>
        <v>2.91149419329559</v>
      </c>
      <c r="U117">
        <f t="shared" si="147"/>
        <v>0.4386076666477764</v>
      </c>
      <c r="V117">
        <f t="shared" si="148"/>
        <v>0.27742644338492212</v>
      </c>
      <c r="W117">
        <f t="shared" si="149"/>
        <v>289.55108895806427</v>
      </c>
      <c r="X117">
        <f t="shared" si="150"/>
        <v>30.248205228449056</v>
      </c>
      <c r="Y117">
        <f t="shared" si="151"/>
        <v>30.009699999999999</v>
      </c>
      <c r="Z117">
        <f t="shared" si="152"/>
        <v>4.2628241012151129</v>
      </c>
      <c r="AA117">
        <f t="shared" si="153"/>
        <v>65.031443460180085</v>
      </c>
      <c r="AB117">
        <f t="shared" si="154"/>
        <v>2.8137468564771999</v>
      </c>
      <c r="AC117">
        <f t="shared" si="155"/>
        <v>4.3267482724723889</v>
      </c>
      <c r="AD117">
        <f t="shared" si="156"/>
        <v>1.449077244737913</v>
      </c>
      <c r="AE117">
        <f t="shared" si="157"/>
        <v>-293.0819674667157</v>
      </c>
      <c r="AF117">
        <f t="shared" si="158"/>
        <v>40.716584801758579</v>
      </c>
      <c r="AG117">
        <f t="shared" si="159"/>
        <v>3.1138225717722507</v>
      </c>
      <c r="AH117">
        <f t="shared" si="160"/>
        <v>40.299528864879385</v>
      </c>
      <c r="AI117">
        <v>0</v>
      </c>
      <c r="AJ117">
        <v>0</v>
      </c>
      <c r="AK117">
        <f t="shared" si="161"/>
        <v>1</v>
      </c>
      <c r="AL117">
        <f t="shared" si="162"/>
        <v>0</v>
      </c>
      <c r="AM117">
        <f t="shared" si="163"/>
        <v>51772.790104029547</v>
      </c>
      <c r="AN117" t="s">
        <v>418</v>
      </c>
      <c r="AO117">
        <v>10076.700000000001</v>
      </c>
      <c r="AP117">
        <v>185.01599999999999</v>
      </c>
      <c r="AQ117">
        <v>473.06</v>
      </c>
      <c r="AR117">
        <f t="shared" si="164"/>
        <v>0.60889527755464423</v>
      </c>
      <c r="AS117">
        <v>-1.4827006201179751</v>
      </c>
      <c r="AT117" t="s">
        <v>933</v>
      </c>
      <c r="AU117">
        <v>8084.68</v>
      </c>
      <c r="AV117">
        <v>713.78360000000021</v>
      </c>
      <c r="AW117">
        <v>1170.4271626356999</v>
      </c>
      <c r="AX117">
        <f t="shared" si="165"/>
        <v>0.39015120053039287</v>
      </c>
      <c r="AY117">
        <v>0.5</v>
      </c>
      <c r="AZ117">
        <f t="shared" si="166"/>
        <v>1513.100999460137</v>
      </c>
      <c r="BA117">
        <f t="shared" si="167"/>
        <v>58.757637059799372</v>
      </c>
      <c r="BB117">
        <f t="shared" si="168"/>
        <v>295.1690857315549</v>
      </c>
      <c r="BC117">
        <f t="shared" si="169"/>
        <v>3.9812502735382928E-2</v>
      </c>
      <c r="BD117">
        <f t="shared" si="170"/>
        <v>-0.59582277727158173</v>
      </c>
      <c r="BE117">
        <f t="shared" si="171"/>
        <v>241.22949184371424</v>
      </c>
      <c r="BF117" t="s">
        <v>934</v>
      </c>
      <c r="BG117">
        <v>547.23</v>
      </c>
      <c r="BH117">
        <f t="shared" si="172"/>
        <v>547.23</v>
      </c>
      <c r="BI117">
        <f t="shared" si="173"/>
        <v>0.53245275103861589</v>
      </c>
      <c r="BJ117">
        <f t="shared" si="174"/>
        <v>0.73274332749592153</v>
      </c>
      <c r="BK117">
        <f t="shared" si="175"/>
        <v>9.4022807420210306</v>
      </c>
      <c r="BL117">
        <f t="shared" si="176"/>
        <v>0.46340408953183115</v>
      </c>
      <c r="BM117">
        <f t="shared" si="177"/>
        <v>-2.4210438774482372</v>
      </c>
      <c r="BN117">
        <f t="shared" si="178"/>
        <v>0.56176568235189628</v>
      </c>
      <c r="BO117">
        <f t="shared" si="179"/>
        <v>0.43823431764810372</v>
      </c>
      <c r="BP117">
        <v>9255</v>
      </c>
      <c r="BQ117">
        <v>290.00000000000011</v>
      </c>
      <c r="BR117">
        <v>1014.24</v>
      </c>
      <c r="BS117">
        <v>295</v>
      </c>
      <c r="BT117">
        <v>8084.68</v>
      </c>
      <c r="BU117">
        <v>1018.18</v>
      </c>
      <c r="BV117">
        <v>-3.94</v>
      </c>
      <c r="BW117">
        <v>300.00000000000011</v>
      </c>
      <c r="BX117">
        <v>19.2</v>
      </c>
      <c r="BY117">
        <v>1170.4271626356999</v>
      </c>
      <c r="BZ117">
        <v>5.7852096286909349</v>
      </c>
      <c r="CA117">
        <v>-123.0891994433225</v>
      </c>
      <c r="CB117">
        <v>4.2977028066293608</v>
      </c>
      <c r="CC117">
        <v>0.96699239924743852</v>
      </c>
      <c r="CD117">
        <v>-4.165515461624027E-3</v>
      </c>
      <c r="CE117">
        <v>289.99999999999989</v>
      </c>
      <c r="CF117">
        <v>1010.48</v>
      </c>
      <c r="CG117">
        <v>655</v>
      </c>
      <c r="CH117">
        <v>8077.43</v>
      </c>
      <c r="CI117">
        <v>1018.04</v>
      </c>
      <c r="CJ117">
        <v>-7.56</v>
      </c>
      <c r="CX117">
        <f t="shared" si="180"/>
        <v>1799.9</v>
      </c>
      <c r="CY117">
        <f t="shared" si="181"/>
        <v>1513.100999460137</v>
      </c>
      <c r="CZ117">
        <f t="shared" si="182"/>
        <v>0.8406583696094988</v>
      </c>
      <c r="DA117">
        <f t="shared" si="183"/>
        <v>0.16087065334633271</v>
      </c>
      <c r="DB117">
        <v>6</v>
      </c>
      <c r="DC117">
        <v>0.5</v>
      </c>
      <c r="DD117" t="s">
        <v>421</v>
      </c>
      <c r="DE117">
        <v>2</v>
      </c>
      <c r="DF117">
        <v>1689018890.5999999</v>
      </c>
      <c r="DG117">
        <v>426.07600000000002</v>
      </c>
      <c r="DH117">
        <v>499.97500000000002</v>
      </c>
      <c r="DI117">
        <v>28.372</v>
      </c>
      <c r="DJ117">
        <v>20.624099999999999</v>
      </c>
      <c r="DK117">
        <v>427.517</v>
      </c>
      <c r="DL117">
        <v>28.3598</v>
      </c>
      <c r="DM117">
        <v>500.05500000000001</v>
      </c>
      <c r="DN117">
        <v>99.073400000000007</v>
      </c>
      <c r="DO117">
        <v>9.9970100000000006E-2</v>
      </c>
      <c r="DP117">
        <v>30.269100000000002</v>
      </c>
      <c r="DQ117">
        <v>30.009699999999999</v>
      </c>
      <c r="DR117">
        <v>999.9</v>
      </c>
      <c r="DS117">
        <v>0</v>
      </c>
      <c r="DT117">
        <v>0</v>
      </c>
      <c r="DU117">
        <v>9990</v>
      </c>
      <c r="DV117">
        <v>0</v>
      </c>
      <c r="DW117">
        <v>1600.31</v>
      </c>
      <c r="DX117">
        <v>-73.898899999999998</v>
      </c>
      <c r="DY117">
        <v>438.517</v>
      </c>
      <c r="DZ117">
        <v>510.50299999999999</v>
      </c>
      <c r="EA117">
        <v>7.7479199999999997</v>
      </c>
      <c r="EB117">
        <v>499.97500000000002</v>
      </c>
      <c r="EC117">
        <v>20.624099999999999</v>
      </c>
      <c r="ED117">
        <v>2.8109099999999998</v>
      </c>
      <c r="EE117">
        <v>2.0432999999999999</v>
      </c>
      <c r="EF117">
        <v>22.9483</v>
      </c>
      <c r="EG117">
        <v>17.783899999999999</v>
      </c>
      <c r="EH117">
        <v>1799.9</v>
      </c>
      <c r="EI117">
        <v>0.977993</v>
      </c>
      <c r="EJ117">
        <v>2.2007100000000002E-2</v>
      </c>
      <c r="EK117">
        <v>0</v>
      </c>
      <c r="EL117">
        <v>713.54200000000003</v>
      </c>
      <c r="EM117">
        <v>5.00082</v>
      </c>
      <c r="EN117">
        <v>17388.8</v>
      </c>
      <c r="EO117">
        <v>14128.9</v>
      </c>
      <c r="EP117">
        <v>48.936999999999998</v>
      </c>
      <c r="EQ117">
        <v>50.686999999999998</v>
      </c>
      <c r="ER117">
        <v>49.875</v>
      </c>
      <c r="ES117">
        <v>50.186999999999998</v>
      </c>
      <c r="ET117">
        <v>50.25</v>
      </c>
      <c r="EU117">
        <v>1755.4</v>
      </c>
      <c r="EV117">
        <v>39.5</v>
      </c>
      <c r="EW117">
        <v>0</v>
      </c>
      <c r="EX117">
        <v>166.80000019073489</v>
      </c>
      <c r="EY117">
        <v>0</v>
      </c>
      <c r="EZ117">
        <v>713.78360000000021</v>
      </c>
      <c r="FA117">
        <v>-0.90953845641564401</v>
      </c>
      <c r="FB117">
        <v>-35.62307676523217</v>
      </c>
      <c r="FC117">
        <v>17388.511999999999</v>
      </c>
      <c r="FD117">
        <v>15</v>
      </c>
      <c r="FE117">
        <v>1689018836.0999999</v>
      </c>
      <c r="FF117" t="s">
        <v>935</v>
      </c>
      <c r="FG117">
        <v>1689018829.0999999</v>
      </c>
      <c r="FH117">
        <v>1689018836.0999999</v>
      </c>
      <c r="FI117">
        <v>112</v>
      </c>
      <c r="FJ117">
        <v>-6.6000000000000003E-2</v>
      </c>
      <c r="FK117">
        <v>-8.0000000000000002E-3</v>
      </c>
      <c r="FL117">
        <v>-1.5109999999999999</v>
      </c>
      <c r="FM117">
        <v>1.2E-2</v>
      </c>
      <c r="FN117">
        <v>500</v>
      </c>
      <c r="FO117">
        <v>21</v>
      </c>
      <c r="FP117">
        <v>0.02</v>
      </c>
      <c r="FQ117">
        <v>0.01</v>
      </c>
      <c r="FR117">
        <v>58.684381093133958</v>
      </c>
      <c r="FS117">
        <v>0.45279048798632571</v>
      </c>
      <c r="FT117">
        <v>5.3803161900496173E-2</v>
      </c>
      <c r="FU117">
        <v>1</v>
      </c>
      <c r="FV117">
        <v>0.48210399406424542</v>
      </c>
      <c r="FW117">
        <v>-3.3976149610241722E-2</v>
      </c>
      <c r="FX117">
        <v>2.5199669145267601E-3</v>
      </c>
      <c r="FY117">
        <v>1</v>
      </c>
      <c r="FZ117">
        <v>2</v>
      </c>
      <c r="GA117">
        <v>2</v>
      </c>
      <c r="GB117" t="s">
        <v>423</v>
      </c>
      <c r="GC117">
        <v>2.9441700000000002</v>
      </c>
      <c r="GD117">
        <v>2.7085400000000002</v>
      </c>
      <c r="GE117">
        <v>9.1982700000000001E-2</v>
      </c>
      <c r="GF117">
        <v>0.10349</v>
      </c>
      <c r="GG117">
        <v>0.12686600000000001</v>
      </c>
      <c r="GH117">
        <v>0.101519</v>
      </c>
      <c r="GI117">
        <v>29818.5</v>
      </c>
      <c r="GJ117">
        <v>28726.6</v>
      </c>
      <c r="GK117">
        <v>33839.9</v>
      </c>
      <c r="GL117">
        <v>32087.599999999999</v>
      </c>
      <c r="GM117">
        <v>42659.3</v>
      </c>
      <c r="GN117">
        <v>41027.4</v>
      </c>
      <c r="GO117">
        <v>49011.1</v>
      </c>
      <c r="GP117">
        <v>45427</v>
      </c>
      <c r="GQ117">
        <v>1.9732700000000001</v>
      </c>
      <c r="GR117">
        <v>1.75478</v>
      </c>
      <c r="GS117">
        <v>-2.4098899999999999E-2</v>
      </c>
      <c r="GT117">
        <v>0</v>
      </c>
      <c r="GU117">
        <v>30.401700000000002</v>
      </c>
      <c r="GV117">
        <v>999.9</v>
      </c>
      <c r="GW117">
        <v>29.9</v>
      </c>
      <c r="GX117">
        <v>45.8</v>
      </c>
      <c r="GY117">
        <v>30.310600000000001</v>
      </c>
      <c r="GZ117">
        <v>60.397300000000001</v>
      </c>
      <c r="HA117">
        <v>25.568899999999999</v>
      </c>
      <c r="HB117">
        <v>1</v>
      </c>
      <c r="HC117">
        <v>0.50626300000000002</v>
      </c>
      <c r="HD117">
        <v>3.5134099999999999</v>
      </c>
      <c r="HE117">
        <v>20.1874</v>
      </c>
      <c r="HF117">
        <v>5.2698499999999999</v>
      </c>
      <c r="HG117">
        <v>12.039899999999999</v>
      </c>
      <c r="HH117">
        <v>4.9657999999999998</v>
      </c>
      <c r="HI117">
        <v>3.3010000000000002</v>
      </c>
      <c r="HJ117">
        <v>9999</v>
      </c>
      <c r="HK117">
        <v>9999</v>
      </c>
      <c r="HL117">
        <v>9999</v>
      </c>
      <c r="HM117">
        <v>999.9</v>
      </c>
      <c r="HN117">
        <v>1.8685700000000001</v>
      </c>
      <c r="HO117">
        <v>1.8722300000000001</v>
      </c>
      <c r="HP117">
        <v>1.8720000000000001</v>
      </c>
      <c r="HQ117">
        <v>1.87151</v>
      </c>
      <c r="HR117">
        <v>1.86476</v>
      </c>
      <c r="HS117">
        <v>1.8659300000000001</v>
      </c>
      <c r="HT117">
        <v>1.86791</v>
      </c>
      <c r="HU117">
        <v>1.8724700000000001</v>
      </c>
      <c r="HV117">
        <v>0</v>
      </c>
      <c r="HW117">
        <v>0</v>
      </c>
      <c r="HX117">
        <v>0</v>
      </c>
      <c r="HY117">
        <v>0</v>
      </c>
      <c r="HZ117" t="s">
        <v>424</v>
      </c>
      <c r="IA117" t="s">
        <v>425</v>
      </c>
      <c r="IB117" t="s">
        <v>426</v>
      </c>
      <c r="IC117" t="s">
        <v>426</v>
      </c>
      <c r="ID117" t="s">
        <v>426</v>
      </c>
      <c r="IE117" t="s">
        <v>426</v>
      </c>
      <c r="IF117">
        <v>0</v>
      </c>
      <c r="IG117">
        <v>100</v>
      </c>
      <c r="IH117">
        <v>100</v>
      </c>
      <c r="II117">
        <v>-1.4410000000000001</v>
      </c>
      <c r="IJ117">
        <v>1.2200000000000001E-2</v>
      </c>
      <c r="IK117">
        <v>-0.9893303586702944</v>
      </c>
      <c r="IL117">
        <v>-1.171017271736434E-3</v>
      </c>
      <c r="IM117">
        <v>2.801297040296544E-7</v>
      </c>
      <c r="IN117">
        <v>-3.6238253961199429E-11</v>
      </c>
      <c r="IO117">
        <v>1.2164999999995979E-2</v>
      </c>
      <c r="IP117">
        <v>0</v>
      </c>
      <c r="IQ117">
        <v>0</v>
      </c>
      <c r="IR117">
        <v>0</v>
      </c>
      <c r="IS117">
        <v>0</v>
      </c>
      <c r="IT117">
        <v>2161</v>
      </c>
      <c r="IU117">
        <v>1</v>
      </c>
      <c r="IV117">
        <v>19</v>
      </c>
      <c r="IW117">
        <v>1</v>
      </c>
      <c r="IX117">
        <v>0.9</v>
      </c>
      <c r="IY117">
        <v>1.2353499999999999</v>
      </c>
      <c r="IZ117">
        <v>2.5146500000000001</v>
      </c>
      <c r="JA117">
        <v>1.4440900000000001</v>
      </c>
      <c r="JB117">
        <v>2.2802699999999998</v>
      </c>
      <c r="JC117">
        <v>1.54419</v>
      </c>
      <c r="JD117">
        <v>2.4365199999999998</v>
      </c>
      <c r="JE117">
        <v>47.783099999999997</v>
      </c>
      <c r="JF117">
        <v>24.07</v>
      </c>
      <c r="JG117">
        <v>18</v>
      </c>
      <c r="JH117">
        <v>511.27300000000002</v>
      </c>
      <c r="JI117">
        <v>409.125</v>
      </c>
      <c r="JJ117">
        <v>25.7697</v>
      </c>
      <c r="JK117">
        <v>33.584000000000003</v>
      </c>
      <c r="JL117">
        <v>30.001000000000001</v>
      </c>
      <c r="JM117">
        <v>33.3155</v>
      </c>
      <c r="JN117">
        <v>33.262500000000003</v>
      </c>
      <c r="JO117">
        <v>24.865300000000001</v>
      </c>
      <c r="JP117">
        <v>38.888300000000001</v>
      </c>
      <c r="JQ117">
        <v>0</v>
      </c>
      <c r="JR117">
        <v>25.758800000000001</v>
      </c>
      <c r="JS117">
        <v>500</v>
      </c>
      <c r="JT117">
        <v>20.560300000000002</v>
      </c>
      <c r="JU117">
        <v>99.330699999999993</v>
      </c>
      <c r="JV117">
        <v>98.926699999999997</v>
      </c>
    </row>
    <row r="118" spans="1:282" x14ac:dyDescent="0.25">
      <c r="A118">
        <v>102</v>
      </c>
      <c r="B118">
        <v>1689019014</v>
      </c>
      <c r="C118">
        <v>19837</v>
      </c>
      <c r="D118" t="s">
        <v>936</v>
      </c>
      <c r="E118" t="s">
        <v>937</v>
      </c>
      <c r="F118" t="s">
        <v>414</v>
      </c>
      <c r="G118" t="s">
        <v>415</v>
      </c>
      <c r="H118" t="s">
        <v>416</v>
      </c>
      <c r="I118" t="s">
        <v>500</v>
      </c>
      <c r="J118" t="s">
        <v>501</v>
      </c>
      <c r="K118">
        <v>1689019014</v>
      </c>
      <c r="L118">
        <f t="shared" si="138"/>
        <v>6.3087221391806324E-3</v>
      </c>
      <c r="M118">
        <f t="shared" si="139"/>
        <v>6.3087221391806327</v>
      </c>
      <c r="N118">
        <f t="shared" si="140"/>
        <v>60.064342873694613</v>
      </c>
      <c r="O118">
        <f t="shared" si="141"/>
        <v>623.18499999999995</v>
      </c>
      <c r="P118">
        <f t="shared" si="142"/>
        <v>384.43156374106445</v>
      </c>
      <c r="Q118">
        <f t="shared" si="143"/>
        <v>38.125523254449462</v>
      </c>
      <c r="R118">
        <f t="shared" si="144"/>
        <v>61.803599002414991</v>
      </c>
      <c r="S118">
        <f t="shared" si="145"/>
        <v>0.45510023257403825</v>
      </c>
      <c r="T118">
        <f t="shared" si="146"/>
        <v>2.9167445646549561</v>
      </c>
      <c r="U118">
        <f t="shared" si="147"/>
        <v>0.41901418443867472</v>
      </c>
      <c r="V118">
        <f t="shared" si="148"/>
        <v>0.26488720047926395</v>
      </c>
      <c r="W118">
        <f t="shared" si="149"/>
        <v>289.53774195828174</v>
      </c>
      <c r="X118">
        <f t="shared" si="150"/>
        <v>30.337694844464604</v>
      </c>
      <c r="Y118">
        <f t="shared" si="151"/>
        <v>30.009799999999998</v>
      </c>
      <c r="Z118">
        <f t="shared" si="152"/>
        <v>4.2628485848357309</v>
      </c>
      <c r="AA118">
        <f t="shared" si="153"/>
        <v>65.239423352404003</v>
      </c>
      <c r="AB118">
        <f t="shared" si="154"/>
        <v>2.8230207194385999</v>
      </c>
      <c r="AC118">
        <f t="shared" si="155"/>
        <v>4.3271699447579106</v>
      </c>
      <c r="AD118">
        <f t="shared" si="156"/>
        <v>1.439827865397131</v>
      </c>
      <c r="AE118">
        <f t="shared" si="157"/>
        <v>-278.21464633786587</v>
      </c>
      <c r="AF118">
        <f t="shared" si="158"/>
        <v>41.041606105086395</v>
      </c>
      <c r="AG118">
        <f t="shared" si="159"/>
        <v>3.1330567914949992</v>
      </c>
      <c r="AH118">
        <f t="shared" si="160"/>
        <v>55.497758516997258</v>
      </c>
      <c r="AI118">
        <v>0</v>
      </c>
      <c r="AJ118">
        <v>0</v>
      </c>
      <c r="AK118">
        <f t="shared" si="161"/>
        <v>1</v>
      </c>
      <c r="AL118">
        <f t="shared" si="162"/>
        <v>0</v>
      </c>
      <c r="AM118">
        <f t="shared" si="163"/>
        <v>51921.747646023723</v>
      </c>
      <c r="AN118" t="s">
        <v>418</v>
      </c>
      <c r="AO118">
        <v>10076.700000000001</v>
      </c>
      <c r="AP118">
        <v>185.01599999999999</v>
      </c>
      <c r="AQ118">
        <v>473.06</v>
      </c>
      <c r="AR118">
        <f t="shared" si="164"/>
        <v>0.60889527755464423</v>
      </c>
      <c r="AS118">
        <v>-1.4827006201179751</v>
      </c>
      <c r="AT118" t="s">
        <v>938</v>
      </c>
      <c r="AU118">
        <v>8082.81</v>
      </c>
      <c r="AV118">
        <v>715.75492307692309</v>
      </c>
      <c r="AW118">
        <v>1187.873799903135</v>
      </c>
      <c r="AX118">
        <f t="shared" si="165"/>
        <v>0.39744868256603583</v>
      </c>
      <c r="AY118">
        <v>0.5</v>
      </c>
      <c r="AZ118">
        <f t="shared" si="166"/>
        <v>1513.0334994602495</v>
      </c>
      <c r="BA118">
        <f t="shared" si="167"/>
        <v>60.064342873694613</v>
      </c>
      <c r="BB118">
        <f t="shared" si="168"/>
        <v>300.67658551937751</v>
      </c>
      <c r="BC118">
        <f t="shared" si="169"/>
        <v>4.0677911966766442E-2</v>
      </c>
      <c r="BD118">
        <f t="shared" si="170"/>
        <v>-0.6017590420475849</v>
      </c>
      <c r="BE118">
        <f t="shared" si="171"/>
        <v>241.9619359500804</v>
      </c>
      <c r="BF118" t="s">
        <v>939</v>
      </c>
      <c r="BG118">
        <v>547.11</v>
      </c>
      <c r="BH118">
        <f t="shared" si="172"/>
        <v>547.11</v>
      </c>
      <c r="BI118">
        <f t="shared" si="173"/>
        <v>0.53942077008128808</v>
      </c>
      <c r="BJ118">
        <f t="shared" si="174"/>
        <v>0.73680641274925751</v>
      </c>
      <c r="BK118">
        <f t="shared" si="175"/>
        <v>9.6531235638505741</v>
      </c>
      <c r="BL118">
        <f t="shared" si="176"/>
        <v>0.4707735003624775</v>
      </c>
      <c r="BM118">
        <f t="shared" si="177"/>
        <v>-2.4816132254208911</v>
      </c>
      <c r="BN118">
        <f t="shared" si="178"/>
        <v>0.56320137449606211</v>
      </c>
      <c r="BO118">
        <f t="shared" si="179"/>
        <v>0.43679862550393789</v>
      </c>
      <c r="BP118">
        <v>9257</v>
      </c>
      <c r="BQ118">
        <v>290.00000000000011</v>
      </c>
      <c r="BR118">
        <v>1025.02</v>
      </c>
      <c r="BS118">
        <v>285</v>
      </c>
      <c r="BT118">
        <v>8082.81</v>
      </c>
      <c r="BU118">
        <v>1028.28</v>
      </c>
      <c r="BV118">
        <v>-3.26</v>
      </c>
      <c r="BW118">
        <v>300.00000000000011</v>
      </c>
      <c r="BX118">
        <v>19.2</v>
      </c>
      <c r="BY118">
        <v>1187.873799903135</v>
      </c>
      <c r="BZ118">
        <v>4.8776054950976926</v>
      </c>
      <c r="CA118">
        <v>-128.99985706632091</v>
      </c>
      <c r="CB118">
        <v>3.6225859292437441</v>
      </c>
      <c r="CC118">
        <v>0.97839612338586812</v>
      </c>
      <c r="CD118">
        <v>-4.1646921023359273E-3</v>
      </c>
      <c r="CE118">
        <v>289.99999999999989</v>
      </c>
      <c r="CF118">
        <v>1019.72</v>
      </c>
      <c r="CG118">
        <v>635</v>
      </c>
      <c r="CH118">
        <v>8076</v>
      </c>
      <c r="CI118">
        <v>1028.1400000000001</v>
      </c>
      <c r="CJ118">
        <v>-8.42</v>
      </c>
      <c r="CX118">
        <f t="shared" si="180"/>
        <v>1799.82</v>
      </c>
      <c r="CY118">
        <f t="shared" si="181"/>
        <v>1513.0334994602495</v>
      </c>
      <c r="CZ118">
        <f t="shared" si="182"/>
        <v>0.84065823219002433</v>
      </c>
      <c r="DA118">
        <f t="shared" si="183"/>
        <v>0.16087038812674698</v>
      </c>
      <c r="DB118">
        <v>6</v>
      </c>
      <c r="DC118">
        <v>0.5</v>
      </c>
      <c r="DD118" t="s">
        <v>421</v>
      </c>
      <c r="DE118">
        <v>2</v>
      </c>
      <c r="DF118">
        <v>1689019014</v>
      </c>
      <c r="DG118">
        <v>623.18499999999995</v>
      </c>
      <c r="DH118">
        <v>699.94899999999996</v>
      </c>
      <c r="DI118">
        <v>28.465399999999999</v>
      </c>
      <c r="DJ118">
        <v>21.113399999999999</v>
      </c>
      <c r="DK118">
        <v>624.86099999999999</v>
      </c>
      <c r="DL118">
        <v>28.4575</v>
      </c>
      <c r="DM118">
        <v>500.202</v>
      </c>
      <c r="DN118">
        <v>99.073700000000002</v>
      </c>
      <c r="DO118">
        <v>0.100059</v>
      </c>
      <c r="DP118">
        <v>30.270800000000001</v>
      </c>
      <c r="DQ118">
        <v>30.009799999999998</v>
      </c>
      <c r="DR118">
        <v>999.9</v>
      </c>
      <c r="DS118">
        <v>0</v>
      </c>
      <c r="DT118">
        <v>0</v>
      </c>
      <c r="DU118">
        <v>10020</v>
      </c>
      <c r="DV118">
        <v>0</v>
      </c>
      <c r="DW118">
        <v>1573.95</v>
      </c>
      <c r="DX118">
        <v>-76.763999999999996</v>
      </c>
      <c r="DY118">
        <v>641.44399999999996</v>
      </c>
      <c r="DZ118">
        <v>715.04600000000005</v>
      </c>
      <c r="EA118">
        <v>7.3519500000000004</v>
      </c>
      <c r="EB118">
        <v>699.94899999999996</v>
      </c>
      <c r="EC118">
        <v>21.113399999999999</v>
      </c>
      <c r="ED118">
        <v>2.8201700000000001</v>
      </c>
      <c r="EE118">
        <v>2.09179</v>
      </c>
      <c r="EF118">
        <v>23.002600000000001</v>
      </c>
      <c r="EG118">
        <v>18.1568</v>
      </c>
      <c r="EH118">
        <v>1799.82</v>
      </c>
      <c r="EI118">
        <v>0.97799599999999998</v>
      </c>
      <c r="EJ118">
        <v>2.2003499999999999E-2</v>
      </c>
      <c r="EK118">
        <v>0</v>
      </c>
      <c r="EL118">
        <v>715.23299999999995</v>
      </c>
      <c r="EM118">
        <v>5.00082</v>
      </c>
      <c r="EN118">
        <v>17462.900000000001</v>
      </c>
      <c r="EO118">
        <v>14128.4</v>
      </c>
      <c r="EP118">
        <v>49.25</v>
      </c>
      <c r="EQ118">
        <v>51.061999999999998</v>
      </c>
      <c r="ER118">
        <v>50.311999999999998</v>
      </c>
      <c r="ES118">
        <v>50.561999999999998</v>
      </c>
      <c r="ET118">
        <v>50.625</v>
      </c>
      <c r="EU118">
        <v>1755.33</v>
      </c>
      <c r="EV118">
        <v>39.49</v>
      </c>
      <c r="EW118">
        <v>0</v>
      </c>
      <c r="EX118">
        <v>121.80000019073491</v>
      </c>
      <c r="EY118">
        <v>0</v>
      </c>
      <c r="EZ118">
        <v>715.75492307692309</v>
      </c>
      <c r="FA118">
        <v>-1.7425641187758021</v>
      </c>
      <c r="FB118">
        <v>316.05128223165741</v>
      </c>
      <c r="FC118">
        <v>17494.803846153849</v>
      </c>
      <c r="FD118">
        <v>15</v>
      </c>
      <c r="FE118">
        <v>1689018974</v>
      </c>
      <c r="FF118" t="s">
        <v>940</v>
      </c>
      <c r="FG118">
        <v>1689018974</v>
      </c>
      <c r="FH118">
        <v>1689018969.5</v>
      </c>
      <c r="FI118">
        <v>113</v>
      </c>
      <c r="FJ118">
        <v>-5.5E-2</v>
      </c>
      <c r="FK118">
        <v>-4.0000000000000001E-3</v>
      </c>
      <c r="FL118">
        <v>-1.7410000000000001</v>
      </c>
      <c r="FM118">
        <v>8.0000000000000002E-3</v>
      </c>
      <c r="FN118">
        <v>700</v>
      </c>
      <c r="FO118">
        <v>21</v>
      </c>
      <c r="FP118">
        <v>0.05</v>
      </c>
      <c r="FQ118">
        <v>0.01</v>
      </c>
      <c r="FR118">
        <v>59.839764511527143</v>
      </c>
      <c r="FS118">
        <v>-0.53144666530679929</v>
      </c>
      <c r="FT118">
        <v>0.1197197876787687</v>
      </c>
      <c r="FU118">
        <v>1</v>
      </c>
      <c r="FV118">
        <v>0.45792883554256791</v>
      </c>
      <c r="FW118">
        <v>-3.1776094361945957E-2</v>
      </c>
      <c r="FX118">
        <v>2.625263999483166E-3</v>
      </c>
      <c r="FY118">
        <v>1</v>
      </c>
      <c r="FZ118">
        <v>2</v>
      </c>
      <c r="GA118">
        <v>2</v>
      </c>
      <c r="GB118" t="s">
        <v>423</v>
      </c>
      <c r="GC118">
        <v>2.94442</v>
      </c>
      <c r="GD118">
        <v>2.7088899999999998</v>
      </c>
      <c r="GE118">
        <v>0.121059</v>
      </c>
      <c r="GF118">
        <v>0.13109799999999999</v>
      </c>
      <c r="GG118">
        <v>0.12712799999999999</v>
      </c>
      <c r="GH118">
        <v>0.103186</v>
      </c>
      <c r="GI118">
        <v>28851.4</v>
      </c>
      <c r="GJ118">
        <v>27831.599999999999</v>
      </c>
      <c r="GK118">
        <v>33826.9</v>
      </c>
      <c r="GL118">
        <v>32077.200000000001</v>
      </c>
      <c r="GM118">
        <v>42633.7</v>
      </c>
      <c r="GN118">
        <v>40938.400000000001</v>
      </c>
      <c r="GO118">
        <v>48994.7</v>
      </c>
      <c r="GP118">
        <v>45411.7</v>
      </c>
      <c r="GQ118">
        <v>1.97065</v>
      </c>
      <c r="GR118">
        <v>1.75345</v>
      </c>
      <c r="GS118">
        <v>-2.33948E-2</v>
      </c>
      <c r="GT118">
        <v>0</v>
      </c>
      <c r="GU118">
        <v>30.3903</v>
      </c>
      <c r="GV118">
        <v>999.9</v>
      </c>
      <c r="GW118">
        <v>30.2</v>
      </c>
      <c r="GX118">
        <v>45.8</v>
      </c>
      <c r="GY118">
        <v>30.614999999999998</v>
      </c>
      <c r="GZ118">
        <v>60.027299999999997</v>
      </c>
      <c r="HA118">
        <v>25.272400000000001</v>
      </c>
      <c r="HB118">
        <v>1</v>
      </c>
      <c r="HC118">
        <v>0.52503599999999995</v>
      </c>
      <c r="HD118">
        <v>4.1799099999999996</v>
      </c>
      <c r="HE118">
        <v>20.172899999999998</v>
      </c>
      <c r="HF118">
        <v>5.2712000000000003</v>
      </c>
      <c r="HG118">
        <v>12.039899999999999</v>
      </c>
      <c r="HH118">
        <v>4.9657999999999998</v>
      </c>
      <c r="HI118">
        <v>3.3010000000000002</v>
      </c>
      <c r="HJ118">
        <v>9999</v>
      </c>
      <c r="HK118">
        <v>9999</v>
      </c>
      <c r="HL118">
        <v>9999</v>
      </c>
      <c r="HM118">
        <v>999.9</v>
      </c>
      <c r="HN118">
        <v>1.8686199999999999</v>
      </c>
      <c r="HO118">
        <v>1.8722700000000001</v>
      </c>
      <c r="HP118">
        <v>1.8721000000000001</v>
      </c>
      <c r="HQ118">
        <v>1.8715999999999999</v>
      </c>
      <c r="HR118">
        <v>1.8647800000000001</v>
      </c>
      <c r="HS118">
        <v>1.8660000000000001</v>
      </c>
      <c r="HT118">
        <v>1.86798</v>
      </c>
      <c r="HU118">
        <v>1.87256</v>
      </c>
      <c r="HV118">
        <v>0</v>
      </c>
      <c r="HW118">
        <v>0</v>
      </c>
      <c r="HX118">
        <v>0</v>
      </c>
      <c r="HY118">
        <v>0</v>
      </c>
      <c r="HZ118" t="s">
        <v>424</v>
      </c>
      <c r="IA118" t="s">
        <v>425</v>
      </c>
      <c r="IB118" t="s">
        <v>426</v>
      </c>
      <c r="IC118" t="s">
        <v>426</v>
      </c>
      <c r="ID118" t="s">
        <v>426</v>
      </c>
      <c r="IE118" t="s">
        <v>426</v>
      </c>
      <c r="IF118">
        <v>0</v>
      </c>
      <c r="IG118">
        <v>100</v>
      </c>
      <c r="IH118">
        <v>100</v>
      </c>
      <c r="II118">
        <v>-1.6759999999999999</v>
      </c>
      <c r="IJ118">
        <v>7.9000000000000008E-3</v>
      </c>
      <c r="IK118">
        <v>-1.0443858606800289</v>
      </c>
      <c r="IL118">
        <v>-1.171017271736434E-3</v>
      </c>
      <c r="IM118">
        <v>2.801297040296544E-7</v>
      </c>
      <c r="IN118">
        <v>-3.6238253961199429E-11</v>
      </c>
      <c r="IO118">
        <v>7.8952380952372891E-3</v>
      </c>
      <c r="IP118">
        <v>0</v>
      </c>
      <c r="IQ118">
        <v>0</v>
      </c>
      <c r="IR118">
        <v>0</v>
      </c>
      <c r="IS118">
        <v>0</v>
      </c>
      <c r="IT118">
        <v>2161</v>
      </c>
      <c r="IU118">
        <v>1</v>
      </c>
      <c r="IV118">
        <v>19</v>
      </c>
      <c r="IW118">
        <v>0.7</v>
      </c>
      <c r="IX118">
        <v>0.7</v>
      </c>
      <c r="IY118">
        <v>1.62598</v>
      </c>
      <c r="IZ118">
        <v>2.5097700000000001</v>
      </c>
      <c r="JA118">
        <v>1.4440900000000001</v>
      </c>
      <c r="JB118">
        <v>2.2790499999999998</v>
      </c>
      <c r="JC118">
        <v>1.54419</v>
      </c>
      <c r="JD118">
        <v>2.3803700000000001</v>
      </c>
      <c r="JE118">
        <v>48.0259</v>
      </c>
      <c r="JF118">
        <v>23.956199999999999</v>
      </c>
      <c r="JG118">
        <v>18</v>
      </c>
      <c r="JH118">
        <v>510.64800000000002</v>
      </c>
      <c r="JI118">
        <v>409.2</v>
      </c>
      <c r="JJ118">
        <v>25.2639</v>
      </c>
      <c r="JK118">
        <v>33.748399999999997</v>
      </c>
      <c r="JL118">
        <v>30.000699999999998</v>
      </c>
      <c r="JM118">
        <v>33.455399999999997</v>
      </c>
      <c r="JN118">
        <v>33.3947</v>
      </c>
      <c r="JO118">
        <v>32.687800000000003</v>
      </c>
      <c r="JP118">
        <v>37.906500000000001</v>
      </c>
      <c r="JQ118">
        <v>0</v>
      </c>
      <c r="JR118">
        <v>25.2363</v>
      </c>
      <c r="JS118">
        <v>700</v>
      </c>
      <c r="JT118">
        <v>21.103999999999999</v>
      </c>
      <c r="JU118">
        <v>99.295599999999993</v>
      </c>
      <c r="JV118">
        <v>98.893900000000002</v>
      </c>
    </row>
    <row r="119" spans="1:282" x14ac:dyDescent="0.25">
      <c r="A119">
        <v>103</v>
      </c>
      <c r="B119">
        <v>1689019152.5</v>
      </c>
      <c r="C119">
        <v>19975.5</v>
      </c>
      <c r="D119" t="s">
        <v>941</v>
      </c>
      <c r="E119" t="s">
        <v>942</v>
      </c>
      <c r="F119" t="s">
        <v>414</v>
      </c>
      <c r="G119" t="s">
        <v>415</v>
      </c>
      <c r="H119" t="s">
        <v>416</v>
      </c>
      <c r="I119" t="s">
        <v>500</v>
      </c>
      <c r="J119" t="s">
        <v>501</v>
      </c>
      <c r="K119">
        <v>1689019152.5</v>
      </c>
      <c r="L119">
        <f t="shared" si="138"/>
        <v>5.9537485613092214E-3</v>
      </c>
      <c r="M119">
        <f t="shared" si="139"/>
        <v>5.9537485613092214</v>
      </c>
      <c r="N119">
        <f t="shared" si="140"/>
        <v>59.812896553190789</v>
      </c>
      <c r="O119">
        <f t="shared" si="141"/>
        <v>822.40800000000002</v>
      </c>
      <c r="P119">
        <f t="shared" si="142"/>
        <v>560.41065623631937</v>
      </c>
      <c r="Q119">
        <f t="shared" si="143"/>
        <v>55.579905936257695</v>
      </c>
      <c r="R119">
        <f t="shared" si="144"/>
        <v>81.564043746431992</v>
      </c>
      <c r="S119">
        <f t="shared" si="145"/>
        <v>0.41694056497552706</v>
      </c>
      <c r="T119">
        <f t="shared" si="146"/>
        <v>2.903766730270358</v>
      </c>
      <c r="U119">
        <f t="shared" si="147"/>
        <v>0.38630949170142254</v>
      </c>
      <c r="V119">
        <f t="shared" si="148"/>
        <v>0.24400771751111267</v>
      </c>
      <c r="W119">
        <f t="shared" si="149"/>
        <v>289.56269895863807</v>
      </c>
      <c r="X119">
        <f t="shared" si="150"/>
        <v>30.364794933846209</v>
      </c>
      <c r="Y119">
        <f t="shared" si="151"/>
        <v>30.075500000000002</v>
      </c>
      <c r="Z119">
        <f t="shared" si="152"/>
        <v>4.2789608378959505</v>
      </c>
      <c r="AA119">
        <f t="shared" si="153"/>
        <v>65.070555632995791</v>
      </c>
      <c r="AB119">
        <f t="shared" si="154"/>
        <v>2.8050458678528001</v>
      </c>
      <c r="AC119">
        <f t="shared" si="155"/>
        <v>4.3107759578288061</v>
      </c>
      <c r="AD119">
        <f t="shared" si="156"/>
        <v>1.4739149700431504</v>
      </c>
      <c r="AE119">
        <f t="shared" si="157"/>
        <v>-262.56031155373665</v>
      </c>
      <c r="AF119">
        <f t="shared" si="158"/>
        <v>20.210330270337138</v>
      </c>
      <c r="AG119">
        <f t="shared" si="159"/>
        <v>1.5497186760322497</v>
      </c>
      <c r="AH119">
        <f t="shared" si="160"/>
        <v>48.762436351270779</v>
      </c>
      <c r="AI119">
        <v>0</v>
      </c>
      <c r="AJ119">
        <v>0</v>
      </c>
      <c r="AK119">
        <f t="shared" si="161"/>
        <v>1</v>
      </c>
      <c r="AL119">
        <f t="shared" si="162"/>
        <v>0</v>
      </c>
      <c r="AM119">
        <f t="shared" si="163"/>
        <v>51564.47048406869</v>
      </c>
      <c r="AN119" t="s">
        <v>418</v>
      </c>
      <c r="AO119">
        <v>10076.700000000001</v>
      </c>
      <c r="AP119">
        <v>185.01599999999999</v>
      </c>
      <c r="AQ119">
        <v>473.06</v>
      </c>
      <c r="AR119">
        <f t="shared" si="164"/>
        <v>0.60889527755464423</v>
      </c>
      <c r="AS119">
        <v>-1.4827006201179751</v>
      </c>
      <c r="AT119" t="s">
        <v>943</v>
      </c>
      <c r="AU119">
        <v>8080.65</v>
      </c>
      <c r="AV119">
        <v>711.83064000000002</v>
      </c>
      <c r="AW119">
        <v>1185.182244395329</v>
      </c>
      <c r="AX119">
        <f t="shared" si="165"/>
        <v>0.39939140721503918</v>
      </c>
      <c r="AY119">
        <v>0.5</v>
      </c>
      <c r="AZ119">
        <f t="shared" si="166"/>
        <v>1513.1675994604343</v>
      </c>
      <c r="BA119">
        <f t="shared" si="167"/>
        <v>59.812896553190789</v>
      </c>
      <c r="BB119">
        <f t="shared" si="168"/>
        <v>302.17306845035279</v>
      </c>
      <c r="BC119">
        <f t="shared" si="169"/>
        <v>4.050813485245492E-2</v>
      </c>
      <c r="BD119">
        <f t="shared" si="170"/>
        <v>-0.60085463460402111</v>
      </c>
      <c r="BE119">
        <f t="shared" si="171"/>
        <v>241.85005886338851</v>
      </c>
      <c r="BF119" t="s">
        <v>944</v>
      </c>
      <c r="BG119">
        <v>550.54999999999995</v>
      </c>
      <c r="BH119">
        <f t="shared" si="172"/>
        <v>550.54999999999995</v>
      </c>
      <c r="BI119">
        <f t="shared" si="173"/>
        <v>0.53547228487135623</v>
      </c>
      <c r="BJ119">
        <f t="shared" si="174"/>
        <v>0.74586756121465814</v>
      </c>
      <c r="BK119">
        <f t="shared" si="175"/>
        <v>9.1898599096054916</v>
      </c>
      <c r="BL119">
        <f t="shared" si="176"/>
        <v>0.47327292542401628</v>
      </c>
      <c r="BM119">
        <f t="shared" si="177"/>
        <v>-2.4722689741682835</v>
      </c>
      <c r="BN119">
        <f t="shared" si="178"/>
        <v>0.57687511993966711</v>
      </c>
      <c r="BO119">
        <f t="shared" si="179"/>
        <v>0.42312488006033289</v>
      </c>
      <c r="BP119">
        <v>9259</v>
      </c>
      <c r="BQ119">
        <v>290.00000000000011</v>
      </c>
      <c r="BR119">
        <v>1020.86</v>
      </c>
      <c r="BS119">
        <v>295</v>
      </c>
      <c r="BT119">
        <v>8080.65</v>
      </c>
      <c r="BU119">
        <v>1023.72</v>
      </c>
      <c r="BV119">
        <v>-2.86</v>
      </c>
      <c r="BW119">
        <v>300.00000000000011</v>
      </c>
      <c r="BX119">
        <v>19.2</v>
      </c>
      <c r="BY119">
        <v>1185.182244395329</v>
      </c>
      <c r="BZ119">
        <v>5.3217810491772299</v>
      </c>
      <c r="CA119">
        <v>-130.47518162743381</v>
      </c>
      <c r="CB119">
        <v>3.95139330443061</v>
      </c>
      <c r="CC119">
        <v>0.9749625179960264</v>
      </c>
      <c r="CD119">
        <v>-4.1638456062291487E-3</v>
      </c>
      <c r="CE119">
        <v>289.99999999999989</v>
      </c>
      <c r="CF119">
        <v>1014.67</v>
      </c>
      <c r="CG119">
        <v>655</v>
      </c>
      <c r="CH119">
        <v>8073.21</v>
      </c>
      <c r="CI119">
        <v>1023.57</v>
      </c>
      <c r="CJ119">
        <v>-8.9</v>
      </c>
      <c r="CX119">
        <f t="shared" si="180"/>
        <v>1799.98</v>
      </c>
      <c r="CY119">
        <f t="shared" si="181"/>
        <v>1513.1675994604343</v>
      </c>
      <c r="CZ119">
        <f t="shared" si="182"/>
        <v>0.84065800701143023</v>
      </c>
      <c r="DA119">
        <f t="shared" si="183"/>
        <v>0.16086995353206041</v>
      </c>
      <c r="DB119">
        <v>6</v>
      </c>
      <c r="DC119">
        <v>0.5</v>
      </c>
      <c r="DD119" t="s">
        <v>421</v>
      </c>
      <c r="DE119">
        <v>2</v>
      </c>
      <c r="DF119">
        <v>1689019152.5</v>
      </c>
      <c r="DG119">
        <v>822.40800000000002</v>
      </c>
      <c r="DH119">
        <v>900.03200000000004</v>
      </c>
      <c r="DI119">
        <v>28.283200000000001</v>
      </c>
      <c r="DJ119">
        <v>21.3432</v>
      </c>
      <c r="DK119">
        <v>824.49900000000002</v>
      </c>
      <c r="DL119">
        <v>28.278600000000001</v>
      </c>
      <c r="DM119">
        <v>500.17500000000001</v>
      </c>
      <c r="DN119">
        <v>99.076300000000003</v>
      </c>
      <c r="DO119">
        <v>0.100804</v>
      </c>
      <c r="DP119">
        <v>30.204599999999999</v>
      </c>
      <c r="DQ119">
        <v>30.075500000000002</v>
      </c>
      <c r="DR119">
        <v>999.9</v>
      </c>
      <c r="DS119">
        <v>0</v>
      </c>
      <c r="DT119">
        <v>0</v>
      </c>
      <c r="DU119">
        <v>9945.6200000000008</v>
      </c>
      <c r="DV119">
        <v>0</v>
      </c>
      <c r="DW119">
        <v>1570.36</v>
      </c>
      <c r="DX119">
        <v>-77.623099999999994</v>
      </c>
      <c r="DY119">
        <v>846.346</v>
      </c>
      <c r="DZ119">
        <v>919.66</v>
      </c>
      <c r="EA119">
        <v>6.9400500000000003</v>
      </c>
      <c r="EB119">
        <v>900.03200000000004</v>
      </c>
      <c r="EC119">
        <v>21.3432</v>
      </c>
      <c r="ED119">
        <v>2.8022</v>
      </c>
      <c r="EE119">
        <v>2.1145999999999998</v>
      </c>
      <c r="EF119">
        <v>22.896999999999998</v>
      </c>
      <c r="EG119">
        <v>18.329599999999999</v>
      </c>
      <c r="EH119">
        <v>1799.98</v>
      </c>
      <c r="EI119">
        <v>0.97800399999999998</v>
      </c>
      <c r="EJ119">
        <v>2.19963E-2</v>
      </c>
      <c r="EK119">
        <v>0</v>
      </c>
      <c r="EL119">
        <v>711.875</v>
      </c>
      <c r="EM119">
        <v>5.00082</v>
      </c>
      <c r="EN119">
        <v>17522.400000000001</v>
      </c>
      <c r="EO119">
        <v>14129.6</v>
      </c>
      <c r="EP119">
        <v>49.625</v>
      </c>
      <c r="EQ119">
        <v>51.311999999999998</v>
      </c>
      <c r="ER119">
        <v>50.625</v>
      </c>
      <c r="ES119">
        <v>50.811999999999998</v>
      </c>
      <c r="ET119">
        <v>50.936999999999998</v>
      </c>
      <c r="EU119">
        <v>1755.5</v>
      </c>
      <c r="EV119">
        <v>39.479999999999997</v>
      </c>
      <c r="EW119">
        <v>0</v>
      </c>
      <c r="EX119">
        <v>136.80000019073489</v>
      </c>
      <c r="EY119">
        <v>0</v>
      </c>
      <c r="EZ119">
        <v>711.83064000000002</v>
      </c>
      <c r="FA119">
        <v>-0.70753846076896088</v>
      </c>
      <c r="FB119">
        <v>423.54615247939012</v>
      </c>
      <c r="FC119">
        <v>17491.256000000001</v>
      </c>
      <c r="FD119">
        <v>15</v>
      </c>
      <c r="FE119">
        <v>1689019110.5</v>
      </c>
      <c r="FF119" t="s">
        <v>945</v>
      </c>
      <c r="FG119">
        <v>1689019106</v>
      </c>
      <c r="FH119">
        <v>1689019110.5</v>
      </c>
      <c r="FI119">
        <v>114</v>
      </c>
      <c r="FJ119">
        <v>-0.251</v>
      </c>
      <c r="FK119">
        <v>-3.0000000000000001E-3</v>
      </c>
      <c r="FL119">
        <v>-2.1509999999999998</v>
      </c>
      <c r="FM119">
        <v>5.0000000000000001E-3</v>
      </c>
      <c r="FN119">
        <v>900</v>
      </c>
      <c r="FO119">
        <v>21</v>
      </c>
      <c r="FP119">
        <v>0.02</v>
      </c>
      <c r="FQ119">
        <v>0.01</v>
      </c>
      <c r="FR119">
        <v>59.684781910472353</v>
      </c>
      <c r="FS119">
        <v>-0.24920681527359809</v>
      </c>
      <c r="FT119">
        <v>9.0289747178774263E-2</v>
      </c>
      <c r="FU119">
        <v>1</v>
      </c>
      <c r="FV119">
        <v>0.42154024782260091</v>
      </c>
      <c r="FW119">
        <v>-2.424589769269591E-2</v>
      </c>
      <c r="FX119">
        <v>2.0324490384063211E-3</v>
      </c>
      <c r="FY119">
        <v>1</v>
      </c>
      <c r="FZ119">
        <v>2</v>
      </c>
      <c r="GA119">
        <v>2</v>
      </c>
      <c r="GB119" t="s">
        <v>423</v>
      </c>
      <c r="GC119">
        <v>2.9442699999999999</v>
      </c>
      <c r="GD119">
        <v>2.70899</v>
      </c>
      <c r="GE119">
        <v>0.14602399999999999</v>
      </c>
      <c r="GF119">
        <v>0.15489600000000001</v>
      </c>
      <c r="GG119">
        <v>0.12654499999999999</v>
      </c>
      <c r="GH119">
        <v>0.103951</v>
      </c>
      <c r="GI119">
        <v>28023.200000000001</v>
      </c>
      <c r="GJ119">
        <v>27060.9</v>
      </c>
      <c r="GK119">
        <v>33818.300000000003</v>
      </c>
      <c r="GL119">
        <v>32069.200000000001</v>
      </c>
      <c r="GM119">
        <v>42653.5</v>
      </c>
      <c r="GN119">
        <v>40894.199999999997</v>
      </c>
      <c r="GO119">
        <v>48983.5</v>
      </c>
      <c r="GP119">
        <v>45400.7</v>
      </c>
      <c r="GQ119">
        <v>1.9692000000000001</v>
      </c>
      <c r="GR119">
        <v>1.7528300000000001</v>
      </c>
      <c r="GS119">
        <v>-1.9297000000000002E-2</v>
      </c>
      <c r="GT119">
        <v>0</v>
      </c>
      <c r="GU119">
        <v>30.389399999999998</v>
      </c>
      <c r="GV119">
        <v>999.9</v>
      </c>
      <c r="GW119">
        <v>30.3</v>
      </c>
      <c r="GX119">
        <v>45.8</v>
      </c>
      <c r="GY119">
        <v>30.7151</v>
      </c>
      <c r="GZ119">
        <v>60.507300000000001</v>
      </c>
      <c r="HA119">
        <v>26.017600000000002</v>
      </c>
      <c r="HB119">
        <v>1</v>
      </c>
      <c r="HC119">
        <v>0.53661800000000004</v>
      </c>
      <c r="HD119">
        <v>4.3231099999999998</v>
      </c>
      <c r="HE119">
        <v>20.168900000000001</v>
      </c>
      <c r="HF119">
        <v>5.2697000000000003</v>
      </c>
      <c r="HG119">
        <v>12.039899999999999</v>
      </c>
      <c r="HH119">
        <v>4.9657999999999998</v>
      </c>
      <c r="HI119">
        <v>3.3010000000000002</v>
      </c>
      <c r="HJ119">
        <v>9999</v>
      </c>
      <c r="HK119">
        <v>9999</v>
      </c>
      <c r="HL119">
        <v>9999</v>
      </c>
      <c r="HM119">
        <v>999.9</v>
      </c>
      <c r="HN119">
        <v>1.8686700000000001</v>
      </c>
      <c r="HO119">
        <v>1.87229</v>
      </c>
      <c r="HP119">
        <v>1.87209</v>
      </c>
      <c r="HQ119">
        <v>1.8716299999999999</v>
      </c>
      <c r="HR119">
        <v>1.8648199999999999</v>
      </c>
      <c r="HS119">
        <v>1.8660000000000001</v>
      </c>
      <c r="HT119">
        <v>1.86798</v>
      </c>
      <c r="HU119">
        <v>1.87256</v>
      </c>
      <c r="HV119">
        <v>0</v>
      </c>
      <c r="HW119">
        <v>0</v>
      </c>
      <c r="HX119">
        <v>0</v>
      </c>
      <c r="HY119">
        <v>0</v>
      </c>
      <c r="HZ119" t="s">
        <v>424</v>
      </c>
      <c r="IA119" t="s">
        <v>425</v>
      </c>
      <c r="IB119" t="s">
        <v>426</v>
      </c>
      <c r="IC119" t="s">
        <v>426</v>
      </c>
      <c r="ID119" t="s">
        <v>426</v>
      </c>
      <c r="IE119" t="s">
        <v>426</v>
      </c>
      <c r="IF119">
        <v>0</v>
      </c>
      <c r="IG119">
        <v>100</v>
      </c>
      <c r="IH119">
        <v>100</v>
      </c>
      <c r="II119">
        <v>-2.0910000000000002</v>
      </c>
      <c r="IJ119">
        <v>4.5999999999999999E-3</v>
      </c>
      <c r="IK119">
        <v>-1.2952753351759001</v>
      </c>
      <c r="IL119">
        <v>-1.171017271736434E-3</v>
      </c>
      <c r="IM119">
        <v>2.801297040296544E-7</v>
      </c>
      <c r="IN119">
        <v>-3.6238253961199429E-11</v>
      </c>
      <c r="IO119">
        <v>4.5800000000006946E-3</v>
      </c>
      <c r="IP119">
        <v>0</v>
      </c>
      <c r="IQ119">
        <v>0</v>
      </c>
      <c r="IR119">
        <v>0</v>
      </c>
      <c r="IS119">
        <v>0</v>
      </c>
      <c r="IT119">
        <v>2161</v>
      </c>
      <c r="IU119">
        <v>1</v>
      </c>
      <c r="IV119">
        <v>19</v>
      </c>
      <c r="IW119">
        <v>0.8</v>
      </c>
      <c r="IX119">
        <v>0.7</v>
      </c>
      <c r="IY119">
        <v>1.9982899999999999</v>
      </c>
      <c r="IZ119">
        <v>2.49634</v>
      </c>
      <c r="JA119">
        <v>1.4440900000000001</v>
      </c>
      <c r="JB119">
        <v>2.2802699999999998</v>
      </c>
      <c r="JC119">
        <v>1.54419</v>
      </c>
      <c r="JD119">
        <v>2.4255399999999998</v>
      </c>
      <c r="JE119">
        <v>48.209000000000003</v>
      </c>
      <c r="JF119">
        <v>23.9649</v>
      </c>
      <c r="JG119">
        <v>18</v>
      </c>
      <c r="JH119">
        <v>510.63099999999997</v>
      </c>
      <c r="JI119">
        <v>409.60199999999998</v>
      </c>
      <c r="JJ119">
        <v>25.177499999999998</v>
      </c>
      <c r="JK119">
        <v>33.869599999999998</v>
      </c>
      <c r="JL119">
        <v>30.001300000000001</v>
      </c>
      <c r="JM119">
        <v>33.573599999999999</v>
      </c>
      <c r="JN119">
        <v>33.512</v>
      </c>
      <c r="JO119">
        <v>40.152999999999999</v>
      </c>
      <c r="JP119">
        <v>37.608199999999997</v>
      </c>
      <c r="JQ119">
        <v>0</v>
      </c>
      <c r="JR119">
        <v>25.108599999999999</v>
      </c>
      <c r="JS119">
        <v>900</v>
      </c>
      <c r="JT119">
        <v>21.271100000000001</v>
      </c>
      <c r="JU119">
        <v>99.271799999999999</v>
      </c>
      <c r="JV119">
        <v>98.869600000000005</v>
      </c>
    </row>
    <row r="120" spans="1:282" x14ac:dyDescent="0.25">
      <c r="A120">
        <v>104</v>
      </c>
      <c r="B120">
        <v>1689019285</v>
      </c>
      <c r="C120">
        <v>20108</v>
      </c>
      <c r="D120" t="s">
        <v>946</v>
      </c>
      <c r="E120" t="s">
        <v>947</v>
      </c>
      <c r="F120" t="s">
        <v>414</v>
      </c>
      <c r="G120" t="s">
        <v>415</v>
      </c>
      <c r="H120" t="s">
        <v>416</v>
      </c>
      <c r="I120" t="s">
        <v>500</v>
      </c>
      <c r="J120" t="s">
        <v>501</v>
      </c>
      <c r="K120">
        <v>1689019285</v>
      </c>
      <c r="L120">
        <f t="shared" si="138"/>
        <v>5.621786076713012E-3</v>
      </c>
      <c r="M120">
        <f t="shared" si="139"/>
        <v>5.6217860767130121</v>
      </c>
      <c r="N120">
        <f t="shared" si="140"/>
        <v>58.164326508589859</v>
      </c>
      <c r="O120">
        <f t="shared" si="141"/>
        <v>1122.67</v>
      </c>
      <c r="P120">
        <f t="shared" si="142"/>
        <v>848.62315301828869</v>
      </c>
      <c r="Q120">
        <f t="shared" si="143"/>
        <v>84.168099980125405</v>
      </c>
      <c r="R120">
        <f t="shared" si="144"/>
        <v>111.34860092917</v>
      </c>
      <c r="S120">
        <f t="shared" si="145"/>
        <v>0.39589450545063104</v>
      </c>
      <c r="T120">
        <f t="shared" si="146"/>
        <v>2.9095641653523954</v>
      </c>
      <c r="U120">
        <f t="shared" si="147"/>
        <v>0.36821864501656759</v>
      </c>
      <c r="V120">
        <f t="shared" si="148"/>
        <v>0.23246179042235127</v>
      </c>
      <c r="W120">
        <f t="shared" si="149"/>
        <v>289.55268495807002</v>
      </c>
      <c r="X120">
        <f t="shared" si="150"/>
        <v>30.179776330085556</v>
      </c>
      <c r="Y120">
        <f t="shared" si="151"/>
        <v>29.900200000000002</v>
      </c>
      <c r="Z120">
        <f t="shared" si="152"/>
        <v>4.2360879617691927</v>
      </c>
      <c r="AA120">
        <f t="shared" si="153"/>
        <v>65.39264880656745</v>
      </c>
      <c r="AB120">
        <f t="shared" si="154"/>
        <v>2.7753490256624</v>
      </c>
      <c r="AC120">
        <f t="shared" si="155"/>
        <v>4.244129999798492</v>
      </c>
      <c r="AD120">
        <f t="shared" si="156"/>
        <v>1.4607389361067926</v>
      </c>
      <c r="AE120">
        <f t="shared" si="157"/>
        <v>-247.92076598304382</v>
      </c>
      <c r="AF120">
        <f t="shared" si="158"/>
        <v>5.1763939683214248</v>
      </c>
      <c r="AG120">
        <f t="shared" si="159"/>
        <v>0.39525761262251818</v>
      </c>
      <c r="AH120">
        <f t="shared" si="160"/>
        <v>47.203570555970138</v>
      </c>
      <c r="AI120">
        <v>0</v>
      </c>
      <c r="AJ120">
        <v>0</v>
      </c>
      <c r="AK120">
        <f t="shared" si="161"/>
        <v>1</v>
      </c>
      <c r="AL120">
        <f t="shared" si="162"/>
        <v>0</v>
      </c>
      <c r="AM120">
        <f t="shared" si="163"/>
        <v>51775.496991688677</v>
      </c>
      <c r="AN120" t="s">
        <v>418</v>
      </c>
      <c r="AO120">
        <v>10076.700000000001</v>
      </c>
      <c r="AP120">
        <v>185.01599999999999</v>
      </c>
      <c r="AQ120">
        <v>473.06</v>
      </c>
      <c r="AR120">
        <f t="shared" si="164"/>
        <v>0.60889527755464423</v>
      </c>
      <c r="AS120">
        <v>-1.4827006201179751</v>
      </c>
      <c r="AT120" t="s">
        <v>948</v>
      </c>
      <c r="AU120">
        <v>8078.63</v>
      </c>
      <c r="AV120">
        <v>708.4079999999999</v>
      </c>
      <c r="AW120">
        <v>1175.367432946862</v>
      </c>
      <c r="AX120">
        <f t="shared" si="165"/>
        <v>0.3972880478542008</v>
      </c>
      <c r="AY120">
        <v>0.5</v>
      </c>
      <c r="AZ120">
        <f t="shared" si="166"/>
        <v>1513.1093994601399</v>
      </c>
      <c r="BA120">
        <f t="shared" si="167"/>
        <v>58.164326508589859</v>
      </c>
      <c r="BB120">
        <f t="shared" si="168"/>
        <v>300.57013975068054</v>
      </c>
      <c r="BC120">
        <f t="shared" si="169"/>
        <v>3.9420168264098554E-2</v>
      </c>
      <c r="BD120">
        <f t="shared" si="170"/>
        <v>-0.59752160325392745</v>
      </c>
      <c r="BE120">
        <f t="shared" si="171"/>
        <v>241.43864761801345</v>
      </c>
      <c r="BF120" t="s">
        <v>949</v>
      </c>
      <c r="BG120">
        <v>546.16999999999996</v>
      </c>
      <c r="BH120">
        <f t="shared" si="172"/>
        <v>546.16999999999996</v>
      </c>
      <c r="BI120">
        <f t="shared" si="173"/>
        <v>0.53531977772205974</v>
      </c>
      <c r="BJ120">
        <f t="shared" si="174"/>
        <v>0.742150886979697</v>
      </c>
      <c r="BK120">
        <f t="shared" si="175"/>
        <v>9.6061747086152707</v>
      </c>
      <c r="BL120">
        <f t="shared" si="176"/>
        <v>0.47150881738757183</v>
      </c>
      <c r="BM120">
        <f t="shared" si="177"/>
        <v>-2.4381949735000976</v>
      </c>
      <c r="BN120">
        <f t="shared" si="178"/>
        <v>0.57218516722242141</v>
      </c>
      <c r="BO120">
        <f t="shared" si="179"/>
        <v>0.42781483277757859</v>
      </c>
      <c r="BP120">
        <v>9261</v>
      </c>
      <c r="BQ120">
        <v>290.00000000000011</v>
      </c>
      <c r="BR120">
        <v>1012.97</v>
      </c>
      <c r="BS120">
        <v>295</v>
      </c>
      <c r="BT120">
        <v>8078.63</v>
      </c>
      <c r="BU120">
        <v>1016.63</v>
      </c>
      <c r="BV120">
        <v>-3.66</v>
      </c>
      <c r="BW120">
        <v>300.00000000000011</v>
      </c>
      <c r="BX120">
        <v>19.2</v>
      </c>
      <c r="BY120">
        <v>1175.367432946862</v>
      </c>
      <c r="BZ120">
        <v>4.5413926077355153</v>
      </c>
      <c r="CA120">
        <v>-128.2392743962036</v>
      </c>
      <c r="CB120">
        <v>3.3710832393873029</v>
      </c>
      <c r="CC120">
        <v>0.98101843362493091</v>
      </c>
      <c r="CD120">
        <v>-4.1629666295884236E-3</v>
      </c>
      <c r="CE120">
        <v>289.99999999999989</v>
      </c>
      <c r="CF120">
        <v>1008.85</v>
      </c>
      <c r="CG120">
        <v>635</v>
      </c>
      <c r="CH120">
        <v>8071.67</v>
      </c>
      <c r="CI120">
        <v>1016.49</v>
      </c>
      <c r="CJ120">
        <v>-7.64</v>
      </c>
      <c r="CX120">
        <f t="shared" si="180"/>
        <v>1799.91</v>
      </c>
      <c r="CY120">
        <f t="shared" si="181"/>
        <v>1513.1093994601399</v>
      </c>
      <c r="CZ120">
        <f t="shared" si="182"/>
        <v>0.84065836595170862</v>
      </c>
      <c r="DA120">
        <f t="shared" si="183"/>
        <v>0.16087064628679767</v>
      </c>
      <c r="DB120">
        <v>6</v>
      </c>
      <c r="DC120">
        <v>0.5</v>
      </c>
      <c r="DD120" t="s">
        <v>421</v>
      </c>
      <c r="DE120">
        <v>2</v>
      </c>
      <c r="DF120">
        <v>1689019285</v>
      </c>
      <c r="DG120">
        <v>1122.67</v>
      </c>
      <c r="DH120">
        <v>1200.02</v>
      </c>
      <c r="DI120">
        <v>27.982399999999998</v>
      </c>
      <c r="DJ120">
        <v>21.4268</v>
      </c>
      <c r="DK120">
        <v>1124.8399999999999</v>
      </c>
      <c r="DL120">
        <v>27.977</v>
      </c>
      <c r="DM120">
        <v>500.13499999999999</v>
      </c>
      <c r="DN120">
        <v>99.081900000000005</v>
      </c>
      <c r="DO120">
        <v>0.100051</v>
      </c>
      <c r="DP120">
        <v>29.933199999999999</v>
      </c>
      <c r="DQ120">
        <v>29.900200000000002</v>
      </c>
      <c r="DR120">
        <v>999.9</v>
      </c>
      <c r="DS120">
        <v>0</v>
      </c>
      <c r="DT120">
        <v>0</v>
      </c>
      <c r="DU120">
        <v>9978.1200000000008</v>
      </c>
      <c r="DV120">
        <v>0</v>
      </c>
      <c r="DW120">
        <v>523.06600000000003</v>
      </c>
      <c r="DX120">
        <v>-77.344200000000001</v>
      </c>
      <c r="DY120">
        <v>1154.99</v>
      </c>
      <c r="DZ120">
        <v>1226.29</v>
      </c>
      <c r="EA120">
        <v>6.5555399999999997</v>
      </c>
      <c r="EB120">
        <v>1200.02</v>
      </c>
      <c r="EC120">
        <v>21.4268</v>
      </c>
      <c r="ED120">
        <v>2.7725499999999998</v>
      </c>
      <c r="EE120">
        <v>2.1230099999999998</v>
      </c>
      <c r="EF120">
        <v>22.721499999999999</v>
      </c>
      <c r="EG120">
        <v>18.392900000000001</v>
      </c>
      <c r="EH120">
        <v>1799.91</v>
      </c>
      <c r="EI120">
        <v>0.97799400000000003</v>
      </c>
      <c r="EJ120">
        <v>2.2006100000000001E-2</v>
      </c>
      <c r="EK120">
        <v>0</v>
      </c>
      <c r="EL120">
        <v>708.28099999999995</v>
      </c>
      <c r="EM120">
        <v>5.00082</v>
      </c>
      <c r="EN120">
        <v>15083.4</v>
      </c>
      <c r="EO120">
        <v>14129</v>
      </c>
      <c r="EP120">
        <v>49.875</v>
      </c>
      <c r="EQ120">
        <v>51.436999999999998</v>
      </c>
      <c r="ER120">
        <v>50.936999999999998</v>
      </c>
      <c r="ES120">
        <v>51</v>
      </c>
      <c r="ET120">
        <v>51.186999999999998</v>
      </c>
      <c r="EU120">
        <v>1755.41</v>
      </c>
      <c r="EV120">
        <v>39.5</v>
      </c>
      <c r="EW120">
        <v>0</v>
      </c>
      <c r="EX120">
        <v>130.80000019073489</v>
      </c>
      <c r="EY120">
        <v>0</v>
      </c>
      <c r="EZ120">
        <v>708.4079999999999</v>
      </c>
      <c r="FA120">
        <v>-1.7087692283985021</v>
      </c>
      <c r="FB120">
        <v>-113.89230773534879</v>
      </c>
      <c r="FC120">
        <v>15100.432000000001</v>
      </c>
      <c r="FD120">
        <v>15</v>
      </c>
      <c r="FE120">
        <v>1689019243.5</v>
      </c>
      <c r="FF120" t="s">
        <v>950</v>
      </c>
      <c r="FG120">
        <v>1689019243.5</v>
      </c>
      <c r="FH120">
        <v>1689019237.5</v>
      </c>
      <c r="FI120">
        <v>115</v>
      </c>
      <c r="FJ120">
        <v>0.13800000000000001</v>
      </c>
      <c r="FK120">
        <v>1E-3</v>
      </c>
      <c r="FL120">
        <v>-2.222</v>
      </c>
      <c r="FM120">
        <v>5.0000000000000001E-3</v>
      </c>
      <c r="FN120">
        <v>1201</v>
      </c>
      <c r="FO120">
        <v>21</v>
      </c>
      <c r="FP120">
        <v>0.04</v>
      </c>
      <c r="FQ120">
        <v>0.01</v>
      </c>
      <c r="FR120">
        <v>58.145334863251577</v>
      </c>
      <c r="FS120">
        <v>-0.68628864055661276</v>
      </c>
      <c r="FT120">
        <v>0.1128083711917497</v>
      </c>
      <c r="FU120">
        <v>1</v>
      </c>
      <c r="FV120">
        <v>0.40076568189100831</v>
      </c>
      <c r="FW120">
        <v>-3.0198114203007852E-2</v>
      </c>
      <c r="FX120">
        <v>2.4697851240446972E-3</v>
      </c>
      <c r="FY120">
        <v>1</v>
      </c>
      <c r="FZ120">
        <v>2</v>
      </c>
      <c r="GA120">
        <v>2</v>
      </c>
      <c r="GB120" t="s">
        <v>423</v>
      </c>
      <c r="GC120">
        <v>2.94408</v>
      </c>
      <c r="GD120">
        <v>2.70852</v>
      </c>
      <c r="GE120">
        <v>0.17822199999999999</v>
      </c>
      <c r="GF120">
        <v>0.18584200000000001</v>
      </c>
      <c r="GG120">
        <v>0.125581</v>
      </c>
      <c r="GH120">
        <v>0.104216</v>
      </c>
      <c r="GI120">
        <v>26956.1</v>
      </c>
      <c r="GJ120">
        <v>26061.5</v>
      </c>
      <c r="GK120">
        <v>33808.800000000003</v>
      </c>
      <c r="GL120">
        <v>32062.3</v>
      </c>
      <c r="GM120">
        <v>42691.4</v>
      </c>
      <c r="GN120">
        <v>40873.9</v>
      </c>
      <c r="GO120">
        <v>48971.3</v>
      </c>
      <c r="GP120">
        <v>45390.400000000001</v>
      </c>
      <c r="GQ120">
        <v>1.96695</v>
      </c>
      <c r="GR120">
        <v>1.7523</v>
      </c>
      <c r="GS120">
        <v>-1.7043200000000001E-2</v>
      </c>
      <c r="GT120">
        <v>0</v>
      </c>
      <c r="GU120">
        <v>30.177499999999998</v>
      </c>
      <c r="GV120">
        <v>999.9</v>
      </c>
      <c r="GW120">
        <v>30.4</v>
      </c>
      <c r="GX120">
        <v>45.9</v>
      </c>
      <c r="GY120">
        <v>30.970199999999998</v>
      </c>
      <c r="GZ120">
        <v>60.407299999999999</v>
      </c>
      <c r="HA120">
        <v>25.180299999999999</v>
      </c>
      <c r="HB120">
        <v>1</v>
      </c>
      <c r="HC120">
        <v>0.54518500000000003</v>
      </c>
      <c r="HD120">
        <v>3.6969099999999999</v>
      </c>
      <c r="HE120">
        <v>20.183299999999999</v>
      </c>
      <c r="HF120">
        <v>5.2674599999999998</v>
      </c>
      <c r="HG120">
        <v>12.039899999999999</v>
      </c>
      <c r="HH120">
        <v>4.9653</v>
      </c>
      <c r="HI120">
        <v>3.3003200000000001</v>
      </c>
      <c r="HJ120">
        <v>9999</v>
      </c>
      <c r="HK120">
        <v>9999</v>
      </c>
      <c r="HL120">
        <v>9999</v>
      </c>
      <c r="HM120">
        <v>999.9</v>
      </c>
      <c r="HN120">
        <v>1.8687100000000001</v>
      </c>
      <c r="HO120">
        <v>1.8722799999999999</v>
      </c>
      <c r="HP120">
        <v>1.8721000000000001</v>
      </c>
      <c r="HQ120">
        <v>1.8716299999999999</v>
      </c>
      <c r="HR120">
        <v>1.8648100000000001</v>
      </c>
      <c r="HS120">
        <v>1.86602</v>
      </c>
      <c r="HT120">
        <v>1.86798</v>
      </c>
      <c r="HU120">
        <v>1.8725700000000001</v>
      </c>
      <c r="HV120">
        <v>0</v>
      </c>
      <c r="HW120">
        <v>0</v>
      </c>
      <c r="HX120">
        <v>0</v>
      </c>
      <c r="HY120">
        <v>0</v>
      </c>
      <c r="HZ120" t="s">
        <v>424</v>
      </c>
      <c r="IA120" t="s">
        <v>425</v>
      </c>
      <c r="IB120" t="s">
        <v>426</v>
      </c>
      <c r="IC120" t="s">
        <v>426</v>
      </c>
      <c r="ID120" t="s">
        <v>426</v>
      </c>
      <c r="IE120" t="s">
        <v>426</v>
      </c>
      <c r="IF120">
        <v>0</v>
      </c>
      <c r="IG120">
        <v>100</v>
      </c>
      <c r="IH120">
        <v>100</v>
      </c>
      <c r="II120">
        <v>-2.17</v>
      </c>
      <c r="IJ120">
        <v>5.4000000000000003E-3</v>
      </c>
      <c r="IK120">
        <v>-1.1563443468755781</v>
      </c>
      <c r="IL120">
        <v>-1.171017271736434E-3</v>
      </c>
      <c r="IM120">
        <v>2.801297040296544E-7</v>
      </c>
      <c r="IN120">
        <v>-3.6238253961199429E-11</v>
      </c>
      <c r="IO120">
        <v>5.3850000000039699E-3</v>
      </c>
      <c r="IP120">
        <v>0</v>
      </c>
      <c r="IQ120">
        <v>0</v>
      </c>
      <c r="IR120">
        <v>0</v>
      </c>
      <c r="IS120">
        <v>0</v>
      </c>
      <c r="IT120">
        <v>2161</v>
      </c>
      <c r="IU120">
        <v>1</v>
      </c>
      <c r="IV120">
        <v>19</v>
      </c>
      <c r="IW120">
        <v>0.7</v>
      </c>
      <c r="IX120">
        <v>0.8</v>
      </c>
      <c r="IY120">
        <v>2.5317400000000001</v>
      </c>
      <c r="IZ120">
        <v>2.49268</v>
      </c>
      <c r="JA120">
        <v>1.4440900000000001</v>
      </c>
      <c r="JB120">
        <v>2.2802699999999998</v>
      </c>
      <c r="JC120">
        <v>1.54419</v>
      </c>
      <c r="JD120">
        <v>2.3852500000000001</v>
      </c>
      <c r="JE120">
        <v>48.331600000000002</v>
      </c>
      <c r="JF120">
        <v>23.9649</v>
      </c>
      <c r="JG120">
        <v>18</v>
      </c>
      <c r="JH120">
        <v>510.15</v>
      </c>
      <c r="JI120">
        <v>410.08100000000002</v>
      </c>
      <c r="JJ120">
        <v>25.049800000000001</v>
      </c>
      <c r="JK120">
        <v>34.009900000000002</v>
      </c>
      <c r="JL120">
        <v>29.999700000000001</v>
      </c>
      <c r="JM120">
        <v>33.701000000000001</v>
      </c>
      <c r="JN120">
        <v>33.631900000000002</v>
      </c>
      <c r="JO120">
        <v>50.8309</v>
      </c>
      <c r="JP120">
        <v>37.143999999999998</v>
      </c>
      <c r="JQ120">
        <v>0</v>
      </c>
      <c r="JR120">
        <v>25.135200000000001</v>
      </c>
      <c r="JS120">
        <v>1200</v>
      </c>
      <c r="JT120">
        <v>21.366399999999999</v>
      </c>
      <c r="JU120">
        <v>99.245800000000003</v>
      </c>
      <c r="JV120">
        <v>98.847700000000003</v>
      </c>
    </row>
    <row r="121" spans="1:282" x14ac:dyDescent="0.25">
      <c r="A121">
        <v>105</v>
      </c>
      <c r="B121">
        <v>1689019416.5</v>
      </c>
      <c r="C121">
        <v>20239.5</v>
      </c>
      <c r="D121" t="s">
        <v>951</v>
      </c>
      <c r="E121" t="s">
        <v>952</v>
      </c>
      <c r="F121" t="s">
        <v>414</v>
      </c>
      <c r="G121" t="s">
        <v>415</v>
      </c>
      <c r="H121" t="s">
        <v>416</v>
      </c>
      <c r="I121" t="s">
        <v>500</v>
      </c>
      <c r="J121" t="s">
        <v>501</v>
      </c>
      <c r="K121">
        <v>1689019416.5</v>
      </c>
      <c r="L121">
        <f t="shared" si="138"/>
        <v>4.3787506762926719E-3</v>
      </c>
      <c r="M121">
        <f t="shared" si="139"/>
        <v>4.3787506762926718</v>
      </c>
      <c r="N121">
        <f t="shared" si="140"/>
        <v>57.531702008096687</v>
      </c>
      <c r="O121">
        <f t="shared" si="141"/>
        <v>1423.55</v>
      </c>
      <c r="P121">
        <f t="shared" si="142"/>
        <v>1069.328172442579</v>
      </c>
      <c r="Q121">
        <f t="shared" si="143"/>
        <v>106.04622977118856</v>
      </c>
      <c r="R121">
        <f t="shared" si="144"/>
        <v>141.17472473015002</v>
      </c>
      <c r="S121">
        <f t="shared" si="145"/>
        <v>0.29833428608421919</v>
      </c>
      <c r="T121">
        <f t="shared" si="146"/>
        <v>2.9119942846800191</v>
      </c>
      <c r="U121">
        <f t="shared" si="147"/>
        <v>0.28233469463160105</v>
      </c>
      <c r="V121">
        <f t="shared" si="148"/>
        <v>0.17782514542990691</v>
      </c>
      <c r="W121">
        <f t="shared" si="149"/>
        <v>289.53034095798898</v>
      </c>
      <c r="X121">
        <f t="shared" si="150"/>
        <v>30.547657269303635</v>
      </c>
      <c r="Y121">
        <f t="shared" si="151"/>
        <v>29.963699999999999</v>
      </c>
      <c r="Z121">
        <f t="shared" si="152"/>
        <v>4.2515746214500991</v>
      </c>
      <c r="AA121">
        <f t="shared" si="153"/>
        <v>65.054593375731017</v>
      </c>
      <c r="AB121">
        <f t="shared" si="154"/>
        <v>2.7679587945230004</v>
      </c>
      <c r="AC121">
        <f t="shared" si="155"/>
        <v>4.2548245264347511</v>
      </c>
      <c r="AD121">
        <f t="shared" si="156"/>
        <v>1.4836158269270987</v>
      </c>
      <c r="AE121">
        <f t="shared" si="157"/>
        <v>-193.10290482450682</v>
      </c>
      <c r="AF121">
        <f t="shared" si="158"/>
        <v>2.0879860971465538</v>
      </c>
      <c r="AG121">
        <f t="shared" si="159"/>
        <v>0.15938545194485071</v>
      </c>
      <c r="AH121">
        <f t="shared" si="160"/>
        <v>98.674807682573558</v>
      </c>
      <c r="AI121">
        <v>0</v>
      </c>
      <c r="AJ121">
        <v>0</v>
      </c>
      <c r="AK121">
        <f t="shared" si="161"/>
        <v>1</v>
      </c>
      <c r="AL121">
        <f t="shared" si="162"/>
        <v>0</v>
      </c>
      <c r="AM121">
        <f t="shared" si="163"/>
        <v>51836.870371228673</v>
      </c>
      <c r="AN121" t="s">
        <v>418</v>
      </c>
      <c r="AO121">
        <v>10076.700000000001</v>
      </c>
      <c r="AP121">
        <v>185.01599999999999</v>
      </c>
      <c r="AQ121">
        <v>473.06</v>
      </c>
      <c r="AR121">
        <f t="shared" si="164"/>
        <v>0.60889527755464423</v>
      </c>
      <c r="AS121">
        <v>-1.4827006201179751</v>
      </c>
      <c r="AT121" t="s">
        <v>953</v>
      </c>
      <c r="AU121">
        <v>8077.85</v>
      </c>
      <c r="AV121">
        <v>705.98092307692298</v>
      </c>
      <c r="AW121">
        <v>1167.473140615343</v>
      </c>
      <c r="AX121">
        <f t="shared" si="165"/>
        <v>0.39529150734481155</v>
      </c>
      <c r="AY121">
        <v>0.5</v>
      </c>
      <c r="AZ121">
        <f t="shared" si="166"/>
        <v>1512.991799460098</v>
      </c>
      <c r="BA121">
        <f t="shared" si="167"/>
        <v>57.531702008096687</v>
      </c>
      <c r="BB121">
        <f t="shared" si="168"/>
        <v>299.03640450446051</v>
      </c>
      <c r="BC121">
        <f t="shared" si="169"/>
        <v>3.9005104091954491E-2</v>
      </c>
      <c r="BD121">
        <f t="shared" si="170"/>
        <v>-0.59480009985440607</v>
      </c>
      <c r="BE121">
        <f t="shared" si="171"/>
        <v>241.10375666086901</v>
      </c>
      <c r="BF121" t="s">
        <v>954</v>
      </c>
      <c r="BG121">
        <v>546.86</v>
      </c>
      <c r="BH121">
        <f t="shared" si="172"/>
        <v>546.86</v>
      </c>
      <c r="BI121">
        <f t="shared" si="173"/>
        <v>0.53158665413770023</v>
      </c>
      <c r="BJ121">
        <f t="shared" si="174"/>
        <v>0.74360690635851945</v>
      </c>
      <c r="BK121">
        <f t="shared" si="175"/>
        <v>9.4093921492593893</v>
      </c>
      <c r="BL121">
        <f t="shared" si="176"/>
        <v>0.46973267174726147</v>
      </c>
      <c r="BM121">
        <f t="shared" si="177"/>
        <v>-2.4107884233497074</v>
      </c>
      <c r="BN121">
        <f t="shared" si="178"/>
        <v>0.57600546915474082</v>
      </c>
      <c r="BO121">
        <f t="shared" si="179"/>
        <v>0.42399453084525918</v>
      </c>
      <c r="BP121">
        <v>9263</v>
      </c>
      <c r="BQ121">
        <v>290.00000000000011</v>
      </c>
      <c r="BR121">
        <v>1009.68</v>
      </c>
      <c r="BS121">
        <v>285</v>
      </c>
      <c r="BT121">
        <v>8077.85</v>
      </c>
      <c r="BU121">
        <v>1012.54</v>
      </c>
      <c r="BV121">
        <v>-2.86</v>
      </c>
      <c r="BW121">
        <v>300.00000000000011</v>
      </c>
      <c r="BX121">
        <v>19.2</v>
      </c>
      <c r="BY121">
        <v>1167.473140615343</v>
      </c>
      <c r="BZ121">
        <v>5.2199302629324231</v>
      </c>
      <c r="CA121">
        <v>-125.15247225738609</v>
      </c>
      <c r="CB121">
        <v>3.8743927782592449</v>
      </c>
      <c r="CC121">
        <v>0.97386718520244686</v>
      </c>
      <c r="CD121">
        <v>-4.1625543937708499E-3</v>
      </c>
      <c r="CE121">
        <v>289.99999999999989</v>
      </c>
      <c r="CF121">
        <v>1004.45</v>
      </c>
      <c r="CG121">
        <v>625</v>
      </c>
      <c r="CH121">
        <v>8071.19</v>
      </c>
      <c r="CI121">
        <v>1012.41</v>
      </c>
      <c r="CJ121">
        <v>-7.96</v>
      </c>
      <c r="CX121">
        <f t="shared" si="180"/>
        <v>1799.77</v>
      </c>
      <c r="CY121">
        <f t="shared" si="181"/>
        <v>1512.991799460098</v>
      </c>
      <c r="CZ121">
        <f t="shared" si="182"/>
        <v>0.84065841716446987</v>
      </c>
      <c r="DA121">
        <f t="shared" si="183"/>
        <v>0.16087074512742683</v>
      </c>
      <c r="DB121">
        <v>6</v>
      </c>
      <c r="DC121">
        <v>0.5</v>
      </c>
      <c r="DD121" t="s">
        <v>421</v>
      </c>
      <c r="DE121">
        <v>2</v>
      </c>
      <c r="DF121">
        <v>1689019416.5</v>
      </c>
      <c r="DG121">
        <v>1423.55</v>
      </c>
      <c r="DH121">
        <v>1500.03</v>
      </c>
      <c r="DI121">
        <v>27.911000000000001</v>
      </c>
      <c r="DJ121">
        <v>22.805700000000002</v>
      </c>
      <c r="DK121">
        <v>1426.05</v>
      </c>
      <c r="DL121">
        <v>27.904599999999999</v>
      </c>
      <c r="DM121">
        <v>500.24900000000002</v>
      </c>
      <c r="DN121">
        <v>99.070800000000006</v>
      </c>
      <c r="DO121">
        <v>0.100093</v>
      </c>
      <c r="DP121">
        <v>29.977</v>
      </c>
      <c r="DQ121">
        <v>29.963699999999999</v>
      </c>
      <c r="DR121">
        <v>999.9</v>
      </c>
      <c r="DS121">
        <v>0</v>
      </c>
      <c r="DT121">
        <v>0</v>
      </c>
      <c r="DU121">
        <v>9993.1200000000008</v>
      </c>
      <c r="DV121">
        <v>0</v>
      </c>
      <c r="DW121">
        <v>489.86799999999999</v>
      </c>
      <c r="DX121">
        <v>-76.4756</v>
      </c>
      <c r="DY121">
        <v>1464.43</v>
      </c>
      <c r="DZ121">
        <v>1535.04</v>
      </c>
      <c r="EA121">
        <v>5.1052900000000001</v>
      </c>
      <c r="EB121">
        <v>1500.03</v>
      </c>
      <c r="EC121">
        <v>22.805700000000002</v>
      </c>
      <c r="ED121">
        <v>2.7651599999999998</v>
      </c>
      <c r="EE121">
        <v>2.2593800000000002</v>
      </c>
      <c r="EF121">
        <v>22.677600000000002</v>
      </c>
      <c r="EG121">
        <v>19.389700000000001</v>
      </c>
      <c r="EH121">
        <v>1799.77</v>
      </c>
      <c r="EI121">
        <v>0.97799400000000003</v>
      </c>
      <c r="EJ121">
        <v>2.2006100000000001E-2</v>
      </c>
      <c r="EK121">
        <v>0</v>
      </c>
      <c r="EL121">
        <v>706.12</v>
      </c>
      <c r="EM121">
        <v>5.00082</v>
      </c>
      <c r="EN121">
        <v>14974</v>
      </c>
      <c r="EO121">
        <v>14128</v>
      </c>
      <c r="EP121">
        <v>49.811999999999998</v>
      </c>
      <c r="EQ121">
        <v>50.875</v>
      </c>
      <c r="ER121">
        <v>50.811999999999998</v>
      </c>
      <c r="ES121">
        <v>50.686999999999998</v>
      </c>
      <c r="ET121">
        <v>51.061999999999998</v>
      </c>
      <c r="EU121">
        <v>1755.27</v>
      </c>
      <c r="EV121">
        <v>39.5</v>
      </c>
      <c r="EW121">
        <v>0</v>
      </c>
      <c r="EX121">
        <v>129.60000014305109</v>
      </c>
      <c r="EY121">
        <v>0</v>
      </c>
      <c r="EZ121">
        <v>705.98092307692298</v>
      </c>
      <c r="FA121">
        <v>-1.5180854797440659</v>
      </c>
      <c r="FB121">
        <v>4.7931622035845258</v>
      </c>
      <c r="FC121">
        <v>14966.48461538461</v>
      </c>
      <c r="FD121">
        <v>15</v>
      </c>
      <c r="FE121">
        <v>1689019371</v>
      </c>
      <c r="FF121" t="s">
        <v>955</v>
      </c>
      <c r="FG121">
        <v>1689019371</v>
      </c>
      <c r="FH121">
        <v>1689019361.5</v>
      </c>
      <c r="FI121">
        <v>116</v>
      </c>
      <c r="FJ121">
        <v>-0.13500000000000001</v>
      </c>
      <c r="FK121">
        <v>1E-3</v>
      </c>
      <c r="FL121">
        <v>-2.5409999999999999</v>
      </c>
      <c r="FM121">
        <v>6.0000000000000001E-3</v>
      </c>
      <c r="FN121">
        <v>1500</v>
      </c>
      <c r="FO121">
        <v>21</v>
      </c>
      <c r="FP121">
        <v>0.04</v>
      </c>
      <c r="FQ121">
        <v>0.01</v>
      </c>
      <c r="FR121">
        <v>57.45736061718403</v>
      </c>
      <c r="FS121">
        <v>-0.37505230019144647</v>
      </c>
      <c r="FT121">
        <v>0.10522488573284659</v>
      </c>
      <c r="FU121">
        <v>1</v>
      </c>
      <c r="FV121">
        <v>0.29802345379003492</v>
      </c>
      <c r="FW121">
        <v>-1.1528001580830749E-2</v>
      </c>
      <c r="FX121">
        <v>9.3558773614276533E-4</v>
      </c>
      <c r="FY121">
        <v>1</v>
      </c>
      <c r="FZ121">
        <v>2</v>
      </c>
      <c r="GA121">
        <v>2</v>
      </c>
      <c r="GB121" t="s">
        <v>423</v>
      </c>
      <c r="GC121">
        <v>2.9443999999999999</v>
      </c>
      <c r="GD121">
        <v>2.7086899999999998</v>
      </c>
      <c r="GE121">
        <v>0.206153</v>
      </c>
      <c r="GF121">
        <v>0.212869</v>
      </c>
      <c r="GG121">
        <v>0.12537100000000001</v>
      </c>
      <c r="GH121">
        <v>0.108899</v>
      </c>
      <c r="GI121">
        <v>26048.400000000001</v>
      </c>
      <c r="GJ121">
        <v>25205.200000000001</v>
      </c>
      <c r="GK121">
        <v>33822.300000000003</v>
      </c>
      <c r="GL121">
        <v>32076</v>
      </c>
      <c r="GM121">
        <v>42716.7</v>
      </c>
      <c r="GN121">
        <v>40676.6</v>
      </c>
      <c r="GO121">
        <v>48988.6</v>
      </c>
      <c r="GP121">
        <v>45408.5</v>
      </c>
      <c r="GQ121">
        <v>1.9682299999999999</v>
      </c>
      <c r="GR121">
        <v>1.7586999999999999</v>
      </c>
      <c r="GS121">
        <v>3.9450800000000001E-2</v>
      </c>
      <c r="GT121">
        <v>0</v>
      </c>
      <c r="GU121">
        <v>29.321300000000001</v>
      </c>
      <c r="GV121">
        <v>999.9</v>
      </c>
      <c r="GW121">
        <v>29.8</v>
      </c>
      <c r="GX121">
        <v>45.8</v>
      </c>
      <c r="GY121">
        <v>30.210599999999999</v>
      </c>
      <c r="GZ121">
        <v>60.147199999999998</v>
      </c>
      <c r="HA121">
        <v>25.056100000000001</v>
      </c>
      <c r="HB121">
        <v>1</v>
      </c>
      <c r="HC121">
        <v>0.52423500000000001</v>
      </c>
      <c r="HD121">
        <v>2.8554900000000001</v>
      </c>
      <c r="HE121">
        <v>20.200399999999998</v>
      </c>
      <c r="HF121">
        <v>5.2704500000000003</v>
      </c>
      <c r="HG121">
        <v>12.039899999999999</v>
      </c>
      <c r="HH121">
        <v>4.9657</v>
      </c>
      <c r="HI121">
        <v>3.3010000000000002</v>
      </c>
      <c r="HJ121">
        <v>9999</v>
      </c>
      <c r="HK121">
        <v>9999</v>
      </c>
      <c r="HL121">
        <v>9999</v>
      </c>
      <c r="HM121">
        <v>999.9</v>
      </c>
      <c r="HN121">
        <v>1.86863</v>
      </c>
      <c r="HO121">
        <v>1.8722700000000001</v>
      </c>
      <c r="HP121">
        <v>1.8721000000000001</v>
      </c>
      <c r="HQ121">
        <v>1.8716200000000001</v>
      </c>
      <c r="HR121">
        <v>1.8648400000000001</v>
      </c>
      <c r="HS121">
        <v>1.8660000000000001</v>
      </c>
      <c r="HT121">
        <v>1.86798</v>
      </c>
      <c r="HU121">
        <v>1.87256</v>
      </c>
      <c r="HV121">
        <v>0</v>
      </c>
      <c r="HW121">
        <v>0</v>
      </c>
      <c r="HX121">
        <v>0</v>
      </c>
      <c r="HY121">
        <v>0</v>
      </c>
      <c r="HZ121" t="s">
        <v>424</v>
      </c>
      <c r="IA121" t="s">
        <v>425</v>
      </c>
      <c r="IB121" t="s">
        <v>426</v>
      </c>
      <c r="IC121" t="s">
        <v>426</v>
      </c>
      <c r="ID121" t="s">
        <v>426</v>
      </c>
      <c r="IE121" t="s">
        <v>426</v>
      </c>
      <c r="IF121">
        <v>0</v>
      </c>
      <c r="IG121">
        <v>100</v>
      </c>
      <c r="IH121">
        <v>100</v>
      </c>
      <c r="II121">
        <v>-2.5</v>
      </c>
      <c r="IJ121">
        <v>6.4000000000000003E-3</v>
      </c>
      <c r="IK121">
        <v>-1.290828533298815</v>
      </c>
      <c r="IL121">
        <v>-1.171017271736434E-3</v>
      </c>
      <c r="IM121">
        <v>2.801297040296544E-7</v>
      </c>
      <c r="IN121">
        <v>-3.6238253961199429E-11</v>
      </c>
      <c r="IO121">
        <v>6.350000000001188E-3</v>
      </c>
      <c r="IP121">
        <v>0</v>
      </c>
      <c r="IQ121">
        <v>0</v>
      </c>
      <c r="IR121">
        <v>0</v>
      </c>
      <c r="IS121">
        <v>0</v>
      </c>
      <c r="IT121">
        <v>2161</v>
      </c>
      <c r="IU121">
        <v>1</v>
      </c>
      <c r="IV121">
        <v>19</v>
      </c>
      <c r="IW121">
        <v>0.8</v>
      </c>
      <c r="IX121">
        <v>0.9</v>
      </c>
      <c r="IY121">
        <v>3.0432100000000002</v>
      </c>
      <c r="IZ121">
        <v>2.4841299999999999</v>
      </c>
      <c r="JA121">
        <v>1.4440900000000001</v>
      </c>
      <c r="JB121">
        <v>2.2802699999999998</v>
      </c>
      <c r="JC121">
        <v>1.54419</v>
      </c>
      <c r="JD121">
        <v>2.3901400000000002</v>
      </c>
      <c r="JE121">
        <v>48.1785</v>
      </c>
      <c r="JF121">
        <v>23.973700000000001</v>
      </c>
      <c r="JG121">
        <v>18</v>
      </c>
      <c r="JH121">
        <v>510.21199999999999</v>
      </c>
      <c r="JI121">
        <v>413.31299999999999</v>
      </c>
      <c r="JJ121">
        <v>25.778300000000002</v>
      </c>
      <c r="JK121">
        <v>33.834699999999998</v>
      </c>
      <c r="JL121">
        <v>29.9983</v>
      </c>
      <c r="JM121">
        <v>33.6023</v>
      </c>
      <c r="JN121">
        <v>33.527900000000002</v>
      </c>
      <c r="JO121">
        <v>61.080500000000001</v>
      </c>
      <c r="JP121">
        <v>28.4604</v>
      </c>
      <c r="JQ121">
        <v>0</v>
      </c>
      <c r="JR121">
        <v>25.792300000000001</v>
      </c>
      <c r="JS121">
        <v>1500</v>
      </c>
      <c r="JT121">
        <v>22.847799999999999</v>
      </c>
      <c r="JU121">
        <v>99.282700000000006</v>
      </c>
      <c r="JV121">
        <v>98.888300000000001</v>
      </c>
    </row>
    <row r="122" spans="1:282" x14ac:dyDescent="0.25">
      <c r="A122">
        <v>106</v>
      </c>
      <c r="B122">
        <v>1689020581.5999999</v>
      </c>
      <c r="C122">
        <v>21404.599999904629</v>
      </c>
      <c r="D122" t="s">
        <v>956</v>
      </c>
      <c r="E122" t="s">
        <v>957</v>
      </c>
      <c r="F122" t="s">
        <v>414</v>
      </c>
      <c r="G122" t="s">
        <v>415</v>
      </c>
      <c r="H122" t="s">
        <v>500</v>
      </c>
      <c r="I122" t="s">
        <v>500</v>
      </c>
      <c r="J122" t="s">
        <v>417</v>
      </c>
      <c r="K122">
        <v>1689020581.5999999</v>
      </c>
      <c r="L122">
        <f t="shared" si="138"/>
        <v>5.4662781855445144E-3</v>
      </c>
      <c r="M122">
        <f t="shared" si="139"/>
        <v>5.4662781855445148</v>
      </c>
      <c r="N122">
        <f t="shared" si="140"/>
        <v>48.934174189112809</v>
      </c>
      <c r="O122">
        <f t="shared" si="141"/>
        <v>339.24200000000002</v>
      </c>
      <c r="P122">
        <f t="shared" si="142"/>
        <v>107.67775761069758</v>
      </c>
      <c r="Q122">
        <f t="shared" si="143"/>
        <v>10.677676505066763</v>
      </c>
      <c r="R122">
        <f t="shared" si="144"/>
        <v>33.640339595741999</v>
      </c>
      <c r="S122">
        <f t="shared" si="145"/>
        <v>0.36722128739823251</v>
      </c>
      <c r="T122">
        <f t="shared" si="146"/>
        <v>2.9154760003030016</v>
      </c>
      <c r="U122">
        <f t="shared" si="147"/>
        <v>0.34332436046406117</v>
      </c>
      <c r="V122">
        <f t="shared" si="148"/>
        <v>0.2165950473719942</v>
      </c>
      <c r="W122">
        <f t="shared" si="149"/>
        <v>289.58779695819737</v>
      </c>
      <c r="X122">
        <f t="shared" si="150"/>
        <v>29.959212997482052</v>
      </c>
      <c r="Y122">
        <f t="shared" si="151"/>
        <v>30.0213</v>
      </c>
      <c r="Z122">
        <f t="shared" si="152"/>
        <v>4.2656650187569234</v>
      </c>
      <c r="AA122">
        <f t="shared" si="153"/>
        <v>65.598565547216978</v>
      </c>
      <c r="AB122">
        <f t="shared" si="154"/>
        <v>2.7426175308575993</v>
      </c>
      <c r="AC122">
        <f t="shared" si="155"/>
        <v>4.1809108293435155</v>
      </c>
      <c r="AD122">
        <f t="shared" si="156"/>
        <v>1.5230474878993241</v>
      </c>
      <c r="AE122">
        <f t="shared" si="157"/>
        <v>-241.0628679825131</v>
      </c>
      <c r="AF122">
        <f t="shared" si="158"/>
        <v>-54.855520602789106</v>
      </c>
      <c r="AG122">
        <f t="shared" si="159"/>
        <v>-4.177256943703914</v>
      </c>
      <c r="AH122">
        <f t="shared" si="160"/>
        <v>-10.507848570808754</v>
      </c>
      <c r="AI122">
        <v>0</v>
      </c>
      <c r="AJ122">
        <v>0</v>
      </c>
      <c r="AK122">
        <f t="shared" si="161"/>
        <v>1</v>
      </c>
      <c r="AL122">
        <f t="shared" si="162"/>
        <v>0</v>
      </c>
      <c r="AM122">
        <f t="shared" si="163"/>
        <v>51988.04428014873</v>
      </c>
      <c r="AN122" t="s">
        <v>418</v>
      </c>
      <c r="AO122">
        <v>10076.700000000001</v>
      </c>
      <c r="AP122">
        <v>185.01599999999999</v>
      </c>
      <c r="AQ122">
        <v>473.06</v>
      </c>
      <c r="AR122">
        <f t="shared" si="164"/>
        <v>0.60889527755464423</v>
      </c>
      <c r="AS122">
        <v>-1.4827006201179751</v>
      </c>
      <c r="AT122" t="s">
        <v>958</v>
      </c>
      <c r="AU122">
        <v>8076.27</v>
      </c>
      <c r="AV122">
        <v>726.35084615384596</v>
      </c>
      <c r="AW122">
        <v>1069.683013534054</v>
      </c>
      <c r="AX122">
        <f t="shared" si="165"/>
        <v>0.32096627041491099</v>
      </c>
      <c r="AY122">
        <v>0.5</v>
      </c>
      <c r="AZ122">
        <f t="shared" si="166"/>
        <v>1513.2941994602058</v>
      </c>
      <c r="BA122">
        <f t="shared" si="167"/>
        <v>48.934174189112809</v>
      </c>
      <c r="BB122">
        <f t="shared" si="168"/>
        <v>242.85819762063034</v>
      </c>
      <c r="BC122">
        <f t="shared" si="169"/>
        <v>3.3315977043468843E-2</v>
      </c>
      <c r="BD122">
        <f t="shared" si="170"/>
        <v>-0.55775683635744688</v>
      </c>
      <c r="BE122">
        <f t="shared" si="171"/>
        <v>236.63611817867113</v>
      </c>
      <c r="BF122" t="s">
        <v>959</v>
      </c>
      <c r="BG122">
        <v>552.91</v>
      </c>
      <c r="BH122">
        <f t="shared" si="172"/>
        <v>552.91</v>
      </c>
      <c r="BI122">
        <f t="shared" si="173"/>
        <v>0.48310855365153671</v>
      </c>
      <c r="BJ122">
        <f t="shared" si="174"/>
        <v>0.66437712184748854</v>
      </c>
      <c r="BK122">
        <f t="shared" si="175"/>
        <v>7.471797289092728</v>
      </c>
      <c r="BL122">
        <f t="shared" si="176"/>
        <v>0.38809197373446763</v>
      </c>
      <c r="BM122">
        <f t="shared" si="177"/>
        <v>-2.0712912386095668</v>
      </c>
      <c r="BN122">
        <f t="shared" si="178"/>
        <v>0.50573459972660328</v>
      </c>
      <c r="BO122">
        <f t="shared" si="179"/>
        <v>0.49426540027339672</v>
      </c>
      <c r="BP122">
        <v>9265</v>
      </c>
      <c r="BQ122">
        <v>290.00000000000011</v>
      </c>
      <c r="BR122">
        <v>966.18</v>
      </c>
      <c r="BS122">
        <v>295</v>
      </c>
      <c r="BT122">
        <v>8076.27</v>
      </c>
      <c r="BU122">
        <v>967.48</v>
      </c>
      <c r="BV122">
        <v>-1.3</v>
      </c>
      <c r="BW122">
        <v>300.00000000000011</v>
      </c>
      <c r="BX122">
        <v>19.3</v>
      </c>
      <c r="BY122">
        <v>1069.683013534054</v>
      </c>
      <c r="BZ122">
        <v>3.5689167340085151</v>
      </c>
      <c r="CA122">
        <v>-82.544957353394295</v>
      </c>
      <c r="CB122">
        <v>2.648462029110541</v>
      </c>
      <c r="CC122">
        <v>0.97198290737812154</v>
      </c>
      <c r="CD122">
        <v>-4.1613717463848728E-3</v>
      </c>
      <c r="CE122">
        <v>289.99999999999989</v>
      </c>
      <c r="CF122">
        <v>965.85</v>
      </c>
      <c r="CG122">
        <v>635</v>
      </c>
      <c r="CH122">
        <v>8069.26</v>
      </c>
      <c r="CI122">
        <v>967.39</v>
      </c>
      <c r="CJ122">
        <v>-1.54</v>
      </c>
      <c r="CX122">
        <f t="shared" si="180"/>
        <v>1800.13</v>
      </c>
      <c r="CY122">
        <f t="shared" si="181"/>
        <v>1513.2941994602058</v>
      </c>
      <c r="CZ122">
        <f t="shared" si="182"/>
        <v>0.84065828549060662</v>
      </c>
      <c r="DA122">
        <f t="shared" si="183"/>
        <v>0.16087049099687098</v>
      </c>
      <c r="DB122">
        <v>6</v>
      </c>
      <c r="DC122">
        <v>0.5</v>
      </c>
      <c r="DD122" t="s">
        <v>421</v>
      </c>
      <c r="DE122">
        <v>2</v>
      </c>
      <c r="DF122">
        <v>1689020581.5999999</v>
      </c>
      <c r="DG122">
        <v>339.24200000000002</v>
      </c>
      <c r="DH122">
        <v>400.17</v>
      </c>
      <c r="DI122">
        <v>27.657599999999999</v>
      </c>
      <c r="DJ122">
        <v>21.281400000000001</v>
      </c>
      <c r="DK122">
        <v>340.553</v>
      </c>
      <c r="DL122">
        <v>27.6448</v>
      </c>
      <c r="DM122">
        <v>500.15</v>
      </c>
      <c r="DN122">
        <v>99.063199999999995</v>
      </c>
      <c r="DO122">
        <v>0.100051</v>
      </c>
      <c r="DP122">
        <v>29.6723</v>
      </c>
      <c r="DQ122">
        <v>30.0213</v>
      </c>
      <c r="DR122">
        <v>999.9</v>
      </c>
      <c r="DS122">
        <v>0</v>
      </c>
      <c r="DT122">
        <v>0</v>
      </c>
      <c r="DU122">
        <v>10013.799999999999</v>
      </c>
      <c r="DV122">
        <v>0</v>
      </c>
      <c r="DW122">
        <v>1485.47</v>
      </c>
      <c r="DX122">
        <v>-60.928899999999999</v>
      </c>
      <c r="DY122">
        <v>348.89100000000002</v>
      </c>
      <c r="DZ122">
        <v>408.87200000000001</v>
      </c>
      <c r="EA122">
        <v>6.37615</v>
      </c>
      <c r="EB122">
        <v>400.17</v>
      </c>
      <c r="EC122">
        <v>21.281400000000001</v>
      </c>
      <c r="ED122">
        <v>2.7398500000000001</v>
      </c>
      <c r="EE122">
        <v>2.1082100000000001</v>
      </c>
      <c r="EF122">
        <v>22.5261</v>
      </c>
      <c r="EG122">
        <v>18.281300000000002</v>
      </c>
      <c r="EH122">
        <v>1800.13</v>
      </c>
      <c r="EI122">
        <v>0.97799400000000003</v>
      </c>
      <c r="EJ122">
        <v>2.2006100000000001E-2</v>
      </c>
      <c r="EK122">
        <v>0</v>
      </c>
      <c r="EL122">
        <v>726.60199999999998</v>
      </c>
      <c r="EM122">
        <v>5.00082</v>
      </c>
      <c r="EN122">
        <v>18016.599999999999</v>
      </c>
      <c r="EO122">
        <v>14130.7</v>
      </c>
      <c r="EP122">
        <v>50.125</v>
      </c>
      <c r="EQ122">
        <v>51.561999999999998</v>
      </c>
      <c r="ER122">
        <v>51.125</v>
      </c>
      <c r="ES122">
        <v>50.561999999999998</v>
      </c>
      <c r="ET122">
        <v>51.061999999999998</v>
      </c>
      <c r="EU122">
        <v>1755.63</v>
      </c>
      <c r="EV122">
        <v>39.5</v>
      </c>
      <c r="EW122">
        <v>0</v>
      </c>
      <c r="EX122">
        <v>1163</v>
      </c>
      <c r="EY122">
        <v>0</v>
      </c>
      <c r="EZ122">
        <v>726.35084615384596</v>
      </c>
      <c r="FA122">
        <v>2.7788718077517238</v>
      </c>
      <c r="FB122">
        <v>36.837606718202579</v>
      </c>
      <c r="FC122">
        <v>18008.81923076923</v>
      </c>
      <c r="FD122">
        <v>15</v>
      </c>
      <c r="FE122">
        <v>1689020539.5</v>
      </c>
      <c r="FF122" t="s">
        <v>960</v>
      </c>
      <c r="FG122">
        <v>1689020538</v>
      </c>
      <c r="FH122">
        <v>1689020539.5</v>
      </c>
      <c r="FI122">
        <v>119</v>
      </c>
      <c r="FJ122">
        <v>0.105</v>
      </c>
      <c r="FK122">
        <v>-0.01</v>
      </c>
      <c r="FL122">
        <v>-1.371</v>
      </c>
      <c r="FM122">
        <v>1.2999999999999999E-2</v>
      </c>
      <c r="FN122">
        <v>400</v>
      </c>
      <c r="FO122">
        <v>21</v>
      </c>
      <c r="FP122">
        <v>0.02</v>
      </c>
      <c r="FQ122">
        <v>0.02</v>
      </c>
      <c r="FR122">
        <v>49.047239277507707</v>
      </c>
      <c r="FS122">
        <v>-0.46617021925611157</v>
      </c>
      <c r="FT122">
        <v>4.008714807991659E-2</v>
      </c>
      <c r="FU122">
        <v>1</v>
      </c>
      <c r="FV122">
        <v>0.3642804131930667</v>
      </c>
      <c r="FW122">
        <v>4.5751269447219203E-2</v>
      </c>
      <c r="FX122">
        <v>3.9387429614585424E-3</v>
      </c>
      <c r="FY122">
        <v>1</v>
      </c>
      <c r="FZ122">
        <v>2</v>
      </c>
      <c r="GA122">
        <v>2</v>
      </c>
      <c r="GB122" t="s">
        <v>423</v>
      </c>
      <c r="GC122">
        <v>2.9442400000000002</v>
      </c>
      <c r="GD122">
        <v>2.7088299999999998</v>
      </c>
      <c r="GE122">
        <v>7.7096899999999996E-2</v>
      </c>
      <c r="GF122">
        <v>8.7617E-2</v>
      </c>
      <c r="GG122">
        <v>0.12461800000000001</v>
      </c>
      <c r="GH122">
        <v>0.10377400000000001</v>
      </c>
      <c r="GI122">
        <v>30298</v>
      </c>
      <c r="GJ122">
        <v>29229.7</v>
      </c>
      <c r="GK122">
        <v>33830.400000000001</v>
      </c>
      <c r="GL122">
        <v>32082.2</v>
      </c>
      <c r="GM122">
        <v>42758.7</v>
      </c>
      <c r="GN122">
        <v>40916.699999999997</v>
      </c>
      <c r="GO122">
        <v>48998.7</v>
      </c>
      <c r="GP122">
        <v>45418.6</v>
      </c>
      <c r="GQ122">
        <v>1.97095</v>
      </c>
      <c r="GR122">
        <v>1.7622</v>
      </c>
      <c r="GS122">
        <v>-2.86736E-2</v>
      </c>
      <c r="GT122">
        <v>0</v>
      </c>
      <c r="GU122">
        <v>30.4877</v>
      </c>
      <c r="GV122">
        <v>999.9</v>
      </c>
      <c r="GW122">
        <v>29.4</v>
      </c>
      <c r="GX122">
        <v>44.1</v>
      </c>
      <c r="GY122">
        <v>27.3048</v>
      </c>
      <c r="GZ122">
        <v>60.960999999999999</v>
      </c>
      <c r="HA122">
        <v>24.9359</v>
      </c>
      <c r="HB122">
        <v>1</v>
      </c>
      <c r="HC122">
        <v>0.52558700000000003</v>
      </c>
      <c r="HD122">
        <v>4.9336900000000004</v>
      </c>
      <c r="HE122">
        <v>20.152999999999999</v>
      </c>
      <c r="HF122">
        <v>5.26776</v>
      </c>
      <c r="HG122">
        <v>12.039899999999999</v>
      </c>
      <c r="HH122">
        <v>4.9657499999999999</v>
      </c>
      <c r="HI122">
        <v>3.3010000000000002</v>
      </c>
      <c r="HJ122">
        <v>9999</v>
      </c>
      <c r="HK122">
        <v>9999</v>
      </c>
      <c r="HL122">
        <v>9999</v>
      </c>
      <c r="HM122">
        <v>999.9</v>
      </c>
      <c r="HN122">
        <v>1.8686199999999999</v>
      </c>
      <c r="HO122">
        <v>1.8722700000000001</v>
      </c>
      <c r="HP122">
        <v>1.8721000000000001</v>
      </c>
      <c r="HQ122">
        <v>1.87164</v>
      </c>
      <c r="HR122">
        <v>1.8647899999999999</v>
      </c>
      <c r="HS122">
        <v>1.8660000000000001</v>
      </c>
      <c r="HT122">
        <v>1.86798</v>
      </c>
      <c r="HU122">
        <v>1.87256</v>
      </c>
      <c r="HV122">
        <v>0</v>
      </c>
      <c r="HW122">
        <v>0</v>
      </c>
      <c r="HX122">
        <v>0</v>
      </c>
      <c r="HY122">
        <v>0</v>
      </c>
      <c r="HZ122" t="s">
        <v>424</v>
      </c>
      <c r="IA122" t="s">
        <v>425</v>
      </c>
      <c r="IB122" t="s">
        <v>426</v>
      </c>
      <c r="IC122" t="s">
        <v>426</v>
      </c>
      <c r="ID122" t="s">
        <v>426</v>
      </c>
      <c r="IE122" t="s">
        <v>426</v>
      </c>
      <c r="IF122">
        <v>0</v>
      </c>
      <c r="IG122">
        <v>100</v>
      </c>
      <c r="IH122">
        <v>100</v>
      </c>
      <c r="II122">
        <v>-1.3109999999999999</v>
      </c>
      <c r="IJ122">
        <v>1.2800000000000001E-2</v>
      </c>
      <c r="IK122">
        <v>-0.94376455295359429</v>
      </c>
      <c r="IL122">
        <v>-1.171017271736434E-3</v>
      </c>
      <c r="IM122">
        <v>2.801297040296544E-7</v>
      </c>
      <c r="IN122">
        <v>-3.6238253961199429E-11</v>
      </c>
      <c r="IO122">
        <v>1.2775000000004869E-2</v>
      </c>
      <c r="IP122">
        <v>0</v>
      </c>
      <c r="IQ122">
        <v>0</v>
      </c>
      <c r="IR122">
        <v>0</v>
      </c>
      <c r="IS122">
        <v>0</v>
      </c>
      <c r="IT122">
        <v>2161</v>
      </c>
      <c r="IU122">
        <v>1</v>
      </c>
      <c r="IV122">
        <v>19</v>
      </c>
      <c r="IW122">
        <v>0.7</v>
      </c>
      <c r="IX122">
        <v>0.7</v>
      </c>
      <c r="IY122">
        <v>1.0339400000000001</v>
      </c>
      <c r="IZ122">
        <v>2.5134300000000001</v>
      </c>
      <c r="JA122">
        <v>1.4440900000000001</v>
      </c>
      <c r="JB122">
        <v>2.2802699999999998</v>
      </c>
      <c r="JC122">
        <v>1.54419</v>
      </c>
      <c r="JD122">
        <v>2.2973599999999998</v>
      </c>
      <c r="JE122">
        <v>47.063400000000001</v>
      </c>
      <c r="JF122">
        <v>23.947399999999998</v>
      </c>
      <c r="JG122">
        <v>18</v>
      </c>
      <c r="JH122">
        <v>510.15600000000001</v>
      </c>
      <c r="JI122">
        <v>413.98500000000001</v>
      </c>
      <c r="JJ122">
        <v>23.960799999999999</v>
      </c>
      <c r="JK122">
        <v>33.7179</v>
      </c>
      <c r="JL122">
        <v>30.001799999999999</v>
      </c>
      <c r="JM122">
        <v>33.369799999999998</v>
      </c>
      <c r="JN122">
        <v>33.308900000000001</v>
      </c>
      <c r="JO122">
        <v>20.805700000000002</v>
      </c>
      <c r="JP122">
        <v>26.405799999999999</v>
      </c>
      <c r="JQ122">
        <v>0</v>
      </c>
      <c r="JR122">
        <v>23.927800000000001</v>
      </c>
      <c r="JS122">
        <v>400</v>
      </c>
      <c r="JT122">
        <v>21.216000000000001</v>
      </c>
      <c r="JU122">
        <v>99.304599999999994</v>
      </c>
      <c r="JV122">
        <v>98.909099999999995</v>
      </c>
    </row>
    <row r="123" spans="1:282" x14ac:dyDescent="0.25">
      <c r="A123">
        <v>107</v>
      </c>
      <c r="B123">
        <v>1689020701.5999999</v>
      </c>
      <c r="C123">
        <v>21524.599999904629</v>
      </c>
      <c r="D123" t="s">
        <v>961</v>
      </c>
      <c r="E123" t="s">
        <v>962</v>
      </c>
      <c r="F123" t="s">
        <v>414</v>
      </c>
      <c r="G123" t="s">
        <v>415</v>
      </c>
      <c r="H123" t="s">
        <v>500</v>
      </c>
      <c r="I123" t="s">
        <v>500</v>
      </c>
      <c r="J123" t="s">
        <v>417</v>
      </c>
      <c r="K123">
        <v>1689020701.5999999</v>
      </c>
      <c r="L123">
        <f t="shared" si="138"/>
        <v>5.7485328381398533E-3</v>
      </c>
      <c r="M123">
        <f t="shared" si="139"/>
        <v>5.7485328381398535</v>
      </c>
      <c r="N123">
        <f t="shared" si="140"/>
        <v>41.507068387893199</v>
      </c>
      <c r="O123">
        <f t="shared" si="141"/>
        <v>248.57599999999999</v>
      </c>
      <c r="P123">
        <f t="shared" si="142"/>
        <v>63.924889967092838</v>
      </c>
      <c r="Q123">
        <f t="shared" si="143"/>
        <v>6.3394423139402045</v>
      </c>
      <c r="R123">
        <f t="shared" si="144"/>
        <v>24.651324600499201</v>
      </c>
      <c r="S123">
        <f t="shared" si="145"/>
        <v>0.39074407815941797</v>
      </c>
      <c r="T123">
        <f t="shared" si="146"/>
        <v>2.9166827379588431</v>
      </c>
      <c r="U123">
        <f t="shared" si="147"/>
        <v>0.36381832561815675</v>
      </c>
      <c r="V123">
        <f t="shared" si="148"/>
        <v>0.22965082199775527</v>
      </c>
      <c r="W123">
        <f t="shared" si="149"/>
        <v>289.56110295863232</v>
      </c>
      <c r="X123">
        <f t="shared" si="150"/>
        <v>29.845381335886255</v>
      </c>
      <c r="Y123">
        <f t="shared" si="151"/>
        <v>29.9575</v>
      </c>
      <c r="Z123">
        <f t="shared" si="152"/>
        <v>4.2500603676094943</v>
      </c>
      <c r="AA123">
        <f t="shared" si="153"/>
        <v>65.64697257974457</v>
      </c>
      <c r="AB123">
        <f t="shared" si="154"/>
        <v>2.73832644904908</v>
      </c>
      <c r="AC123">
        <f t="shared" si="155"/>
        <v>4.1712912895148389</v>
      </c>
      <c r="AD123">
        <f t="shared" si="156"/>
        <v>1.5117339185604144</v>
      </c>
      <c r="AE123">
        <f t="shared" si="157"/>
        <v>-253.51029816196754</v>
      </c>
      <c r="AF123">
        <f t="shared" si="158"/>
        <v>-51.135813764825656</v>
      </c>
      <c r="AG123">
        <f t="shared" si="159"/>
        <v>-3.8903885773833076</v>
      </c>
      <c r="AH123">
        <f t="shared" si="160"/>
        <v>-18.975397545544183</v>
      </c>
      <c r="AI123">
        <v>0</v>
      </c>
      <c r="AJ123">
        <v>0</v>
      </c>
      <c r="AK123">
        <f t="shared" si="161"/>
        <v>1</v>
      </c>
      <c r="AL123">
        <f t="shared" si="162"/>
        <v>0</v>
      </c>
      <c r="AM123">
        <f t="shared" si="163"/>
        <v>52029.455120897801</v>
      </c>
      <c r="AN123" t="s">
        <v>418</v>
      </c>
      <c r="AO123">
        <v>10076.700000000001</v>
      </c>
      <c r="AP123">
        <v>185.01599999999999</v>
      </c>
      <c r="AQ123">
        <v>473.06</v>
      </c>
      <c r="AR123">
        <f t="shared" si="164"/>
        <v>0.60889527755464423</v>
      </c>
      <c r="AS123">
        <v>-1.4827006201179751</v>
      </c>
      <c r="AT123" t="s">
        <v>963</v>
      </c>
      <c r="AU123">
        <v>8078.87</v>
      </c>
      <c r="AV123">
        <v>716.90715384615396</v>
      </c>
      <c r="AW123">
        <v>998.12694671676672</v>
      </c>
      <c r="AX123">
        <f t="shared" si="165"/>
        <v>0.28174752098984568</v>
      </c>
      <c r="AY123">
        <v>0.5</v>
      </c>
      <c r="AZ123">
        <f t="shared" si="166"/>
        <v>1513.1591994604312</v>
      </c>
      <c r="BA123">
        <f t="shared" si="167"/>
        <v>41.507068387893199</v>
      </c>
      <c r="BB123">
        <f t="shared" si="168"/>
        <v>213.16442665547797</v>
      </c>
      <c r="BC123">
        <f t="shared" si="169"/>
        <v>2.8410605456015897E-2</v>
      </c>
      <c r="BD123">
        <f t="shared" si="170"/>
        <v>-0.52605227064945903</v>
      </c>
      <c r="BE123">
        <f t="shared" si="171"/>
        <v>232.94180214661552</v>
      </c>
      <c r="BF123" t="s">
        <v>964</v>
      </c>
      <c r="BG123">
        <v>543.62</v>
      </c>
      <c r="BH123">
        <f t="shared" si="172"/>
        <v>543.62</v>
      </c>
      <c r="BI123">
        <f t="shared" si="173"/>
        <v>0.45535985999758788</v>
      </c>
      <c r="BJ123">
        <f t="shared" si="174"/>
        <v>0.61873596190788116</v>
      </c>
      <c r="BK123">
        <f t="shared" si="175"/>
        <v>7.4414249818135882</v>
      </c>
      <c r="BL123">
        <f t="shared" si="176"/>
        <v>0.34585660666129348</v>
      </c>
      <c r="BM123">
        <f t="shared" si="177"/>
        <v>-1.8228706264208483</v>
      </c>
      <c r="BN123">
        <f t="shared" si="178"/>
        <v>0.46917824966291743</v>
      </c>
      <c r="BO123">
        <f t="shared" si="179"/>
        <v>0.53082175033708257</v>
      </c>
      <c r="BP123">
        <v>9267</v>
      </c>
      <c r="BQ123">
        <v>290.00000000000011</v>
      </c>
      <c r="BR123">
        <v>912.28</v>
      </c>
      <c r="BS123">
        <v>275</v>
      </c>
      <c r="BT123">
        <v>8078.87</v>
      </c>
      <c r="BU123">
        <v>913.85</v>
      </c>
      <c r="BV123">
        <v>-1.57</v>
      </c>
      <c r="BW123">
        <v>300.00000000000011</v>
      </c>
      <c r="BX123">
        <v>19.2</v>
      </c>
      <c r="BY123">
        <v>998.12694671676672</v>
      </c>
      <c r="BZ123">
        <v>3.831041856104481</v>
      </c>
      <c r="CA123">
        <v>-68.085414396804978</v>
      </c>
      <c r="CB123">
        <v>2.8437648403475331</v>
      </c>
      <c r="CC123">
        <v>0.95342797595812812</v>
      </c>
      <c r="CD123">
        <v>-4.1619875417130206E-3</v>
      </c>
      <c r="CE123">
        <v>289.99999999999989</v>
      </c>
      <c r="CF123">
        <v>914.18</v>
      </c>
      <c r="CG123">
        <v>675</v>
      </c>
      <c r="CH123">
        <v>8070.44</v>
      </c>
      <c r="CI123">
        <v>913.76</v>
      </c>
      <c r="CJ123">
        <v>0.42</v>
      </c>
      <c r="CX123">
        <f t="shared" si="180"/>
        <v>1799.97</v>
      </c>
      <c r="CY123">
        <f t="shared" si="181"/>
        <v>1513.1591994604312</v>
      </c>
      <c r="CZ123">
        <f t="shared" si="182"/>
        <v>0.84065801066708401</v>
      </c>
      <c r="DA123">
        <f t="shared" si="183"/>
        <v>0.16086996058747219</v>
      </c>
      <c r="DB123">
        <v>6</v>
      </c>
      <c r="DC123">
        <v>0.5</v>
      </c>
      <c r="DD123" t="s">
        <v>421</v>
      </c>
      <c r="DE123">
        <v>2</v>
      </c>
      <c r="DF123">
        <v>1689020701.5999999</v>
      </c>
      <c r="DG123">
        <v>248.57599999999999</v>
      </c>
      <c r="DH123">
        <v>300.07799999999997</v>
      </c>
      <c r="DI123">
        <v>27.612400000000001</v>
      </c>
      <c r="DJ123">
        <v>20.907399999999999</v>
      </c>
      <c r="DK123">
        <v>249.697</v>
      </c>
      <c r="DL123">
        <v>27.604800000000001</v>
      </c>
      <c r="DM123">
        <v>500.20600000000002</v>
      </c>
      <c r="DN123">
        <v>99.0702</v>
      </c>
      <c r="DO123">
        <v>9.9971699999999997E-2</v>
      </c>
      <c r="DP123">
        <v>29.632300000000001</v>
      </c>
      <c r="DQ123">
        <v>29.9575</v>
      </c>
      <c r="DR123">
        <v>999.9</v>
      </c>
      <c r="DS123">
        <v>0</v>
      </c>
      <c r="DT123">
        <v>0</v>
      </c>
      <c r="DU123">
        <v>10020</v>
      </c>
      <c r="DV123">
        <v>0</v>
      </c>
      <c r="DW123">
        <v>1434.68</v>
      </c>
      <c r="DX123">
        <v>-51.502099999999999</v>
      </c>
      <c r="DY123">
        <v>255.63499999999999</v>
      </c>
      <c r="DZ123">
        <v>306.48599999999999</v>
      </c>
      <c r="EA123">
        <v>6.7050200000000002</v>
      </c>
      <c r="EB123">
        <v>300.07799999999997</v>
      </c>
      <c r="EC123">
        <v>20.907399999999999</v>
      </c>
      <c r="ED123">
        <v>2.73556</v>
      </c>
      <c r="EE123">
        <v>2.0712999999999999</v>
      </c>
      <c r="EF123">
        <v>22.500299999999999</v>
      </c>
      <c r="EG123">
        <v>18.0001</v>
      </c>
      <c r="EH123">
        <v>1799.97</v>
      </c>
      <c r="EI123">
        <v>0.97800399999999998</v>
      </c>
      <c r="EJ123">
        <v>2.19963E-2</v>
      </c>
      <c r="EK123">
        <v>0</v>
      </c>
      <c r="EL123">
        <v>717.26800000000003</v>
      </c>
      <c r="EM123">
        <v>5.00082</v>
      </c>
      <c r="EN123">
        <v>17932.400000000001</v>
      </c>
      <c r="EO123">
        <v>14129.6</v>
      </c>
      <c r="EP123">
        <v>49.561999999999998</v>
      </c>
      <c r="EQ123">
        <v>51</v>
      </c>
      <c r="ER123">
        <v>50.561999999999998</v>
      </c>
      <c r="ES123">
        <v>50</v>
      </c>
      <c r="ET123">
        <v>50.5</v>
      </c>
      <c r="EU123">
        <v>1755.49</v>
      </c>
      <c r="EV123">
        <v>39.479999999999997</v>
      </c>
      <c r="EW123">
        <v>0</v>
      </c>
      <c r="EX123">
        <v>117.7999999523163</v>
      </c>
      <c r="EY123">
        <v>0</v>
      </c>
      <c r="EZ123">
        <v>716.90715384615396</v>
      </c>
      <c r="FA123">
        <v>-0.85059829173550217</v>
      </c>
      <c r="FB123">
        <v>159.5829060204351</v>
      </c>
      <c r="FC123">
        <v>17895.084615384611</v>
      </c>
      <c r="FD123">
        <v>15</v>
      </c>
      <c r="FE123">
        <v>1689020661.5999999</v>
      </c>
      <c r="FF123" t="s">
        <v>965</v>
      </c>
      <c r="FG123">
        <v>1689020653.0999999</v>
      </c>
      <c r="FH123">
        <v>1689020661.5999999</v>
      </c>
      <c r="FI123">
        <v>120</v>
      </c>
      <c r="FJ123">
        <v>9.9000000000000005E-2</v>
      </c>
      <c r="FK123">
        <v>-5.0000000000000001E-3</v>
      </c>
      <c r="FL123">
        <v>-1.173</v>
      </c>
      <c r="FM123">
        <v>8.0000000000000002E-3</v>
      </c>
      <c r="FN123">
        <v>300</v>
      </c>
      <c r="FO123">
        <v>21</v>
      </c>
      <c r="FP123">
        <v>0.05</v>
      </c>
      <c r="FQ123">
        <v>0.01</v>
      </c>
      <c r="FR123">
        <v>41.550632007185058</v>
      </c>
      <c r="FS123">
        <v>0.21750126799779521</v>
      </c>
      <c r="FT123">
        <v>3.8777132052401297E-2</v>
      </c>
      <c r="FU123">
        <v>1</v>
      </c>
      <c r="FV123">
        <v>0.38570685640137692</v>
      </c>
      <c r="FW123">
        <v>4.5865002130180361E-2</v>
      </c>
      <c r="FX123">
        <v>3.5366184101864422E-3</v>
      </c>
      <c r="FY123">
        <v>1</v>
      </c>
      <c r="FZ123">
        <v>2</v>
      </c>
      <c r="GA123">
        <v>2</v>
      </c>
      <c r="GB123" t="s">
        <v>423</v>
      </c>
      <c r="GC123">
        <v>2.9442300000000001</v>
      </c>
      <c r="GD123">
        <v>2.7088100000000002</v>
      </c>
      <c r="GE123">
        <v>5.9697899999999998E-2</v>
      </c>
      <c r="GF123">
        <v>6.9734500000000005E-2</v>
      </c>
      <c r="GG123">
        <v>0.12443800000000001</v>
      </c>
      <c r="GH123">
        <v>0.102438</v>
      </c>
      <c r="GI123">
        <v>30854.5</v>
      </c>
      <c r="GJ123">
        <v>29789.599999999999</v>
      </c>
      <c r="GK123">
        <v>33816.199999999997</v>
      </c>
      <c r="GL123">
        <v>32069.7</v>
      </c>
      <c r="GM123">
        <v>42752.4</v>
      </c>
      <c r="GN123">
        <v>40961.9</v>
      </c>
      <c r="GO123">
        <v>48980.800000000003</v>
      </c>
      <c r="GP123">
        <v>45401</v>
      </c>
      <c r="GQ123">
        <v>1.96878</v>
      </c>
      <c r="GR123">
        <v>1.75952</v>
      </c>
      <c r="GS123">
        <v>-2.60249E-2</v>
      </c>
      <c r="GT123">
        <v>0</v>
      </c>
      <c r="GU123">
        <v>30.380800000000001</v>
      </c>
      <c r="GV123">
        <v>999.9</v>
      </c>
      <c r="GW123">
        <v>29.4</v>
      </c>
      <c r="GX123">
        <v>44.1</v>
      </c>
      <c r="GY123">
        <v>27.302499999999998</v>
      </c>
      <c r="GZ123">
        <v>60.210999999999999</v>
      </c>
      <c r="HA123">
        <v>25.813300000000002</v>
      </c>
      <c r="HB123">
        <v>1</v>
      </c>
      <c r="HC123">
        <v>0.54184500000000002</v>
      </c>
      <c r="HD123">
        <v>4.2584</v>
      </c>
      <c r="HE123">
        <v>20.171399999999998</v>
      </c>
      <c r="HF123">
        <v>5.2661100000000003</v>
      </c>
      <c r="HG123">
        <v>12.039899999999999</v>
      </c>
      <c r="HH123">
        <v>4.9660000000000002</v>
      </c>
      <c r="HI123">
        <v>3.3010000000000002</v>
      </c>
      <c r="HJ123">
        <v>9999</v>
      </c>
      <c r="HK123">
        <v>9999</v>
      </c>
      <c r="HL123">
        <v>9999</v>
      </c>
      <c r="HM123">
        <v>999.9</v>
      </c>
      <c r="HN123">
        <v>1.8686</v>
      </c>
      <c r="HO123">
        <v>1.87225</v>
      </c>
      <c r="HP123">
        <v>1.8721000000000001</v>
      </c>
      <c r="HQ123">
        <v>1.8715999999999999</v>
      </c>
      <c r="HR123">
        <v>1.8647800000000001</v>
      </c>
      <c r="HS123">
        <v>1.8660000000000001</v>
      </c>
      <c r="HT123">
        <v>1.86798</v>
      </c>
      <c r="HU123">
        <v>1.87256</v>
      </c>
      <c r="HV123">
        <v>0</v>
      </c>
      <c r="HW123">
        <v>0</v>
      </c>
      <c r="HX123">
        <v>0</v>
      </c>
      <c r="HY123">
        <v>0</v>
      </c>
      <c r="HZ123" t="s">
        <v>424</v>
      </c>
      <c r="IA123" t="s">
        <v>425</v>
      </c>
      <c r="IB123" t="s">
        <v>426</v>
      </c>
      <c r="IC123" t="s">
        <v>426</v>
      </c>
      <c r="ID123" t="s">
        <v>426</v>
      </c>
      <c r="IE123" t="s">
        <v>426</v>
      </c>
      <c r="IF123">
        <v>0</v>
      </c>
      <c r="IG123">
        <v>100</v>
      </c>
      <c r="IH123">
        <v>100</v>
      </c>
      <c r="II123">
        <v>-1.121</v>
      </c>
      <c r="IJ123">
        <v>7.6E-3</v>
      </c>
      <c r="IK123">
        <v>-0.84503237914558582</v>
      </c>
      <c r="IL123">
        <v>-1.171017271736434E-3</v>
      </c>
      <c r="IM123">
        <v>2.801297040296544E-7</v>
      </c>
      <c r="IN123">
        <v>-3.6238253961199429E-11</v>
      </c>
      <c r="IO123">
        <v>7.5476190476209126E-3</v>
      </c>
      <c r="IP123">
        <v>0</v>
      </c>
      <c r="IQ123">
        <v>0</v>
      </c>
      <c r="IR123">
        <v>0</v>
      </c>
      <c r="IS123">
        <v>0</v>
      </c>
      <c r="IT123">
        <v>2161</v>
      </c>
      <c r="IU123">
        <v>1</v>
      </c>
      <c r="IV123">
        <v>19</v>
      </c>
      <c r="IW123">
        <v>0.8</v>
      </c>
      <c r="IX123">
        <v>0.7</v>
      </c>
      <c r="IY123">
        <v>0.82031200000000004</v>
      </c>
      <c r="IZ123">
        <v>2.50366</v>
      </c>
      <c r="JA123">
        <v>1.4440900000000001</v>
      </c>
      <c r="JB123">
        <v>2.2814899999999998</v>
      </c>
      <c r="JC123">
        <v>1.54419</v>
      </c>
      <c r="JD123">
        <v>2.4499499999999999</v>
      </c>
      <c r="JE123">
        <v>47.122900000000001</v>
      </c>
      <c r="JF123">
        <v>23.9649</v>
      </c>
      <c r="JG123">
        <v>18</v>
      </c>
      <c r="JH123">
        <v>510.52100000000002</v>
      </c>
      <c r="JI123">
        <v>413.80700000000002</v>
      </c>
      <c r="JJ123">
        <v>24.255099999999999</v>
      </c>
      <c r="JK123">
        <v>33.957299999999996</v>
      </c>
      <c r="JL123">
        <v>30.000499999999999</v>
      </c>
      <c r="JM123">
        <v>33.595399999999998</v>
      </c>
      <c r="JN123">
        <v>33.526200000000003</v>
      </c>
      <c r="JO123">
        <v>16.540400000000002</v>
      </c>
      <c r="JP123">
        <v>27.9757</v>
      </c>
      <c r="JQ123">
        <v>0</v>
      </c>
      <c r="JR123">
        <v>24.273099999999999</v>
      </c>
      <c r="JS123">
        <v>300</v>
      </c>
      <c r="JT123">
        <v>20.758500000000002</v>
      </c>
      <c r="JU123">
        <v>99.266000000000005</v>
      </c>
      <c r="JV123">
        <v>98.870699999999999</v>
      </c>
    </row>
    <row r="124" spans="1:282" x14ac:dyDescent="0.25">
      <c r="A124">
        <v>108</v>
      </c>
      <c r="B124">
        <v>1689020817.0999999</v>
      </c>
      <c r="C124">
        <v>21640.099999904629</v>
      </c>
      <c r="D124" t="s">
        <v>966</v>
      </c>
      <c r="E124" t="s">
        <v>967</v>
      </c>
      <c r="F124" t="s">
        <v>414</v>
      </c>
      <c r="G124" t="s">
        <v>415</v>
      </c>
      <c r="H124" t="s">
        <v>500</v>
      </c>
      <c r="I124" t="s">
        <v>500</v>
      </c>
      <c r="J124" t="s">
        <v>417</v>
      </c>
      <c r="K124">
        <v>1689020817.0999999</v>
      </c>
      <c r="L124">
        <f t="shared" si="138"/>
        <v>6.0755443993530727E-3</v>
      </c>
      <c r="M124">
        <f t="shared" si="139"/>
        <v>6.0755443993530731</v>
      </c>
      <c r="N124">
        <f t="shared" si="140"/>
        <v>29.752048880069868</v>
      </c>
      <c r="O124">
        <f t="shared" si="141"/>
        <v>163.44300000000001</v>
      </c>
      <c r="P124">
        <f t="shared" si="142"/>
        <v>36.495196774460098</v>
      </c>
      <c r="Q124">
        <f t="shared" si="143"/>
        <v>3.6192714729890239</v>
      </c>
      <c r="R124">
        <f t="shared" si="144"/>
        <v>16.208834028639</v>
      </c>
      <c r="S124">
        <f t="shared" si="145"/>
        <v>0.40811214247459637</v>
      </c>
      <c r="T124">
        <f t="shared" si="146"/>
        <v>2.9012516352318993</v>
      </c>
      <c r="U124">
        <f t="shared" si="147"/>
        <v>0.37869199858904351</v>
      </c>
      <c r="V124">
        <f t="shared" si="148"/>
        <v>0.23914880608014288</v>
      </c>
      <c r="W124">
        <f t="shared" si="149"/>
        <v>289.55210595833381</v>
      </c>
      <c r="X124">
        <f t="shared" si="150"/>
        <v>29.979702054210822</v>
      </c>
      <c r="Y124">
        <f t="shared" si="151"/>
        <v>30.156099999999999</v>
      </c>
      <c r="Z124">
        <f t="shared" si="152"/>
        <v>4.2987996340606944</v>
      </c>
      <c r="AA124">
        <f t="shared" si="153"/>
        <v>65.442196857404952</v>
      </c>
      <c r="AB124">
        <f t="shared" si="154"/>
        <v>2.7644063644923</v>
      </c>
      <c r="AC124">
        <f t="shared" si="155"/>
        <v>4.2241955454456912</v>
      </c>
      <c r="AD124">
        <f t="shared" si="156"/>
        <v>1.5343932695683944</v>
      </c>
      <c r="AE124">
        <f t="shared" si="157"/>
        <v>-267.9315080114705</v>
      </c>
      <c r="AF124">
        <f t="shared" si="158"/>
        <v>-47.674462382748061</v>
      </c>
      <c r="AG124">
        <f t="shared" si="159"/>
        <v>-3.6538904214529122</v>
      </c>
      <c r="AH124">
        <f t="shared" si="160"/>
        <v>-29.707754857337648</v>
      </c>
      <c r="AI124">
        <v>0</v>
      </c>
      <c r="AJ124">
        <v>0</v>
      </c>
      <c r="AK124">
        <f t="shared" si="161"/>
        <v>1</v>
      </c>
      <c r="AL124">
        <f t="shared" si="162"/>
        <v>0</v>
      </c>
      <c r="AM124">
        <f t="shared" si="163"/>
        <v>51553.09391311316</v>
      </c>
      <c r="AN124" t="s">
        <v>418</v>
      </c>
      <c r="AO124">
        <v>10076.700000000001</v>
      </c>
      <c r="AP124">
        <v>185.01599999999999</v>
      </c>
      <c r="AQ124">
        <v>473.06</v>
      </c>
      <c r="AR124">
        <f t="shared" si="164"/>
        <v>0.60889527755464423</v>
      </c>
      <c r="AS124">
        <v>-1.4827006201179751</v>
      </c>
      <c r="AT124" t="s">
        <v>968</v>
      </c>
      <c r="AU124">
        <v>8080.28</v>
      </c>
      <c r="AV124">
        <v>723.58127999999999</v>
      </c>
      <c r="AW124">
        <v>930.58527717025049</v>
      </c>
      <c r="AX124">
        <f t="shared" si="165"/>
        <v>0.2224449518476308</v>
      </c>
      <c r="AY124">
        <v>0.5</v>
      </c>
      <c r="AZ124">
        <f t="shared" si="166"/>
        <v>1513.1090994602764</v>
      </c>
      <c r="BA124">
        <f t="shared" si="167"/>
        <v>29.752048880069868</v>
      </c>
      <c r="BB124">
        <f t="shared" si="168"/>
        <v>168.2917403848266</v>
      </c>
      <c r="BC124">
        <f t="shared" si="169"/>
        <v>2.0642760995442582E-2</v>
      </c>
      <c r="BD124">
        <f t="shared" si="170"/>
        <v>-0.49165325134038873</v>
      </c>
      <c r="BE124">
        <f t="shared" si="171"/>
        <v>229.06181784973606</v>
      </c>
      <c r="BF124" t="s">
        <v>969</v>
      </c>
      <c r="BG124">
        <v>540.33000000000004</v>
      </c>
      <c r="BH124">
        <f t="shared" si="172"/>
        <v>540.33000000000004</v>
      </c>
      <c r="BI124">
        <f t="shared" si="173"/>
        <v>0.41936541093466417</v>
      </c>
      <c r="BJ124">
        <f t="shared" si="174"/>
        <v>0.53043228184187796</v>
      </c>
      <c r="BK124">
        <f t="shared" si="175"/>
        <v>6.8013271468745389</v>
      </c>
      <c r="BL124">
        <f t="shared" si="176"/>
        <v>0.27764555690373655</v>
      </c>
      <c r="BM124">
        <f t="shared" si="177"/>
        <v>-1.5883867644188059</v>
      </c>
      <c r="BN124">
        <f t="shared" si="178"/>
        <v>0.39609713900782778</v>
      </c>
      <c r="BO124">
        <f t="shared" si="179"/>
        <v>0.60390286099217216</v>
      </c>
      <c r="BP124">
        <v>9269</v>
      </c>
      <c r="BQ124">
        <v>290.00000000000011</v>
      </c>
      <c r="BR124">
        <v>865.1</v>
      </c>
      <c r="BS124">
        <v>265</v>
      </c>
      <c r="BT124">
        <v>8080.28</v>
      </c>
      <c r="BU124">
        <v>867.33</v>
      </c>
      <c r="BV124">
        <v>-2.23</v>
      </c>
      <c r="BW124">
        <v>300.00000000000011</v>
      </c>
      <c r="BX124">
        <v>19.2</v>
      </c>
      <c r="BY124">
        <v>930.58527717025049</v>
      </c>
      <c r="BZ124">
        <v>2.5063328093278452</v>
      </c>
      <c r="CA124">
        <v>-51.110391408494692</v>
      </c>
      <c r="CB124">
        <v>1.8606644102429939</v>
      </c>
      <c r="CC124">
        <v>0.96421908498245124</v>
      </c>
      <c r="CD124">
        <v>-4.1622496106785301E-3</v>
      </c>
      <c r="CE124">
        <v>289.99999999999989</v>
      </c>
      <c r="CF124">
        <v>867.65</v>
      </c>
      <c r="CG124">
        <v>665</v>
      </c>
      <c r="CH124">
        <v>8071.7</v>
      </c>
      <c r="CI124">
        <v>867.26</v>
      </c>
      <c r="CJ124">
        <v>0.39</v>
      </c>
      <c r="CX124">
        <f t="shared" si="180"/>
        <v>1799.91</v>
      </c>
      <c r="CY124">
        <f t="shared" si="181"/>
        <v>1513.1090994602764</v>
      </c>
      <c r="CZ124">
        <f t="shared" si="182"/>
        <v>0.84065819927678409</v>
      </c>
      <c r="DA124">
        <f t="shared" si="183"/>
        <v>0.16087032460419343</v>
      </c>
      <c r="DB124">
        <v>6</v>
      </c>
      <c r="DC124">
        <v>0.5</v>
      </c>
      <c r="DD124" t="s">
        <v>421</v>
      </c>
      <c r="DE124">
        <v>2</v>
      </c>
      <c r="DF124">
        <v>1689020817.0999999</v>
      </c>
      <c r="DG124">
        <v>163.44300000000001</v>
      </c>
      <c r="DH124">
        <v>200.32599999999999</v>
      </c>
      <c r="DI124">
        <v>27.8751</v>
      </c>
      <c r="DJ124">
        <v>20.7898</v>
      </c>
      <c r="DK124">
        <v>164.51400000000001</v>
      </c>
      <c r="DL124">
        <v>27.870699999999999</v>
      </c>
      <c r="DM124">
        <v>500.15</v>
      </c>
      <c r="DN124">
        <v>99.070499999999996</v>
      </c>
      <c r="DO124">
        <v>0.100673</v>
      </c>
      <c r="DP124">
        <v>29.851299999999998</v>
      </c>
      <c r="DQ124">
        <v>30.156099999999999</v>
      </c>
      <c r="DR124">
        <v>999.9</v>
      </c>
      <c r="DS124">
        <v>0</v>
      </c>
      <c r="DT124">
        <v>0</v>
      </c>
      <c r="DU124">
        <v>9931.8799999999992</v>
      </c>
      <c r="DV124">
        <v>0</v>
      </c>
      <c r="DW124">
        <v>1466.83</v>
      </c>
      <c r="DX124">
        <v>-36.8825</v>
      </c>
      <c r="DY124">
        <v>168.13</v>
      </c>
      <c r="DZ124">
        <v>204.57900000000001</v>
      </c>
      <c r="EA124">
        <v>7.0853200000000003</v>
      </c>
      <c r="EB124">
        <v>200.32599999999999</v>
      </c>
      <c r="EC124">
        <v>20.7898</v>
      </c>
      <c r="ED124">
        <v>2.7616000000000001</v>
      </c>
      <c r="EE124">
        <v>2.05965</v>
      </c>
      <c r="EF124">
        <v>22.656300000000002</v>
      </c>
      <c r="EG124">
        <v>17.910499999999999</v>
      </c>
      <c r="EH124">
        <v>1799.91</v>
      </c>
      <c r="EI124">
        <v>0.97799999999999998</v>
      </c>
      <c r="EJ124">
        <v>2.1999899999999999E-2</v>
      </c>
      <c r="EK124">
        <v>0</v>
      </c>
      <c r="EL124">
        <v>722.9</v>
      </c>
      <c r="EM124">
        <v>5.00082</v>
      </c>
      <c r="EN124">
        <v>18261.3</v>
      </c>
      <c r="EO124">
        <v>14129.1</v>
      </c>
      <c r="EP124">
        <v>49.25</v>
      </c>
      <c r="EQ124">
        <v>50.75</v>
      </c>
      <c r="ER124">
        <v>50.25</v>
      </c>
      <c r="ES124">
        <v>49.811999999999998</v>
      </c>
      <c r="ET124">
        <v>50.25</v>
      </c>
      <c r="EU124">
        <v>1755.42</v>
      </c>
      <c r="EV124">
        <v>39.49</v>
      </c>
      <c r="EW124">
        <v>0</v>
      </c>
      <c r="EX124">
        <v>113.5999999046326</v>
      </c>
      <c r="EY124">
        <v>0</v>
      </c>
      <c r="EZ124">
        <v>723.58127999999999</v>
      </c>
      <c r="FA124">
        <v>-4.1481538625147829</v>
      </c>
      <c r="FB124">
        <v>172.42307724894269</v>
      </c>
      <c r="FC124">
        <v>18241.468000000001</v>
      </c>
      <c r="FD124">
        <v>15</v>
      </c>
      <c r="FE124">
        <v>1689020786.0999999</v>
      </c>
      <c r="FF124" t="s">
        <v>970</v>
      </c>
      <c r="FG124">
        <v>1689020779.0999999</v>
      </c>
      <c r="FH124">
        <v>1689020786.0999999</v>
      </c>
      <c r="FI124">
        <v>121</v>
      </c>
      <c r="FJ124">
        <v>-4.1000000000000002E-2</v>
      </c>
      <c r="FK124">
        <v>-3.0000000000000001E-3</v>
      </c>
      <c r="FL124">
        <v>-1.1100000000000001</v>
      </c>
      <c r="FM124">
        <v>4.0000000000000001E-3</v>
      </c>
      <c r="FN124">
        <v>200</v>
      </c>
      <c r="FO124">
        <v>21</v>
      </c>
      <c r="FP124">
        <v>0.06</v>
      </c>
      <c r="FQ124">
        <v>0.01</v>
      </c>
      <c r="FR124">
        <v>29.81312743584478</v>
      </c>
      <c r="FS124">
        <v>-0.17230654518386559</v>
      </c>
      <c r="FT124">
        <v>2.3179472169233831E-2</v>
      </c>
      <c r="FU124">
        <v>1</v>
      </c>
      <c r="FV124">
        <v>0.40332634680216922</v>
      </c>
      <c r="FW124">
        <v>4.511301022889682E-2</v>
      </c>
      <c r="FX124">
        <v>4.0914677261442364E-3</v>
      </c>
      <c r="FY124">
        <v>1</v>
      </c>
      <c r="FZ124">
        <v>2</v>
      </c>
      <c r="GA124">
        <v>2</v>
      </c>
      <c r="GB124" t="s">
        <v>423</v>
      </c>
      <c r="GC124">
        <v>2.9439799999999998</v>
      </c>
      <c r="GD124">
        <v>2.7087400000000001</v>
      </c>
      <c r="GE124">
        <v>4.1281699999999998E-2</v>
      </c>
      <c r="GF124">
        <v>4.9407899999999998E-2</v>
      </c>
      <c r="GG124">
        <v>0.12521099999999999</v>
      </c>
      <c r="GH124">
        <v>0.10198400000000001</v>
      </c>
      <c r="GI124">
        <v>31443.8</v>
      </c>
      <c r="GJ124">
        <v>30426.6</v>
      </c>
      <c r="GK124">
        <v>33802.1</v>
      </c>
      <c r="GL124">
        <v>32056.7</v>
      </c>
      <c r="GM124">
        <v>42699</v>
      </c>
      <c r="GN124">
        <v>40966.300000000003</v>
      </c>
      <c r="GO124">
        <v>48962.6</v>
      </c>
      <c r="GP124">
        <v>45383.1</v>
      </c>
      <c r="GQ124">
        <v>1.9662299999999999</v>
      </c>
      <c r="GR124">
        <v>1.75705</v>
      </c>
      <c r="GS124">
        <v>-2.5130799999999998E-2</v>
      </c>
      <c r="GT124">
        <v>0</v>
      </c>
      <c r="GU124">
        <v>30.564900000000002</v>
      </c>
      <c r="GV124">
        <v>999.9</v>
      </c>
      <c r="GW124">
        <v>29.6</v>
      </c>
      <c r="GX124">
        <v>44</v>
      </c>
      <c r="GY124">
        <v>27.344899999999999</v>
      </c>
      <c r="GZ124">
        <v>60.670999999999999</v>
      </c>
      <c r="HA124">
        <v>24.895800000000001</v>
      </c>
      <c r="HB124">
        <v>1</v>
      </c>
      <c r="HC124">
        <v>0.56279500000000005</v>
      </c>
      <c r="HD124">
        <v>5.1234999999999999</v>
      </c>
      <c r="HE124">
        <v>20.145700000000001</v>
      </c>
      <c r="HF124">
        <v>5.2706</v>
      </c>
      <c r="HG124">
        <v>12.039899999999999</v>
      </c>
      <c r="HH124">
        <v>4.9657999999999998</v>
      </c>
      <c r="HI124">
        <v>3.3010000000000002</v>
      </c>
      <c r="HJ124">
        <v>9999</v>
      </c>
      <c r="HK124">
        <v>9999</v>
      </c>
      <c r="HL124">
        <v>9999</v>
      </c>
      <c r="HM124">
        <v>999.9</v>
      </c>
      <c r="HN124">
        <v>1.86859</v>
      </c>
      <c r="HO124">
        <v>1.87225</v>
      </c>
      <c r="HP124">
        <v>1.8720699999999999</v>
      </c>
      <c r="HQ124">
        <v>1.87151</v>
      </c>
      <c r="HR124">
        <v>1.8647800000000001</v>
      </c>
      <c r="HS124">
        <v>1.8660000000000001</v>
      </c>
      <c r="HT124">
        <v>1.86798</v>
      </c>
      <c r="HU124">
        <v>1.87256</v>
      </c>
      <c r="HV124">
        <v>0</v>
      </c>
      <c r="HW124">
        <v>0</v>
      </c>
      <c r="HX124">
        <v>0</v>
      </c>
      <c r="HY124">
        <v>0</v>
      </c>
      <c r="HZ124" t="s">
        <v>424</v>
      </c>
      <c r="IA124" t="s">
        <v>425</v>
      </c>
      <c r="IB124" t="s">
        <v>426</v>
      </c>
      <c r="IC124" t="s">
        <v>426</v>
      </c>
      <c r="ID124" t="s">
        <v>426</v>
      </c>
      <c r="IE124" t="s">
        <v>426</v>
      </c>
      <c r="IF124">
        <v>0</v>
      </c>
      <c r="IG124">
        <v>100</v>
      </c>
      <c r="IH124">
        <v>100</v>
      </c>
      <c r="II124">
        <v>-1.071</v>
      </c>
      <c r="IJ124">
        <v>4.4000000000000003E-3</v>
      </c>
      <c r="IK124">
        <v>-0.88577986509095141</v>
      </c>
      <c r="IL124">
        <v>-1.171017271736434E-3</v>
      </c>
      <c r="IM124">
        <v>2.801297040296544E-7</v>
      </c>
      <c r="IN124">
        <v>-3.6238253961199429E-11</v>
      </c>
      <c r="IO124">
        <v>4.3900000000007822E-3</v>
      </c>
      <c r="IP124">
        <v>0</v>
      </c>
      <c r="IQ124">
        <v>0</v>
      </c>
      <c r="IR124">
        <v>0</v>
      </c>
      <c r="IS124">
        <v>0</v>
      </c>
      <c r="IT124">
        <v>2161</v>
      </c>
      <c r="IU124">
        <v>1</v>
      </c>
      <c r="IV124">
        <v>19</v>
      </c>
      <c r="IW124">
        <v>0.6</v>
      </c>
      <c r="IX124">
        <v>0.5</v>
      </c>
      <c r="IY124">
        <v>0.59814500000000004</v>
      </c>
      <c r="IZ124">
        <v>2.5366200000000001</v>
      </c>
      <c r="JA124">
        <v>1.4440900000000001</v>
      </c>
      <c r="JB124">
        <v>2.2814899999999998</v>
      </c>
      <c r="JC124">
        <v>1.54419</v>
      </c>
      <c r="JD124">
        <v>2.3107899999999999</v>
      </c>
      <c r="JE124">
        <v>47.212299999999999</v>
      </c>
      <c r="JF124">
        <v>23.9649</v>
      </c>
      <c r="JG124">
        <v>18</v>
      </c>
      <c r="JH124">
        <v>510.40600000000001</v>
      </c>
      <c r="JI124">
        <v>413.62599999999998</v>
      </c>
      <c r="JJ124">
        <v>24.410499999999999</v>
      </c>
      <c r="JK124">
        <v>34.1479</v>
      </c>
      <c r="JL124">
        <v>30.002700000000001</v>
      </c>
      <c r="JM124">
        <v>33.793500000000002</v>
      </c>
      <c r="JN124">
        <v>33.725900000000003</v>
      </c>
      <c r="JO124">
        <v>12.0943</v>
      </c>
      <c r="JP124">
        <v>29.459900000000001</v>
      </c>
      <c r="JQ124">
        <v>0</v>
      </c>
      <c r="JR124">
        <v>24.285399999999999</v>
      </c>
      <c r="JS124">
        <v>200</v>
      </c>
      <c r="JT124">
        <v>20.608799999999999</v>
      </c>
      <c r="JU124">
        <v>99.227199999999996</v>
      </c>
      <c r="JV124">
        <v>98.831199999999995</v>
      </c>
    </row>
    <row r="125" spans="1:282" x14ac:dyDescent="0.25">
      <c r="A125">
        <v>109</v>
      </c>
      <c r="B125">
        <v>1689020916.5999999</v>
      </c>
      <c r="C125">
        <v>21739.599999904629</v>
      </c>
      <c r="D125" t="s">
        <v>971</v>
      </c>
      <c r="E125" t="s">
        <v>972</v>
      </c>
      <c r="F125" t="s">
        <v>414</v>
      </c>
      <c r="G125" t="s">
        <v>415</v>
      </c>
      <c r="H125" t="s">
        <v>500</v>
      </c>
      <c r="I125" t="s">
        <v>500</v>
      </c>
      <c r="J125" t="s">
        <v>417</v>
      </c>
      <c r="K125">
        <v>1689020916.5999999</v>
      </c>
      <c r="L125">
        <f t="shared" si="138"/>
        <v>6.3406753169011039E-3</v>
      </c>
      <c r="M125">
        <f t="shared" si="139"/>
        <v>6.3406753169011036</v>
      </c>
      <c r="N125">
        <f t="shared" si="140"/>
        <v>18.288633594780311</v>
      </c>
      <c r="O125">
        <f t="shared" si="141"/>
        <v>97.255900000000011</v>
      </c>
      <c r="P125">
        <f t="shared" si="142"/>
        <v>22.861578060086693</v>
      </c>
      <c r="Q125">
        <f t="shared" si="143"/>
        <v>2.2672085069404275</v>
      </c>
      <c r="R125">
        <f t="shared" si="144"/>
        <v>9.6449774049111028</v>
      </c>
      <c r="S125">
        <f t="shared" si="145"/>
        <v>0.42956151117269242</v>
      </c>
      <c r="T125">
        <f t="shared" si="146"/>
        <v>2.910797233474129</v>
      </c>
      <c r="U125">
        <f t="shared" si="147"/>
        <v>0.39719724898716569</v>
      </c>
      <c r="V125">
        <f t="shared" si="148"/>
        <v>0.2509525736922667</v>
      </c>
      <c r="W125">
        <f t="shared" si="149"/>
        <v>289.55529795834536</v>
      </c>
      <c r="X125">
        <f t="shared" si="150"/>
        <v>29.915702099252595</v>
      </c>
      <c r="Y125">
        <f t="shared" si="151"/>
        <v>29.9893</v>
      </c>
      <c r="Z125">
        <f t="shared" si="152"/>
        <v>4.2578320044218501</v>
      </c>
      <c r="AA125">
        <f t="shared" si="153"/>
        <v>64.618446047851549</v>
      </c>
      <c r="AB125">
        <f t="shared" si="154"/>
        <v>2.7304886118699003</v>
      </c>
      <c r="AC125">
        <f t="shared" si="155"/>
        <v>4.2255559811015981</v>
      </c>
      <c r="AD125">
        <f t="shared" si="156"/>
        <v>1.5273433925519497</v>
      </c>
      <c r="AE125">
        <f t="shared" si="157"/>
        <v>-279.62378147533866</v>
      </c>
      <c r="AF125">
        <f t="shared" si="158"/>
        <v>-20.777121619720063</v>
      </c>
      <c r="AG125">
        <f t="shared" si="159"/>
        <v>-1.5859220403437657</v>
      </c>
      <c r="AH125">
        <f t="shared" si="160"/>
        <v>-12.431527177057106</v>
      </c>
      <c r="AI125">
        <v>0</v>
      </c>
      <c r="AJ125">
        <v>0</v>
      </c>
      <c r="AK125">
        <f t="shared" si="161"/>
        <v>1</v>
      </c>
      <c r="AL125">
        <f t="shared" si="162"/>
        <v>0</v>
      </c>
      <c r="AM125">
        <f t="shared" si="163"/>
        <v>51823.38078711147</v>
      </c>
      <c r="AN125" t="s">
        <v>418</v>
      </c>
      <c r="AO125">
        <v>10076.700000000001</v>
      </c>
      <c r="AP125">
        <v>185.01599999999999</v>
      </c>
      <c r="AQ125">
        <v>473.06</v>
      </c>
      <c r="AR125">
        <f t="shared" si="164"/>
        <v>0.60889527755464423</v>
      </c>
      <c r="AS125">
        <v>-1.4827006201179751</v>
      </c>
      <c r="AT125" t="s">
        <v>973</v>
      </c>
      <c r="AU125">
        <v>8080.39</v>
      </c>
      <c r="AV125">
        <v>743.73508000000004</v>
      </c>
      <c r="AW125">
        <v>887.38946292009143</v>
      </c>
      <c r="AX125">
        <f t="shared" si="165"/>
        <v>0.16188425592453459</v>
      </c>
      <c r="AY125">
        <v>0.5</v>
      </c>
      <c r="AZ125">
        <f t="shared" si="166"/>
        <v>1513.1258994602824</v>
      </c>
      <c r="BA125">
        <f t="shared" si="167"/>
        <v>18.288633594780311</v>
      </c>
      <c r="BB125">
        <f t="shared" si="168"/>
        <v>122.47563017713497</v>
      </c>
      <c r="BC125">
        <f t="shared" si="169"/>
        <v>1.3066549334692196E-2</v>
      </c>
      <c r="BD125">
        <f t="shared" si="170"/>
        <v>-0.46690825193785446</v>
      </c>
      <c r="BE125">
        <f t="shared" si="171"/>
        <v>226.34972906866281</v>
      </c>
      <c r="BF125" t="s">
        <v>974</v>
      </c>
      <c r="BG125">
        <v>561.92999999999995</v>
      </c>
      <c r="BH125">
        <f t="shared" si="172"/>
        <v>561.92999999999995</v>
      </c>
      <c r="BI125">
        <f t="shared" si="173"/>
        <v>0.3667605673940697</v>
      </c>
      <c r="BJ125">
        <f t="shared" si="174"/>
        <v>0.44138947944912627</v>
      </c>
      <c r="BK125">
        <f t="shared" si="175"/>
        <v>4.6621971747506654</v>
      </c>
      <c r="BL125">
        <f t="shared" si="176"/>
        <v>0.20452706502158219</v>
      </c>
      <c r="BM125">
        <f t="shared" si="177"/>
        <v>-1.4384242092183537</v>
      </c>
      <c r="BN125">
        <f t="shared" si="178"/>
        <v>0.33349239111707285</v>
      </c>
      <c r="BO125">
        <f t="shared" si="179"/>
        <v>0.66650760888292715</v>
      </c>
      <c r="BP125">
        <v>9271</v>
      </c>
      <c r="BQ125">
        <v>290.00000000000011</v>
      </c>
      <c r="BR125">
        <v>846.43</v>
      </c>
      <c r="BS125">
        <v>285</v>
      </c>
      <c r="BT125">
        <v>8080.39</v>
      </c>
      <c r="BU125">
        <v>847.65</v>
      </c>
      <c r="BV125">
        <v>-1.22</v>
      </c>
      <c r="BW125">
        <v>300.00000000000011</v>
      </c>
      <c r="BX125">
        <v>19.2</v>
      </c>
      <c r="BY125">
        <v>887.38946292009143</v>
      </c>
      <c r="BZ125">
        <v>4.0324203980343576</v>
      </c>
      <c r="CA125">
        <v>-32.111096704411032</v>
      </c>
      <c r="CB125">
        <v>2.9940363405060371</v>
      </c>
      <c r="CC125">
        <v>0.80423144368742938</v>
      </c>
      <c r="CD125">
        <v>-4.1627190211345989E-3</v>
      </c>
      <c r="CE125">
        <v>289.99999999999989</v>
      </c>
      <c r="CF125">
        <v>846.52</v>
      </c>
      <c r="CG125">
        <v>645</v>
      </c>
      <c r="CH125">
        <v>8073.4</v>
      </c>
      <c r="CI125">
        <v>847.62</v>
      </c>
      <c r="CJ125">
        <v>-1.1000000000000001</v>
      </c>
      <c r="CX125">
        <f t="shared" si="180"/>
        <v>1799.93</v>
      </c>
      <c r="CY125">
        <f t="shared" si="181"/>
        <v>1513.1258994602824</v>
      </c>
      <c r="CZ125">
        <f t="shared" si="182"/>
        <v>0.8406581919631777</v>
      </c>
      <c r="DA125">
        <f t="shared" si="183"/>
        <v>0.1608703104889331</v>
      </c>
      <c r="DB125">
        <v>6</v>
      </c>
      <c r="DC125">
        <v>0.5</v>
      </c>
      <c r="DD125" t="s">
        <v>421</v>
      </c>
      <c r="DE125">
        <v>2</v>
      </c>
      <c r="DF125">
        <v>1689020916.5999999</v>
      </c>
      <c r="DG125">
        <v>97.255900000000011</v>
      </c>
      <c r="DH125">
        <v>119.937</v>
      </c>
      <c r="DI125">
        <v>27.533100000000001</v>
      </c>
      <c r="DJ125">
        <v>20.1355</v>
      </c>
      <c r="DK125">
        <v>98.397900000000007</v>
      </c>
      <c r="DL125">
        <v>27.5381</v>
      </c>
      <c r="DM125">
        <v>500.11599999999999</v>
      </c>
      <c r="DN125">
        <v>99.071100000000001</v>
      </c>
      <c r="DO125">
        <v>0.10002900000000001</v>
      </c>
      <c r="DP125">
        <v>29.8569</v>
      </c>
      <c r="DQ125">
        <v>29.9893</v>
      </c>
      <c r="DR125">
        <v>999.9</v>
      </c>
      <c r="DS125">
        <v>0</v>
      </c>
      <c r="DT125">
        <v>0</v>
      </c>
      <c r="DU125">
        <v>9986.25</v>
      </c>
      <c r="DV125">
        <v>0</v>
      </c>
      <c r="DW125">
        <v>1488.1</v>
      </c>
      <c r="DX125">
        <v>-22.537299999999998</v>
      </c>
      <c r="DY125">
        <v>100.158</v>
      </c>
      <c r="DZ125">
        <v>122.401</v>
      </c>
      <c r="EA125">
        <v>7.4069599999999998</v>
      </c>
      <c r="EB125">
        <v>119.937</v>
      </c>
      <c r="EC125">
        <v>20.1355</v>
      </c>
      <c r="ED125">
        <v>2.7286600000000001</v>
      </c>
      <c r="EE125">
        <v>1.99485</v>
      </c>
      <c r="EF125">
        <v>22.4588</v>
      </c>
      <c r="EG125">
        <v>17.403500000000001</v>
      </c>
      <c r="EH125">
        <v>1799.93</v>
      </c>
      <c r="EI125">
        <v>0.97799700000000001</v>
      </c>
      <c r="EJ125">
        <v>2.2003399999999999E-2</v>
      </c>
      <c r="EK125">
        <v>0</v>
      </c>
      <c r="EL125">
        <v>742.91700000000003</v>
      </c>
      <c r="EM125">
        <v>5.00082</v>
      </c>
      <c r="EN125">
        <v>18748.5</v>
      </c>
      <c r="EO125">
        <v>14129.2</v>
      </c>
      <c r="EP125">
        <v>48.875</v>
      </c>
      <c r="EQ125">
        <v>50.25</v>
      </c>
      <c r="ER125">
        <v>49.811999999999998</v>
      </c>
      <c r="ES125">
        <v>49.436999999999998</v>
      </c>
      <c r="ET125">
        <v>49.936999999999998</v>
      </c>
      <c r="EU125">
        <v>1755.44</v>
      </c>
      <c r="EV125">
        <v>39.49</v>
      </c>
      <c r="EW125">
        <v>0</v>
      </c>
      <c r="EX125">
        <v>97.399999856948853</v>
      </c>
      <c r="EY125">
        <v>0</v>
      </c>
      <c r="EZ125">
        <v>743.73508000000004</v>
      </c>
      <c r="FA125">
        <v>-5.5753077085419376</v>
      </c>
      <c r="FB125">
        <v>-253.300000110887</v>
      </c>
      <c r="FC125">
        <v>18801.063999999998</v>
      </c>
      <c r="FD125">
        <v>15</v>
      </c>
      <c r="FE125">
        <v>1689020947.5999999</v>
      </c>
      <c r="FF125" t="s">
        <v>975</v>
      </c>
      <c r="FG125">
        <v>1689020933.5999999</v>
      </c>
      <c r="FH125">
        <v>1689020947.5999999</v>
      </c>
      <c r="FI125">
        <v>122</v>
      </c>
      <c r="FJ125">
        <v>-0.11799999999999999</v>
      </c>
      <c r="FK125">
        <v>-8.9999999999999993E-3</v>
      </c>
      <c r="FL125">
        <v>-1.1419999999999999</v>
      </c>
      <c r="FM125">
        <v>-5.0000000000000001E-3</v>
      </c>
      <c r="FN125">
        <v>120</v>
      </c>
      <c r="FO125">
        <v>20</v>
      </c>
      <c r="FP125">
        <v>0.06</v>
      </c>
      <c r="FQ125">
        <v>0.02</v>
      </c>
      <c r="FR125">
        <v>18.116767569567539</v>
      </c>
      <c r="FS125">
        <v>0.66068200532661325</v>
      </c>
      <c r="FT125">
        <v>5.7610742336037413E-2</v>
      </c>
      <c r="FU125">
        <v>1</v>
      </c>
      <c r="FV125">
        <v>0.43523075735343231</v>
      </c>
      <c r="FW125">
        <v>-1.6390466115657479E-2</v>
      </c>
      <c r="FX125">
        <v>1.697289053095572E-3</v>
      </c>
      <c r="FY125">
        <v>1</v>
      </c>
      <c r="FZ125">
        <v>2</v>
      </c>
      <c r="GA125">
        <v>2</v>
      </c>
      <c r="GB125" t="s">
        <v>423</v>
      </c>
      <c r="GC125">
        <v>2.9438599999999999</v>
      </c>
      <c r="GD125">
        <v>2.7085699999999999</v>
      </c>
      <c r="GE125">
        <v>2.54454E-2</v>
      </c>
      <c r="GF125">
        <v>3.0840599999999999E-2</v>
      </c>
      <c r="GG125">
        <v>0.12414699999999999</v>
      </c>
      <c r="GH125">
        <v>9.9677299999999996E-2</v>
      </c>
      <c r="GI125">
        <v>31956.3</v>
      </c>
      <c r="GJ125">
        <v>31017.3</v>
      </c>
      <c r="GK125">
        <v>33796.199999999997</v>
      </c>
      <c r="GL125">
        <v>32054.3</v>
      </c>
      <c r="GM125">
        <v>42743.9</v>
      </c>
      <c r="GN125">
        <v>41067.5</v>
      </c>
      <c r="GO125">
        <v>48954.6</v>
      </c>
      <c r="GP125">
        <v>45379</v>
      </c>
      <c r="GQ125">
        <v>1.9661200000000001</v>
      </c>
      <c r="GR125">
        <v>1.7556</v>
      </c>
      <c r="GS125">
        <v>-6.0722199999999997E-3</v>
      </c>
      <c r="GT125">
        <v>0</v>
      </c>
      <c r="GU125">
        <v>30.088100000000001</v>
      </c>
      <c r="GV125">
        <v>999.9</v>
      </c>
      <c r="GW125">
        <v>29.7</v>
      </c>
      <c r="GX125">
        <v>44</v>
      </c>
      <c r="GY125">
        <v>27.4359</v>
      </c>
      <c r="GZ125">
        <v>60.250999999999998</v>
      </c>
      <c r="HA125">
        <v>25.1402</v>
      </c>
      <c r="HB125">
        <v>1</v>
      </c>
      <c r="HC125">
        <v>0.55624200000000001</v>
      </c>
      <c r="HD125">
        <v>2.3930600000000002</v>
      </c>
      <c r="HE125">
        <v>20.205500000000001</v>
      </c>
      <c r="HF125">
        <v>5.2640099999999999</v>
      </c>
      <c r="HG125">
        <v>12.039899999999999</v>
      </c>
      <c r="HH125">
        <v>4.9652500000000002</v>
      </c>
      <c r="HI125">
        <v>3.3002500000000001</v>
      </c>
      <c r="HJ125">
        <v>9999</v>
      </c>
      <c r="HK125">
        <v>9999</v>
      </c>
      <c r="HL125">
        <v>9999</v>
      </c>
      <c r="HM125">
        <v>999.9</v>
      </c>
      <c r="HN125">
        <v>1.86859</v>
      </c>
      <c r="HO125">
        <v>1.87225</v>
      </c>
      <c r="HP125">
        <v>1.87208</v>
      </c>
      <c r="HQ125">
        <v>1.8715299999999999</v>
      </c>
      <c r="HR125">
        <v>1.8647800000000001</v>
      </c>
      <c r="HS125">
        <v>1.86599</v>
      </c>
      <c r="HT125">
        <v>1.86798</v>
      </c>
      <c r="HU125">
        <v>1.8725400000000001</v>
      </c>
      <c r="HV125">
        <v>0</v>
      </c>
      <c r="HW125">
        <v>0</v>
      </c>
      <c r="HX125">
        <v>0</v>
      </c>
      <c r="HY125">
        <v>0</v>
      </c>
      <c r="HZ125" t="s">
        <v>424</v>
      </c>
      <c r="IA125" t="s">
        <v>425</v>
      </c>
      <c r="IB125" t="s">
        <v>426</v>
      </c>
      <c r="IC125" t="s">
        <v>426</v>
      </c>
      <c r="ID125" t="s">
        <v>426</v>
      </c>
      <c r="IE125" t="s">
        <v>426</v>
      </c>
      <c r="IF125">
        <v>0</v>
      </c>
      <c r="IG125">
        <v>100</v>
      </c>
      <c r="IH125">
        <v>100</v>
      </c>
      <c r="II125">
        <v>-1.1419999999999999</v>
      </c>
      <c r="IJ125">
        <v>-5.0000000000000001E-3</v>
      </c>
      <c r="IK125">
        <v>-0.88577986509095141</v>
      </c>
      <c r="IL125">
        <v>-1.171017271736434E-3</v>
      </c>
      <c r="IM125">
        <v>2.801297040296544E-7</v>
      </c>
      <c r="IN125">
        <v>-3.6238253961199429E-11</v>
      </c>
      <c r="IO125">
        <v>4.3900000000007822E-3</v>
      </c>
      <c r="IP125">
        <v>0</v>
      </c>
      <c r="IQ125">
        <v>0</v>
      </c>
      <c r="IR125">
        <v>0</v>
      </c>
      <c r="IS125">
        <v>0</v>
      </c>
      <c r="IT125">
        <v>2161</v>
      </c>
      <c r="IU125">
        <v>1</v>
      </c>
      <c r="IV125">
        <v>19</v>
      </c>
      <c r="IW125">
        <v>2.2999999999999998</v>
      </c>
      <c r="IX125">
        <v>2.2000000000000002</v>
      </c>
      <c r="IY125">
        <v>0.41503899999999999</v>
      </c>
      <c r="IZ125">
        <v>2.5463900000000002</v>
      </c>
      <c r="JA125">
        <v>1.4440900000000001</v>
      </c>
      <c r="JB125">
        <v>2.2802699999999998</v>
      </c>
      <c r="JC125">
        <v>1.54419</v>
      </c>
      <c r="JD125">
        <v>2.3730500000000001</v>
      </c>
      <c r="JE125">
        <v>47.242100000000001</v>
      </c>
      <c r="JF125">
        <v>24.008700000000001</v>
      </c>
      <c r="JG125">
        <v>18</v>
      </c>
      <c r="JH125">
        <v>511.13</v>
      </c>
      <c r="JI125">
        <v>413.363</v>
      </c>
      <c r="JJ125">
        <v>26.289300000000001</v>
      </c>
      <c r="JK125">
        <v>34.2226</v>
      </c>
      <c r="JL125">
        <v>30.000900000000001</v>
      </c>
      <c r="JM125">
        <v>33.8919</v>
      </c>
      <c r="JN125">
        <v>33.819800000000001</v>
      </c>
      <c r="JO125">
        <v>8.4300700000000006</v>
      </c>
      <c r="JP125">
        <v>32.667499999999997</v>
      </c>
      <c r="JQ125">
        <v>0</v>
      </c>
      <c r="JR125">
        <v>26.264199999999999</v>
      </c>
      <c r="JS125">
        <v>120</v>
      </c>
      <c r="JT125">
        <v>20.115400000000001</v>
      </c>
      <c r="JU125">
        <v>99.210599999999999</v>
      </c>
      <c r="JV125">
        <v>98.822999999999993</v>
      </c>
    </row>
    <row r="126" spans="1:282" x14ac:dyDescent="0.25">
      <c r="A126">
        <v>110</v>
      </c>
      <c r="B126">
        <v>1689021105.5999999</v>
      </c>
      <c r="C126">
        <v>21928.599999904629</v>
      </c>
      <c r="D126" t="s">
        <v>976</v>
      </c>
      <c r="E126" t="s">
        <v>977</v>
      </c>
      <c r="F126" t="s">
        <v>414</v>
      </c>
      <c r="G126" t="s">
        <v>415</v>
      </c>
      <c r="H126" t="s">
        <v>500</v>
      </c>
      <c r="I126" t="s">
        <v>500</v>
      </c>
      <c r="J126" t="s">
        <v>417</v>
      </c>
      <c r="K126">
        <v>1689021105.5999999</v>
      </c>
      <c r="L126">
        <f t="shared" si="138"/>
        <v>7.2948782688842424E-3</v>
      </c>
      <c r="M126">
        <f t="shared" si="139"/>
        <v>7.2948782688842426</v>
      </c>
      <c r="N126">
        <f t="shared" si="140"/>
        <v>12.208800401997683</v>
      </c>
      <c r="O126">
        <f t="shared" si="141"/>
        <v>54.862699999999997</v>
      </c>
      <c r="P126">
        <f t="shared" si="142"/>
        <v>12.289663510631378</v>
      </c>
      <c r="Q126">
        <f t="shared" si="143"/>
        <v>1.2187654608841676</v>
      </c>
      <c r="R126">
        <f t="shared" si="144"/>
        <v>5.44073186324486</v>
      </c>
      <c r="S126">
        <f t="shared" si="145"/>
        <v>0.50644488553750433</v>
      </c>
      <c r="T126">
        <f t="shared" si="146"/>
        <v>2.9179905762279206</v>
      </c>
      <c r="U126">
        <f t="shared" si="147"/>
        <v>0.46219801562513424</v>
      </c>
      <c r="V126">
        <f t="shared" si="148"/>
        <v>0.29252634032215674</v>
      </c>
      <c r="W126">
        <f t="shared" si="149"/>
        <v>289.55587695808163</v>
      </c>
      <c r="X126">
        <f t="shared" si="150"/>
        <v>29.665893884019908</v>
      </c>
      <c r="Y126">
        <f t="shared" si="151"/>
        <v>29.8947</v>
      </c>
      <c r="Z126">
        <f t="shared" si="152"/>
        <v>4.2347489141319503</v>
      </c>
      <c r="AA126">
        <f t="shared" si="153"/>
        <v>64.480010443121614</v>
      </c>
      <c r="AB126">
        <f t="shared" si="154"/>
        <v>2.7244666095428598</v>
      </c>
      <c r="AC126">
        <f t="shared" si="155"/>
        <v>4.2252887225353906</v>
      </c>
      <c r="AD126">
        <f t="shared" si="156"/>
        <v>1.5102823045890905</v>
      </c>
      <c r="AE126">
        <f t="shared" si="157"/>
        <v>-321.70413165779507</v>
      </c>
      <c r="AF126">
        <f t="shared" si="158"/>
        <v>-6.1195421390840954</v>
      </c>
      <c r="AG126">
        <f t="shared" si="159"/>
        <v>-0.46573364315889493</v>
      </c>
      <c r="AH126">
        <f t="shared" si="160"/>
        <v>-38.733530481956443</v>
      </c>
      <c r="AI126">
        <v>0</v>
      </c>
      <c r="AJ126">
        <v>0</v>
      </c>
      <c r="AK126">
        <f t="shared" si="161"/>
        <v>1</v>
      </c>
      <c r="AL126">
        <f t="shared" si="162"/>
        <v>0</v>
      </c>
      <c r="AM126">
        <f t="shared" si="163"/>
        <v>52028.308251524191</v>
      </c>
      <c r="AN126" t="s">
        <v>418</v>
      </c>
      <c r="AO126">
        <v>10076.700000000001</v>
      </c>
      <c r="AP126">
        <v>185.01599999999999</v>
      </c>
      <c r="AQ126">
        <v>473.06</v>
      </c>
      <c r="AR126">
        <f t="shared" si="164"/>
        <v>0.60889527755464423</v>
      </c>
      <c r="AS126">
        <v>-1.4827006201179751</v>
      </c>
      <c r="AT126" t="s">
        <v>978</v>
      </c>
      <c r="AU126">
        <v>8083.29</v>
      </c>
      <c r="AV126">
        <v>749.0086</v>
      </c>
      <c r="AW126">
        <v>845.25256882885708</v>
      </c>
      <c r="AX126">
        <f t="shared" si="165"/>
        <v>0.11386415419264362</v>
      </c>
      <c r="AY126">
        <v>0.5</v>
      </c>
      <c r="AZ126">
        <f t="shared" si="166"/>
        <v>1513.1261994601457</v>
      </c>
      <c r="BA126">
        <f t="shared" si="167"/>
        <v>12.208800401997683</v>
      </c>
      <c r="BB126">
        <f t="shared" si="168"/>
        <v>86.145417444129421</v>
      </c>
      <c r="BC126">
        <f t="shared" si="169"/>
        <v>9.0484858612589775E-3</v>
      </c>
      <c r="BD126">
        <f t="shared" si="170"/>
        <v>-0.44033296384363541</v>
      </c>
      <c r="BE126">
        <f t="shared" si="171"/>
        <v>223.50766312421015</v>
      </c>
      <c r="BF126" t="s">
        <v>979</v>
      </c>
      <c r="BG126">
        <v>577.42999999999995</v>
      </c>
      <c r="BH126">
        <f t="shared" si="172"/>
        <v>577.42999999999995</v>
      </c>
      <c r="BI126">
        <f t="shared" si="173"/>
        <v>0.31685507824003389</v>
      </c>
      <c r="BJ126">
        <f t="shared" si="174"/>
        <v>0.35935720148498201</v>
      </c>
      <c r="BK126">
        <f t="shared" si="175"/>
        <v>3.5660876576492981</v>
      </c>
      <c r="BL126">
        <f t="shared" si="176"/>
        <v>0.14577194504626859</v>
      </c>
      <c r="BM126">
        <f t="shared" si="177"/>
        <v>-1.2921378984768199</v>
      </c>
      <c r="BN126">
        <f t="shared" si="178"/>
        <v>0.27703771205493921</v>
      </c>
      <c r="BO126">
        <f t="shared" si="179"/>
        <v>0.72296228794506079</v>
      </c>
      <c r="BP126">
        <v>9273</v>
      </c>
      <c r="BQ126">
        <v>290.00000000000011</v>
      </c>
      <c r="BR126">
        <v>813.13</v>
      </c>
      <c r="BS126">
        <v>255</v>
      </c>
      <c r="BT126">
        <v>8083.29</v>
      </c>
      <c r="BU126">
        <v>814.33</v>
      </c>
      <c r="BV126">
        <v>-1.2</v>
      </c>
      <c r="BW126">
        <v>300.00000000000011</v>
      </c>
      <c r="BX126">
        <v>19.2</v>
      </c>
      <c r="BY126">
        <v>845.25256882885708</v>
      </c>
      <c r="BZ126">
        <v>3.300038249808249</v>
      </c>
      <c r="CA126">
        <v>-24.991828662374719</v>
      </c>
      <c r="CB126">
        <v>2.4506969012433371</v>
      </c>
      <c r="CC126">
        <v>0.78787244864673533</v>
      </c>
      <c r="CD126">
        <v>-4.1631530589543971E-3</v>
      </c>
      <c r="CE126">
        <v>289.99999999999989</v>
      </c>
      <c r="CF126">
        <v>811.34</v>
      </c>
      <c r="CG126">
        <v>685</v>
      </c>
      <c r="CH126">
        <v>8073.91</v>
      </c>
      <c r="CI126">
        <v>814.3</v>
      </c>
      <c r="CJ126">
        <v>-2.96</v>
      </c>
      <c r="CX126">
        <f t="shared" si="180"/>
        <v>1799.93</v>
      </c>
      <c r="CY126">
        <f t="shared" si="181"/>
        <v>1513.1261994601457</v>
      </c>
      <c r="CZ126">
        <f t="shared" si="182"/>
        <v>0.84065835863625016</v>
      </c>
      <c r="DA126">
        <f t="shared" si="183"/>
        <v>0.16087063216796299</v>
      </c>
      <c r="DB126">
        <v>6</v>
      </c>
      <c r="DC126">
        <v>0.5</v>
      </c>
      <c r="DD126" t="s">
        <v>421</v>
      </c>
      <c r="DE126">
        <v>2</v>
      </c>
      <c r="DF126">
        <v>1689021105.5999999</v>
      </c>
      <c r="DG126">
        <v>54.862699999999997</v>
      </c>
      <c r="DH126">
        <v>69.991100000000003</v>
      </c>
      <c r="DI126">
        <v>27.4727</v>
      </c>
      <c r="DJ126">
        <v>18.960699999999999</v>
      </c>
      <c r="DK126">
        <v>55.887</v>
      </c>
      <c r="DL126">
        <v>27.461300000000001</v>
      </c>
      <c r="DM126">
        <v>500.08</v>
      </c>
      <c r="DN126">
        <v>99.070099999999996</v>
      </c>
      <c r="DO126">
        <v>9.9861800000000001E-2</v>
      </c>
      <c r="DP126">
        <v>29.855799999999999</v>
      </c>
      <c r="DQ126">
        <v>29.8947</v>
      </c>
      <c r="DR126">
        <v>999.9</v>
      </c>
      <c r="DS126">
        <v>0</v>
      </c>
      <c r="DT126">
        <v>0</v>
      </c>
      <c r="DU126">
        <v>10027.5</v>
      </c>
      <c r="DV126">
        <v>0</v>
      </c>
      <c r="DW126">
        <v>1410.36</v>
      </c>
      <c r="DX126">
        <v>-15.128500000000001</v>
      </c>
      <c r="DY126">
        <v>56.412500000000001</v>
      </c>
      <c r="DZ126">
        <v>71.343900000000005</v>
      </c>
      <c r="EA126">
        <v>8.5120400000000007</v>
      </c>
      <c r="EB126">
        <v>69.991100000000003</v>
      </c>
      <c r="EC126">
        <v>18.960699999999999</v>
      </c>
      <c r="ED126">
        <v>2.7217199999999999</v>
      </c>
      <c r="EE126">
        <v>1.8784400000000001</v>
      </c>
      <c r="EF126">
        <v>22.416899999999998</v>
      </c>
      <c r="EG126">
        <v>16.455200000000001</v>
      </c>
      <c r="EH126">
        <v>1799.93</v>
      </c>
      <c r="EI126">
        <v>0.977993</v>
      </c>
      <c r="EJ126">
        <v>2.2007100000000002E-2</v>
      </c>
      <c r="EK126">
        <v>0</v>
      </c>
      <c r="EL126">
        <v>748.8</v>
      </c>
      <c r="EM126">
        <v>5.00082</v>
      </c>
      <c r="EN126">
        <v>18778.900000000001</v>
      </c>
      <c r="EO126">
        <v>14129.2</v>
      </c>
      <c r="EP126">
        <v>48.686999999999998</v>
      </c>
      <c r="EQ126">
        <v>50.311999999999998</v>
      </c>
      <c r="ER126">
        <v>49.625</v>
      </c>
      <c r="ES126">
        <v>49.375</v>
      </c>
      <c r="ET126">
        <v>49.75</v>
      </c>
      <c r="EU126">
        <v>1755.43</v>
      </c>
      <c r="EV126">
        <v>39.5</v>
      </c>
      <c r="EW126">
        <v>0</v>
      </c>
      <c r="EX126">
        <v>186.79999995231631</v>
      </c>
      <c r="EY126">
        <v>0</v>
      </c>
      <c r="EZ126">
        <v>749.0086</v>
      </c>
      <c r="FA126">
        <v>-3.5869230787078621</v>
      </c>
      <c r="FB126">
        <v>-55.946154083547093</v>
      </c>
      <c r="FC126">
        <v>18780.196</v>
      </c>
      <c r="FD126">
        <v>15</v>
      </c>
      <c r="FE126">
        <v>1689021032.0999999</v>
      </c>
      <c r="FF126" t="s">
        <v>980</v>
      </c>
      <c r="FG126">
        <v>1689021022.5999999</v>
      </c>
      <c r="FH126">
        <v>1689021032.0999999</v>
      </c>
      <c r="FI126">
        <v>123</v>
      </c>
      <c r="FJ126">
        <v>4.3999999999999997E-2</v>
      </c>
      <c r="FK126">
        <v>1.7000000000000001E-2</v>
      </c>
      <c r="FL126">
        <v>-1.0409999999999999</v>
      </c>
      <c r="FM126">
        <v>1.0999999999999999E-2</v>
      </c>
      <c r="FN126">
        <v>70</v>
      </c>
      <c r="FO126">
        <v>21</v>
      </c>
      <c r="FP126">
        <v>0.17</v>
      </c>
      <c r="FQ126">
        <v>0.01</v>
      </c>
      <c r="FR126">
        <v>12.24072128041988</v>
      </c>
      <c r="FS126">
        <v>0.290965182449963</v>
      </c>
      <c r="FT126">
        <v>2.8539572924338511E-2</v>
      </c>
      <c r="FU126">
        <v>1</v>
      </c>
      <c r="FV126">
        <v>0.50856068237875296</v>
      </c>
      <c r="FW126">
        <v>-4.3521660988652781E-2</v>
      </c>
      <c r="FX126">
        <v>4.5873930793371197E-3</v>
      </c>
      <c r="FY126">
        <v>1</v>
      </c>
      <c r="FZ126">
        <v>2</v>
      </c>
      <c r="GA126">
        <v>2</v>
      </c>
      <c r="GB126" t="s">
        <v>423</v>
      </c>
      <c r="GC126">
        <v>2.9437099999999998</v>
      </c>
      <c r="GD126">
        <v>2.7087599999999998</v>
      </c>
      <c r="GE126">
        <v>1.46257E-2</v>
      </c>
      <c r="GF126">
        <v>1.8319599999999998E-2</v>
      </c>
      <c r="GG126">
        <v>0.123858</v>
      </c>
      <c r="GH126">
        <v>9.5457200000000006E-2</v>
      </c>
      <c r="GI126">
        <v>32301.5</v>
      </c>
      <c r="GJ126">
        <v>31407.7</v>
      </c>
      <c r="GK126">
        <v>33788</v>
      </c>
      <c r="GL126">
        <v>32045.599999999999</v>
      </c>
      <c r="GM126">
        <v>42749.3</v>
      </c>
      <c r="GN126">
        <v>41248.9</v>
      </c>
      <c r="GO126">
        <v>48944.2</v>
      </c>
      <c r="GP126">
        <v>45366.9</v>
      </c>
      <c r="GQ126">
        <v>1.9648000000000001</v>
      </c>
      <c r="GR126">
        <v>1.7516</v>
      </c>
      <c r="GS126">
        <v>-4.4446399999999997E-2</v>
      </c>
      <c r="GT126">
        <v>0</v>
      </c>
      <c r="GU126">
        <v>30.617599999999999</v>
      </c>
      <c r="GV126">
        <v>999.9</v>
      </c>
      <c r="GW126">
        <v>30.1</v>
      </c>
      <c r="GX126">
        <v>43.9</v>
      </c>
      <c r="GY126">
        <v>27.663399999999999</v>
      </c>
      <c r="GZ126">
        <v>60.311100000000003</v>
      </c>
      <c r="HA126">
        <v>25.3125</v>
      </c>
      <c r="HB126">
        <v>1</v>
      </c>
      <c r="HC126">
        <v>0.57850400000000002</v>
      </c>
      <c r="HD126">
        <v>4.2476200000000004</v>
      </c>
      <c r="HE126">
        <v>20.171500000000002</v>
      </c>
      <c r="HF126">
        <v>5.2698499999999999</v>
      </c>
      <c r="HG126">
        <v>12.039899999999999</v>
      </c>
      <c r="HH126">
        <v>4.9657</v>
      </c>
      <c r="HI126">
        <v>3.3010000000000002</v>
      </c>
      <c r="HJ126">
        <v>9999</v>
      </c>
      <c r="HK126">
        <v>9999</v>
      </c>
      <c r="HL126">
        <v>9999</v>
      </c>
      <c r="HM126">
        <v>999.9</v>
      </c>
      <c r="HN126">
        <v>1.86859</v>
      </c>
      <c r="HO126">
        <v>1.87225</v>
      </c>
      <c r="HP126">
        <v>1.87201</v>
      </c>
      <c r="HQ126">
        <v>1.8714999999999999</v>
      </c>
      <c r="HR126">
        <v>1.8647800000000001</v>
      </c>
      <c r="HS126">
        <v>1.8659699999999999</v>
      </c>
      <c r="HT126">
        <v>1.8679600000000001</v>
      </c>
      <c r="HU126">
        <v>1.8725000000000001</v>
      </c>
      <c r="HV126">
        <v>0</v>
      </c>
      <c r="HW126">
        <v>0</v>
      </c>
      <c r="HX126">
        <v>0</v>
      </c>
      <c r="HY126">
        <v>0</v>
      </c>
      <c r="HZ126" t="s">
        <v>424</v>
      </c>
      <c r="IA126" t="s">
        <v>425</v>
      </c>
      <c r="IB126" t="s">
        <v>426</v>
      </c>
      <c r="IC126" t="s">
        <v>426</v>
      </c>
      <c r="ID126" t="s">
        <v>426</v>
      </c>
      <c r="IE126" t="s">
        <v>426</v>
      </c>
      <c r="IF126">
        <v>0</v>
      </c>
      <c r="IG126">
        <v>100</v>
      </c>
      <c r="IH126">
        <v>100</v>
      </c>
      <c r="II126">
        <v>-1.024</v>
      </c>
      <c r="IJ126">
        <v>1.14E-2</v>
      </c>
      <c r="IK126">
        <v>-0.95972897926462519</v>
      </c>
      <c r="IL126">
        <v>-1.171017271736434E-3</v>
      </c>
      <c r="IM126">
        <v>2.801297040296544E-7</v>
      </c>
      <c r="IN126">
        <v>-3.6238253961199429E-11</v>
      </c>
      <c r="IO126">
        <v>1.1464999999997619E-2</v>
      </c>
      <c r="IP126">
        <v>0</v>
      </c>
      <c r="IQ126">
        <v>0</v>
      </c>
      <c r="IR126">
        <v>0</v>
      </c>
      <c r="IS126">
        <v>0</v>
      </c>
      <c r="IT126">
        <v>2161</v>
      </c>
      <c r="IU126">
        <v>1</v>
      </c>
      <c r="IV126">
        <v>19</v>
      </c>
      <c r="IW126">
        <v>1.4</v>
      </c>
      <c r="IX126">
        <v>1.2</v>
      </c>
      <c r="IY126">
        <v>0.30029299999999998</v>
      </c>
      <c r="IZ126">
        <v>2.5622600000000002</v>
      </c>
      <c r="JA126">
        <v>1.4440900000000001</v>
      </c>
      <c r="JB126">
        <v>2.2814899999999998</v>
      </c>
      <c r="JC126">
        <v>1.54419</v>
      </c>
      <c r="JD126">
        <v>2.36694</v>
      </c>
      <c r="JE126">
        <v>47.331800000000001</v>
      </c>
      <c r="JF126">
        <v>24.008700000000001</v>
      </c>
      <c r="JG126">
        <v>18</v>
      </c>
      <c r="JH126">
        <v>511.625</v>
      </c>
      <c r="JI126">
        <v>412.125</v>
      </c>
      <c r="JJ126">
        <v>24.665800000000001</v>
      </c>
      <c r="JK126">
        <v>34.389499999999998</v>
      </c>
      <c r="JL126">
        <v>30.000699999999998</v>
      </c>
      <c r="JM126">
        <v>34.064700000000002</v>
      </c>
      <c r="JN126">
        <v>34.003399999999999</v>
      </c>
      <c r="JO126">
        <v>6.1302899999999996</v>
      </c>
      <c r="JP126">
        <v>39.294899999999998</v>
      </c>
      <c r="JQ126">
        <v>0</v>
      </c>
      <c r="JR126">
        <v>24.720300000000002</v>
      </c>
      <c r="JS126">
        <v>70</v>
      </c>
      <c r="JT126">
        <v>19.071100000000001</v>
      </c>
      <c r="JU126">
        <v>99.188299999999998</v>
      </c>
      <c r="JV126">
        <v>98.796300000000002</v>
      </c>
    </row>
    <row r="127" spans="1:282" x14ac:dyDescent="0.25">
      <c r="A127">
        <v>111</v>
      </c>
      <c r="B127">
        <v>1689021205.0999999</v>
      </c>
      <c r="C127">
        <v>22028.099999904629</v>
      </c>
      <c r="D127" t="s">
        <v>981</v>
      </c>
      <c r="E127" t="s">
        <v>982</v>
      </c>
      <c r="F127" t="s">
        <v>414</v>
      </c>
      <c r="G127" t="s">
        <v>415</v>
      </c>
      <c r="H127" t="s">
        <v>500</v>
      </c>
      <c r="I127" t="s">
        <v>500</v>
      </c>
      <c r="J127" t="s">
        <v>417</v>
      </c>
      <c r="K127">
        <v>1689021205.0999999</v>
      </c>
      <c r="L127">
        <f t="shared" si="138"/>
        <v>7.0037030189724217E-3</v>
      </c>
      <c r="M127">
        <f t="shared" si="139"/>
        <v>7.0037030189724216</v>
      </c>
      <c r="N127">
        <f t="shared" si="140"/>
        <v>5.4872049773720395</v>
      </c>
      <c r="O127">
        <f t="shared" si="141"/>
        <v>23.207000000000001</v>
      </c>
      <c r="P127">
        <f t="shared" si="142"/>
        <v>3.3102936640875149</v>
      </c>
      <c r="Q127">
        <f t="shared" si="143"/>
        <v>0.32828763554323304</v>
      </c>
      <c r="R127">
        <f t="shared" si="144"/>
        <v>2.3014789414920003</v>
      </c>
      <c r="S127">
        <f t="shared" si="145"/>
        <v>0.48390093364582693</v>
      </c>
      <c r="T127">
        <f t="shared" si="146"/>
        <v>2.9187921470094493</v>
      </c>
      <c r="U127">
        <f t="shared" si="147"/>
        <v>0.44334692549852128</v>
      </c>
      <c r="V127">
        <f t="shared" si="148"/>
        <v>0.28045167416203942</v>
      </c>
      <c r="W127">
        <f t="shared" si="149"/>
        <v>289.57502895815099</v>
      </c>
      <c r="X127">
        <f t="shared" si="150"/>
        <v>29.683884792043109</v>
      </c>
      <c r="Y127">
        <f t="shared" si="151"/>
        <v>30.005199999999999</v>
      </c>
      <c r="Z127">
        <f t="shared" si="152"/>
        <v>4.2617224651198287</v>
      </c>
      <c r="AA127">
        <f t="shared" si="153"/>
        <v>65.312681272003971</v>
      </c>
      <c r="AB127">
        <f t="shared" si="154"/>
        <v>2.7504592324308001</v>
      </c>
      <c r="AC127">
        <f t="shared" si="155"/>
        <v>4.2112177587322144</v>
      </c>
      <c r="AD127">
        <f t="shared" si="156"/>
        <v>1.5112632326890285</v>
      </c>
      <c r="AE127">
        <f t="shared" si="157"/>
        <v>-308.86330313668378</v>
      </c>
      <c r="AF127">
        <f t="shared" si="158"/>
        <v>-32.636033070413497</v>
      </c>
      <c r="AG127">
        <f t="shared" si="159"/>
        <v>-2.4837605576175017</v>
      </c>
      <c r="AH127">
        <f t="shared" si="160"/>
        <v>-54.408067806563814</v>
      </c>
      <c r="AI127">
        <v>0</v>
      </c>
      <c r="AJ127">
        <v>0</v>
      </c>
      <c r="AK127">
        <f t="shared" si="161"/>
        <v>1</v>
      </c>
      <c r="AL127">
        <f t="shared" si="162"/>
        <v>0</v>
      </c>
      <c r="AM127">
        <f t="shared" si="163"/>
        <v>52061.156801923156</v>
      </c>
      <c r="AN127" t="s">
        <v>418</v>
      </c>
      <c r="AO127">
        <v>10076.700000000001</v>
      </c>
      <c r="AP127">
        <v>185.01599999999999</v>
      </c>
      <c r="AQ127">
        <v>473.06</v>
      </c>
      <c r="AR127">
        <f t="shared" si="164"/>
        <v>0.60889527755464423</v>
      </c>
      <c r="AS127">
        <v>-1.4827006201179751</v>
      </c>
      <c r="AT127" t="s">
        <v>983</v>
      </c>
      <c r="AU127">
        <v>8082.22</v>
      </c>
      <c r="AV127">
        <v>757.8939230769231</v>
      </c>
      <c r="AW127">
        <v>826.95049895976069</v>
      </c>
      <c r="AX127">
        <f t="shared" si="165"/>
        <v>8.3507508574824474E-2</v>
      </c>
      <c r="AY127">
        <v>0.5</v>
      </c>
      <c r="AZ127">
        <f t="shared" si="166"/>
        <v>1513.2269994601818</v>
      </c>
      <c r="BA127">
        <f t="shared" si="167"/>
        <v>5.4872049773720395</v>
      </c>
      <c r="BB127">
        <f t="shared" si="168"/>
        <v>63.182908316538523</v>
      </c>
      <c r="BC127">
        <f t="shared" si="169"/>
        <v>4.6059881299873786E-3</v>
      </c>
      <c r="BD127">
        <f t="shared" si="170"/>
        <v>-0.42794641203424794</v>
      </c>
      <c r="BE127">
        <f t="shared" si="171"/>
        <v>222.20723959676732</v>
      </c>
      <c r="BF127" t="s">
        <v>984</v>
      </c>
      <c r="BG127">
        <v>607.63</v>
      </c>
      <c r="BH127">
        <f t="shared" si="172"/>
        <v>607.63</v>
      </c>
      <c r="BI127">
        <f t="shared" si="173"/>
        <v>0.26521599447082844</v>
      </c>
      <c r="BJ127">
        <f t="shared" si="174"/>
        <v>0.31486603491408061</v>
      </c>
      <c r="BK127">
        <f t="shared" si="175"/>
        <v>2.6297874634744796</v>
      </c>
      <c r="BL127">
        <f t="shared" si="176"/>
        <v>0.10757573552245922</v>
      </c>
      <c r="BM127">
        <f t="shared" si="177"/>
        <v>-1.2285987521342598</v>
      </c>
      <c r="BN127">
        <f t="shared" si="178"/>
        <v>0.25243908543046123</v>
      </c>
      <c r="BO127">
        <f t="shared" si="179"/>
        <v>0.74756091456953877</v>
      </c>
      <c r="BP127">
        <v>9275</v>
      </c>
      <c r="BQ127">
        <v>290.00000000000011</v>
      </c>
      <c r="BR127">
        <v>800.9</v>
      </c>
      <c r="BS127">
        <v>285</v>
      </c>
      <c r="BT127">
        <v>8082.22</v>
      </c>
      <c r="BU127">
        <v>800.35</v>
      </c>
      <c r="BV127">
        <v>0.55000000000000004</v>
      </c>
      <c r="BW127">
        <v>300.00000000000011</v>
      </c>
      <c r="BX127">
        <v>19.2</v>
      </c>
      <c r="BY127">
        <v>826.95049895976069</v>
      </c>
      <c r="BZ127">
        <v>1.952207563492472</v>
      </c>
      <c r="CA127">
        <v>-21.502972280250351</v>
      </c>
      <c r="CB127">
        <v>1.449822240129965</v>
      </c>
      <c r="CC127">
        <v>0.88708404213843517</v>
      </c>
      <c r="CD127">
        <v>-4.1635181312569599E-3</v>
      </c>
      <c r="CE127">
        <v>289.99999999999989</v>
      </c>
      <c r="CF127">
        <v>798.43</v>
      </c>
      <c r="CG127">
        <v>655</v>
      </c>
      <c r="CH127">
        <v>8074.96</v>
      </c>
      <c r="CI127">
        <v>800.32</v>
      </c>
      <c r="CJ127">
        <v>-1.89</v>
      </c>
      <c r="CX127">
        <f t="shared" si="180"/>
        <v>1800.05</v>
      </c>
      <c r="CY127">
        <f t="shared" si="181"/>
        <v>1513.2269994601818</v>
      </c>
      <c r="CZ127">
        <f t="shared" si="182"/>
        <v>0.84065831474691355</v>
      </c>
      <c r="DA127">
        <f t="shared" si="183"/>
        <v>0.16087054746154331</v>
      </c>
      <c r="DB127">
        <v>6</v>
      </c>
      <c r="DC127">
        <v>0.5</v>
      </c>
      <c r="DD127" t="s">
        <v>421</v>
      </c>
      <c r="DE127">
        <v>2</v>
      </c>
      <c r="DF127">
        <v>1689021205.0999999</v>
      </c>
      <c r="DG127">
        <v>23.207000000000001</v>
      </c>
      <c r="DH127">
        <v>29.985399999999998</v>
      </c>
      <c r="DI127">
        <v>27.734300000000001</v>
      </c>
      <c r="DJ127">
        <v>19.564499999999999</v>
      </c>
      <c r="DK127">
        <v>24.167999999999999</v>
      </c>
      <c r="DL127">
        <v>27.747299999999999</v>
      </c>
      <c r="DM127">
        <v>500.09500000000003</v>
      </c>
      <c r="DN127">
        <v>99.072000000000003</v>
      </c>
      <c r="DO127">
        <v>9.9755999999999997E-2</v>
      </c>
      <c r="DP127">
        <v>29.797799999999999</v>
      </c>
      <c r="DQ127">
        <v>30.005199999999999</v>
      </c>
      <c r="DR127">
        <v>999.9</v>
      </c>
      <c r="DS127">
        <v>0</v>
      </c>
      <c r="DT127">
        <v>0</v>
      </c>
      <c r="DU127">
        <v>10031.9</v>
      </c>
      <c r="DV127">
        <v>0</v>
      </c>
      <c r="DW127">
        <v>1429.97</v>
      </c>
      <c r="DX127">
        <v>-6.8052900000000003</v>
      </c>
      <c r="DY127">
        <v>23.841999999999999</v>
      </c>
      <c r="DZ127">
        <v>30.5838</v>
      </c>
      <c r="EA127">
        <v>8.1943000000000001</v>
      </c>
      <c r="EB127">
        <v>29.985399999999998</v>
      </c>
      <c r="EC127">
        <v>19.564499999999999</v>
      </c>
      <c r="ED127">
        <v>2.7501199999999999</v>
      </c>
      <c r="EE127">
        <v>1.9382999999999999</v>
      </c>
      <c r="EF127">
        <v>22.587700000000002</v>
      </c>
      <c r="EG127">
        <v>16.949100000000001</v>
      </c>
      <c r="EH127">
        <v>1800.05</v>
      </c>
      <c r="EI127">
        <v>0.977993</v>
      </c>
      <c r="EJ127">
        <v>2.2007100000000002E-2</v>
      </c>
      <c r="EK127">
        <v>0</v>
      </c>
      <c r="EL127">
        <v>757.46799999999996</v>
      </c>
      <c r="EM127">
        <v>5.00082</v>
      </c>
      <c r="EN127">
        <v>19081</v>
      </c>
      <c r="EO127">
        <v>14130.1</v>
      </c>
      <c r="EP127">
        <v>48.686999999999998</v>
      </c>
      <c r="EQ127">
        <v>50.436999999999998</v>
      </c>
      <c r="ER127">
        <v>49.686999999999998</v>
      </c>
      <c r="ES127">
        <v>49.436999999999998</v>
      </c>
      <c r="ET127">
        <v>49.811999999999998</v>
      </c>
      <c r="EU127">
        <v>1755.55</v>
      </c>
      <c r="EV127">
        <v>39.5</v>
      </c>
      <c r="EW127">
        <v>0</v>
      </c>
      <c r="EX127">
        <v>97.799999952316284</v>
      </c>
      <c r="EY127">
        <v>0</v>
      </c>
      <c r="EZ127">
        <v>757.8939230769231</v>
      </c>
      <c r="FA127">
        <v>-3.3539145202750151</v>
      </c>
      <c r="FB127">
        <v>-47.712820499412203</v>
      </c>
      <c r="FC127">
        <v>19091.376923076921</v>
      </c>
      <c r="FD127">
        <v>15</v>
      </c>
      <c r="FE127">
        <v>1689021236.0999999</v>
      </c>
      <c r="FF127" t="s">
        <v>985</v>
      </c>
      <c r="FG127">
        <v>1689021232.0999999</v>
      </c>
      <c r="FH127">
        <v>1689021236.0999999</v>
      </c>
      <c r="FI127">
        <v>124</v>
      </c>
      <c r="FJ127">
        <v>3.4000000000000002E-2</v>
      </c>
      <c r="FK127">
        <v>-2.4E-2</v>
      </c>
      <c r="FL127">
        <v>-0.96099999999999997</v>
      </c>
      <c r="FM127">
        <v>-1.2999999999999999E-2</v>
      </c>
      <c r="FN127">
        <v>30</v>
      </c>
      <c r="FO127">
        <v>20</v>
      </c>
      <c r="FP127">
        <v>0.15</v>
      </c>
      <c r="FQ127">
        <v>0.01</v>
      </c>
      <c r="FR127">
        <v>5.4944175821994881</v>
      </c>
      <c r="FS127">
        <v>-3.122332195813389E-2</v>
      </c>
      <c r="FT127">
        <v>9.8995654099028815E-3</v>
      </c>
      <c r="FU127">
        <v>1</v>
      </c>
      <c r="FV127">
        <v>0.48013834736383298</v>
      </c>
      <c r="FW127">
        <v>3.8917524485855913E-2</v>
      </c>
      <c r="FX127">
        <v>3.5510001461959628E-3</v>
      </c>
      <c r="FY127">
        <v>1</v>
      </c>
      <c r="FZ127">
        <v>2</v>
      </c>
      <c r="GA127">
        <v>2</v>
      </c>
      <c r="GB127" t="s">
        <v>423</v>
      </c>
      <c r="GC127">
        <v>2.9436499999999999</v>
      </c>
      <c r="GD127">
        <v>2.7086999999999999</v>
      </c>
      <c r="GE127">
        <v>6.3482699999999996E-3</v>
      </c>
      <c r="GF127">
        <v>7.90451E-3</v>
      </c>
      <c r="GG127">
        <v>0.12471400000000001</v>
      </c>
      <c r="GH127">
        <v>9.7586900000000004E-2</v>
      </c>
      <c r="GI127">
        <v>32561.8</v>
      </c>
      <c r="GJ127">
        <v>31730</v>
      </c>
      <c r="GK127">
        <v>33778.199999999997</v>
      </c>
      <c r="GL127">
        <v>32036.2</v>
      </c>
      <c r="GM127">
        <v>42697.4</v>
      </c>
      <c r="GN127">
        <v>41140.1</v>
      </c>
      <c r="GO127">
        <v>48932</v>
      </c>
      <c r="GP127">
        <v>45353.9</v>
      </c>
      <c r="GQ127">
        <v>1.96292</v>
      </c>
      <c r="GR127">
        <v>1.75038</v>
      </c>
      <c r="GS127">
        <v>-4.75012E-2</v>
      </c>
      <c r="GT127">
        <v>0</v>
      </c>
      <c r="GU127">
        <v>30.777699999999999</v>
      </c>
      <c r="GV127">
        <v>999.9</v>
      </c>
      <c r="GW127">
        <v>30.4</v>
      </c>
      <c r="GX127">
        <v>44</v>
      </c>
      <c r="GY127">
        <v>28.0837</v>
      </c>
      <c r="GZ127">
        <v>60.3611</v>
      </c>
      <c r="HA127">
        <v>25.649000000000001</v>
      </c>
      <c r="HB127">
        <v>1</v>
      </c>
      <c r="HC127">
        <v>0.58841200000000005</v>
      </c>
      <c r="HD127">
        <v>3.4008600000000002</v>
      </c>
      <c r="HE127">
        <v>20.190300000000001</v>
      </c>
      <c r="HF127">
        <v>5.2706</v>
      </c>
      <c r="HG127">
        <v>12.039899999999999</v>
      </c>
      <c r="HH127">
        <v>4.9655500000000004</v>
      </c>
      <c r="HI127">
        <v>3.3010000000000002</v>
      </c>
      <c r="HJ127">
        <v>9999</v>
      </c>
      <c r="HK127">
        <v>9999</v>
      </c>
      <c r="HL127">
        <v>9999</v>
      </c>
      <c r="HM127">
        <v>999.9</v>
      </c>
      <c r="HN127">
        <v>1.86859</v>
      </c>
      <c r="HO127">
        <v>1.87225</v>
      </c>
      <c r="HP127">
        <v>1.8720300000000001</v>
      </c>
      <c r="HQ127">
        <v>1.8714900000000001</v>
      </c>
      <c r="HR127">
        <v>1.8647800000000001</v>
      </c>
      <c r="HS127">
        <v>1.8660000000000001</v>
      </c>
      <c r="HT127">
        <v>1.8679699999999999</v>
      </c>
      <c r="HU127">
        <v>1.87253</v>
      </c>
      <c r="HV127">
        <v>0</v>
      </c>
      <c r="HW127">
        <v>0</v>
      </c>
      <c r="HX127">
        <v>0</v>
      </c>
      <c r="HY127">
        <v>0</v>
      </c>
      <c r="HZ127" t="s">
        <v>424</v>
      </c>
      <c r="IA127" t="s">
        <v>425</v>
      </c>
      <c r="IB127" t="s">
        <v>426</v>
      </c>
      <c r="IC127" t="s">
        <v>426</v>
      </c>
      <c r="ID127" t="s">
        <v>426</v>
      </c>
      <c r="IE127" t="s">
        <v>426</v>
      </c>
      <c r="IF127">
        <v>0</v>
      </c>
      <c r="IG127">
        <v>100</v>
      </c>
      <c r="IH127">
        <v>100</v>
      </c>
      <c r="II127">
        <v>-0.96099999999999997</v>
      </c>
      <c r="IJ127">
        <v>-1.2999999999999999E-2</v>
      </c>
      <c r="IK127">
        <v>-0.95972897926462519</v>
      </c>
      <c r="IL127">
        <v>-1.171017271736434E-3</v>
      </c>
      <c r="IM127">
        <v>2.801297040296544E-7</v>
      </c>
      <c r="IN127">
        <v>-3.6238253961199429E-11</v>
      </c>
      <c r="IO127">
        <v>1.1464999999997619E-2</v>
      </c>
      <c r="IP127">
        <v>0</v>
      </c>
      <c r="IQ127">
        <v>0</v>
      </c>
      <c r="IR127">
        <v>0</v>
      </c>
      <c r="IS127">
        <v>0</v>
      </c>
      <c r="IT127">
        <v>2161</v>
      </c>
      <c r="IU127">
        <v>1</v>
      </c>
      <c r="IV127">
        <v>19</v>
      </c>
      <c r="IW127">
        <v>3</v>
      </c>
      <c r="IX127">
        <v>2.9</v>
      </c>
      <c r="IY127">
        <v>0.20996100000000001</v>
      </c>
      <c r="IZ127">
        <v>2.5781200000000002</v>
      </c>
      <c r="JA127">
        <v>1.4440900000000001</v>
      </c>
      <c r="JB127">
        <v>2.2814899999999998</v>
      </c>
      <c r="JC127">
        <v>1.54419</v>
      </c>
      <c r="JD127">
        <v>2.4523899999999998</v>
      </c>
      <c r="JE127">
        <v>47.421599999999998</v>
      </c>
      <c r="JF127">
        <v>24.043700000000001</v>
      </c>
      <c r="JG127">
        <v>18</v>
      </c>
      <c r="JH127">
        <v>511.46600000000001</v>
      </c>
      <c r="JI127">
        <v>412.29300000000001</v>
      </c>
      <c r="JJ127">
        <v>24.185500000000001</v>
      </c>
      <c r="JK127">
        <v>34.535899999999998</v>
      </c>
      <c r="JL127">
        <v>29.993600000000001</v>
      </c>
      <c r="JM127">
        <v>34.202399999999997</v>
      </c>
      <c r="JN127">
        <v>34.142000000000003</v>
      </c>
      <c r="JO127">
        <v>4.3090700000000002</v>
      </c>
      <c r="JP127">
        <v>37.5137</v>
      </c>
      <c r="JQ127">
        <v>0</v>
      </c>
      <c r="JR127">
        <v>24.374099999999999</v>
      </c>
      <c r="JS127">
        <v>30</v>
      </c>
      <c r="JT127">
        <v>19.454799999999999</v>
      </c>
      <c r="JU127">
        <v>99.162099999999995</v>
      </c>
      <c r="JV127">
        <v>98.767799999999994</v>
      </c>
    </row>
    <row r="128" spans="1:282" x14ac:dyDescent="0.25">
      <c r="A128">
        <v>112</v>
      </c>
      <c r="B128">
        <v>1689021380.5999999</v>
      </c>
      <c r="C128">
        <v>22203.599999904629</v>
      </c>
      <c r="D128" t="s">
        <v>986</v>
      </c>
      <c r="E128" t="s">
        <v>987</v>
      </c>
      <c r="F128" t="s">
        <v>414</v>
      </c>
      <c r="G128" t="s">
        <v>415</v>
      </c>
      <c r="H128" t="s">
        <v>500</v>
      </c>
      <c r="I128" t="s">
        <v>500</v>
      </c>
      <c r="J128" t="s">
        <v>417</v>
      </c>
      <c r="K128">
        <v>1689021380.5999999</v>
      </c>
      <c r="L128">
        <f t="shared" si="138"/>
        <v>7.2688387668555544E-3</v>
      </c>
      <c r="M128">
        <f t="shared" si="139"/>
        <v>7.2688387668555547</v>
      </c>
      <c r="N128">
        <f t="shared" si="140"/>
        <v>2.1123193673950738</v>
      </c>
      <c r="O128">
        <f t="shared" si="141"/>
        <v>7.3601599999999996</v>
      </c>
      <c r="P128">
        <f t="shared" si="142"/>
        <v>0.21094834321911968</v>
      </c>
      <c r="Q128">
        <f t="shared" si="143"/>
        <v>2.0919871846416107E-2</v>
      </c>
      <c r="R128">
        <f t="shared" si="144"/>
        <v>0.72991141631854406</v>
      </c>
      <c r="S128">
        <f t="shared" si="145"/>
        <v>0.51916549399690448</v>
      </c>
      <c r="T128">
        <f t="shared" si="146"/>
        <v>2.9184393340815955</v>
      </c>
      <c r="U128">
        <f t="shared" si="147"/>
        <v>0.47278332956416286</v>
      </c>
      <c r="V128">
        <f t="shared" si="148"/>
        <v>0.29931075663176243</v>
      </c>
      <c r="W128">
        <f t="shared" si="149"/>
        <v>289.55689395835117</v>
      </c>
      <c r="X128">
        <f t="shared" si="150"/>
        <v>29.560795197977356</v>
      </c>
      <c r="Y128">
        <f t="shared" si="151"/>
        <v>29.862100000000002</v>
      </c>
      <c r="Z128">
        <f t="shared" si="152"/>
        <v>4.2268195846939909</v>
      </c>
      <c r="AA128">
        <f t="shared" si="153"/>
        <v>65.642571231123412</v>
      </c>
      <c r="AB128">
        <f t="shared" si="154"/>
        <v>2.75579204816556</v>
      </c>
      <c r="AC128">
        <f t="shared" si="155"/>
        <v>4.1981780976595013</v>
      </c>
      <c r="AD128">
        <f t="shared" si="156"/>
        <v>1.4710275365284309</v>
      </c>
      <c r="AE128">
        <f t="shared" si="157"/>
        <v>-320.55578961832992</v>
      </c>
      <c r="AF128">
        <f t="shared" si="158"/>
        <v>-18.597458142998882</v>
      </c>
      <c r="AG128">
        <f t="shared" si="159"/>
        <v>-1.414147353294078</v>
      </c>
      <c r="AH128">
        <f t="shared" si="160"/>
        <v>-51.010501156271722</v>
      </c>
      <c r="AI128">
        <v>0</v>
      </c>
      <c r="AJ128">
        <v>0</v>
      </c>
      <c r="AK128">
        <f t="shared" si="161"/>
        <v>1</v>
      </c>
      <c r="AL128">
        <f t="shared" si="162"/>
        <v>0</v>
      </c>
      <c r="AM128">
        <f t="shared" si="163"/>
        <v>52060.343557004737</v>
      </c>
      <c r="AN128" t="s">
        <v>418</v>
      </c>
      <c r="AO128">
        <v>10076.700000000001</v>
      </c>
      <c r="AP128">
        <v>185.01599999999999</v>
      </c>
      <c r="AQ128">
        <v>473.06</v>
      </c>
      <c r="AR128">
        <f t="shared" si="164"/>
        <v>0.60889527755464423</v>
      </c>
      <c r="AS128">
        <v>-1.4827006201179751</v>
      </c>
      <c r="AT128" t="s">
        <v>988</v>
      </c>
      <c r="AU128">
        <v>8082.57</v>
      </c>
      <c r="AV128">
        <v>759.23461538461538</v>
      </c>
      <c r="AW128">
        <v>808.89605209435445</v>
      </c>
      <c r="AX128">
        <f t="shared" si="165"/>
        <v>6.1394089612822444E-2</v>
      </c>
      <c r="AY128">
        <v>0.5</v>
      </c>
      <c r="AZ128">
        <f t="shared" si="166"/>
        <v>1513.1342994602855</v>
      </c>
      <c r="BA128">
        <f t="shared" si="167"/>
        <v>2.1123193673950738</v>
      </c>
      <c r="BB128">
        <f t="shared" si="168"/>
        <v>46.448751388650038</v>
      </c>
      <c r="BC128">
        <f t="shared" si="169"/>
        <v>2.3758763440861418E-3</v>
      </c>
      <c r="BD128">
        <f t="shared" si="170"/>
        <v>-0.41517825587703638</v>
      </c>
      <c r="BE128">
        <f t="shared" si="171"/>
        <v>220.88249710778499</v>
      </c>
      <c r="BF128" t="s">
        <v>989</v>
      </c>
      <c r="BG128">
        <v>615.54999999999995</v>
      </c>
      <c r="BH128">
        <f t="shared" si="172"/>
        <v>615.54999999999995</v>
      </c>
      <c r="BI128">
        <f t="shared" si="173"/>
        <v>0.23902459604513127</v>
      </c>
      <c r="BJ128">
        <f t="shared" si="174"/>
        <v>0.25685260273896809</v>
      </c>
      <c r="BK128">
        <f t="shared" si="175"/>
        <v>2.3569096223900243</v>
      </c>
      <c r="BL128">
        <f t="shared" si="176"/>
        <v>7.9600936979835279E-2</v>
      </c>
      <c r="BM128">
        <f t="shared" si="177"/>
        <v>-1.1659192765492579</v>
      </c>
      <c r="BN128">
        <f t="shared" si="178"/>
        <v>0.20824342885878322</v>
      </c>
      <c r="BO128">
        <f t="shared" si="179"/>
        <v>0.79175657114121678</v>
      </c>
      <c r="BP128">
        <v>9277</v>
      </c>
      <c r="BQ128">
        <v>290.00000000000011</v>
      </c>
      <c r="BR128">
        <v>791.12</v>
      </c>
      <c r="BS128">
        <v>245</v>
      </c>
      <c r="BT128">
        <v>8082.57</v>
      </c>
      <c r="BU128">
        <v>790.11</v>
      </c>
      <c r="BV128">
        <v>1.01</v>
      </c>
      <c r="BW128">
        <v>300.00000000000011</v>
      </c>
      <c r="BX128">
        <v>19.2</v>
      </c>
      <c r="BY128">
        <v>808.89605209435445</v>
      </c>
      <c r="BZ128">
        <v>2.2021209085938338</v>
      </c>
      <c r="CA128">
        <v>-15.18394430292787</v>
      </c>
      <c r="CB128">
        <v>1.6350787842476719</v>
      </c>
      <c r="CC128">
        <v>0.75489475614976609</v>
      </c>
      <c r="CD128">
        <v>-4.162938375973306E-3</v>
      </c>
      <c r="CE128">
        <v>289.99999999999989</v>
      </c>
      <c r="CF128">
        <v>788.91</v>
      </c>
      <c r="CG128">
        <v>645</v>
      </c>
      <c r="CH128">
        <v>8073.59</v>
      </c>
      <c r="CI128">
        <v>790.09</v>
      </c>
      <c r="CJ128">
        <v>-1.18</v>
      </c>
      <c r="CX128">
        <f t="shared" si="180"/>
        <v>1799.94</v>
      </c>
      <c r="CY128">
        <f t="shared" si="181"/>
        <v>1513.1342994602855</v>
      </c>
      <c r="CZ128">
        <f t="shared" si="182"/>
        <v>0.84065818830643546</v>
      </c>
      <c r="DA128">
        <f t="shared" si="183"/>
        <v>0.16087030343142059</v>
      </c>
      <c r="DB128">
        <v>6</v>
      </c>
      <c r="DC128">
        <v>0.5</v>
      </c>
      <c r="DD128" t="s">
        <v>421</v>
      </c>
      <c r="DE128">
        <v>2</v>
      </c>
      <c r="DF128">
        <v>1689021380.5999999</v>
      </c>
      <c r="DG128">
        <v>7.3601599999999996</v>
      </c>
      <c r="DH128">
        <v>9.9588000000000001</v>
      </c>
      <c r="DI128">
        <v>27.788399999999999</v>
      </c>
      <c r="DJ128">
        <v>19.3093</v>
      </c>
      <c r="DK128">
        <v>8.3052700000000002</v>
      </c>
      <c r="DL128">
        <v>27.808</v>
      </c>
      <c r="DM128">
        <v>500.06599999999997</v>
      </c>
      <c r="DN128">
        <v>99.070800000000006</v>
      </c>
      <c r="DO128">
        <v>9.9790900000000002E-2</v>
      </c>
      <c r="DP128">
        <v>29.7439</v>
      </c>
      <c r="DQ128">
        <v>29.862100000000002</v>
      </c>
      <c r="DR128">
        <v>999.9</v>
      </c>
      <c r="DS128">
        <v>0</v>
      </c>
      <c r="DT128">
        <v>0</v>
      </c>
      <c r="DU128">
        <v>10030</v>
      </c>
      <c r="DV128">
        <v>0</v>
      </c>
      <c r="DW128">
        <v>660.63800000000003</v>
      </c>
      <c r="DX128">
        <v>-2.5986400000000001</v>
      </c>
      <c r="DY128">
        <v>7.5705299999999998</v>
      </c>
      <c r="DZ128">
        <v>10.1549</v>
      </c>
      <c r="EA128">
        <v>8.4791500000000006</v>
      </c>
      <c r="EB128">
        <v>9.9588000000000001</v>
      </c>
      <c r="EC128">
        <v>19.3093</v>
      </c>
      <c r="ED128">
        <v>2.7530199999999998</v>
      </c>
      <c r="EE128">
        <v>1.9129799999999999</v>
      </c>
      <c r="EF128">
        <v>22.6051</v>
      </c>
      <c r="EG128">
        <v>16.741900000000001</v>
      </c>
      <c r="EH128">
        <v>1799.94</v>
      </c>
      <c r="EI128">
        <v>0.97799999999999998</v>
      </c>
      <c r="EJ128">
        <v>2.1999899999999999E-2</v>
      </c>
      <c r="EK128">
        <v>0</v>
      </c>
      <c r="EL128">
        <v>759.02099999999996</v>
      </c>
      <c r="EM128">
        <v>5.00082</v>
      </c>
      <c r="EN128">
        <v>16291.7</v>
      </c>
      <c r="EO128">
        <v>14129.3</v>
      </c>
      <c r="EP128">
        <v>49</v>
      </c>
      <c r="EQ128">
        <v>50.811999999999998</v>
      </c>
      <c r="ER128">
        <v>49.936999999999998</v>
      </c>
      <c r="ES128">
        <v>49.875</v>
      </c>
      <c r="ET128">
        <v>50.061999999999998</v>
      </c>
      <c r="EU128">
        <v>1755.45</v>
      </c>
      <c r="EV128">
        <v>39.49</v>
      </c>
      <c r="EW128">
        <v>0</v>
      </c>
      <c r="EX128">
        <v>173.39999985694891</v>
      </c>
      <c r="EY128">
        <v>0</v>
      </c>
      <c r="EZ128">
        <v>759.23461538461538</v>
      </c>
      <c r="FA128">
        <v>-2.3258119695155051</v>
      </c>
      <c r="FB128">
        <v>-14654.290595788279</v>
      </c>
      <c r="FC128">
        <v>18146.3</v>
      </c>
      <c r="FD128">
        <v>15</v>
      </c>
      <c r="FE128">
        <v>1689021328.5999999</v>
      </c>
      <c r="FF128" t="s">
        <v>990</v>
      </c>
      <c r="FG128">
        <v>1689021315.0999999</v>
      </c>
      <c r="FH128">
        <v>1689021328.5999999</v>
      </c>
      <c r="FI128">
        <v>125</v>
      </c>
      <c r="FJ128">
        <v>-0.01</v>
      </c>
      <c r="FK128">
        <v>-7.0000000000000001E-3</v>
      </c>
      <c r="FL128">
        <v>-0.94799999999999995</v>
      </c>
      <c r="FM128">
        <v>-0.02</v>
      </c>
      <c r="FN128">
        <v>10</v>
      </c>
      <c r="FO128">
        <v>19</v>
      </c>
      <c r="FP128">
        <v>0.25</v>
      </c>
      <c r="FQ128">
        <v>0.01</v>
      </c>
      <c r="FR128">
        <v>2.0622520568653311</v>
      </c>
      <c r="FS128">
        <v>0.65522005443361897</v>
      </c>
      <c r="FT128">
        <v>5.4893584608921818E-2</v>
      </c>
      <c r="FU128">
        <v>1</v>
      </c>
      <c r="FV128">
        <v>0.50394207927625789</v>
      </c>
      <c r="FW128">
        <v>3.734666505550828E-2</v>
      </c>
      <c r="FX128">
        <v>3.191293942174466E-3</v>
      </c>
      <c r="FY128">
        <v>1</v>
      </c>
      <c r="FZ128">
        <v>2</v>
      </c>
      <c r="GA128">
        <v>2</v>
      </c>
      <c r="GB128" t="s">
        <v>423</v>
      </c>
      <c r="GC128">
        <v>2.94339</v>
      </c>
      <c r="GD128">
        <v>2.70871</v>
      </c>
      <c r="GE128">
        <v>2.1797399999999999E-3</v>
      </c>
      <c r="GF128">
        <v>2.6248299999999999E-3</v>
      </c>
      <c r="GG128">
        <v>0.12482</v>
      </c>
      <c r="GH128">
        <v>9.6612299999999998E-2</v>
      </c>
      <c r="GI128">
        <v>32674.7</v>
      </c>
      <c r="GJ128">
        <v>31877.3</v>
      </c>
      <c r="GK128">
        <v>33756.1</v>
      </c>
      <c r="GL128">
        <v>32016.799999999999</v>
      </c>
      <c r="GM128">
        <v>42668</v>
      </c>
      <c r="GN128">
        <v>41159.9</v>
      </c>
      <c r="GO128">
        <v>48903</v>
      </c>
      <c r="GP128">
        <v>45326.5</v>
      </c>
      <c r="GQ128">
        <v>1.95895</v>
      </c>
      <c r="GR128">
        <v>1.74492</v>
      </c>
      <c r="GS128">
        <v>-7.3976799999999995E-2</v>
      </c>
      <c r="GT128">
        <v>0</v>
      </c>
      <c r="GU128">
        <v>31.065000000000001</v>
      </c>
      <c r="GV128">
        <v>999.9</v>
      </c>
      <c r="GW128">
        <v>30.9</v>
      </c>
      <c r="GX128">
        <v>44</v>
      </c>
      <c r="GY128">
        <v>28.546600000000002</v>
      </c>
      <c r="GZ128">
        <v>60.411099999999998</v>
      </c>
      <c r="HA128">
        <v>25.769200000000001</v>
      </c>
      <c r="HB128">
        <v>1</v>
      </c>
      <c r="HC128">
        <v>0.62071600000000005</v>
      </c>
      <c r="HD128">
        <v>4.3845299999999998</v>
      </c>
      <c r="HE128">
        <v>20.167000000000002</v>
      </c>
      <c r="HF128">
        <v>5.2640099999999999</v>
      </c>
      <c r="HG128">
        <v>12.039899999999999</v>
      </c>
      <c r="HH128">
        <v>4.96495</v>
      </c>
      <c r="HI128">
        <v>3.3002500000000001</v>
      </c>
      <c r="HJ128">
        <v>9999</v>
      </c>
      <c r="HK128">
        <v>9999</v>
      </c>
      <c r="HL128">
        <v>9999</v>
      </c>
      <c r="HM128">
        <v>999.9</v>
      </c>
      <c r="HN128">
        <v>1.86859</v>
      </c>
      <c r="HO128">
        <v>1.87225</v>
      </c>
      <c r="HP128">
        <v>1.8719699999999999</v>
      </c>
      <c r="HQ128">
        <v>1.8714900000000001</v>
      </c>
      <c r="HR128">
        <v>1.86477</v>
      </c>
      <c r="HS128">
        <v>1.86591</v>
      </c>
      <c r="HT128">
        <v>1.8679399999999999</v>
      </c>
      <c r="HU128">
        <v>1.87253</v>
      </c>
      <c r="HV128">
        <v>0</v>
      </c>
      <c r="HW128">
        <v>0</v>
      </c>
      <c r="HX128">
        <v>0</v>
      </c>
      <c r="HY128">
        <v>0</v>
      </c>
      <c r="HZ128" t="s">
        <v>424</v>
      </c>
      <c r="IA128" t="s">
        <v>425</v>
      </c>
      <c r="IB128" t="s">
        <v>426</v>
      </c>
      <c r="IC128" t="s">
        <v>426</v>
      </c>
      <c r="ID128" t="s">
        <v>426</v>
      </c>
      <c r="IE128" t="s">
        <v>426</v>
      </c>
      <c r="IF128">
        <v>0</v>
      </c>
      <c r="IG128">
        <v>100</v>
      </c>
      <c r="IH128">
        <v>100</v>
      </c>
      <c r="II128">
        <v>-0.94499999999999995</v>
      </c>
      <c r="IJ128">
        <v>-1.9599999999999999E-2</v>
      </c>
      <c r="IK128">
        <v>-0.93541213810683799</v>
      </c>
      <c r="IL128">
        <v>-1.171017271736434E-3</v>
      </c>
      <c r="IM128">
        <v>2.801297040296544E-7</v>
      </c>
      <c r="IN128">
        <v>-3.6238253961199429E-11</v>
      </c>
      <c r="IO128">
        <v>-1.9561904761907559E-2</v>
      </c>
      <c r="IP128">
        <v>0</v>
      </c>
      <c r="IQ128">
        <v>0</v>
      </c>
      <c r="IR128">
        <v>0</v>
      </c>
      <c r="IS128">
        <v>0</v>
      </c>
      <c r="IT128">
        <v>2161</v>
      </c>
      <c r="IU128">
        <v>1</v>
      </c>
      <c r="IV128">
        <v>19</v>
      </c>
      <c r="IW128">
        <v>1.1000000000000001</v>
      </c>
      <c r="IX128">
        <v>0.9</v>
      </c>
      <c r="IY128">
        <v>0.164795</v>
      </c>
      <c r="IZ128">
        <v>2.6025399999999999</v>
      </c>
      <c r="JA128">
        <v>1.4440900000000001</v>
      </c>
      <c r="JB128">
        <v>2.2814899999999998</v>
      </c>
      <c r="JC128">
        <v>1.54419</v>
      </c>
      <c r="JD128">
        <v>2.4377399999999998</v>
      </c>
      <c r="JE128">
        <v>47.632100000000001</v>
      </c>
      <c r="JF128">
        <v>24.052499999999998</v>
      </c>
      <c r="JG128">
        <v>18</v>
      </c>
      <c r="JH128">
        <v>511.09500000000003</v>
      </c>
      <c r="JI128">
        <v>410.82799999999997</v>
      </c>
      <c r="JJ128">
        <v>23.7485</v>
      </c>
      <c r="JK128">
        <v>34.837800000000001</v>
      </c>
      <c r="JL128">
        <v>29.996099999999998</v>
      </c>
      <c r="JM128">
        <v>34.491799999999998</v>
      </c>
      <c r="JN128">
        <v>34.427999999999997</v>
      </c>
      <c r="JO128">
        <v>3.4154900000000001</v>
      </c>
      <c r="JP128">
        <v>41.555999999999997</v>
      </c>
      <c r="JQ128">
        <v>0</v>
      </c>
      <c r="JR128">
        <v>23.902799999999999</v>
      </c>
      <c r="JS128">
        <v>10</v>
      </c>
      <c r="JT128">
        <v>19.0703</v>
      </c>
      <c r="JU128">
        <v>99.100800000000007</v>
      </c>
      <c r="JV128">
        <v>98.707999999999998</v>
      </c>
    </row>
    <row r="129" spans="1:282" x14ac:dyDescent="0.25">
      <c r="A129">
        <v>113</v>
      </c>
      <c r="B129">
        <v>1689021570.0999999</v>
      </c>
      <c r="C129">
        <v>22393.099999904629</v>
      </c>
      <c r="D129" t="s">
        <v>991</v>
      </c>
      <c r="E129" t="s">
        <v>992</v>
      </c>
      <c r="F129" t="s">
        <v>414</v>
      </c>
      <c r="G129" t="s">
        <v>415</v>
      </c>
      <c r="H129" t="s">
        <v>500</v>
      </c>
      <c r="I129" t="s">
        <v>500</v>
      </c>
      <c r="J129" t="s">
        <v>417</v>
      </c>
      <c r="K129">
        <v>1689021570.0999999</v>
      </c>
      <c r="L129">
        <f t="shared" si="138"/>
        <v>6.2716027740035247E-3</v>
      </c>
      <c r="M129">
        <f t="shared" si="139"/>
        <v>6.2716027740035249</v>
      </c>
      <c r="N129">
        <f t="shared" si="140"/>
        <v>46.885556775618475</v>
      </c>
      <c r="O129">
        <f t="shared" si="141"/>
        <v>341.233</v>
      </c>
      <c r="P129">
        <f t="shared" si="142"/>
        <v>150.08598672656629</v>
      </c>
      <c r="Q129">
        <f t="shared" si="143"/>
        <v>14.88414136902349</v>
      </c>
      <c r="R129">
        <f t="shared" si="144"/>
        <v>33.84033594708</v>
      </c>
      <c r="S129">
        <f t="shared" si="145"/>
        <v>0.43391287437096998</v>
      </c>
      <c r="T129">
        <f t="shared" si="146"/>
        <v>2.91386233317081</v>
      </c>
      <c r="U129">
        <f t="shared" si="147"/>
        <v>0.40094846789336269</v>
      </c>
      <c r="V129">
        <f t="shared" si="148"/>
        <v>0.25334549939518408</v>
      </c>
      <c r="W129">
        <f t="shared" si="149"/>
        <v>289.5766249581568</v>
      </c>
      <c r="X129">
        <f t="shared" si="150"/>
        <v>30.28236954316721</v>
      </c>
      <c r="Y129">
        <f t="shared" si="151"/>
        <v>30.192399999999999</v>
      </c>
      <c r="Z129">
        <f t="shared" si="152"/>
        <v>4.307760623122471</v>
      </c>
      <c r="AA129">
        <f t="shared" si="153"/>
        <v>65.233725481205511</v>
      </c>
      <c r="AB129">
        <f t="shared" si="154"/>
        <v>2.8122249096239997</v>
      </c>
      <c r="AC129">
        <f t="shared" si="155"/>
        <v>4.310998473380506</v>
      </c>
      <c r="AD129">
        <f t="shared" si="156"/>
        <v>1.4955357134984713</v>
      </c>
      <c r="AE129">
        <f t="shared" si="157"/>
        <v>-276.57768233355546</v>
      </c>
      <c r="AF129">
        <f t="shared" si="158"/>
        <v>2.0579071139875786</v>
      </c>
      <c r="AG129">
        <f t="shared" si="159"/>
        <v>0.15734430408788538</v>
      </c>
      <c r="AH129">
        <f t="shared" si="160"/>
        <v>15.214194042676791</v>
      </c>
      <c r="AI129">
        <v>0</v>
      </c>
      <c r="AJ129">
        <v>0</v>
      </c>
      <c r="AK129">
        <f t="shared" si="161"/>
        <v>1</v>
      </c>
      <c r="AL129">
        <f t="shared" si="162"/>
        <v>0</v>
      </c>
      <c r="AM129">
        <f t="shared" si="163"/>
        <v>51850.901765992836</v>
      </c>
      <c r="AN129" t="s">
        <v>418</v>
      </c>
      <c r="AO129">
        <v>10076.700000000001</v>
      </c>
      <c r="AP129">
        <v>185.01599999999999</v>
      </c>
      <c r="AQ129">
        <v>473.06</v>
      </c>
      <c r="AR129">
        <f t="shared" si="164"/>
        <v>0.60889527755464423</v>
      </c>
      <c r="AS129">
        <v>-1.4827006201179751</v>
      </c>
      <c r="AT129" t="s">
        <v>993</v>
      </c>
      <c r="AU129">
        <v>8084.53</v>
      </c>
      <c r="AV129">
        <v>706.33392307692316</v>
      </c>
      <c r="AW129">
        <v>1088.228177285582</v>
      </c>
      <c r="AX129">
        <f t="shared" si="165"/>
        <v>0.35093215024190549</v>
      </c>
      <c r="AY129">
        <v>0.5</v>
      </c>
      <c r="AZ129">
        <f t="shared" si="166"/>
        <v>1513.2353994601847</v>
      </c>
      <c r="BA129">
        <f t="shared" si="167"/>
        <v>46.885556775618475</v>
      </c>
      <c r="BB129">
        <f t="shared" si="168"/>
        <v>265.52147627736571</v>
      </c>
      <c r="BC129">
        <f t="shared" si="169"/>
        <v>3.1963472050013382E-2</v>
      </c>
      <c r="BD129">
        <f t="shared" si="170"/>
        <v>-0.56529337332545881</v>
      </c>
      <c r="BE129">
        <f t="shared" si="171"/>
        <v>237.53160260584141</v>
      </c>
      <c r="BF129" t="s">
        <v>994</v>
      </c>
      <c r="BG129">
        <v>553.39</v>
      </c>
      <c r="BH129">
        <f t="shared" si="172"/>
        <v>553.39</v>
      </c>
      <c r="BI129">
        <f t="shared" si="173"/>
        <v>0.49147613381933708</v>
      </c>
      <c r="BJ129">
        <f t="shared" si="174"/>
        <v>0.71403701236671946</v>
      </c>
      <c r="BK129">
        <f t="shared" si="175"/>
        <v>7.6580129128044589</v>
      </c>
      <c r="BL129">
        <f t="shared" si="176"/>
        <v>0.4228178758133701</v>
      </c>
      <c r="BM129">
        <f t="shared" si="177"/>
        <v>-2.1356743319964382</v>
      </c>
      <c r="BN129">
        <f t="shared" si="178"/>
        <v>0.55942512367565578</v>
      </c>
      <c r="BO129">
        <f t="shared" si="179"/>
        <v>0.44057487632434422</v>
      </c>
      <c r="BP129">
        <v>9279</v>
      </c>
      <c r="BQ129">
        <v>290.00000000000011</v>
      </c>
      <c r="BR129">
        <v>922.24</v>
      </c>
      <c r="BS129">
        <v>275</v>
      </c>
      <c r="BT129">
        <v>8084.53</v>
      </c>
      <c r="BU129">
        <v>924.68</v>
      </c>
      <c r="BV129">
        <v>-2.44</v>
      </c>
      <c r="BW129">
        <v>300.00000000000011</v>
      </c>
      <c r="BX129">
        <v>19.2</v>
      </c>
      <c r="BY129">
        <v>1088.228177285582</v>
      </c>
      <c r="BZ129">
        <v>4.3090302836271697</v>
      </c>
      <c r="CA129">
        <v>-132.21992879375691</v>
      </c>
      <c r="CB129">
        <v>3.2008702010948888</v>
      </c>
      <c r="CC129">
        <v>0.98385524256677015</v>
      </c>
      <c r="CD129">
        <v>-4.1647619577308143E-3</v>
      </c>
      <c r="CE129">
        <v>289.99999999999989</v>
      </c>
      <c r="CF129">
        <v>906.55</v>
      </c>
      <c r="CG129">
        <v>625</v>
      </c>
      <c r="CH129">
        <v>8077.71</v>
      </c>
      <c r="CI129">
        <v>924.54</v>
      </c>
      <c r="CJ129">
        <v>-17.989999999999998</v>
      </c>
      <c r="CX129">
        <f t="shared" si="180"/>
        <v>1800.06</v>
      </c>
      <c r="CY129">
        <f t="shared" si="181"/>
        <v>1513.2353994601847</v>
      </c>
      <c r="CZ129">
        <f t="shared" si="182"/>
        <v>0.84065831108973299</v>
      </c>
      <c r="DA129">
        <f t="shared" si="183"/>
        <v>0.1608705404031848</v>
      </c>
      <c r="DB129">
        <v>6</v>
      </c>
      <c r="DC129">
        <v>0.5</v>
      </c>
      <c r="DD129" t="s">
        <v>421</v>
      </c>
      <c r="DE129">
        <v>2</v>
      </c>
      <c r="DF129">
        <v>1689021570.0999999</v>
      </c>
      <c r="DG129">
        <v>341.233</v>
      </c>
      <c r="DH129">
        <v>400.04599999999999</v>
      </c>
      <c r="DI129">
        <v>28.357399999999998</v>
      </c>
      <c r="DJ129">
        <v>21.0471</v>
      </c>
      <c r="DK129">
        <v>342.56799999999998</v>
      </c>
      <c r="DL129">
        <v>28.387</v>
      </c>
      <c r="DM129">
        <v>500.15100000000001</v>
      </c>
      <c r="DN129">
        <v>99.070800000000006</v>
      </c>
      <c r="DO129">
        <v>9.9959999999999993E-2</v>
      </c>
      <c r="DP129">
        <v>30.205500000000001</v>
      </c>
      <c r="DQ129">
        <v>30.192399999999999</v>
      </c>
      <c r="DR129">
        <v>999.9</v>
      </c>
      <c r="DS129">
        <v>0</v>
      </c>
      <c r="DT129">
        <v>0</v>
      </c>
      <c r="DU129">
        <v>10003.799999999999</v>
      </c>
      <c r="DV129">
        <v>0</v>
      </c>
      <c r="DW129">
        <v>1059.54</v>
      </c>
      <c r="DX129">
        <v>-58.812600000000003</v>
      </c>
      <c r="DY129">
        <v>351.19200000000001</v>
      </c>
      <c r="DZ129">
        <v>408.64699999999999</v>
      </c>
      <c r="EA129">
        <v>7.3102099999999997</v>
      </c>
      <c r="EB129">
        <v>400.04599999999999</v>
      </c>
      <c r="EC129">
        <v>21.0471</v>
      </c>
      <c r="ED129">
        <v>2.80938</v>
      </c>
      <c r="EE129">
        <v>2.0851600000000001</v>
      </c>
      <c r="EF129">
        <v>22.939299999999999</v>
      </c>
      <c r="EG129">
        <v>18.106200000000001</v>
      </c>
      <c r="EH129">
        <v>1800.06</v>
      </c>
      <c r="EI129">
        <v>0.977993</v>
      </c>
      <c r="EJ129">
        <v>2.2007100000000002E-2</v>
      </c>
      <c r="EK129">
        <v>0</v>
      </c>
      <c r="EL129">
        <v>706.36500000000001</v>
      </c>
      <c r="EM129">
        <v>5.00082</v>
      </c>
      <c r="EN129">
        <v>16883.900000000001</v>
      </c>
      <c r="EO129">
        <v>14130.2</v>
      </c>
      <c r="EP129">
        <v>48.375</v>
      </c>
      <c r="EQ129">
        <v>49.875</v>
      </c>
      <c r="ER129">
        <v>49.375</v>
      </c>
      <c r="ES129">
        <v>49.186999999999998</v>
      </c>
      <c r="ET129">
        <v>49.561999999999998</v>
      </c>
      <c r="EU129">
        <v>1755.56</v>
      </c>
      <c r="EV129">
        <v>39.5</v>
      </c>
      <c r="EW129">
        <v>0</v>
      </c>
      <c r="EX129">
        <v>187.39999985694891</v>
      </c>
      <c r="EY129">
        <v>0</v>
      </c>
      <c r="EZ129">
        <v>706.33392307692316</v>
      </c>
      <c r="FA129">
        <v>-0.73435896227618502</v>
      </c>
      <c r="FB129">
        <v>-7148.9025590296387</v>
      </c>
      <c r="FC129">
        <v>18237.676923076921</v>
      </c>
      <c r="FD129">
        <v>15</v>
      </c>
      <c r="FE129">
        <v>1689021464.0999999</v>
      </c>
      <c r="FF129" t="s">
        <v>995</v>
      </c>
      <c r="FG129">
        <v>1689021458.5999999</v>
      </c>
      <c r="FH129">
        <v>1689021464.0999999</v>
      </c>
      <c r="FI129">
        <v>126</v>
      </c>
      <c r="FJ129">
        <v>-0.03</v>
      </c>
      <c r="FK129">
        <v>-0.01</v>
      </c>
      <c r="FL129">
        <v>-1.393</v>
      </c>
      <c r="FM129">
        <v>-3.3000000000000002E-2</v>
      </c>
      <c r="FN129">
        <v>400</v>
      </c>
      <c r="FO129">
        <v>18</v>
      </c>
      <c r="FP129">
        <v>0.06</v>
      </c>
      <c r="FQ129">
        <v>0.01</v>
      </c>
      <c r="FR129">
        <v>46.043599107984747</v>
      </c>
      <c r="FS129">
        <v>4.8344381432100709</v>
      </c>
      <c r="FT129">
        <v>0.34988556379850971</v>
      </c>
      <c r="FU129">
        <v>0</v>
      </c>
      <c r="FV129">
        <v>0.43948658919423578</v>
      </c>
      <c r="FW129">
        <v>-4.8078617023347342E-2</v>
      </c>
      <c r="FX129">
        <v>3.6591126533322572E-3</v>
      </c>
      <c r="FY129">
        <v>1</v>
      </c>
      <c r="FZ129">
        <v>1</v>
      </c>
      <c r="GA129">
        <v>2</v>
      </c>
      <c r="GB129" t="s">
        <v>462</v>
      </c>
      <c r="GC129">
        <v>2.9436300000000002</v>
      </c>
      <c r="GD129">
        <v>2.70865</v>
      </c>
      <c r="GE129">
        <v>7.7255900000000002E-2</v>
      </c>
      <c r="GF129">
        <v>8.7368600000000005E-2</v>
      </c>
      <c r="GG129">
        <v>0.12662699999999999</v>
      </c>
      <c r="GH129">
        <v>0.10272199999999999</v>
      </c>
      <c r="GI129">
        <v>30230.6</v>
      </c>
      <c r="GJ129">
        <v>29184.7</v>
      </c>
      <c r="GK129">
        <v>33766.800000000003</v>
      </c>
      <c r="GL129">
        <v>32029</v>
      </c>
      <c r="GM129">
        <v>42594</v>
      </c>
      <c r="GN129">
        <v>40898.800000000003</v>
      </c>
      <c r="GO129">
        <v>48917.7</v>
      </c>
      <c r="GP129">
        <v>45343.5</v>
      </c>
      <c r="GQ129">
        <v>1.9599</v>
      </c>
      <c r="GR129">
        <v>1.75095</v>
      </c>
      <c r="GS129">
        <v>1.5385399999999999E-3</v>
      </c>
      <c r="GT129">
        <v>0</v>
      </c>
      <c r="GU129">
        <v>30.167400000000001</v>
      </c>
      <c r="GV129">
        <v>999.9</v>
      </c>
      <c r="GW129">
        <v>30.9</v>
      </c>
      <c r="GX129">
        <v>44</v>
      </c>
      <c r="GY129">
        <v>28.548100000000002</v>
      </c>
      <c r="GZ129">
        <v>60.941099999999999</v>
      </c>
      <c r="HA129">
        <v>25.613</v>
      </c>
      <c r="HB129">
        <v>1</v>
      </c>
      <c r="HC129">
        <v>0.61041699999999999</v>
      </c>
      <c r="HD129">
        <v>5.42652</v>
      </c>
      <c r="HE129">
        <v>20.135300000000001</v>
      </c>
      <c r="HF129">
        <v>5.2686500000000001</v>
      </c>
      <c r="HG129">
        <v>12.039899999999999</v>
      </c>
      <c r="HH129">
        <v>4.9657499999999999</v>
      </c>
      <c r="HI129">
        <v>3.3010000000000002</v>
      </c>
      <c r="HJ129">
        <v>9999</v>
      </c>
      <c r="HK129">
        <v>9999</v>
      </c>
      <c r="HL129">
        <v>9999</v>
      </c>
      <c r="HM129">
        <v>999.9</v>
      </c>
      <c r="HN129">
        <v>1.86849</v>
      </c>
      <c r="HO129">
        <v>1.87215</v>
      </c>
      <c r="HP129">
        <v>1.87195</v>
      </c>
      <c r="HQ129">
        <v>1.8714900000000001</v>
      </c>
      <c r="HR129">
        <v>1.8646799999999999</v>
      </c>
      <c r="HS129">
        <v>1.8658399999999999</v>
      </c>
      <c r="HT129">
        <v>1.8678399999999999</v>
      </c>
      <c r="HU129">
        <v>1.8724099999999999</v>
      </c>
      <c r="HV129">
        <v>0</v>
      </c>
      <c r="HW129">
        <v>0</v>
      </c>
      <c r="HX129">
        <v>0</v>
      </c>
      <c r="HY129">
        <v>0</v>
      </c>
      <c r="HZ129" t="s">
        <v>424</v>
      </c>
      <c r="IA129" t="s">
        <v>425</v>
      </c>
      <c r="IB129" t="s">
        <v>426</v>
      </c>
      <c r="IC129" t="s">
        <v>426</v>
      </c>
      <c r="ID129" t="s">
        <v>426</v>
      </c>
      <c r="IE129" t="s">
        <v>426</v>
      </c>
      <c r="IF129">
        <v>0</v>
      </c>
      <c r="IG129">
        <v>100</v>
      </c>
      <c r="IH129">
        <v>100</v>
      </c>
      <c r="II129">
        <v>-1.335</v>
      </c>
      <c r="IJ129">
        <v>-2.9600000000000001E-2</v>
      </c>
      <c r="IK129">
        <v>-0.96504508513873088</v>
      </c>
      <c r="IL129">
        <v>-1.171017271736434E-3</v>
      </c>
      <c r="IM129">
        <v>2.801297040296544E-7</v>
      </c>
      <c r="IN129">
        <v>-3.6238253961199429E-11</v>
      </c>
      <c r="IO129">
        <v>-2.9675759284786E-2</v>
      </c>
      <c r="IP129">
        <v>0</v>
      </c>
      <c r="IQ129">
        <v>0</v>
      </c>
      <c r="IR129">
        <v>0</v>
      </c>
      <c r="IS129">
        <v>0</v>
      </c>
      <c r="IT129">
        <v>2161</v>
      </c>
      <c r="IU129">
        <v>1</v>
      </c>
      <c r="IV129">
        <v>19</v>
      </c>
      <c r="IW129">
        <v>1.9</v>
      </c>
      <c r="IX129">
        <v>1.8</v>
      </c>
      <c r="IY129">
        <v>1.02905</v>
      </c>
      <c r="IZ129">
        <v>2.5146500000000001</v>
      </c>
      <c r="JA129">
        <v>1.4440900000000001</v>
      </c>
      <c r="JB129">
        <v>2.2814899999999998</v>
      </c>
      <c r="JC129">
        <v>1.54419</v>
      </c>
      <c r="JD129">
        <v>2.4389599999999998</v>
      </c>
      <c r="JE129">
        <v>47.451599999999999</v>
      </c>
      <c r="JF129">
        <v>24.052499999999998</v>
      </c>
      <c r="JG129">
        <v>18</v>
      </c>
      <c r="JH129">
        <v>511.31</v>
      </c>
      <c r="JI129">
        <v>414.17399999999998</v>
      </c>
      <c r="JJ129">
        <v>24.731000000000002</v>
      </c>
      <c r="JK129">
        <v>34.690800000000003</v>
      </c>
      <c r="JL129">
        <v>30.000499999999999</v>
      </c>
      <c r="JM129">
        <v>34.438099999999999</v>
      </c>
      <c r="JN129">
        <v>34.371299999999998</v>
      </c>
      <c r="JO129">
        <v>20.732800000000001</v>
      </c>
      <c r="JP129">
        <v>37.143500000000003</v>
      </c>
      <c r="JQ129">
        <v>0</v>
      </c>
      <c r="JR129">
        <v>24.575700000000001</v>
      </c>
      <c r="JS129">
        <v>400</v>
      </c>
      <c r="JT129">
        <v>20.981400000000001</v>
      </c>
      <c r="JU129">
        <v>99.131100000000004</v>
      </c>
      <c r="JV129">
        <v>98.745400000000004</v>
      </c>
    </row>
    <row r="130" spans="1:282" x14ac:dyDescent="0.25">
      <c r="A130">
        <v>114</v>
      </c>
      <c r="B130">
        <v>1689021702.5999999</v>
      </c>
      <c r="C130">
        <v>22525.599999904629</v>
      </c>
      <c r="D130" t="s">
        <v>996</v>
      </c>
      <c r="E130" t="s">
        <v>997</v>
      </c>
      <c r="F130" t="s">
        <v>414</v>
      </c>
      <c r="G130" t="s">
        <v>415</v>
      </c>
      <c r="H130" t="s">
        <v>500</v>
      </c>
      <c r="I130" t="s">
        <v>500</v>
      </c>
      <c r="J130" t="s">
        <v>417</v>
      </c>
      <c r="K130">
        <v>1689021702.5999999</v>
      </c>
      <c r="L130">
        <f t="shared" si="138"/>
        <v>6.709869269094222E-3</v>
      </c>
      <c r="M130">
        <f t="shared" si="139"/>
        <v>6.7098692690942219</v>
      </c>
      <c r="N130">
        <f t="shared" si="140"/>
        <v>51.513830418322435</v>
      </c>
      <c r="O130">
        <f t="shared" si="141"/>
        <v>335.40899999999999</v>
      </c>
      <c r="P130">
        <f t="shared" si="142"/>
        <v>143.46499632203935</v>
      </c>
      <c r="Q130">
        <f t="shared" si="143"/>
        <v>14.227377919922816</v>
      </c>
      <c r="R130">
        <f t="shared" si="144"/>
        <v>33.262403534528993</v>
      </c>
      <c r="S130">
        <f t="shared" si="145"/>
        <v>0.47711245935064239</v>
      </c>
      <c r="T130">
        <f t="shared" si="146"/>
        <v>2.9116458857448646</v>
      </c>
      <c r="U130">
        <f t="shared" si="147"/>
        <v>0.43755034470477289</v>
      </c>
      <c r="V130">
        <f t="shared" si="148"/>
        <v>0.27674957464829947</v>
      </c>
      <c r="W130">
        <f t="shared" si="149"/>
        <v>289.57546695868439</v>
      </c>
      <c r="X130">
        <f t="shared" si="150"/>
        <v>29.857834139979726</v>
      </c>
      <c r="Y130">
        <f t="shared" si="151"/>
        <v>30.0153</v>
      </c>
      <c r="Z130">
        <f t="shared" si="152"/>
        <v>4.2641953727135258</v>
      </c>
      <c r="AA130">
        <f t="shared" si="153"/>
        <v>66.059885809066174</v>
      </c>
      <c r="AB130">
        <f t="shared" si="154"/>
        <v>2.7975667840419001</v>
      </c>
      <c r="AC130">
        <f t="shared" si="155"/>
        <v>4.2348949741265782</v>
      </c>
      <c r="AD130">
        <f t="shared" si="156"/>
        <v>1.4666285886716257</v>
      </c>
      <c r="AE130">
        <f t="shared" si="157"/>
        <v>-295.90523476705516</v>
      </c>
      <c r="AF130">
        <f t="shared" si="158"/>
        <v>-18.836718359073412</v>
      </c>
      <c r="AG130">
        <f t="shared" si="159"/>
        <v>-1.437849987650119</v>
      </c>
      <c r="AH130">
        <f t="shared" si="160"/>
        <v>-26.604336155094298</v>
      </c>
      <c r="AI130">
        <v>0</v>
      </c>
      <c r="AJ130">
        <v>0</v>
      </c>
      <c r="AK130">
        <f t="shared" si="161"/>
        <v>1</v>
      </c>
      <c r="AL130">
        <f t="shared" si="162"/>
        <v>0</v>
      </c>
      <c r="AM130">
        <f t="shared" si="163"/>
        <v>51840.916337887684</v>
      </c>
      <c r="AN130" t="s">
        <v>418</v>
      </c>
      <c r="AO130">
        <v>10076.700000000001</v>
      </c>
      <c r="AP130">
        <v>185.01599999999999</v>
      </c>
      <c r="AQ130">
        <v>473.06</v>
      </c>
      <c r="AR130">
        <f t="shared" si="164"/>
        <v>0.60889527755464423</v>
      </c>
      <c r="AS130">
        <v>-1.4827006201179751</v>
      </c>
      <c r="AT130" t="s">
        <v>998</v>
      </c>
      <c r="AU130">
        <v>8084.86</v>
      </c>
      <c r="AV130">
        <v>713.81196</v>
      </c>
      <c r="AW130">
        <v>1075.10240692612</v>
      </c>
      <c r="AX130">
        <f t="shared" si="165"/>
        <v>0.33605212359174597</v>
      </c>
      <c r="AY130">
        <v>0.5</v>
      </c>
      <c r="AZ130">
        <f t="shared" si="166"/>
        <v>1513.2347994604584</v>
      </c>
      <c r="BA130">
        <f t="shared" si="167"/>
        <v>51.513830418322435</v>
      </c>
      <c r="BB130">
        <f t="shared" si="168"/>
        <v>254.26288392580844</v>
      </c>
      <c r="BC130">
        <f t="shared" si="169"/>
        <v>3.5022014466846947E-2</v>
      </c>
      <c r="BD130">
        <f t="shared" si="170"/>
        <v>-0.55998610276341032</v>
      </c>
      <c r="BE130">
        <f t="shared" si="171"/>
        <v>236.90029357971127</v>
      </c>
      <c r="BF130" t="s">
        <v>999</v>
      </c>
      <c r="BG130">
        <v>553.92999999999995</v>
      </c>
      <c r="BH130">
        <f t="shared" si="172"/>
        <v>553.92999999999995</v>
      </c>
      <c r="BI130">
        <f t="shared" si="173"/>
        <v>0.48476536148424276</v>
      </c>
      <c r="BJ130">
        <f t="shared" si="174"/>
        <v>0.69322635297792257</v>
      </c>
      <c r="BK130">
        <f t="shared" si="175"/>
        <v>7.4445703836542654</v>
      </c>
      <c r="BL130">
        <f t="shared" si="176"/>
        <v>0.4059049145282681</v>
      </c>
      <c r="BM130">
        <f t="shared" si="177"/>
        <v>-2.0901057023445033</v>
      </c>
      <c r="BN130">
        <f t="shared" si="178"/>
        <v>0.53795522521794192</v>
      </c>
      <c r="BO130">
        <f t="shared" si="179"/>
        <v>0.46204477478205808</v>
      </c>
      <c r="BP130">
        <v>9281</v>
      </c>
      <c r="BQ130">
        <v>290.00000000000011</v>
      </c>
      <c r="BR130">
        <v>948.56</v>
      </c>
      <c r="BS130">
        <v>295</v>
      </c>
      <c r="BT130">
        <v>8084.86</v>
      </c>
      <c r="BU130">
        <v>950.42</v>
      </c>
      <c r="BV130">
        <v>-1.86</v>
      </c>
      <c r="BW130">
        <v>300.00000000000011</v>
      </c>
      <c r="BX130">
        <v>19.2</v>
      </c>
      <c r="BY130">
        <v>1075.10240692612</v>
      </c>
      <c r="BZ130">
        <v>3.4492072753135532</v>
      </c>
      <c r="CA130">
        <v>-100.8034692491655</v>
      </c>
      <c r="CB130">
        <v>2.5624303959561412</v>
      </c>
      <c r="CC130">
        <v>0.98222851312666271</v>
      </c>
      <c r="CD130">
        <v>-4.1648556173526242E-3</v>
      </c>
      <c r="CE130">
        <v>289.99999999999989</v>
      </c>
      <c r="CF130">
        <v>943.49</v>
      </c>
      <c r="CG130">
        <v>655</v>
      </c>
      <c r="CH130">
        <v>8077.72</v>
      </c>
      <c r="CI130">
        <v>950.31</v>
      </c>
      <c r="CJ130">
        <v>-6.82</v>
      </c>
      <c r="CX130">
        <f t="shared" si="180"/>
        <v>1800.06</v>
      </c>
      <c r="CY130">
        <f t="shared" si="181"/>
        <v>1513.2347994604584</v>
      </c>
      <c r="CZ130">
        <f t="shared" si="182"/>
        <v>0.84065797776766238</v>
      </c>
      <c r="DA130">
        <f t="shared" si="183"/>
        <v>0.16086989709158828</v>
      </c>
      <c r="DB130">
        <v>6</v>
      </c>
      <c r="DC130">
        <v>0.5</v>
      </c>
      <c r="DD130" t="s">
        <v>421</v>
      </c>
      <c r="DE130">
        <v>2</v>
      </c>
      <c r="DF130">
        <v>1689021702.5999999</v>
      </c>
      <c r="DG130">
        <v>335.40899999999999</v>
      </c>
      <c r="DH130">
        <v>399.91800000000001</v>
      </c>
      <c r="DI130">
        <v>28.209900000000001</v>
      </c>
      <c r="DJ130">
        <v>20.386199999999999</v>
      </c>
      <c r="DK130">
        <v>336.78</v>
      </c>
      <c r="DL130">
        <v>28.2058</v>
      </c>
      <c r="DM130">
        <v>500.06400000000002</v>
      </c>
      <c r="DN130">
        <v>99.069599999999994</v>
      </c>
      <c r="DO130">
        <v>0.100081</v>
      </c>
      <c r="DP130">
        <v>29.895299999999999</v>
      </c>
      <c r="DQ130">
        <v>30.0153</v>
      </c>
      <c r="DR130">
        <v>999.9</v>
      </c>
      <c r="DS130">
        <v>0</v>
      </c>
      <c r="DT130">
        <v>0</v>
      </c>
      <c r="DU130">
        <v>9991.25</v>
      </c>
      <c r="DV130">
        <v>0</v>
      </c>
      <c r="DW130">
        <v>1363.73</v>
      </c>
      <c r="DX130">
        <v>-64.509600000000006</v>
      </c>
      <c r="DY130">
        <v>345.14499999999998</v>
      </c>
      <c r="DZ130">
        <v>408.24099999999999</v>
      </c>
      <c r="EA130">
        <v>7.8236999999999997</v>
      </c>
      <c r="EB130">
        <v>399.91800000000001</v>
      </c>
      <c r="EC130">
        <v>20.386199999999999</v>
      </c>
      <c r="ED130">
        <v>2.79474</v>
      </c>
      <c r="EE130">
        <v>2.0196499999999999</v>
      </c>
      <c r="EF130">
        <v>22.853000000000002</v>
      </c>
      <c r="EG130">
        <v>17.5992</v>
      </c>
      <c r="EH130">
        <v>1800.06</v>
      </c>
      <c r="EI130">
        <v>0.97800600000000004</v>
      </c>
      <c r="EJ130">
        <v>2.1993599999999999E-2</v>
      </c>
      <c r="EK130">
        <v>0</v>
      </c>
      <c r="EL130">
        <v>714.65599999999995</v>
      </c>
      <c r="EM130">
        <v>5.00082</v>
      </c>
      <c r="EN130">
        <v>19071.900000000001</v>
      </c>
      <c r="EO130">
        <v>14130.2</v>
      </c>
      <c r="EP130">
        <v>48.436999999999998</v>
      </c>
      <c r="EQ130">
        <v>50</v>
      </c>
      <c r="ER130">
        <v>49.375</v>
      </c>
      <c r="ES130">
        <v>49.186999999999998</v>
      </c>
      <c r="ET130">
        <v>49.5</v>
      </c>
      <c r="EU130">
        <v>1755.58</v>
      </c>
      <c r="EV130">
        <v>39.479999999999997</v>
      </c>
      <c r="EW130">
        <v>0</v>
      </c>
      <c r="EX130">
        <v>130.39999985694891</v>
      </c>
      <c r="EY130">
        <v>0</v>
      </c>
      <c r="EZ130">
        <v>713.81196</v>
      </c>
      <c r="FA130">
        <v>1.9929230699157281</v>
      </c>
      <c r="FB130">
        <v>327.09230827761439</v>
      </c>
      <c r="FC130">
        <v>19034.312000000002</v>
      </c>
      <c r="FD130">
        <v>15</v>
      </c>
      <c r="FE130">
        <v>1689021663.5999999</v>
      </c>
      <c r="FF130" t="s">
        <v>1000</v>
      </c>
      <c r="FG130">
        <v>1689021663.5999999</v>
      </c>
      <c r="FH130">
        <v>1689021656.5999999</v>
      </c>
      <c r="FI130">
        <v>127</v>
      </c>
      <c r="FJ130">
        <v>-4.2000000000000003E-2</v>
      </c>
      <c r="FK130">
        <v>3.4000000000000002E-2</v>
      </c>
      <c r="FL130">
        <v>-1.4339999999999999</v>
      </c>
      <c r="FM130">
        <v>4.0000000000000001E-3</v>
      </c>
      <c r="FN130">
        <v>400</v>
      </c>
      <c r="FO130">
        <v>21</v>
      </c>
      <c r="FP130">
        <v>0.04</v>
      </c>
      <c r="FQ130">
        <v>0.01</v>
      </c>
      <c r="FR130">
        <v>51.506283179641827</v>
      </c>
      <c r="FS130">
        <v>-0.18986480128552649</v>
      </c>
      <c r="FT130">
        <v>5.8138031569620011E-2</v>
      </c>
      <c r="FU130">
        <v>1</v>
      </c>
      <c r="FV130">
        <v>0.4688877468402135</v>
      </c>
      <c r="FW130">
        <v>4.8527637302784143E-2</v>
      </c>
      <c r="FX130">
        <v>4.0509276147436034E-3</v>
      </c>
      <c r="FY130">
        <v>1</v>
      </c>
      <c r="FZ130">
        <v>2</v>
      </c>
      <c r="GA130">
        <v>2</v>
      </c>
      <c r="GB130" t="s">
        <v>423</v>
      </c>
      <c r="GC130">
        <v>2.9434499999999999</v>
      </c>
      <c r="GD130">
        <v>2.7086700000000001</v>
      </c>
      <c r="GE130">
        <v>7.6214699999999996E-2</v>
      </c>
      <c r="GF130">
        <v>8.7340699999999993E-2</v>
      </c>
      <c r="GG130">
        <v>0.12606899999999999</v>
      </c>
      <c r="GH130">
        <v>0.100427</v>
      </c>
      <c r="GI130">
        <v>30267.599999999999</v>
      </c>
      <c r="GJ130">
        <v>29186.799999999999</v>
      </c>
      <c r="GK130">
        <v>33770</v>
      </c>
      <c r="GL130">
        <v>32030.3</v>
      </c>
      <c r="GM130">
        <v>42624.9</v>
      </c>
      <c r="GN130">
        <v>41005.5</v>
      </c>
      <c r="GO130">
        <v>48922.1</v>
      </c>
      <c r="GP130">
        <v>45345.9</v>
      </c>
      <c r="GQ130">
        <v>1.9603299999999999</v>
      </c>
      <c r="GR130">
        <v>1.7496799999999999</v>
      </c>
      <c r="GS130">
        <v>-3.5807499999999999E-2</v>
      </c>
      <c r="GT130">
        <v>0</v>
      </c>
      <c r="GU130">
        <v>30.5977</v>
      </c>
      <c r="GV130">
        <v>999.9</v>
      </c>
      <c r="GW130">
        <v>31.1</v>
      </c>
      <c r="GX130">
        <v>44</v>
      </c>
      <c r="GY130">
        <v>28.736000000000001</v>
      </c>
      <c r="GZ130">
        <v>60.521099999999997</v>
      </c>
      <c r="HA130">
        <v>25.769200000000001</v>
      </c>
      <c r="HB130">
        <v>1</v>
      </c>
      <c r="HC130">
        <v>0.60366399999999998</v>
      </c>
      <c r="HD130">
        <v>4.5197900000000004</v>
      </c>
      <c r="HE130">
        <v>20.163699999999999</v>
      </c>
      <c r="HF130">
        <v>5.2695499999999997</v>
      </c>
      <c r="HG130">
        <v>12.039899999999999</v>
      </c>
      <c r="HH130">
        <v>4.9657499999999999</v>
      </c>
      <c r="HI130">
        <v>3.3010000000000002</v>
      </c>
      <c r="HJ130">
        <v>9999</v>
      </c>
      <c r="HK130">
        <v>9999</v>
      </c>
      <c r="HL130">
        <v>9999</v>
      </c>
      <c r="HM130">
        <v>999.9</v>
      </c>
      <c r="HN130">
        <v>1.8685499999999999</v>
      </c>
      <c r="HO130">
        <v>1.8721300000000001</v>
      </c>
      <c r="HP130">
        <v>1.87195</v>
      </c>
      <c r="HQ130">
        <v>1.8714900000000001</v>
      </c>
      <c r="HR130">
        <v>1.8646799999999999</v>
      </c>
      <c r="HS130">
        <v>1.8658600000000001</v>
      </c>
      <c r="HT130">
        <v>1.8678399999999999</v>
      </c>
      <c r="HU130">
        <v>1.87242</v>
      </c>
      <c r="HV130">
        <v>0</v>
      </c>
      <c r="HW130">
        <v>0</v>
      </c>
      <c r="HX130">
        <v>0</v>
      </c>
      <c r="HY130">
        <v>0</v>
      </c>
      <c r="HZ130" t="s">
        <v>424</v>
      </c>
      <c r="IA130" t="s">
        <v>425</v>
      </c>
      <c r="IB130" t="s">
        <v>426</v>
      </c>
      <c r="IC130" t="s">
        <v>426</v>
      </c>
      <c r="ID130" t="s">
        <v>426</v>
      </c>
      <c r="IE130" t="s">
        <v>426</v>
      </c>
      <c r="IF130">
        <v>0</v>
      </c>
      <c r="IG130">
        <v>100</v>
      </c>
      <c r="IH130">
        <v>100</v>
      </c>
      <c r="II130">
        <v>-1.371</v>
      </c>
      <c r="IJ130">
        <v>4.1000000000000003E-3</v>
      </c>
      <c r="IK130">
        <v>-1.007018480147047</v>
      </c>
      <c r="IL130">
        <v>-1.171017271736434E-3</v>
      </c>
      <c r="IM130">
        <v>2.801297040296544E-7</v>
      </c>
      <c r="IN130">
        <v>-3.6238253961199429E-11</v>
      </c>
      <c r="IO130">
        <v>4.0150000000025443E-3</v>
      </c>
      <c r="IP130">
        <v>0</v>
      </c>
      <c r="IQ130">
        <v>0</v>
      </c>
      <c r="IR130">
        <v>0</v>
      </c>
      <c r="IS130">
        <v>0</v>
      </c>
      <c r="IT130">
        <v>2161</v>
      </c>
      <c r="IU130">
        <v>1</v>
      </c>
      <c r="IV130">
        <v>19</v>
      </c>
      <c r="IW130">
        <v>0.7</v>
      </c>
      <c r="IX130">
        <v>0.8</v>
      </c>
      <c r="IY130">
        <v>1.02783</v>
      </c>
      <c r="IZ130">
        <v>2.52075</v>
      </c>
      <c r="JA130">
        <v>1.4440900000000001</v>
      </c>
      <c r="JB130">
        <v>2.2827099999999998</v>
      </c>
      <c r="JC130">
        <v>1.54419</v>
      </c>
      <c r="JD130">
        <v>2.4475099999999999</v>
      </c>
      <c r="JE130">
        <v>47.361699999999999</v>
      </c>
      <c r="JF130">
        <v>24.061199999999999</v>
      </c>
      <c r="JG130">
        <v>18</v>
      </c>
      <c r="JH130">
        <v>511.52300000000002</v>
      </c>
      <c r="JI130">
        <v>413.38400000000001</v>
      </c>
      <c r="JJ130">
        <v>24.4282</v>
      </c>
      <c r="JK130">
        <v>34.678899999999999</v>
      </c>
      <c r="JL130">
        <v>30.000499999999999</v>
      </c>
      <c r="JM130">
        <v>34.429000000000002</v>
      </c>
      <c r="JN130">
        <v>34.371400000000001</v>
      </c>
      <c r="JO130">
        <v>20.707799999999999</v>
      </c>
      <c r="JP130">
        <v>41.812100000000001</v>
      </c>
      <c r="JQ130">
        <v>0</v>
      </c>
      <c r="JR130">
        <v>24.386399999999998</v>
      </c>
      <c r="JS130">
        <v>400</v>
      </c>
      <c r="JT130">
        <v>20.1968</v>
      </c>
      <c r="JU130">
        <v>99.140299999999996</v>
      </c>
      <c r="JV130">
        <v>98.75</v>
      </c>
    </row>
    <row r="131" spans="1:282" x14ac:dyDescent="0.25">
      <c r="A131">
        <v>115</v>
      </c>
      <c r="B131">
        <v>1689021820.0999999</v>
      </c>
      <c r="C131">
        <v>22643.099999904629</v>
      </c>
      <c r="D131" t="s">
        <v>1001</v>
      </c>
      <c r="E131" t="s">
        <v>1002</v>
      </c>
      <c r="F131" t="s">
        <v>414</v>
      </c>
      <c r="G131" t="s">
        <v>415</v>
      </c>
      <c r="H131" t="s">
        <v>500</v>
      </c>
      <c r="I131" t="s">
        <v>500</v>
      </c>
      <c r="J131" t="s">
        <v>417</v>
      </c>
      <c r="K131">
        <v>1689021820.0999999</v>
      </c>
      <c r="L131">
        <f t="shared" si="138"/>
        <v>6.5194510051569156E-3</v>
      </c>
      <c r="M131">
        <f t="shared" si="139"/>
        <v>6.5194510051569159</v>
      </c>
      <c r="N131">
        <f t="shared" si="140"/>
        <v>51.541925241026568</v>
      </c>
      <c r="O131">
        <f t="shared" si="141"/>
        <v>335.42700000000002</v>
      </c>
      <c r="P131">
        <f t="shared" si="142"/>
        <v>135.01328481116136</v>
      </c>
      <c r="Q131">
        <f t="shared" si="143"/>
        <v>13.388897788349061</v>
      </c>
      <c r="R131">
        <f t="shared" si="144"/>
        <v>33.263377190874003</v>
      </c>
      <c r="S131">
        <f t="shared" si="145"/>
        <v>0.45501861572107993</v>
      </c>
      <c r="T131">
        <f t="shared" si="146"/>
        <v>2.9145540344582406</v>
      </c>
      <c r="U131">
        <f t="shared" si="147"/>
        <v>0.41892015132905314</v>
      </c>
      <c r="V131">
        <f t="shared" si="148"/>
        <v>0.26482933757729987</v>
      </c>
      <c r="W131">
        <f t="shared" si="149"/>
        <v>289.56110295863232</v>
      </c>
      <c r="X131">
        <f t="shared" si="150"/>
        <v>29.720143878048297</v>
      </c>
      <c r="Y131">
        <f t="shared" si="151"/>
        <v>29.905000000000001</v>
      </c>
      <c r="Z131">
        <f t="shared" si="152"/>
        <v>4.2372568867100204</v>
      </c>
      <c r="AA131">
        <f t="shared" si="153"/>
        <v>65.600029547615307</v>
      </c>
      <c r="AB131">
        <f t="shared" si="154"/>
        <v>2.7483214990680001</v>
      </c>
      <c r="AC131">
        <f t="shared" si="155"/>
        <v>4.1895125932422808</v>
      </c>
      <c r="AD131">
        <f t="shared" si="156"/>
        <v>1.4889353876420204</v>
      </c>
      <c r="AE131">
        <f t="shared" si="157"/>
        <v>-287.50778932741997</v>
      </c>
      <c r="AF131">
        <f t="shared" si="158"/>
        <v>-30.954499109825825</v>
      </c>
      <c r="AG131">
        <f t="shared" si="159"/>
        <v>-2.3569941443639806</v>
      </c>
      <c r="AH131">
        <f t="shared" si="160"/>
        <v>-31.258179622977444</v>
      </c>
      <c r="AI131">
        <v>0</v>
      </c>
      <c r="AJ131">
        <v>0</v>
      </c>
      <c r="AK131">
        <f t="shared" si="161"/>
        <v>1</v>
      </c>
      <c r="AL131">
        <f t="shared" si="162"/>
        <v>0</v>
      </c>
      <c r="AM131">
        <f t="shared" si="163"/>
        <v>51955.743713631906</v>
      </c>
      <c r="AN131" t="s">
        <v>418</v>
      </c>
      <c r="AO131">
        <v>10076.700000000001</v>
      </c>
      <c r="AP131">
        <v>185.01599999999999</v>
      </c>
      <c r="AQ131">
        <v>473.06</v>
      </c>
      <c r="AR131">
        <f t="shared" si="164"/>
        <v>0.60889527755464423</v>
      </c>
      <c r="AS131">
        <v>-1.4827006201179751</v>
      </c>
      <c r="AT131" t="s">
        <v>1003</v>
      </c>
      <c r="AU131">
        <v>8085.29</v>
      </c>
      <c r="AV131">
        <v>716.76857692307681</v>
      </c>
      <c r="AW131">
        <v>1095.1409342089489</v>
      </c>
      <c r="AX131">
        <f t="shared" si="165"/>
        <v>0.34550106334869224</v>
      </c>
      <c r="AY131">
        <v>0.5</v>
      </c>
      <c r="AZ131">
        <f t="shared" si="166"/>
        <v>1513.1591994604312</v>
      </c>
      <c r="BA131">
        <f t="shared" si="167"/>
        <v>51.541925241026568</v>
      </c>
      <c r="BB131">
        <f t="shared" si="168"/>
        <v>261.39905621471746</v>
      </c>
      <c r="BC131">
        <f t="shared" si="169"/>
        <v>3.5042331223345366E-2</v>
      </c>
      <c r="BD131">
        <f t="shared" si="170"/>
        <v>-0.56803733179629112</v>
      </c>
      <c r="BE131">
        <f t="shared" si="171"/>
        <v>237.85932255833839</v>
      </c>
      <c r="BF131" t="s">
        <v>1004</v>
      </c>
      <c r="BG131">
        <v>554.9</v>
      </c>
      <c r="BH131">
        <f t="shared" si="172"/>
        <v>554.9</v>
      </c>
      <c r="BI131">
        <f t="shared" si="173"/>
        <v>0.49330722405986971</v>
      </c>
      <c r="BJ131">
        <f t="shared" si="174"/>
        <v>0.70037706017206214</v>
      </c>
      <c r="BK131">
        <f t="shared" si="175"/>
        <v>7.6011844355932201</v>
      </c>
      <c r="BL131">
        <f t="shared" si="176"/>
        <v>0.41573672257945671</v>
      </c>
      <c r="BM131">
        <f t="shared" si="177"/>
        <v>-2.1596732936945364</v>
      </c>
      <c r="BN131">
        <f t="shared" si="178"/>
        <v>0.54221019615259414</v>
      </c>
      <c r="BO131">
        <f t="shared" si="179"/>
        <v>0.45778980384740586</v>
      </c>
      <c r="BP131">
        <v>9283</v>
      </c>
      <c r="BQ131">
        <v>290.00000000000011</v>
      </c>
      <c r="BR131">
        <v>960.01</v>
      </c>
      <c r="BS131">
        <v>265</v>
      </c>
      <c r="BT131">
        <v>8085.29</v>
      </c>
      <c r="BU131">
        <v>961.55</v>
      </c>
      <c r="BV131">
        <v>-1.54</v>
      </c>
      <c r="BW131">
        <v>300.00000000000011</v>
      </c>
      <c r="BX131">
        <v>19.2</v>
      </c>
      <c r="BY131">
        <v>1095.1409342089489</v>
      </c>
      <c r="BZ131">
        <v>3.2226737093167408</v>
      </c>
      <c r="CA131">
        <v>-108.01578266027209</v>
      </c>
      <c r="CB131">
        <v>2.3939854294461762</v>
      </c>
      <c r="CC131">
        <v>0.98643268040852639</v>
      </c>
      <c r="CD131">
        <v>-4.1646778642936604E-3</v>
      </c>
      <c r="CE131">
        <v>289.99999999999989</v>
      </c>
      <c r="CF131">
        <v>953.55</v>
      </c>
      <c r="CG131">
        <v>635</v>
      </c>
      <c r="CH131">
        <v>8077.73</v>
      </c>
      <c r="CI131">
        <v>961.42</v>
      </c>
      <c r="CJ131">
        <v>-7.87</v>
      </c>
      <c r="CX131">
        <f t="shared" si="180"/>
        <v>1799.97</v>
      </c>
      <c r="CY131">
        <f t="shared" si="181"/>
        <v>1513.1591994604312</v>
      </c>
      <c r="CZ131">
        <f t="shared" si="182"/>
        <v>0.84065801066708401</v>
      </c>
      <c r="DA131">
        <f t="shared" si="183"/>
        <v>0.16086996058747219</v>
      </c>
      <c r="DB131">
        <v>6</v>
      </c>
      <c r="DC131">
        <v>0.5</v>
      </c>
      <c r="DD131" t="s">
        <v>421</v>
      </c>
      <c r="DE131">
        <v>2</v>
      </c>
      <c r="DF131">
        <v>1689021820.0999999</v>
      </c>
      <c r="DG131">
        <v>335.42700000000002</v>
      </c>
      <c r="DH131">
        <v>399.88600000000002</v>
      </c>
      <c r="DI131">
        <v>27.713999999999999</v>
      </c>
      <c r="DJ131">
        <v>20.109300000000001</v>
      </c>
      <c r="DK131">
        <v>336.76600000000002</v>
      </c>
      <c r="DL131">
        <v>27.7196</v>
      </c>
      <c r="DM131">
        <v>500.12</v>
      </c>
      <c r="DN131">
        <v>99.067400000000006</v>
      </c>
      <c r="DO131">
        <v>9.9862000000000006E-2</v>
      </c>
      <c r="DP131">
        <v>29.707999999999998</v>
      </c>
      <c r="DQ131">
        <v>29.905000000000001</v>
      </c>
      <c r="DR131">
        <v>999.9</v>
      </c>
      <c r="DS131">
        <v>0</v>
      </c>
      <c r="DT131">
        <v>0</v>
      </c>
      <c r="DU131">
        <v>10008.1</v>
      </c>
      <c r="DV131">
        <v>0</v>
      </c>
      <c r="DW131">
        <v>1243.27</v>
      </c>
      <c r="DX131">
        <v>-64.458799999999997</v>
      </c>
      <c r="DY131">
        <v>344.988</v>
      </c>
      <c r="DZ131">
        <v>408.09199999999998</v>
      </c>
      <c r="EA131">
        <v>7.6047000000000002</v>
      </c>
      <c r="EB131">
        <v>399.88600000000002</v>
      </c>
      <c r="EC131">
        <v>20.109300000000001</v>
      </c>
      <c r="ED131">
        <v>2.7455500000000002</v>
      </c>
      <c r="EE131">
        <v>1.99217</v>
      </c>
      <c r="EF131">
        <v>22.560300000000002</v>
      </c>
      <c r="EG131">
        <v>17.382300000000001</v>
      </c>
      <c r="EH131">
        <v>1799.97</v>
      </c>
      <c r="EI131">
        <v>0.97800600000000004</v>
      </c>
      <c r="EJ131">
        <v>2.1993599999999999E-2</v>
      </c>
      <c r="EK131">
        <v>0</v>
      </c>
      <c r="EL131">
        <v>716.90899999999999</v>
      </c>
      <c r="EM131">
        <v>5.00082</v>
      </c>
      <c r="EN131">
        <v>19407.3</v>
      </c>
      <c r="EO131">
        <v>14129.6</v>
      </c>
      <c r="EP131">
        <v>48.436999999999998</v>
      </c>
      <c r="EQ131">
        <v>50.061999999999998</v>
      </c>
      <c r="ER131">
        <v>49.375</v>
      </c>
      <c r="ES131">
        <v>49.311999999999998</v>
      </c>
      <c r="ET131">
        <v>49.625</v>
      </c>
      <c r="EU131">
        <v>1755.49</v>
      </c>
      <c r="EV131">
        <v>39.479999999999997</v>
      </c>
      <c r="EW131">
        <v>0</v>
      </c>
      <c r="EX131">
        <v>115.3999998569489</v>
      </c>
      <c r="EY131">
        <v>0</v>
      </c>
      <c r="EZ131">
        <v>716.76857692307681</v>
      </c>
      <c r="FA131">
        <v>2.0506324629266901</v>
      </c>
      <c r="FB131">
        <v>711.4495728693355</v>
      </c>
      <c r="FC131">
        <v>19262.173076923082</v>
      </c>
      <c r="FD131">
        <v>15</v>
      </c>
      <c r="FE131">
        <v>1689021777.5999999</v>
      </c>
      <c r="FF131" t="s">
        <v>1005</v>
      </c>
      <c r="FG131">
        <v>1689021770.5999999</v>
      </c>
      <c r="FH131">
        <v>1689021777.5999999</v>
      </c>
      <c r="FI131">
        <v>128</v>
      </c>
      <c r="FJ131">
        <v>3.1E-2</v>
      </c>
      <c r="FK131">
        <v>-0.01</v>
      </c>
      <c r="FL131">
        <v>-1.403</v>
      </c>
      <c r="FM131">
        <v>-6.0000000000000001E-3</v>
      </c>
      <c r="FN131">
        <v>400</v>
      </c>
      <c r="FO131">
        <v>20</v>
      </c>
      <c r="FP131">
        <v>0.03</v>
      </c>
      <c r="FQ131">
        <v>0.02</v>
      </c>
      <c r="FR131">
        <v>51.50278310587597</v>
      </c>
      <c r="FS131">
        <v>-0.34647945318404938</v>
      </c>
      <c r="FT131">
        <v>6.5258108607377963E-2</v>
      </c>
      <c r="FU131">
        <v>1</v>
      </c>
      <c r="FV131">
        <v>0.46038630996772018</v>
      </c>
      <c r="FW131">
        <v>-1.9979404654505342E-2</v>
      </c>
      <c r="FX131">
        <v>1.900026543109455E-3</v>
      </c>
      <c r="FY131">
        <v>1</v>
      </c>
      <c r="FZ131">
        <v>2</v>
      </c>
      <c r="GA131">
        <v>2</v>
      </c>
      <c r="GB131" t="s">
        <v>423</v>
      </c>
      <c r="GC131">
        <v>2.9435500000000001</v>
      </c>
      <c r="GD131">
        <v>2.7085900000000001</v>
      </c>
      <c r="GE131">
        <v>7.6193300000000005E-2</v>
      </c>
      <c r="GF131">
        <v>8.7316599999999994E-2</v>
      </c>
      <c r="GG131">
        <v>0.124538</v>
      </c>
      <c r="GH131">
        <v>9.9439399999999997E-2</v>
      </c>
      <c r="GI131">
        <v>30259.8</v>
      </c>
      <c r="GJ131">
        <v>29180.3</v>
      </c>
      <c r="GK131">
        <v>33761</v>
      </c>
      <c r="GL131">
        <v>32022.7</v>
      </c>
      <c r="GM131">
        <v>42689.8</v>
      </c>
      <c r="GN131">
        <v>41040.800000000003</v>
      </c>
      <c r="GO131">
        <v>48910.6</v>
      </c>
      <c r="GP131">
        <v>45335.1</v>
      </c>
      <c r="GQ131">
        <v>1.9595800000000001</v>
      </c>
      <c r="GR131">
        <v>1.7474000000000001</v>
      </c>
      <c r="GS131">
        <v>-3.6206099999999998E-2</v>
      </c>
      <c r="GT131">
        <v>0</v>
      </c>
      <c r="GU131">
        <v>30.494</v>
      </c>
      <c r="GV131">
        <v>999.9</v>
      </c>
      <c r="GW131">
        <v>31.3</v>
      </c>
      <c r="GX131">
        <v>44</v>
      </c>
      <c r="GY131">
        <v>28.9146</v>
      </c>
      <c r="GZ131">
        <v>60.031100000000002</v>
      </c>
      <c r="HA131">
        <v>24.992000000000001</v>
      </c>
      <c r="HB131">
        <v>1</v>
      </c>
      <c r="HC131">
        <v>0.60815799999999998</v>
      </c>
      <c r="HD131">
        <v>3.6464300000000001</v>
      </c>
      <c r="HE131">
        <v>20.1843</v>
      </c>
      <c r="HF131">
        <v>5.2697000000000003</v>
      </c>
      <c r="HG131">
        <v>12.039899999999999</v>
      </c>
      <c r="HH131">
        <v>4.9656500000000001</v>
      </c>
      <c r="HI131">
        <v>3.3010000000000002</v>
      </c>
      <c r="HJ131">
        <v>9999</v>
      </c>
      <c r="HK131">
        <v>9999</v>
      </c>
      <c r="HL131">
        <v>9999</v>
      </c>
      <c r="HM131">
        <v>999.9</v>
      </c>
      <c r="HN131">
        <v>1.86846</v>
      </c>
      <c r="HO131">
        <v>1.8721300000000001</v>
      </c>
      <c r="HP131">
        <v>1.87195</v>
      </c>
      <c r="HQ131">
        <v>1.87148</v>
      </c>
      <c r="HR131">
        <v>1.86467</v>
      </c>
      <c r="HS131">
        <v>1.8658399999999999</v>
      </c>
      <c r="HT131">
        <v>1.8678399999999999</v>
      </c>
      <c r="HU131">
        <v>1.8724099999999999</v>
      </c>
      <c r="HV131">
        <v>0</v>
      </c>
      <c r="HW131">
        <v>0</v>
      </c>
      <c r="HX131">
        <v>0</v>
      </c>
      <c r="HY131">
        <v>0</v>
      </c>
      <c r="HZ131" t="s">
        <v>424</v>
      </c>
      <c r="IA131" t="s">
        <v>425</v>
      </c>
      <c r="IB131" t="s">
        <v>426</v>
      </c>
      <c r="IC131" t="s">
        <v>426</v>
      </c>
      <c r="ID131" t="s">
        <v>426</v>
      </c>
      <c r="IE131" t="s">
        <v>426</v>
      </c>
      <c r="IF131">
        <v>0</v>
      </c>
      <c r="IG131">
        <v>100</v>
      </c>
      <c r="IH131">
        <v>100</v>
      </c>
      <c r="II131">
        <v>-1.339</v>
      </c>
      <c r="IJ131">
        <v>-5.5999999999999999E-3</v>
      </c>
      <c r="IK131">
        <v>-0.97571005100151686</v>
      </c>
      <c r="IL131">
        <v>-1.171017271736434E-3</v>
      </c>
      <c r="IM131">
        <v>2.801297040296544E-7</v>
      </c>
      <c r="IN131">
        <v>-3.6238253961199429E-11</v>
      </c>
      <c r="IO131">
        <v>-5.6142857142837954E-3</v>
      </c>
      <c r="IP131">
        <v>0</v>
      </c>
      <c r="IQ131">
        <v>0</v>
      </c>
      <c r="IR131">
        <v>0</v>
      </c>
      <c r="IS131">
        <v>0</v>
      </c>
      <c r="IT131">
        <v>2161</v>
      </c>
      <c r="IU131">
        <v>1</v>
      </c>
      <c r="IV131">
        <v>19</v>
      </c>
      <c r="IW131">
        <v>0.8</v>
      </c>
      <c r="IX131">
        <v>0.7</v>
      </c>
      <c r="IY131">
        <v>1.02905</v>
      </c>
      <c r="IZ131">
        <v>2.5354000000000001</v>
      </c>
      <c r="JA131">
        <v>1.4440900000000001</v>
      </c>
      <c r="JB131">
        <v>2.2827099999999998</v>
      </c>
      <c r="JC131">
        <v>1.54419</v>
      </c>
      <c r="JD131">
        <v>2.33521</v>
      </c>
      <c r="JE131">
        <v>47.331800000000001</v>
      </c>
      <c r="JF131">
        <v>24.061199999999999</v>
      </c>
      <c r="JG131">
        <v>18</v>
      </c>
      <c r="JH131">
        <v>511.59300000000002</v>
      </c>
      <c r="JI131">
        <v>412.41899999999998</v>
      </c>
      <c r="JJ131">
        <v>24.829799999999999</v>
      </c>
      <c r="JK131">
        <v>34.764299999999999</v>
      </c>
      <c r="JL131">
        <v>29.999300000000002</v>
      </c>
      <c r="JM131">
        <v>34.501199999999997</v>
      </c>
      <c r="JN131">
        <v>34.4377</v>
      </c>
      <c r="JO131">
        <v>20.706499999999998</v>
      </c>
      <c r="JP131">
        <v>42.927399999999999</v>
      </c>
      <c r="JQ131">
        <v>0</v>
      </c>
      <c r="JR131">
        <v>24.926600000000001</v>
      </c>
      <c r="JS131">
        <v>400</v>
      </c>
      <c r="JT131">
        <v>20.013100000000001</v>
      </c>
      <c r="JU131">
        <v>99.115700000000004</v>
      </c>
      <c r="JV131">
        <v>98.726600000000005</v>
      </c>
    </row>
    <row r="132" spans="1:282" x14ac:dyDescent="0.25">
      <c r="A132">
        <v>116</v>
      </c>
      <c r="B132">
        <v>1689021968.5999999</v>
      </c>
      <c r="C132">
        <v>22791.599999904629</v>
      </c>
      <c r="D132" t="s">
        <v>1006</v>
      </c>
      <c r="E132" t="s">
        <v>1007</v>
      </c>
      <c r="F132" t="s">
        <v>414</v>
      </c>
      <c r="G132" t="s">
        <v>415</v>
      </c>
      <c r="H132" t="s">
        <v>500</v>
      </c>
      <c r="I132" t="s">
        <v>500</v>
      </c>
      <c r="J132" t="s">
        <v>417</v>
      </c>
      <c r="K132">
        <v>1689021968.5999999</v>
      </c>
      <c r="L132">
        <f t="shared" si="138"/>
        <v>6.2963991880478892E-3</v>
      </c>
      <c r="M132">
        <f t="shared" si="139"/>
        <v>6.2963991880478893</v>
      </c>
      <c r="N132">
        <f t="shared" si="140"/>
        <v>53.308773972073219</v>
      </c>
      <c r="O132">
        <f t="shared" si="141"/>
        <v>432.62799999999999</v>
      </c>
      <c r="P132">
        <f t="shared" si="142"/>
        <v>214.80255573022026</v>
      </c>
      <c r="Q132">
        <f t="shared" si="143"/>
        <v>21.301184477306283</v>
      </c>
      <c r="R132">
        <f t="shared" si="144"/>
        <v>42.902137764236798</v>
      </c>
      <c r="S132">
        <f t="shared" si="145"/>
        <v>0.4353051577387802</v>
      </c>
      <c r="T132">
        <f t="shared" si="146"/>
        <v>2.9110416252328855</v>
      </c>
      <c r="U132">
        <f t="shared" si="147"/>
        <v>0.40210801622614445</v>
      </c>
      <c r="V132">
        <f t="shared" si="148"/>
        <v>0.25408884058665704</v>
      </c>
      <c r="W132">
        <f t="shared" si="149"/>
        <v>289.56966195839743</v>
      </c>
      <c r="X132">
        <f t="shared" si="150"/>
        <v>30.125432584937517</v>
      </c>
      <c r="Y132">
        <f t="shared" si="151"/>
        <v>30.006</v>
      </c>
      <c r="Z132">
        <f t="shared" si="152"/>
        <v>4.2619182934012949</v>
      </c>
      <c r="AA132">
        <f t="shared" si="153"/>
        <v>64.674302846472287</v>
      </c>
      <c r="AB132">
        <f t="shared" si="154"/>
        <v>2.76413296735072</v>
      </c>
      <c r="AC132">
        <f t="shared" si="155"/>
        <v>4.2739277358928529</v>
      </c>
      <c r="AD132">
        <f t="shared" si="156"/>
        <v>1.4977853260505749</v>
      </c>
      <c r="AE132">
        <f t="shared" si="157"/>
        <v>-277.67120419291189</v>
      </c>
      <c r="AF132">
        <f t="shared" si="158"/>
        <v>7.6900637288781315</v>
      </c>
      <c r="AG132">
        <f t="shared" si="159"/>
        <v>0.58755937647746048</v>
      </c>
      <c r="AH132">
        <f t="shared" si="160"/>
        <v>20.176080870841162</v>
      </c>
      <c r="AI132">
        <v>0</v>
      </c>
      <c r="AJ132">
        <v>0</v>
      </c>
      <c r="AK132">
        <f t="shared" si="161"/>
        <v>1</v>
      </c>
      <c r="AL132">
        <f t="shared" si="162"/>
        <v>0</v>
      </c>
      <c r="AM132">
        <f t="shared" si="163"/>
        <v>51796.352227763979</v>
      </c>
      <c r="AN132" t="s">
        <v>418</v>
      </c>
      <c r="AO132">
        <v>10076.700000000001</v>
      </c>
      <c r="AP132">
        <v>185.01599999999999</v>
      </c>
      <c r="AQ132">
        <v>473.06</v>
      </c>
      <c r="AR132">
        <f t="shared" si="164"/>
        <v>0.60889527755464423</v>
      </c>
      <c r="AS132">
        <v>-1.4827006201179751</v>
      </c>
      <c r="AT132" t="s">
        <v>1008</v>
      </c>
      <c r="AU132">
        <v>8085.88</v>
      </c>
      <c r="AV132">
        <v>725.31823999999995</v>
      </c>
      <c r="AW132">
        <v>1126.460622059529</v>
      </c>
      <c r="AX132">
        <f t="shared" si="165"/>
        <v>0.35610865946304715</v>
      </c>
      <c r="AY132">
        <v>0.5</v>
      </c>
      <c r="AZ132">
        <f t="shared" si="166"/>
        <v>1513.2014994603096</v>
      </c>
      <c r="BA132">
        <f t="shared" si="167"/>
        <v>53.308773972073219</v>
      </c>
      <c r="BB132">
        <f t="shared" si="168"/>
        <v>269.43207873514189</v>
      </c>
      <c r="BC132">
        <f t="shared" si="169"/>
        <v>3.6208974556087098E-2</v>
      </c>
      <c r="BD132">
        <f t="shared" si="170"/>
        <v>-0.58004745950631142</v>
      </c>
      <c r="BE132">
        <f t="shared" si="171"/>
        <v>239.30443728654834</v>
      </c>
      <c r="BF132" t="s">
        <v>1009</v>
      </c>
      <c r="BG132">
        <v>562.72</v>
      </c>
      <c r="BH132">
        <f t="shared" si="172"/>
        <v>562.72</v>
      </c>
      <c r="BI132">
        <f t="shared" si="173"/>
        <v>0.50045302163233318</v>
      </c>
      <c r="BJ132">
        <f t="shared" si="174"/>
        <v>0.71157260336149741</v>
      </c>
      <c r="BK132">
        <f t="shared" si="175"/>
        <v>7.2875376094080844</v>
      </c>
      <c r="BL132">
        <f t="shared" si="176"/>
        <v>0.42609238255775406</v>
      </c>
      <c r="BM132">
        <f t="shared" si="177"/>
        <v>-2.2684055979625652</v>
      </c>
      <c r="BN132">
        <f t="shared" si="178"/>
        <v>0.55205579190119614</v>
      </c>
      <c r="BO132">
        <f t="shared" si="179"/>
        <v>0.44794420809880386</v>
      </c>
      <c r="BP132">
        <v>9285</v>
      </c>
      <c r="BQ132">
        <v>290.00000000000011</v>
      </c>
      <c r="BR132">
        <v>984.64</v>
      </c>
      <c r="BS132">
        <v>295</v>
      </c>
      <c r="BT132">
        <v>8085.88</v>
      </c>
      <c r="BU132">
        <v>986.23</v>
      </c>
      <c r="BV132">
        <v>-1.59</v>
      </c>
      <c r="BW132">
        <v>300.00000000000011</v>
      </c>
      <c r="BX132">
        <v>19.2</v>
      </c>
      <c r="BY132">
        <v>1126.460622059529</v>
      </c>
      <c r="BZ132">
        <v>3.4174768870957379</v>
      </c>
      <c r="CA132">
        <v>-113.3855577650593</v>
      </c>
      <c r="CB132">
        <v>2.5391961317244869</v>
      </c>
      <c r="CC132">
        <v>0.98615225626041902</v>
      </c>
      <c r="CD132">
        <v>-4.1652774193548401E-3</v>
      </c>
      <c r="CE132">
        <v>289.99999999999989</v>
      </c>
      <c r="CF132">
        <v>977.22</v>
      </c>
      <c r="CG132">
        <v>645</v>
      </c>
      <c r="CH132">
        <v>8079.07</v>
      </c>
      <c r="CI132">
        <v>986.12</v>
      </c>
      <c r="CJ132">
        <v>-8.9</v>
      </c>
      <c r="CX132">
        <f t="shared" si="180"/>
        <v>1800.02</v>
      </c>
      <c r="CY132">
        <f t="shared" si="181"/>
        <v>1513.2014994603096</v>
      </c>
      <c r="CZ132">
        <f t="shared" si="182"/>
        <v>0.84065815905396024</v>
      </c>
      <c r="DA132">
        <f t="shared" si="183"/>
        <v>0.16087024697414332</v>
      </c>
      <c r="DB132">
        <v>6</v>
      </c>
      <c r="DC132">
        <v>0.5</v>
      </c>
      <c r="DD132" t="s">
        <v>421</v>
      </c>
      <c r="DE132">
        <v>2</v>
      </c>
      <c r="DF132">
        <v>1689021968.5999999</v>
      </c>
      <c r="DG132">
        <v>432.62799999999999</v>
      </c>
      <c r="DH132">
        <v>499.85199999999998</v>
      </c>
      <c r="DI132">
        <v>27.873699999999999</v>
      </c>
      <c r="DJ132">
        <v>20.5303</v>
      </c>
      <c r="DK132">
        <v>434.16800000000001</v>
      </c>
      <c r="DL132">
        <v>27.883099999999999</v>
      </c>
      <c r="DM132">
        <v>500.11399999999998</v>
      </c>
      <c r="DN132">
        <v>99.066400000000002</v>
      </c>
      <c r="DO132">
        <v>9.9945599999999996E-2</v>
      </c>
      <c r="DP132">
        <v>30.055</v>
      </c>
      <c r="DQ132">
        <v>30.006</v>
      </c>
      <c r="DR132">
        <v>999.9</v>
      </c>
      <c r="DS132">
        <v>0</v>
      </c>
      <c r="DT132">
        <v>0</v>
      </c>
      <c r="DU132">
        <v>9988.1200000000008</v>
      </c>
      <c r="DV132">
        <v>0</v>
      </c>
      <c r="DW132">
        <v>1260.01</v>
      </c>
      <c r="DX132">
        <v>-67.224100000000007</v>
      </c>
      <c r="DY132">
        <v>445.03300000000002</v>
      </c>
      <c r="DZ132">
        <v>510.33</v>
      </c>
      <c r="EA132">
        <v>7.3434299999999997</v>
      </c>
      <c r="EB132">
        <v>499.85199999999998</v>
      </c>
      <c r="EC132">
        <v>20.5303</v>
      </c>
      <c r="ED132">
        <v>2.7613500000000002</v>
      </c>
      <c r="EE132">
        <v>2.0338599999999998</v>
      </c>
      <c r="EF132">
        <v>22.654800000000002</v>
      </c>
      <c r="EG132">
        <v>17.7104</v>
      </c>
      <c r="EH132">
        <v>1800.02</v>
      </c>
      <c r="EI132">
        <v>0.97800299999999996</v>
      </c>
      <c r="EJ132">
        <v>2.1997200000000001E-2</v>
      </c>
      <c r="EK132">
        <v>0</v>
      </c>
      <c r="EL132">
        <v>725.02499999999998</v>
      </c>
      <c r="EM132">
        <v>5.00082</v>
      </c>
      <c r="EN132">
        <v>19892.8</v>
      </c>
      <c r="EO132">
        <v>14129.9</v>
      </c>
      <c r="EP132">
        <v>48.061999999999998</v>
      </c>
      <c r="EQ132">
        <v>49.375</v>
      </c>
      <c r="ER132">
        <v>49</v>
      </c>
      <c r="ES132">
        <v>48.75</v>
      </c>
      <c r="ET132">
        <v>49.25</v>
      </c>
      <c r="EU132">
        <v>1755.53</v>
      </c>
      <c r="EV132">
        <v>39.49</v>
      </c>
      <c r="EW132">
        <v>0</v>
      </c>
      <c r="EX132">
        <v>146.5999999046326</v>
      </c>
      <c r="EY132">
        <v>0</v>
      </c>
      <c r="EZ132">
        <v>725.31823999999995</v>
      </c>
      <c r="FA132">
        <v>0.73046154828130883</v>
      </c>
      <c r="FB132">
        <v>13419.36156286814</v>
      </c>
      <c r="FC132">
        <v>18645.788</v>
      </c>
      <c r="FD132">
        <v>15</v>
      </c>
      <c r="FE132">
        <v>1689021928.5999999</v>
      </c>
      <c r="FF132" t="s">
        <v>1010</v>
      </c>
      <c r="FG132">
        <v>1689021928.5999999</v>
      </c>
      <c r="FH132">
        <v>1689021922.5999999</v>
      </c>
      <c r="FI132">
        <v>129</v>
      </c>
      <c r="FJ132">
        <v>-0.106</v>
      </c>
      <c r="FK132">
        <v>-4.0000000000000001E-3</v>
      </c>
      <c r="FL132">
        <v>-1.603</v>
      </c>
      <c r="FM132">
        <v>-8.9999999999999993E-3</v>
      </c>
      <c r="FN132">
        <v>500</v>
      </c>
      <c r="FO132">
        <v>20</v>
      </c>
      <c r="FP132">
        <v>0.02</v>
      </c>
      <c r="FQ132">
        <v>0.01</v>
      </c>
      <c r="FR132">
        <v>53.282126349710822</v>
      </c>
      <c r="FS132">
        <v>-0.32382437581754753</v>
      </c>
      <c r="FT132">
        <v>7.6250690715145397E-2</v>
      </c>
      <c r="FU132">
        <v>1</v>
      </c>
      <c r="FV132">
        <v>0.44086629237027991</v>
      </c>
      <c r="FW132">
        <v>-4.3887218966199383E-2</v>
      </c>
      <c r="FX132">
        <v>3.1949409715471742E-3</v>
      </c>
      <c r="FY132">
        <v>1</v>
      </c>
      <c r="FZ132">
        <v>2</v>
      </c>
      <c r="GA132">
        <v>2</v>
      </c>
      <c r="GB132" t="s">
        <v>423</v>
      </c>
      <c r="GC132">
        <v>2.9435799999999999</v>
      </c>
      <c r="GD132">
        <v>2.7084999999999999</v>
      </c>
      <c r="GE132">
        <v>9.2793E-2</v>
      </c>
      <c r="GF132">
        <v>0.10319200000000001</v>
      </c>
      <c r="GG132">
        <v>0.12506300000000001</v>
      </c>
      <c r="GH132">
        <v>0.100927</v>
      </c>
      <c r="GI132">
        <v>29721.7</v>
      </c>
      <c r="GJ132">
        <v>28679.8</v>
      </c>
      <c r="GK132">
        <v>33766.6</v>
      </c>
      <c r="GL132">
        <v>32030.1</v>
      </c>
      <c r="GM132">
        <v>42669.9</v>
      </c>
      <c r="GN132">
        <v>40982.300000000003</v>
      </c>
      <c r="GO132">
        <v>48917.1</v>
      </c>
      <c r="GP132">
        <v>45345.1</v>
      </c>
      <c r="GQ132">
        <v>1.9604299999999999</v>
      </c>
      <c r="GR132">
        <v>1.75105</v>
      </c>
      <c r="GS132">
        <v>3.0025799999999999E-3</v>
      </c>
      <c r="GT132">
        <v>0</v>
      </c>
      <c r="GU132">
        <v>29.957100000000001</v>
      </c>
      <c r="GV132">
        <v>999.9</v>
      </c>
      <c r="GW132">
        <v>31.1</v>
      </c>
      <c r="GX132">
        <v>43.9</v>
      </c>
      <c r="GY132">
        <v>28.581900000000001</v>
      </c>
      <c r="GZ132">
        <v>60.4711</v>
      </c>
      <c r="HA132">
        <v>25.605</v>
      </c>
      <c r="HB132">
        <v>1</v>
      </c>
      <c r="HC132">
        <v>0.59445099999999995</v>
      </c>
      <c r="HD132">
        <v>3.8350399999999998</v>
      </c>
      <c r="HE132">
        <v>20.166799999999999</v>
      </c>
      <c r="HF132">
        <v>5.2667099999999998</v>
      </c>
      <c r="HG132">
        <v>12.039899999999999</v>
      </c>
      <c r="HH132">
        <v>4.9649000000000001</v>
      </c>
      <c r="HI132">
        <v>3.30023</v>
      </c>
      <c r="HJ132">
        <v>9999</v>
      </c>
      <c r="HK132">
        <v>9999</v>
      </c>
      <c r="HL132">
        <v>9999</v>
      </c>
      <c r="HM132">
        <v>999.9</v>
      </c>
      <c r="HN132">
        <v>1.8684499999999999</v>
      </c>
      <c r="HO132">
        <v>1.87212</v>
      </c>
      <c r="HP132">
        <v>1.87195</v>
      </c>
      <c r="HQ132">
        <v>1.87147</v>
      </c>
      <c r="HR132">
        <v>1.8646499999999999</v>
      </c>
      <c r="HS132">
        <v>1.8658399999999999</v>
      </c>
      <c r="HT132">
        <v>1.86785</v>
      </c>
      <c r="HU132">
        <v>1.8724099999999999</v>
      </c>
      <c r="HV132">
        <v>0</v>
      </c>
      <c r="HW132">
        <v>0</v>
      </c>
      <c r="HX132">
        <v>0</v>
      </c>
      <c r="HY132">
        <v>0</v>
      </c>
      <c r="HZ132" t="s">
        <v>424</v>
      </c>
      <c r="IA132" t="s">
        <v>425</v>
      </c>
      <c r="IB132" t="s">
        <v>426</v>
      </c>
      <c r="IC132" t="s">
        <v>426</v>
      </c>
      <c r="ID132" t="s">
        <v>426</v>
      </c>
      <c r="IE132" t="s">
        <v>426</v>
      </c>
      <c r="IF132">
        <v>0</v>
      </c>
      <c r="IG132">
        <v>100</v>
      </c>
      <c r="IH132">
        <v>100</v>
      </c>
      <c r="II132">
        <v>-1.54</v>
      </c>
      <c r="IJ132">
        <v>-9.4000000000000004E-3</v>
      </c>
      <c r="IK132">
        <v>-1.0813961940402239</v>
      </c>
      <c r="IL132">
        <v>-1.171017271736434E-3</v>
      </c>
      <c r="IM132">
        <v>2.801297040296544E-7</v>
      </c>
      <c r="IN132">
        <v>-3.6238253961199429E-11</v>
      </c>
      <c r="IO132">
        <v>-9.3849999999982003E-3</v>
      </c>
      <c r="IP132">
        <v>0</v>
      </c>
      <c r="IQ132">
        <v>0</v>
      </c>
      <c r="IR132">
        <v>0</v>
      </c>
      <c r="IS132">
        <v>0</v>
      </c>
      <c r="IT132">
        <v>2161</v>
      </c>
      <c r="IU132">
        <v>1</v>
      </c>
      <c r="IV132">
        <v>19</v>
      </c>
      <c r="IW132">
        <v>0.7</v>
      </c>
      <c r="IX132">
        <v>0.8</v>
      </c>
      <c r="IY132">
        <v>1.23291</v>
      </c>
      <c r="IZ132">
        <v>2.5097700000000001</v>
      </c>
      <c r="JA132">
        <v>1.4440900000000001</v>
      </c>
      <c r="JB132">
        <v>2.2814899999999998</v>
      </c>
      <c r="JC132">
        <v>1.54419</v>
      </c>
      <c r="JD132">
        <v>2.4450699999999999</v>
      </c>
      <c r="JE132">
        <v>47.122900000000001</v>
      </c>
      <c r="JF132">
        <v>24.043700000000001</v>
      </c>
      <c r="JG132">
        <v>18</v>
      </c>
      <c r="JH132">
        <v>511.65499999999997</v>
      </c>
      <c r="JI132">
        <v>414.21899999999999</v>
      </c>
      <c r="JJ132">
        <v>26.685700000000001</v>
      </c>
      <c r="JK132">
        <v>34.651400000000002</v>
      </c>
      <c r="JL132">
        <v>30.000399999999999</v>
      </c>
      <c r="JM132">
        <v>34.436900000000001</v>
      </c>
      <c r="JN132">
        <v>34.368699999999997</v>
      </c>
      <c r="JO132">
        <v>24.813500000000001</v>
      </c>
      <c r="JP132">
        <v>39.214100000000002</v>
      </c>
      <c r="JQ132">
        <v>0</v>
      </c>
      <c r="JR132">
        <v>25.952000000000002</v>
      </c>
      <c r="JS132">
        <v>500</v>
      </c>
      <c r="JT132">
        <v>20.670400000000001</v>
      </c>
      <c r="JU132">
        <v>99.130200000000002</v>
      </c>
      <c r="JV132">
        <v>98.748800000000003</v>
      </c>
    </row>
    <row r="133" spans="1:282" x14ac:dyDescent="0.25">
      <c r="A133">
        <v>117</v>
      </c>
      <c r="B133">
        <v>1689022141.5999999</v>
      </c>
      <c r="C133">
        <v>22964.599999904629</v>
      </c>
      <c r="D133" t="s">
        <v>1011</v>
      </c>
      <c r="E133" t="s">
        <v>1012</v>
      </c>
      <c r="F133" t="s">
        <v>414</v>
      </c>
      <c r="G133" t="s">
        <v>415</v>
      </c>
      <c r="H133" t="s">
        <v>500</v>
      </c>
      <c r="I133" t="s">
        <v>500</v>
      </c>
      <c r="J133" t="s">
        <v>417</v>
      </c>
      <c r="K133">
        <v>1689022141.5999999</v>
      </c>
      <c r="L133">
        <f t="shared" si="138"/>
        <v>6.0673133865532794E-3</v>
      </c>
      <c r="M133">
        <f t="shared" si="139"/>
        <v>6.0673133865532796</v>
      </c>
      <c r="N133">
        <f t="shared" si="140"/>
        <v>53.459955759516127</v>
      </c>
      <c r="O133">
        <f t="shared" si="141"/>
        <v>631.28899999999999</v>
      </c>
      <c r="P133">
        <f t="shared" si="142"/>
        <v>407.81899799588001</v>
      </c>
      <c r="Q133">
        <f t="shared" si="143"/>
        <v>40.439455573555456</v>
      </c>
      <c r="R133">
        <f t="shared" si="144"/>
        <v>62.598808773082602</v>
      </c>
      <c r="S133">
        <f t="shared" si="145"/>
        <v>0.43373524815645459</v>
      </c>
      <c r="T133">
        <f t="shared" si="146"/>
        <v>2.9287136403997316</v>
      </c>
      <c r="U133">
        <f t="shared" si="147"/>
        <v>0.40095023108024902</v>
      </c>
      <c r="V133">
        <f t="shared" si="148"/>
        <v>0.2533326718797359</v>
      </c>
      <c r="W133">
        <f t="shared" si="149"/>
        <v>289.52976195825278</v>
      </c>
      <c r="X133">
        <f t="shared" si="150"/>
        <v>29.915794149371656</v>
      </c>
      <c r="Y133">
        <f t="shared" si="151"/>
        <v>29.8642</v>
      </c>
      <c r="Z133">
        <f t="shared" si="152"/>
        <v>4.2273299794934198</v>
      </c>
      <c r="AA133">
        <f t="shared" si="153"/>
        <v>66.052816006194604</v>
      </c>
      <c r="AB133">
        <f t="shared" si="154"/>
        <v>2.7798202813942403</v>
      </c>
      <c r="AC133">
        <f t="shared" si="155"/>
        <v>4.2084811056860039</v>
      </c>
      <c r="AD133">
        <f t="shared" si="156"/>
        <v>1.4475096980991795</v>
      </c>
      <c r="AE133">
        <f t="shared" si="157"/>
        <v>-267.56852034699961</v>
      </c>
      <c r="AF133">
        <f t="shared" si="158"/>
        <v>-12.268271320001613</v>
      </c>
      <c r="AG133">
        <f t="shared" si="159"/>
        <v>-0.92981031684919879</v>
      </c>
      <c r="AH133">
        <f t="shared" si="160"/>
        <v>8.763159974402388</v>
      </c>
      <c r="AI133">
        <v>0</v>
      </c>
      <c r="AJ133">
        <v>0</v>
      </c>
      <c r="AK133">
        <f t="shared" si="161"/>
        <v>1</v>
      </c>
      <c r="AL133">
        <f t="shared" si="162"/>
        <v>0</v>
      </c>
      <c r="AM133">
        <f t="shared" si="163"/>
        <v>52345.906134281126</v>
      </c>
      <c r="AN133" t="s">
        <v>418</v>
      </c>
      <c r="AO133">
        <v>10076.700000000001</v>
      </c>
      <c r="AP133">
        <v>185.01599999999999</v>
      </c>
      <c r="AQ133">
        <v>473.06</v>
      </c>
      <c r="AR133">
        <f t="shared" si="164"/>
        <v>0.60889527755464423</v>
      </c>
      <c r="AS133">
        <v>-1.4827006201179751</v>
      </c>
      <c r="AT133" t="s">
        <v>1013</v>
      </c>
      <c r="AU133">
        <v>8087.96</v>
      </c>
      <c r="AV133">
        <v>726.43887999999993</v>
      </c>
      <c r="AW133">
        <v>1124.171427645085</v>
      </c>
      <c r="AX133">
        <f t="shared" si="165"/>
        <v>0.35380061960679388</v>
      </c>
      <c r="AY133">
        <v>0.5</v>
      </c>
      <c r="AZ133">
        <f t="shared" si="166"/>
        <v>1512.9914994602345</v>
      </c>
      <c r="BA133">
        <f t="shared" si="167"/>
        <v>53.459955759516127</v>
      </c>
      <c r="BB133">
        <f t="shared" si="168"/>
        <v>267.64866498442154</v>
      </c>
      <c r="BC133">
        <f t="shared" si="169"/>
        <v>3.6313922714856693E-2</v>
      </c>
      <c r="BD133">
        <f t="shared" si="170"/>
        <v>-0.57919229366025937</v>
      </c>
      <c r="BE133">
        <f t="shared" si="171"/>
        <v>239.2009593431209</v>
      </c>
      <c r="BF133" t="s">
        <v>1014</v>
      </c>
      <c r="BG133">
        <v>560.36</v>
      </c>
      <c r="BH133">
        <f t="shared" si="172"/>
        <v>560.36</v>
      </c>
      <c r="BI133">
        <f t="shared" si="173"/>
        <v>0.50153509845571997</v>
      </c>
      <c r="BJ133">
        <f t="shared" si="174"/>
        <v>0.70543541358557693</v>
      </c>
      <c r="BK133">
        <f t="shared" si="175"/>
        <v>7.4583210497718788</v>
      </c>
      <c r="BL133">
        <f t="shared" si="176"/>
        <v>0.4235002385519851</v>
      </c>
      <c r="BM133">
        <f t="shared" si="177"/>
        <v>-2.2604582204284247</v>
      </c>
      <c r="BN133">
        <f t="shared" si="178"/>
        <v>0.54415835831476134</v>
      </c>
      <c r="BO133">
        <f t="shared" si="179"/>
        <v>0.45584164168523866</v>
      </c>
      <c r="BP133">
        <v>9287</v>
      </c>
      <c r="BQ133">
        <v>290.00000000000011</v>
      </c>
      <c r="BR133">
        <v>987.57</v>
      </c>
      <c r="BS133">
        <v>275</v>
      </c>
      <c r="BT133">
        <v>8087.96</v>
      </c>
      <c r="BU133">
        <v>988.45</v>
      </c>
      <c r="BV133">
        <v>-0.88</v>
      </c>
      <c r="BW133">
        <v>300.00000000000011</v>
      </c>
      <c r="BX133">
        <v>19.2</v>
      </c>
      <c r="BY133">
        <v>1124.171427645085</v>
      </c>
      <c r="BZ133">
        <v>3.2190766394838799</v>
      </c>
      <c r="CA133">
        <v>-109.7748457438785</v>
      </c>
      <c r="CB133">
        <v>2.392270625645041</v>
      </c>
      <c r="CC133">
        <v>0.98687691428647595</v>
      </c>
      <c r="CD133">
        <v>-4.1659890989988943E-3</v>
      </c>
      <c r="CE133">
        <v>289.99999999999989</v>
      </c>
      <c r="CF133">
        <v>981.57</v>
      </c>
      <c r="CG133">
        <v>645</v>
      </c>
      <c r="CH133">
        <v>8080.72</v>
      </c>
      <c r="CI133">
        <v>988.32</v>
      </c>
      <c r="CJ133">
        <v>-6.75</v>
      </c>
      <c r="CX133">
        <f t="shared" si="180"/>
        <v>1799.77</v>
      </c>
      <c r="CY133">
        <f t="shared" si="181"/>
        <v>1512.9914994602345</v>
      </c>
      <c r="CZ133">
        <f t="shared" si="182"/>
        <v>0.84065825047658005</v>
      </c>
      <c r="DA133">
        <f t="shared" si="183"/>
        <v>0.16087042341979962</v>
      </c>
      <c r="DB133">
        <v>6</v>
      </c>
      <c r="DC133">
        <v>0.5</v>
      </c>
      <c r="DD133" t="s">
        <v>421</v>
      </c>
      <c r="DE133">
        <v>2</v>
      </c>
      <c r="DF133">
        <v>1689022141.5999999</v>
      </c>
      <c r="DG133">
        <v>631.28899999999999</v>
      </c>
      <c r="DH133">
        <v>700.02099999999996</v>
      </c>
      <c r="DI133">
        <v>28.0336</v>
      </c>
      <c r="DJ133">
        <v>20.958600000000001</v>
      </c>
      <c r="DK133">
        <v>632.94899999999996</v>
      </c>
      <c r="DL133">
        <v>28.016400000000001</v>
      </c>
      <c r="DM133">
        <v>500.11799999999999</v>
      </c>
      <c r="DN133">
        <v>99.0608</v>
      </c>
      <c r="DO133">
        <v>9.9503400000000006E-2</v>
      </c>
      <c r="DP133">
        <v>29.7865</v>
      </c>
      <c r="DQ133">
        <v>29.8642</v>
      </c>
      <c r="DR133">
        <v>999.9</v>
      </c>
      <c r="DS133">
        <v>0</v>
      </c>
      <c r="DT133">
        <v>0</v>
      </c>
      <c r="DU133">
        <v>10090</v>
      </c>
      <c r="DV133">
        <v>0</v>
      </c>
      <c r="DW133">
        <v>1271.0899999999999</v>
      </c>
      <c r="DX133">
        <v>-68.731700000000004</v>
      </c>
      <c r="DY133">
        <v>649.49699999999996</v>
      </c>
      <c r="DZ133">
        <v>715.00599999999997</v>
      </c>
      <c r="EA133">
        <v>7.0749599999999999</v>
      </c>
      <c r="EB133">
        <v>700.02099999999996</v>
      </c>
      <c r="EC133">
        <v>20.958600000000001</v>
      </c>
      <c r="ED133">
        <v>2.7770299999999999</v>
      </c>
      <c r="EE133">
        <v>2.0761799999999999</v>
      </c>
      <c r="EF133">
        <v>22.748200000000001</v>
      </c>
      <c r="EG133">
        <v>18.037600000000001</v>
      </c>
      <c r="EH133">
        <v>1799.77</v>
      </c>
      <c r="EI133">
        <v>0.97799599999999998</v>
      </c>
      <c r="EJ133">
        <v>2.20044E-2</v>
      </c>
      <c r="EK133">
        <v>0</v>
      </c>
      <c r="EL133">
        <v>726.26400000000001</v>
      </c>
      <c r="EM133">
        <v>5.00082</v>
      </c>
      <c r="EN133">
        <v>19963.2</v>
      </c>
      <c r="EO133">
        <v>14128</v>
      </c>
      <c r="EP133">
        <v>47.811999999999998</v>
      </c>
      <c r="EQ133">
        <v>49.186999999999998</v>
      </c>
      <c r="ER133">
        <v>48.686999999999998</v>
      </c>
      <c r="ES133">
        <v>48.5</v>
      </c>
      <c r="ET133">
        <v>49</v>
      </c>
      <c r="EU133">
        <v>1755.28</v>
      </c>
      <c r="EV133">
        <v>39.49</v>
      </c>
      <c r="EW133">
        <v>0</v>
      </c>
      <c r="EX133">
        <v>171.20000004768369</v>
      </c>
      <c r="EY133">
        <v>0</v>
      </c>
      <c r="EZ133">
        <v>726.43887999999993</v>
      </c>
      <c r="FA133">
        <v>-0.78861539622804855</v>
      </c>
      <c r="FB133">
        <v>548.27692242322598</v>
      </c>
      <c r="FC133">
        <v>19945.835999999999</v>
      </c>
      <c r="FD133">
        <v>15</v>
      </c>
      <c r="FE133">
        <v>1689022094.5999999</v>
      </c>
      <c r="FF133" t="s">
        <v>1015</v>
      </c>
      <c r="FG133">
        <v>1689022094.5999999</v>
      </c>
      <c r="FH133">
        <v>1689022093.0999999</v>
      </c>
      <c r="FI133">
        <v>130</v>
      </c>
      <c r="FJ133">
        <v>0.06</v>
      </c>
      <c r="FK133">
        <v>2.7E-2</v>
      </c>
      <c r="FL133">
        <v>-1.718</v>
      </c>
      <c r="FM133">
        <v>1.7000000000000001E-2</v>
      </c>
      <c r="FN133">
        <v>700</v>
      </c>
      <c r="FO133">
        <v>21</v>
      </c>
      <c r="FP133">
        <v>0.02</v>
      </c>
      <c r="FQ133">
        <v>0.01</v>
      </c>
      <c r="FR133">
        <v>53.403837959236633</v>
      </c>
      <c r="FS133">
        <v>3.8762183589549692E-2</v>
      </c>
      <c r="FT133">
        <v>8.2784421198039942E-2</v>
      </c>
      <c r="FU133">
        <v>1</v>
      </c>
      <c r="FV133">
        <v>0.41920749696112652</v>
      </c>
      <c r="FW133">
        <v>3.8416626093459902E-2</v>
      </c>
      <c r="FX133">
        <v>3.4241605465232549E-3</v>
      </c>
      <c r="FY133">
        <v>1</v>
      </c>
      <c r="FZ133">
        <v>2</v>
      </c>
      <c r="GA133">
        <v>2</v>
      </c>
      <c r="GB133" t="s">
        <v>423</v>
      </c>
      <c r="GC133">
        <v>2.94367</v>
      </c>
      <c r="GD133">
        <v>2.7089500000000002</v>
      </c>
      <c r="GE133">
        <v>0.12189</v>
      </c>
      <c r="GF133">
        <v>0.13084200000000001</v>
      </c>
      <c r="GG133">
        <v>0.12550800000000001</v>
      </c>
      <c r="GH133">
        <v>0.102436</v>
      </c>
      <c r="GI133">
        <v>28779.9</v>
      </c>
      <c r="GJ133">
        <v>27803.8</v>
      </c>
      <c r="GK133">
        <v>33779.699999999997</v>
      </c>
      <c r="GL133">
        <v>32039.599999999999</v>
      </c>
      <c r="GM133">
        <v>42663.3</v>
      </c>
      <c r="GN133">
        <v>40926.1</v>
      </c>
      <c r="GO133">
        <v>48934.3</v>
      </c>
      <c r="GP133">
        <v>45358.7</v>
      </c>
      <c r="GQ133">
        <v>1.96238</v>
      </c>
      <c r="GR133">
        <v>1.75458</v>
      </c>
      <c r="GS133">
        <v>-2.71723E-2</v>
      </c>
      <c r="GT133">
        <v>0</v>
      </c>
      <c r="GU133">
        <v>30.3064</v>
      </c>
      <c r="GV133">
        <v>999.9</v>
      </c>
      <c r="GW133">
        <v>31</v>
      </c>
      <c r="GX133">
        <v>43.8</v>
      </c>
      <c r="GY133">
        <v>28.343900000000001</v>
      </c>
      <c r="GZ133">
        <v>60.061100000000003</v>
      </c>
      <c r="HA133">
        <v>24.9679</v>
      </c>
      <c r="HB133">
        <v>1</v>
      </c>
      <c r="HC133">
        <v>0.585866</v>
      </c>
      <c r="HD133">
        <v>2.5974499999999998</v>
      </c>
      <c r="HE133">
        <v>20.2026</v>
      </c>
      <c r="HF133">
        <v>5.2637099999999997</v>
      </c>
      <c r="HG133">
        <v>12.039899999999999</v>
      </c>
      <c r="HH133">
        <v>4.9649999999999999</v>
      </c>
      <c r="HI133">
        <v>3.3003200000000001</v>
      </c>
      <c r="HJ133">
        <v>9999</v>
      </c>
      <c r="HK133">
        <v>9999</v>
      </c>
      <c r="HL133">
        <v>9999</v>
      </c>
      <c r="HM133">
        <v>999.9</v>
      </c>
      <c r="HN133">
        <v>1.8684700000000001</v>
      </c>
      <c r="HO133">
        <v>1.8721099999999999</v>
      </c>
      <c r="HP133">
        <v>1.87195</v>
      </c>
      <c r="HQ133">
        <v>1.87147</v>
      </c>
      <c r="HR133">
        <v>1.86469</v>
      </c>
      <c r="HS133">
        <v>1.8658399999999999</v>
      </c>
      <c r="HT133">
        <v>1.8678399999999999</v>
      </c>
      <c r="HU133">
        <v>1.8724099999999999</v>
      </c>
      <c r="HV133">
        <v>0</v>
      </c>
      <c r="HW133">
        <v>0</v>
      </c>
      <c r="HX133">
        <v>0</v>
      </c>
      <c r="HY133">
        <v>0</v>
      </c>
      <c r="HZ133" t="s">
        <v>424</v>
      </c>
      <c r="IA133" t="s">
        <v>425</v>
      </c>
      <c r="IB133" t="s">
        <v>426</v>
      </c>
      <c r="IC133" t="s">
        <v>426</v>
      </c>
      <c r="ID133" t="s">
        <v>426</v>
      </c>
      <c r="IE133" t="s">
        <v>426</v>
      </c>
      <c r="IF133">
        <v>0</v>
      </c>
      <c r="IG133">
        <v>100</v>
      </c>
      <c r="IH133">
        <v>100</v>
      </c>
      <c r="II133">
        <v>-1.66</v>
      </c>
      <c r="IJ133">
        <v>1.72E-2</v>
      </c>
      <c r="IK133">
        <v>-1.021381577174667</v>
      </c>
      <c r="IL133">
        <v>-1.171017271736434E-3</v>
      </c>
      <c r="IM133">
        <v>2.801297040296544E-7</v>
      </c>
      <c r="IN133">
        <v>-3.6238253961199429E-11</v>
      </c>
      <c r="IO133">
        <v>1.7159999999996959E-2</v>
      </c>
      <c r="IP133">
        <v>0</v>
      </c>
      <c r="IQ133">
        <v>0</v>
      </c>
      <c r="IR133">
        <v>0</v>
      </c>
      <c r="IS133">
        <v>0</v>
      </c>
      <c r="IT133">
        <v>2161</v>
      </c>
      <c r="IU133">
        <v>1</v>
      </c>
      <c r="IV133">
        <v>19</v>
      </c>
      <c r="IW133">
        <v>0.8</v>
      </c>
      <c r="IX133">
        <v>0.8</v>
      </c>
      <c r="IY133">
        <v>1.62354</v>
      </c>
      <c r="IZ133">
        <v>2.50244</v>
      </c>
      <c r="JA133">
        <v>1.4440900000000001</v>
      </c>
      <c r="JB133">
        <v>2.2814899999999998</v>
      </c>
      <c r="JC133">
        <v>1.54419</v>
      </c>
      <c r="JD133">
        <v>2.4328599999999998</v>
      </c>
      <c r="JE133">
        <v>46.915100000000002</v>
      </c>
      <c r="JF133">
        <v>24.078700000000001</v>
      </c>
      <c r="JG133">
        <v>18</v>
      </c>
      <c r="JH133">
        <v>511.88400000000001</v>
      </c>
      <c r="JI133">
        <v>415.57799999999997</v>
      </c>
      <c r="JJ133">
        <v>24.2226</v>
      </c>
      <c r="JK133">
        <v>34.502800000000001</v>
      </c>
      <c r="JL133">
        <v>29.992799999999999</v>
      </c>
      <c r="JM133">
        <v>34.300899999999999</v>
      </c>
      <c r="JN133">
        <v>34.245199999999997</v>
      </c>
      <c r="JO133">
        <v>32.645200000000003</v>
      </c>
      <c r="JP133">
        <v>38.177700000000002</v>
      </c>
      <c r="JQ133">
        <v>0</v>
      </c>
      <c r="JR133">
        <v>24.5565</v>
      </c>
      <c r="JS133">
        <v>700</v>
      </c>
      <c r="JT133">
        <v>20.651199999999999</v>
      </c>
      <c r="JU133">
        <v>99.166499999999999</v>
      </c>
      <c r="JV133">
        <v>98.778099999999995</v>
      </c>
    </row>
    <row r="134" spans="1:282" x14ac:dyDescent="0.25">
      <c r="A134">
        <v>118</v>
      </c>
      <c r="B134">
        <v>1689022276.5999999</v>
      </c>
      <c r="C134">
        <v>23099.599999904629</v>
      </c>
      <c r="D134" t="s">
        <v>1016</v>
      </c>
      <c r="E134" t="s">
        <v>1017</v>
      </c>
      <c r="F134" t="s">
        <v>414</v>
      </c>
      <c r="G134" t="s">
        <v>415</v>
      </c>
      <c r="H134" t="s">
        <v>500</v>
      </c>
      <c r="I134" t="s">
        <v>500</v>
      </c>
      <c r="J134" t="s">
        <v>417</v>
      </c>
      <c r="K134">
        <v>1689022276.5999999</v>
      </c>
      <c r="L134">
        <f t="shared" si="138"/>
        <v>5.8064588668075992E-3</v>
      </c>
      <c r="M134">
        <f t="shared" si="139"/>
        <v>5.8064588668075992</v>
      </c>
      <c r="N134">
        <f t="shared" si="140"/>
        <v>52.865645760988244</v>
      </c>
      <c r="O134">
        <f t="shared" si="141"/>
        <v>830.74</v>
      </c>
      <c r="P134">
        <f t="shared" si="142"/>
        <v>576.36379954463723</v>
      </c>
      <c r="Q134">
        <f t="shared" si="143"/>
        <v>57.153423977728487</v>
      </c>
      <c r="R134">
        <f t="shared" si="144"/>
        <v>82.377893047360004</v>
      </c>
      <c r="S134">
        <f t="shared" si="145"/>
        <v>0.38035863890856081</v>
      </c>
      <c r="T134">
        <f t="shared" si="146"/>
        <v>2.9130424711582563</v>
      </c>
      <c r="U134">
        <f t="shared" si="147"/>
        <v>0.35476532474379252</v>
      </c>
      <c r="V134">
        <f t="shared" si="148"/>
        <v>0.22388411661834734</v>
      </c>
      <c r="W134">
        <f t="shared" si="149"/>
        <v>289.57285395840904</v>
      </c>
      <c r="X134">
        <f t="shared" si="150"/>
        <v>30.051351289826158</v>
      </c>
      <c r="Y134">
        <f t="shared" si="151"/>
        <v>30.139500000000002</v>
      </c>
      <c r="Z134">
        <f t="shared" si="152"/>
        <v>4.2947071869103972</v>
      </c>
      <c r="AA134">
        <f t="shared" si="153"/>
        <v>64.602013013775988</v>
      </c>
      <c r="AB134">
        <f t="shared" si="154"/>
        <v>2.7291978226464004</v>
      </c>
      <c r="AC134">
        <f t="shared" si="155"/>
        <v>4.224632786697244</v>
      </c>
      <c r="AD134">
        <f t="shared" si="156"/>
        <v>1.5655093642639968</v>
      </c>
      <c r="AE134">
        <f t="shared" si="157"/>
        <v>-256.06483602621512</v>
      </c>
      <c r="AF134">
        <f t="shared" si="158"/>
        <v>-44.978531649936102</v>
      </c>
      <c r="AG134">
        <f t="shared" si="159"/>
        <v>-3.4330627170628905</v>
      </c>
      <c r="AH134">
        <f t="shared" si="160"/>
        <v>-14.903576434805089</v>
      </c>
      <c r="AI134">
        <v>0</v>
      </c>
      <c r="AJ134">
        <v>0</v>
      </c>
      <c r="AK134">
        <f t="shared" si="161"/>
        <v>1</v>
      </c>
      <c r="AL134">
        <f t="shared" si="162"/>
        <v>0</v>
      </c>
      <c r="AM134">
        <f t="shared" si="163"/>
        <v>51887.714081991857</v>
      </c>
      <c r="AN134" t="s">
        <v>418</v>
      </c>
      <c r="AO134">
        <v>10076.700000000001</v>
      </c>
      <c r="AP134">
        <v>185.01599999999999</v>
      </c>
      <c r="AQ134">
        <v>473.06</v>
      </c>
      <c r="AR134">
        <f t="shared" si="164"/>
        <v>0.60889527755464423</v>
      </c>
      <c r="AS134">
        <v>-1.4827006201179751</v>
      </c>
      <c r="AT134" t="s">
        <v>1018</v>
      </c>
      <c r="AU134">
        <v>8087.44</v>
      </c>
      <c r="AV134">
        <v>724.40923999999995</v>
      </c>
      <c r="AW134">
        <v>1119.484737122355</v>
      </c>
      <c r="AX134">
        <f t="shared" si="165"/>
        <v>0.3529083372211933</v>
      </c>
      <c r="AY134">
        <v>0.5</v>
      </c>
      <c r="AZ134">
        <f t="shared" si="166"/>
        <v>1513.2182994603154</v>
      </c>
      <c r="BA134">
        <f t="shared" si="167"/>
        <v>52.865645760988244</v>
      </c>
      <c r="BB134">
        <f t="shared" si="168"/>
        <v>267.01367695761081</v>
      </c>
      <c r="BC134">
        <f t="shared" si="169"/>
        <v>3.5915734299862341E-2</v>
      </c>
      <c r="BD134">
        <f t="shared" si="170"/>
        <v>-0.57743059435003585</v>
      </c>
      <c r="BE134">
        <f t="shared" si="171"/>
        <v>238.98806962090745</v>
      </c>
      <c r="BF134" t="s">
        <v>1019</v>
      </c>
      <c r="BG134">
        <v>561.91</v>
      </c>
      <c r="BH134">
        <f t="shared" si="172"/>
        <v>561.91</v>
      </c>
      <c r="BI134">
        <f t="shared" si="173"/>
        <v>0.49806372399109755</v>
      </c>
      <c r="BJ134">
        <f t="shared" si="174"/>
        <v>0.70856061227117451</v>
      </c>
      <c r="BK134">
        <f t="shared" si="175"/>
        <v>7.2754613069482872</v>
      </c>
      <c r="BL134">
        <f t="shared" si="176"/>
        <v>0.42278086085465871</v>
      </c>
      <c r="BM134">
        <f t="shared" si="177"/>
        <v>-2.2441874752550133</v>
      </c>
      <c r="BN134">
        <f t="shared" si="178"/>
        <v>0.54961653117690168</v>
      </c>
      <c r="BO134">
        <f t="shared" si="179"/>
        <v>0.45038346882309832</v>
      </c>
      <c r="BP134">
        <v>9289</v>
      </c>
      <c r="BQ134">
        <v>290.00000000000011</v>
      </c>
      <c r="BR134">
        <v>983.43</v>
      </c>
      <c r="BS134">
        <v>285</v>
      </c>
      <c r="BT134">
        <v>8087.44</v>
      </c>
      <c r="BU134">
        <v>984.79</v>
      </c>
      <c r="BV134">
        <v>-1.36</v>
      </c>
      <c r="BW134">
        <v>300.00000000000011</v>
      </c>
      <c r="BX134">
        <v>19.2</v>
      </c>
      <c r="BY134">
        <v>1119.484737122355</v>
      </c>
      <c r="BZ134">
        <v>3.3468244759052999</v>
      </c>
      <c r="CA134">
        <v>-108.9349628802981</v>
      </c>
      <c r="CB134">
        <v>2.487189293713203</v>
      </c>
      <c r="CC134">
        <v>0.9856137408089265</v>
      </c>
      <c r="CD134">
        <v>-4.1659141268075642E-3</v>
      </c>
      <c r="CE134">
        <v>289.99999999999989</v>
      </c>
      <c r="CF134">
        <v>978.57</v>
      </c>
      <c r="CG134">
        <v>645</v>
      </c>
      <c r="CH134">
        <v>8080.68</v>
      </c>
      <c r="CI134">
        <v>984.68</v>
      </c>
      <c r="CJ134">
        <v>-6.11</v>
      </c>
      <c r="CX134">
        <f t="shared" si="180"/>
        <v>1800.04</v>
      </c>
      <c r="CY134">
        <f t="shared" si="181"/>
        <v>1513.2182994603154</v>
      </c>
      <c r="CZ134">
        <f t="shared" si="182"/>
        <v>0.84065815174124769</v>
      </c>
      <c r="DA134">
        <f t="shared" si="183"/>
        <v>0.16087023286060811</v>
      </c>
      <c r="DB134">
        <v>6</v>
      </c>
      <c r="DC134">
        <v>0.5</v>
      </c>
      <c r="DD134" t="s">
        <v>421</v>
      </c>
      <c r="DE134">
        <v>2</v>
      </c>
      <c r="DF134">
        <v>1689022276.5999999</v>
      </c>
      <c r="DG134">
        <v>830.74</v>
      </c>
      <c r="DH134">
        <v>899.95</v>
      </c>
      <c r="DI134">
        <v>27.522600000000001</v>
      </c>
      <c r="DJ134">
        <v>20.7483</v>
      </c>
      <c r="DK134">
        <v>832.63</v>
      </c>
      <c r="DL134">
        <v>27.525700000000001</v>
      </c>
      <c r="DM134">
        <v>500.12400000000002</v>
      </c>
      <c r="DN134">
        <v>99.061999999999998</v>
      </c>
      <c r="DO134">
        <v>0.100064</v>
      </c>
      <c r="DP134">
        <v>29.853100000000001</v>
      </c>
      <c r="DQ134">
        <v>30.139500000000002</v>
      </c>
      <c r="DR134">
        <v>999.9</v>
      </c>
      <c r="DS134">
        <v>0</v>
      </c>
      <c r="DT134">
        <v>0</v>
      </c>
      <c r="DU134">
        <v>10000</v>
      </c>
      <c r="DV134">
        <v>0</v>
      </c>
      <c r="DW134">
        <v>1263.6099999999999</v>
      </c>
      <c r="DX134">
        <v>-69.209900000000005</v>
      </c>
      <c r="DY134">
        <v>854.25099999999998</v>
      </c>
      <c r="DZ134">
        <v>919.01800000000003</v>
      </c>
      <c r="EA134">
        <v>6.7743099999999998</v>
      </c>
      <c r="EB134">
        <v>899.95</v>
      </c>
      <c r="EC134">
        <v>20.7483</v>
      </c>
      <c r="ED134">
        <v>2.7264499999999998</v>
      </c>
      <c r="EE134">
        <v>2.0553699999999999</v>
      </c>
      <c r="EF134">
        <v>22.445399999999999</v>
      </c>
      <c r="EG134">
        <v>17.877500000000001</v>
      </c>
      <c r="EH134">
        <v>1800.04</v>
      </c>
      <c r="EI134">
        <v>0.97799899999999995</v>
      </c>
      <c r="EJ134">
        <v>2.2000800000000001E-2</v>
      </c>
      <c r="EK134">
        <v>0</v>
      </c>
      <c r="EL134">
        <v>724.48900000000003</v>
      </c>
      <c r="EM134">
        <v>5.00082</v>
      </c>
      <c r="EN134">
        <v>20171.3</v>
      </c>
      <c r="EO134">
        <v>14130.1</v>
      </c>
      <c r="EP134">
        <v>47.811999999999998</v>
      </c>
      <c r="EQ134">
        <v>49.25</v>
      </c>
      <c r="ER134">
        <v>48.686999999999998</v>
      </c>
      <c r="ES134">
        <v>48.436999999999998</v>
      </c>
      <c r="ET134">
        <v>48.936999999999998</v>
      </c>
      <c r="EU134">
        <v>1755.55</v>
      </c>
      <c r="EV134">
        <v>39.49</v>
      </c>
      <c r="EW134">
        <v>0</v>
      </c>
      <c r="EX134">
        <v>133.20000004768369</v>
      </c>
      <c r="EY134">
        <v>0</v>
      </c>
      <c r="EZ134">
        <v>724.40923999999995</v>
      </c>
      <c r="FA134">
        <v>0.1302307610991687</v>
      </c>
      <c r="FB134">
        <v>32.869230942667457</v>
      </c>
      <c r="FC134">
        <v>20158.256000000001</v>
      </c>
      <c r="FD134">
        <v>15</v>
      </c>
      <c r="FE134">
        <v>1689022230.0999999</v>
      </c>
      <c r="FF134" t="s">
        <v>1020</v>
      </c>
      <c r="FG134">
        <v>1689022214.0999999</v>
      </c>
      <c r="FH134">
        <v>1689022230.0999999</v>
      </c>
      <c r="FI134">
        <v>131</v>
      </c>
      <c r="FJ134">
        <v>-6.7000000000000004E-2</v>
      </c>
      <c r="FK134">
        <v>-0.02</v>
      </c>
      <c r="FL134">
        <v>-1.944</v>
      </c>
      <c r="FM134">
        <v>-3.0000000000000001E-3</v>
      </c>
      <c r="FN134">
        <v>900</v>
      </c>
      <c r="FO134">
        <v>20</v>
      </c>
      <c r="FP134">
        <v>0.04</v>
      </c>
      <c r="FQ134">
        <v>0.01</v>
      </c>
      <c r="FR134">
        <v>52.82924737853503</v>
      </c>
      <c r="FS134">
        <v>0.60231277816899997</v>
      </c>
      <c r="FT134">
        <v>6.1754750760527069E-2</v>
      </c>
      <c r="FU134">
        <v>1</v>
      </c>
      <c r="FV134">
        <v>0.38697100186309552</v>
      </c>
      <c r="FW134">
        <v>-4.6753255133873281E-2</v>
      </c>
      <c r="FX134">
        <v>3.4176905571142698E-3</v>
      </c>
      <c r="FY134">
        <v>1</v>
      </c>
      <c r="FZ134">
        <v>2</v>
      </c>
      <c r="GA134">
        <v>2</v>
      </c>
      <c r="GB134" t="s">
        <v>423</v>
      </c>
      <c r="GC134">
        <v>2.9436800000000001</v>
      </c>
      <c r="GD134">
        <v>2.70872</v>
      </c>
      <c r="GE134">
        <v>0.14670800000000001</v>
      </c>
      <c r="GF134">
        <v>0.154613</v>
      </c>
      <c r="GG134">
        <v>0.123985</v>
      </c>
      <c r="GH134">
        <v>0.10170999999999999</v>
      </c>
      <c r="GI134">
        <v>27963</v>
      </c>
      <c r="GJ134">
        <v>27039.5</v>
      </c>
      <c r="GK134">
        <v>33776.800000000003</v>
      </c>
      <c r="GL134">
        <v>32036.5</v>
      </c>
      <c r="GM134">
        <v>42735.4</v>
      </c>
      <c r="GN134">
        <v>40956</v>
      </c>
      <c r="GO134">
        <v>48931.199999999997</v>
      </c>
      <c r="GP134">
        <v>45354.5</v>
      </c>
      <c r="GQ134">
        <v>1.9615</v>
      </c>
      <c r="GR134">
        <v>1.7552000000000001</v>
      </c>
      <c r="GS134">
        <v>-1.5363099999999999E-2</v>
      </c>
      <c r="GT134">
        <v>0</v>
      </c>
      <c r="GU134">
        <v>30.389399999999998</v>
      </c>
      <c r="GV134">
        <v>999.9</v>
      </c>
      <c r="GW134">
        <v>31.1</v>
      </c>
      <c r="GX134">
        <v>43.8</v>
      </c>
      <c r="GY134">
        <v>28.437000000000001</v>
      </c>
      <c r="GZ134">
        <v>61.141100000000002</v>
      </c>
      <c r="HA134">
        <v>24.9038</v>
      </c>
      <c r="HB134">
        <v>1</v>
      </c>
      <c r="HC134">
        <v>0.59949399999999997</v>
      </c>
      <c r="HD134">
        <v>5.5556200000000002</v>
      </c>
      <c r="HE134">
        <v>20.131900000000002</v>
      </c>
      <c r="HF134">
        <v>5.2706</v>
      </c>
      <c r="HG134">
        <v>12.039899999999999</v>
      </c>
      <c r="HH134">
        <v>4.9657499999999999</v>
      </c>
      <c r="HI134">
        <v>3.3010000000000002</v>
      </c>
      <c r="HJ134">
        <v>9999</v>
      </c>
      <c r="HK134">
        <v>9999</v>
      </c>
      <c r="HL134">
        <v>9999</v>
      </c>
      <c r="HM134">
        <v>999.9</v>
      </c>
      <c r="HN134">
        <v>1.8684499999999999</v>
      </c>
      <c r="HO134">
        <v>1.8721000000000001</v>
      </c>
      <c r="HP134">
        <v>1.87195</v>
      </c>
      <c r="HQ134">
        <v>1.87144</v>
      </c>
      <c r="HR134">
        <v>1.86469</v>
      </c>
      <c r="HS134">
        <v>1.8658399999999999</v>
      </c>
      <c r="HT134">
        <v>1.8678300000000001</v>
      </c>
      <c r="HU134">
        <v>1.8724099999999999</v>
      </c>
      <c r="HV134">
        <v>0</v>
      </c>
      <c r="HW134">
        <v>0</v>
      </c>
      <c r="HX134">
        <v>0</v>
      </c>
      <c r="HY134">
        <v>0</v>
      </c>
      <c r="HZ134" t="s">
        <v>424</v>
      </c>
      <c r="IA134" t="s">
        <v>425</v>
      </c>
      <c r="IB134" t="s">
        <v>426</v>
      </c>
      <c r="IC134" t="s">
        <v>426</v>
      </c>
      <c r="ID134" t="s">
        <v>426</v>
      </c>
      <c r="IE134" t="s">
        <v>426</v>
      </c>
      <c r="IF134">
        <v>0</v>
      </c>
      <c r="IG134">
        <v>100</v>
      </c>
      <c r="IH134">
        <v>100</v>
      </c>
      <c r="II134">
        <v>-1.89</v>
      </c>
      <c r="IJ134">
        <v>-3.0999999999999999E-3</v>
      </c>
      <c r="IK134">
        <v>-1.088780970738078</v>
      </c>
      <c r="IL134">
        <v>-1.171017271736434E-3</v>
      </c>
      <c r="IM134">
        <v>2.801297040296544E-7</v>
      </c>
      <c r="IN134">
        <v>-3.6238253961199429E-11</v>
      </c>
      <c r="IO134">
        <v>-3.0600000000013949E-3</v>
      </c>
      <c r="IP134">
        <v>0</v>
      </c>
      <c r="IQ134">
        <v>0</v>
      </c>
      <c r="IR134">
        <v>0</v>
      </c>
      <c r="IS134">
        <v>0</v>
      </c>
      <c r="IT134">
        <v>2161</v>
      </c>
      <c r="IU134">
        <v>1</v>
      </c>
      <c r="IV134">
        <v>19</v>
      </c>
      <c r="IW134">
        <v>1</v>
      </c>
      <c r="IX134">
        <v>0.8</v>
      </c>
      <c r="IY134">
        <v>1.9958499999999999</v>
      </c>
      <c r="IZ134">
        <v>2.49146</v>
      </c>
      <c r="JA134">
        <v>1.4440900000000001</v>
      </c>
      <c r="JB134">
        <v>2.2802699999999998</v>
      </c>
      <c r="JC134">
        <v>1.54419</v>
      </c>
      <c r="JD134">
        <v>2.4487299999999999</v>
      </c>
      <c r="JE134">
        <v>46.796900000000001</v>
      </c>
      <c r="JF134">
        <v>24.052499999999998</v>
      </c>
      <c r="JG134">
        <v>18</v>
      </c>
      <c r="JH134">
        <v>511.245</v>
      </c>
      <c r="JI134">
        <v>415.94499999999999</v>
      </c>
      <c r="JJ134">
        <v>24.186900000000001</v>
      </c>
      <c r="JK134">
        <v>34.5122</v>
      </c>
      <c r="JL134">
        <v>30.000599999999999</v>
      </c>
      <c r="JM134">
        <v>34.294699999999999</v>
      </c>
      <c r="JN134">
        <v>34.242100000000001</v>
      </c>
      <c r="JO134">
        <v>40.107900000000001</v>
      </c>
      <c r="JP134">
        <v>37.739899999999999</v>
      </c>
      <c r="JQ134">
        <v>0</v>
      </c>
      <c r="JR134">
        <v>24.113399999999999</v>
      </c>
      <c r="JS134">
        <v>900</v>
      </c>
      <c r="JT134">
        <v>20.891999999999999</v>
      </c>
      <c r="JU134">
        <v>99.159300000000002</v>
      </c>
      <c r="JV134">
        <v>98.768900000000002</v>
      </c>
    </row>
    <row r="135" spans="1:282" x14ac:dyDescent="0.25">
      <c r="A135">
        <v>119</v>
      </c>
      <c r="B135">
        <v>1689022400.5</v>
      </c>
      <c r="C135">
        <v>23223.5</v>
      </c>
      <c r="D135" t="s">
        <v>1021</v>
      </c>
      <c r="E135" t="s">
        <v>1022</v>
      </c>
      <c r="F135" t="s">
        <v>414</v>
      </c>
      <c r="G135" t="s">
        <v>415</v>
      </c>
      <c r="H135" t="s">
        <v>500</v>
      </c>
      <c r="I135" t="s">
        <v>500</v>
      </c>
      <c r="J135" t="s">
        <v>417</v>
      </c>
      <c r="K135">
        <v>1689022400.5</v>
      </c>
      <c r="L135">
        <f t="shared" si="138"/>
        <v>5.3934245840114685E-3</v>
      </c>
      <c r="M135">
        <f t="shared" si="139"/>
        <v>5.3934245840114681</v>
      </c>
      <c r="N135">
        <f t="shared" si="140"/>
        <v>51.844439852299992</v>
      </c>
      <c r="O135">
        <f t="shared" si="141"/>
        <v>1130.56</v>
      </c>
      <c r="P135">
        <f t="shared" si="142"/>
        <v>857.81766346737675</v>
      </c>
      <c r="Q135">
        <f t="shared" si="143"/>
        <v>85.062190288826372</v>
      </c>
      <c r="R135">
        <f t="shared" si="144"/>
        <v>112.10763539679999</v>
      </c>
      <c r="S135">
        <f t="shared" si="145"/>
        <v>0.35497390638518972</v>
      </c>
      <c r="T135">
        <f t="shared" si="146"/>
        <v>2.9109480949061757</v>
      </c>
      <c r="U135">
        <f t="shared" si="147"/>
        <v>0.33255983545195472</v>
      </c>
      <c r="V135">
        <f t="shared" si="148"/>
        <v>0.20974566349247192</v>
      </c>
      <c r="W135">
        <f t="shared" si="149"/>
        <v>289.53295395826439</v>
      </c>
      <c r="X135">
        <f t="shared" si="150"/>
        <v>29.933336642628657</v>
      </c>
      <c r="Y135">
        <f t="shared" si="151"/>
        <v>30.040700000000001</v>
      </c>
      <c r="Z135">
        <f t="shared" si="152"/>
        <v>4.2704198957553858</v>
      </c>
      <c r="AA135">
        <f t="shared" si="153"/>
        <v>65.200259266500922</v>
      </c>
      <c r="AB135">
        <f t="shared" si="154"/>
        <v>2.7189096250604998</v>
      </c>
      <c r="AC135">
        <f t="shared" si="155"/>
        <v>4.1700902046219959</v>
      </c>
      <c r="AD135">
        <f t="shared" si="156"/>
        <v>1.551510270694886</v>
      </c>
      <c r="AE135">
        <f t="shared" si="157"/>
        <v>-237.85002415490575</v>
      </c>
      <c r="AF135">
        <f t="shared" si="158"/>
        <v>-64.876942928513188</v>
      </c>
      <c r="AG135">
        <f t="shared" si="159"/>
        <v>-4.9474478462917535</v>
      </c>
      <c r="AH135">
        <f t="shared" si="160"/>
        <v>-18.141460971446321</v>
      </c>
      <c r="AI135">
        <v>0</v>
      </c>
      <c r="AJ135">
        <v>0</v>
      </c>
      <c r="AK135">
        <f t="shared" si="161"/>
        <v>1</v>
      </c>
      <c r="AL135">
        <f t="shared" si="162"/>
        <v>0</v>
      </c>
      <c r="AM135">
        <f t="shared" si="163"/>
        <v>51866.780477205051</v>
      </c>
      <c r="AN135" t="s">
        <v>418</v>
      </c>
      <c r="AO135">
        <v>10076.700000000001</v>
      </c>
      <c r="AP135">
        <v>185.01599999999999</v>
      </c>
      <c r="AQ135">
        <v>473.06</v>
      </c>
      <c r="AR135">
        <f t="shared" si="164"/>
        <v>0.60889527755464423</v>
      </c>
      <c r="AS135">
        <v>-1.4827006201179751</v>
      </c>
      <c r="AT135" t="s">
        <v>1023</v>
      </c>
      <c r="AU135">
        <v>8087.49</v>
      </c>
      <c r="AV135">
        <v>723.62234615384614</v>
      </c>
      <c r="AW135">
        <v>1110.8717648050499</v>
      </c>
      <c r="AX135">
        <f t="shared" si="165"/>
        <v>0.34859956920334845</v>
      </c>
      <c r="AY135">
        <v>0.5</v>
      </c>
      <c r="AZ135">
        <f t="shared" si="166"/>
        <v>1513.0082994602406</v>
      </c>
      <c r="BA135">
        <f t="shared" si="167"/>
        <v>51.844439852299992</v>
      </c>
      <c r="BB135">
        <f t="shared" si="168"/>
        <v>263.71702069646534</v>
      </c>
      <c r="BC135">
        <f t="shared" si="169"/>
        <v>3.5245768639499339E-2</v>
      </c>
      <c r="BD135">
        <f t="shared" si="170"/>
        <v>-0.5741542678573538</v>
      </c>
      <c r="BE135">
        <f t="shared" si="171"/>
        <v>238.59315324371997</v>
      </c>
      <c r="BF135" t="s">
        <v>1024</v>
      </c>
      <c r="BG135">
        <v>559.39</v>
      </c>
      <c r="BH135">
        <f t="shared" si="172"/>
        <v>559.39</v>
      </c>
      <c r="BI135">
        <f t="shared" si="173"/>
        <v>0.49644052741031819</v>
      </c>
      <c r="BJ135">
        <f t="shared" si="174"/>
        <v>0.70219804781414186</v>
      </c>
      <c r="BK135">
        <f t="shared" si="175"/>
        <v>7.3880663130435549</v>
      </c>
      <c r="BL135">
        <f t="shared" si="176"/>
        <v>0.41826106546168534</v>
      </c>
      <c r="BM135">
        <f t="shared" si="177"/>
        <v>-2.2142858896732789</v>
      </c>
      <c r="BN135">
        <f t="shared" si="178"/>
        <v>0.54282813135132346</v>
      </c>
      <c r="BO135">
        <f t="shared" si="179"/>
        <v>0.45717186864867654</v>
      </c>
      <c r="BP135">
        <v>9291</v>
      </c>
      <c r="BQ135">
        <v>290.00000000000011</v>
      </c>
      <c r="BR135">
        <v>977.73</v>
      </c>
      <c r="BS135">
        <v>285</v>
      </c>
      <c r="BT135">
        <v>8087.49</v>
      </c>
      <c r="BU135">
        <v>980.44</v>
      </c>
      <c r="BV135">
        <v>-2.71</v>
      </c>
      <c r="BW135">
        <v>300.00000000000011</v>
      </c>
      <c r="BX135">
        <v>19.2</v>
      </c>
      <c r="BY135">
        <v>1110.8717648050499</v>
      </c>
      <c r="BZ135">
        <v>2.8857854486182721</v>
      </c>
      <c r="CA135">
        <v>-105.483014450743</v>
      </c>
      <c r="CB135">
        <v>2.1445799458412291</v>
      </c>
      <c r="CC135">
        <v>0.9885585818440259</v>
      </c>
      <c r="CD135">
        <v>-4.1659172413793036E-3</v>
      </c>
      <c r="CE135">
        <v>289.99999999999989</v>
      </c>
      <c r="CF135">
        <v>975.62</v>
      </c>
      <c r="CG135">
        <v>645</v>
      </c>
      <c r="CH135">
        <v>8080.7</v>
      </c>
      <c r="CI135">
        <v>980.33</v>
      </c>
      <c r="CJ135">
        <v>-4.71</v>
      </c>
      <c r="CX135">
        <f t="shared" si="180"/>
        <v>1799.79</v>
      </c>
      <c r="CY135">
        <f t="shared" si="181"/>
        <v>1513.0082994602406</v>
      </c>
      <c r="CZ135">
        <f t="shared" si="182"/>
        <v>0.84065824316183591</v>
      </c>
      <c r="DA135">
        <f t="shared" si="183"/>
        <v>0.16087040930234325</v>
      </c>
      <c r="DB135">
        <v>6</v>
      </c>
      <c r="DC135">
        <v>0.5</v>
      </c>
      <c r="DD135" t="s">
        <v>421</v>
      </c>
      <c r="DE135">
        <v>2</v>
      </c>
      <c r="DF135">
        <v>1689022400.5</v>
      </c>
      <c r="DG135">
        <v>1130.56</v>
      </c>
      <c r="DH135">
        <v>1200.07</v>
      </c>
      <c r="DI135">
        <v>27.4191</v>
      </c>
      <c r="DJ135">
        <v>21.126300000000001</v>
      </c>
      <c r="DK135">
        <v>1132.75</v>
      </c>
      <c r="DL135">
        <v>27.419899999999998</v>
      </c>
      <c r="DM135">
        <v>500.14699999999999</v>
      </c>
      <c r="DN135">
        <v>99.061099999999996</v>
      </c>
      <c r="DO135">
        <v>0.10005500000000001</v>
      </c>
      <c r="DP135">
        <v>29.627300000000002</v>
      </c>
      <c r="DQ135">
        <v>30.040700000000001</v>
      </c>
      <c r="DR135">
        <v>999.9</v>
      </c>
      <c r="DS135">
        <v>0</v>
      </c>
      <c r="DT135">
        <v>0</v>
      </c>
      <c r="DU135">
        <v>9988.1200000000008</v>
      </c>
      <c r="DV135">
        <v>0</v>
      </c>
      <c r="DW135">
        <v>1198.0899999999999</v>
      </c>
      <c r="DX135">
        <v>-69.502399999999994</v>
      </c>
      <c r="DY135">
        <v>1162.44</v>
      </c>
      <c r="DZ135">
        <v>1225.97</v>
      </c>
      <c r="EA135">
        <v>6.2927600000000004</v>
      </c>
      <c r="EB135">
        <v>1200.07</v>
      </c>
      <c r="EC135">
        <v>21.126300000000001</v>
      </c>
      <c r="ED135">
        <v>2.7161599999999999</v>
      </c>
      <c r="EE135">
        <v>2.0927899999999999</v>
      </c>
      <c r="EF135">
        <v>22.383199999999999</v>
      </c>
      <c r="EG135">
        <v>18.164400000000001</v>
      </c>
      <c r="EH135">
        <v>1799.79</v>
      </c>
      <c r="EI135">
        <v>0.97799599999999998</v>
      </c>
      <c r="EJ135">
        <v>2.20044E-2</v>
      </c>
      <c r="EK135">
        <v>0</v>
      </c>
      <c r="EL135">
        <v>723.44200000000001</v>
      </c>
      <c r="EM135">
        <v>5.00082</v>
      </c>
      <c r="EN135">
        <v>20308.099999999999</v>
      </c>
      <c r="EO135">
        <v>14128.1</v>
      </c>
      <c r="EP135">
        <v>47.811999999999998</v>
      </c>
      <c r="EQ135">
        <v>49.25</v>
      </c>
      <c r="ER135">
        <v>48.686999999999998</v>
      </c>
      <c r="ES135">
        <v>48.436999999999998</v>
      </c>
      <c r="ET135">
        <v>48.936999999999998</v>
      </c>
      <c r="EU135">
        <v>1755.3</v>
      </c>
      <c r="EV135">
        <v>39.49</v>
      </c>
      <c r="EW135">
        <v>0</v>
      </c>
      <c r="EX135">
        <v>121.7999999523163</v>
      </c>
      <c r="EY135">
        <v>0</v>
      </c>
      <c r="EZ135">
        <v>723.62234615384614</v>
      </c>
      <c r="FA135">
        <v>-1.750871795340418</v>
      </c>
      <c r="FB135">
        <v>-418.30769100265979</v>
      </c>
      <c r="FC135">
        <v>20319.034615384611</v>
      </c>
      <c r="FD135">
        <v>15</v>
      </c>
      <c r="FE135">
        <v>1689022359.5999999</v>
      </c>
      <c r="FF135" t="s">
        <v>1025</v>
      </c>
      <c r="FG135">
        <v>1689022359.5999999</v>
      </c>
      <c r="FH135">
        <v>1689022346.5999999</v>
      </c>
      <c r="FI135">
        <v>132</v>
      </c>
      <c r="FJ135">
        <v>-7.5999999999999998E-2</v>
      </c>
      <c r="FK135">
        <v>2E-3</v>
      </c>
      <c r="FL135">
        <v>-2.23</v>
      </c>
      <c r="FM135">
        <v>-1E-3</v>
      </c>
      <c r="FN135">
        <v>1200</v>
      </c>
      <c r="FO135">
        <v>21</v>
      </c>
      <c r="FP135">
        <v>0.06</v>
      </c>
      <c r="FQ135">
        <v>0.01</v>
      </c>
      <c r="FR135">
        <v>51.642568397649967</v>
      </c>
      <c r="FS135">
        <v>-0.21833378407703541</v>
      </c>
      <c r="FT135">
        <v>8.4681666524258112E-2</v>
      </c>
      <c r="FU135">
        <v>1</v>
      </c>
      <c r="FV135">
        <v>0.35988626907711091</v>
      </c>
      <c r="FW135">
        <v>-4.1995071940927969E-2</v>
      </c>
      <c r="FX135">
        <v>3.1697018722248102E-3</v>
      </c>
      <c r="FY135">
        <v>1</v>
      </c>
      <c r="FZ135">
        <v>2</v>
      </c>
      <c r="GA135">
        <v>2</v>
      </c>
      <c r="GB135" t="s">
        <v>423</v>
      </c>
      <c r="GC135">
        <v>2.9436900000000001</v>
      </c>
      <c r="GD135">
        <v>2.7086100000000002</v>
      </c>
      <c r="GE135">
        <v>0.178726</v>
      </c>
      <c r="GF135">
        <v>0.18556300000000001</v>
      </c>
      <c r="GG135">
        <v>0.123645</v>
      </c>
      <c r="GH135">
        <v>0.10301</v>
      </c>
      <c r="GI135">
        <v>26907.599999999999</v>
      </c>
      <c r="GJ135">
        <v>26044.5</v>
      </c>
      <c r="GK135">
        <v>33772.400000000001</v>
      </c>
      <c r="GL135">
        <v>32033.599999999999</v>
      </c>
      <c r="GM135">
        <v>42747.7</v>
      </c>
      <c r="GN135">
        <v>40893.4</v>
      </c>
      <c r="GO135">
        <v>48925.2</v>
      </c>
      <c r="GP135">
        <v>45349.9</v>
      </c>
      <c r="GQ135">
        <v>1.9609000000000001</v>
      </c>
      <c r="GR135">
        <v>1.7567999999999999</v>
      </c>
      <c r="GS135">
        <v>-2.2523100000000001E-2</v>
      </c>
      <c r="GT135">
        <v>0</v>
      </c>
      <c r="GU135">
        <v>30.407</v>
      </c>
      <c r="GV135">
        <v>999.9</v>
      </c>
      <c r="GW135">
        <v>31</v>
      </c>
      <c r="GX135">
        <v>43.7</v>
      </c>
      <c r="GY135">
        <v>28.197299999999998</v>
      </c>
      <c r="GZ135">
        <v>60.921100000000003</v>
      </c>
      <c r="HA135">
        <v>25.5288</v>
      </c>
      <c r="HB135">
        <v>1</v>
      </c>
      <c r="HC135">
        <v>0.60229200000000005</v>
      </c>
      <c r="HD135">
        <v>5.2970100000000002</v>
      </c>
      <c r="HE135">
        <v>20.141400000000001</v>
      </c>
      <c r="HF135">
        <v>5.2712000000000003</v>
      </c>
      <c r="HG135">
        <v>12.039899999999999</v>
      </c>
      <c r="HH135">
        <v>4.9656500000000001</v>
      </c>
      <c r="HI135">
        <v>3.3010000000000002</v>
      </c>
      <c r="HJ135">
        <v>9999</v>
      </c>
      <c r="HK135">
        <v>9999</v>
      </c>
      <c r="HL135">
        <v>9999</v>
      </c>
      <c r="HM135">
        <v>999.9</v>
      </c>
      <c r="HN135">
        <v>1.86846</v>
      </c>
      <c r="HO135">
        <v>1.87212</v>
      </c>
      <c r="HP135">
        <v>1.8719399999999999</v>
      </c>
      <c r="HQ135">
        <v>1.8714599999999999</v>
      </c>
      <c r="HR135">
        <v>1.8646799999999999</v>
      </c>
      <c r="HS135">
        <v>1.8658399999999999</v>
      </c>
      <c r="HT135">
        <v>1.8678300000000001</v>
      </c>
      <c r="HU135">
        <v>1.8724099999999999</v>
      </c>
      <c r="HV135">
        <v>0</v>
      </c>
      <c r="HW135">
        <v>0</v>
      </c>
      <c r="HX135">
        <v>0</v>
      </c>
      <c r="HY135">
        <v>0</v>
      </c>
      <c r="HZ135" t="s">
        <v>424</v>
      </c>
      <c r="IA135" t="s">
        <v>425</v>
      </c>
      <c r="IB135" t="s">
        <v>426</v>
      </c>
      <c r="IC135" t="s">
        <v>426</v>
      </c>
      <c r="ID135" t="s">
        <v>426</v>
      </c>
      <c r="IE135" t="s">
        <v>426</v>
      </c>
      <c r="IF135">
        <v>0</v>
      </c>
      <c r="IG135">
        <v>100</v>
      </c>
      <c r="IH135">
        <v>100</v>
      </c>
      <c r="II135">
        <v>-2.19</v>
      </c>
      <c r="IJ135">
        <v>-8.0000000000000004E-4</v>
      </c>
      <c r="IK135">
        <v>-1.1638736116897539</v>
      </c>
      <c r="IL135">
        <v>-1.171017271736434E-3</v>
      </c>
      <c r="IM135">
        <v>2.801297040296544E-7</v>
      </c>
      <c r="IN135">
        <v>-3.6238253961199429E-11</v>
      </c>
      <c r="IO135">
        <v>-8.7619047619114099E-4</v>
      </c>
      <c r="IP135">
        <v>0</v>
      </c>
      <c r="IQ135">
        <v>0</v>
      </c>
      <c r="IR135">
        <v>0</v>
      </c>
      <c r="IS135">
        <v>0</v>
      </c>
      <c r="IT135">
        <v>2161</v>
      </c>
      <c r="IU135">
        <v>1</v>
      </c>
      <c r="IV135">
        <v>19</v>
      </c>
      <c r="IW135">
        <v>0.7</v>
      </c>
      <c r="IX135">
        <v>0.9</v>
      </c>
      <c r="IY135">
        <v>2.5293000000000001</v>
      </c>
      <c r="IZ135">
        <v>2.49268</v>
      </c>
      <c r="JA135">
        <v>1.4440900000000001</v>
      </c>
      <c r="JB135">
        <v>2.2802699999999998</v>
      </c>
      <c r="JC135">
        <v>1.54419</v>
      </c>
      <c r="JD135">
        <v>2.323</v>
      </c>
      <c r="JE135">
        <v>46.679000000000002</v>
      </c>
      <c r="JF135">
        <v>24.043700000000001</v>
      </c>
      <c r="JG135">
        <v>18</v>
      </c>
      <c r="JH135">
        <v>511.065</v>
      </c>
      <c r="JI135">
        <v>417.10399999999998</v>
      </c>
      <c r="JJ135">
        <v>23.853300000000001</v>
      </c>
      <c r="JK135">
        <v>34.557200000000002</v>
      </c>
      <c r="JL135">
        <v>30.000299999999999</v>
      </c>
      <c r="JM135">
        <v>34.322800000000001</v>
      </c>
      <c r="JN135">
        <v>34.2667</v>
      </c>
      <c r="JO135">
        <v>50.790900000000001</v>
      </c>
      <c r="JP135">
        <v>35.555</v>
      </c>
      <c r="JQ135">
        <v>0</v>
      </c>
      <c r="JR135">
        <v>23.823</v>
      </c>
      <c r="JS135">
        <v>1200</v>
      </c>
      <c r="JT135">
        <v>21.1661</v>
      </c>
      <c r="JU135">
        <v>99.146900000000002</v>
      </c>
      <c r="JV135">
        <v>98.759399999999999</v>
      </c>
    </row>
    <row r="136" spans="1:282" x14ac:dyDescent="0.25">
      <c r="A136">
        <v>120</v>
      </c>
      <c r="B136">
        <v>1689022537</v>
      </c>
      <c r="C136">
        <v>23360</v>
      </c>
      <c r="D136" t="s">
        <v>1026</v>
      </c>
      <c r="E136" t="s">
        <v>1027</v>
      </c>
      <c r="F136" t="s">
        <v>414</v>
      </c>
      <c r="G136" t="s">
        <v>415</v>
      </c>
      <c r="H136" t="s">
        <v>500</v>
      </c>
      <c r="I136" t="s">
        <v>500</v>
      </c>
      <c r="J136" t="s">
        <v>417</v>
      </c>
      <c r="K136">
        <v>1689022537</v>
      </c>
      <c r="L136">
        <f t="shared" si="138"/>
        <v>4.7497214155826813E-3</v>
      </c>
      <c r="M136">
        <f t="shared" si="139"/>
        <v>4.7497214155826812</v>
      </c>
      <c r="N136">
        <f t="shared" si="140"/>
        <v>50.146370140952698</v>
      </c>
      <c r="O136">
        <f t="shared" si="141"/>
        <v>1431.67</v>
      </c>
      <c r="P136">
        <f t="shared" si="142"/>
        <v>1130.165750436505</v>
      </c>
      <c r="Q136">
        <f t="shared" si="143"/>
        <v>112.06610903803066</v>
      </c>
      <c r="R136">
        <f t="shared" si="144"/>
        <v>141.96296982501002</v>
      </c>
      <c r="S136">
        <f t="shared" si="145"/>
        <v>0.31363154834507734</v>
      </c>
      <c r="T136">
        <f t="shared" si="146"/>
        <v>2.9111315573009739</v>
      </c>
      <c r="U136">
        <f t="shared" si="147"/>
        <v>0.29599625871179641</v>
      </c>
      <c r="V136">
        <f t="shared" si="148"/>
        <v>0.18649943835248561</v>
      </c>
      <c r="W136">
        <f t="shared" si="149"/>
        <v>289.56429495864387</v>
      </c>
      <c r="X136">
        <f t="shared" si="150"/>
        <v>29.824379933595814</v>
      </c>
      <c r="Y136">
        <f t="shared" si="151"/>
        <v>29.819299999999998</v>
      </c>
      <c r="Z136">
        <f t="shared" si="152"/>
        <v>4.2164289482967439</v>
      </c>
      <c r="AA136">
        <f t="shared" si="153"/>
        <v>65.317709762213568</v>
      </c>
      <c r="AB136">
        <f t="shared" si="154"/>
        <v>2.6806049917001999</v>
      </c>
      <c r="AC136">
        <f t="shared" si="155"/>
        <v>4.1039482269951471</v>
      </c>
      <c r="AD136">
        <f t="shared" si="156"/>
        <v>1.5358239565965439</v>
      </c>
      <c r="AE136">
        <f t="shared" si="157"/>
        <v>-209.46271442719623</v>
      </c>
      <c r="AF136">
        <f t="shared" si="158"/>
        <v>-73.654253075926235</v>
      </c>
      <c r="AG136">
        <f t="shared" si="159"/>
        <v>-5.6025810053850149</v>
      </c>
      <c r="AH136">
        <f t="shared" si="160"/>
        <v>0.84474645013641236</v>
      </c>
      <c r="AI136">
        <v>0</v>
      </c>
      <c r="AJ136">
        <v>0</v>
      </c>
      <c r="AK136">
        <f t="shared" si="161"/>
        <v>1</v>
      </c>
      <c r="AL136">
        <f t="shared" si="162"/>
        <v>0</v>
      </c>
      <c r="AM136">
        <f t="shared" si="163"/>
        <v>51919.532448006692</v>
      </c>
      <c r="AN136" t="s">
        <v>418</v>
      </c>
      <c r="AO136">
        <v>10076.700000000001</v>
      </c>
      <c r="AP136">
        <v>185.01599999999999</v>
      </c>
      <c r="AQ136">
        <v>473.06</v>
      </c>
      <c r="AR136">
        <f t="shared" si="164"/>
        <v>0.60889527755464423</v>
      </c>
      <c r="AS136">
        <v>-1.4827006201179751</v>
      </c>
      <c r="AT136" t="s">
        <v>1028</v>
      </c>
      <c r="AU136">
        <v>8086.29</v>
      </c>
      <c r="AV136">
        <v>723.02231999999992</v>
      </c>
      <c r="AW136">
        <v>1094.9526992088649</v>
      </c>
      <c r="AX136">
        <f t="shared" si="165"/>
        <v>0.33967711982224935</v>
      </c>
      <c r="AY136">
        <v>0.5</v>
      </c>
      <c r="AZ136">
        <f t="shared" si="166"/>
        <v>1513.1759994604372</v>
      </c>
      <c r="BA136">
        <f t="shared" si="167"/>
        <v>50.146370140952698</v>
      </c>
      <c r="BB136">
        <f t="shared" si="168"/>
        <v>256.99563264043741</v>
      </c>
      <c r="BC136">
        <f t="shared" si="169"/>
        <v>3.4119673309304654E-2</v>
      </c>
      <c r="BD136">
        <f t="shared" si="170"/>
        <v>-0.56796307243061772</v>
      </c>
      <c r="BE136">
        <f t="shared" si="171"/>
        <v>237.85044161401376</v>
      </c>
      <c r="BF136" t="s">
        <v>1029</v>
      </c>
      <c r="BG136">
        <v>563.53</v>
      </c>
      <c r="BH136">
        <f t="shared" si="172"/>
        <v>563.53</v>
      </c>
      <c r="BI136">
        <f t="shared" si="173"/>
        <v>0.48533849872495249</v>
      </c>
      <c r="BJ136">
        <f t="shared" si="174"/>
        <v>0.69987672668586043</v>
      </c>
      <c r="BK136">
        <f t="shared" si="175"/>
        <v>6.8740212137599777</v>
      </c>
      <c r="BL136">
        <f t="shared" si="176"/>
        <v>0.40874313513482424</v>
      </c>
      <c r="BM136">
        <f t="shared" si="177"/>
        <v>-2.159019799783592</v>
      </c>
      <c r="BN136">
        <f t="shared" si="178"/>
        <v>0.54549011957097393</v>
      </c>
      <c r="BO136">
        <f t="shared" si="179"/>
        <v>0.45450988042902607</v>
      </c>
      <c r="BP136">
        <v>9293</v>
      </c>
      <c r="BQ136">
        <v>290.00000000000011</v>
      </c>
      <c r="BR136">
        <v>973.27</v>
      </c>
      <c r="BS136">
        <v>295</v>
      </c>
      <c r="BT136">
        <v>8086.29</v>
      </c>
      <c r="BU136">
        <v>974.58</v>
      </c>
      <c r="BV136">
        <v>-1.31</v>
      </c>
      <c r="BW136">
        <v>300.00000000000011</v>
      </c>
      <c r="BX136">
        <v>19.2</v>
      </c>
      <c r="BY136">
        <v>1094.9526992088649</v>
      </c>
      <c r="BZ136">
        <v>3.1367245334367801</v>
      </c>
      <c r="CA136">
        <v>-97.336109978834443</v>
      </c>
      <c r="CB136">
        <v>2.3307103274364658</v>
      </c>
      <c r="CC136">
        <v>0.98419953685406836</v>
      </c>
      <c r="CD136">
        <v>-4.1655083426028949E-3</v>
      </c>
      <c r="CE136">
        <v>289.99999999999989</v>
      </c>
      <c r="CF136">
        <v>970.86</v>
      </c>
      <c r="CG136">
        <v>655</v>
      </c>
      <c r="CH136">
        <v>8079.26</v>
      </c>
      <c r="CI136">
        <v>974.48</v>
      </c>
      <c r="CJ136">
        <v>-3.62</v>
      </c>
      <c r="CX136">
        <f t="shared" si="180"/>
        <v>1799.99</v>
      </c>
      <c r="CY136">
        <f t="shared" si="181"/>
        <v>1513.1759994604372</v>
      </c>
      <c r="CZ136">
        <f t="shared" si="182"/>
        <v>0.84065800335581709</v>
      </c>
      <c r="DA136">
        <f t="shared" si="183"/>
        <v>0.16086994647672703</v>
      </c>
      <c r="DB136">
        <v>6</v>
      </c>
      <c r="DC136">
        <v>0.5</v>
      </c>
      <c r="DD136" t="s">
        <v>421</v>
      </c>
      <c r="DE136">
        <v>2</v>
      </c>
      <c r="DF136">
        <v>1689022537</v>
      </c>
      <c r="DG136">
        <v>1431.67</v>
      </c>
      <c r="DH136">
        <v>1499.98</v>
      </c>
      <c r="DI136">
        <v>27.0334</v>
      </c>
      <c r="DJ136">
        <v>21.489899999999999</v>
      </c>
      <c r="DK136">
        <v>1434.01</v>
      </c>
      <c r="DL136">
        <v>27.029</v>
      </c>
      <c r="DM136">
        <v>500.18799999999999</v>
      </c>
      <c r="DN136">
        <v>99.058999999999997</v>
      </c>
      <c r="DO136">
        <v>0.10000299999999999</v>
      </c>
      <c r="DP136">
        <v>29.35</v>
      </c>
      <c r="DQ136">
        <v>29.819299999999998</v>
      </c>
      <c r="DR136">
        <v>999.9</v>
      </c>
      <c r="DS136">
        <v>0</v>
      </c>
      <c r="DT136">
        <v>0</v>
      </c>
      <c r="DU136">
        <v>9989.3799999999992</v>
      </c>
      <c r="DV136">
        <v>0</v>
      </c>
      <c r="DW136">
        <v>579.23400000000004</v>
      </c>
      <c r="DX136">
        <v>-68.307699999999997</v>
      </c>
      <c r="DY136">
        <v>1471.45</v>
      </c>
      <c r="DZ136">
        <v>1532.93</v>
      </c>
      <c r="EA136">
        <v>5.5434299999999999</v>
      </c>
      <c r="EB136">
        <v>1499.98</v>
      </c>
      <c r="EC136">
        <v>21.489899999999999</v>
      </c>
      <c r="ED136">
        <v>2.6779000000000002</v>
      </c>
      <c r="EE136">
        <v>2.1287699999999998</v>
      </c>
      <c r="EF136">
        <v>22.150099999999998</v>
      </c>
      <c r="EG136">
        <v>18.4361</v>
      </c>
      <c r="EH136">
        <v>1799.99</v>
      </c>
      <c r="EI136">
        <v>0.97800600000000004</v>
      </c>
      <c r="EJ136">
        <v>2.1993599999999999E-2</v>
      </c>
      <c r="EK136">
        <v>0</v>
      </c>
      <c r="EL136">
        <v>723.21100000000001</v>
      </c>
      <c r="EM136">
        <v>5.00082</v>
      </c>
      <c r="EN136">
        <v>16735.7</v>
      </c>
      <c r="EO136">
        <v>14129.7</v>
      </c>
      <c r="EP136">
        <v>47.875</v>
      </c>
      <c r="EQ136">
        <v>49.25</v>
      </c>
      <c r="ER136">
        <v>48.75</v>
      </c>
      <c r="ES136">
        <v>48.5</v>
      </c>
      <c r="ET136">
        <v>48.936999999999998</v>
      </c>
      <c r="EU136">
        <v>1755.51</v>
      </c>
      <c r="EV136">
        <v>39.479999999999997</v>
      </c>
      <c r="EW136">
        <v>0</v>
      </c>
      <c r="EX136">
        <v>134.39999985694891</v>
      </c>
      <c r="EY136">
        <v>0</v>
      </c>
      <c r="EZ136">
        <v>723.02231999999992</v>
      </c>
      <c r="FA136">
        <v>0.57423077215246543</v>
      </c>
      <c r="FB136">
        <v>6669.6615501625956</v>
      </c>
      <c r="FC136">
        <v>15874.308000000001</v>
      </c>
      <c r="FD136">
        <v>15</v>
      </c>
      <c r="FE136">
        <v>1689022490.5</v>
      </c>
      <c r="FF136" t="s">
        <v>1030</v>
      </c>
      <c r="FG136">
        <v>1689022490.5</v>
      </c>
      <c r="FH136">
        <v>1689022477</v>
      </c>
      <c r="FI136">
        <v>133</v>
      </c>
      <c r="FJ136">
        <v>3.7999999999999999E-2</v>
      </c>
      <c r="FK136">
        <v>5.0000000000000001E-3</v>
      </c>
      <c r="FL136">
        <v>-2.3759999999999999</v>
      </c>
      <c r="FM136">
        <v>4.0000000000000001E-3</v>
      </c>
      <c r="FN136">
        <v>1500</v>
      </c>
      <c r="FO136">
        <v>21</v>
      </c>
      <c r="FP136">
        <v>0.05</v>
      </c>
      <c r="FQ136">
        <v>0.01</v>
      </c>
      <c r="FR136">
        <v>50.216822711665692</v>
      </c>
      <c r="FS136">
        <v>-0.33099985603320808</v>
      </c>
      <c r="FT136">
        <v>9.5481893991588157E-2</v>
      </c>
      <c r="FU136">
        <v>1</v>
      </c>
      <c r="FV136">
        <v>0.31569696935359509</v>
      </c>
      <c r="FW136">
        <v>-6.8902257748981836E-3</v>
      </c>
      <c r="FX136">
        <v>6.12994539736022E-4</v>
      </c>
      <c r="FY136">
        <v>1</v>
      </c>
      <c r="FZ136">
        <v>2</v>
      </c>
      <c r="GA136">
        <v>2</v>
      </c>
      <c r="GB136" t="s">
        <v>423</v>
      </c>
      <c r="GC136">
        <v>2.94374</v>
      </c>
      <c r="GD136">
        <v>2.7085699999999999</v>
      </c>
      <c r="GE136">
        <v>0.20647399999999999</v>
      </c>
      <c r="GF136">
        <v>0.21246599999999999</v>
      </c>
      <c r="GG136">
        <v>0.12239999999999999</v>
      </c>
      <c r="GH136">
        <v>0.104243</v>
      </c>
      <c r="GI136">
        <v>25990.6</v>
      </c>
      <c r="GJ136">
        <v>25176.5</v>
      </c>
      <c r="GK136">
        <v>33766.6</v>
      </c>
      <c r="GL136">
        <v>32028.1</v>
      </c>
      <c r="GM136">
        <v>42802.2</v>
      </c>
      <c r="GN136">
        <v>40830.800000000003</v>
      </c>
      <c r="GO136">
        <v>48917.1</v>
      </c>
      <c r="GP136">
        <v>45341.9</v>
      </c>
      <c r="GQ136">
        <v>1.9595</v>
      </c>
      <c r="GR136">
        <v>1.7578</v>
      </c>
      <c r="GS136">
        <v>-2.3126600000000001E-2</v>
      </c>
      <c r="GT136">
        <v>0</v>
      </c>
      <c r="GU136">
        <v>30.195599999999999</v>
      </c>
      <c r="GV136">
        <v>999.9</v>
      </c>
      <c r="GW136">
        <v>31</v>
      </c>
      <c r="GX136">
        <v>43.6</v>
      </c>
      <c r="GY136">
        <v>28.052800000000001</v>
      </c>
      <c r="GZ136">
        <v>60.421100000000003</v>
      </c>
      <c r="HA136">
        <v>24.639399999999998</v>
      </c>
      <c r="HB136">
        <v>1</v>
      </c>
      <c r="HC136">
        <v>0.60136400000000001</v>
      </c>
      <c r="HD136">
        <v>3.8980899999999998</v>
      </c>
      <c r="HE136">
        <v>20.179500000000001</v>
      </c>
      <c r="HF136">
        <v>5.2709000000000001</v>
      </c>
      <c r="HG136">
        <v>12.039899999999999</v>
      </c>
      <c r="HH136">
        <v>4.9657999999999998</v>
      </c>
      <c r="HI136">
        <v>3.3010000000000002</v>
      </c>
      <c r="HJ136">
        <v>9999</v>
      </c>
      <c r="HK136">
        <v>9999</v>
      </c>
      <c r="HL136">
        <v>9999</v>
      </c>
      <c r="HM136">
        <v>999.9</v>
      </c>
      <c r="HN136">
        <v>1.86846</v>
      </c>
      <c r="HO136">
        <v>1.8721000000000001</v>
      </c>
      <c r="HP136">
        <v>1.87195</v>
      </c>
      <c r="HQ136">
        <v>1.87141</v>
      </c>
      <c r="HR136">
        <v>1.86466</v>
      </c>
      <c r="HS136">
        <v>1.8658399999999999</v>
      </c>
      <c r="HT136">
        <v>1.8678300000000001</v>
      </c>
      <c r="HU136">
        <v>1.8724099999999999</v>
      </c>
      <c r="HV136">
        <v>0</v>
      </c>
      <c r="HW136">
        <v>0</v>
      </c>
      <c r="HX136">
        <v>0</v>
      </c>
      <c r="HY136">
        <v>0</v>
      </c>
      <c r="HZ136" t="s">
        <v>424</v>
      </c>
      <c r="IA136" t="s">
        <v>425</v>
      </c>
      <c r="IB136" t="s">
        <v>426</v>
      </c>
      <c r="IC136" t="s">
        <v>426</v>
      </c>
      <c r="ID136" t="s">
        <v>426</v>
      </c>
      <c r="IE136" t="s">
        <v>426</v>
      </c>
      <c r="IF136">
        <v>0</v>
      </c>
      <c r="IG136">
        <v>100</v>
      </c>
      <c r="IH136">
        <v>100</v>
      </c>
      <c r="II136">
        <v>-2.34</v>
      </c>
      <c r="IJ136">
        <v>4.4000000000000003E-3</v>
      </c>
      <c r="IK136">
        <v>-1.125688669256103</v>
      </c>
      <c r="IL136">
        <v>-1.171017271736434E-3</v>
      </c>
      <c r="IM136">
        <v>2.801297040296544E-7</v>
      </c>
      <c r="IN136">
        <v>-3.6238253961199429E-11</v>
      </c>
      <c r="IO136">
        <v>4.3900000000007822E-3</v>
      </c>
      <c r="IP136">
        <v>0</v>
      </c>
      <c r="IQ136">
        <v>0</v>
      </c>
      <c r="IR136">
        <v>0</v>
      </c>
      <c r="IS136">
        <v>0</v>
      </c>
      <c r="IT136">
        <v>2161</v>
      </c>
      <c r="IU136">
        <v>1</v>
      </c>
      <c r="IV136">
        <v>19</v>
      </c>
      <c r="IW136">
        <v>0.8</v>
      </c>
      <c r="IX136">
        <v>1</v>
      </c>
      <c r="IY136">
        <v>3.0371100000000002</v>
      </c>
      <c r="IZ136">
        <v>2.4706999999999999</v>
      </c>
      <c r="JA136">
        <v>1.4440900000000001</v>
      </c>
      <c r="JB136">
        <v>2.2814899999999998</v>
      </c>
      <c r="JC136">
        <v>1.54419</v>
      </c>
      <c r="JD136">
        <v>2.4255399999999998</v>
      </c>
      <c r="JE136">
        <v>46.590800000000002</v>
      </c>
      <c r="JF136">
        <v>24.07</v>
      </c>
      <c r="JG136">
        <v>18</v>
      </c>
      <c r="JH136">
        <v>510.61700000000002</v>
      </c>
      <c r="JI136">
        <v>418.10300000000001</v>
      </c>
      <c r="JJ136">
        <v>24.146799999999999</v>
      </c>
      <c r="JK136">
        <v>34.628500000000003</v>
      </c>
      <c r="JL136">
        <v>29.998899999999999</v>
      </c>
      <c r="JM136">
        <v>34.384900000000002</v>
      </c>
      <c r="JN136">
        <v>34.322600000000001</v>
      </c>
      <c r="JO136">
        <v>60.953000000000003</v>
      </c>
      <c r="JP136">
        <v>33.894199999999998</v>
      </c>
      <c r="JQ136">
        <v>0</v>
      </c>
      <c r="JR136">
        <v>24.198</v>
      </c>
      <c r="JS136">
        <v>1500</v>
      </c>
      <c r="JT136">
        <v>21.473700000000001</v>
      </c>
      <c r="JU136">
        <v>99.130200000000002</v>
      </c>
      <c r="JV136">
        <v>98.742199999999997</v>
      </c>
    </row>
    <row r="137" spans="1:282" x14ac:dyDescent="0.25">
      <c r="A137">
        <v>121</v>
      </c>
      <c r="B137">
        <v>1689024220.5999999</v>
      </c>
      <c r="C137">
        <v>25043.599999904629</v>
      </c>
      <c r="D137" t="s">
        <v>1031</v>
      </c>
      <c r="E137" t="s">
        <v>1032</v>
      </c>
      <c r="F137" t="s">
        <v>414</v>
      </c>
      <c r="G137" t="s">
        <v>415</v>
      </c>
      <c r="H137" t="s">
        <v>578</v>
      </c>
      <c r="I137" t="s">
        <v>500</v>
      </c>
      <c r="J137" t="s">
        <v>656</v>
      </c>
      <c r="K137">
        <v>1689024220.5999999</v>
      </c>
      <c r="L137">
        <f t="shared" si="138"/>
        <v>3.965564498685196E-3</v>
      </c>
      <c r="M137">
        <f t="shared" si="139"/>
        <v>3.9655644986851963</v>
      </c>
      <c r="N137">
        <f t="shared" si="140"/>
        <v>39.731746614373186</v>
      </c>
      <c r="O137">
        <f t="shared" si="141"/>
        <v>350.86700000000002</v>
      </c>
      <c r="P137">
        <f t="shared" si="142"/>
        <v>90.405953651992476</v>
      </c>
      <c r="Q137">
        <f t="shared" si="143"/>
        <v>8.9639379963954315</v>
      </c>
      <c r="R137">
        <f t="shared" si="144"/>
        <v>34.789191484978701</v>
      </c>
      <c r="S137">
        <f t="shared" si="145"/>
        <v>0.25999681615287634</v>
      </c>
      <c r="T137">
        <f t="shared" si="146"/>
        <v>2.9141789721283837</v>
      </c>
      <c r="U137">
        <f t="shared" si="147"/>
        <v>0.24776315467147428</v>
      </c>
      <c r="V137">
        <f t="shared" si="148"/>
        <v>0.15590313931141114</v>
      </c>
      <c r="W137">
        <f t="shared" si="149"/>
        <v>289.56327795837427</v>
      </c>
      <c r="X137">
        <f t="shared" si="150"/>
        <v>30.239312134728806</v>
      </c>
      <c r="Y137">
        <f t="shared" si="151"/>
        <v>29.9679</v>
      </c>
      <c r="Z137">
        <f t="shared" si="152"/>
        <v>4.2526006734356354</v>
      </c>
      <c r="AA137">
        <f t="shared" si="153"/>
        <v>65.510993137690178</v>
      </c>
      <c r="AB137">
        <f t="shared" si="154"/>
        <v>2.7214369479243099</v>
      </c>
      <c r="AC137">
        <f t="shared" si="155"/>
        <v>4.1541683579799011</v>
      </c>
      <c r="AD137">
        <f t="shared" si="156"/>
        <v>1.5311637255113255</v>
      </c>
      <c r="AE137">
        <f t="shared" si="157"/>
        <v>-174.88139439201714</v>
      </c>
      <c r="AF137">
        <f t="shared" si="158"/>
        <v>-63.943451215371873</v>
      </c>
      <c r="AG137">
        <f t="shared" si="159"/>
        <v>-4.8674968699254899</v>
      </c>
      <c r="AH137">
        <f t="shared" si="160"/>
        <v>45.870935481059753</v>
      </c>
      <c r="AI137">
        <v>0</v>
      </c>
      <c r="AJ137">
        <v>0</v>
      </c>
      <c r="AK137">
        <f t="shared" si="161"/>
        <v>1</v>
      </c>
      <c r="AL137">
        <f t="shared" si="162"/>
        <v>0</v>
      </c>
      <c r="AM137">
        <f t="shared" si="163"/>
        <v>51969.987836437402</v>
      </c>
      <c r="AN137" t="s">
        <v>418</v>
      </c>
      <c r="AO137">
        <v>10076.700000000001</v>
      </c>
      <c r="AP137">
        <v>185.01599999999999</v>
      </c>
      <c r="AQ137">
        <v>473.06</v>
      </c>
      <c r="AR137">
        <f t="shared" si="164"/>
        <v>0.60889527755464423</v>
      </c>
      <c r="AS137">
        <v>-1.4827006201179751</v>
      </c>
      <c r="AT137" t="s">
        <v>1033</v>
      </c>
      <c r="AU137">
        <v>8107.34</v>
      </c>
      <c r="AV137">
        <v>645.78742307692312</v>
      </c>
      <c r="AW137">
        <v>929.13206088123229</v>
      </c>
      <c r="AX137">
        <f t="shared" si="165"/>
        <v>0.30495625943159455</v>
      </c>
      <c r="AY137">
        <v>0.5</v>
      </c>
      <c r="AZ137">
        <f t="shared" si="166"/>
        <v>1513.1678994602976</v>
      </c>
      <c r="BA137">
        <f t="shared" si="167"/>
        <v>39.731746614373186</v>
      </c>
      <c r="BB137">
        <f t="shared" si="168"/>
        <v>230.72501125568775</v>
      </c>
      <c r="BC137">
        <f t="shared" si="169"/>
        <v>2.7237193737186163E-2</v>
      </c>
      <c r="BD137">
        <f t="shared" si="170"/>
        <v>-0.49085816762008216</v>
      </c>
      <c r="BE137">
        <f t="shared" si="171"/>
        <v>228.97366530112163</v>
      </c>
      <c r="BF137" t="s">
        <v>1034</v>
      </c>
      <c r="BG137">
        <v>525.45000000000005</v>
      </c>
      <c r="BH137">
        <f t="shared" si="172"/>
        <v>525.45000000000005</v>
      </c>
      <c r="BI137">
        <f t="shared" si="173"/>
        <v>0.43447221108521572</v>
      </c>
      <c r="BJ137">
        <f t="shared" si="174"/>
        <v>0.70190049363544127</v>
      </c>
      <c r="BK137">
        <f t="shared" si="175"/>
        <v>8.7053266058643235</v>
      </c>
      <c r="BL137">
        <f t="shared" si="176"/>
        <v>0.38078016683143939</v>
      </c>
      <c r="BM137">
        <f t="shared" si="177"/>
        <v>-1.5833416453084679</v>
      </c>
      <c r="BN137">
        <f t="shared" si="178"/>
        <v>0.57110683980727095</v>
      </c>
      <c r="BO137">
        <f t="shared" si="179"/>
        <v>0.42889316019272905</v>
      </c>
      <c r="BP137">
        <v>9295</v>
      </c>
      <c r="BQ137">
        <v>290.00000000000011</v>
      </c>
      <c r="BR137">
        <v>830.9</v>
      </c>
      <c r="BS137">
        <v>295</v>
      </c>
      <c r="BT137">
        <v>8107.34</v>
      </c>
      <c r="BU137">
        <v>833.35</v>
      </c>
      <c r="BV137">
        <v>-2.4500000000000002</v>
      </c>
      <c r="BW137">
        <v>300.00000000000011</v>
      </c>
      <c r="BX137">
        <v>19.2</v>
      </c>
      <c r="BY137">
        <v>929.13206088123229</v>
      </c>
      <c r="BZ137">
        <v>3.6575720811905992</v>
      </c>
      <c r="CA137">
        <v>-77.652636021295521</v>
      </c>
      <c r="CB137">
        <v>2.7248074700054592</v>
      </c>
      <c r="CC137">
        <v>0.96667295290779554</v>
      </c>
      <c r="CD137">
        <v>-4.1762607341490577E-3</v>
      </c>
      <c r="CE137">
        <v>289.99999999999989</v>
      </c>
      <c r="CF137">
        <v>828.78</v>
      </c>
      <c r="CG137">
        <v>685</v>
      </c>
      <c r="CH137">
        <v>8099.6</v>
      </c>
      <c r="CI137">
        <v>833.26</v>
      </c>
      <c r="CJ137">
        <v>-4.4800000000000004</v>
      </c>
      <c r="CX137">
        <f t="shared" si="180"/>
        <v>1799.98</v>
      </c>
      <c r="CY137">
        <f t="shared" si="181"/>
        <v>1513.1678994602976</v>
      </c>
      <c r="CZ137">
        <f t="shared" si="182"/>
        <v>0.84065817367987283</v>
      </c>
      <c r="DA137">
        <f t="shared" si="183"/>
        <v>0.16087027520215463</v>
      </c>
      <c r="DB137">
        <v>6</v>
      </c>
      <c r="DC137">
        <v>0.5</v>
      </c>
      <c r="DD137" t="s">
        <v>421</v>
      </c>
      <c r="DE137">
        <v>2</v>
      </c>
      <c r="DF137">
        <v>1689024220.5999999</v>
      </c>
      <c r="DG137">
        <v>350.86700000000002</v>
      </c>
      <c r="DH137">
        <v>400.197</v>
      </c>
      <c r="DI137">
        <v>27.447099999999999</v>
      </c>
      <c r="DJ137">
        <v>22.820699999999999</v>
      </c>
      <c r="DK137">
        <v>352.233</v>
      </c>
      <c r="DL137">
        <v>27.4116</v>
      </c>
      <c r="DM137">
        <v>500.18</v>
      </c>
      <c r="DN137">
        <v>99.052099999999996</v>
      </c>
      <c r="DO137">
        <v>9.9976099999999998E-2</v>
      </c>
      <c r="DP137">
        <v>29.5609</v>
      </c>
      <c r="DQ137">
        <v>29.9679</v>
      </c>
      <c r="DR137">
        <v>999.9</v>
      </c>
      <c r="DS137">
        <v>0</v>
      </c>
      <c r="DT137">
        <v>0</v>
      </c>
      <c r="DU137">
        <v>10007.5</v>
      </c>
      <c r="DV137">
        <v>0</v>
      </c>
      <c r="DW137">
        <v>1464.34</v>
      </c>
      <c r="DX137">
        <v>-49.330100000000002</v>
      </c>
      <c r="DY137">
        <v>360.76900000000001</v>
      </c>
      <c r="DZ137">
        <v>409.54300000000001</v>
      </c>
      <c r="EA137">
        <v>4.6264000000000003</v>
      </c>
      <c r="EB137">
        <v>400.197</v>
      </c>
      <c r="EC137">
        <v>22.820699999999999</v>
      </c>
      <c r="ED137">
        <v>2.7187000000000001</v>
      </c>
      <c r="EE137">
        <v>2.26044</v>
      </c>
      <c r="EF137">
        <v>22.398599999999998</v>
      </c>
      <c r="EG137">
        <v>19.397200000000002</v>
      </c>
      <c r="EH137">
        <v>1799.98</v>
      </c>
      <c r="EI137">
        <v>0.97799999999999998</v>
      </c>
      <c r="EJ137">
        <v>2.2000100000000002E-2</v>
      </c>
      <c r="EK137">
        <v>0</v>
      </c>
      <c r="EL137">
        <v>645.97699999999998</v>
      </c>
      <c r="EM137">
        <v>5.00082</v>
      </c>
      <c r="EN137">
        <v>15703.6</v>
      </c>
      <c r="EO137">
        <v>14129.6</v>
      </c>
      <c r="EP137">
        <v>47.5</v>
      </c>
      <c r="EQ137">
        <v>49.375</v>
      </c>
      <c r="ER137">
        <v>48.436999999999998</v>
      </c>
      <c r="ES137">
        <v>48.311999999999998</v>
      </c>
      <c r="ET137">
        <v>48.625</v>
      </c>
      <c r="EU137">
        <v>1755.49</v>
      </c>
      <c r="EV137">
        <v>39.49</v>
      </c>
      <c r="EW137">
        <v>0</v>
      </c>
      <c r="EX137">
        <v>1681.3999998569491</v>
      </c>
      <c r="EY137">
        <v>0</v>
      </c>
      <c r="EZ137">
        <v>645.78742307692312</v>
      </c>
      <c r="FA137">
        <v>1.3537435885035789</v>
      </c>
      <c r="FB137">
        <v>76.625641591017185</v>
      </c>
      <c r="FC137">
        <v>15704.17307692308</v>
      </c>
      <c r="FD137">
        <v>15</v>
      </c>
      <c r="FE137">
        <v>1689024186.5999999</v>
      </c>
      <c r="FF137" t="s">
        <v>1035</v>
      </c>
      <c r="FG137">
        <v>1689024186.5999999</v>
      </c>
      <c r="FH137">
        <v>1689024183.5999999</v>
      </c>
      <c r="FI137">
        <v>139</v>
      </c>
      <c r="FJ137">
        <v>-2.1000000000000001E-2</v>
      </c>
      <c r="FK137">
        <v>2.3E-2</v>
      </c>
      <c r="FL137">
        <v>-1.4139999999999999</v>
      </c>
      <c r="FM137">
        <v>3.5999999999999997E-2</v>
      </c>
      <c r="FN137">
        <v>400</v>
      </c>
      <c r="FO137">
        <v>23</v>
      </c>
      <c r="FP137">
        <v>0.09</v>
      </c>
      <c r="FQ137">
        <v>0.02</v>
      </c>
      <c r="FR137">
        <v>39.726714434427741</v>
      </c>
      <c r="FS137">
        <v>0.30980548163135269</v>
      </c>
      <c r="FT137">
        <v>4.3866355735809562E-2</v>
      </c>
      <c r="FU137">
        <v>1</v>
      </c>
      <c r="FV137">
        <v>0.25773427011734512</v>
      </c>
      <c r="FW137">
        <v>3.3277236464597869E-2</v>
      </c>
      <c r="FX137">
        <v>2.7515739175546991E-3</v>
      </c>
      <c r="FY137">
        <v>1</v>
      </c>
      <c r="FZ137">
        <v>2</v>
      </c>
      <c r="GA137">
        <v>2</v>
      </c>
      <c r="GB137" t="s">
        <v>423</v>
      </c>
      <c r="GC137">
        <v>2.9440499999999998</v>
      </c>
      <c r="GD137">
        <v>2.7086999999999999</v>
      </c>
      <c r="GE137">
        <v>7.9067499999999999E-2</v>
      </c>
      <c r="GF137">
        <v>8.7507299999999996E-2</v>
      </c>
      <c r="GG137">
        <v>0.12372900000000001</v>
      </c>
      <c r="GH137">
        <v>0.10885</v>
      </c>
      <c r="GI137">
        <v>30202.5</v>
      </c>
      <c r="GJ137">
        <v>29209.9</v>
      </c>
      <c r="GK137">
        <v>33798</v>
      </c>
      <c r="GL137">
        <v>32058.3</v>
      </c>
      <c r="GM137">
        <v>42768</v>
      </c>
      <c r="GN137">
        <v>40656.5</v>
      </c>
      <c r="GO137">
        <v>48958.1</v>
      </c>
      <c r="GP137">
        <v>45386.2</v>
      </c>
      <c r="GQ137">
        <v>1.9619500000000001</v>
      </c>
      <c r="GR137">
        <v>1.7694000000000001</v>
      </c>
      <c r="GS137">
        <v>-8.4564099999999993E-3</v>
      </c>
      <c r="GT137">
        <v>0</v>
      </c>
      <c r="GU137">
        <v>30.105499999999999</v>
      </c>
      <c r="GV137">
        <v>999.9</v>
      </c>
      <c r="GW137">
        <v>31.9</v>
      </c>
      <c r="GX137">
        <v>43.1</v>
      </c>
      <c r="GY137">
        <v>28.124199999999998</v>
      </c>
      <c r="GZ137">
        <v>60.1648</v>
      </c>
      <c r="HA137">
        <v>25.0641</v>
      </c>
      <c r="HB137">
        <v>1</v>
      </c>
      <c r="HC137">
        <v>0.55357500000000004</v>
      </c>
      <c r="HD137">
        <v>3.9124599999999998</v>
      </c>
      <c r="HE137">
        <v>20.1783</v>
      </c>
      <c r="HF137">
        <v>5.2683499999999999</v>
      </c>
      <c r="HG137">
        <v>12.039899999999999</v>
      </c>
      <c r="HH137">
        <v>4.9652500000000002</v>
      </c>
      <c r="HI137">
        <v>3.3003200000000001</v>
      </c>
      <c r="HJ137">
        <v>9999</v>
      </c>
      <c r="HK137">
        <v>9999</v>
      </c>
      <c r="HL137">
        <v>9999</v>
      </c>
      <c r="HM137">
        <v>999.9</v>
      </c>
      <c r="HN137">
        <v>1.8684400000000001</v>
      </c>
      <c r="HO137">
        <v>1.8721000000000001</v>
      </c>
      <c r="HP137">
        <v>1.87192</v>
      </c>
      <c r="HQ137">
        <v>1.87138</v>
      </c>
      <c r="HR137">
        <v>1.8646199999999999</v>
      </c>
      <c r="HS137">
        <v>1.8658399999999999</v>
      </c>
      <c r="HT137">
        <v>1.8678300000000001</v>
      </c>
      <c r="HU137">
        <v>1.8724099999999999</v>
      </c>
      <c r="HV137">
        <v>0</v>
      </c>
      <c r="HW137">
        <v>0</v>
      </c>
      <c r="HX137">
        <v>0</v>
      </c>
      <c r="HY137">
        <v>0</v>
      </c>
      <c r="HZ137" t="s">
        <v>424</v>
      </c>
      <c r="IA137" t="s">
        <v>425</v>
      </c>
      <c r="IB137" t="s">
        <v>426</v>
      </c>
      <c r="IC137" t="s">
        <v>426</v>
      </c>
      <c r="ID137" t="s">
        <v>426</v>
      </c>
      <c r="IE137" t="s">
        <v>426</v>
      </c>
      <c r="IF137">
        <v>0</v>
      </c>
      <c r="IG137">
        <v>100</v>
      </c>
      <c r="IH137">
        <v>100</v>
      </c>
      <c r="II137">
        <v>-1.3660000000000001</v>
      </c>
      <c r="IJ137">
        <v>3.5499999999999997E-2</v>
      </c>
      <c r="IK137">
        <v>-0.98700578656645122</v>
      </c>
      <c r="IL137">
        <v>-1.171017271736434E-3</v>
      </c>
      <c r="IM137">
        <v>2.801297040296544E-7</v>
      </c>
      <c r="IN137">
        <v>-3.6238253961199429E-11</v>
      </c>
      <c r="IO137">
        <v>3.5514999999996633E-2</v>
      </c>
      <c r="IP137">
        <v>0</v>
      </c>
      <c r="IQ137">
        <v>0</v>
      </c>
      <c r="IR137">
        <v>0</v>
      </c>
      <c r="IS137">
        <v>0</v>
      </c>
      <c r="IT137">
        <v>2161</v>
      </c>
      <c r="IU137">
        <v>1</v>
      </c>
      <c r="IV137">
        <v>19</v>
      </c>
      <c r="IW137">
        <v>0.6</v>
      </c>
      <c r="IX137">
        <v>0.6</v>
      </c>
      <c r="IY137">
        <v>1.03271</v>
      </c>
      <c r="IZ137">
        <v>2.49878</v>
      </c>
      <c r="JA137">
        <v>1.4440900000000001</v>
      </c>
      <c r="JB137">
        <v>2.2790499999999998</v>
      </c>
      <c r="JC137">
        <v>1.54419</v>
      </c>
      <c r="JD137">
        <v>2.4133300000000002</v>
      </c>
      <c r="JE137">
        <v>46.152700000000003</v>
      </c>
      <c r="JF137">
        <v>24.113800000000001</v>
      </c>
      <c r="JG137">
        <v>18</v>
      </c>
      <c r="JH137">
        <v>508.31700000000001</v>
      </c>
      <c r="JI137">
        <v>422.11700000000002</v>
      </c>
      <c r="JJ137">
        <v>24.577500000000001</v>
      </c>
      <c r="JK137">
        <v>34.054699999999997</v>
      </c>
      <c r="JL137">
        <v>30.000599999999999</v>
      </c>
      <c r="JM137">
        <v>33.890099999999997</v>
      </c>
      <c r="JN137">
        <v>33.846200000000003</v>
      </c>
      <c r="JO137">
        <v>20.7864</v>
      </c>
      <c r="JP137">
        <v>28.9557</v>
      </c>
      <c r="JQ137">
        <v>7.4893900000000002</v>
      </c>
      <c r="JR137">
        <v>24.581</v>
      </c>
      <c r="JS137">
        <v>400</v>
      </c>
      <c r="JT137">
        <v>22.75</v>
      </c>
      <c r="JU137">
        <v>99.216999999999999</v>
      </c>
      <c r="JV137">
        <v>98.837199999999996</v>
      </c>
    </row>
    <row r="138" spans="1:282" x14ac:dyDescent="0.25">
      <c r="A138">
        <v>122</v>
      </c>
      <c r="B138">
        <v>1689024374.0999999</v>
      </c>
      <c r="C138">
        <v>25197.099999904629</v>
      </c>
      <c r="D138" t="s">
        <v>1036</v>
      </c>
      <c r="E138" t="s">
        <v>1037</v>
      </c>
      <c r="F138" t="s">
        <v>414</v>
      </c>
      <c r="G138" t="s">
        <v>415</v>
      </c>
      <c r="H138" t="s">
        <v>578</v>
      </c>
      <c r="I138" t="s">
        <v>500</v>
      </c>
      <c r="J138" t="s">
        <v>656</v>
      </c>
      <c r="K138">
        <v>1689024374.0999999</v>
      </c>
      <c r="L138">
        <f t="shared" si="138"/>
        <v>4.184057917838554E-3</v>
      </c>
      <c r="M138">
        <f t="shared" si="139"/>
        <v>4.1840579178385537</v>
      </c>
      <c r="N138">
        <f t="shared" si="140"/>
        <v>32.950779489431277</v>
      </c>
      <c r="O138">
        <f t="shared" si="141"/>
        <v>259.12400000000002</v>
      </c>
      <c r="P138">
        <f t="shared" si="142"/>
        <v>55.626861675834697</v>
      </c>
      <c r="Q138">
        <f t="shared" si="143"/>
        <v>5.5155812298626499</v>
      </c>
      <c r="R138">
        <f t="shared" si="144"/>
        <v>25.692973278552003</v>
      </c>
      <c r="S138">
        <f t="shared" si="145"/>
        <v>0.27612612013282045</v>
      </c>
      <c r="T138">
        <f t="shared" si="146"/>
        <v>2.9133225122685391</v>
      </c>
      <c r="U138">
        <f t="shared" si="147"/>
        <v>0.26236682211680712</v>
      </c>
      <c r="V138">
        <f t="shared" si="148"/>
        <v>0.16515832941770076</v>
      </c>
      <c r="W138">
        <f t="shared" si="149"/>
        <v>289.56168195836852</v>
      </c>
      <c r="X138">
        <f t="shared" si="150"/>
        <v>30.347800332220896</v>
      </c>
      <c r="Y138">
        <f t="shared" si="151"/>
        <v>29.992599999999999</v>
      </c>
      <c r="Z138">
        <f t="shared" si="152"/>
        <v>4.2586392038954992</v>
      </c>
      <c r="AA138">
        <f t="shared" si="153"/>
        <v>65.169406398514695</v>
      </c>
      <c r="AB138">
        <f t="shared" si="154"/>
        <v>2.7331579028700004</v>
      </c>
      <c r="AC138">
        <f t="shared" si="155"/>
        <v>4.1939278779932128</v>
      </c>
      <c r="AD138">
        <f t="shared" si="156"/>
        <v>1.5254813010254988</v>
      </c>
      <c r="AE138">
        <f t="shared" si="157"/>
        <v>-184.51695417668023</v>
      </c>
      <c r="AF138">
        <f t="shared" si="158"/>
        <v>-41.82588842584272</v>
      </c>
      <c r="AG138">
        <f t="shared" si="159"/>
        <v>-3.1878016385905537</v>
      </c>
      <c r="AH138">
        <f t="shared" si="160"/>
        <v>60.031037717255032</v>
      </c>
      <c r="AI138">
        <v>0</v>
      </c>
      <c r="AJ138">
        <v>0</v>
      </c>
      <c r="AK138">
        <f t="shared" si="161"/>
        <v>1</v>
      </c>
      <c r="AL138">
        <f t="shared" si="162"/>
        <v>0</v>
      </c>
      <c r="AM138">
        <f t="shared" si="163"/>
        <v>51917.229463802621</v>
      </c>
      <c r="AN138" t="s">
        <v>418</v>
      </c>
      <c r="AO138">
        <v>10076.700000000001</v>
      </c>
      <c r="AP138">
        <v>185.01599999999999</v>
      </c>
      <c r="AQ138">
        <v>473.06</v>
      </c>
      <c r="AR138">
        <f t="shared" si="164"/>
        <v>0.60889527755464423</v>
      </c>
      <c r="AS138">
        <v>-1.4827006201179751</v>
      </c>
      <c r="AT138" t="s">
        <v>1038</v>
      </c>
      <c r="AU138">
        <v>8106.89</v>
      </c>
      <c r="AV138">
        <v>633.60030769230775</v>
      </c>
      <c r="AW138">
        <v>862.10181201822274</v>
      </c>
      <c r="AX138">
        <f t="shared" si="165"/>
        <v>0.26505164603584552</v>
      </c>
      <c r="AY138">
        <v>0.5</v>
      </c>
      <c r="AZ138">
        <f t="shared" si="166"/>
        <v>1513.1594994602945</v>
      </c>
      <c r="BA138">
        <f t="shared" si="167"/>
        <v>32.950779489431277</v>
      </c>
      <c r="BB138">
        <f t="shared" si="168"/>
        <v>200.53270802336357</v>
      </c>
      <c r="BC138">
        <f t="shared" si="169"/>
        <v>2.2756014895872378E-2</v>
      </c>
      <c r="BD138">
        <f t="shared" si="170"/>
        <v>-0.45127130762833767</v>
      </c>
      <c r="BE138">
        <f t="shared" si="171"/>
        <v>224.66876535081119</v>
      </c>
      <c r="BF138" t="s">
        <v>1039</v>
      </c>
      <c r="BG138">
        <v>520.35</v>
      </c>
      <c r="BH138">
        <f t="shared" si="172"/>
        <v>520.35</v>
      </c>
      <c r="BI138">
        <f t="shared" si="173"/>
        <v>0.39641699768402638</v>
      </c>
      <c r="BJ138">
        <f t="shared" si="174"/>
        <v>0.66861826708831307</v>
      </c>
      <c r="BK138">
        <f t="shared" si="175"/>
        <v>8.2267247201992504</v>
      </c>
      <c r="BL138">
        <f t="shared" si="176"/>
        <v>0.33747790940236866</v>
      </c>
      <c r="BM138">
        <f t="shared" si="177"/>
        <v>-1.3506332783124202</v>
      </c>
      <c r="BN138">
        <f t="shared" si="178"/>
        <v>0.54910881679741896</v>
      </c>
      <c r="BO138">
        <f t="shared" si="179"/>
        <v>0.45089118320258104</v>
      </c>
      <c r="BP138">
        <v>9297</v>
      </c>
      <c r="BQ138">
        <v>290.00000000000011</v>
      </c>
      <c r="BR138">
        <v>788.99</v>
      </c>
      <c r="BS138">
        <v>295</v>
      </c>
      <c r="BT138">
        <v>8106.89</v>
      </c>
      <c r="BU138">
        <v>790.78</v>
      </c>
      <c r="BV138">
        <v>-1.79</v>
      </c>
      <c r="BW138">
        <v>300.00000000000011</v>
      </c>
      <c r="BX138">
        <v>19.2</v>
      </c>
      <c r="BY138">
        <v>862.10181201822274</v>
      </c>
      <c r="BZ138">
        <v>2.5908517553897998</v>
      </c>
      <c r="CA138">
        <v>-57.820289680539041</v>
      </c>
      <c r="CB138">
        <v>1.93002770113996</v>
      </c>
      <c r="CC138">
        <v>0.96974601458731879</v>
      </c>
      <c r="CD138">
        <v>-4.1758758620689682E-3</v>
      </c>
      <c r="CE138">
        <v>289.99999999999989</v>
      </c>
      <c r="CF138">
        <v>788.91</v>
      </c>
      <c r="CG138">
        <v>635</v>
      </c>
      <c r="CH138">
        <v>8100.49</v>
      </c>
      <c r="CI138">
        <v>790.72</v>
      </c>
      <c r="CJ138">
        <v>-1.81</v>
      </c>
      <c r="CX138">
        <f t="shared" si="180"/>
        <v>1799.97</v>
      </c>
      <c r="CY138">
        <f t="shared" si="181"/>
        <v>1513.1594994602945</v>
      </c>
      <c r="CZ138">
        <f t="shared" si="182"/>
        <v>0.84065817733645254</v>
      </c>
      <c r="DA138">
        <f t="shared" si="183"/>
        <v>0.16087028225935351</v>
      </c>
      <c r="DB138">
        <v>6</v>
      </c>
      <c r="DC138">
        <v>0.5</v>
      </c>
      <c r="DD138" t="s">
        <v>421</v>
      </c>
      <c r="DE138">
        <v>2</v>
      </c>
      <c r="DF138">
        <v>1689024374.0999999</v>
      </c>
      <c r="DG138">
        <v>259.12400000000002</v>
      </c>
      <c r="DH138">
        <v>299.952</v>
      </c>
      <c r="DI138">
        <v>27.565000000000001</v>
      </c>
      <c r="DJ138">
        <v>22.684200000000001</v>
      </c>
      <c r="DK138">
        <v>260.221</v>
      </c>
      <c r="DL138">
        <v>27.536200000000001</v>
      </c>
      <c r="DM138">
        <v>500.17099999999999</v>
      </c>
      <c r="DN138">
        <v>99.053100000000001</v>
      </c>
      <c r="DO138">
        <v>0.10009800000000001</v>
      </c>
      <c r="DP138">
        <v>29.726299999999998</v>
      </c>
      <c r="DQ138">
        <v>29.992599999999999</v>
      </c>
      <c r="DR138">
        <v>999.9</v>
      </c>
      <c r="DS138">
        <v>0</v>
      </c>
      <c r="DT138">
        <v>0</v>
      </c>
      <c r="DU138">
        <v>10002.5</v>
      </c>
      <c r="DV138">
        <v>0</v>
      </c>
      <c r="DW138">
        <v>1437.26</v>
      </c>
      <c r="DX138">
        <v>-40.827599999999997</v>
      </c>
      <c r="DY138">
        <v>266.46899999999999</v>
      </c>
      <c r="DZ138">
        <v>306.91399999999999</v>
      </c>
      <c r="EA138">
        <v>4.8807900000000002</v>
      </c>
      <c r="EB138">
        <v>299.952</v>
      </c>
      <c r="EC138">
        <v>22.684200000000001</v>
      </c>
      <c r="ED138">
        <v>2.7303899999999999</v>
      </c>
      <c r="EE138">
        <v>2.2469399999999999</v>
      </c>
      <c r="EF138">
        <v>22.469200000000001</v>
      </c>
      <c r="EG138">
        <v>19.300999999999998</v>
      </c>
      <c r="EH138">
        <v>1799.97</v>
      </c>
      <c r="EI138">
        <v>0.97799999999999998</v>
      </c>
      <c r="EJ138">
        <v>2.2000100000000002E-2</v>
      </c>
      <c r="EK138">
        <v>0</v>
      </c>
      <c r="EL138">
        <v>633.47699999999998</v>
      </c>
      <c r="EM138">
        <v>5.00082</v>
      </c>
      <c r="EN138">
        <v>15544.9</v>
      </c>
      <c r="EO138">
        <v>14129.5</v>
      </c>
      <c r="EP138">
        <v>47.436999999999998</v>
      </c>
      <c r="EQ138">
        <v>49.186999999999998</v>
      </c>
      <c r="ER138">
        <v>48.436999999999998</v>
      </c>
      <c r="ES138">
        <v>48.186999999999998</v>
      </c>
      <c r="ET138">
        <v>48.561999999999998</v>
      </c>
      <c r="EU138">
        <v>1755.48</v>
      </c>
      <c r="EV138">
        <v>39.49</v>
      </c>
      <c r="EW138">
        <v>0</v>
      </c>
      <c r="EX138">
        <v>151.39999985694891</v>
      </c>
      <c r="EY138">
        <v>0</v>
      </c>
      <c r="EZ138">
        <v>633.60030769230775</v>
      </c>
      <c r="FA138">
        <v>-1.2448547062282529</v>
      </c>
      <c r="FB138">
        <v>36.735042767616868</v>
      </c>
      <c r="FC138">
        <v>15546.25</v>
      </c>
      <c r="FD138">
        <v>15</v>
      </c>
      <c r="FE138">
        <v>1689024295.0999999</v>
      </c>
      <c r="FF138" t="s">
        <v>1040</v>
      </c>
      <c r="FG138">
        <v>1689024287.0999999</v>
      </c>
      <c r="FH138">
        <v>1689024295.0999999</v>
      </c>
      <c r="FI138">
        <v>140</v>
      </c>
      <c r="FJ138">
        <v>0.17599999999999999</v>
      </c>
      <c r="FK138">
        <v>-7.0000000000000001E-3</v>
      </c>
      <c r="FL138">
        <v>-1.139</v>
      </c>
      <c r="FM138">
        <v>2.9000000000000001E-2</v>
      </c>
      <c r="FN138">
        <v>300</v>
      </c>
      <c r="FO138">
        <v>23</v>
      </c>
      <c r="FP138">
        <v>0.03</v>
      </c>
      <c r="FQ138">
        <v>0.02</v>
      </c>
      <c r="FR138">
        <v>32.808292781763747</v>
      </c>
      <c r="FS138">
        <v>0.50516181853350628</v>
      </c>
      <c r="FT138">
        <v>7.0848850840121894E-2</v>
      </c>
      <c r="FU138">
        <v>1</v>
      </c>
      <c r="FV138">
        <v>0.27143679904898788</v>
      </c>
      <c r="FW138">
        <v>2.1205589408134572E-2</v>
      </c>
      <c r="FX138">
        <v>1.8579985889213961E-3</v>
      </c>
      <c r="FY138">
        <v>1</v>
      </c>
      <c r="FZ138">
        <v>2</v>
      </c>
      <c r="GA138">
        <v>2</v>
      </c>
      <c r="GB138" t="s">
        <v>423</v>
      </c>
      <c r="GC138">
        <v>2.9440200000000001</v>
      </c>
      <c r="GD138">
        <v>2.7088000000000001</v>
      </c>
      <c r="GE138">
        <v>6.1756600000000002E-2</v>
      </c>
      <c r="GF138">
        <v>6.9646600000000003E-2</v>
      </c>
      <c r="GG138">
        <v>0.124116</v>
      </c>
      <c r="GH138">
        <v>0.108392</v>
      </c>
      <c r="GI138">
        <v>30768.7</v>
      </c>
      <c r="GJ138">
        <v>29781</v>
      </c>
      <c r="GK138">
        <v>33796.6</v>
      </c>
      <c r="GL138">
        <v>32057.9</v>
      </c>
      <c r="GM138">
        <v>42747.6</v>
      </c>
      <c r="GN138">
        <v>40676.300000000003</v>
      </c>
      <c r="GO138">
        <v>48956.800000000003</v>
      </c>
      <c r="GP138">
        <v>45385.4</v>
      </c>
      <c r="GQ138">
        <v>1.9621500000000001</v>
      </c>
      <c r="GR138">
        <v>1.7693300000000001</v>
      </c>
      <c r="GS138">
        <v>8.4638600000000001E-3</v>
      </c>
      <c r="GT138">
        <v>0</v>
      </c>
      <c r="GU138">
        <v>29.854900000000001</v>
      </c>
      <c r="GV138">
        <v>999.9</v>
      </c>
      <c r="GW138">
        <v>31.8</v>
      </c>
      <c r="GX138">
        <v>43.1</v>
      </c>
      <c r="GY138">
        <v>28.035399999999999</v>
      </c>
      <c r="GZ138">
        <v>60.214799999999997</v>
      </c>
      <c r="HA138">
        <v>25.5288</v>
      </c>
      <c r="HB138">
        <v>1</v>
      </c>
      <c r="HC138">
        <v>0.55051799999999995</v>
      </c>
      <c r="HD138">
        <v>3.36374</v>
      </c>
      <c r="HE138">
        <v>20.189699999999998</v>
      </c>
      <c r="HF138">
        <v>5.2707499999999996</v>
      </c>
      <c r="HG138">
        <v>12.039899999999999</v>
      </c>
      <c r="HH138">
        <v>4.9658499999999997</v>
      </c>
      <c r="HI138">
        <v>3.3010000000000002</v>
      </c>
      <c r="HJ138">
        <v>9999</v>
      </c>
      <c r="HK138">
        <v>9999</v>
      </c>
      <c r="HL138">
        <v>9999</v>
      </c>
      <c r="HM138">
        <v>999.9</v>
      </c>
      <c r="HN138">
        <v>1.8684400000000001</v>
      </c>
      <c r="HO138">
        <v>1.8721000000000001</v>
      </c>
      <c r="HP138">
        <v>1.8719399999999999</v>
      </c>
      <c r="HQ138">
        <v>1.8714</v>
      </c>
      <c r="HR138">
        <v>1.8646400000000001</v>
      </c>
      <c r="HS138">
        <v>1.8658399999999999</v>
      </c>
      <c r="HT138">
        <v>1.8678300000000001</v>
      </c>
      <c r="HU138">
        <v>1.8724000000000001</v>
      </c>
      <c r="HV138">
        <v>0</v>
      </c>
      <c r="HW138">
        <v>0</v>
      </c>
      <c r="HX138">
        <v>0</v>
      </c>
      <c r="HY138">
        <v>0</v>
      </c>
      <c r="HZ138" t="s">
        <v>424</v>
      </c>
      <c r="IA138" t="s">
        <v>425</v>
      </c>
      <c r="IB138" t="s">
        <v>426</v>
      </c>
      <c r="IC138" t="s">
        <v>426</v>
      </c>
      <c r="ID138" t="s">
        <v>426</v>
      </c>
      <c r="IE138" t="s">
        <v>426</v>
      </c>
      <c r="IF138">
        <v>0</v>
      </c>
      <c r="IG138">
        <v>100</v>
      </c>
      <c r="IH138">
        <v>100</v>
      </c>
      <c r="II138">
        <v>-1.097</v>
      </c>
      <c r="IJ138">
        <v>2.8799999999999999E-2</v>
      </c>
      <c r="IK138">
        <v>-0.81052342129967547</v>
      </c>
      <c r="IL138">
        <v>-1.171017271736434E-3</v>
      </c>
      <c r="IM138">
        <v>2.801297040296544E-7</v>
      </c>
      <c r="IN138">
        <v>-3.6238253961199429E-11</v>
      </c>
      <c r="IO138">
        <v>2.8765000000003479E-2</v>
      </c>
      <c r="IP138">
        <v>0</v>
      </c>
      <c r="IQ138">
        <v>0</v>
      </c>
      <c r="IR138">
        <v>0</v>
      </c>
      <c r="IS138">
        <v>0</v>
      </c>
      <c r="IT138">
        <v>2161</v>
      </c>
      <c r="IU138">
        <v>1</v>
      </c>
      <c r="IV138">
        <v>19</v>
      </c>
      <c r="IW138">
        <v>1.4</v>
      </c>
      <c r="IX138">
        <v>1.3</v>
      </c>
      <c r="IY138">
        <v>0.82031200000000004</v>
      </c>
      <c r="IZ138">
        <v>2.50244</v>
      </c>
      <c r="JA138">
        <v>1.4440900000000001</v>
      </c>
      <c r="JB138">
        <v>2.2790499999999998</v>
      </c>
      <c r="JC138">
        <v>1.54419</v>
      </c>
      <c r="JD138">
        <v>2.3815900000000001</v>
      </c>
      <c r="JE138">
        <v>46.123699999999999</v>
      </c>
      <c r="JF138">
        <v>24.113800000000001</v>
      </c>
      <c r="JG138">
        <v>18</v>
      </c>
      <c r="JH138">
        <v>508.57299999999998</v>
      </c>
      <c r="JI138">
        <v>422.14800000000002</v>
      </c>
      <c r="JJ138">
        <v>25.1678</v>
      </c>
      <c r="JK138">
        <v>34.051299999999998</v>
      </c>
      <c r="JL138">
        <v>29.999600000000001</v>
      </c>
      <c r="JM138">
        <v>33.905500000000004</v>
      </c>
      <c r="JN138">
        <v>33.857500000000002</v>
      </c>
      <c r="JO138">
        <v>16.555700000000002</v>
      </c>
      <c r="JP138">
        <v>28.849799999999998</v>
      </c>
      <c r="JQ138">
        <v>6.7225900000000003</v>
      </c>
      <c r="JR138">
        <v>25.1736</v>
      </c>
      <c r="JS138">
        <v>300</v>
      </c>
      <c r="JT138">
        <v>22.680299999999999</v>
      </c>
      <c r="JU138">
        <v>99.213800000000006</v>
      </c>
      <c r="JV138">
        <v>98.835599999999999</v>
      </c>
    </row>
    <row r="139" spans="1:282" x14ac:dyDescent="0.25">
      <c r="A139">
        <v>123</v>
      </c>
      <c r="B139">
        <v>1689024504.0999999</v>
      </c>
      <c r="C139">
        <v>25327.099999904629</v>
      </c>
      <c r="D139" t="s">
        <v>1041</v>
      </c>
      <c r="E139" t="s">
        <v>1042</v>
      </c>
      <c r="F139" t="s">
        <v>414</v>
      </c>
      <c r="G139" t="s">
        <v>415</v>
      </c>
      <c r="H139" t="s">
        <v>578</v>
      </c>
      <c r="I139" t="s">
        <v>500</v>
      </c>
      <c r="J139" t="s">
        <v>656</v>
      </c>
      <c r="K139">
        <v>1689024504.0999999</v>
      </c>
      <c r="L139">
        <f t="shared" si="138"/>
        <v>4.6007735517059802E-3</v>
      </c>
      <c r="M139">
        <f t="shared" si="139"/>
        <v>4.6007735517059798</v>
      </c>
      <c r="N139">
        <f t="shared" si="140"/>
        <v>23.303260636915173</v>
      </c>
      <c r="O139">
        <f t="shared" si="141"/>
        <v>171.35</v>
      </c>
      <c r="P139">
        <f t="shared" si="142"/>
        <v>42.444996558859131</v>
      </c>
      <c r="Q139">
        <f t="shared" si="143"/>
        <v>4.2085364771965539</v>
      </c>
      <c r="R139">
        <f t="shared" si="144"/>
        <v>16.989817029849998</v>
      </c>
      <c r="S139">
        <f t="shared" si="145"/>
        <v>0.31029407920691399</v>
      </c>
      <c r="T139">
        <f t="shared" si="146"/>
        <v>2.9058647948091534</v>
      </c>
      <c r="U139">
        <f t="shared" si="147"/>
        <v>0.29299159157708271</v>
      </c>
      <c r="V139">
        <f t="shared" si="148"/>
        <v>0.18459385737193468</v>
      </c>
      <c r="W139">
        <f t="shared" si="149"/>
        <v>289.55689395835117</v>
      </c>
      <c r="X139">
        <f t="shared" si="150"/>
        <v>30.323735442777274</v>
      </c>
      <c r="Y139">
        <f t="shared" si="151"/>
        <v>30.021599999999999</v>
      </c>
      <c r="Z139">
        <f t="shared" si="152"/>
        <v>4.265738512644905</v>
      </c>
      <c r="AA139">
        <f t="shared" si="153"/>
        <v>65.588009930868324</v>
      </c>
      <c r="AB139">
        <f t="shared" si="154"/>
        <v>2.7639611412938003</v>
      </c>
      <c r="AC139">
        <f t="shared" si="155"/>
        <v>4.2141256369984328</v>
      </c>
      <c r="AD139">
        <f t="shared" si="156"/>
        <v>1.5017773713511047</v>
      </c>
      <c r="AE139">
        <f t="shared" si="157"/>
        <v>-202.89411363023373</v>
      </c>
      <c r="AF139">
        <f t="shared" si="158"/>
        <v>-33.180796160799716</v>
      </c>
      <c r="AG139">
        <f t="shared" si="159"/>
        <v>-2.5368104013524646</v>
      </c>
      <c r="AH139">
        <f t="shared" si="160"/>
        <v>50.945173765965265</v>
      </c>
      <c r="AI139">
        <v>0</v>
      </c>
      <c r="AJ139">
        <v>0</v>
      </c>
      <c r="AK139">
        <f t="shared" si="161"/>
        <v>1</v>
      </c>
      <c r="AL139">
        <f t="shared" si="162"/>
        <v>0</v>
      </c>
      <c r="AM139">
        <f t="shared" si="163"/>
        <v>51690.807086041299</v>
      </c>
      <c r="AN139" t="s">
        <v>418</v>
      </c>
      <c r="AO139">
        <v>10076.700000000001</v>
      </c>
      <c r="AP139">
        <v>185.01599999999999</v>
      </c>
      <c r="AQ139">
        <v>473.06</v>
      </c>
      <c r="AR139">
        <f t="shared" si="164"/>
        <v>0.60889527755464423</v>
      </c>
      <c r="AS139">
        <v>-1.4827006201179751</v>
      </c>
      <c r="AT139" t="s">
        <v>1043</v>
      </c>
      <c r="AU139">
        <v>8106.55</v>
      </c>
      <c r="AV139">
        <v>634.06534615384612</v>
      </c>
      <c r="AW139">
        <v>795.38668814521975</v>
      </c>
      <c r="AX139">
        <f t="shared" si="165"/>
        <v>0.20282127472809797</v>
      </c>
      <c r="AY139">
        <v>0.5</v>
      </c>
      <c r="AZ139">
        <f t="shared" si="166"/>
        <v>1513.1342994602855</v>
      </c>
      <c r="BA139">
        <f t="shared" si="167"/>
        <v>23.303260636915173</v>
      </c>
      <c r="BB139">
        <f t="shared" si="168"/>
        <v>153.44791372567133</v>
      </c>
      <c r="BC139">
        <f t="shared" si="169"/>
        <v>1.6380542867790362E-2</v>
      </c>
      <c r="BD139">
        <f t="shared" si="170"/>
        <v>-0.40524526365516711</v>
      </c>
      <c r="BE139">
        <f t="shared" si="171"/>
        <v>219.86278658877364</v>
      </c>
      <c r="BF139" t="s">
        <v>1044</v>
      </c>
      <c r="BG139">
        <v>520.45000000000005</v>
      </c>
      <c r="BH139">
        <f t="shared" si="172"/>
        <v>520.45000000000005</v>
      </c>
      <c r="BI139">
        <f t="shared" si="173"/>
        <v>0.3456641810115666</v>
      </c>
      <c r="BJ139">
        <f t="shared" si="174"/>
        <v>0.58675814813832627</v>
      </c>
      <c r="BK139">
        <f t="shared" si="175"/>
        <v>6.8015760317623855</v>
      </c>
      <c r="BL139">
        <f t="shared" si="176"/>
        <v>0.26430060473839784</v>
      </c>
      <c r="BM139">
        <f t="shared" si="177"/>
        <v>-1.1190189281679874</v>
      </c>
      <c r="BN139">
        <f t="shared" si="178"/>
        <v>0.48161956815803753</v>
      </c>
      <c r="BO139">
        <f t="shared" si="179"/>
        <v>0.51838043184196247</v>
      </c>
      <c r="BP139">
        <v>9299</v>
      </c>
      <c r="BQ139">
        <v>290.00000000000011</v>
      </c>
      <c r="BR139">
        <v>753.14</v>
      </c>
      <c r="BS139">
        <v>295</v>
      </c>
      <c r="BT139">
        <v>8106.55</v>
      </c>
      <c r="BU139">
        <v>754.91</v>
      </c>
      <c r="BV139">
        <v>-1.77</v>
      </c>
      <c r="BW139">
        <v>300.00000000000011</v>
      </c>
      <c r="BX139">
        <v>19.2</v>
      </c>
      <c r="BY139">
        <v>795.38668814521975</v>
      </c>
      <c r="BZ139">
        <v>2.617838075453697</v>
      </c>
      <c r="CA139">
        <v>-32.815531178787339</v>
      </c>
      <c r="CB139">
        <v>1.9500496632714299</v>
      </c>
      <c r="CC139">
        <v>0.91002085850720971</v>
      </c>
      <c r="CD139">
        <v>-4.175699221357067E-3</v>
      </c>
      <c r="CE139">
        <v>289.99999999999989</v>
      </c>
      <c r="CF139">
        <v>754.24</v>
      </c>
      <c r="CG139">
        <v>685</v>
      </c>
      <c r="CH139">
        <v>8098.88</v>
      </c>
      <c r="CI139">
        <v>754.87</v>
      </c>
      <c r="CJ139">
        <v>-0.63</v>
      </c>
      <c r="CX139">
        <f t="shared" si="180"/>
        <v>1799.94</v>
      </c>
      <c r="CY139">
        <f t="shared" si="181"/>
        <v>1513.1342994602855</v>
      </c>
      <c r="CZ139">
        <f t="shared" si="182"/>
        <v>0.84065818830643546</v>
      </c>
      <c r="DA139">
        <f t="shared" si="183"/>
        <v>0.16087030343142059</v>
      </c>
      <c r="DB139">
        <v>6</v>
      </c>
      <c r="DC139">
        <v>0.5</v>
      </c>
      <c r="DD139" t="s">
        <v>421</v>
      </c>
      <c r="DE139">
        <v>2</v>
      </c>
      <c r="DF139">
        <v>1689024504.0999999</v>
      </c>
      <c r="DG139">
        <v>171.35</v>
      </c>
      <c r="DH139">
        <v>200.249</v>
      </c>
      <c r="DI139">
        <v>27.875800000000002</v>
      </c>
      <c r="DJ139">
        <v>22.5108</v>
      </c>
      <c r="DK139">
        <v>172.46299999999999</v>
      </c>
      <c r="DL139">
        <v>27.8474</v>
      </c>
      <c r="DM139">
        <v>500.18900000000002</v>
      </c>
      <c r="DN139">
        <v>99.052199999999999</v>
      </c>
      <c r="DO139">
        <v>0.100511</v>
      </c>
      <c r="DP139">
        <v>29.809799999999999</v>
      </c>
      <c r="DQ139">
        <v>30.021599999999999</v>
      </c>
      <c r="DR139">
        <v>999.9</v>
      </c>
      <c r="DS139">
        <v>0</v>
      </c>
      <c r="DT139">
        <v>0</v>
      </c>
      <c r="DU139">
        <v>9960</v>
      </c>
      <c r="DV139">
        <v>0</v>
      </c>
      <c r="DW139">
        <v>1415.03</v>
      </c>
      <c r="DX139">
        <v>-28.898700000000002</v>
      </c>
      <c r="DY139">
        <v>176.26400000000001</v>
      </c>
      <c r="DZ139">
        <v>204.86099999999999</v>
      </c>
      <c r="EA139">
        <v>5.3650099999999998</v>
      </c>
      <c r="EB139">
        <v>200.249</v>
      </c>
      <c r="EC139">
        <v>22.5108</v>
      </c>
      <c r="ED139">
        <v>2.7611599999999998</v>
      </c>
      <c r="EE139">
        <v>2.2297400000000001</v>
      </c>
      <c r="EF139">
        <v>22.653700000000001</v>
      </c>
      <c r="EG139">
        <v>19.177600000000002</v>
      </c>
      <c r="EH139">
        <v>1799.94</v>
      </c>
      <c r="EI139">
        <v>0.97799999999999998</v>
      </c>
      <c r="EJ139">
        <v>2.2000100000000002E-2</v>
      </c>
      <c r="EK139">
        <v>0</v>
      </c>
      <c r="EL139">
        <v>633.726</v>
      </c>
      <c r="EM139">
        <v>5.00082</v>
      </c>
      <c r="EN139">
        <v>15555.4</v>
      </c>
      <c r="EO139">
        <v>14129.3</v>
      </c>
      <c r="EP139">
        <v>47.436999999999998</v>
      </c>
      <c r="EQ139">
        <v>49.125</v>
      </c>
      <c r="ER139">
        <v>48.375</v>
      </c>
      <c r="ES139">
        <v>48.186999999999998</v>
      </c>
      <c r="ET139">
        <v>48.561999999999998</v>
      </c>
      <c r="EU139">
        <v>1755.45</v>
      </c>
      <c r="EV139">
        <v>39.49</v>
      </c>
      <c r="EW139">
        <v>0</v>
      </c>
      <c r="EX139">
        <v>128</v>
      </c>
      <c r="EY139">
        <v>0</v>
      </c>
      <c r="EZ139">
        <v>634.06534615384612</v>
      </c>
      <c r="FA139">
        <v>-2.5518974465970552</v>
      </c>
      <c r="FB139">
        <v>-163.39829021830619</v>
      </c>
      <c r="FC139">
        <v>15545.78461538462</v>
      </c>
      <c r="FD139">
        <v>15</v>
      </c>
      <c r="FE139">
        <v>1689024467.5999999</v>
      </c>
      <c r="FF139" t="s">
        <v>1045</v>
      </c>
      <c r="FG139">
        <v>1689024460.5999999</v>
      </c>
      <c r="FH139">
        <v>1689024467.5999999</v>
      </c>
      <c r="FI139">
        <v>141</v>
      </c>
      <c r="FJ139">
        <v>-0.109</v>
      </c>
      <c r="FK139">
        <v>0</v>
      </c>
      <c r="FL139">
        <v>-1.1439999999999999</v>
      </c>
      <c r="FM139">
        <v>2.8000000000000001E-2</v>
      </c>
      <c r="FN139">
        <v>200</v>
      </c>
      <c r="FO139">
        <v>22</v>
      </c>
      <c r="FP139">
        <v>0.05</v>
      </c>
      <c r="FQ139">
        <v>0.02</v>
      </c>
      <c r="FR139">
        <v>23.175227846914719</v>
      </c>
      <c r="FS139">
        <v>0.61241508068817685</v>
      </c>
      <c r="FT139">
        <v>5.7276119533214993E-2</v>
      </c>
      <c r="FU139">
        <v>1</v>
      </c>
      <c r="FV139">
        <v>0.30541714211441851</v>
      </c>
      <c r="FW139">
        <v>4.4061921363040962E-2</v>
      </c>
      <c r="FX139">
        <v>3.679158928402401E-3</v>
      </c>
      <c r="FY139">
        <v>1</v>
      </c>
      <c r="FZ139">
        <v>2</v>
      </c>
      <c r="GA139">
        <v>2</v>
      </c>
      <c r="GB139" t="s">
        <v>423</v>
      </c>
      <c r="GC139">
        <v>2.9440900000000001</v>
      </c>
      <c r="GD139">
        <v>2.7088299999999998</v>
      </c>
      <c r="GE139">
        <v>4.3073100000000003E-2</v>
      </c>
      <c r="GF139">
        <v>4.9369900000000001E-2</v>
      </c>
      <c r="GG139">
        <v>0.12508900000000001</v>
      </c>
      <c r="GH139">
        <v>0.10781300000000001</v>
      </c>
      <c r="GI139">
        <v>31381.8</v>
      </c>
      <c r="GJ139">
        <v>30430.7</v>
      </c>
      <c r="GK139">
        <v>33797.699999999997</v>
      </c>
      <c r="GL139">
        <v>32059.1</v>
      </c>
      <c r="GM139">
        <v>42700.4</v>
      </c>
      <c r="GN139">
        <v>40703.4</v>
      </c>
      <c r="GO139">
        <v>48957.8</v>
      </c>
      <c r="GP139">
        <v>45386.8</v>
      </c>
      <c r="GQ139">
        <v>1.9626999999999999</v>
      </c>
      <c r="GR139">
        <v>1.76925</v>
      </c>
      <c r="GS139">
        <v>5.9977199999999998E-3</v>
      </c>
      <c r="GT139">
        <v>0</v>
      </c>
      <c r="GU139">
        <v>29.923999999999999</v>
      </c>
      <c r="GV139">
        <v>999.9</v>
      </c>
      <c r="GW139">
        <v>31.8</v>
      </c>
      <c r="GX139">
        <v>43</v>
      </c>
      <c r="GY139">
        <v>27.887599999999999</v>
      </c>
      <c r="GZ139">
        <v>60.294800000000002</v>
      </c>
      <c r="HA139">
        <v>24.779599999999999</v>
      </c>
      <c r="HB139">
        <v>1</v>
      </c>
      <c r="HC139">
        <v>0.54946899999999999</v>
      </c>
      <c r="HD139">
        <v>3.56047</v>
      </c>
      <c r="HE139">
        <v>20.1859</v>
      </c>
      <c r="HF139">
        <v>5.2702999999999998</v>
      </c>
      <c r="HG139">
        <v>12.039899999999999</v>
      </c>
      <c r="HH139">
        <v>4.9656500000000001</v>
      </c>
      <c r="HI139">
        <v>3.3008999999999999</v>
      </c>
      <c r="HJ139">
        <v>9999</v>
      </c>
      <c r="HK139">
        <v>9999</v>
      </c>
      <c r="HL139">
        <v>9999</v>
      </c>
      <c r="HM139">
        <v>999.9</v>
      </c>
      <c r="HN139">
        <v>1.8684400000000001</v>
      </c>
      <c r="HO139">
        <v>1.8721000000000001</v>
      </c>
      <c r="HP139">
        <v>1.8719399999999999</v>
      </c>
      <c r="HQ139">
        <v>1.87137</v>
      </c>
      <c r="HR139">
        <v>1.8646199999999999</v>
      </c>
      <c r="HS139">
        <v>1.8658399999999999</v>
      </c>
      <c r="HT139">
        <v>1.8678300000000001</v>
      </c>
      <c r="HU139">
        <v>1.8723700000000001</v>
      </c>
      <c r="HV139">
        <v>0</v>
      </c>
      <c r="HW139">
        <v>0</v>
      </c>
      <c r="HX139">
        <v>0</v>
      </c>
      <c r="HY139">
        <v>0</v>
      </c>
      <c r="HZ139" t="s">
        <v>424</v>
      </c>
      <c r="IA139" t="s">
        <v>425</v>
      </c>
      <c r="IB139" t="s">
        <v>426</v>
      </c>
      <c r="IC139" t="s">
        <v>426</v>
      </c>
      <c r="ID139" t="s">
        <v>426</v>
      </c>
      <c r="IE139" t="s">
        <v>426</v>
      </c>
      <c r="IF139">
        <v>0</v>
      </c>
      <c r="IG139">
        <v>100</v>
      </c>
      <c r="IH139">
        <v>100</v>
      </c>
      <c r="II139">
        <v>-1.113</v>
      </c>
      <c r="IJ139">
        <v>2.8400000000000002E-2</v>
      </c>
      <c r="IK139">
        <v>-0.91934802128776416</v>
      </c>
      <c r="IL139">
        <v>-1.171017271736434E-3</v>
      </c>
      <c r="IM139">
        <v>2.801297040296544E-7</v>
      </c>
      <c r="IN139">
        <v>-3.6238253961199429E-11</v>
      </c>
      <c r="IO139">
        <v>2.8394999999999729E-2</v>
      </c>
      <c r="IP139">
        <v>0</v>
      </c>
      <c r="IQ139">
        <v>0</v>
      </c>
      <c r="IR139">
        <v>0</v>
      </c>
      <c r="IS139">
        <v>0</v>
      </c>
      <c r="IT139">
        <v>2161</v>
      </c>
      <c r="IU139">
        <v>1</v>
      </c>
      <c r="IV139">
        <v>19</v>
      </c>
      <c r="IW139">
        <v>0.7</v>
      </c>
      <c r="IX139">
        <v>0.6</v>
      </c>
      <c r="IY139">
        <v>0.59814500000000004</v>
      </c>
      <c r="IZ139">
        <v>2.52197</v>
      </c>
      <c r="JA139">
        <v>1.4440900000000001</v>
      </c>
      <c r="JB139">
        <v>2.2790499999999998</v>
      </c>
      <c r="JC139">
        <v>1.54419</v>
      </c>
      <c r="JD139">
        <v>2.4096700000000002</v>
      </c>
      <c r="JE139">
        <v>46.0657</v>
      </c>
      <c r="JF139">
        <v>24.113800000000001</v>
      </c>
      <c r="JG139">
        <v>18</v>
      </c>
      <c r="JH139">
        <v>508.81900000000002</v>
      </c>
      <c r="JI139">
        <v>422.00299999999999</v>
      </c>
      <c r="JJ139">
        <v>25.2257</v>
      </c>
      <c r="JK139">
        <v>34.026000000000003</v>
      </c>
      <c r="JL139">
        <v>30</v>
      </c>
      <c r="JM139">
        <v>33.890099999999997</v>
      </c>
      <c r="JN139">
        <v>33.843299999999999</v>
      </c>
      <c r="JO139">
        <v>12.099399999999999</v>
      </c>
      <c r="JP139">
        <v>29.816400000000002</v>
      </c>
      <c r="JQ139">
        <v>6.5346299999999999</v>
      </c>
      <c r="JR139">
        <v>25.227</v>
      </c>
      <c r="JS139">
        <v>200</v>
      </c>
      <c r="JT139">
        <v>22.383299999999998</v>
      </c>
      <c r="JU139">
        <v>99.216300000000004</v>
      </c>
      <c r="JV139">
        <v>98.838899999999995</v>
      </c>
    </row>
    <row r="140" spans="1:282" x14ac:dyDescent="0.25">
      <c r="A140">
        <v>124</v>
      </c>
      <c r="B140">
        <v>1689024632.5999999</v>
      </c>
      <c r="C140">
        <v>25455.599999904629</v>
      </c>
      <c r="D140" t="s">
        <v>1046</v>
      </c>
      <c r="E140" t="s">
        <v>1047</v>
      </c>
      <c r="F140" t="s">
        <v>414</v>
      </c>
      <c r="G140" t="s">
        <v>415</v>
      </c>
      <c r="H140" t="s">
        <v>578</v>
      </c>
      <c r="I140" t="s">
        <v>500</v>
      </c>
      <c r="J140" t="s">
        <v>656</v>
      </c>
      <c r="K140">
        <v>1689024632.5999999</v>
      </c>
      <c r="L140">
        <f t="shared" si="138"/>
        <v>4.9886614036439405E-3</v>
      </c>
      <c r="M140">
        <f t="shared" si="139"/>
        <v>4.9886614036439401</v>
      </c>
      <c r="N140">
        <f t="shared" si="140"/>
        <v>14.743967154621323</v>
      </c>
      <c r="O140">
        <f t="shared" si="141"/>
        <v>101.834</v>
      </c>
      <c r="P140">
        <f t="shared" si="142"/>
        <v>29.156192575304303</v>
      </c>
      <c r="Q140">
        <f t="shared" si="143"/>
        <v>2.8909560954589848</v>
      </c>
      <c r="R140">
        <f t="shared" si="144"/>
        <v>10.0972588332514</v>
      </c>
      <c r="S140">
        <f t="shared" si="145"/>
        <v>0.35068366068378348</v>
      </c>
      <c r="T140">
        <f t="shared" si="146"/>
        <v>2.9152000263166711</v>
      </c>
      <c r="U140">
        <f t="shared" si="147"/>
        <v>0.32881998524583328</v>
      </c>
      <c r="V140">
        <f t="shared" si="148"/>
        <v>0.20736316280887829</v>
      </c>
      <c r="W140">
        <f t="shared" si="149"/>
        <v>289.59621495875956</v>
      </c>
      <c r="X140">
        <f t="shared" si="150"/>
        <v>30.186307882671269</v>
      </c>
      <c r="Y140">
        <f t="shared" si="151"/>
        <v>29.805599999999998</v>
      </c>
      <c r="Z140">
        <f t="shared" si="152"/>
        <v>4.2131076805968695</v>
      </c>
      <c r="AA140">
        <f t="shared" si="153"/>
        <v>65.666662134809386</v>
      </c>
      <c r="AB140">
        <f t="shared" si="154"/>
        <v>2.7617094595606702</v>
      </c>
      <c r="AC140">
        <f t="shared" si="155"/>
        <v>4.2056492134335386</v>
      </c>
      <c r="AD140">
        <f t="shared" si="156"/>
        <v>1.4513982210361993</v>
      </c>
      <c r="AE140">
        <f t="shared" si="157"/>
        <v>-219.99996790069778</v>
      </c>
      <c r="AF140">
        <f t="shared" si="158"/>
        <v>-4.8406593256184447</v>
      </c>
      <c r="AG140">
        <f t="shared" si="159"/>
        <v>-0.36844512387662764</v>
      </c>
      <c r="AH140">
        <f t="shared" si="160"/>
        <v>64.387142608566677</v>
      </c>
      <c r="AI140">
        <v>0</v>
      </c>
      <c r="AJ140">
        <v>0</v>
      </c>
      <c r="AK140">
        <f t="shared" si="161"/>
        <v>1</v>
      </c>
      <c r="AL140">
        <f t="shared" si="162"/>
        <v>0</v>
      </c>
      <c r="AM140">
        <f t="shared" si="163"/>
        <v>51962.397344740806</v>
      </c>
      <c r="AN140" t="s">
        <v>418</v>
      </c>
      <c r="AO140">
        <v>10076.700000000001</v>
      </c>
      <c r="AP140">
        <v>185.01599999999999</v>
      </c>
      <c r="AQ140">
        <v>473.06</v>
      </c>
      <c r="AR140">
        <f t="shared" si="164"/>
        <v>0.60889527755464423</v>
      </c>
      <c r="AS140">
        <v>-1.4827006201179751</v>
      </c>
      <c r="AT140" t="s">
        <v>1048</v>
      </c>
      <c r="AU140">
        <v>8106.94</v>
      </c>
      <c r="AV140">
        <v>646.43592000000001</v>
      </c>
      <c r="AW140">
        <v>759.89890797805856</v>
      </c>
      <c r="AX140">
        <f t="shared" si="165"/>
        <v>0.14931326626058883</v>
      </c>
      <c r="AY140">
        <v>0.5</v>
      </c>
      <c r="AZ140">
        <f t="shared" si="166"/>
        <v>1513.3439994604971</v>
      </c>
      <c r="BA140">
        <f t="shared" si="167"/>
        <v>14.743967154621323</v>
      </c>
      <c r="BB140">
        <f t="shared" si="168"/>
        <v>112.9811677676548</v>
      </c>
      <c r="BC140">
        <f t="shared" si="169"/>
        <v>1.0722392120049414E-2</v>
      </c>
      <c r="BD140">
        <f t="shared" si="170"/>
        <v>-0.37746982521830497</v>
      </c>
      <c r="BE140">
        <f t="shared" si="171"/>
        <v>217.06072502497861</v>
      </c>
      <c r="BF140" t="s">
        <v>1049</v>
      </c>
      <c r="BG140">
        <v>535.74</v>
      </c>
      <c r="BH140">
        <f t="shared" si="172"/>
        <v>535.74</v>
      </c>
      <c r="BI140">
        <f t="shared" si="173"/>
        <v>0.29498516924376339</v>
      </c>
      <c r="BJ140">
        <f t="shared" si="174"/>
        <v>0.50617211246034755</v>
      </c>
      <c r="BK140">
        <f t="shared" si="175"/>
        <v>4.5762429479588151</v>
      </c>
      <c r="BL140">
        <f t="shared" si="176"/>
        <v>0.19736712712006574</v>
      </c>
      <c r="BM140">
        <f t="shared" si="177"/>
        <v>-0.99581629187922183</v>
      </c>
      <c r="BN140">
        <f t="shared" si="178"/>
        <v>0.41949501743267392</v>
      </c>
      <c r="BO140">
        <f t="shared" si="179"/>
        <v>0.58050498256732608</v>
      </c>
      <c r="BP140">
        <v>9301</v>
      </c>
      <c r="BQ140">
        <v>290.00000000000011</v>
      </c>
      <c r="BR140">
        <v>725.04</v>
      </c>
      <c r="BS140">
        <v>265</v>
      </c>
      <c r="BT140">
        <v>8106.94</v>
      </c>
      <c r="BU140">
        <v>726.36</v>
      </c>
      <c r="BV140">
        <v>-1.32</v>
      </c>
      <c r="BW140">
        <v>300.00000000000011</v>
      </c>
      <c r="BX140">
        <v>19.2</v>
      </c>
      <c r="BY140">
        <v>759.89890797805856</v>
      </c>
      <c r="BZ140">
        <v>2.796965349342722</v>
      </c>
      <c r="CA140">
        <v>-27.186492689044361</v>
      </c>
      <c r="CB140">
        <v>2.0833427674082361</v>
      </c>
      <c r="CC140">
        <v>0.85879149409153255</v>
      </c>
      <c r="CD140">
        <v>-4.17537797552837E-3</v>
      </c>
      <c r="CE140">
        <v>289.99999999999989</v>
      </c>
      <c r="CF140">
        <v>725.5</v>
      </c>
      <c r="CG140">
        <v>645</v>
      </c>
      <c r="CH140">
        <v>8099.34</v>
      </c>
      <c r="CI140">
        <v>726.33</v>
      </c>
      <c r="CJ140">
        <v>-0.83</v>
      </c>
      <c r="CX140">
        <f t="shared" si="180"/>
        <v>1800.19</v>
      </c>
      <c r="CY140">
        <f t="shared" si="181"/>
        <v>1513.3439994604971</v>
      </c>
      <c r="CZ140">
        <f t="shared" si="182"/>
        <v>0.84065793025208291</v>
      </c>
      <c r="DA140">
        <f t="shared" si="183"/>
        <v>0.16086980538652007</v>
      </c>
      <c r="DB140">
        <v>6</v>
      </c>
      <c r="DC140">
        <v>0.5</v>
      </c>
      <c r="DD140" t="s">
        <v>421</v>
      </c>
      <c r="DE140">
        <v>2</v>
      </c>
      <c r="DF140">
        <v>1689024632.5999999</v>
      </c>
      <c r="DG140">
        <v>101.834</v>
      </c>
      <c r="DH140">
        <v>120.134</v>
      </c>
      <c r="DI140">
        <v>27.852699999999999</v>
      </c>
      <c r="DJ140">
        <v>22.033799999999999</v>
      </c>
      <c r="DK140">
        <v>102.931</v>
      </c>
      <c r="DL140">
        <v>27.828399999999998</v>
      </c>
      <c r="DM140">
        <v>500.065</v>
      </c>
      <c r="DN140">
        <v>99.054500000000004</v>
      </c>
      <c r="DO140">
        <v>9.9602099999999999E-2</v>
      </c>
      <c r="DP140">
        <v>29.774799999999999</v>
      </c>
      <c r="DQ140">
        <v>29.805599999999998</v>
      </c>
      <c r="DR140">
        <v>999.9</v>
      </c>
      <c r="DS140">
        <v>0</v>
      </c>
      <c r="DT140">
        <v>0</v>
      </c>
      <c r="DU140">
        <v>10013.1</v>
      </c>
      <c r="DV140">
        <v>0</v>
      </c>
      <c r="DW140">
        <v>488.85</v>
      </c>
      <c r="DX140">
        <v>-18.3</v>
      </c>
      <c r="DY140">
        <v>104.752</v>
      </c>
      <c r="DZ140">
        <v>122.84099999999999</v>
      </c>
      <c r="EA140">
        <v>5.8188199999999997</v>
      </c>
      <c r="EB140">
        <v>120.134</v>
      </c>
      <c r="EC140">
        <v>22.033799999999999</v>
      </c>
      <c r="ED140">
        <v>2.7589299999999999</v>
      </c>
      <c r="EE140">
        <v>2.18255</v>
      </c>
      <c r="EF140">
        <v>22.6404</v>
      </c>
      <c r="EG140">
        <v>18.834800000000001</v>
      </c>
      <c r="EH140">
        <v>1800.19</v>
      </c>
      <c r="EI140">
        <v>0.97800699999999996</v>
      </c>
      <c r="EJ140">
        <v>2.19928E-2</v>
      </c>
      <c r="EK140">
        <v>0</v>
      </c>
      <c r="EL140">
        <v>646.43600000000004</v>
      </c>
      <c r="EM140">
        <v>5.00082</v>
      </c>
      <c r="EN140">
        <v>13512.2</v>
      </c>
      <c r="EO140">
        <v>14131.3</v>
      </c>
      <c r="EP140">
        <v>47.311999999999998</v>
      </c>
      <c r="EQ140">
        <v>48.811999999999998</v>
      </c>
      <c r="ER140">
        <v>48.25</v>
      </c>
      <c r="ES140">
        <v>48.061999999999998</v>
      </c>
      <c r="ET140">
        <v>48.5</v>
      </c>
      <c r="EU140">
        <v>1755.71</v>
      </c>
      <c r="EV140">
        <v>39.479999999999997</v>
      </c>
      <c r="EW140">
        <v>0</v>
      </c>
      <c r="EX140">
        <v>126.7999999523163</v>
      </c>
      <c r="EY140">
        <v>0</v>
      </c>
      <c r="EZ140">
        <v>646.43592000000001</v>
      </c>
      <c r="FA140">
        <v>-1.274384632116986</v>
      </c>
      <c r="FB140">
        <v>233.7307693888728</v>
      </c>
      <c r="FC140">
        <v>13471.48</v>
      </c>
      <c r="FD140">
        <v>15</v>
      </c>
      <c r="FE140">
        <v>1689024599.0999999</v>
      </c>
      <c r="FF140" t="s">
        <v>1050</v>
      </c>
      <c r="FG140">
        <v>1689024590.5999999</v>
      </c>
      <c r="FH140">
        <v>1689024599.0999999</v>
      </c>
      <c r="FI140">
        <v>142</v>
      </c>
      <c r="FJ140">
        <v>-0.06</v>
      </c>
      <c r="FK140">
        <v>-4.0000000000000001E-3</v>
      </c>
      <c r="FL140">
        <v>-1.117</v>
      </c>
      <c r="FM140">
        <v>2.4E-2</v>
      </c>
      <c r="FN140">
        <v>120</v>
      </c>
      <c r="FO140">
        <v>22</v>
      </c>
      <c r="FP140">
        <v>0.06</v>
      </c>
      <c r="FQ140">
        <v>0.02</v>
      </c>
      <c r="FR140">
        <v>14.83658050512614</v>
      </c>
      <c r="FS140">
        <v>-0.57584554092936791</v>
      </c>
      <c r="FT140">
        <v>6.185803428975483E-2</v>
      </c>
      <c r="FU140">
        <v>1</v>
      </c>
      <c r="FV140">
        <v>0.34555557223109312</v>
      </c>
      <c r="FW140">
        <v>4.8422383766931712E-2</v>
      </c>
      <c r="FX140">
        <v>3.6975095862397619E-3</v>
      </c>
      <c r="FY140">
        <v>1</v>
      </c>
      <c r="FZ140">
        <v>2</v>
      </c>
      <c r="GA140">
        <v>2</v>
      </c>
      <c r="GB140" t="s">
        <v>423</v>
      </c>
      <c r="GC140">
        <v>2.94381</v>
      </c>
      <c r="GD140">
        <v>2.70838</v>
      </c>
      <c r="GE140">
        <v>2.65706E-2</v>
      </c>
      <c r="GF140">
        <v>3.0886E-2</v>
      </c>
      <c r="GG140">
        <v>0.12504100000000001</v>
      </c>
      <c r="GH140">
        <v>0.106214</v>
      </c>
      <c r="GI140">
        <v>31926</v>
      </c>
      <c r="GJ140">
        <v>31024.799999999999</v>
      </c>
      <c r="GK140">
        <v>33801.599999999999</v>
      </c>
      <c r="GL140">
        <v>32062.3</v>
      </c>
      <c r="GM140">
        <v>42706.6</v>
      </c>
      <c r="GN140">
        <v>40780.400000000001</v>
      </c>
      <c r="GO140">
        <v>48963</v>
      </c>
      <c r="GP140">
        <v>45391.8</v>
      </c>
      <c r="GQ140">
        <v>1.96315</v>
      </c>
      <c r="GR140">
        <v>1.7691699999999999</v>
      </c>
      <c r="GS140">
        <v>2.41026E-3</v>
      </c>
      <c r="GT140">
        <v>0</v>
      </c>
      <c r="GU140">
        <v>29.766300000000001</v>
      </c>
      <c r="GV140">
        <v>999.9</v>
      </c>
      <c r="GW140">
        <v>31.7</v>
      </c>
      <c r="GX140">
        <v>43</v>
      </c>
      <c r="GY140">
        <v>27.804099999999998</v>
      </c>
      <c r="GZ140">
        <v>60.064799999999998</v>
      </c>
      <c r="HA140">
        <v>25.605</v>
      </c>
      <c r="HB140">
        <v>1</v>
      </c>
      <c r="HC140">
        <v>0.540493</v>
      </c>
      <c r="HD140">
        <v>2.3883999999999999</v>
      </c>
      <c r="HE140">
        <v>20.205500000000001</v>
      </c>
      <c r="HF140">
        <v>5.2668600000000003</v>
      </c>
      <c r="HG140">
        <v>12.039899999999999</v>
      </c>
      <c r="HH140">
        <v>4.9650499999999997</v>
      </c>
      <c r="HI140">
        <v>3.3002500000000001</v>
      </c>
      <c r="HJ140">
        <v>9999</v>
      </c>
      <c r="HK140">
        <v>9999</v>
      </c>
      <c r="HL140">
        <v>9999</v>
      </c>
      <c r="HM140">
        <v>999.9</v>
      </c>
      <c r="HN140">
        <v>1.8684400000000001</v>
      </c>
      <c r="HO140">
        <v>1.8721000000000001</v>
      </c>
      <c r="HP140">
        <v>1.87191</v>
      </c>
      <c r="HQ140">
        <v>1.8713599999999999</v>
      </c>
      <c r="HR140">
        <v>1.8646199999999999</v>
      </c>
      <c r="HS140">
        <v>1.8658399999999999</v>
      </c>
      <c r="HT140">
        <v>1.8678300000000001</v>
      </c>
      <c r="HU140">
        <v>1.87239</v>
      </c>
      <c r="HV140">
        <v>0</v>
      </c>
      <c r="HW140">
        <v>0</v>
      </c>
      <c r="HX140">
        <v>0</v>
      </c>
      <c r="HY140">
        <v>0</v>
      </c>
      <c r="HZ140" t="s">
        <v>424</v>
      </c>
      <c r="IA140" t="s">
        <v>425</v>
      </c>
      <c r="IB140" t="s">
        <v>426</v>
      </c>
      <c r="IC140" t="s">
        <v>426</v>
      </c>
      <c r="ID140" t="s">
        <v>426</v>
      </c>
      <c r="IE140" t="s">
        <v>426</v>
      </c>
      <c r="IF140">
        <v>0</v>
      </c>
      <c r="IG140">
        <v>100</v>
      </c>
      <c r="IH140">
        <v>100</v>
      </c>
      <c r="II140">
        <v>-1.097</v>
      </c>
      <c r="IJ140">
        <v>2.4299999999999999E-2</v>
      </c>
      <c r="IK140">
        <v>-0.97927984659986178</v>
      </c>
      <c r="IL140">
        <v>-1.171017271736434E-3</v>
      </c>
      <c r="IM140">
        <v>2.801297040296544E-7</v>
      </c>
      <c r="IN140">
        <v>-3.6238253961199429E-11</v>
      </c>
      <c r="IO140">
        <v>2.4295238095238151E-2</v>
      </c>
      <c r="IP140">
        <v>0</v>
      </c>
      <c r="IQ140">
        <v>0</v>
      </c>
      <c r="IR140">
        <v>0</v>
      </c>
      <c r="IS140">
        <v>0</v>
      </c>
      <c r="IT140">
        <v>2161</v>
      </c>
      <c r="IU140">
        <v>1</v>
      </c>
      <c r="IV140">
        <v>19</v>
      </c>
      <c r="IW140">
        <v>0.7</v>
      </c>
      <c r="IX140">
        <v>0.6</v>
      </c>
      <c r="IY140">
        <v>0.41503899999999999</v>
      </c>
      <c r="IZ140">
        <v>2.5329600000000001</v>
      </c>
      <c r="JA140">
        <v>1.4440900000000001</v>
      </c>
      <c r="JB140">
        <v>2.2790499999999998</v>
      </c>
      <c r="JC140">
        <v>1.54419</v>
      </c>
      <c r="JD140">
        <v>2.3803700000000001</v>
      </c>
      <c r="JE140">
        <v>46.0077</v>
      </c>
      <c r="JF140">
        <v>24.1313</v>
      </c>
      <c r="JG140">
        <v>18</v>
      </c>
      <c r="JH140">
        <v>508.875</v>
      </c>
      <c r="JI140">
        <v>421.72899999999998</v>
      </c>
      <c r="JJ140">
        <v>25.795000000000002</v>
      </c>
      <c r="JK140">
        <v>33.982199999999999</v>
      </c>
      <c r="JL140">
        <v>29.999099999999999</v>
      </c>
      <c r="JM140">
        <v>33.859499999999997</v>
      </c>
      <c r="JN140">
        <v>33.809899999999999</v>
      </c>
      <c r="JO140">
        <v>8.4344099999999997</v>
      </c>
      <c r="JP140">
        <v>30.752800000000001</v>
      </c>
      <c r="JQ140">
        <v>5.6041600000000003</v>
      </c>
      <c r="JR140">
        <v>25.917000000000002</v>
      </c>
      <c r="JS140">
        <v>120</v>
      </c>
      <c r="JT140">
        <v>22.022300000000001</v>
      </c>
      <c r="JU140">
        <v>99.227199999999996</v>
      </c>
      <c r="JV140">
        <v>98.849500000000006</v>
      </c>
    </row>
    <row r="141" spans="1:282" x14ac:dyDescent="0.25">
      <c r="A141">
        <v>125</v>
      </c>
      <c r="B141">
        <v>1689024743.5999999</v>
      </c>
      <c r="C141">
        <v>25566.599999904629</v>
      </c>
      <c r="D141" t="s">
        <v>1051</v>
      </c>
      <c r="E141" t="s">
        <v>1052</v>
      </c>
      <c r="F141" t="s">
        <v>414</v>
      </c>
      <c r="G141" t="s">
        <v>415</v>
      </c>
      <c r="H141" t="s">
        <v>578</v>
      </c>
      <c r="I141" t="s">
        <v>500</v>
      </c>
      <c r="J141" t="s">
        <v>656</v>
      </c>
      <c r="K141">
        <v>1689024743.5999999</v>
      </c>
      <c r="L141">
        <f t="shared" si="138"/>
        <v>5.0822816198492181E-3</v>
      </c>
      <c r="M141">
        <f t="shared" si="139"/>
        <v>5.0822816198492182</v>
      </c>
      <c r="N141">
        <f t="shared" si="140"/>
        <v>9.1509450702639068</v>
      </c>
      <c r="O141">
        <f t="shared" si="141"/>
        <v>58.950400000000002</v>
      </c>
      <c r="P141">
        <f t="shared" si="142"/>
        <v>14.028111251148584</v>
      </c>
      <c r="Q141">
        <f t="shared" si="143"/>
        <v>1.3909034330198773</v>
      </c>
      <c r="R141">
        <f t="shared" si="144"/>
        <v>5.8450002477120009</v>
      </c>
      <c r="S141">
        <f t="shared" si="145"/>
        <v>0.35154942791523608</v>
      </c>
      <c r="T141">
        <f t="shared" si="146"/>
        <v>2.9117550286425291</v>
      </c>
      <c r="U141">
        <f t="shared" si="147"/>
        <v>0.32955704583084749</v>
      </c>
      <c r="V141">
        <f t="shared" si="148"/>
        <v>0.20783432909327124</v>
      </c>
      <c r="W141">
        <f t="shared" si="149"/>
        <v>289.58721795846117</v>
      </c>
      <c r="X141">
        <f t="shared" si="150"/>
        <v>30.452589352871104</v>
      </c>
      <c r="Y141">
        <f t="shared" si="151"/>
        <v>30.039000000000001</v>
      </c>
      <c r="Z141">
        <f t="shared" si="152"/>
        <v>4.2700030467117793</v>
      </c>
      <c r="AA141">
        <f t="shared" si="153"/>
        <v>65.36801013269249</v>
      </c>
      <c r="AB141">
        <f t="shared" si="154"/>
        <v>2.7954180884924997</v>
      </c>
      <c r="AC141">
        <f t="shared" si="155"/>
        <v>4.27643136576744</v>
      </c>
      <c r="AD141">
        <f t="shared" si="156"/>
        <v>1.4745849582192796</v>
      </c>
      <c r="AE141">
        <f t="shared" si="157"/>
        <v>-224.12861943535052</v>
      </c>
      <c r="AF141">
        <f t="shared" si="158"/>
        <v>4.1128376721293076</v>
      </c>
      <c r="AG141">
        <f t="shared" si="159"/>
        <v>0.31423158549397512</v>
      </c>
      <c r="AH141">
        <f t="shared" si="160"/>
        <v>69.885667780733939</v>
      </c>
      <c r="AI141">
        <v>0</v>
      </c>
      <c r="AJ141">
        <v>0</v>
      </c>
      <c r="AK141">
        <f t="shared" si="161"/>
        <v>1</v>
      </c>
      <c r="AL141">
        <f t="shared" si="162"/>
        <v>0</v>
      </c>
      <c r="AM141">
        <f t="shared" si="163"/>
        <v>51814.560893317328</v>
      </c>
      <c r="AN141" t="s">
        <v>418</v>
      </c>
      <c r="AO141">
        <v>10076.700000000001</v>
      </c>
      <c r="AP141">
        <v>185.01599999999999</v>
      </c>
      <c r="AQ141">
        <v>473.06</v>
      </c>
      <c r="AR141">
        <f t="shared" si="164"/>
        <v>0.60889527755464423</v>
      </c>
      <c r="AS141">
        <v>-1.4827006201179751</v>
      </c>
      <c r="AT141" t="s">
        <v>1053</v>
      </c>
      <c r="AU141">
        <v>8113.73</v>
      </c>
      <c r="AV141">
        <v>658.91476</v>
      </c>
      <c r="AW141">
        <v>740.27611151758492</v>
      </c>
      <c r="AX141">
        <f t="shared" si="165"/>
        <v>0.1099067635058385</v>
      </c>
      <c r="AY141">
        <v>0.5</v>
      </c>
      <c r="AZ141">
        <f t="shared" si="166"/>
        <v>1513.2938994603426</v>
      </c>
      <c r="BA141">
        <f t="shared" si="167"/>
        <v>9.1509450702639068</v>
      </c>
      <c r="BB141">
        <f t="shared" si="168"/>
        <v>83.160617361408015</v>
      </c>
      <c r="BC141">
        <f t="shared" si="169"/>
        <v>7.026821223672387E-3</v>
      </c>
      <c r="BD141">
        <f t="shared" si="170"/>
        <v>-0.3609681676338104</v>
      </c>
      <c r="BE141">
        <f t="shared" si="171"/>
        <v>215.42956005015733</v>
      </c>
      <c r="BF141" t="s">
        <v>1054</v>
      </c>
      <c r="BG141">
        <v>553.66999999999996</v>
      </c>
      <c r="BH141">
        <f t="shared" si="172"/>
        <v>553.66999999999996</v>
      </c>
      <c r="BI141">
        <f t="shared" si="173"/>
        <v>0.25207636531055644</v>
      </c>
      <c r="BJ141">
        <f t="shared" si="174"/>
        <v>0.43600582454620074</v>
      </c>
      <c r="BK141">
        <f t="shared" si="175"/>
        <v>3.3149250901573635</v>
      </c>
      <c r="BL141">
        <f t="shared" si="176"/>
        <v>0.14652835640438081</v>
      </c>
      <c r="BM141">
        <f t="shared" si="177"/>
        <v>-0.92769198982650203</v>
      </c>
      <c r="BN141">
        <f t="shared" si="178"/>
        <v>0.36636505892885896</v>
      </c>
      <c r="BO141">
        <f t="shared" si="179"/>
        <v>0.63363494107114104</v>
      </c>
      <c r="BP141">
        <v>9303</v>
      </c>
      <c r="BQ141">
        <v>290.00000000000011</v>
      </c>
      <c r="BR141">
        <v>715.66</v>
      </c>
      <c r="BS141">
        <v>165</v>
      </c>
      <c r="BT141">
        <v>8113.73</v>
      </c>
      <c r="BU141">
        <v>716.17</v>
      </c>
      <c r="BV141">
        <v>-0.51</v>
      </c>
      <c r="BW141">
        <v>300.00000000000011</v>
      </c>
      <c r="BX141">
        <v>19.2</v>
      </c>
      <c r="BY141">
        <v>740.27611151758492</v>
      </c>
      <c r="BZ141">
        <v>2.4647663386512368</v>
      </c>
      <c r="CA141">
        <v>-19.555308041927571</v>
      </c>
      <c r="CB141">
        <v>1.836154651714365</v>
      </c>
      <c r="CC141">
        <v>0.80201594118503428</v>
      </c>
      <c r="CD141">
        <v>-4.1756542825361559E-3</v>
      </c>
      <c r="CE141">
        <v>289.99999999999989</v>
      </c>
      <c r="CF141">
        <v>715.02</v>
      </c>
      <c r="CG141">
        <v>625</v>
      </c>
      <c r="CH141">
        <v>8101.05</v>
      </c>
      <c r="CI141">
        <v>716.14</v>
      </c>
      <c r="CJ141">
        <v>-1.1200000000000001</v>
      </c>
      <c r="CX141">
        <f t="shared" si="180"/>
        <v>1800.13</v>
      </c>
      <c r="CY141">
        <f t="shared" si="181"/>
        <v>1513.2938994603426</v>
      </c>
      <c r="CZ141">
        <f t="shared" si="182"/>
        <v>0.84065811883605213</v>
      </c>
      <c r="DA141">
        <f t="shared" si="183"/>
        <v>0.16087016935358064</v>
      </c>
      <c r="DB141">
        <v>6</v>
      </c>
      <c r="DC141">
        <v>0.5</v>
      </c>
      <c r="DD141" t="s">
        <v>421</v>
      </c>
      <c r="DE141">
        <v>2</v>
      </c>
      <c r="DF141">
        <v>1689024743.5999999</v>
      </c>
      <c r="DG141">
        <v>58.950400000000002</v>
      </c>
      <c r="DH141">
        <v>70.288200000000003</v>
      </c>
      <c r="DI141">
        <v>28.1935</v>
      </c>
      <c r="DJ141">
        <v>22.2682</v>
      </c>
      <c r="DK141">
        <v>59.970599999999997</v>
      </c>
      <c r="DL141">
        <v>28.174900000000001</v>
      </c>
      <c r="DM141">
        <v>500.12599999999998</v>
      </c>
      <c r="DN141">
        <v>99.051000000000002</v>
      </c>
      <c r="DO141">
        <v>0.10015499999999999</v>
      </c>
      <c r="DP141">
        <v>30.065200000000001</v>
      </c>
      <c r="DQ141">
        <v>30.039000000000001</v>
      </c>
      <c r="DR141">
        <v>999.9</v>
      </c>
      <c r="DS141">
        <v>0</v>
      </c>
      <c r="DT141">
        <v>0</v>
      </c>
      <c r="DU141">
        <v>9993.75</v>
      </c>
      <c r="DV141">
        <v>0</v>
      </c>
      <c r="DW141">
        <v>1419.03</v>
      </c>
      <c r="DX141">
        <v>-11.3377</v>
      </c>
      <c r="DY141">
        <v>60.660699999999999</v>
      </c>
      <c r="DZ141">
        <v>71.888999999999996</v>
      </c>
      <c r="EA141">
        <v>5.9253499999999999</v>
      </c>
      <c r="EB141">
        <v>70.288200000000003</v>
      </c>
      <c r="EC141">
        <v>22.2682</v>
      </c>
      <c r="ED141">
        <v>2.7926000000000002</v>
      </c>
      <c r="EE141">
        <v>2.2056800000000001</v>
      </c>
      <c r="EF141">
        <v>22.840399999999999</v>
      </c>
      <c r="EG141">
        <v>19.003699999999998</v>
      </c>
      <c r="EH141">
        <v>1800.13</v>
      </c>
      <c r="EI141">
        <v>0.97799999999999998</v>
      </c>
      <c r="EJ141">
        <v>2.2000100000000002E-2</v>
      </c>
      <c r="EK141">
        <v>0</v>
      </c>
      <c r="EL141">
        <v>658.33199999999999</v>
      </c>
      <c r="EM141">
        <v>5.00082</v>
      </c>
      <c r="EN141">
        <v>16086.7</v>
      </c>
      <c r="EO141">
        <v>14130.8</v>
      </c>
      <c r="EP141">
        <v>47.186999999999998</v>
      </c>
      <c r="EQ141">
        <v>48.686999999999998</v>
      </c>
      <c r="ER141">
        <v>48.125</v>
      </c>
      <c r="ES141">
        <v>47.875</v>
      </c>
      <c r="ET141">
        <v>48.375</v>
      </c>
      <c r="EU141">
        <v>1755.64</v>
      </c>
      <c r="EV141">
        <v>39.49</v>
      </c>
      <c r="EW141">
        <v>0</v>
      </c>
      <c r="EX141">
        <v>109.2000000476837</v>
      </c>
      <c r="EY141">
        <v>0</v>
      </c>
      <c r="EZ141">
        <v>658.91476</v>
      </c>
      <c r="FA141">
        <v>-1.611230767438794</v>
      </c>
      <c r="FB141">
        <v>-131.46153654122261</v>
      </c>
      <c r="FC141">
        <v>16109.124</v>
      </c>
      <c r="FD141">
        <v>15</v>
      </c>
      <c r="FE141">
        <v>1689024708.5999999</v>
      </c>
      <c r="FF141" t="s">
        <v>1055</v>
      </c>
      <c r="FG141">
        <v>1689024708.5999999</v>
      </c>
      <c r="FH141">
        <v>1689024704.0999999</v>
      </c>
      <c r="FI141">
        <v>143</v>
      </c>
      <c r="FJ141">
        <v>2.8000000000000001E-2</v>
      </c>
      <c r="FK141">
        <v>-6.0000000000000001E-3</v>
      </c>
      <c r="FL141">
        <v>-1.0329999999999999</v>
      </c>
      <c r="FM141">
        <v>1.9E-2</v>
      </c>
      <c r="FN141">
        <v>70</v>
      </c>
      <c r="FO141">
        <v>22</v>
      </c>
      <c r="FP141">
        <v>0.19</v>
      </c>
      <c r="FQ141">
        <v>0.02</v>
      </c>
      <c r="FR141">
        <v>9.1653601506491444</v>
      </c>
      <c r="FS141">
        <v>-0.2410528283218015</v>
      </c>
      <c r="FT141">
        <v>2.743172304918454E-2</v>
      </c>
      <c r="FU141">
        <v>1</v>
      </c>
      <c r="FV141">
        <v>0.34938449289395318</v>
      </c>
      <c r="FW141">
        <v>3.6221815758121327E-2</v>
      </c>
      <c r="FX141">
        <v>2.9798764054421302E-3</v>
      </c>
      <c r="FY141">
        <v>1</v>
      </c>
      <c r="FZ141">
        <v>2</v>
      </c>
      <c r="GA141">
        <v>2</v>
      </c>
      <c r="GB141" t="s">
        <v>423</v>
      </c>
      <c r="GC141">
        <v>2.9440400000000002</v>
      </c>
      <c r="GD141">
        <v>2.7087599999999998</v>
      </c>
      <c r="GE141">
        <v>1.5692999999999999E-2</v>
      </c>
      <c r="GF141">
        <v>1.84099E-2</v>
      </c>
      <c r="GG141">
        <v>0.12614</v>
      </c>
      <c r="GH141">
        <v>0.107026</v>
      </c>
      <c r="GI141">
        <v>32291.7</v>
      </c>
      <c r="GJ141">
        <v>31432.1</v>
      </c>
      <c r="GK141">
        <v>33810.9</v>
      </c>
      <c r="GL141">
        <v>32070.5</v>
      </c>
      <c r="GM141">
        <v>42662.400000000001</v>
      </c>
      <c r="GN141">
        <v>40752.699999999997</v>
      </c>
      <c r="GO141">
        <v>48974.7</v>
      </c>
      <c r="GP141">
        <v>45402.9</v>
      </c>
      <c r="GQ141">
        <v>1.9648000000000001</v>
      </c>
      <c r="GR141">
        <v>1.77105</v>
      </c>
      <c r="GS141">
        <v>2.2612500000000001E-2</v>
      </c>
      <c r="GT141">
        <v>0</v>
      </c>
      <c r="GU141">
        <v>29.670999999999999</v>
      </c>
      <c r="GV141">
        <v>999.9</v>
      </c>
      <c r="GW141">
        <v>31.6</v>
      </c>
      <c r="GX141">
        <v>42.9</v>
      </c>
      <c r="GY141">
        <v>27.572800000000001</v>
      </c>
      <c r="GZ141">
        <v>60.424900000000001</v>
      </c>
      <c r="HA141">
        <v>25.048100000000002</v>
      </c>
      <c r="HB141">
        <v>1</v>
      </c>
      <c r="HC141">
        <v>0.53304600000000002</v>
      </c>
      <c r="HD141">
        <v>3.2857799999999999</v>
      </c>
      <c r="HE141">
        <v>20.1905</v>
      </c>
      <c r="HF141">
        <v>5.2626600000000003</v>
      </c>
      <c r="HG141">
        <v>12.039899999999999</v>
      </c>
      <c r="HH141">
        <v>4.9650499999999997</v>
      </c>
      <c r="HI141">
        <v>3.30023</v>
      </c>
      <c r="HJ141">
        <v>9999</v>
      </c>
      <c r="HK141">
        <v>9999</v>
      </c>
      <c r="HL141">
        <v>9999</v>
      </c>
      <c r="HM141">
        <v>999.9</v>
      </c>
      <c r="HN141">
        <v>1.8684400000000001</v>
      </c>
      <c r="HO141">
        <v>1.8721000000000001</v>
      </c>
      <c r="HP141">
        <v>1.8719399999999999</v>
      </c>
      <c r="HQ141">
        <v>1.87134</v>
      </c>
      <c r="HR141">
        <v>1.8646400000000001</v>
      </c>
      <c r="HS141">
        <v>1.8658399999999999</v>
      </c>
      <c r="HT141">
        <v>1.8678300000000001</v>
      </c>
      <c r="HU141">
        <v>1.8724099999999999</v>
      </c>
      <c r="HV141">
        <v>0</v>
      </c>
      <c r="HW141">
        <v>0</v>
      </c>
      <c r="HX141">
        <v>0</v>
      </c>
      <c r="HY141">
        <v>0</v>
      </c>
      <c r="HZ141" t="s">
        <v>424</v>
      </c>
      <c r="IA141" t="s">
        <v>425</v>
      </c>
      <c r="IB141" t="s">
        <v>426</v>
      </c>
      <c r="IC141" t="s">
        <v>426</v>
      </c>
      <c r="ID141" t="s">
        <v>426</v>
      </c>
      <c r="IE141" t="s">
        <v>426</v>
      </c>
      <c r="IF141">
        <v>0</v>
      </c>
      <c r="IG141">
        <v>100</v>
      </c>
      <c r="IH141">
        <v>100</v>
      </c>
      <c r="II141">
        <v>-1.02</v>
      </c>
      <c r="IJ141">
        <v>1.8599999999999998E-2</v>
      </c>
      <c r="IK141">
        <v>-0.95097134175745768</v>
      </c>
      <c r="IL141">
        <v>-1.171017271736434E-3</v>
      </c>
      <c r="IM141">
        <v>2.801297040296544E-7</v>
      </c>
      <c r="IN141">
        <v>-3.6238253961199429E-11</v>
      </c>
      <c r="IO141">
        <v>1.861499999999694E-2</v>
      </c>
      <c r="IP141">
        <v>0</v>
      </c>
      <c r="IQ141">
        <v>0</v>
      </c>
      <c r="IR141">
        <v>0</v>
      </c>
      <c r="IS141">
        <v>0</v>
      </c>
      <c r="IT141">
        <v>2161</v>
      </c>
      <c r="IU141">
        <v>1</v>
      </c>
      <c r="IV141">
        <v>19</v>
      </c>
      <c r="IW141">
        <v>0.6</v>
      </c>
      <c r="IX141">
        <v>0.7</v>
      </c>
      <c r="IY141">
        <v>0.301514</v>
      </c>
      <c r="IZ141">
        <v>2.5671400000000002</v>
      </c>
      <c r="JA141">
        <v>1.4440900000000001</v>
      </c>
      <c r="JB141">
        <v>2.2790499999999998</v>
      </c>
      <c r="JC141">
        <v>1.54419</v>
      </c>
      <c r="JD141">
        <v>2.2888199999999999</v>
      </c>
      <c r="JE141">
        <v>45.863199999999999</v>
      </c>
      <c r="JF141">
        <v>24.105</v>
      </c>
      <c r="JG141">
        <v>18</v>
      </c>
      <c r="JH141">
        <v>509.17399999999998</v>
      </c>
      <c r="JI141">
        <v>422.23200000000003</v>
      </c>
      <c r="JJ141">
        <v>25.912700000000001</v>
      </c>
      <c r="JK141">
        <v>33.855899999999998</v>
      </c>
      <c r="JL141">
        <v>29.9999</v>
      </c>
      <c r="JM141">
        <v>33.758800000000001</v>
      </c>
      <c r="JN141">
        <v>33.712299999999999</v>
      </c>
      <c r="JO141">
        <v>6.1406499999999999</v>
      </c>
      <c r="JP141">
        <v>29.595099999999999</v>
      </c>
      <c r="JQ141">
        <v>5.4054700000000002</v>
      </c>
      <c r="JR141">
        <v>25.905200000000001</v>
      </c>
      <c r="JS141">
        <v>70</v>
      </c>
      <c r="JT141">
        <v>22.155100000000001</v>
      </c>
      <c r="JU141">
        <v>99.252300000000005</v>
      </c>
      <c r="JV141">
        <v>98.874099999999999</v>
      </c>
    </row>
    <row r="142" spans="1:282" x14ac:dyDescent="0.25">
      <c r="A142">
        <v>126</v>
      </c>
      <c r="B142">
        <v>1689024868.0999999</v>
      </c>
      <c r="C142">
        <v>25691.099999904629</v>
      </c>
      <c r="D142" t="s">
        <v>1056</v>
      </c>
      <c r="E142" t="s">
        <v>1057</v>
      </c>
      <c r="F142" t="s">
        <v>414</v>
      </c>
      <c r="G142" t="s">
        <v>415</v>
      </c>
      <c r="H142" t="s">
        <v>578</v>
      </c>
      <c r="I142" t="s">
        <v>500</v>
      </c>
      <c r="J142" t="s">
        <v>656</v>
      </c>
      <c r="K142">
        <v>1689024868.0999999</v>
      </c>
      <c r="L142">
        <f t="shared" si="138"/>
        <v>5.6793986937467445E-3</v>
      </c>
      <c r="M142">
        <f t="shared" si="139"/>
        <v>5.6793986937467444</v>
      </c>
      <c r="N142">
        <f t="shared" si="140"/>
        <v>4.3225239023977347</v>
      </c>
      <c r="O142">
        <f t="shared" si="141"/>
        <v>24.761199999999999</v>
      </c>
      <c r="P142">
        <f t="shared" si="142"/>
        <v>6.0560476242386665</v>
      </c>
      <c r="Q142">
        <f t="shared" si="143"/>
        <v>0.60044365329334759</v>
      </c>
      <c r="R142">
        <f t="shared" si="144"/>
        <v>2.4550179110912</v>
      </c>
      <c r="S142">
        <f t="shared" si="145"/>
        <v>0.40185666377331491</v>
      </c>
      <c r="T142">
        <f t="shared" si="146"/>
        <v>2.9129980826076136</v>
      </c>
      <c r="U142">
        <f t="shared" si="147"/>
        <v>0.37340410386457296</v>
      </c>
      <c r="V142">
        <f t="shared" si="148"/>
        <v>0.23576582172425226</v>
      </c>
      <c r="W142">
        <f t="shared" si="149"/>
        <v>289.57502895815099</v>
      </c>
      <c r="X142">
        <f t="shared" si="150"/>
        <v>30.323980953517037</v>
      </c>
      <c r="Y142">
        <f t="shared" si="151"/>
        <v>29.992599999999999</v>
      </c>
      <c r="Z142">
        <f t="shared" si="152"/>
        <v>4.2586392038954992</v>
      </c>
      <c r="AA142">
        <f t="shared" si="153"/>
        <v>65.473465965364198</v>
      </c>
      <c r="AB142">
        <f t="shared" si="154"/>
        <v>2.8043353554944006</v>
      </c>
      <c r="AC142">
        <f t="shared" si="155"/>
        <v>4.2831631320356687</v>
      </c>
      <c r="AD142">
        <f t="shared" si="156"/>
        <v>1.4543038484010986</v>
      </c>
      <c r="AE142">
        <f t="shared" si="157"/>
        <v>-250.46148239423144</v>
      </c>
      <c r="AF142">
        <f t="shared" si="158"/>
        <v>15.70455526295439</v>
      </c>
      <c r="AG142">
        <f t="shared" si="159"/>
        <v>1.1992444390517303</v>
      </c>
      <c r="AH142">
        <f t="shared" si="160"/>
        <v>56.017346265925653</v>
      </c>
      <c r="AI142">
        <v>0</v>
      </c>
      <c r="AJ142">
        <v>0</v>
      </c>
      <c r="AK142">
        <f t="shared" si="161"/>
        <v>1</v>
      </c>
      <c r="AL142">
        <f t="shared" si="162"/>
        <v>0</v>
      </c>
      <c r="AM142">
        <f t="shared" si="163"/>
        <v>51845.142775685788</v>
      </c>
      <c r="AN142" t="s">
        <v>418</v>
      </c>
      <c r="AO142">
        <v>10076.700000000001</v>
      </c>
      <c r="AP142">
        <v>185.01599999999999</v>
      </c>
      <c r="AQ142">
        <v>473.06</v>
      </c>
      <c r="AR142">
        <f t="shared" si="164"/>
        <v>0.60889527755464423</v>
      </c>
      <c r="AS142">
        <v>-1.4827006201179751</v>
      </c>
      <c r="AT142" t="s">
        <v>1058</v>
      </c>
      <c r="AU142">
        <v>8111.49</v>
      </c>
      <c r="AV142">
        <v>671.99226923076935</v>
      </c>
      <c r="AW142">
        <v>738.39176168704228</v>
      </c>
      <c r="AX142">
        <f t="shared" si="165"/>
        <v>8.9924476276071252E-2</v>
      </c>
      <c r="AY142">
        <v>0.5</v>
      </c>
      <c r="AZ142">
        <f t="shared" si="166"/>
        <v>1513.2269994601818</v>
      </c>
      <c r="BA142">
        <f t="shared" si="167"/>
        <v>4.3225239023977347</v>
      </c>
      <c r="BB142">
        <f t="shared" si="168"/>
        <v>68.038072706633798</v>
      </c>
      <c r="BC142">
        <f t="shared" si="169"/>
        <v>3.8363210044405935E-3</v>
      </c>
      <c r="BD142">
        <f t="shared" si="170"/>
        <v>-0.35933738085162936</v>
      </c>
      <c r="BE142">
        <f t="shared" si="171"/>
        <v>215.26968925547553</v>
      </c>
      <c r="BF142" t="s">
        <v>1059</v>
      </c>
      <c r="BG142">
        <v>564.11</v>
      </c>
      <c r="BH142">
        <f t="shared" si="172"/>
        <v>564.11</v>
      </c>
      <c r="BI142">
        <f t="shared" si="173"/>
        <v>0.23602885450516353</v>
      </c>
      <c r="BJ142">
        <f t="shared" si="174"/>
        <v>0.38098933481924796</v>
      </c>
      <c r="BK142">
        <f t="shared" si="175"/>
        <v>2.9141324732239675</v>
      </c>
      <c r="BL142">
        <f t="shared" si="176"/>
        <v>0.11998988219839068</v>
      </c>
      <c r="BM142">
        <f t="shared" si="177"/>
        <v>-0.92115010792463059</v>
      </c>
      <c r="BN142">
        <f t="shared" si="178"/>
        <v>0.31982494963953251</v>
      </c>
      <c r="BO142">
        <f t="shared" si="179"/>
        <v>0.68017505036046755</v>
      </c>
      <c r="BP142">
        <v>9305</v>
      </c>
      <c r="BQ142">
        <v>290.00000000000011</v>
      </c>
      <c r="BR142">
        <v>715.89</v>
      </c>
      <c r="BS142">
        <v>215</v>
      </c>
      <c r="BT142">
        <v>8111.49</v>
      </c>
      <c r="BU142">
        <v>714.9</v>
      </c>
      <c r="BV142">
        <v>0.99</v>
      </c>
      <c r="BW142">
        <v>300.00000000000011</v>
      </c>
      <c r="BX142">
        <v>19.2</v>
      </c>
      <c r="BY142">
        <v>738.39176168704228</v>
      </c>
      <c r="BZ142">
        <v>2.575712248825111</v>
      </c>
      <c r="CA142">
        <v>-19.051283855136791</v>
      </c>
      <c r="CB142">
        <v>1.919015234781148</v>
      </c>
      <c r="CC142">
        <v>0.77875747392979155</v>
      </c>
      <c r="CD142">
        <v>-4.1760616240266828E-3</v>
      </c>
      <c r="CE142">
        <v>289.99999999999989</v>
      </c>
      <c r="CF142">
        <v>713.43</v>
      </c>
      <c r="CG142">
        <v>655</v>
      </c>
      <c r="CH142">
        <v>8101.07</v>
      </c>
      <c r="CI142">
        <v>714.87</v>
      </c>
      <c r="CJ142">
        <v>-1.44</v>
      </c>
      <c r="CX142">
        <f t="shared" si="180"/>
        <v>1800.05</v>
      </c>
      <c r="CY142">
        <f t="shared" si="181"/>
        <v>1513.2269994601818</v>
      </c>
      <c r="CZ142">
        <f t="shared" si="182"/>
        <v>0.84065831474691355</v>
      </c>
      <c r="DA142">
        <f t="shared" si="183"/>
        <v>0.16087054746154331</v>
      </c>
      <c r="DB142">
        <v>6</v>
      </c>
      <c r="DC142">
        <v>0.5</v>
      </c>
      <c r="DD142" t="s">
        <v>421</v>
      </c>
      <c r="DE142">
        <v>2</v>
      </c>
      <c r="DF142">
        <v>1689024868.0999999</v>
      </c>
      <c r="DG142">
        <v>24.761199999999999</v>
      </c>
      <c r="DH142">
        <v>30.113900000000001</v>
      </c>
      <c r="DI142">
        <v>28.284400000000002</v>
      </c>
      <c r="DJ142">
        <v>21.665700000000001</v>
      </c>
      <c r="DK142">
        <v>25.7712</v>
      </c>
      <c r="DL142">
        <v>28.264500000000002</v>
      </c>
      <c r="DM142">
        <v>500.28800000000001</v>
      </c>
      <c r="DN142">
        <v>99.047600000000003</v>
      </c>
      <c r="DO142">
        <v>0.100176</v>
      </c>
      <c r="DP142">
        <v>30.092600000000001</v>
      </c>
      <c r="DQ142">
        <v>29.992599999999999</v>
      </c>
      <c r="DR142">
        <v>999.9</v>
      </c>
      <c r="DS142">
        <v>0</v>
      </c>
      <c r="DT142">
        <v>0</v>
      </c>
      <c r="DU142">
        <v>10001.200000000001</v>
      </c>
      <c r="DV142">
        <v>0</v>
      </c>
      <c r="DW142">
        <v>1415.98</v>
      </c>
      <c r="DX142">
        <v>-5.3527399999999998</v>
      </c>
      <c r="DY142">
        <v>25.4819</v>
      </c>
      <c r="DZ142">
        <v>30.780799999999999</v>
      </c>
      <c r="EA142">
        <v>6.6187800000000001</v>
      </c>
      <c r="EB142">
        <v>30.113900000000001</v>
      </c>
      <c r="EC142">
        <v>21.665700000000001</v>
      </c>
      <c r="ED142">
        <v>2.8015099999999999</v>
      </c>
      <c r="EE142">
        <v>2.1459299999999999</v>
      </c>
      <c r="EF142">
        <v>22.893000000000001</v>
      </c>
      <c r="EG142">
        <v>18.564299999999999</v>
      </c>
      <c r="EH142">
        <v>1800.05</v>
      </c>
      <c r="EI142">
        <v>0.97799599999999998</v>
      </c>
      <c r="EJ142">
        <v>2.2003700000000001E-2</v>
      </c>
      <c r="EK142">
        <v>0</v>
      </c>
      <c r="EL142">
        <v>671.74800000000005</v>
      </c>
      <c r="EM142">
        <v>5.00082</v>
      </c>
      <c r="EN142">
        <v>16387</v>
      </c>
      <c r="EO142">
        <v>14130.1</v>
      </c>
      <c r="EP142">
        <v>47.061999999999998</v>
      </c>
      <c r="EQ142">
        <v>48.625</v>
      </c>
      <c r="ER142">
        <v>48</v>
      </c>
      <c r="ES142">
        <v>47.75</v>
      </c>
      <c r="ET142">
        <v>48.311999999999998</v>
      </c>
      <c r="EU142">
        <v>1755.55</v>
      </c>
      <c r="EV142">
        <v>39.5</v>
      </c>
      <c r="EW142">
        <v>0</v>
      </c>
      <c r="EX142">
        <v>122.4000000953674</v>
      </c>
      <c r="EY142">
        <v>0</v>
      </c>
      <c r="EZ142">
        <v>671.99226923076935</v>
      </c>
      <c r="FA142">
        <v>0.72878633585445141</v>
      </c>
      <c r="FB142">
        <v>148.33162303256961</v>
      </c>
      <c r="FC142">
        <v>16381.82692307692</v>
      </c>
      <c r="FD142">
        <v>15</v>
      </c>
      <c r="FE142">
        <v>1689024831.0999999</v>
      </c>
      <c r="FF142" t="s">
        <v>1060</v>
      </c>
      <c r="FG142">
        <v>1689024830.0999999</v>
      </c>
      <c r="FH142">
        <v>1689024831.0999999</v>
      </c>
      <c r="FI142">
        <v>144</v>
      </c>
      <c r="FJ142">
        <v>-2.9000000000000001E-2</v>
      </c>
      <c r="FK142">
        <v>1E-3</v>
      </c>
      <c r="FL142">
        <v>-1.016</v>
      </c>
      <c r="FM142">
        <v>0.02</v>
      </c>
      <c r="FN142">
        <v>30</v>
      </c>
      <c r="FO142">
        <v>22</v>
      </c>
      <c r="FP142">
        <v>0.34</v>
      </c>
      <c r="FQ142">
        <v>0.01</v>
      </c>
      <c r="FR142">
        <v>4.3946453385072211</v>
      </c>
      <c r="FS142">
        <v>-0.66594477652635575</v>
      </c>
      <c r="FT142">
        <v>5.7719703226077307E-2</v>
      </c>
      <c r="FU142">
        <v>1</v>
      </c>
      <c r="FV142">
        <v>0.39858173844215578</v>
      </c>
      <c r="FW142">
        <v>9.5955464488601625E-3</v>
      </c>
      <c r="FX142">
        <v>1.089863963254608E-3</v>
      </c>
      <c r="FY142">
        <v>1</v>
      </c>
      <c r="FZ142">
        <v>2</v>
      </c>
      <c r="GA142">
        <v>2</v>
      </c>
      <c r="GB142" t="s">
        <v>423</v>
      </c>
      <c r="GC142">
        <v>2.9445199999999998</v>
      </c>
      <c r="GD142">
        <v>2.70885</v>
      </c>
      <c r="GE142">
        <v>6.7785900000000001E-3</v>
      </c>
      <c r="GF142">
        <v>7.9492999999999994E-3</v>
      </c>
      <c r="GG142">
        <v>0.12643399999999999</v>
      </c>
      <c r="GH142">
        <v>0.104995</v>
      </c>
      <c r="GI142">
        <v>32589.200000000001</v>
      </c>
      <c r="GJ142">
        <v>31771.9</v>
      </c>
      <c r="GK142">
        <v>33816.400000000001</v>
      </c>
      <c r="GL142">
        <v>32075.599999999999</v>
      </c>
      <c r="GM142">
        <v>42653.8</v>
      </c>
      <c r="GN142">
        <v>40851.4</v>
      </c>
      <c r="GO142">
        <v>48981.8</v>
      </c>
      <c r="GP142">
        <v>45410</v>
      </c>
      <c r="GQ142">
        <v>1.9665999999999999</v>
      </c>
      <c r="GR142">
        <v>1.77115</v>
      </c>
      <c r="GS142">
        <v>1.07698E-2</v>
      </c>
      <c r="GT142">
        <v>0</v>
      </c>
      <c r="GU142">
        <v>29.817299999999999</v>
      </c>
      <c r="GV142">
        <v>999.9</v>
      </c>
      <c r="GW142">
        <v>31.5</v>
      </c>
      <c r="GX142">
        <v>42.8</v>
      </c>
      <c r="GY142">
        <v>27.3415</v>
      </c>
      <c r="GZ142">
        <v>60.0749</v>
      </c>
      <c r="HA142">
        <v>25.068100000000001</v>
      </c>
      <c r="HB142">
        <v>1</v>
      </c>
      <c r="HC142">
        <v>0.523455</v>
      </c>
      <c r="HD142">
        <v>2.77888</v>
      </c>
      <c r="HE142">
        <v>20.200700000000001</v>
      </c>
      <c r="HF142">
        <v>5.2692500000000004</v>
      </c>
      <c r="HG142">
        <v>12.039899999999999</v>
      </c>
      <c r="HH142">
        <v>4.9657</v>
      </c>
      <c r="HI142">
        <v>3.3010000000000002</v>
      </c>
      <c r="HJ142">
        <v>9999</v>
      </c>
      <c r="HK142">
        <v>9999</v>
      </c>
      <c r="HL142">
        <v>9999</v>
      </c>
      <c r="HM142">
        <v>999.9</v>
      </c>
      <c r="HN142">
        <v>1.8684400000000001</v>
      </c>
      <c r="HO142">
        <v>1.87209</v>
      </c>
      <c r="HP142">
        <v>1.8719399999999999</v>
      </c>
      <c r="HQ142">
        <v>1.8713500000000001</v>
      </c>
      <c r="HR142">
        <v>1.86463</v>
      </c>
      <c r="HS142">
        <v>1.8658399999999999</v>
      </c>
      <c r="HT142">
        <v>1.8678300000000001</v>
      </c>
      <c r="HU142">
        <v>1.8724000000000001</v>
      </c>
      <c r="HV142">
        <v>0</v>
      </c>
      <c r="HW142">
        <v>0</v>
      </c>
      <c r="HX142">
        <v>0</v>
      </c>
      <c r="HY142">
        <v>0</v>
      </c>
      <c r="HZ142" t="s">
        <v>424</v>
      </c>
      <c r="IA142" t="s">
        <v>425</v>
      </c>
      <c r="IB142" t="s">
        <v>426</v>
      </c>
      <c r="IC142" t="s">
        <v>426</v>
      </c>
      <c r="ID142" t="s">
        <v>426</v>
      </c>
      <c r="IE142" t="s">
        <v>426</v>
      </c>
      <c r="IF142">
        <v>0</v>
      </c>
      <c r="IG142">
        <v>100</v>
      </c>
      <c r="IH142">
        <v>100</v>
      </c>
      <c r="II142">
        <v>-1.01</v>
      </c>
      <c r="IJ142">
        <v>1.9900000000000001E-2</v>
      </c>
      <c r="IK142">
        <v>-0.9800444819276779</v>
      </c>
      <c r="IL142">
        <v>-1.171017271736434E-3</v>
      </c>
      <c r="IM142">
        <v>2.801297040296544E-7</v>
      </c>
      <c r="IN142">
        <v>-3.6238253961199429E-11</v>
      </c>
      <c r="IO142">
        <v>1.9954999999999501E-2</v>
      </c>
      <c r="IP142">
        <v>0</v>
      </c>
      <c r="IQ142">
        <v>0</v>
      </c>
      <c r="IR142">
        <v>0</v>
      </c>
      <c r="IS142">
        <v>0</v>
      </c>
      <c r="IT142">
        <v>2161</v>
      </c>
      <c r="IU142">
        <v>1</v>
      </c>
      <c r="IV142">
        <v>19</v>
      </c>
      <c r="IW142">
        <v>0.6</v>
      </c>
      <c r="IX142">
        <v>0.6</v>
      </c>
      <c r="IY142">
        <v>0.20996100000000001</v>
      </c>
      <c r="IZ142">
        <v>2.5720200000000002</v>
      </c>
      <c r="JA142">
        <v>1.4440900000000001</v>
      </c>
      <c r="JB142">
        <v>2.2814899999999998</v>
      </c>
      <c r="JC142">
        <v>1.54419</v>
      </c>
      <c r="JD142">
        <v>2.4377399999999998</v>
      </c>
      <c r="JE142">
        <v>45.776800000000001</v>
      </c>
      <c r="JF142">
        <v>24.1313</v>
      </c>
      <c r="JG142">
        <v>18</v>
      </c>
      <c r="JH142">
        <v>509.78</v>
      </c>
      <c r="JI142">
        <v>421.81</v>
      </c>
      <c r="JJ142">
        <v>26.092700000000001</v>
      </c>
      <c r="JK142">
        <v>33.777799999999999</v>
      </c>
      <c r="JL142">
        <v>29.999700000000001</v>
      </c>
      <c r="JM142">
        <v>33.684100000000001</v>
      </c>
      <c r="JN142">
        <v>33.641800000000003</v>
      </c>
      <c r="JO142">
        <v>4.3190299999999997</v>
      </c>
      <c r="JP142">
        <v>30.942299999999999</v>
      </c>
      <c r="JQ142">
        <v>4.5207300000000004</v>
      </c>
      <c r="JR142">
        <v>26.103300000000001</v>
      </c>
      <c r="JS142">
        <v>30</v>
      </c>
      <c r="JT142">
        <v>21.6143</v>
      </c>
      <c r="JU142">
        <v>99.267499999999998</v>
      </c>
      <c r="JV142">
        <v>98.889700000000005</v>
      </c>
    </row>
    <row r="143" spans="1:282" x14ac:dyDescent="0.25">
      <c r="A143">
        <v>127</v>
      </c>
      <c r="B143">
        <v>1689024985.0999999</v>
      </c>
      <c r="C143">
        <v>25808.099999904629</v>
      </c>
      <c r="D143" t="s">
        <v>1061</v>
      </c>
      <c r="E143" t="s">
        <v>1062</v>
      </c>
      <c r="F143" t="s">
        <v>414</v>
      </c>
      <c r="G143" t="s">
        <v>415</v>
      </c>
      <c r="H143" t="s">
        <v>578</v>
      </c>
      <c r="I143" t="s">
        <v>500</v>
      </c>
      <c r="J143" t="s">
        <v>656</v>
      </c>
      <c r="K143">
        <v>1689024985.0999999</v>
      </c>
      <c r="L143">
        <f t="shared" si="138"/>
        <v>5.8881387702838768E-3</v>
      </c>
      <c r="M143">
        <f t="shared" si="139"/>
        <v>5.8881387702838772</v>
      </c>
      <c r="N143">
        <f t="shared" si="140"/>
        <v>1.576045942997417</v>
      </c>
      <c r="O143">
        <f t="shared" si="141"/>
        <v>7.9716100000000001</v>
      </c>
      <c r="P143">
        <f t="shared" si="142"/>
        <v>1.3846657434576364</v>
      </c>
      <c r="Q143">
        <f t="shared" si="143"/>
        <v>0.13728106646085325</v>
      </c>
      <c r="R143">
        <f t="shared" si="144"/>
        <v>0.79033595463791007</v>
      </c>
      <c r="S143">
        <f t="shared" si="145"/>
        <v>0.41584129110015916</v>
      </c>
      <c r="T143">
        <f t="shared" si="146"/>
        <v>2.9122839123667332</v>
      </c>
      <c r="U143">
        <f t="shared" si="147"/>
        <v>0.38544734726298518</v>
      </c>
      <c r="V143">
        <f t="shared" si="148"/>
        <v>0.24344998310558624</v>
      </c>
      <c r="W143">
        <f t="shared" si="149"/>
        <v>289.56864495812795</v>
      </c>
      <c r="X143">
        <f t="shared" si="150"/>
        <v>30.360116332390231</v>
      </c>
      <c r="Y143">
        <f t="shared" si="151"/>
        <v>30.028099999999998</v>
      </c>
      <c r="Z143">
        <f t="shared" si="152"/>
        <v>4.2673311512151431</v>
      </c>
      <c r="AA143">
        <f t="shared" si="153"/>
        <v>65.191942687591336</v>
      </c>
      <c r="AB143">
        <f t="shared" si="154"/>
        <v>2.8068312562917002</v>
      </c>
      <c r="AC143">
        <f t="shared" si="155"/>
        <v>4.3054879799217183</v>
      </c>
      <c r="AD143">
        <f t="shared" si="156"/>
        <v>1.4604998949234429</v>
      </c>
      <c r="AE143">
        <f t="shared" si="157"/>
        <v>-259.66691976951898</v>
      </c>
      <c r="AF143">
        <f t="shared" si="158"/>
        <v>24.351793498973368</v>
      </c>
      <c r="AG143">
        <f t="shared" si="159"/>
        <v>1.861189410843554</v>
      </c>
      <c r="AH143">
        <f t="shared" si="160"/>
        <v>56.114708098425893</v>
      </c>
      <c r="AI143">
        <v>0</v>
      </c>
      <c r="AJ143">
        <v>0</v>
      </c>
      <c r="AK143">
        <f t="shared" si="161"/>
        <v>1</v>
      </c>
      <c r="AL143">
        <f t="shared" si="162"/>
        <v>0</v>
      </c>
      <c r="AM143">
        <f t="shared" si="163"/>
        <v>51809.270784876069</v>
      </c>
      <c r="AN143" t="s">
        <v>418</v>
      </c>
      <c r="AO143">
        <v>10076.700000000001</v>
      </c>
      <c r="AP143">
        <v>185.01599999999999</v>
      </c>
      <c r="AQ143">
        <v>473.06</v>
      </c>
      <c r="AR143">
        <f t="shared" si="164"/>
        <v>0.60889527755464423</v>
      </c>
      <c r="AS143">
        <v>-1.4827006201179751</v>
      </c>
      <c r="AT143" t="s">
        <v>1063</v>
      </c>
      <c r="AU143">
        <v>8111.29</v>
      </c>
      <c r="AV143">
        <v>678.54003999999998</v>
      </c>
      <c r="AW143">
        <v>739.983915814684</v>
      </c>
      <c r="AX143">
        <f t="shared" si="165"/>
        <v>8.3034069391950904E-2</v>
      </c>
      <c r="AY143">
        <v>0.5</v>
      </c>
      <c r="AZ143">
        <f t="shared" si="166"/>
        <v>1513.19339946017</v>
      </c>
      <c r="BA143">
        <f t="shared" si="167"/>
        <v>1.576045942997417</v>
      </c>
      <c r="BB143">
        <f t="shared" si="168"/>
        <v>62.823302867108922</v>
      </c>
      <c r="BC143">
        <f t="shared" si="169"/>
        <v>2.0213850815147595E-3</v>
      </c>
      <c r="BD143">
        <f t="shared" si="170"/>
        <v>-0.36071583464191187</v>
      </c>
      <c r="BE143">
        <f t="shared" si="171"/>
        <v>215.40480758281294</v>
      </c>
      <c r="BF143" t="s">
        <v>1064</v>
      </c>
      <c r="BG143">
        <v>571.25</v>
      </c>
      <c r="BH143">
        <f t="shared" si="172"/>
        <v>571.25</v>
      </c>
      <c r="BI143">
        <f t="shared" si="173"/>
        <v>0.22802376133934843</v>
      </c>
      <c r="BJ143">
        <f t="shared" si="174"/>
        <v>0.36414656483268132</v>
      </c>
      <c r="BK143">
        <f t="shared" si="175"/>
        <v>2.7184429760126694</v>
      </c>
      <c r="BL143">
        <f t="shared" si="176"/>
        <v>0.11071608657679857</v>
      </c>
      <c r="BM143">
        <f t="shared" si="177"/>
        <v>-0.92667757639348158</v>
      </c>
      <c r="BN143">
        <f t="shared" si="178"/>
        <v>0.30656809163490073</v>
      </c>
      <c r="BO143">
        <f t="shared" si="179"/>
        <v>0.69343190836509927</v>
      </c>
      <c r="BP143">
        <v>9307</v>
      </c>
      <c r="BQ143">
        <v>290.00000000000011</v>
      </c>
      <c r="BR143">
        <v>715.44</v>
      </c>
      <c r="BS143">
        <v>215</v>
      </c>
      <c r="BT143">
        <v>8111.29</v>
      </c>
      <c r="BU143">
        <v>714.82</v>
      </c>
      <c r="BV143">
        <v>0.62</v>
      </c>
      <c r="BW143">
        <v>300.00000000000011</v>
      </c>
      <c r="BX143">
        <v>19.2</v>
      </c>
      <c r="BY143">
        <v>739.983915814684</v>
      </c>
      <c r="BZ143">
        <v>2.8139523389914292</v>
      </c>
      <c r="CA143">
        <v>-20.40800031031079</v>
      </c>
      <c r="CB143">
        <v>2.096471314139198</v>
      </c>
      <c r="CC143">
        <v>0.77191186584962079</v>
      </c>
      <c r="CD143">
        <v>-4.1759239154616238E-3</v>
      </c>
      <c r="CE143">
        <v>289.99999999999989</v>
      </c>
      <c r="CF143">
        <v>713.18</v>
      </c>
      <c r="CG143">
        <v>685</v>
      </c>
      <c r="CH143">
        <v>8100.15</v>
      </c>
      <c r="CI143">
        <v>714.79</v>
      </c>
      <c r="CJ143">
        <v>-1.61</v>
      </c>
      <c r="CX143">
        <f t="shared" si="180"/>
        <v>1800.01</v>
      </c>
      <c r="CY143">
        <f t="shared" si="181"/>
        <v>1513.19339946017</v>
      </c>
      <c r="CZ143">
        <f t="shared" si="182"/>
        <v>0.84065832937604235</v>
      </c>
      <c r="DA143">
        <f t="shared" si="183"/>
        <v>0.16087057569576166</v>
      </c>
      <c r="DB143">
        <v>6</v>
      </c>
      <c r="DC143">
        <v>0.5</v>
      </c>
      <c r="DD143" t="s">
        <v>421</v>
      </c>
      <c r="DE143">
        <v>2</v>
      </c>
      <c r="DF143">
        <v>1689024985.0999999</v>
      </c>
      <c r="DG143">
        <v>7.9716100000000001</v>
      </c>
      <c r="DH143">
        <v>9.9186999999999994</v>
      </c>
      <c r="DI143">
        <v>28.310700000000001</v>
      </c>
      <c r="DJ143">
        <v>21.4467</v>
      </c>
      <c r="DK143">
        <v>8.9315099999999994</v>
      </c>
      <c r="DL143">
        <v>28.293299999999999</v>
      </c>
      <c r="DM143">
        <v>500.12599999999998</v>
      </c>
      <c r="DN143">
        <v>99.043800000000005</v>
      </c>
      <c r="DO143">
        <v>0.10003099999999999</v>
      </c>
      <c r="DP143">
        <v>30.183199999999999</v>
      </c>
      <c r="DQ143">
        <v>30.028099999999998</v>
      </c>
      <c r="DR143">
        <v>999.9</v>
      </c>
      <c r="DS143">
        <v>0</v>
      </c>
      <c r="DT143">
        <v>0</v>
      </c>
      <c r="DU143">
        <v>9997.5</v>
      </c>
      <c r="DV143">
        <v>0</v>
      </c>
      <c r="DW143">
        <v>1364.23</v>
      </c>
      <c r="DX143">
        <v>-1.94709</v>
      </c>
      <c r="DY143">
        <v>8.2038700000000002</v>
      </c>
      <c r="DZ143">
        <v>10.136100000000001</v>
      </c>
      <c r="EA143">
        <v>6.8640699999999999</v>
      </c>
      <c r="EB143">
        <v>9.9186999999999994</v>
      </c>
      <c r="EC143">
        <v>21.4467</v>
      </c>
      <c r="ED143">
        <v>2.8039999999999998</v>
      </c>
      <c r="EE143">
        <v>2.1241599999999998</v>
      </c>
      <c r="EF143">
        <v>22.907699999999998</v>
      </c>
      <c r="EG143">
        <v>18.401499999999999</v>
      </c>
      <c r="EH143">
        <v>1800.01</v>
      </c>
      <c r="EI143">
        <v>0.97799599999999998</v>
      </c>
      <c r="EJ143">
        <v>2.2003700000000001E-2</v>
      </c>
      <c r="EK143">
        <v>0</v>
      </c>
      <c r="EL143">
        <v>678.71299999999997</v>
      </c>
      <c r="EM143">
        <v>5.00082</v>
      </c>
      <c r="EN143">
        <v>16433.900000000001</v>
      </c>
      <c r="EO143">
        <v>14129.8</v>
      </c>
      <c r="EP143">
        <v>47.061999999999998</v>
      </c>
      <c r="EQ143">
        <v>48.625</v>
      </c>
      <c r="ER143">
        <v>48</v>
      </c>
      <c r="ES143">
        <v>47.75</v>
      </c>
      <c r="ET143">
        <v>48.25</v>
      </c>
      <c r="EU143">
        <v>1755.51</v>
      </c>
      <c r="EV143">
        <v>39.5</v>
      </c>
      <c r="EW143">
        <v>0</v>
      </c>
      <c r="EX143">
        <v>114.7999999523163</v>
      </c>
      <c r="EY143">
        <v>0</v>
      </c>
      <c r="EZ143">
        <v>678.54003999999998</v>
      </c>
      <c r="FA143">
        <v>0.34692307738456502</v>
      </c>
      <c r="FB143">
        <v>-179.02307709976139</v>
      </c>
      <c r="FC143">
        <v>16436.52</v>
      </c>
      <c r="FD143">
        <v>15</v>
      </c>
      <c r="FE143">
        <v>1689024937.5999999</v>
      </c>
      <c r="FF143" t="s">
        <v>1065</v>
      </c>
      <c r="FG143">
        <v>1689024937.5999999</v>
      </c>
      <c r="FH143">
        <v>1689024937.5999999</v>
      </c>
      <c r="FI143">
        <v>145</v>
      </c>
      <c r="FJ143">
        <v>3.1E-2</v>
      </c>
      <c r="FK143">
        <v>-3.0000000000000001E-3</v>
      </c>
      <c r="FL143">
        <v>-0.96199999999999997</v>
      </c>
      <c r="FM143">
        <v>1.7000000000000001E-2</v>
      </c>
      <c r="FN143">
        <v>10</v>
      </c>
      <c r="FO143">
        <v>21</v>
      </c>
      <c r="FP143">
        <v>0.1</v>
      </c>
      <c r="FQ143">
        <v>0.01</v>
      </c>
      <c r="FR143">
        <v>1.5232610497252039</v>
      </c>
      <c r="FS143">
        <v>-0.50004230187238463</v>
      </c>
      <c r="FT143">
        <v>4.6063765489615438E-2</v>
      </c>
      <c r="FU143">
        <v>1</v>
      </c>
      <c r="FV143">
        <v>0.41708098257953868</v>
      </c>
      <c r="FW143">
        <v>-3.8401526960544108E-2</v>
      </c>
      <c r="FX143">
        <v>2.962618018200136E-3</v>
      </c>
      <c r="FY143">
        <v>1</v>
      </c>
      <c r="FZ143">
        <v>2</v>
      </c>
      <c r="GA143">
        <v>2</v>
      </c>
      <c r="GB143" t="s">
        <v>423</v>
      </c>
      <c r="GC143">
        <v>2.94414</v>
      </c>
      <c r="GD143">
        <v>2.7086700000000001</v>
      </c>
      <c r="GE143">
        <v>2.3500000000000001E-3</v>
      </c>
      <c r="GF143">
        <v>2.6205899999999999E-3</v>
      </c>
      <c r="GG143">
        <v>0.12653</v>
      </c>
      <c r="GH143">
        <v>0.104251</v>
      </c>
      <c r="GI143">
        <v>32736.6</v>
      </c>
      <c r="GJ143">
        <v>31944.9</v>
      </c>
      <c r="GK143">
        <v>33818.6</v>
      </c>
      <c r="GL143">
        <v>32078.3</v>
      </c>
      <c r="GM143">
        <v>42651.4</v>
      </c>
      <c r="GN143">
        <v>40888.5</v>
      </c>
      <c r="GO143">
        <v>48984.800000000003</v>
      </c>
      <c r="GP143">
        <v>45413.7</v>
      </c>
      <c r="GQ143">
        <v>1.9672499999999999</v>
      </c>
      <c r="GR143">
        <v>1.7719499999999999</v>
      </c>
      <c r="GS143">
        <v>4.3474100000000003E-3</v>
      </c>
      <c r="GT143">
        <v>0</v>
      </c>
      <c r="GU143">
        <v>29.9573</v>
      </c>
      <c r="GV143">
        <v>999.9</v>
      </c>
      <c r="GW143">
        <v>31.4</v>
      </c>
      <c r="GX143">
        <v>42.8</v>
      </c>
      <c r="GY143">
        <v>27.2529</v>
      </c>
      <c r="GZ143">
        <v>60.0749</v>
      </c>
      <c r="HA143">
        <v>25.6571</v>
      </c>
      <c r="HB143">
        <v>1</v>
      </c>
      <c r="HC143">
        <v>0.52275199999999999</v>
      </c>
      <c r="HD143">
        <v>3.2350599999999998</v>
      </c>
      <c r="HE143">
        <v>20.192399999999999</v>
      </c>
      <c r="HF143">
        <v>5.2686500000000001</v>
      </c>
      <c r="HG143">
        <v>12.039899999999999</v>
      </c>
      <c r="HH143">
        <v>4.9657999999999998</v>
      </c>
      <c r="HI143">
        <v>3.3010000000000002</v>
      </c>
      <c r="HJ143">
        <v>9999</v>
      </c>
      <c r="HK143">
        <v>9999</v>
      </c>
      <c r="HL143">
        <v>9999</v>
      </c>
      <c r="HM143">
        <v>999.9</v>
      </c>
      <c r="HN143">
        <v>1.8684400000000001</v>
      </c>
      <c r="HO143">
        <v>1.8721000000000001</v>
      </c>
      <c r="HP143">
        <v>1.8719399999999999</v>
      </c>
      <c r="HQ143">
        <v>1.8713599999999999</v>
      </c>
      <c r="HR143">
        <v>1.86463</v>
      </c>
      <c r="HS143">
        <v>1.8658399999999999</v>
      </c>
      <c r="HT143">
        <v>1.8678300000000001</v>
      </c>
      <c r="HU143">
        <v>1.8723799999999999</v>
      </c>
      <c r="HV143">
        <v>0</v>
      </c>
      <c r="HW143">
        <v>0</v>
      </c>
      <c r="HX143">
        <v>0</v>
      </c>
      <c r="HY143">
        <v>0</v>
      </c>
      <c r="HZ143" t="s">
        <v>424</v>
      </c>
      <c r="IA143" t="s">
        <v>425</v>
      </c>
      <c r="IB143" t="s">
        <v>426</v>
      </c>
      <c r="IC143" t="s">
        <v>426</v>
      </c>
      <c r="ID143" t="s">
        <v>426</v>
      </c>
      <c r="IE143" t="s">
        <v>426</v>
      </c>
      <c r="IF143">
        <v>0</v>
      </c>
      <c r="IG143">
        <v>100</v>
      </c>
      <c r="IH143">
        <v>100</v>
      </c>
      <c r="II143">
        <v>-0.96</v>
      </c>
      <c r="IJ143">
        <v>1.7399999999999999E-2</v>
      </c>
      <c r="IK143">
        <v>-0.94946256786482752</v>
      </c>
      <c r="IL143">
        <v>-1.171017271736434E-3</v>
      </c>
      <c r="IM143">
        <v>2.801297040296544E-7</v>
      </c>
      <c r="IN143">
        <v>-3.6238253961199429E-11</v>
      </c>
      <c r="IO143">
        <v>1.7410000000005251E-2</v>
      </c>
      <c r="IP143">
        <v>0</v>
      </c>
      <c r="IQ143">
        <v>0</v>
      </c>
      <c r="IR143">
        <v>0</v>
      </c>
      <c r="IS143">
        <v>0</v>
      </c>
      <c r="IT143">
        <v>2161</v>
      </c>
      <c r="IU143">
        <v>1</v>
      </c>
      <c r="IV143">
        <v>19</v>
      </c>
      <c r="IW143">
        <v>0.8</v>
      </c>
      <c r="IX143">
        <v>0.8</v>
      </c>
      <c r="IY143">
        <v>0.166016</v>
      </c>
      <c r="IZ143">
        <v>2.6086399999999998</v>
      </c>
      <c r="JA143">
        <v>1.4440900000000001</v>
      </c>
      <c r="JB143">
        <v>2.2802699999999998</v>
      </c>
      <c r="JC143">
        <v>1.54419</v>
      </c>
      <c r="JD143">
        <v>2.36938</v>
      </c>
      <c r="JE143">
        <v>45.747999999999998</v>
      </c>
      <c r="JF143">
        <v>24.113800000000001</v>
      </c>
      <c r="JG143">
        <v>18</v>
      </c>
      <c r="JH143">
        <v>509.904</v>
      </c>
      <c r="JI143">
        <v>422.05200000000002</v>
      </c>
      <c r="JJ143">
        <v>25.886600000000001</v>
      </c>
      <c r="JK143">
        <v>33.741300000000003</v>
      </c>
      <c r="JL143">
        <v>30.000399999999999</v>
      </c>
      <c r="JM143">
        <v>33.645400000000002</v>
      </c>
      <c r="JN143">
        <v>33.604199999999999</v>
      </c>
      <c r="JO143">
        <v>3.44598</v>
      </c>
      <c r="JP143">
        <v>31.545999999999999</v>
      </c>
      <c r="JQ143">
        <v>3.8585799999999999</v>
      </c>
      <c r="JR143">
        <v>25.847799999999999</v>
      </c>
      <c r="JS143">
        <v>10</v>
      </c>
      <c r="JT143">
        <v>21.370100000000001</v>
      </c>
      <c r="JU143">
        <v>99.273700000000005</v>
      </c>
      <c r="JV143">
        <v>98.8977</v>
      </c>
    </row>
    <row r="144" spans="1:282" x14ac:dyDescent="0.25">
      <c r="A144">
        <v>128</v>
      </c>
      <c r="B144">
        <v>1689025174.5999999</v>
      </c>
      <c r="C144">
        <v>25997.599999904629</v>
      </c>
      <c r="D144" t="s">
        <v>1066</v>
      </c>
      <c r="E144" t="s">
        <v>1067</v>
      </c>
      <c r="F144" t="s">
        <v>414</v>
      </c>
      <c r="G144" t="s">
        <v>415</v>
      </c>
      <c r="H144" t="s">
        <v>578</v>
      </c>
      <c r="I144" t="s">
        <v>500</v>
      </c>
      <c r="J144" t="s">
        <v>656</v>
      </c>
      <c r="K144">
        <v>1689025174.5999999</v>
      </c>
      <c r="L144">
        <f t="shared" si="138"/>
        <v>5.1817236414102184E-3</v>
      </c>
      <c r="M144">
        <f t="shared" si="139"/>
        <v>5.1817236414102181</v>
      </c>
      <c r="N144">
        <f t="shared" si="140"/>
        <v>46.189319082276057</v>
      </c>
      <c r="O144">
        <f t="shared" si="141"/>
        <v>342.56799999999998</v>
      </c>
      <c r="P144">
        <f t="shared" si="142"/>
        <v>117.77878792452698</v>
      </c>
      <c r="Q144">
        <f t="shared" si="143"/>
        <v>11.676493881354842</v>
      </c>
      <c r="R144">
        <f t="shared" si="144"/>
        <v>33.961914759312798</v>
      </c>
      <c r="S144">
        <f t="shared" si="145"/>
        <v>0.35680107190175192</v>
      </c>
      <c r="T144">
        <f t="shared" si="146"/>
        <v>2.9154766489189106</v>
      </c>
      <c r="U144">
        <f t="shared" si="147"/>
        <v>0.33419632752322098</v>
      </c>
      <c r="V144">
        <f t="shared" si="148"/>
        <v>0.21078419894761424</v>
      </c>
      <c r="W144">
        <f t="shared" si="149"/>
        <v>289.58562195845525</v>
      </c>
      <c r="X144">
        <f t="shared" si="150"/>
        <v>30.558964481223654</v>
      </c>
      <c r="Y144">
        <f t="shared" si="151"/>
        <v>30.0547</v>
      </c>
      <c r="Z144">
        <f t="shared" si="152"/>
        <v>4.2738541190614185</v>
      </c>
      <c r="AA144">
        <f t="shared" si="153"/>
        <v>64.780193770559407</v>
      </c>
      <c r="AB144">
        <f t="shared" si="154"/>
        <v>2.79147214587891</v>
      </c>
      <c r="AC144">
        <f t="shared" si="155"/>
        <v>4.3091444829045074</v>
      </c>
      <c r="AD144">
        <f t="shared" si="156"/>
        <v>1.4823819731825085</v>
      </c>
      <c r="AE144">
        <f t="shared" si="157"/>
        <v>-228.51401258619063</v>
      </c>
      <c r="AF144">
        <f t="shared" si="158"/>
        <v>22.523776077930787</v>
      </c>
      <c r="AG144">
        <f t="shared" si="159"/>
        <v>1.7199425320568491</v>
      </c>
      <c r="AH144">
        <f t="shared" si="160"/>
        <v>85.315327982252256</v>
      </c>
      <c r="AI144">
        <v>0</v>
      </c>
      <c r="AJ144">
        <v>0</v>
      </c>
      <c r="AK144">
        <f t="shared" si="161"/>
        <v>1</v>
      </c>
      <c r="AL144">
        <f t="shared" si="162"/>
        <v>0</v>
      </c>
      <c r="AM144">
        <f t="shared" si="163"/>
        <v>51897.411210240025</v>
      </c>
      <c r="AN144" t="s">
        <v>418</v>
      </c>
      <c r="AO144">
        <v>10076.700000000001</v>
      </c>
      <c r="AP144">
        <v>185.01599999999999</v>
      </c>
      <c r="AQ144">
        <v>473.06</v>
      </c>
      <c r="AR144">
        <f t="shared" si="164"/>
        <v>0.60889527755464423</v>
      </c>
      <c r="AS144">
        <v>-1.4827006201179751</v>
      </c>
      <c r="AT144" t="s">
        <v>1068</v>
      </c>
      <c r="AU144">
        <v>8108.18</v>
      </c>
      <c r="AV144">
        <v>648.42119230769231</v>
      </c>
      <c r="AW144">
        <v>1012.736107705404</v>
      </c>
      <c r="AX144">
        <f t="shared" si="165"/>
        <v>0.35973331317588186</v>
      </c>
      <c r="AY144">
        <v>0.5</v>
      </c>
      <c r="AZ144">
        <f t="shared" si="166"/>
        <v>1513.2854994603392</v>
      </c>
      <c r="BA144">
        <f t="shared" si="167"/>
        <v>46.189319082276057</v>
      </c>
      <c r="BB144">
        <f t="shared" si="168"/>
        <v>272.18960325094349</v>
      </c>
      <c r="BC144">
        <f t="shared" si="169"/>
        <v>3.1502330339777E-2</v>
      </c>
      <c r="BD144">
        <f t="shared" si="170"/>
        <v>-0.53288917379293355</v>
      </c>
      <c r="BE144">
        <f t="shared" si="171"/>
        <v>233.72867148298656</v>
      </c>
      <c r="BF144" t="s">
        <v>1069</v>
      </c>
      <c r="BG144">
        <v>530.97</v>
      </c>
      <c r="BH144">
        <f t="shared" si="172"/>
        <v>530.97</v>
      </c>
      <c r="BI144">
        <f t="shared" si="173"/>
        <v>0.47570744643139107</v>
      </c>
      <c r="BJ144">
        <f t="shared" si="174"/>
        <v>0.75620702571399501</v>
      </c>
      <c r="BK144">
        <f t="shared" si="175"/>
        <v>9.3192213383768578</v>
      </c>
      <c r="BL144">
        <f t="shared" si="176"/>
        <v>0.44014264242977164</v>
      </c>
      <c r="BM144">
        <f t="shared" si="177"/>
        <v>-1.8735891311931654</v>
      </c>
      <c r="BN144">
        <f t="shared" si="178"/>
        <v>0.61923214294456153</v>
      </c>
      <c r="BO144">
        <f t="shared" si="179"/>
        <v>0.38076785705543847</v>
      </c>
      <c r="BP144">
        <v>9309</v>
      </c>
      <c r="BQ144">
        <v>290.00000000000011</v>
      </c>
      <c r="BR144">
        <v>858.69</v>
      </c>
      <c r="BS144">
        <v>295</v>
      </c>
      <c r="BT144">
        <v>8108.18</v>
      </c>
      <c r="BU144">
        <v>860.92</v>
      </c>
      <c r="BV144">
        <v>-2.23</v>
      </c>
      <c r="BW144">
        <v>300.00000000000011</v>
      </c>
      <c r="BX144">
        <v>19.2</v>
      </c>
      <c r="BY144">
        <v>1012.736107705404</v>
      </c>
      <c r="BZ144">
        <v>4.6696221090898318</v>
      </c>
      <c r="CA144">
        <v>-123.0928984303727</v>
      </c>
      <c r="CB144">
        <v>3.4791269196987979</v>
      </c>
      <c r="CC144">
        <v>0.97812111359427301</v>
      </c>
      <c r="CD144">
        <v>-4.1767644048943337E-3</v>
      </c>
      <c r="CE144">
        <v>289.99999999999989</v>
      </c>
      <c r="CF144">
        <v>845.05</v>
      </c>
      <c r="CG144">
        <v>625</v>
      </c>
      <c r="CH144">
        <v>8101.99</v>
      </c>
      <c r="CI144">
        <v>860.81</v>
      </c>
      <c r="CJ144">
        <v>-15.76</v>
      </c>
      <c r="CX144">
        <f t="shared" si="180"/>
        <v>1800.12</v>
      </c>
      <c r="CY144">
        <f t="shared" si="181"/>
        <v>1513.2854994603392</v>
      </c>
      <c r="CZ144">
        <f t="shared" si="182"/>
        <v>0.84065812249202243</v>
      </c>
      <c r="DA144">
        <f t="shared" si="183"/>
        <v>0.16087017640960341</v>
      </c>
      <c r="DB144">
        <v>6</v>
      </c>
      <c r="DC144">
        <v>0.5</v>
      </c>
      <c r="DD144" t="s">
        <v>421</v>
      </c>
      <c r="DE144">
        <v>2</v>
      </c>
      <c r="DF144">
        <v>1689025174.5999999</v>
      </c>
      <c r="DG144">
        <v>342.56799999999998</v>
      </c>
      <c r="DH144">
        <v>400.09399999999999</v>
      </c>
      <c r="DI144">
        <v>28.1571</v>
      </c>
      <c r="DJ144">
        <v>22.1174</v>
      </c>
      <c r="DK144">
        <v>343.803</v>
      </c>
      <c r="DL144">
        <v>28.1418</v>
      </c>
      <c r="DM144">
        <v>500.27199999999999</v>
      </c>
      <c r="DN144">
        <v>99.039500000000004</v>
      </c>
      <c r="DO144">
        <v>9.9692100000000006E-2</v>
      </c>
      <c r="DP144">
        <v>30.198</v>
      </c>
      <c r="DQ144">
        <v>30.0547</v>
      </c>
      <c r="DR144">
        <v>999.9</v>
      </c>
      <c r="DS144">
        <v>0</v>
      </c>
      <c r="DT144">
        <v>0</v>
      </c>
      <c r="DU144">
        <v>10016.200000000001</v>
      </c>
      <c r="DV144">
        <v>0</v>
      </c>
      <c r="DW144">
        <v>1409.66</v>
      </c>
      <c r="DX144">
        <v>-57.525199999999998</v>
      </c>
      <c r="DY144">
        <v>352.49400000000003</v>
      </c>
      <c r="DZ144">
        <v>409.14299999999997</v>
      </c>
      <c r="EA144">
        <v>6.0396999999999998</v>
      </c>
      <c r="EB144">
        <v>400.09399999999999</v>
      </c>
      <c r="EC144">
        <v>22.1174</v>
      </c>
      <c r="ED144">
        <v>2.7886700000000002</v>
      </c>
      <c r="EE144">
        <v>2.1905000000000001</v>
      </c>
      <c r="EF144">
        <v>22.8172</v>
      </c>
      <c r="EG144">
        <v>18.893000000000001</v>
      </c>
      <c r="EH144">
        <v>1800.12</v>
      </c>
      <c r="EI144">
        <v>0.97799999999999998</v>
      </c>
      <c r="EJ144">
        <v>2.2000100000000002E-2</v>
      </c>
      <c r="EK144">
        <v>0</v>
      </c>
      <c r="EL144">
        <v>648.80899999999997</v>
      </c>
      <c r="EM144">
        <v>5.00082</v>
      </c>
      <c r="EN144">
        <v>16140.6</v>
      </c>
      <c r="EO144">
        <v>14130.7</v>
      </c>
      <c r="EP144">
        <v>47.125</v>
      </c>
      <c r="EQ144">
        <v>48.686999999999998</v>
      </c>
      <c r="ER144">
        <v>48.061999999999998</v>
      </c>
      <c r="ES144">
        <v>47.875</v>
      </c>
      <c r="ET144">
        <v>48.375</v>
      </c>
      <c r="EU144">
        <v>1755.63</v>
      </c>
      <c r="EV144">
        <v>39.49</v>
      </c>
      <c r="EW144">
        <v>0</v>
      </c>
      <c r="EX144">
        <v>187.79999995231631</v>
      </c>
      <c r="EY144">
        <v>0</v>
      </c>
      <c r="EZ144">
        <v>648.42119230769231</v>
      </c>
      <c r="FA144">
        <v>5.4645128224849584</v>
      </c>
      <c r="FB144">
        <v>-434.95726727805322</v>
      </c>
      <c r="FC144">
        <v>16116.311538461539</v>
      </c>
      <c r="FD144">
        <v>15</v>
      </c>
      <c r="FE144">
        <v>1689025076.5999999</v>
      </c>
      <c r="FF144" t="s">
        <v>1070</v>
      </c>
      <c r="FG144">
        <v>1689025065.5999999</v>
      </c>
      <c r="FH144">
        <v>1689025076.5999999</v>
      </c>
      <c r="FI144">
        <v>146</v>
      </c>
      <c r="FJ144">
        <v>8.5999999999999993E-2</v>
      </c>
      <c r="FK144">
        <v>-2E-3</v>
      </c>
      <c r="FL144">
        <v>-1.2909999999999999</v>
      </c>
      <c r="FM144">
        <v>1.4999999999999999E-2</v>
      </c>
      <c r="FN144">
        <v>400</v>
      </c>
      <c r="FO144">
        <v>21</v>
      </c>
      <c r="FP144">
        <v>0.04</v>
      </c>
      <c r="FQ144">
        <v>0.01</v>
      </c>
      <c r="FR144">
        <v>45.95525490452539</v>
      </c>
      <c r="FS144">
        <v>1.236816960335148</v>
      </c>
      <c r="FT144">
        <v>9.7524475155582865E-2</v>
      </c>
      <c r="FU144">
        <v>0</v>
      </c>
      <c r="FV144">
        <v>0.35492039380770329</v>
      </c>
      <c r="FW144">
        <v>2.038008999715895E-2</v>
      </c>
      <c r="FX144">
        <v>1.5714958588481261E-3</v>
      </c>
      <c r="FY144">
        <v>1</v>
      </c>
      <c r="FZ144">
        <v>1</v>
      </c>
      <c r="GA144">
        <v>2</v>
      </c>
      <c r="GB144" t="s">
        <v>462</v>
      </c>
      <c r="GC144">
        <v>2.9444900000000001</v>
      </c>
      <c r="GD144">
        <v>2.7084999999999999</v>
      </c>
      <c r="GE144">
        <v>7.7615699999999996E-2</v>
      </c>
      <c r="GF144">
        <v>8.7531999999999999E-2</v>
      </c>
      <c r="GG144">
        <v>0.12606300000000001</v>
      </c>
      <c r="GH144">
        <v>0.10653799999999999</v>
      </c>
      <c r="GI144">
        <v>30269.599999999999</v>
      </c>
      <c r="GJ144">
        <v>29228.400000000001</v>
      </c>
      <c r="GK144">
        <v>33817.800000000003</v>
      </c>
      <c r="GL144">
        <v>32077.8</v>
      </c>
      <c r="GM144">
        <v>42675.199999999997</v>
      </c>
      <c r="GN144">
        <v>40786.5</v>
      </c>
      <c r="GO144">
        <v>48983.9</v>
      </c>
      <c r="GP144">
        <v>45414.2</v>
      </c>
      <c r="GQ144">
        <v>1.96695</v>
      </c>
      <c r="GR144">
        <v>1.7745500000000001</v>
      </c>
      <c r="GS144">
        <v>9.7081100000000007E-3</v>
      </c>
      <c r="GT144">
        <v>0</v>
      </c>
      <c r="GU144">
        <v>29.896699999999999</v>
      </c>
      <c r="GV144">
        <v>999.9</v>
      </c>
      <c r="GW144">
        <v>31.3</v>
      </c>
      <c r="GX144">
        <v>42.7</v>
      </c>
      <c r="GY144">
        <v>27.0291</v>
      </c>
      <c r="GZ144">
        <v>59.984900000000003</v>
      </c>
      <c r="HA144">
        <v>24.9679</v>
      </c>
      <c r="HB144">
        <v>1</v>
      </c>
      <c r="HC144">
        <v>0.52202700000000002</v>
      </c>
      <c r="HD144">
        <v>3.27502</v>
      </c>
      <c r="HE144">
        <v>20.191800000000001</v>
      </c>
      <c r="HF144">
        <v>5.2686500000000001</v>
      </c>
      <c r="HG144">
        <v>12.039899999999999</v>
      </c>
      <c r="HH144">
        <v>4.9657499999999999</v>
      </c>
      <c r="HI144">
        <v>3.3010000000000002</v>
      </c>
      <c r="HJ144">
        <v>9999</v>
      </c>
      <c r="HK144">
        <v>9999</v>
      </c>
      <c r="HL144">
        <v>9999</v>
      </c>
      <c r="HM144">
        <v>999.9</v>
      </c>
      <c r="HN144">
        <v>1.8684400000000001</v>
      </c>
      <c r="HO144">
        <v>1.87209</v>
      </c>
      <c r="HP144">
        <v>1.8719300000000001</v>
      </c>
      <c r="HQ144">
        <v>1.87134</v>
      </c>
      <c r="HR144">
        <v>1.86463</v>
      </c>
      <c r="HS144">
        <v>1.8658300000000001</v>
      </c>
      <c r="HT144">
        <v>1.8678300000000001</v>
      </c>
      <c r="HU144">
        <v>1.8723700000000001</v>
      </c>
      <c r="HV144">
        <v>0</v>
      </c>
      <c r="HW144">
        <v>0</v>
      </c>
      <c r="HX144">
        <v>0</v>
      </c>
      <c r="HY144">
        <v>0</v>
      </c>
      <c r="HZ144" t="s">
        <v>424</v>
      </c>
      <c r="IA144" t="s">
        <v>425</v>
      </c>
      <c r="IB144" t="s">
        <v>426</v>
      </c>
      <c r="IC144" t="s">
        <v>426</v>
      </c>
      <c r="ID144" t="s">
        <v>426</v>
      </c>
      <c r="IE144" t="s">
        <v>426</v>
      </c>
      <c r="IF144">
        <v>0</v>
      </c>
      <c r="IG144">
        <v>100</v>
      </c>
      <c r="IH144">
        <v>100</v>
      </c>
      <c r="II144">
        <v>-1.2350000000000001</v>
      </c>
      <c r="IJ144">
        <v>1.5299999999999999E-2</v>
      </c>
      <c r="IK144">
        <v>-0.86348806666584932</v>
      </c>
      <c r="IL144">
        <v>-1.171017271736434E-3</v>
      </c>
      <c r="IM144">
        <v>2.801297040296544E-7</v>
      </c>
      <c r="IN144">
        <v>-3.6238253961199429E-11</v>
      </c>
      <c r="IO144">
        <v>1.5369999999997219E-2</v>
      </c>
      <c r="IP144">
        <v>0</v>
      </c>
      <c r="IQ144">
        <v>0</v>
      </c>
      <c r="IR144">
        <v>0</v>
      </c>
      <c r="IS144">
        <v>0</v>
      </c>
      <c r="IT144">
        <v>2161</v>
      </c>
      <c r="IU144">
        <v>1</v>
      </c>
      <c r="IV144">
        <v>19</v>
      </c>
      <c r="IW144">
        <v>1.8</v>
      </c>
      <c r="IX144">
        <v>1.6</v>
      </c>
      <c r="IY144">
        <v>1.0339400000000001</v>
      </c>
      <c r="IZ144">
        <v>2.5158700000000001</v>
      </c>
      <c r="JA144">
        <v>1.4440900000000001</v>
      </c>
      <c r="JB144">
        <v>2.2814899999999998</v>
      </c>
      <c r="JC144">
        <v>1.54419</v>
      </c>
      <c r="JD144">
        <v>2.4450699999999999</v>
      </c>
      <c r="JE144">
        <v>45.747999999999998</v>
      </c>
      <c r="JF144">
        <v>24.122499999999999</v>
      </c>
      <c r="JG144">
        <v>18</v>
      </c>
      <c r="JH144">
        <v>509.49099999999999</v>
      </c>
      <c r="JI144">
        <v>423.49299999999999</v>
      </c>
      <c r="JJ144">
        <v>25.9649</v>
      </c>
      <c r="JK144">
        <v>33.735300000000002</v>
      </c>
      <c r="JL144">
        <v>30</v>
      </c>
      <c r="JM144">
        <v>33.619100000000003</v>
      </c>
      <c r="JN144">
        <v>33.577199999999998</v>
      </c>
      <c r="JO144">
        <v>20.8156</v>
      </c>
      <c r="JP144">
        <v>27.560300000000002</v>
      </c>
      <c r="JQ144">
        <v>2.9550000000000001</v>
      </c>
      <c r="JR144">
        <v>25.933399999999999</v>
      </c>
      <c r="JS144">
        <v>400</v>
      </c>
      <c r="JT144">
        <v>22.1922</v>
      </c>
      <c r="JU144">
        <v>99.271699999999996</v>
      </c>
      <c r="JV144">
        <v>98.897900000000007</v>
      </c>
    </row>
    <row r="145" spans="1:282" x14ac:dyDescent="0.25">
      <c r="A145">
        <v>129</v>
      </c>
      <c r="B145">
        <v>1689025309.0999999</v>
      </c>
      <c r="C145">
        <v>26132.099999904629</v>
      </c>
      <c r="D145" t="s">
        <v>1071</v>
      </c>
      <c r="E145" t="s">
        <v>1072</v>
      </c>
      <c r="F145" t="s">
        <v>414</v>
      </c>
      <c r="G145" t="s">
        <v>415</v>
      </c>
      <c r="H145" t="s">
        <v>578</v>
      </c>
      <c r="I145" t="s">
        <v>500</v>
      </c>
      <c r="J145" t="s">
        <v>656</v>
      </c>
      <c r="K145">
        <v>1689025309.0999999</v>
      </c>
      <c r="L145">
        <f t="shared" ref="L145:L176" si="184">(M145)/1000</f>
        <v>5.3293693695918559E-3</v>
      </c>
      <c r="M145">
        <f t="shared" ref="M145:M166" si="185">1000*DM145*AK145*(DI145-DJ145)/(100*DB145*(1000-AK145*DI145))</f>
        <v>5.3293693695918556</v>
      </c>
      <c r="N145">
        <f t="shared" ref="N145:N166" si="186">DM145*AK145*(DH145-DG145*(1000-AK145*DJ145)/(1000-AK145*DI145))/(100*DB145)</f>
        <v>49.485278185870648</v>
      </c>
      <c r="O145">
        <f t="shared" ref="O145:O176" si="187">DG145 - IF(AK145&gt;1, N145*DB145*100/(AM145*DU145), 0)</f>
        <v>338.42200000000003</v>
      </c>
      <c r="P145">
        <f t="shared" ref="P145:P176" si="188">((V145-L145/2)*O145-N145)/(V145+L145/2)</f>
        <v>108.56353223422244</v>
      </c>
      <c r="Q145">
        <f t="shared" ref="Q145:Q176" si="189">P145*(DN145+DO145)/1000</f>
        <v>10.763057143571418</v>
      </c>
      <c r="R145">
        <f t="shared" ref="R145:R166" si="190">(DG145 - IF(AK145&gt;1, N145*DB145*100/(AM145*DU145), 0))*(DN145+DO145)/1000</f>
        <v>33.551370793493</v>
      </c>
      <c r="S145">
        <f t="shared" ref="S145:S176" si="191">2/((1/U145-1/T145)+SIGN(U145)*SQRT((1/U145-1/T145)*(1/U145-1/T145) + 4*DC145/((DC145+1)*(DC145+1))*(2*1/U145*1/T145-1/T145*1/T145)))</f>
        <v>0.37419397747631489</v>
      </c>
      <c r="T145">
        <f t="shared" ref="T145:T166" si="192">IF(LEFT(DD145,1)&lt;&gt;"0",IF(LEFT(DD145,1)="1",3,DE145),$D$5+$E$5*(DU145*DN145/($K$5*1000))+$F$5*(DU145*DN145/($K$5*1000))*MAX(MIN(DB145,$J$5),$I$5)*MAX(MIN(DB145,$J$5),$I$5)+$G$5*MAX(MIN(DB145,$J$5),$I$5)*(DU145*DN145/($K$5*1000))+$H$5*(DU145*DN145/($K$5*1000))*(DU145*DN145/($K$5*1000)))</f>
        <v>2.9142066213098428</v>
      </c>
      <c r="U145">
        <f t="shared" ref="U145:U166" si="193">L145*(1000-(1000*0.61365*EXP(17.502*Y145/(240.97+Y145))/(DN145+DO145)+DI145)/2)/(1000*0.61365*EXP(17.502*Y145/(240.97+Y145))/(DN145+DO145)-DI145)</f>
        <v>0.34940374943316094</v>
      </c>
      <c r="V145">
        <f t="shared" ref="V145:V166" si="194">1/((DC145+1)/(S145/1.6)+1/(T145/1.37)) + DC145/((DC145+1)/(S145/1.6) + DC145/(T145/1.37))</f>
        <v>0.22046763898025717</v>
      </c>
      <c r="W145">
        <f t="shared" ref="W145:W166" si="195">(CX145*DA145)</f>
        <v>289.56646995838588</v>
      </c>
      <c r="X145">
        <f t="shared" ref="X145:X176" si="196">(DP145+(W145+2*0.95*0.0000000567*(((DP145+$B$7)+273)^4-(DP145+273)^4)-44100*L145)/(1.84*29.3*T145+8*0.95*0.0000000567*(DP145+273)^3))</f>
        <v>30.322642232321051</v>
      </c>
      <c r="Y145">
        <f t="shared" ref="Y145:Y176" si="197">($C$7*DQ145+$D$7*DR145+$E$7*X145)</f>
        <v>29.968800000000002</v>
      </c>
      <c r="Z145">
        <f t="shared" ref="Z145:Z176" si="198">0.61365*EXP(17.502*Y145/(240.97+Y145))</f>
        <v>4.2528205697929273</v>
      </c>
      <c r="AA145">
        <f t="shared" ref="AA145:AA176" si="199">(AB145/AC145*100)</f>
        <v>65.588887702286328</v>
      </c>
      <c r="AB145">
        <f t="shared" ref="AB145:AB166" si="200">DI145*(DN145+DO145)/1000</f>
        <v>2.7943976675852999</v>
      </c>
      <c r="AC145">
        <f t="shared" ref="AC145:AC166" si="201">0.61365*EXP(17.502*DP145/(240.97+DP145))</f>
        <v>4.2604742441575079</v>
      </c>
      <c r="AD145">
        <f t="shared" ref="AD145:AD166" si="202">(Z145-DI145*(DN145+DO145)/1000)</f>
        <v>1.4584229022076274</v>
      </c>
      <c r="AE145">
        <f t="shared" ref="AE145:AE166" si="203">(-L145*44100)</f>
        <v>-235.02518919900083</v>
      </c>
      <c r="AF145">
        <f t="shared" ref="AF145:AF166" si="204">2*29.3*T145*0.92*(DP145-Y145)</f>
        <v>4.9175651406198639</v>
      </c>
      <c r="AG145">
        <f t="shared" ref="AG145:AG166" si="205">2*0.95*0.0000000567*(((DP145+$B$7)+273)^4-(Y145+273)^4)</f>
        <v>0.37514745929873855</v>
      </c>
      <c r="AH145">
        <f t="shared" ref="AH145:AH176" si="206">W145+AG145+AE145+AF145</f>
        <v>59.833993359303626</v>
      </c>
      <c r="AI145">
        <v>0</v>
      </c>
      <c r="AJ145">
        <v>0</v>
      </c>
      <c r="AK145">
        <f t="shared" ref="AK145:AK166" si="207">IF(AI145*$H$13&gt;=AM145,1,(AM145/(AM145-AI145*$H$13)))</f>
        <v>1</v>
      </c>
      <c r="AL145">
        <f t="shared" ref="AL145:AL176" si="208">(AK145-1)*100</f>
        <v>0</v>
      </c>
      <c r="AM145">
        <f t="shared" ref="AM145:AM166" si="209">MAX(0,($B$13+$C$13*DU145)/(1+$D$13*DU145)*DN145/(DP145+273)*$E$13)</f>
        <v>51895.200532069415</v>
      </c>
      <c r="AN145" t="s">
        <v>418</v>
      </c>
      <c r="AO145">
        <v>10076.700000000001</v>
      </c>
      <c r="AP145">
        <v>185.01599999999999</v>
      </c>
      <c r="AQ145">
        <v>473.06</v>
      </c>
      <c r="AR145">
        <f t="shared" ref="AR145:AR176" si="210">1-AP145/AQ145</f>
        <v>0.60889527755464423</v>
      </c>
      <c r="AS145">
        <v>-1.4827006201179751</v>
      </c>
      <c r="AT145" t="s">
        <v>1073</v>
      </c>
      <c r="AU145">
        <v>8108.01</v>
      </c>
      <c r="AV145">
        <v>671.93763999999999</v>
      </c>
      <c r="AW145">
        <v>1055.4261132413139</v>
      </c>
      <c r="AX145">
        <f t="shared" ref="AX145:AX176" si="211">1-AV145/AW145</f>
        <v>0.36334942676715132</v>
      </c>
      <c r="AY145">
        <v>0.5</v>
      </c>
      <c r="AZ145">
        <f t="shared" ref="AZ145:AZ166" si="212">CY145</f>
        <v>1513.1846994603034</v>
      </c>
      <c r="BA145">
        <f t="shared" ref="BA145:BA166" si="213">N145</f>
        <v>49.485278185870648</v>
      </c>
      <c r="BB145">
        <f t="shared" ref="BB145:BB166" si="214">AX145*AY145*AZ145</f>
        <v>274.90739657086266</v>
      </c>
      <c r="BC145">
        <f t="shared" ref="BC145:BC166" si="215">(BA145-AS145)/AZ145</f>
        <v>3.3682589325788846E-2</v>
      </c>
      <c r="BD145">
        <f t="shared" ref="BD145:BD166" si="216">(AQ145-AW145)/AW145</f>
        <v>-0.55178293007438706</v>
      </c>
      <c r="BE145">
        <f t="shared" ref="BE145:BE166" si="217">AP145/(AR145+AP145/AW145)</f>
        <v>235.93108691000728</v>
      </c>
      <c r="BF145" t="s">
        <v>1074</v>
      </c>
      <c r="BG145">
        <v>538.07000000000005</v>
      </c>
      <c r="BH145">
        <f t="shared" ref="BH145:BH176" si="218">IF(BG145&lt;&gt;0, BG145, BE145)</f>
        <v>538.07000000000005</v>
      </c>
      <c r="BI145">
        <f t="shared" ref="BI145:BI176" si="219">1-BH145/AW145</f>
        <v>0.49018695553444669</v>
      </c>
      <c r="BJ145">
        <f t="shared" ref="BJ145:BJ166" si="220">(AW145-AV145)/(AW145-BH145)</f>
        <v>0.74124662573077749</v>
      </c>
      <c r="BK145">
        <f t="shared" ref="BK145:BK166" si="221">(AQ145-AW145)/(AQ145-BH145)</f>
        <v>8.9581004959439099</v>
      </c>
      <c r="BL145">
        <f t="shared" ref="BL145:BL166" si="222">(AW145-AV145)/(AW145-AP145)</f>
        <v>0.44058365982587677</v>
      </c>
      <c r="BM145">
        <f t="shared" ref="BM145:BM166" si="223">(AQ145-AW145)/(AQ145-AP145)</f>
        <v>-2.021795674415416</v>
      </c>
      <c r="BN145">
        <f t="shared" ref="BN145:BN166" si="224">(BJ145*BH145/AV145)</f>
        <v>0.59357081396267597</v>
      </c>
      <c r="BO145">
        <f t="shared" ref="BO145:BO176" si="225">(1-BN145)</f>
        <v>0.40642918603732403</v>
      </c>
      <c r="BP145">
        <v>9311</v>
      </c>
      <c r="BQ145">
        <v>290.00000000000011</v>
      </c>
      <c r="BR145">
        <v>902.61</v>
      </c>
      <c r="BS145">
        <v>285</v>
      </c>
      <c r="BT145">
        <v>8108.01</v>
      </c>
      <c r="BU145">
        <v>904.92</v>
      </c>
      <c r="BV145">
        <v>-2.31</v>
      </c>
      <c r="BW145">
        <v>300.00000000000011</v>
      </c>
      <c r="BX145">
        <v>19.2</v>
      </c>
      <c r="BY145">
        <v>1055.4261132413139</v>
      </c>
      <c r="BZ145">
        <v>4.4060861811857066</v>
      </c>
      <c r="CA145">
        <v>-122.0341044633183</v>
      </c>
      <c r="CB145">
        <v>3.2827077106233871</v>
      </c>
      <c r="CC145">
        <v>0.98014139415465462</v>
      </c>
      <c r="CD145">
        <v>-4.176723248053394E-3</v>
      </c>
      <c r="CE145">
        <v>289.99999999999989</v>
      </c>
      <c r="CF145">
        <v>892.54</v>
      </c>
      <c r="CG145">
        <v>635</v>
      </c>
      <c r="CH145">
        <v>8101.57</v>
      </c>
      <c r="CI145">
        <v>904.8</v>
      </c>
      <c r="CJ145">
        <v>-12.26</v>
      </c>
      <c r="CX145">
        <f t="shared" ref="CX145:CX166" si="226">$B$11*DV145+$C$11*DW145+$F$11*EH145*(1-EK145)</f>
        <v>1800</v>
      </c>
      <c r="CY145">
        <f t="shared" ref="CY145:CY176" si="227">CX145*CZ145</f>
        <v>1513.1846994603034</v>
      </c>
      <c r="CZ145">
        <f t="shared" ref="CZ145:CZ166" si="228">($B$11*$D$9+$C$11*$D$9+$F$11*((EU145+EM145)/MAX(EU145+EM145+EV145, 0.1)*$I$9+EV145/MAX(EU145+EM145+EV145, 0.1)*$J$9))/($B$11+$C$11+$F$11)</f>
        <v>0.84065816636683521</v>
      </c>
      <c r="DA145">
        <f t="shared" ref="DA145:DA166" si="229">($B$11*$K$9+$C$11*$K$9+$F$11*((EU145+EM145)/MAX(EU145+EM145+EV145, 0.1)*$P$9+EV145/MAX(EU145+EM145+EV145, 0.1)*$Q$9))/($B$11+$C$11+$F$11)</f>
        <v>0.16087026108799216</v>
      </c>
      <c r="DB145">
        <v>6</v>
      </c>
      <c r="DC145">
        <v>0.5</v>
      </c>
      <c r="DD145" t="s">
        <v>421</v>
      </c>
      <c r="DE145">
        <v>2</v>
      </c>
      <c r="DF145">
        <v>1689025309.0999999</v>
      </c>
      <c r="DG145">
        <v>338.42200000000003</v>
      </c>
      <c r="DH145">
        <v>399.94499999999999</v>
      </c>
      <c r="DI145">
        <v>28.186199999999999</v>
      </c>
      <c r="DJ145">
        <v>21.973600000000001</v>
      </c>
      <c r="DK145">
        <v>339.73399999999998</v>
      </c>
      <c r="DL145">
        <v>28.157299999999999</v>
      </c>
      <c r="DM145">
        <v>500.19200000000001</v>
      </c>
      <c r="DN145">
        <v>99.040800000000004</v>
      </c>
      <c r="DO145">
        <v>9.9831500000000004E-2</v>
      </c>
      <c r="DP145">
        <v>30.0001</v>
      </c>
      <c r="DQ145">
        <v>29.968800000000002</v>
      </c>
      <c r="DR145">
        <v>999.9</v>
      </c>
      <c r="DS145">
        <v>0</v>
      </c>
      <c r="DT145">
        <v>0</v>
      </c>
      <c r="DU145">
        <v>10008.799999999999</v>
      </c>
      <c r="DV145">
        <v>0</v>
      </c>
      <c r="DW145">
        <v>1421.62</v>
      </c>
      <c r="DX145">
        <v>-61.523899999999998</v>
      </c>
      <c r="DY145">
        <v>348.23700000000002</v>
      </c>
      <c r="DZ145">
        <v>408.93099999999998</v>
      </c>
      <c r="EA145">
        <v>6.2126000000000001</v>
      </c>
      <c r="EB145">
        <v>399.94499999999999</v>
      </c>
      <c r="EC145">
        <v>21.973600000000001</v>
      </c>
      <c r="ED145">
        <v>2.7915800000000002</v>
      </c>
      <c r="EE145">
        <v>2.1762800000000002</v>
      </c>
      <c r="EF145">
        <v>22.834399999999999</v>
      </c>
      <c r="EG145">
        <v>18.788799999999998</v>
      </c>
      <c r="EH145">
        <v>1800</v>
      </c>
      <c r="EI145">
        <v>0.97799999999999998</v>
      </c>
      <c r="EJ145">
        <v>2.2000100000000002E-2</v>
      </c>
      <c r="EK145">
        <v>0</v>
      </c>
      <c r="EL145">
        <v>672.74599999999998</v>
      </c>
      <c r="EM145">
        <v>5.00082</v>
      </c>
      <c r="EN145">
        <v>16201.1</v>
      </c>
      <c r="EO145">
        <v>14129.8</v>
      </c>
      <c r="EP145">
        <v>47.375</v>
      </c>
      <c r="EQ145">
        <v>49.061999999999998</v>
      </c>
      <c r="ER145">
        <v>48.25</v>
      </c>
      <c r="ES145">
        <v>48.186999999999998</v>
      </c>
      <c r="ET145">
        <v>48.561999999999998</v>
      </c>
      <c r="EU145">
        <v>1755.51</v>
      </c>
      <c r="EV145">
        <v>39.49</v>
      </c>
      <c r="EW145">
        <v>0</v>
      </c>
      <c r="EX145">
        <v>132.60000014305109</v>
      </c>
      <c r="EY145">
        <v>0</v>
      </c>
      <c r="EZ145">
        <v>671.93763999999999</v>
      </c>
      <c r="FA145">
        <v>4.6246923015600423</v>
      </c>
      <c r="FB145">
        <v>-2031.461533474042</v>
      </c>
      <c r="FC145">
        <v>16580.944</v>
      </c>
      <c r="FD145">
        <v>15</v>
      </c>
      <c r="FE145">
        <v>1689025241.0999999</v>
      </c>
      <c r="FF145" t="s">
        <v>1075</v>
      </c>
      <c r="FG145">
        <v>1689025239.0999999</v>
      </c>
      <c r="FH145">
        <v>1689025241.0999999</v>
      </c>
      <c r="FI145">
        <v>147</v>
      </c>
      <c r="FJ145">
        <v>-8.1000000000000003E-2</v>
      </c>
      <c r="FK145">
        <v>1.4E-2</v>
      </c>
      <c r="FL145">
        <v>-1.373</v>
      </c>
      <c r="FM145">
        <v>2.9000000000000001E-2</v>
      </c>
      <c r="FN145">
        <v>400</v>
      </c>
      <c r="FO145">
        <v>22</v>
      </c>
      <c r="FP145">
        <v>0.06</v>
      </c>
      <c r="FQ145">
        <v>0.02</v>
      </c>
      <c r="FR145">
        <v>49.49199168220234</v>
      </c>
      <c r="FS145">
        <v>0.61618365451653179</v>
      </c>
      <c r="FT145">
        <v>6.8542461856537951E-2</v>
      </c>
      <c r="FU145">
        <v>1</v>
      </c>
      <c r="FV145">
        <v>0.37436481982537828</v>
      </c>
      <c r="FW145">
        <v>4.5232004159431113E-2</v>
      </c>
      <c r="FX145">
        <v>4.1582650725761434E-3</v>
      </c>
      <c r="FY145">
        <v>1</v>
      </c>
      <c r="FZ145">
        <v>2</v>
      </c>
      <c r="GA145">
        <v>2</v>
      </c>
      <c r="GB145" t="s">
        <v>423</v>
      </c>
      <c r="GC145">
        <v>2.9442599999999999</v>
      </c>
      <c r="GD145">
        <v>2.7085699999999999</v>
      </c>
      <c r="GE145">
        <v>7.6878500000000002E-2</v>
      </c>
      <c r="GF145">
        <v>8.7498000000000006E-2</v>
      </c>
      <c r="GG145">
        <v>0.12610199999999999</v>
      </c>
      <c r="GH145">
        <v>0.106042</v>
      </c>
      <c r="GI145">
        <v>30291.5</v>
      </c>
      <c r="GJ145">
        <v>29226.400000000001</v>
      </c>
      <c r="GK145">
        <v>33815.599999999999</v>
      </c>
      <c r="GL145">
        <v>32074.7</v>
      </c>
      <c r="GM145">
        <v>42671.199999999997</v>
      </c>
      <c r="GN145">
        <v>40805.300000000003</v>
      </c>
      <c r="GO145">
        <v>48981.3</v>
      </c>
      <c r="GP145">
        <v>45409.8</v>
      </c>
      <c r="GQ145">
        <v>1.9664699999999999</v>
      </c>
      <c r="GR145">
        <v>1.7735000000000001</v>
      </c>
      <c r="GS145">
        <v>-8.3669999999999994E-3</v>
      </c>
      <c r="GT145">
        <v>0</v>
      </c>
      <c r="GU145">
        <v>30.105</v>
      </c>
      <c r="GV145">
        <v>999.9</v>
      </c>
      <c r="GW145">
        <v>31.4</v>
      </c>
      <c r="GX145">
        <v>42.7</v>
      </c>
      <c r="GY145">
        <v>27.1128</v>
      </c>
      <c r="GZ145">
        <v>60.374899999999997</v>
      </c>
      <c r="HA145">
        <v>24.931899999999999</v>
      </c>
      <c r="HB145">
        <v>1</v>
      </c>
      <c r="HC145">
        <v>0.52600100000000005</v>
      </c>
      <c r="HD145">
        <v>3.1660400000000002</v>
      </c>
      <c r="HE145">
        <v>20.193999999999999</v>
      </c>
      <c r="HF145">
        <v>5.2661100000000003</v>
      </c>
      <c r="HG145">
        <v>12.039899999999999</v>
      </c>
      <c r="HH145">
        <v>4.9649999999999999</v>
      </c>
      <c r="HI145">
        <v>3.3003999999999998</v>
      </c>
      <c r="HJ145">
        <v>9999</v>
      </c>
      <c r="HK145">
        <v>9999</v>
      </c>
      <c r="HL145">
        <v>9999</v>
      </c>
      <c r="HM145">
        <v>999.9</v>
      </c>
      <c r="HN145">
        <v>1.8684400000000001</v>
      </c>
      <c r="HO145">
        <v>1.8721000000000001</v>
      </c>
      <c r="HP145">
        <v>1.8719399999999999</v>
      </c>
      <c r="HQ145">
        <v>1.8713500000000001</v>
      </c>
      <c r="HR145">
        <v>1.8646400000000001</v>
      </c>
      <c r="HS145">
        <v>1.8658399999999999</v>
      </c>
      <c r="HT145">
        <v>1.8678300000000001</v>
      </c>
      <c r="HU145">
        <v>1.87235</v>
      </c>
      <c r="HV145">
        <v>0</v>
      </c>
      <c r="HW145">
        <v>0</v>
      </c>
      <c r="HX145">
        <v>0</v>
      </c>
      <c r="HY145">
        <v>0</v>
      </c>
      <c r="HZ145" t="s">
        <v>424</v>
      </c>
      <c r="IA145" t="s">
        <v>425</v>
      </c>
      <c r="IB145" t="s">
        <v>426</v>
      </c>
      <c r="IC145" t="s">
        <v>426</v>
      </c>
      <c r="ID145" t="s">
        <v>426</v>
      </c>
      <c r="IE145" t="s">
        <v>426</v>
      </c>
      <c r="IF145">
        <v>0</v>
      </c>
      <c r="IG145">
        <v>100</v>
      </c>
      <c r="IH145">
        <v>100</v>
      </c>
      <c r="II145">
        <v>-1.3120000000000001</v>
      </c>
      <c r="IJ145">
        <v>2.8899999999999999E-2</v>
      </c>
      <c r="IK145">
        <v>-0.94501646499786829</v>
      </c>
      <c r="IL145">
        <v>-1.171017271736434E-3</v>
      </c>
      <c r="IM145">
        <v>2.801297040296544E-7</v>
      </c>
      <c r="IN145">
        <v>-3.6238253961199429E-11</v>
      </c>
      <c r="IO145">
        <v>2.8900000000000151E-2</v>
      </c>
      <c r="IP145">
        <v>0</v>
      </c>
      <c r="IQ145">
        <v>0</v>
      </c>
      <c r="IR145">
        <v>0</v>
      </c>
      <c r="IS145">
        <v>0</v>
      </c>
      <c r="IT145">
        <v>2161</v>
      </c>
      <c r="IU145">
        <v>1</v>
      </c>
      <c r="IV145">
        <v>19</v>
      </c>
      <c r="IW145">
        <v>1.2</v>
      </c>
      <c r="IX145">
        <v>1.1000000000000001</v>
      </c>
      <c r="IY145">
        <v>1.03149</v>
      </c>
      <c r="IZ145">
        <v>2.51709</v>
      </c>
      <c r="JA145">
        <v>1.4440900000000001</v>
      </c>
      <c r="JB145">
        <v>2.2814899999999998</v>
      </c>
      <c r="JC145">
        <v>1.54419</v>
      </c>
      <c r="JD145">
        <v>2.4462899999999999</v>
      </c>
      <c r="JE145">
        <v>45.805599999999998</v>
      </c>
      <c r="JF145">
        <v>24.122499999999999</v>
      </c>
      <c r="JG145">
        <v>18</v>
      </c>
      <c r="JH145">
        <v>509.47300000000001</v>
      </c>
      <c r="JI145">
        <v>423.12099999999998</v>
      </c>
      <c r="JJ145">
        <v>25.613099999999999</v>
      </c>
      <c r="JK145">
        <v>33.793300000000002</v>
      </c>
      <c r="JL145">
        <v>30.001200000000001</v>
      </c>
      <c r="JM145">
        <v>33.656500000000001</v>
      </c>
      <c r="JN145">
        <v>33.618600000000001</v>
      </c>
      <c r="JO145">
        <v>20.776800000000001</v>
      </c>
      <c r="JP145">
        <v>28.960799999999999</v>
      </c>
      <c r="JQ145">
        <v>3.10805</v>
      </c>
      <c r="JR145">
        <v>25.594999999999999</v>
      </c>
      <c r="JS145">
        <v>400</v>
      </c>
      <c r="JT145">
        <v>21.9057</v>
      </c>
      <c r="JU145">
        <v>99.265799999999999</v>
      </c>
      <c r="JV145">
        <v>98.888400000000004</v>
      </c>
    </row>
    <row r="146" spans="1:282" x14ac:dyDescent="0.25">
      <c r="A146">
        <v>130</v>
      </c>
      <c r="B146">
        <v>1689025415.5999999</v>
      </c>
      <c r="C146">
        <v>26238.599999904629</v>
      </c>
      <c r="D146" t="s">
        <v>1076</v>
      </c>
      <c r="E146" t="s">
        <v>1077</v>
      </c>
      <c r="F146" t="s">
        <v>414</v>
      </c>
      <c r="G146" t="s">
        <v>415</v>
      </c>
      <c r="H146" t="s">
        <v>578</v>
      </c>
      <c r="I146" t="s">
        <v>500</v>
      </c>
      <c r="J146" t="s">
        <v>656</v>
      </c>
      <c r="K146">
        <v>1689025415.5999999</v>
      </c>
      <c r="L146">
        <f t="shared" si="184"/>
        <v>5.0805650415171461E-3</v>
      </c>
      <c r="M146">
        <f t="shared" si="185"/>
        <v>5.0805650415171462</v>
      </c>
      <c r="N146">
        <f t="shared" si="186"/>
        <v>49.888488687922226</v>
      </c>
      <c r="O146">
        <f t="shared" si="187"/>
        <v>338.32100000000003</v>
      </c>
      <c r="P146">
        <f t="shared" si="188"/>
        <v>94.332462760214725</v>
      </c>
      <c r="Q146">
        <f t="shared" si="189"/>
        <v>9.3520453826062866</v>
      </c>
      <c r="R146">
        <f t="shared" si="190"/>
        <v>33.540875042469196</v>
      </c>
      <c r="S146">
        <f t="shared" si="191"/>
        <v>0.35356829776893911</v>
      </c>
      <c r="T146">
        <f t="shared" si="192"/>
        <v>2.9148320013916522</v>
      </c>
      <c r="U146">
        <f t="shared" si="193"/>
        <v>0.33135305789236169</v>
      </c>
      <c r="V146">
        <f t="shared" si="194"/>
        <v>0.20897518913689167</v>
      </c>
      <c r="W146">
        <f t="shared" si="195"/>
        <v>289.56487395838008</v>
      </c>
      <c r="X146">
        <f t="shared" si="196"/>
        <v>30.499612069497775</v>
      </c>
      <c r="Y146">
        <f t="shared" si="197"/>
        <v>30.015000000000001</v>
      </c>
      <c r="Z146">
        <f t="shared" si="198"/>
        <v>4.2641219019960932</v>
      </c>
      <c r="AA146">
        <f t="shared" si="199"/>
        <v>65.256027919870647</v>
      </c>
      <c r="AB146">
        <f t="shared" si="200"/>
        <v>2.7981842389289597</v>
      </c>
      <c r="AC146">
        <f t="shared" si="201"/>
        <v>4.2880088294140641</v>
      </c>
      <c r="AD146">
        <f t="shared" si="202"/>
        <v>1.4659376630671335</v>
      </c>
      <c r="AE146">
        <f t="shared" si="203"/>
        <v>-224.05291833090615</v>
      </c>
      <c r="AF146">
        <f t="shared" si="204"/>
        <v>15.290152344183401</v>
      </c>
      <c r="AG146">
        <f t="shared" si="205"/>
        <v>1.1671080133220431</v>
      </c>
      <c r="AH146">
        <f t="shared" si="206"/>
        <v>81.969215984979357</v>
      </c>
      <c r="AI146">
        <v>0</v>
      </c>
      <c r="AJ146">
        <v>0</v>
      </c>
      <c r="AK146">
        <f t="shared" si="207"/>
        <v>1</v>
      </c>
      <c r="AL146">
        <f t="shared" si="208"/>
        <v>0</v>
      </c>
      <c r="AM146">
        <f t="shared" si="209"/>
        <v>51893.750609995826</v>
      </c>
      <c r="AN146" t="s">
        <v>418</v>
      </c>
      <c r="AO146">
        <v>10076.700000000001</v>
      </c>
      <c r="AP146">
        <v>185.01599999999999</v>
      </c>
      <c r="AQ146">
        <v>473.06</v>
      </c>
      <c r="AR146">
        <f t="shared" si="210"/>
        <v>0.60889527755464423</v>
      </c>
      <c r="AS146">
        <v>-1.4827006201179751</v>
      </c>
      <c r="AT146" t="s">
        <v>1078</v>
      </c>
      <c r="AU146">
        <v>8107.72</v>
      </c>
      <c r="AV146">
        <v>674.20226923076928</v>
      </c>
      <c r="AW146">
        <v>1058.517705815696</v>
      </c>
      <c r="AX146">
        <f t="shared" si="211"/>
        <v>0.36306944557792964</v>
      </c>
      <c r="AY146">
        <v>0.5</v>
      </c>
      <c r="AZ146">
        <f t="shared" si="212"/>
        <v>1513.1762994603005</v>
      </c>
      <c r="BA146">
        <f t="shared" si="213"/>
        <v>49.888488687922226</v>
      </c>
      <c r="BB146">
        <f t="shared" si="214"/>
        <v>274.69404005335724</v>
      </c>
      <c r="BC146">
        <f t="shared" si="215"/>
        <v>3.3949242613939029E-2</v>
      </c>
      <c r="BD146">
        <f t="shared" si="216"/>
        <v>-0.55309202916406686</v>
      </c>
      <c r="BE146">
        <f t="shared" si="217"/>
        <v>236.08522510551069</v>
      </c>
      <c r="BF146" t="s">
        <v>1079</v>
      </c>
      <c r="BG146">
        <v>541.23</v>
      </c>
      <c r="BH146">
        <f t="shared" si="218"/>
        <v>541.23</v>
      </c>
      <c r="BI146">
        <f t="shared" si="219"/>
        <v>0.48869065011725332</v>
      </c>
      <c r="BJ146">
        <f t="shared" si="220"/>
        <v>0.74294330266154474</v>
      </c>
      <c r="BK146">
        <f t="shared" si="221"/>
        <v>8.5882016402478492</v>
      </c>
      <c r="BL146">
        <f t="shared" si="222"/>
        <v>0.43997102012072675</v>
      </c>
      <c r="BM146">
        <f t="shared" si="223"/>
        <v>-2.0325287310816962</v>
      </c>
      <c r="BN146">
        <f t="shared" si="224"/>
        <v>0.59641330510246915</v>
      </c>
      <c r="BO146">
        <f t="shared" si="225"/>
        <v>0.40358669489753085</v>
      </c>
      <c r="BP146">
        <v>9313</v>
      </c>
      <c r="BQ146">
        <v>290.00000000000011</v>
      </c>
      <c r="BR146">
        <v>910.42</v>
      </c>
      <c r="BS146">
        <v>285</v>
      </c>
      <c r="BT146">
        <v>8107.72</v>
      </c>
      <c r="BU146">
        <v>912.52</v>
      </c>
      <c r="BV146">
        <v>-2.1</v>
      </c>
      <c r="BW146">
        <v>300.00000000000011</v>
      </c>
      <c r="BX146">
        <v>19.2</v>
      </c>
      <c r="BY146">
        <v>1058.517705815696</v>
      </c>
      <c r="BZ146">
        <v>3.6315377485617</v>
      </c>
      <c r="CA146">
        <v>-118.36828785471489</v>
      </c>
      <c r="CB146">
        <v>2.705528352843646</v>
      </c>
      <c r="CC146">
        <v>0.98558267987730364</v>
      </c>
      <c r="CD146">
        <v>-4.176606229143497E-3</v>
      </c>
      <c r="CE146">
        <v>289.99999999999989</v>
      </c>
      <c r="CF146">
        <v>901.12</v>
      </c>
      <c r="CG146">
        <v>675</v>
      </c>
      <c r="CH146">
        <v>8100.16</v>
      </c>
      <c r="CI146">
        <v>912.39</v>
      </c>
      <c r="CJ146">
        <v>-11.27</v>
      </c>
      <c r="CX146">
        <f t="shared" si="226"/>
        <v>1799.99</v>
      </c>
      <c r="CY146">
        <f t="shared" si="227"/>
        <v>1513.1762994603005</v>
      </c>
      <c r="CZ146">
        <f t="shared" si="228"/>
        <v>0.84065817002333376</v>
      </c>
      <c r="DA146">
        <f t="shared" si="229"/>
        <v>0.16087026814503419</v>
      </c>
      <c r="DB146">
        <v>6</v>
      </c>
      <c r="DC146">
        <v>0.5</v>
      </c>
      <c r="DD146" t="s">
        <v>421</v>
      </c>
      <c r="DE146">
        <v>2</v>
      </c>
      <c r="DF146">
        <v>1689025415.5999999</v>
      </c>
      <c r="DG146">
        <v>338.32100000000003</v>
      </c>
      <c r="DH146">
        <v>400.23099999999999</v>
      </c>
      <c r="DI146">
        <v>28.224799999999998</v>
      </c>
      <c r="DJ146">
        <v>22.302</v>
      </c>
      <c r="DK146">
        <v>339.60700000000003</v>
      </c>
      <c r="DL146">
        <v>28.2057</v>
      </c>
      <c r="DM146">
        <v>500.15199999999999</v>
      </c>
      <c r="DN146">
        <v>99.039599999999993</v>
      </c>
      <c r="DO146">
        <v>9.9605200000000005E-2</v>
      </c>
      <c r="DP146">
        <v>30.112300000000001</v>
      </c>
      <c r="DQ146">
        <v>30.015000000000001</v>
      </c>
      <c r="DR146">
        <v>999.9</v>
      </c>
      <c r="DS146">
        <v>0</v>
      </c>
      <c r="DT146">
        <v>0</v>
      </c>
      <c r="DU146">
        <v>10012.5</v>
      </c>
      <c r="DV146">
        <v>0</v>
      </c>
      <c r="DW146">
        <v>1390.06</v>
      </c>
      <c r="DX146">
        <v>-61.909599999999998</v>
      </c>
      <c r="DY146">
        <v>348.14800000000002</v>
      </c>
      <c r="DZ146">
        <v>409.36099999999999</v>
      </c>
      <c r="EA146">
        <v>5.9227600000000002</v>
      </c>
      <c r="EB146">
        <v>400.23099999999999</v>
      </c>
      <c r="EC146">
        <v>22.302</v>
      </c>
      <c r="ED146">
        <v>2.7953700000000001</v>
      </c>
      <c r="EE146">
        <v>2.20878</v>
      </c>
      <c r="EF146">
        <v>22.8568</v>
      </c>
      <c r="EG146">
        <v>19.0261</v>
      </c>
      <c r="EH146">
        <v>1799.99</v>
      </c>
      <c r="EI146">
        <v>0.97799999999999998</v>
      </c>
      <c r="EJ146">
        <v>2.2000100000000002E-2</v>
      </c>
      <c r="EK146">
        <v>0</v>
      </c>
      <c r="EL146">
        <v>673.75</v>
      </c>
      <c r="EM146">
        <v>5.00082</v>
      </c>
      <c r="EN146">
        <v>16803.400000000001</v>
      </c>
      <c r="EO146">
        <v>14129.7</v>
      </c>
      <c r="EP146">
        <v>47.436999999999998</v>
      </c>
      <c r="EQ146">
        <v>49.125</v>
      </c>
      <c r="ER146">
        <v>48.375</v>
      </c>
      <c r="ES146">
        <v>48.186999999999998</v>
      </c>
      <c r="ET146">
        <v>48.625</v>
      </c>
      <c r="EU146">
        <v>1755.5</v>
      </c>
      <c r="EV146">
        <v>39.49</v>
      </c>
      <c r="EW146">
        <v>0</v>
      </c>
      <c r="EX146">
        <v>104.6000001430511</v>
      </c>
      <c r="EY146">
        <v>0</v>
      </c>
      <c r="EZ146">
        <v>674.20226923076928</v>
      </c>
      <c r="FA146">
        <v>-2.303965819766165</v>
      </c>
      <c r="FB146">
        <v>592.21197191163901</v>
      </c>
      <c r="FC146">
        <v>16724.853846153848</v>
      </c>
      <c r="FD146">
        <v>15</v>
      </c>
      <c r="FE146">
        <v>1689025380.5999999</v>
      </c>
      <c r="FF146" t="s">
        <v>1080</v>
      </c>
      <c r="FG146">
        <v>1689025372.5999999</v>
      </c>
      <c r="FH146">
        <v>1689025380.5999999</v>
      </c>
      <c r="FI146">
        <v>148</v>
      </c>
      <c r="FJ146">
        <v>2.5999999999999999E-2</v>
      </c>
      <c r="FK146">
        <v>-0.01</v>
      </c>
      <c r="FL146">
        <v>-1.3460000000000001</v>
      </c>
      <c r="FM146">
        <v>1.9E-2</v>
      </c>
      <c r="FN146">
        <v>400</v>
      </c>
      <c r="FO146">
        <v>22</v>
      </c>
      <c r="FP146">
        <v>0.02</v>
      </c>
      <c r="FQ146">
        <v>0.01</v>
      </c>
      <c r="FR146">
        <v>49.99810426539895</v>
      </c>
      <c r="FS146">
        <v>-0.36020417039533792</v>
      </c>
      <c r="FT146">
        <v>3.8576363051237593E-2</v>
      </c>
      <c r="FU146">
        <v>1</v>
      </c>
      <c r="FV146">
        <v>0.35086318296564151</v>
      </c>
      <c r="FW146">
        <v>4.3374149341977301E-2</v>
      </c>
      <c r="FX146">
        <v>3.2182934171532829E-3</v>
      </c>
      <c r="FY146">
        <v>1</v>
      </c>
      <c r="FZ146">
        <v>2</v>
      </c>
      <c r="GA146">
        <v>2</v>
      </c>
      <c r="GB146" t="s">
        <v>423</v>
      </c>
      <c r="GC146">
        <v>2.9441000000000002</v>
      </c>
      <c r="GD146">
        <v>2.70838</v>
      </c>
      <c r="GE146">
        <v>7.6843400000000006E-2</v>
      </c>
      <c r="GF146">
        <v>8.7535699999999994E-2</v>
      </c>
      <c r="GG146">
        <v>0.12623300000000001</v>
      </c>
      <c r="GH146">
        <v>0.107138</v>
      </c>
      <c r="GI146">
        <v>30285.3</v>
      </c>
      <c r="GJ146">
        <v>29218</v>
      </c>
      <c r="GK146">
        <v>33807.800000000003</v>
      </c>
      <c r="GL146">
        <v>32067.1</v>
      </c>
      <c r="GM146">
        <v>42656</v>
      </c>
      <c r="GN146">
        <v>40745.9</v>
      </c>
      <c r="GO146">
        <v>48970.8</v>
      </c>
      <c r="GP146">
        <v>45399.3</v>
      </c>
      <c r="GQ146">
        <v>1.9653</v>
      </c>
      <c r="GR146">
        <v>1.77335</v>
      </c>
      <c r="GS146">
        <v>-4.1052700000000003E-3</v>
      </c>
      <c r="GT146">
        <v>0</v>
      </c>
      <c r="GU146">
        <v>30.081800000000001</v>
      </c>
      <c r="GV146">
        <v>999.9</v>
      </c>
      <c r="GW146">
        <v>31.5</v>
      </c>
      <c r="GX146">
        <v>42.6</v>
      </c>
      <c r="GY146">
        <v>27.058900000000001</v>
      </c>
      <c r="GZ146">
        <v>60.2149</v>
      </c>
      <c r="HA146">
        <v>24.6675</v>
      </c>
      <c r="HB146">
        <v>1</v>
      </c>
      <c r="HC146">
        <v>0.53545200000000004</v>
      </c>
      <c r="HD146">
        <v>3.42787</v>
      </c>
      <c r="HE146">
        <v>20.1877</v>
      </c>
      <c r="HF146">
        <v>5.2659599999999998</v>
      </c>
      <c r="HG146">
        <v>12.039899999999999</v>
      </c>
      <c r="HH146">
        <v>4.9650999999999996</v>
      </c>
      <c r="HI146">
        <v>3.3002500000000001</v>
      </c>
      <c r="HJ146">
        <v>9999</v>
      </c>
      <c r="HK146">
        <v>9999</v>
      </c>
      <c r="HL146">
        <v>9999</v>
      </c>
      <c r="HM146">
        <v>999.9</v>
      </c>
      <c r="HN146">
        <v>1.8684400000000001</v>
      </c>
      <c r="HO146">
        <v>1.8721000000000001</v>
      </c>
      <c r="HP146">
        <v>1.87191</v>
      </c>
      <c r="HQ146">
        <v>1.8713599999999999</v>
      </c>
      <c r="HR146">
        <v>1.86463</v>
      </c>
      <c r="HS146">
        <v>1.8658300000000001</v>
      </c>
      <c r="HT146">
        <v>1.8678300000000001</v>
      </c>
      <c r="HU146">
        <v>1.8723799999999999</v>
      </c>
      <c r="HV146">
        <v>0</v>
      </c>
      <c r="HW146">
        <v>0</v>
      </c>
      <c r="HX146">
        <v>0</v>
      </c>
      <c r="HY146">
        <v>0</v>
      </c>
      <c r="HZ146" t="s">
        <v>424</v>
      </c>
      <c r="IA146" t="s">
        <v>425</v>
      </c>
      <c r="IB146" t="s">
        <v>426</v>
      </c>
      <c r="IC146" t="s">
        <v>426</v>
      </c>
      <c r="ID146" t="s">
        <v>426</v>
      </c>
      <c r="IE146" t="s">
        <v>426</v>
      </c>
      <c r="IF146">
        <v>0</v>
      </c>
      <c r="IG146">
        <v>100</v>
      </c>
      <c r="IH146">
        <v>100</v>
      </c>
      <c r="II146">
        <v>-1.286</v>
      </c>
      <c r="IJ146">
        <v>1.9099999999999999E-2</v>
      </c>
      <c r="IK146">
        <v>-0.91894730686380099</v>
      </c>
      <c r="IL146">
        <v>-1.171017271736434E-3</v>
      </c>
      <c r="IM146">
        <v>2.801297040296544E-7</v>
      </c>
      <c r="IN146">
        <v>-3.6238253961199429E-11</v>
      </c>
      <c r="IO146">
        <v>1.9004999999999939E-2</v>
      </c>
      <c r="IP146">
        <v>0</v>
      </c>
      <c r="IQ146">
        <v>0</v>
      </c>
      <c r="IR146">
        <v>0</v>
      </c>
      <c r="IS146">
        <v>0</v>
      </c>
      <c r="IT146">
        <v>2161</v>
      </c>
      <c r="IU146">
        <v>1</v>
      </c>
      <c r="IV146">
        <v>19</v>
      </c>
      <c r="IW146">
        <v>0.7</v>
      </c>
      <c r="IX146">
        <v>0.6</v>
      </c>
      <c r="IY146">
        <v>1.03271</v>
      </c>
      <c r="IZ146">
        <v>2.52441</v>
      </c>
      <c r="JA146">
        <v>1.4440900000000001</v>
      </c>
      <c r="JB146">
        <v>2.2814899999999998</v>
      </c>
      <c r="JC146">
        <v>1.54419</v>
      </c>
      <c r="JD146">
        <v>2.3962400000000001</v>
      </c>
      <c r="JE146">
        <v>45.805599999999998</v>
      </c>
      <c r="JF146">
        <v>24.113800000000001</v>
      </c>
      <c r="JG146">
        <v>18</v>
      </c>
      <c r="JH146">
        <v>509.16699999999997</v>
      </c>
      <c r="JI146">
        <v>423.404</v>
      </c>
      <c r="JJ146">
        <v>25.726700000000001</v>
      </c>
      <c r="JK146">
        <v>33.863900000000001</v>
      </c>
      <c r="JL146">
        <v>30</v>
      </c>
      <c r="JM146">
        <v>33.716200000000001</v>
      </c>
      <c r="JN146">
        <v>33.673299999999998</v>
      </c>
      <c r="JO146">
        <v>20.7989</v>
      </c>
      <c r="JP146">
        <v>27.913599999999999</v>
      </c>
      <c r="JQ146">
        <v>2.9792100000000001</v>
      </c>
      <c r="JR146">
        <v>25.7364</v>
      </c>
      <c r="JS146">
        <v>400</v>
      </c>
      <c r="JT146">
        <v>22.217400000000001</v>
      </c>
      <c r="JU146">
        <v>99.244</v>
      </c>
      <c r="JV146">
        <v>98.865200000000002</v>
      </c>
    </row>
    <row r="147" spans="1:282" x14ac:dyDescent="0.25">
      <c r="A147">
        <v>131</v>
      </c>
      <c r="B147">
        <v>1689025584.5999999</v>
      </c>
      <c r="C147">
        <v>26407.599999904629</v>
      </c>
      <c r="D147" t="s">
        <v>1081</v>
      </c>
      <c r="E147" t="s">
        <v>1082</v>
      </c>
      <c r="F147" t="s">
        <v>414</v>
      </c>
      <c r="G147" t="s">
        <v>415</v>
      </c>
      <c r="H147" t="s">
        <v>578</v>
      </c>
      <c r="I147" t="s">
        <v>500</v>
      </c>
      <c r="J147" t="s">
        <v>656</v>
      </c>
      <c r="K147">
        <v>1689025584.5999999</v>
      </c>
      <c r="L147">
        <f t="shared" si="184"/>
        <v>4.9527550748852504E-3</v>
      </c>
      <c r="M147">
        <f t="shared" si="185"/>
        <v>4.9527550748852507</v>
      </c>
      <c r="N147">
        <f t="shared" si="186"/>
        <v>55.501796768265351</v>
      </c>
      <c r="O147">
        <f t="shared" si="187"/>
        <v>430.87700000000001</v>
      </c>
      <c r="P147">
        <f t="shared" si="188"/>
        <v>155.25881570322255</v>
      </c>
      <c r="Q147">
        <f t="shared" si="189"/>
        <v>15.392020540125131</v>
      </c>
      <c r="R147">
        <f t="shared" si="190"/>
        <v>42.716206511227696</v>
      </c>
      <c r="S147">
        <f t="shared" si="191"/>
        <v>0.34940470473799978</v>
      </c>
      <c r="T147">
        <f t="shared" si="192"/>
        <v>2.9128303377116476</v>
      </c>
      <c r="U147">
        <f t="shared" si="193"/>
        <v>0.32767843441106909</v>
      </c>
      <c r="V147">
        <f t="shared" si="194"/>
        <v>0.20663836270990671</v>
      </c>
      <c r="W147">
        <f t="shared" si="195"/>
        <v>289.55471895860916</v>
      </c>
      <c r="X147">
        <f t="shared" si="196"/>
        <v>30.379488936202463</v>
      </c>
      <c r="Y147">
        <f t="shared" si="197"/>
        <v>29.849499999999999</v>
      </c>
      <c r="Z147">
        <f t="shared" si="198"/>
        <v>4.223758343636419</v>
      </c>
      <c r="AA147">
        <f t="shared" si="199"/>
        <v>65.365252341756928</v>
      </c>
      <c r="AB147">
        <f t="shared" si="200"/>
        <v>2.7782382704824</v>
      </c>
      <c r="AC147">
        <f t="shared" si="201"/>
        <v>4.2503289912453885</v>
      </c>
      <c r="AD147">
        <f t="shared" si="202"/>
        <v>1.445520073154019</v>
      </c>
      <c r="AE147">
        <f t="shared" si="203"/>
        <v>-218.41649880243955</v>
      </c>
      <c r="AF147">
        <f t="shared" si="204"/>
        <v>17.13268315008834</v>
      </c>
      <c r="AG147">
        <f t="shared" si="205"/>
        <v>1.3065819560099674</v>
      </c>
      <c r="AH147">
        <f t="shared" si="206"/>
        <v>89.577485262267899</v>
      </c>
      <c r="AI147">
        <v>0</v>
      </c>
      <c r="AJ147">
        <v>0</v>
      </c>
      <c r="AK147">
        <f t="shared" si="207"/>
        <v>1</v>
      </c>
      <c r="AL147">
        <f t="shared" si="208"/>
        <v>0</v>
      </c>
      <c r="AM147">
        <f t="shared" si="209"/>
        <v>51863.099276347544</v>
      </c>
      <c r="AN147" t="s">
        <v>418</v>
      </c>
      <c r="AO147">
        <v>10076.700000000001</v>
      </c>
      <c r="AP147">
        <v>185.01599999999999</v>
      </c>
      <c r="AQ147">
        <v>473.06</v>
      </c>
      <c r="AR147">
        <f t="shared" si="210"/>
        <v>0.60889527755464423</v>
      </c>
      <c r="AS147">
        <v>-1.4827006201179751</v>
      </c>
      <c r="AT147" t="s">
        <v>1083</v>
      </c>
      <c r="AU147">
        <v>8107.84</v>
      </c>
      <c r="AV147">
        <v>702.39355999999998</v>
      </c>
      <c r="AW147">
        <v>1135.5322275530541</v>
      </c>
      <c r="AX147">
        <f t="shared" si="211"/>
        <v>0.38144110492259642</v>
      </c>
      <c r="AY147">
        <v>0.5</v>
      </c>
      <c r="AZ147">
        <f t="shared" si="212"/>
        <v>1513.1255994604192</v>
      </c>
      <c r="BA147">
        <f t="shared" si="213"/>
        <v>55.501796768265351</v>
      </c>
      <c r="BB147">
        <f t="shared" si="214"/>
        <v>288.58415027242415</v>
      </c>
      <c r="BC147">
        <f t="shared" si="215"/>
        <v>3.76601237919073E-2</v>
      </c>
      <c r="BD147">
        <f t="shared" si="216"/>
        <v>-0.58340240063517024</v>
      </c>
      <c r="BE147">
        <f t="shared" si="217"/>
        <v>239.71126250574247</v>
      </c>
      <c r="BF147" t="s">
        <v>1084</v>
      </c>
      <c r="BG147">
        <v>550.79999999999995</v>
      </c>
      <c r="BH147">
        <f t="shared" si="218"/>
        <v>550.79999999999995</v>
      </c>
      <c r="BI147">
        <f t="shared" si="219"/>
        <v>0.51494111163457434</v>
      </c>
      <c r="BJ147">
        <f t="shared" si="220"/>
        <v>0.74074704136904168</v>
      </c>
      <c r="BK147">
        <f t="shared" si="221"/>
        <v>8.5216391504123301</v>
      </c>
      <c r="BL147">
        <f t="shared" si="222"/>
        <v>0.45568781994190416</v>
      </c>
      <c r="BM147">
        <f t="shared" si="223"/>
        <v>-2.2998994165927922</v>
      </c>
      <c r="BN147">
        <f t="shared" si="224"/>
        <v>0.58087587019742626</v>
      </c>
      <c r="BO147">
        <f t="shared" si="225"/>
        <v>0.41912412980257374</v>
      </c>
      <c r="BP147">
        <v>9315</v>
      </c>
      <c r="BQ147">
        <v>290.00000000000011</v>
      </c>
      <c r="BR147">
        <v>988.39</v>
      </c>
      <c r="BS147">
        <v>285</v>
      </c>
      <c r="BT147">
        <v>8107.84</v>
      </c>
      <c r="BU147">
        <v>991.85</v>
      </c>
      <c r="BV147">
        <v>-3.46</v>
      </c>
      <c r="BW147">
        <v>300.00000000000011</v>
      </c>
      <c r="BX147">
        <v>19.2</v>
      </c>
      <c r="BY147">
        <v>1135.5322275530541</v>
      </c>
      <c r="BZ147">
        <v>4.8386124454732231</v>
      </c>
      <c r="CA147">
        <v>-116.49436390405759</v>
      </c>
      <c r="CB147">
        <v>3.604861630769606</v>
      </c>
      <c r="CC147">
        <v>0.97388833499309624</v>
      </c>
      <c r="CD147">
        <v>-4.1768000000000074E-3</v>
      </c>
      <c r="CE147">
        <v>289.99999999999989</v>
      </c>
      <c r="CF147">
        <v>982.04</v>
      </c>
      <c r="CG147">
        <v>685</v>
      </c>
      <c r="CH147">
        <v>8100.09</v>
      </c>
      <c r="CI147">
        <v>991.71</v>
      </c>
      <c r="CJ147">
        <v>-9.67</v>
      </c>
      <c r="CX147">
        <f t="shared" si="226"/>
        <v>1799.93</v>
      </c>
      <c r="CY147">
        <f t="shared" si="227"/>
        <v>1513.1255994604192</v>
      </c>
      <c r="CZ147">
        <f t="shared" si="228"/>
        <v>0.84065802529010525</v>
      </c>
      <c r="DA147">
        <f t="shared" si="229"/>
        <v>0.16086998880990325</v>
      </c>
      <c r="DB147">
        <v>6</v>
      </c>
      <c r="DC147">
        <v>0.5</v>
      </c>
      <c r="DD147" t="s">
        <v>421</v>
      </c>
      <c r="DE147">
        <v>2</v>
      </c>
      <c r="DF147">
        <v>1689025584.5999999</v>
      </c>
      <c r="DG147">
        <v>430.87700000000001</v>
      </c>
      <c r="DH147">
        <v>500.03100000000001</v>
      </c>
      <c r="DI147">
        <v>28.024000000000001</v>
      </c>
      <c r="DJ147">
        <v>22.248000000000001</v>
      </c>
      <c r="DK147">
        <v>432.38499999999999</v>
      </c>
      <c r="DL147">
        <v>27.997699999999998</v>
      </c>
      <c r="DM147">
        <v>500.065</v>
      </c>
      <c r="DN147">
        <v>99.0381</v>
      </c>
      <c r="DO147">
        <v>9.9720100000000006E-2</v>
      </c>
      <c r="DP147">
        <v>29.958600000000001</v>
      </c>
      <c r="DQ147">
        <v>29.849499999999999</v>
      </c>
      <c r="DR147">
        <v>999.9</v>
      </c>
      <c r="DS147">
        <v>0</v>
      </c>
      <c r="DT147">
        <v>0</v>
      </c>
      <c r="DU147">
        <v>10001.200000000001</v>
      </c>
      <c r="DV147">
        <v>0</v>
      </c>
      <c r="DW147">
        <v>433.53399999999999</v>
      </c>
      <c r="DX147">
        <v>-69.154600000000002</v>
      </c>
      <c r="DY147">
        <v>443.3</v>
      </c>
      <c r="DZ147">
        <v>511.40899999999999</v>
      </c>
      <c r="EA147">
        <v>5.7759600000000004</v>
      </c>
      <c r="EB147">
        <v>500.03100000000001</v>
      </c>
      <c r="EC147">
        <v>22.248000000000001</v>
      </c>
      <c r="ED147">
        <v>2.7754400000000001</v>
      </c>
      <c r="EE147">
        <v>2.2033999999999998</v>
      </c>
      <c r="EF147">
        <v>22.738800000000001</v>
      </c>
      <c r="EG147">
        <v>18.987100000000002</v>
      </c>
      <c r="EH147">
        <v>1799.93</v>
      </c>
      <c r="EI147">
        <v>0.97800399999999998</v>
      </c>
      <c r="EJ147">
        <v>2.1996499999999999E-2</v>
      </c>
      <c r="EK147">
        <v>0</v>
      </c>
      <c r="EL147">
        <v>702.23900000000003</v>
      </c>
      <c r="EM147">
        <v>5.00082</v>
      </c>
      <c r="EN147">
        <v>14494.9</v>
      </c>
      <c r="EO147">
        <v>14129.2</v>
      </c>
      <c r="EP147">
        <v>47.375</v>
      </c>
      <c r="EQ147">
        <v>48.875</v>
      </c>
      <c r="ER147">
        <v>48.25</v>
      </c>
      <c r="ES147">
        <v>48.125</v>
      </c>
      <c r="ET147">
        <v>48.561999999999998</v>
      </c>
      <c r="EU147">
        <v>1755.45</v>
      </c>
      <c r="EV147">
        <v>39.479999999999997</v>
      </c>
      <c r="EW147">
        <v>0</v>
      </c>
      <c r="EX147">
        <v>167</v>
      </c>
      <c r="EY147">
        <v>0</v>
      </c>
      <c r="EZ147">
        <v>702.39355999999998</v>
      </c>
      <c r="FA147">
        <v>-0.73469231703289217</v>
      </c>
      <c r="FB147">
        <v>155.5153852509053</v>
      </c>
      <c r="FC147">
        <v>14450.668</v>
      </c>
      <c r="FD147">
        <v>15</v>
      </c>
      <c r="FE147">
        <v>1689025542.0999999</v>
      </c>
      <c r="FF147" t="s">
        <v>1085</v>
      </c>
      <c r="FG147">
        <v>1689025535.0999999</v>
      </c>
      <c r="FH147">
        <v>1689025542.0999999</v>
      </c>
      <c r="FI147">
        <v>149</v>
      </c>
      <c r="FJ147">
        <v>-0.13300000000000001</v>
      </c>
      <c r="FK147">
        <v>7.0000000000000001E-3</v>
      </c>
      <c r="FL147">
        <v>-1.573</v>
      </c>
      <c r="FM147">
        <v>2.5999999999999999E-2</v>
      </c>
      <c r="FN147">
        <v>500</v>
      </c>
      <c r="FO147">
        <v>22</v>
      </c>
      <c r="FP147">
        <v>0.02</v>
      </c>
      <c r="FQ147">
        <v>0.02</v>
      </c>
      <c r="FR147">
        <v>55.709848359348932</v>
      </c>
      <c r="FS147">
        <v>-0.61726533568440589</v>
      </c>
      <c r="FT147">
        <v>6.0984358092706352E-2</v>
      </c>
      <c r="FU147">
        <v>1</v>
      </c>
      <c r="FV147">
        <v>0.35246831615689772</v>
      </c>
      <c r="FW147">
        <v>-1.2978454773015661E-2</v>
      </c>
      <c r="FX147">
        <v>1.019965587186994E-3</v>
      </c>
      <c r="FY147">
        <v>1</v>
      </c>
      <c r="FZ147">
        <v>2</v>
      </c>
      <c r="GA147">
        <v>2</v>
      </c>
      <c r="GB147" t="s">
        <v>423</v>
      </c>
      <c r="GC147">
        <v>2.9438200000000001</v>
      </c>
      <c r="GD147">
        <v>2.7083900000000001</v>
      </c>
      <c r="GE147">
        <v>9.2628699999999994E-2</v>
      </c>
      <c r="GF147">
        <v>0.103365</v>
      </c>
      <c r="GG147">
        <v>0.12556700000000001</v>
      </c>
      <c r="GH147">
        <v>0.10693900000000001</v>
      </c>
      <c r="GI147">
        <v>29760.799999999999</v>
      </c>
      <c r="GJ147">
        <v>28706.3</v>
      </c>
      <c r="GK147">
        <v>33800.699999999997</v>
      </c>
      <c r="GL147">
        <v>32062.2</v>
      </c>
      <c r="GM147">
        <v>42680.800000000003</v>
      </c>
      <c r="GN147">
        <v>40748.9</v>
      </c>
      <c r="GO147">
        <v>48961.1</v>
      </c>
      <c r="GP147">
        <v>45391.8</v>
      </c>
      <c r="GQ147">
        <v>1.9640200000000001</v>
      </c>
      <c r="GR147">
        <v>1.7728999999999999</v>
      </c>
      <c r="GS147">
        <v>5.1111000000000004E-3</v>
      </c>
      <c r="GT147">
        <v>0</v>
      </c>
      <c r="GU147">
        <v>29.766300000000001</v>
      </c>
      <c r="GV147">
        <v>999.9</v>
      </c>
      <c r="GW147">
        <v>31.6</v>
      </c>
      <c r="GX147">
        <v>42.6</v>
      </c>
      <c r="GY147">
        <v>27.145900000000001</v>
      </c>
      <c r="GZ147">
        <v>60.294899999999998</v>
      </c>
      <c r="HA147">
        <v>25.460699999999999</v>
      </c>
      <c r="HB147">
        <v>1</v>
      </c>
      <c r="HC147">
        <v>0.53865300000000005</v>
      </c>
      <c r="HD147">
        <v>2.3119299999999998</v>
      </c>
      <c r="HE147">
        <v>20.206499999999998</v>
      </c>
      <c r="HF147">
        <v>5.2665600000000001</v>
      </c>
      <c r="HG147">
        <v>12.039899999999999</v>
      </c>
      <c r="HH147">
        <v>4.9651500000000004</v>
      </c>
      <c r="HI147">
        <v>3.3003200000000001</v>
      </c>
      <c r="HJ147">
        <v>9999</v>
      </c>
      <c r="HK147">
        <v>9999</v>
      </c>
      <c r="HL147">
        <v>9999</v>
      </c>
      <c r="HM147">
        <v>999.9</v>
      </c>
      <c r="HN147">
        <v>1.8684400000000001</v>
      </c>
      <c r="HO147">
        <v>1.8721000000000001</v>
      </c>
      <c r="HP147">
        <v>1.8719399999999999</v>
      </c>
      <c r="HQ147">
        <v>1.8713500000000001</v>
      </c>
      <c r="HR147">
        <v>1.86463</v>
      </c>
      <c r="HS147">
        <v>1.8658399999999999</v>
      </c>
      <c r="HT147">
        <v>1.8678300000000001</v>
      </c>
      <c r="HU147">
        <v>1.8724099999999999</v>
      </c>
      <c r="HV147">
        <v>0</v>
      </c>
      <c r="HW147">
        <v>0</v>
      </c>
      <c r="HX147">
        <v>0</v>
      </c>
      <c r="HY147">
        <v>0</v>
      </c>
      <c r="HZ147" t="s">
        <v>424</v>
      </c>
      <c r="IA147" t="s">
        <v>425</v>
      </c>
      <c r="IB147" t="s">
        <v>426</v>
      </c>
      <c r="IC147" t="s">
        <v>426</v>
      </c>
      <c r="ID147" t="s">
        <v>426</v>
      </c>
      <c r="IE147" t="s">
        <v>426</v>
      </c>
      <c r="IF147">
        <v>0</v>
      </c>
      <c r="IG147">
        <v>100</v>
      </c>
      <c r="IH147">
        <v>100</v>
      </c>
      <c r="II147">
        <v>-1.508</v>
      </c>
      <c r="IJ147">
        <v>2.63E-2</v>
      </c>
      <c r="IK147">
        <v>-1.0518283984087999</v>
      </c>
      <c r="IL147">
        <v>-1.171017271736434E-3</v>
      </c>
      <c r="IM147">
        <v>2.801297040296544E-7</v>
      </c>
      <c r="IN147">
        <v>-3.6238253961199429E-11</v>
      </c>
      <c r="IO147">
        <v>2.6254999999999029E-2</v>
      </c>
      <c r="IP147">
        <v>0</v>
      </c>
      <c r="IQ147">
        <v>0</v>
      </c>
      <c r="IR147">
        <v>0</v>
      </c>
      <c r="IS147">
        <v>0</v>
      </c>
      <c r="IT147">
        <v>2161</v>
      </c>
      <c r="IU147">
        <v>1</v>
      </c>
      <c r="IV147">
        <v>19</v>
      </c>
      <c r="IW147">
        <v>0.8</v>
      </c>
      <c r="IX147">
        <v>0.7</v>
      </c>
      <c r="IY147">
        <v>1.2365699999999999</v>
      </c>
      <c r="IZ147">
        <v>2.52075</v>
      </c>
      <c r="JA147">
        <v>1.4440900000000001</v>
      </c>
      <c r="JB147">
        <v>2.2814899999999998</v>
      </c>
      <c r="JC147">
        <v>1.54419</v>
      </c>
      <c r="JD147">
        <v>2.2814899999999998</v>
      </c>
      <c r="JE147">
        <v>45.776800000000001</v>
      </c>
      <c r="JF147">
        <v>24.122499999999999</v>
      </c>
      <c r="JG147">
        <v>18</v>
      </c>
      <c r="JH147">
        <v>508.88299999999998</v>
      </c>
      <c r="JI147">
        <v>423.55500000000001</v>
      </c>
      <c r="JJ147">
        <v>26.179300000000001</v>
      </c>
      <c r="JK147">
        <v>33.943100000000001</v>
      </c>
      <c r="JL147">
        <v>29.999400000000001</v>
      </c>
      <c r="JM147">
        <v>33.787199999999999</v>
      </c>
      <c r="JN147">
        <v>33.735999999999997</v>
      </c>
      <c r="JO147">
        <v>24.879799999999999</v>
      </c>
      <c r="JP147">
        <v>28.026499999999999</v>
      </c>
      <c r="JQ147">
        <v>3.1326100000000001</v>
      </c>
      <c r="JR147">
        <v>26.283300000000001</v>
      </c>
      <c r="JS147">
        <v>500</v>
      </c>
      <c r="JT147">
        <v>22.305900000000001</v>
      </c>
      <c r="JU147">
        <v>99.223799999999997</v>
      </c>
      <c r="JV147">
        <v>98.849400000000003</v>
      </c>
    </row>
    <row r="148" spans="1:282" x14ac:dyDescent="0.25">
      <c r="A148">
        <v>132</v>
      </c>
      <c r="B148">
        <v>1689025760</v>
      </c>
      <c r="C148">
        <v>26583</v>
      </c>
      <c r="D148" t="s">
        <v>1086</v>
      </c>
      <c r="E148" t="s">
        <v>1087</v>
      </c>
      <c r="F148" t="s">
        <v>414</v>
      </c>
      <c r="G148" t="s">
        <v>415</v>
      </c>
      <c r="H148" t="s">
        <v>578</v>
      </c>
      <c r="I148" t="s">
        <v>500</v>
      </c>
      <c r="J148" t="s">
        <v>656</v>
      </c>
      <c r="K148">
        <v>1689025760</v>
      </c>
      <c r="L148">
        <f t="shared" si="184"/>
        <v>4.4056615030532223E-3</v>
      </c>
      <c r="M148">
        <f t="shared" si="185"/>
        <v>4.4056615030532225</v>
      </c>
      <c r="N148">
        <f t="shared" si="186"/>
        <v>59.183426577128337</v>
      </c>
      <c r="O148">
        <f t="shared" si="187"/>
        <v>625.81399999999996</v>
      </c>
      <c r="P148">
        <f t="shared" si="188"/>
        <v>286.73407581193464</v>
      </c>
      <c r="Q148">
        <f t="shared" si="189"/>
        <v>28.425280929712859</v>
      </c>
      <c r="R148">
        <f t="shared" si="190"/>
        <v>62.039848976355593</v>
      </c>
      <c r="S148">
        <f t="shared" si="191"/>
        <v>0.30299144385348886</v>
      </c>
      <c r="T148">
        <f t="shared" si="192"/>
        <v>2.911467284519806</v>
      </c>
      <c r="U148">
        <f t="shared" si="193"/>
        <v>0.28650044120538176</v>
      </c>
      <c r="V148">
        <f t="shared" si="194"/>
        <v>0.1804695919031562</v>
      </c>
      <c r="W148">
        <f t="shared" si="195"/>
        <v>289.56385695811053</v>
      </c>
      <c r="X148">
        <f t="shared" si="196"/>
        <v>30.619895850859283</v>
      </c>
      <c r="Y148">
        <f t="shared" si="197"/>
        <v>30.0396</v>
      </c>
      <c r="Z148">
        <f t="shared" si="198"/>
        <v>4.2701501658543304</v>
      </c>
      <c r="AA148">
        <f t="shared" si="199"/>
        <v>65.511337174536848</v>
      </c>
      <c r="AB148">
        <f t="shared" si="200"/>
        <v>2.8000679727875397</v>
      </c>
      <c r="AC148">
        <f t="shared" si="201"/>
        <v>4.2741731333120745</v>
      </c>
      <c r="AD148">
        <f t="shared" si="202"/>
        <v>1.4700821930667907</v>
      </c>
      <c r="AE148">
        <f t="shared" si="203"/>
        <v>-194.28967228464711</v>
      </c>
      <c r="AF148">
        <f t="shared" si="204"/>
        <v>2.5741935975858561</v>
      </c>
      <c r="AG148">
        <f t="shared" si="205"/>
        <v>0.19668620744160831</v>
      </c>
      <c r="AH148">
        <f t="shared" si="206"/>
        <v>98.045064478490872</v>
      </c>
      <c r="AI148">
        <v>0</v>
      </c>
      <c r="AJ148">
        <v>0</v>
      </c>
      <c r="AK148">
        <f t="shared" si="207"/>
        <v>1</v>
      </c>
      <c r="AL148">
        <f t="shared" si="208"/>
        <v>0</v>
      </c>
      <c r="AM148">
        <f t="shared" si="209"/>
        <v>51807.606899420782</v>
      </c>
      <c r="AN148" t="s">
        <v>418</v>
      </c>
      <c r="AO148">
        <v>10076.700000000001</v>
      </c>
      <c r="AP148">
        <v>185.01599999999999</v>
      </c>
      <c r="AQ148">
        <v>473.06</v>
      </c>
      <c r="AR148">
        <f t="shared" si="210"/>
        <v>0.60889527755464423</v>
      </c>
      <c r="AS148">
        <v>-1.4827006201179751</v>
      </c>
      <c r="AT148" t="s">
        <v>1088</v>
      </c>
      <c r="AU148">
        <v>8110.1</v>
      </c>
      <c r="AV148">
        <v>717.29055999999991</v>
      </c>
      <c r="AW148">
        <v>1202.991343171519</v>
      </c>
      <c r="AX148">
        <f t="shared" si="211"/>
        <v>0.40374420475132988</v>
      </c>
      <c r="AY148">
        <v>0.5</v>
      </c>
      <c r="AZ148">
        <f t="shared" si="212"/>
        <v>1513.1681994601611</v>
      </c>
      <c r="BA148">
        <f t="shared" si="213"/>
        <v>59.183426577128337</v>
      </c>
      <c r="BB148">
        <f t="shared" si="214"/>
        <v>305.46644567302224</v>
      </c>
      <c r="BC148">
        <f t="shared" si="215"/>
        <v>4.0092124073774216E-2</v>
      </c>
      <c r="BD148">
        <f t="shared" si="216"/>
        <v>-0.60676358754765169</v>
      </c>
      <c r="BE148">
        <f t="shared" si="217"/>
        <v>242.58288450563413</v>
      </c>
      <c r="BF148" t="s">
        <v>1089</v>
      </c>
      <c r="BG148">
        <v>556.78</v>
      </c>
      <c r="BH148">
        <f t="shared" si="218"/>
        <v>556.78</v>
      </c>
      <c r="BI148">
        <f t="shared" si="219"/>
        <v>0.5371704017984642</v>
      </c>
      <c r="BJ148">
        <f t="shared" si="220"/>
        <v>0.75161290234826961</v>
      </c>
      <c r="BK148">
        <f t="shared" si="221"/>
        <v>8.7187212514514965</v>
      </c>
      <c r="BL148">
        <f t="shared" si="222"/>
        <v>0.47712430996443417</v>
      </c>
      <c r="BM148">
        <f t="shared" si="223"/>
        <v>-2.5340966767977084</v>
      </c>
      <c r="BN148">
        <f t="shared" si="224"/>
        <v>0.5834219145020807</v>
      </c>
      <c r="BO148">
        <f t="shared" si="225"/>
        <v>0.4165780854979193</v>
      </c>
      <c r="BP148">
        <v>9317</v>
      </c>
      <c r="BQ148">
        <v>290.00000000000011</v>
      </c>
      <c r="BR148">
        <v>1038.18</v>
      </c>
      <c r="BS148">
        <v>275</v>
      </c>
      <c r="BT148">
        <v>8110.1</v>
      </c>
      <c r="BU148">
        <v>1041.58</v>
      </c>
      <c r="BV148">
        <v>-3.4</v>
      </c>
      <c r="BW148">
        <v>300.00000000000011</v>
      </c>
      <c r="BX148">
        <v>19.2</v>
      </c>
      <c r="BY148">
        <v>1202.991343171519</v>
      </c>
      <c r="BZ148">
        <v>5.2334164492524744</v>
      </c>
      <c r="CA148">
        <v>-130.9069634330699</v>
      </c>
      <c r="CB148">
        <v>3.8999081453053361</v>
      </c>
      <c r="CC148">
        <v>0.97575173759096334</v>
      </c>
      <c r="CD148">
        <v>-4.1775472747497336E-3</v>
      </c>
      <c r="CE148">
        <v>289.99999999999989</v>
      </c>
      <c r="CF148">
        <v>1032.6300000000001</v>
      </c>
      <c r="CG148">
        <v>635</v>
      </c>
      <c r="CH148">
        <v>8103.29</v>
      </c>
      <c r="CI148">
        <v>1041.44</v>
      </c>
      <c r="CJ148">
        <v>-8.81</v>
      </c>
      <c r="CX148">
        <f t="shared" si="226"/>
        <v>1799.98</v>
      </c>
      <c r="CY148">
        <f t="shared" si="227"/>
        <v>1513.1681994601611</v>
      </c>
      <c r="CZ148">
        <f t="shared" si="228"/>
        <v>0.84065834034831555</v>
      </c>
      <c r="DA148">
        <f t="shared" si="229"/>
        <v>0.16087059687224889</v>
      </c>
      <c r="DB148">
        <v>6</v>
      </c>
      <c r="DC148">
        <v>0.5</v>
      </c>
      <c r="DD148" t="s">
        <v>421</v>
      </c>
      <c r="DE148">
        <v>2</v>
      </c>
      <c r="DF148">
        <v>1689025760</v>
      </c>
      <c r="DG148">
        <v>625.81399999999996</v>
      </c>
      <c r="DH148">
        <v>700.13300000000004</v>
      </c>
      <c r="DI148">
        <v>28.245100000000001</v>
      </c>
      <c r="DJ148">
        <v>23.1083</v>
      </c>
      <c r="DK148">
        <v>627.50599999999997</v>
      </c>
      <c r="DL148">
        <v>28.207100000000001</v>
      </c>
      <c r="DM148">
        <v>500.065</v>
      </c>
      <c r="DN148">
        <v>99.034700000000001</v>
      </c>
      <c r="DO148">
        <v>9.9945400000000004E-2</v>
      </c>
      <c r="DP148">
        <v>30.056000000000001</v>
      </c>
      <c r="DQ148">
        <v>30.0396</v>
      </c>
      <c r="DR148">
        <v>999.9</v>
      </c>
      <c r="DS148">
        <v>0</v>
      </c>
      <c r="DT148">
        <v>0</v>
      </c>
      <c r="DU148">
        <v>9993.75</v>
      </c>
      <c r="DV148">
        <v>0</v>
      </c>
      <c r="DW148">
        <v>1267.3</v>
      </c>
      <c r="DX148">
        <v>-74.318899999999999</v>
      </c>
      <c r="DY148">
        <v>644.00400000000002</v>
      </c>
      <c r="DZ148">
        <v>716.69500000000005</v>
      </c>
      <c r="EA148">
        <v>5.1367399999999996</v>
      </c>
      <c r="EB148">
        <v>700.13300000000004</v>
      </c>
      <c r="EC148">
        <v>23.1083</v>
      </c>
      <c r="ED148">
        <v>2.7972399999999999</v>
      </c>
      <c r="EE148">
        <v>2.2885300000000002</v>
      </c>
      <c r="EF148">
        <v>22.867799999999999</v>
      </c>
      <c r="EG148">
        <v>19.5959</v>
      </c>
      <c r="EH148">
        <v>1799.98</v>
      </c>
      <c r="EI148">
        <v>0.97799599999999998</v>
      </c>
      <c r="EJ148">
        <v>2.2003700000000001E-2</v>
      </c>
      <c r="EK148">
        <v>0</v>
      </c>
      <c r="EL148">
        <v>717.25699999999995</v>
      </c>
      <c r="EM148">
        <v>5.00082</v>
      </c>
      <c r="EN148">
        <v>17673.099999999999</v>
      </c>
      <c r="EO148">
        <v>14129.6</v>
      </c>
      <c r="EP148">
        <v>47.125</v>
      </c>
      <c r="EQ148">
        <v>48.436999999999998</v>
      </c>
      <c r="ER148">
        <v>48</v>
      </c>
      <c r="ES148">
        <v>47.686999999999998</v>
      </c>
      <c r="ET148">
        <v>48.311999999999998</v>
      </c>
      <c r="EU148">
        <v>1755.48</v>
      </c>
      <c r="EV148">
        <v>39.5</v>
      </c>
      <c r="EW148">
        <v>0</v>
      </c>
      <c r="EX148">
        <v>173.5999999046326</v>
      </c>
      <c r="EY148">
        <v>0</v>
      </c>
      <c r="EZ148">
        <v>717.29055999999991</v>
      </c>
      <c r="FA148">
        <v>-1.155846156040949</v>
      </c>
      <c r="FB148">
        <v>-1400.523073701743</v>
      </c>
      <c r="FC148">
        <v>17568.867999999999</v>
      </c>
      <c r="FD148">
        <v>15</v>
      </c>
      <c r="FE148">
        <v>1689025720.5999999</v>
      </c>
      <c r="FF148" t="s">
        <v>1090</v>
      </c>
      <c r="FG148">
        <v>1689025720.5999999</v>
      </c>
      <c r="FH148">
        <v>1689025714.5999999</v>
      </c>
      <c r="FI148">
        <v>150</v>
      </c>
      <c r="FJ148">
        <v>-7.0000000000000001E-3</v>
      </c>
      <c r="FK148">
        <v>1.2E-2</v>
      </c>
      <c r="FL148">
        <v>-1.7549999999999999</v>
      </c>
      <c r="FM148">
        <v>3.7999999999999999E-2</v>
      </c>
      <c r="FN148">
        <v>700</v>
      </c>
      <c r="FO148">
        <v>23</v>
      </c>
      <c r="FP148">
        <v>0.02</v>
      </c>
      <c r="FQ148">
        <v>0.02</v>
      </c>
      <c r="FR148">
        <v>59.224255528626323</v>
      </c>
      <c r="FS148">
        <v>-0.59476449531478826</v>
      </c>
      <c r="FT148">
        <v>5.3966707062516273E-2</v>
      </c>
      <c r="FU148">
        <v>1</v>
      </c>
      <c r="FV148">
        <v>0.3054596206641309</v>
      </c>
      <c r="FW148">
        <v>-2.468355590280693E-3</v>
      </c>
      <c r="FX148">
        <v>9.6625438818672305E-4</v>
      </c>
      <c r="FY148">
        <v>1</v>
      </c>
      <c r="FZ148">
        <v>2</v>
      </c>
      <c r="GA148">
        <v>2</v>
      </c>
      <c r="GB148" t="s">
        <v>423</v>
      </c>
      <c r="GC148">
        <v>2.94387</v>
      </c>
      <c r="GD148">
        <v>2.7085499999999998</v>
      </c>
      <c r="GE148">
        <v>0.12130199999999999</v>
      </c>
      <c r="GF148">
        <v>0.13103600000000001</v>
      </c>
      <c r="GG148">
        <v>0.12624099999999999</v>
      </c>
      <c r="GH148">
        <v>0.109843</v>
      </c>
      <c r="GI148">
        <v>28829.7</v>
      </c>
      <c r="GJ148">
        <v>27828.799999999999</v>
      </c>
      <c r="GK148">
        <v>33811.1</v>
      </c>
      <c r="GL148">
        <v>32071.9</v>
      </c>
      <c r="GM148">
        <v>42660.1</v>
      </c>
      <c r="GN148">
        <v>40629.1</v>
      </c>
      <c r="GO148">
        <v>48975</v>
      </c>
      <c r="GP148">
        <v>45405.7</v>
      </c>
      <c r="GQ148">
        <v>1.9657</v>
      </c>
      <c r="GR148">
        <v>1.7766500000000001</v>
      </c>
      <c r="GS148">
        <v>2.2765199999999999E-2</v>
      </c>
      <c r="GT148">
        <v>0</v>
      </c>
      <c r="GU148">
        <v>29.669</v>
      </c>
      <c r="GV148">
        <v>999.9</v>
      </c>
      <c r="GW148">
        <v>31.8</v>
      </c>
      <c r="GX148">
        <v>42.5</v>
      </c>
      <c r="GY148">
        <v>27.1752</v>
      </c>
      <c r="GZ148">
        <v>60.364899999999999</v>
      </c>
      <c r="HA148">
        <v>25.2043</v>
      </c>
      <c r="HB148">
        <v>1</v>
      </c>
      <c r="HC148">
        <v>0.53125999999999995</v>
      </c>
      <c r="HD148">
        <v>3.7223000000000002</v>
      </c>
      <c r="HE148">
        <v>20.183</v>
      </c>
      <c r="HF148">
        <v>5.2694000000000001</v>
      </c>
      <c r="HG148">
        <v>12.039899999999999</v>
      </c>
      <c r="HH148">
        <v>4.9654499999999997</v>
      </c>
      <c r="HI148">
        <v>3.30078</v>
      </c>
      <c r="HJ148">
        <v>9999</v>
      </c>
      <c r="HK148">
        <v>9999</v>
      </c>
      <c r="HL148">
        <v>9999</v>
      </c>
      <c r="HM148">
        <v>999.9</v>
      </c>
      <c r="HN148">
        <v>1.8684400000000001</v>
      </c>
      <c r="HO148">
        <v>1.87209</v>
      </c>
      <c r="HP148">
        <v>1.87195</v>
      </c>
      <c r="HQ148">
        <v>1.87134</v>
      </c>
      <c r="HR148">
        <v>1.8646199999999999</v>
      </c>
      <c r="HS148">
        <v>1.86581</v>
      </c>
      <c r="HT148">
        <v>1.8678300000000001</v>
      </c>
      <c r="HU148">
        <v>1.8723799999999999</v>
      </c>
      <c r="HV148">
        <v>0</v>
      </c>
      <c r="HW148">
        <v>0</v>
      </c>
      <c r="HX148">
        <v>0</v>
      </c>
      <c r="HY148">
        <v>0</v>
      </c>
      <c r="HZ148" t="s">
        <v>424</v>
      </c>
      <c r="IA148" t="s">
        <v>425</v>
      </c>
      <c r="IB148" t="s">
        <v>426</v>
      </c>
      <c r="IC148" t="s">
        <v>426</v>
      </c>
      <c r="ID148" t="s">
        <v>426</v>
      </c>
      <c r="IE148" t="s">
        <v>426</v>
      </c>
      <c r="IF148">
        <v>0</v>
      </c>
      <c r="IG148">
        <v>100</v>
      </c>
      <c r="IH148">
        <v>100</v>
      </c>
      <c r="II148">
        <v>-1.6919999999999999</v>
      </c>
      <c r="IJ148">
        <v>3.7999999999999999E-2</v>
      </c>
      <c r="IK148">
        <v>-1.05874877217638</v>
      </c>
      <c r="IL148">
        <v>-1.171017271736434E-3</v>
      </c>
      <c r="IM148">
        <v>2.801297040296544E-7</v>
      </c>
      <c r="IN148">
        <v>-3.6238253961199429E-11</v>
      </c>
      <c r="IO148">
        <v>3.8004761904765871E-2</v>
      </c>
      <c r="IP148">
        <v>0</v>
      </c>
      <c r="IQ148">
        <v>0</v>
      </c>
      <c r="IR148">
        <v>0</v>
      </c>
      <c r="IS148">
        <v>0</v>
      </c>
      <c r="IT148">
        <v>2161</v>
      </c>
      <c r="IU148">
        <v>1</v>
      </c>
      <c r="IV148">
        <v>19</v>
      </c>
      <c r="IW148">
        <v>0.7</v>
      </c>
      <c r="IX148">
        <v>0.8</v>
      </c>
      <c r="IY148">
        <v>1.62842</v>
      </c>
      <c r="IZ148">
        <v>2.50854</v>
      </c>
      <c r="JA148">
        <v>1.4440900000000001</v>
      </c>
      <c r="JB148">
        <v>2.2814899999999998</v>
      </c>
      <c r="JC148">
        <v>1.54419</v>
      </c>
      <c r="JD148">
        <v>2.34497</v>
      </c>
      <c r="JE148">
        <v>45.604500000000002</v>
      </c>
      <c r="JF148">
        <v>24.105</v>
      </c>
      <c r="JG148">
        <v>18</v>
      </c>
      <c r="JH148">
        <v>509.16500000000002</v>
      </c>
      <c r="JI148">
        <v>425.22899999999998</v>
      </c>
      <c r="JJ148">
        <v>25.376799999999999</v>
      </c>
      <c r="JK148">
        <v>33.794800000000002</v>
      </c>
      <c r="JL148">
        <v>29.9998</v>
      </c>
      <c r="JM148">
        <v>33.682600000000001</v>
      </c>
      <c r="JN148">
        <v>33.6374</v>
      </c>
      <c r="JO148">
        <v>32.726900000000001</v>
      </c>
      <c r="JP148">
        <v>24.634499999999999</v>
      </c>
      <c r="JQ148">
        <v>3.92014</v>
      </c>
      <c r="JR148">
        <v>25.367699999999999</v>
      </c>
      <c r="JS148">
        <v>700</v>
      </c>
      <c r="JT148">
        <v>22.939499999999999</v>
      </c>
      <c r="JU148">
        <v>99.253</v>
      </c>
      <c r="JV148">
        <v>98.879400000000004</v>
      </c>
    </row>
    <row r="149" spans="1:282" x14ac:dyDescent="0.25">
      <c r="A149">
        <v>133</v>
      </c>
      <c r="B149">
        <v>1689025892</v>
      </c>
      <c r="C149">
        <v>26715</v>
      </c>
      <c r="D149" t="s">
        <v>1091</v>
      </c>
      <c r="E149" t="s">
        <v>1092</v>
      </c>
      <c r="F149" t="s">
        <v>414</v>
      </c>
      <c r="G149" t="s">
        <v>415</v>
      </c>
      <c r="H149" t="s">
        <v>578</v>
      </c>
      <c r="I149" t="s">
        <v>500</v>
      </c>
      <c r="J149" t="s">
        <v>656</v>
      </c>
      <c r="K149">
        <v>1689025892</v>
      </c>
      <c r="L149">
        <f t="shared" si="184"/>
        <v>4.2965975190294332E-3</v>
      </c>
      <c r="M149">
        <f t="shared" si="185"/>
        <v>4.296597519029433</v>
      </c>
      <c r="N149">
        <f t="shared" si="186"/>
        <v>59.235510216116403</v>
      </c>
      <c r="O149">
        <f t="shared" si="187"/>
        <v>824.96600000000001</v>
      </c>
      <c r="P149">
        <f t="shared" si="188"/>
        <v>465.69600803007194</v>
      </c>
      <c r="Q149">
        <f t="shared" si="189"/>
        <v>46.164613392279925</v>
      </c>
      <c r="R149">
        <f t="shared" si="190"/>
        <v>81.779177392725998</v>
      </c>
      <c r="S149">
        <f t="shared" si="191"/>
        <v>0.28914830993846363</v>
      </c>
      <c r="T149">
        <f t="shared" si="192"/>
        <v>2.9120437921226769</v>
      </c>
      <c r="U149">
        <f t="shared" si="193"/>
        <v>0.27409237430052286</v>
      </c>
      <c r="V149">
        <f t="shared" si="194"/>
        <v>0.17259509336396361</v>
      </c>
      <c r="W149">
        <f t="shared" si="195"/>
        <v>289.53933795828749</v>
      </c>
      <c r="X149">
        <f t="shared" si="196"/>
        <v>30.510066365012097</v>
      </c>
      <c r="Y149">
        <f t="shared" si="197"/>
        <v>29.996200000000002</v>
      </c>
      <c r="Z149">
        <f t="shared" si="198"/>
        <v>4.2595199372389567</v>
      </c>
      <c r="AA149">
        <f t="shared" si="199"/>
        <v>65.102402410294033</v>
      </c>
      <c r="AB149">
        <f t="shared" si="200"/>
        <v>2.7606021192001995</v>
      </c>
      <c r="AC149">
        <f t="shared" si="201"/>
        <v>4.240399765590972</v>
      </c>
      <c r="AD149">
        <f t="shared" si="202"/>
        <v>1.4989178180387572</v>
      </c>
      <c r="AE149">
        <f t="shared" si="203"/>
        <v>-189.47995058919801</v>
      </c>
      <c r="AF149">
        <f t="shared" si="204"/>
        <v>-12.292638415308216</v>
      </c>
      <c r="AG149">
        <f t="shared" si="205"/>
        <v>-0.93821335419235485</v>
      </c>
      <c r="AH149">
        <f t="shared" si="206"/>
        <v>86.828535599588932</v>
      </c>
      <c r="AI149">
        <v>0</v>
      </c>
      <c r="AJ149">
        <v>0</v>
      </c>
      <c r="AK149">
        <f t="shared" si="207"/>
        <v>1</v>
      </c>
      <c r="AL149">
        <f t="shared" si="208"/>
        <v>0</v>
      </c>
      <c r="AM149">
        <f t="shared" si="209"/>
        <v>51847.525798090137</v>
      </c>
      <c r="AN149" t="s">
        <v>418</v>
      </c>
      <c r="AO149">
        <v>10076.700000000001</v>
      </c>
      <c r="AP149">
        <v>185.01599999999999</v>
      </c>
      <c r="AQ149">
        <v>473.06</v>
      </c>
      <c r="AR149">
        <f t="shared" si="210"/>
        <v>0.60889527755464423</v>
      </c>
      <c r="AS149">
        <v>-1.4827006201179751</v>
      </c>
      <c r="AT149" t="s">
        <v>1093</v>
      </c>
      <c r="AU149">
        <v>8109.64</v>
      </c>
      <c r="AV149">
        <v>715.00055999999995</v>
      </c>
      <c r="AW149">
        <v>1207.1262115397651</v>
      </c>
      <c r="AX149">
        <f t="shared" si="211"/>
        <v>0.40768367618496826</v>
      </c>
      <c r="AY149">
        <v>0.5</v>
      </c>
      <c r="AZ149">
        <f t="shared" si="212"/>
        <v>1513.0418994602524</v>
      </c>
      <c r="BA149">
        <f t="shared" si="213"/>
        <v>59.235510216116403</v>
      </c>
      <c r="BB149">
        <f t="shared" si="214"/>
        <v>308.4212418969214</v>
      </c>
      <c r="BC149">
        <f t="shared" si="215"/>
        <v>4.0129893863411446E-2</v>
      </c>
      <c r="BD149">
        <f t="shared" si="216"/>
        <v>-0.60811057246732947</v>
      </c>
      <c r="BE149">
        <f t="shared" si="217"/>
        <v>242.75055895953244</v>
      </c>
      <c r="BF149" t="s">
        <v>1094</v>
      </c>
      <c r="BG149">
        <v>556.75</v>
      </c>
      <c r="BH149">
        <f t="shared" si="218"/>
        <v>556.75</v>
      </c>
      <c r="BI149">
        <f t="shared" si="219"/>
        <v>0.53878062237598956</v>
      </c>
      <c r="BJ149">
        <f t="shared" si="220"/>
        <v>0.75667843135691892</v>
      </c>
      <c r="BK149">
        <f t="shared" si="221"/>
        <v>8.7712535731839552</v>
      </c>
      <c r="BL149">
        <f t="shared" si="222"/>
        <v>0.48148002630596853</v>
      </c>
      <c r="BM149">
        <f t="shared" si="223"/>
        <v>-2.5484516655086211</v>
      </c>
      <c r="BN149">
        <f t="shared" si="224"/>
        <v>0.58920333804768577</v>
      </c>
      <c r="BO149">
        <f t="shared" si="225"/>
        <v>0.41079666195231423</v>
      </c>
      <c r="BP149">
        <v>9319</v>
      </c>
      <c r="BQ149">
        <v>290.00000000000011</v>
      </c>
      <c r="BR149">
        <v>1040.1400000000001</v>
      </c>
      <c r="BS149">
        <v>295</v>
      </c>
      <c r="BT149">
        <v>8109.64</v>
      </c>
      <c r="BU149">
        <v>1043.1600000000001</v>
      </c>
      <c r="BV149">
        <v>-3.02</v>
      </c>
      <c r="BW149">
        <v>300.00000000000011</v>
      </c>
      <c r="BX149">
        <v>19.2</v>
      </c>
      <c r="BY149">
        <v>1207.1262115397651</v>
      </c>
      <c r="BZ149">
        <v>4.3004317351919017</v>
      </c>
      <c r="CA149">
        <v>-132.9670523074019</v>
      </c>
      <c r="CB149">
        <v>3.204666873672434</v>
      </c>
      <c r="CC149">
        <v>0.98399598108764263</v>
      </c>
      <c r="CD149">
        <v>-4.1776322580645269E-3</v>
      </c>
      <c r="CE149">
        <v>289.99999999999989</v>
      </c>
      <c r="CF149">
        <v>1034.6500000000001</v>
      </c>
      <c r="CG149">
        <v>635</v>
      </c>
      <c r="CH149">
        <v>8103.27</v>
      </c>
      <c r="CI149">
        <v>1043.04</v>
      </c>
      <c r="CJ149">
        <v>-8.39</v>
      </c>
      <c r="CX149">
        <f t="shared" si="226"/>
        <v>1799.83</v>
      </c>
      <c r="CY149">
        <f t="shared" si="227"/>
        <v>1513.0418994602524</v>
      </c>
      <c r="CZ149">
        <f t="shared" si="228"/>
        <v>0.84065822853283501</v>
      </c>
      <c r="DA149">
        <f t="shared" si="229"/>
        <v>0.16087038106837173</v>
      </c>
      <c r="DB149">
        <v>6</v>
      </c>
      <c r="DC149">
        <v>0.5</v>
      </c>
      <c r="DD149" t="s">
        <v>421</v>
      </c>
      <c r="DE149">
        <v>2</v>
      </c>
      <c r="DF149">
        <v>1689025892</v>
      </c>
      <c r="DG149">
        <v>824.96600000000001</v>
      </c>
      <c r="DH149">
        <v>900.27300000000002</v>
      </c>
      <c r="DI149">
        <v>27.848199999999999</v>
      </c>
      <c r="DJ149">
        <v>22.837800000000001</v>
      </c>
      <c r="DK149">
        <v>826.88</v>
      </c>
      <c r="DL149">
        <v>27.8139</v>
      </c>
      <c r="DM149">
        <v>500.19299999999998</v>
      </c>
      <c r="DN149">
        <v>99.030199999999994</v>
      </c>
      <c r="DO149">
        <v>0.100161</v>
      </c>
      <c r="DP149">
        <v>29.917899999999999</v>
      </c>
      <c r="DQ149">
        <v>29.996200000000002</v>
      </c>
      <c r="DR149">
        <v>999.9</v>
      </c>
      <c r="DS149">
        <v>0</v>
      </c>
      <c r="DT149">
        <v>0</v>
      </c>
      <c r="DU149">
        <v>9997.5</v>
      </c>
      <c r="DV149">
        <v>0</v>
      </c>
      <c r="DW149">
        <v>1212.32</v>
      </c>
      <c r="DX149">
        <v>-75.306299999999993</v>
      </c>
      <c r="DY149">
        <v>848.59799999999996</v>
      </c>
      <c r="DZ149">
        <v>921.31299999999999</v>
      </c>
      <c r="EA149">
        <v>5.0104600000000001</v>
      </c>
      <c r="EB149">
        <v>900.27300000000002</v>
      </c>
      <c r="EC149">
        <v>22.837800000000001</v>
      </c>
      <c r="ED149">
        <v>2.7578200000000002</v>
      </c>
      <c r="EE149">
        <v>2.2616299999999998</v>
      </c>
      <c r="EF149">
        <v>22.633700000000001</v>
      </c>
      <c r="EG149">
        <v>19.4057</v>
      </c>
      <c r="EH149">
        <v>1799.83</v>
      </c>
      <c r="EI149">
        <v>0.97799599999999998</v>
      </c>
      <c r="EJ149">
        <v>2.2003700000000001E-2</v>
      </c>
      <c r="EK149">
        <v>0</v>
      </c>
      <c r="EL149">
        <v>714.51300000000003</v>
      </c>
      <c r="EM149">
        <v>5.00082</v>
      </c>
      <c r="EN149">
        <v>16458.900000000001</v>
      </c>
      <c r="EO149">
        <v>14128.4</v>
      </c>
      <c r="EP149">
        <v>47.061999999999998</v>
      </c>
      <c r="EQ149">
        <v>48.5</v>
      </c>
      <c r="ER149">
        <v>47.936999999999998</v>
      </c>
      <c r="ES149">
        <v>47.686999999999998</v>
      </c>
      <c r="ET149">
        <v>48.25</v>
      </c>
      <c r="EU149">
        <v>1755.34</v>
      </c>
      <c r="EV149">
        <v>39.49</v>
      </c>
      <c r="EW149">
        <v>0</v>
      </c>
      <c r="EX149">
        <v>129.79999995231631</v>
      </c>
      <c r="EY149">
        <v>0</v>
      </c>
      <c r="EZ149">
        <v>715.00055999999995</v>
      </c>
      <c r="FA149">
        <v>-3.644153842614283</v>
      </c>
      <c r="FB149">
        <v>-2585.761531953885</v>
      </c>
      <c r="FC149">
        <v>17558.072</v>
      </c>
      <c r="FD149">
        <v>15</v>
      </c>
      <c r="FE149">
        <v>1689025855</v>
      </c>
      <c r="FF149" t="s">
        <v>1095</v>
      </c>
      <c r="FG149">
        <v>1689025855</v>
      </c>
      <c r="FH149">
        <v>1689025854</v>
      </c>
      <c r="FI149">
        <v>151</v>
      </c>
      <c r="FJ149">
        <v>-5.8000000000000003E-2</v>
      </c>
      <c r="FK149">
        <v>-4.0000000000000001E-3</v>
      </c>
      <c r="FL149">
        <v>-1.972</v>
      </c>
      <c r="FM149">
        <v>3.4000000000000002E-2</v>
      </c>
      <c r="FN149">
        <v>900</v>
      </c>
      <c r="FO149">
        <v>23</v>
      </c>
      <c r="FP149">
        <v>0.06</v>
      </c>
      <c r="FQ149">
        <v>0.02</v>
      </c>
      <c r="FR149">
        <v>59.274443917380729</v>
      </c>
      <c r="FS149">
        <v>-0.64088021977804654</v>
      </c>
      <c r="FT149">
        <v>7.4129253626131139E-2</v>
      </c>
      <c r="FU149">
        <v>1</v>
      </c>
      <c r="FV149">
        <v>0.29618191892446871</v>
      </c>
      <c r="FW149">
        <v>-3.4231611947810318E-2</v>
      </c>
      <c r="FX149">
        <v>2.7525759188482238E-3</v>
      </c>
      <c r="FY149">
        <v>1</v>
      </c>
      <c r="FZ149">
        <v>2</v>
      </c>
      <c r="GA149">
        <v>2</v>
      </c>
      <c r="GB149" t="s">
        <v>423</v>
      </c>
      <c r="GC149">
        <v>2.9442499999999998</v>
      </c>
      <c r="GD149">
        <v>2.7088000000000001</v>
      </c>
      <c r="GE149">
        <v>0.14619799999999999</v>
      </c>
      <c r="GF149">
        <v>0.15485099999999999</v>
      </c>
      <c r="GG149">
        <v>0.12502099999999999</v>
      </c>
      <c r="GH149">
        <v>0.10894</v>
      </c>
      <c r="GI149">
        <v>28012.3</v>
      </c>
      <c r="GJ149">
        <v>27065.200000000001</v>
      </c>
      <c r="GK149">
        <v>33811.599999999999</v>
      </c>
      <c r="GL149">
        <v>32072</v>
      </c>
      <c r="GM149">
        <v>42721</v>
      </c>
      <c r="GN149">
        <v>40670.6</v>
      </c>
      <c r="GO149">
        <v>48975.8</v>
      </c>
      <c r="GP149">
        <v>45405.5</v>
      </c>
      <c r="GQ149">
        <v>1.9658800000000001</v>
      </c>
      <c r="GR149">
        <v>1.77702</v>
      </c>
      <c r="GS149">
        <v>2.0694000000000001E-2</v>
      </c>
      <c r="GT149">
        <v>0</v>
      </c>
      <c r="GU149">
        <v>29.659400000000002</v>
      </c>
      <c r="GV149">
        <v>999.9</v>
      </c>
      <c r="GW149">
        <v>32</v>
      </c>
      <c r="GX149">
        <v>42.4</v>
      </c>
      <c r="GY149">
        <v>27.203199999999999</v>
      </c>
      <c r="GZ149">
        <v>60.274900000000002</v>
      </c>
      <c r="HA149">
        <v>25.164300000000001</v>
      </c>
      <c r="HB149">
        <v>1</v>
      </c>
      <c r="HC149">
        <v>0.52835100000000002</v>
      </c>
      <c r="HD149">
        <v>3.21916</v>
      </c>
      <c r="HE149">
        <v>20.193300000000001</v>
      </c>
      <c r="HF149">
        <v>5.2706</v>
      </c>
      <c r="HG149">
        <v>12.039899999999999</v>
      </c>
      <c r="HH149">
        <v>4.9657999999999998</v>
      </c>
      <c r="HI149">
        <v>3.3010000000000002</v>
      </c>
      <c r="HJ149">
        <v>9999</v>
      </c>
      <c r="HK149">
        <v>9999</v>
      </c>
      <c r="HL149">
        <v>9999</v>
      </c>
      <c r="HM149">
        <v>999.9</v>
      </c>
      <c r="HN149">
        <v>1.8684400000000001</v>
      </c>
      <c r="HO149">
        <v>1.87209</v>
      </c>
      <c r="HP149">
        <v>1.87195</v>
      </c>
      <c r="HQ149">
        <v>1.8713500000000001</v>
      </c>
      <c r="HR149">
        <v>1.8646199999999999</v>
      </c>
      <c r="HS149">
        <v>1.8658300000000001</v>
      </c>
      <c r="HT149">
        <v>1.8678300000000001</v>
      </c>
      <c r="HU149">
        <v>1.8723799999999999</v>
      </c>
      <c r="HV149">
        <v>0</v>
      </c>
      <c r="HW149">
        <v>0</v>
      </c>
      <c r="HX149">
        <v>0</v>
      </c>
      <c r="HY149">
        <v>0</v>
      </c>
      <c r="HZ149" t="s">
        <v>424</v>
      </c>
      <c r="IA149" t="s">
        <v>425</v>
      </c>
      <c r="IB149" t="s">
        <v>426</v>
      </c>
      <c r="IC149" t="s">
        <v>426</v>
      </c>
      <c r="ID149" t="s">
        <v>426</v>
      </c>
      <c r="IE149" t="s">
        <v>426</v>
      </c>
      <c r="IF149">
        <v>0</v>
      </c>
      <c r="IG149">
        <v>100</v>
      </c>
      <c r="IH149">
        <v>100</v>
      </c>
      <c r="II149">
        <v>-1.9139999999999999</v>
      </c>
      <c r="IJ149">
        <v>3.4299999999999997E-2</v>
      </c>
      <c r="IK149">
        <v>-1.1166278007362409</v>
      </c>
      <c r="IL149">
        <v>-1.171017271736434E-3</v>
      </c>
      <c r="IM149">
        <v>2.801297040296544E-7</v>
      </c>
      <c r="IN149">
        <v>-3.6238253961199429E-11</v>
      </c>
      <c r="IO149">
        <v>3.4290476190474102E-2</v>
      </c>
      <c r="IP149">
        <v>0</v>
      </c>
      <c r="IQ149">
        <v>0</v>
      </c>
      <c r="IR149">
        <v>0</v>
      </c>
      <c r="IS149">
        <v>0</v>
      </c>
      <c r="IT149">
        <v>2161</v>
      </c>
      <c r="IU149">
        <v>1</v>
      </c>
      <c r="IV149">
        <v>19</v>
      </c>
      <c r="IW149">
        <v>0.6</v>
      </c>
      <c r="IX149">
        <v>0.6</v>
      </c>
      <c r="IY149">
        <v>1.9995099999999999</v>
      </c>
      <c r="IZ149">
        <v>2.49878</v>
      </c>
      <c r="JA149">
        <v>1.4440900000000001</v>
      </c>
      <c r="JB149">
        <v>2.2814899999999998</v>
      </c>
      <c r="JC149">
        <v>1.54419</v>
      </c>
      <c r="JD149">
        <v>2.34741</v>
      </c>
      <c r="JE149">
        <v>45.518599999999999</v>
      </c>
      <c r="JF149">
        <v>24.113800000000001</v>
      </c>
      <c r="JG149">
        <v>18</v>
      </c>
      <c r="JH149">
        <v>509.137</v>
      </c>
      <c r="JI149">
        <v>425.34500000000003</v>
      </c>
      <c r="JJ149">
        <v>25.658799999999999</v>
      </c>
      <c r="JK149">
        <v>33.783299999999997</v>
      </c>
      <c r="JL149">
        <v>29.999400000000001</v>
      </c>
      <c r="JM149">
        <v>33.6646</v>
      </c>
      <c r="JN149">
        <v>33.619999999999997</v>
      </c>
      <c r="JO149">
        <v>40.176900000000003</v>
      </c>
      <c r="JP149">
        <v>26.466699999999999</v>
      </c>
      <c r="JQ149">
        <v>4.11632</v>
      </c>
      <c r="JR149">
        <v>25.671099999999999</v>
      </c>
      <c r="JS149">
        <v>900</v>
      </c>
      <c r="JT149">
        <v>22.834399999999999</v>
      </c>
      <c r="JU149">
        <v>99.254499999999993</v>
      </c>
      <c r="JV149">
        <v>98.879400000000004</v>
      </c>
    </row>
    <row r="150" spans="1:282" x14ac:dyDescent="0.25">
      <c r="A150">
        <v>134</v>
      </c>
      <c r="B150">
        <v>1689026024</v>
      </c>
      <c r="C150">
        <v>26847</v>
      </c>
      <c r="D150" t="s">
        <v>1096</v>
      </c>
      <c r="E150" t="s">
        <v>1097</v>
      </c>
      <c r="F150" t="s">
        <v>414</v>
      </c>
      <c r="G150" t="s">
        <v>415</v>
      </c>
      <c r="H150" t="s">
        <v>578</v>
      </c>
      <c r="I150" t="s">
        <v>500</v>
      </c>
      <c r="J150" t="s">
        <v>656</v>
      </c>
      <c r="K150">
        <v>1689026024</v>
      </c>
      <c r="L150">
        <f t="shared" si="184"/>
        <v>3.8717473975328652E-3</v>
      </c>
      <c r="M150">
        <f t="shared" si="185"/>
        <v>3.8717473975328653</v>
      </c>
      <c r="N150">
        <f t="shared" si="186"/>
        <v>58.372229882619393</v>
      </c>
      <c r="O150">
        <f t="shared" si="187"/>
        <v>1124.94</v>
      </c>
      <c r="P150">
        <f t="shared" si="188"/>
        <v>721.21813163530805</v>
      </c>
      <c r="Q150">
        <f t="shared" si="189"/>
        <v>71.491374036906308</v>
      </c>
      <c r="R150">
        <f t="shared" si="190"/>
        <v>111.51065507286</v>
      </c>
      <c r="S150">
        <f t="shared" si="191"/>
        <v>0.25573601318378086</v>
      </c>
      <c r="T150">
        <f t="shared" si="192"/>
        <v>2.9083519632987325</v>
      </c>
      <c r="U150">
        <f t="shared" si="193"/>
        <v>0.2438676684969982</v>
      </c>
      <c r="V150">
        <f t="shared" si="194"/>
        <v>0.15343770973896922</v>
      </c>
      <c r="W150">
        <f t="shared" si="195"/>
        <v>289.56226095810479</v>
      </c>
      <c r="X150">
        <f t="shared" si="196"/>
        <v>30.557145142267256</v>
      </c>
      <c r="Y150">
        <f t="shared" si="197"/>
        <v>30.040199999999999</v>
      </c>
      <c r="Z150">
        <f t="shared" si="198"/>
        <v>4.2702972894142768</v>
      </c>
      <c r="AA150">
        <f t="shared" si="199"/>
        <v>65.148368028246807</v>
      </c>
      <c r="AB150">
        <f t="shared" si="200"/>
        <v>2.7522793157194996</v>
      </c>
      <c r="AC150">
        <f t="shared" si="201"/>
        <v>4.224632786697244</v>
      </c>
      <c r="AD150">
        <f t="shared" si="202"/>
        <v>1.5180179736947772</v>
      </c>
      <c r="AE150">
        <f t="shared" si="203"/>
        <v>-170.74406023119934</v>
      </c>
      <c r="AF150">
        <f t="shared" si="204"/>
        <v>-29.336357792586686</v>
      </c>
      <c r="AG150">
        <f t="shared" si="205"/>
        <v>-2.2416558755646965</v>
      </c>
      <c r="AH150">
        <f t="shared" si="206"/>
        <v>87.240187058754088</v>
      </c>
      <c r="AI150">
        <v>0</v>
      </c>
      <c r="AJ150">
        <v>0</v>
      </c>
      <c r="AK150">
        <f t="shared" si="207"/>
        <v>1</v>
      </c>
      <c r="AL150">
        <f t="shared" si="208"/>
        <v>0</v>
      </c>
      <c r="AM150">
        <f t="shared" si="209"/>
        <v>51753.53818101075</v>
      </c>
      <c r="AN150" t="s">
        <v>418</v>
      </c>
      <c r="AO150">
        <v>10076.700000000001</v>
      </c>
      <c r="AP150">
        <v>185.01599999999999</v>
      </c>
      <c r="AQ150">
        <v>473.06</v>
      </c>
      <c r="AR150">
        <f t="shared" si="210"/>
        <v>0.60889527755464423</v>
      </c>
      <c r="AS150">
        <v>-1.4827006201179751</v>
      </c>
      <c r="AT150" t="s">
        <v>1098</v>
      </c>
      <c r="AU150">
        <v>8110.27</v>
      </c>
      <c r="AV150">
        <v>708.81356000000005</v>
      </c>
      <c r="AW150">
        <v>1206.5591693366571</v>
      </c>
      <c r="AX150">
        <f t="shared" si="211"/>
        <v>0.4125331123299224</v>
      </c>
      <c r="AY150">
        <v>0.5</v>
      </c>
      <c r="AZ150">
        <f t="shared" si="212"/>
        <v>1513.159799460158</v>
      </c>
      <c r="BA150">
        <f t="shared" si="213"/>
        <v>58.372229882619393</v>
      </c>
      <c r="BB150">
        <f t="shared" si="214"/>
        <v>312.11426076191009</v>
      </c>
      <c r="BC150">
        <f t="shared" si="215"/>
        <v>3.9556252105092601E-2</v>
      </c>
      <c r="BD150">
        <f t="shared" si="216"/>
        <v>-0.60792639762534051</v>
      </c>
      <c r="BE150">
        <f t="shared" si="217"/>
        <v>242.72761895429332</v>
      </c>
      <c r="BF150" t="s">
        <v>1099</v>
      </c>
      <c r="BG150">
        <v>555.20000000000005</v>
      </c>
      <c r="BH150">
        <f t="shared" si="218"/>
        <v>555.20000000000005</v>
      </c>
      <c r="BI150">
        <f t="shared" si="219"/>
        <v>0.53984850962158926</v>
      </c>
      <c r="BJ150">
        <f t="shared" si="220"/>
        <v>0.76416458502236217</v>
      </c>
      <c r="BK150">
        <f t="shared" si="221"/>
        <v>8.9298657089926561</v>
      </c>
      <c r="BL150">
        <f t="shared" si="222"/>
        <v>0.48724872749124248</v>
      </c>
      <c r="BM150">
        <f t="shared" si="223"/>
        <v>-2.5464830697277403</v>
      </c>
      <c r="BN150">
        <f t="shared" si="224"/>
        <v>0.59855539107408651</v>
      </c>
      <c r="BO150">
        <f t="shared" si="225"/>
        <v>0.40144460892591349</v>
      </c>
      <c r="BP150">
        <v>9321</v>
      </c>
      <c r="BQ150">
        <v>290.00000000000011</v>
      </c>
      <c r="BR150">
        <v>1032.6500000000001</v>
      </c>
      <c r="BS150">
        <v>275</v>
      </c>
      <c r="BT150">
        <v>8110.27</v>
      </c>
      <c r="BU150">
        <v>1036.25</v>
      </c>
      <c r="BV150">
        <v>-3.6</v>
      </c>
      <c r="BW150">
        <v>300.00000000000011</v>
      </c>
      <c r="BX150">
        <v>19.2</v>
      </c>
      <c r="BY150">
        <v>1206.5591693366571</v>
      </c>
      <c r="BZ150">
        <v>4.9693417147131234</v>
      </c>
      <c r="CA150">
        <v>-138.12131041163639</v>
      </c>
      <c r="CB150">
        <v>3.7032217693544172</v>
      </c>
      <c r="CC150">
        <v>0.9802693444815247</v>
      </c>
      <c r="CD150">
        <v>-4.1775432703003296E-3</v>
      </c>
      <c r="CE150">
        <v>289.99999999999989</v>
      </c>
      <c r="CF150">
        <v>1026.1300000000001</v>
      </c>
      <c r="CG150">
        <v>625</v>
      </c>
      <c r="CH150">
        <v>8103.78</v>
      </c>
      <c r="CI150">
        <v>1036.1199999999999</v>
      </c>
      <c r="CJ150">
        <v>-9.99</v>
      </c>
      <c r="CX150">
        <f t="shared" si="226"/>
        <v>1799.97</v>
      </c>
      <c r="CY150">
        <f t="shared" si="227"/>
        <v>1513.159799460158</v>
      </c>
      <c r="CZ150">
        <f t="shared" si="228"/>
        <v>0.84065834400582118</v>
      </c>
      <c r="DA150">
        <f t="shared" si="229"/>
        <v>0.16087060393123484</v>
      </c>
      <c r="DB150">
        <v>6</v>
      </c>
      <c r="DC150">
        <v>0.5</v>
      </c>
      <c r="DD150" t="s">
        <v>421</v>
      </c>
      <c r="DE150">
        <v>2</v>
      </c>
      <c r="DF150">
        <v>1689026024</v>
      </c>
      <c r="DG150">
        <v>1124.94</v>
      </c>
      <c r="DH150">
        <v>1200.18</v>
      </c>
      <c r="DI150">
        <v>27.765499999999999</v>
      </c>
      <c r="DJ150">
        <v>23.250399999999999</v>
      </c>
      <c r="DK150">
        <v>1127.1500000000001</v>
      </c>
      <c r="DL150">
        <v>27.734400000000001</v>
      </c>
      <c r="DM150">
        <v>500.221</v>
      </c>
      <c r="DN150">
        <v>99.025499999999994</v>
      </c>
      <c r="DO150">
        <v>0.100369</v>
      </c>
      <c r="DP150">
        <v>29.853100000000001</v>
      </c>
      <c r="DQ150">
        <v>30.040199999999999</v>
      </c>
      <c r="DR150">
        <v>999.9</v>
      </c>
      <c r="DS150">
        <v>0</v>
      </c>
      <c r="DT150">
        <v>0</v>
      </c>
      <c r="DU150">
        <v>9976.8799999999992</v>
      </c>
      <c r="DV150">
        <v>0</v>
      </c>
      <c r="DW150">
        <v>1206.96</v>
      </c>
      <c r="DX150">
        <v>-75.239900000000006</v>
      </c>
      <c r="DY150">
        <v>1157.06</v>
      </c>
      <c r="DZ150">
        <v>1228.74</v>
      </c>
      <c r="EA150">
        <v>4.5151399999999997</v>
      </c>
      <c r="EB150">
        <v>1200.18</v>
      </c>
      <c r="EC150">
        <v>23.250399999999999</v>
      </c>
      <c r="ED150">
        <v>2.7494999999999998</v>
      </c>
      <c r="EE150">
        <v>2.3023799999999999</v>
      </c>
      <c r="EF150">
        <v>22.584</v>
      </c>
      <c r="EG150">
        <v>19.693100000000001</v>
      </c>
      <c r="EH150">
        <v>1799.97</v>
      </c>
      <c r="EI150">
        <v>0.97799599999999998</v>
      </c>
      <c r="EJ150">
        <v>2.2003700000000001E-2</v>
      </c>
      <c r="EK150">
        <v>0</v>
      </c>
      <c r="EL150">
        <v>708.51700000000005</v>
      </c>
      <c r="EM150">
        <v>5.00082</v>
      </c>
      <c r="EN150">
        <v>17186.3</v>
      </c>
      <c r="EO150">
        <v>14129.5</v>
      </c>
      <c r="EP150">
        <v>47</v>
      </c>
      <c r="EQ150">
        <v>48.436999999999998</v>
      </c>
      <c r="ER150">
        <v>47.875</v>
      </c>
      <c r="ES150">
        <v>47.625</v>
      </c>
      <c r="ET150">
        <v>48.186999999999998</v>
      </c>
      <c r="EU150">
        <v>1755.47</v>
      </c>
      <c r="EV150">
        <v>39.5</v>
      </c>
      <c r="EW150">
        <v>0</v>
      </c>
      <c r="EX150">
        <v>130.20000004768369</v>
      </c>
      <c r="EY150">
        <v>0</v>
      </c>
      <c r="EZ150">
        <v>708.81356000000005</v>
      </c>
      <c r="FA150">
        <v>-2.283769226462208</v>
      </c>
      <c r="FB150">
        <v>161.84615444212619</v>
      </c>
      <c r="FC150">
        <v>17516.795999999998</v>
      </c>
      <c r="FD150">
        <v>15</v>
      </c>
      <c r="FE150">
        <v>1689025987.5</v>
      </c>
      <c r="FF150" t="s">
        <v>1100</v>
      </c>
      <c r="FG150">
        <v>1689025987.5</v>
      </c>
      <c r="FH150">
        <v>1689025980.5</v>
      </c>
      <c r="FI150">
        <v>152</v>
      </c>
      <c r="FJ150">
        <v>-8.4000000000000005E-2</v>
      </c>
      <c r="FK150">
        <v>-3.0000000000000001E-3</v>
      </c>
      <c r="FL150">
        <v>-2.2669999999999999</v>
      </c>
      <c r="FM150">
        <v>3.1E-2</v>
      </c>
      <c r="FN150">
        <v>1200</v>
      </c>
      <c r="FO150">
        <v>23</v>
      </c>
      <c r="FP150">
        <v>0.05</v>
      </c>
      <c r="FQ150">
        <v>0.02</v>
      </c>
      <c r="FR150">
        <v>58.436730094909947</v>
      </c>
      <c r="FS150">
        <v>-0.55493792937295838</v>
      </c>
      <c r="FT150">
        <v>4.5843906829052129E-2</v>
      </c>
      <c r="FU150">
        <v>1</v>
      </c>
      <c r="FV150">
        <v>0.25783740168641323</v>
      </c>
      <c r="FW150">
        <v>-3.6549413805725818E-3</v>
      </c>
      <c r="FX150">
        <v>1.055911961220959E-3</v>
      </c>
      <c r="FY150">
        <v>1</v>
      </c>
      <c r="FZ150">
        <v>2</v>
      </c>
      <c r="GA150">
        <v>2</v>
      </c>
      <c r="GB150" t="s">
        <v>423</v>
      </c>
      <c r="GC150">
        <v>2.9443199999999998</v>
      </c>
      <c r="GD150">
        <v>2.7088299999999998</v>
      </c>
      <c r="GE150">
        <v>0.178369</v>
      </c>
      <c r="GF150">
        <v>0.18582099999999999</v>
      </c>
      <c r="GG150">
        <v>0.124775</v>
      </c>
      <c r="GH150">
        <v>0.110315</v>
      </c>
      <c r="GI150">
        <v>26956.1</v>
      </c>
      <c r="GJ150">
        <v>26073.5</v>
      </c>
      <c r="GK150">
        <v>33813.1</v>
      </c>
      <c r="GL150">
        <v>32074.7</v>
      </c>
      <c r="GM150">
        <v>42735.199999999997</v>
      </c>
      <c r="GN150">
        <v>40611.4</v>
      </c>
      <c r="GO150">
        <v>48977.7</v>
      </c>
      <c r="GP150">
        <v>45408.800000000003</v>
      </c>
      <c r="GQ150">
        <v>1.96563</v>
      </c>
      <c r="GR150">
        <v>1.77915</v>
      </c>
      <c r="GS150">
        <v>2.45534E-2</v>
      </c>
      <c r="GT150">
        <v>0</v>
      </c>
      <c r="GU150">
        <v>29.640599999999999</v>
      </c>
      <c r="GV150">
        <v>999.9</v>
      </c>
      <c r="GW150">
        <v>32.200000000000003</v>
      </c>
      <c r="GX150">
        <v>42.4</v>
      </c>
      <c r="GY150">
        <v>27.374500000000001</v>
      </c>
      <c r="GZ150">
        <v>60.454900000000002</v>
      </c>
      <c r="HA150">
        <v>24.775600000000001</v>
      </c>
      <c r="HB150">
        <v>1</v>
      </c>
      <c r="HC150">
        <v>0.52662299999999995</v>
      </c>
      <c r="HD150">
        <v>3.49905</v>
      </c>
      <c r="HE150">
        <v>20.1873</v>
      </c>
      <c r="HF150">
        <v>5.2706</v>
      </c>
      <c r="HG150">
        <v>12.039899999999999</v>
      </c>
      <c r="HH150">
        <v>4.9657999999999998</v>
      </c>
      <c r="HI150">
        <v>3.3010000000000002</v>
      </c>
      <c r="HJ150">
        <v>9999</v>
      </c>
      <c r="HK150">
        <v>9999</v>
      </c>
      <c r="HL150">
        <v>9999</v>
      </c>
      <c r="HM150">
        <v>999.9</v>
      </c>
      <c r="HN150">
        <v>1.8684400000000001</v>
      </c>
      <c r="HO150">
        <v>1.8721000000000001</v>
      </c>
      <c r="HP150">
        <v>1.8719399999999999</v>
      </c>
      <c r="HQ150">
        <v>1.8713500000000001</v>
      </c>
      <c r="HR150">
        <v>1.8646199999999999</v>
      </c>
      <c r="HS150">
        <v>1.8658300000000001</v>
      </c>
      <c r="HT150">
        <v>1.8678300000000001</v>
      </c>
      <c r="HU150">
        <v>1.8723700000000001</v>
      </c>
      <c r="HV150">
        <v>0</v>
      </c>
      <c r="HW150">
        <v>0</v>
      </c>
      <c r="HX150">
        <v>0</v>
      </c>
      <c r="HY150">
        <v>0</v>
      </c>
      <c r="HZ150" t="s">
        <v>424</v>
      </c>
      <c r="IA150" t="s">
        <v>425</v>
      </c>
      <c r="IB150" t="s">
        <v>426</v>
      </c>
      <c r="IC150" t="s">
        <v>426</v>
      </c>
      <c r="ID150" t="s">
        <v>426</v>
      </c>
      <c r="IE150" t="s">
        <v>426</v>
      </c>
      <c r="IF150">
        <v>0</v>
      </c>
      <c r="IG150">
        <v>100</v>
      </c>
      <c r="IH150">
        <v>100</v>
      </c>
      <c r="II150">
        <v>-2.21</v>
      </c>
      <c r="IJ150">
        <v>3.1099999999999999E-2</v>
      </c>
      <c r="IK150">
        <v>-1.2014664122147529</v>
      </c>
      <c r="IL150">
        <v>-1.171017271736434E-3</v>
      </c>
      <c r="IM150">
        <v>2.801297040296544E-7</v>
      </c>
      <c r="IN150">
        <v>-3.6238253961199429E-11</v>
      </c>
      <c r="IO150">
        <v>3.113000000000099E-2</v>
      </c>
      <c r="IP150">
        <v>0</v>
      </c>
      <c r="IQ150">
        <v>0</v>
      </c>
      <c r="IR150">
        <v>0</v>
      </c>
      <c r="IS150">
        <v>0</v>
      </c>
      <c r="IT150">
        <v>2161</v>
      </c>
      <c r="IU150">
        <v>1</v>
      </c>
      <c r="IV150">
        <v>19</v>
      </c>
      <c r="IW150">
        <v>0.6</v>
      </c>
      <c r="IX150">
        <v>0.7</v>
      </c>
      <c r="IY150">
        <v>2.5329600000000001</v>
      </c>
      <c r="IZ150">
        <v>2.48169</v>
      </c>
      <c r="JA150">
        <v>1.4440900000000001</v>
      </c>
      <c r="JB150">
        <v>2.2802699999999998</v>
      </c>
      <c r="JC150">
        <v>1.54419</v>
      </c>
      <c r="JD150">
        <v>2.4060100000000002</v>
      </c>
      <c r="JE150">
        <v>45.461399999999998</v>
      </c>
      <c r="JF150">
        <v>24.122499999999999</v>
      </c>
      <c r="JG150">
        <v>18</v>
      </c>
      <c r="JH150">
        <v>508.75099999999998</v>
      </c>
      <c r="JI150">
        <v>426.51</v>
      </c>
      <c r="JJ150">
        <v>25.436</v>
      </c>
      <c r="JK150">
        <v>33.753500000000003</v>
      </c>
      <c r="JL150">
        <v>30.0002</v>
      </c>
      <c r="JM150">
        <v>33.637300000000003</v>
      </c>
      <c r="JN150">
        <v>33.595199999999998</v>
      </c>
      <c r="JO150">
        <v>50.863999999999997</v>
      </c>
      <c r="JP150">
        <v>25.474299999999999</v>
      </c>
      <c r="JQ150">
        <v>5.0456399999999997</v>
      </c>
      <c r="JR150">
        <v>25.4</v>
      </c>
      <c r="JS150">
        <v>1200</v>
      </c>
      <c r="JT150">
        <v>23.202000000000002</v>
      </c>
      <c r="JU150">
        <v>99.258600000000001</v>
      </c>
      <c r="JV150">
        <v>98.886899999999997</v>
      </c>
    </row>
    <row r="151" spans="1:282" x14ac:dyDescent="0.25">
      <c r="A151">
        <v>135</v>
      </c>
      <c r="B151">
        <v>1689026157</v>
      </c>
      <c r="C151">
        <v>26980</v>
      </c>
      <c r="D151" t="s">
        <v>1101</v>
      </c>
      <c r="E151" t="s">
        <v>1102</v>
      </c>
      <c r="F151" t="s">
        <v>414</v>
      </c>
      <c r="G151" t="s">
        <v>415</v>
      </c>
      <c r="H151" t="s">
        <v>578</v>
      </c>
      <c r="I151" t="s">
        <v>500</v>
      </c>
      <c r="J151" t="s">
        <v>656</v>
      </c>
      <c r="K151">
        <v>1689026157</v>
      </c>
      <c r="L151">
        <f t="shared" si="184"/>
        <v>3.5995046461691489E-3</v>
      </c>
      <c r="M151">
        <f t="shared" si="185"/>
        <v>3.5995046461691489</v>
      </c>
      <c r="N151">
        <f t="shared" si="186"/>
        <v>56.831034658360565</v>
      </c>
      <c r="O151">
        <f t="shared" si="187"/>
        <v>1425.9</v>
      </c>
      <c r="P151">
        <f t="shared" si="188"/>
        <v>993.44774412054971</v>
      </c>
      <c r="Q151">
        <f t="shared" si="189"/>
        <v>98.474669265398219</v>
      </c>
      <c r="R151">
        <f t="shared" si="190"/>
        <v>141.34113418299</v>
      </c>
      <c r="S151">
        <f t="shared" si="191"/>
        <v>0.23503916974939523</v>
      </c>
      <c r="T151">
        <f t="shared" si="192"/>
        <v>2.9125848810097765</v>
      </c>
      <c r="U151">
        <f t="shared" si="193"/>
        <v>0.22498743304552479</v>
      </c>
      <c r="V151">
        <f t="shared" si="194"/>
        <v>0.14148443105415748</v>
      </c>
      <c r="W151">
        <f t="shared" si="195"/>
        <v>289.59577695822634</v>
      </c>
      <c r="X151">
        <f t="shared" si="196"/>
        <v>30.490710741913247</v>
      </c>
      <c r="Y151">
        <f t="shared" si="197"/>
        <v>30.0029</v>
      </c>
      <c r="Z151">
        <f t="shared" si="198"/>
        <v>4.2611595024908731</v>
      </c>
      <c r="AA151">
        <f t="shared" si="199"/>
        <v>65.161104919368142</v>
      </c>
      <c r="AB151">
        <f t="shared" si="200"/>
        <v>2.7312372599325698</v>
      </c>
      <c r="AC151">
        <f t="shared" si="201"/>
        <v>4.1915146517424251</v>
      </c>
      <c r="AD151">
        <f t="shared" si="202"/>
        <v>1.5299222425583032</v>
      </c>
      <c r="AE151">
        <f t="shared" si="203"/>
        <v>-158.73815489605946</v>
      </c>
      <c r="AF151">
        <f t="shared" si="204"/>
        <v>-45.002870931692726</v>
      </c>
      <c r="AG151">
        <f t="shared" si="205"/>
        <v>-3.4308123735136724</v>
      </c>
      <c r="AH151">
        <f t="shared" si="206"/>
        <v>82.423938756960482</v>
      </c>
      <c r="AI151">
        <v>0</v>
      </c>
      <c r="AJ151">
        <v>0</v>
      </c>
      <c r="AK151">
        <f t="shared" si="207"/>
        <v>1</v>
      </c>
      <c r="AL151">
        <f t="shared" si="208"/>
        <v>0</v>
      </c>
      <c r="AM151">
        <f t="shared" si="209"/>
        <v>51897.326693664996</v>
      </c>
      <c r="AN151" t="s">
        <v>418</v>
      </c>
      <c r="AO151">
        <v>10076.700000000001</v>
      </c>
      <c r="AP151">
        <v>185.01599999999999</v>
      </c>
      <c r="AQ151">
        <v>473.06</v>
      </c>
      <c r="AR151">
        <f t="shared" si="210"/>
        <v>0.60889527755464423</v>
      </c>
      <c r="AS151">
        <v>-1.4827006201179751</v>
      </c>
      <c r="AT151" t="s">
        <v>1103</v>
      </c>
      <c r="AU151">
        <v>8110.25</v>
      </c>
      <c r="AV151">
        <v>702.06007692307696</v>
      </c>
      <c r="AW151">
        <v>1185.040707913756</v>
      </c>
      <c r="AX151">
        <f t="shared" si="211"/>
        <v>0.40756459062149708</v>
      </c>
      <c r="AY151">
        <v>0.5</v>
      </c>
      <c r="AZ151">
        <f t="shared" si="212"/>
        <v>1513.3361994602208</v>
      </c>
      <c r="BA151">
        <f t="shared" si="213"/>
        <v>56.831034658360565</v>
      </c>
      <c r="BB151">
        <f t="shared" si="214"/>
        <v>308.39112430284854</v>
      </c>
      <c r="BC151">
        <f t="shared" si="215"/>
        <v>3.8533232271373653E-2</v>
      </c>
      <c r="BD151">
        <f t="shared" si="216"/>
        <v>-0.60080696229177311</v>
      </c>
      <c r="BE151">
        <f t="shared" si="217"/>
        <v>241.8441645693116</v>
      </c>
      <c r="BF151" t="s">
        <v>1104</v>
      </c>
      <c r="BG151">
        <v>554.67999999999995</v>
      </c>
      <c r="BH151">
        <f t="shared" si="218"/>
        <v>554.67999999999995</v>
      </c>
      <c r="BI151">
        <f t="shared" si="219"/>
        <v>0.53193169121041872</v>
      </c>
      <c r="BJ151">
        <f t="shared" si="220"/>
        <v>0.76619723426156017</v>
      </c>
      <c r="BK151">
        <f t="shared" si="221"/>
        <v>8.7231157548855247</v>
      </c>
      <c r="BL151">
        <f t="shared" si="222"/>
        <v>0.4829686978417459</v>
      </c>
      <c r="BM151">
        <f t="shared" si="223"/>
        <v>-2.4717776031222871</v>
      </c>
      <c r="BN151">
        <f t="shared" si="224"/>
        <v>0.60535315405317913</v>
      </c>
      <c r="BO151">
        <f t="shared" si="225"/>
        <v>0.39464684594682087</v>
      </c>
      <c r="BP151">
        <v>9323</v>
      </c>
      <c r="BQ151">
        <v>290.00000000000011</v>
      </c>
      <c r="BR151">
        <v>1021.93</v>
      </c>
      <c r="BS151">
        <v>295</v>
      </c>
      <c r="BT151">
        <v>8110.25</v>
      </c>
      <c r="BU151">
        <v>1024.07</v>
      </c>
      <c r="BV151">
        <v>-2.14</v>
      </c>
      <c r="BW151">
        <v>300.00000000000011</v>
      </c>
      <c r="BX151">
        <v>19.2</v>
      </c>
      <c r="BY151">
        <v>1185.040707913756</v>
      </c>
      <c r="BZ151">
        <v>5.6384958349146439</v>
      </c>
      <c r="CA151">
        <v>-130.55118216259791</v>
      </c>
      <c r="CB151">
        <v>4.2021766636308726</v>
      </c>
      <c r="CC151">
        <v>0.97180802459240589</v>
      </c>
      <c r="CD151">
        <v>-4.1764945494994462E-3</v>
      </c>
      <c r="CE151">
        <v>289.99999999999989</v>
      </c>
      <c r="CF151">
        <v>1015.95</v>
      </c>
      <c r="CG151">
        <v>645</v>
      </c>
      <c r="CH151">
        <v>8103.89</v>
      </c>
      <c r="CI151">
        <v>1023.94</v>
      </c>
      <c r="CJ151">
        <v>-7.99</v>
      </c>
      <c r="CX151">
        <f t="shared" si="226"/>
        <v>1800.18</v>
      </c>
      <c r="CY151">
        <f t="shared" si="227"/>
        <v>1513.3361994602208</v>
      </c>
      <c r="CZ151">
        <f t="shared" si="228"/>
        <v>0.84065826720673531</v>
      </c>
      <c r="DA151">
        <f t="shared" si="229"/>
        <v>0.16087045570899927</v>
      </c>
      <c r="DB151">
        <v>6</v>
      </c>
      <c r="DC151">
        <v>0.5</v>
      </c>
      <c r="DD151" t="s">
        <v>421</v>
      </c>
      <c r="DE151">
        <v>2</v>
      </c>
      <c r="DF151">
        <v>1689026157</v>
      </c>
      <c r="DG151">
        <v>1425.9</v>
      </c>
      <c r="DH151">
        <v>1500.26</v>
      </c>
      <c r="DI151">
        <v>27.553699999999999</v>
      </c>
      <c r="DJ151">
        <v>23.353100000000001</v>
      </c>
      <c r="DK151">
        <v>1428.15</v>
      </c>
      <c r="DL151">
        <v>27.521799999999999</v>
      </c>
      <c r="DM151">
        <v>499.97500000000002</v>
      </c>
      <c r="DN151">
        <v>99.024199999999993</v>
      </c>
      <c r="DO151">
        <v>9.9956100000000006E-2</v>
      </c>
      <c r="DP151">
        <v>29.7163</v>
      </c>
      <c r="DQ151">
        <v>30.0029</v>
      </c>
      <c r="DR151">
        <v>999.9</v>
      </c>
      <c r="DS151">
        <v>0</v>
      </c>
      <c r="DT151">
        <v>0</v>
      </c>
      <c r="DU151">
        <v>10001.200000000001</v>
      </c>
      <c r="DV151">
        <v>0</v>
      </c>
      <c r="DW151">
        <v>1133.6300000000001</v>
      </c>
      <c r="DX151">
        <v>-74.359899999999996</v>
      </c>
      <c r="DY151">
        <v>1466.31</v>
      </c>
      <c r="DZ151">
        <v>1536.14</v>
      </c>
      <c r="EA151">
        <v>4.2006399999999999</v>
      </c>
      <c r="EB151">
        <v>1500.26</v>
      </c>
      <c r="EC151">
        <v>23.353100000000001</v>
      </c>
      <c r="ED151">
        <v>2.7284899999999999</v>
      </c>
      <c r="EE151">
        <v>2.3125200000000001</v>
      </c>
      <c r="EF151">
        <v>22.457699999999999</v>
      </c>
      <c r="EG151">
        <v>19.7639</v>
      </c>
      <c r="EH151">
        <v>1800.18</v>
      </c>
      <c r="EI151">
        <v>0.97799599999999998</v>
      </c>
      <c r="EJ151">
        <v>2.2003700000000001E-2</v>
      </c>
      <c r="EK151">
        <v>0</v>
      </c>
      <c r="EL151">
        <v>701.78499999999997</v>
      </c>
      <c r="EM151">
        <v>5.00082</v>
      </c>
      <c r="EN151">
        <v>17749.8</v>
      </c>
      <c r="EO151">
        <v>14131.2</v>
      </c>
      <c r="EP151">
        <v>46.875</v>
      </c>
      <c r="EQ151">
        <v>48.311999999999998</v>
      </c>
      <c r="ER151">
        <v>47.75</v>
      </c>
      <c r="ES151">
        <v>47.5</v>
      </c>
      <c r="ET151">
        <v>48.061999999999998</v>
      </c>
      <c r="EU151">
        <v>1755.68</v>
      </c>
      <c r="EV151">
        <v>39.5</v>
      </c>
      <c r="EW151">
        <v>0</v>
      </c>
      <c r="EX151">
        <v>131</v>
      </c>
      <c r="EY151">
        <v>0</v>
      </c>
      <c r="EZ151">
        <v>702.06007692307696</v>
      </c>
      <c r="FA151">
        <v>-3.7184957172366579</v>
      </c>
      <c r="FB151">
        <v>1683.039304469539</v>
      </c>
      <c r="FC151">
        <v>16637.41153846154</v>
      </c>
      <c r="FD151">
        <v>15</v>
      </c>
      <c r="FE151">
        <v>1689026115</v>
      </c>
      <c r="FF151" t="s">
        <v>1105</v>
      </c>
      <c r="FG151">
        <v>1689026115</v>
      </c>
      <c r="FH151">
        <v>1689026108.5</v>
      </c>
      <c r="FI151">
        <v>153</v>
      </c>
      <c r="FJ151">
        <v>0.156</v>
      </c>
      <c r="FK151">
        <v>1E-3</v>
      </c>
      <c r="FL151">
        <v>-2.2949999999999999</v>
      </c>
      <c r="FM151">
        <v>3.2000000000000001E-2</v>
      </c>
      <c r="FN151">
        <v>1500</v>
      </c>
      <c r="FO151">
        <v>23</v>
      </c>
      <c r="FP151">
        <v>0.11</v>
      </c>
      <c r="FQ151">
        <v>0.02</v>
      </c>
      <c r="FR151">
        <v>56.729355131703031</v>
      </c>
      <c r="FS151">
        <v>-0.30519979509211032</v>
      </c>
      <c r="FT151">
        <v>0.11160238369685579</v>
      </c>
      <c r="FU151">
        <v>1</v>
      </c>
      <c r="FV151">
        <v>0.23866296710319729</v>
      </c>
      <c r="FW151">
        <v>-2.5424296548556321E-2</v>
      </c>
      <c r="FX151">
        <v>1.863167191181138E-3</v>
      </c>
      <c r="FY151">
        <v>1</v>
      </c>
      <c r="FZ151">
        <v>2</v>
      </c>
      <c r="GA151">
        <v>2</v>
      </c>
      <c r="GB151" t="s">
        <v>423</v>
      </c>
      <c r="GC151">
        <v>2.9437199999999999</v>
      </c>
      <c r="GD151">
        <v>2.7086299999999999</v>
      </c>
      <c r="GE151">
        <v>0.206229</v>
      </c>
      <c r="GF151">
        <v>0.21279799999999999</v>
      </c>
      <c r="GG151">
        <v>0.12411999999999999</v>
      </c>
      <c r="GH151">
        <v>0.110664</v>
      </c>
      <c r="GI151">
        <v>26042.1</v>
      </c>
      <c r="GJ151">
        <v>25209</v>
      </c>
      <c r="GK151">
        <v>33816.5</v>
      </c>
      <c r="GL151">
        <v>32077.3</v>
      </c>
      <c r="GM151">
        <v>42771</v>
      </c>
      <c r="GN151">
        <v>40599.300000000003</v>
      </c>
      <c r="GO151">
        <v>48981.4</v>
      </c>
      <c r="GP151">
        <v>45412.4</v>
      </c>
      <c r="GQ151">
        <v>1.9658</v>
      </c>
      <c r="GR151">
        <v>1.7809299999999999</v>
      </c>
      <c r="GS151">
        <v>2.9616099999999999E-2</v>
      </c>
      <c r="GT151">
        <v>0</v>
      </c>
      <c r="GU151">
        <v>29.520700000000001</v>
      </c>
      <c r="GV151">
        <v>999.9</v>
      </c>
      <c r="GW151">
        <v>32.6</v>
      </c>
      <c r="GX151">
        <v>42.3</v>
      </c>
      <c r="GY151">
        <v>27.5717</v>
      </c>
      <c r="GZ151">
        <v>60.3249</v>
      </c>
      <c r="HA151">
        <v>25.456700000000001</v>
      </c>
      <c r="HB151">
        <v>1</v>
      </c>
      <c r="HC151">
        <v>0.52093</v>
      </c>
      <c r="HD151">
        <v>3.09504</v>
      </c>
      <c r="HE151">
        <v>20.196000000000002</v>
      </c>
      <c r="HF151">
        <v>5.2706</v>
      </c>
      <c r="HG151">
        <v>12.039899999999999</v>
      </c>
      <c r="HH151">
        <v>4.9656500000000001</v>
      </c>
      <c r="HI151">
        <v>3.3010000000000002</v>
      </c>
      <c r="HJ151">
        <v>9999</v>
      </c>
      <c r="HK151">
        <v>9999</v>
      </c>
      <c r="HL151">
        <v>9999</v>
      </c>
      <c r="HM151">
        <v>999.9</v>
      </c>
      <c r="HN151">
        <v>1.8684400000000001</v>
      </c>
      <c r="HO151">
        <v>1.8721000000000001</v>
      </c>
      <c r="HP151">
        <v>1.87195</v>
      </c>
      <c r="HQ151">
        <v>1.87134</v>
      </c>
      <c r="HR151">
        <v>1.8646199999999999</v>
      </c>
      <c r="HS151">
        <v>1.8658300000000001</v>
      </c>
      <c r="HT151">
        <v>1.8678300000000001</v>
      </c>
      <c r="HU151">
        <v>1.87239</v>
      </c>
      <c r="HV151">
        <v>0</v>
      </c>
      <c r="HW151">
        <v>0</v>
      </c>
      <c r="HX151">
        <v>0</v>
      </c>
      <c r="HY151">
        <v>0</v>
      </c>
      <c r="HZ151" t="s">
        <v>424</v>
      </c>
      <c r="IA151" t="s">
        <v>425</v>
      </c>
      <c r="IB151" t="s">
        <v>426</v>
      </c>
      <c r="IC151" t="s">
        <v>426</v>
      </c>
      <c r="ID151" t="s">
        <v>426</v>
      </c>
      <c r="IE151" t="s">
        <v>426</v>
      </c>
      <c r="IF151">
        <v>0</v>
      </c>
      <c r="IG151">
        <v>100</v>
      </c>
      <c r="IH151">
        <v>100</v>
      </c>
      <c r="II151">
        <v>-2.25</v>
      </c>
      <c r="IJ151">
        <v>3.1899999999999998E-2</v>
      </c>
      <c r="IK151">
        <v>-1.045283078116267</v>
      </c>
      <c r="IL151">
        <v>-1.171017271736434E-3</v>
      </c>
      <c r="IM151">
        <v>2.801297040296544E-7</v>
      </c>
      <c r="IN151">
        <v>-3.6238253961199429E-11</v>
      </c>
      <c r="IO151">
        <v>3.1929999999995573E-2</v>
      </c>
      <c r="IP151">
        <v>0</v>
      </c>
      <c r="IQ151">
        <v>0</v>
      </c>
      <c r="IR151">
        <v>0</v>
      </c>
      <c r="IS151">
        <v>0</v>
      </c>
      <c r="IT151">
        <v>2161</v>
      </c>
      <c r="IU151">
        <v>1</v>
      </c>
      <c r="IV151">
        <v>19</v>
      </c>
      <c r="IW151">
        <v>0.7</v>
      </c>
      <c r="IX151">
        <v>0.8</v>
      </c>
      <c r="IY151">
        <v>3.0395500000000002</v>
      </c>
      <c r="IZ151">
        <v>2.48047</v>
      </c>
      <c r="JA151">
        <v>1.4440900000000001</v>
      </c>
      <c r="JB151">
        <v>2.2802699999999998</v>
      </c>
      <c r="JC151">
        <v>1.54419</v>
      </c>
      <c r="JD151">
        <v>2.3339799999999999</v>
      </c>
      <c r="JE151">
        <v>45.347299999999997</v>
      </c>
      <c r="JF151">
        <v>24.122499999999999</v>
      </c>
      <c r="JG151">
        <v>18</v>
      </c>
      <c r="JH151">
        <v>508.58</v>
      </c>
      <c r="JI151">
        <v>427.35700000000003</v>
      </c>
      <c r="JJ151">
        <v>25.5138</v>
      </c>
      <c r="JK151">
        <v>33.717300000000002</v>
      </c>
      <c r="JL151">
        <v>29.9999</v>
      </c>
      <c r="JM151">
        <v>33.601399999999998</v>
      </c>
      <c r="JN151">
        <v>33.556100000000001</v>
      </c>
      <c r="JO151">
        <v>61.002899999999997</v>
      </c>
      <c r="JP151">
        <v>26.035799999999998</v>
      </c>
      <c r="JQ151">
        <v>5.9314099999999996</v>
      </c>
      <c r="JR151">
        <v>25.519100000000002</v>
      </c>
      <c r="JS151">
        <v>1500</v>
      </c>
      <c r="JT151">
        <v>23.3414</v>
      </c>
      <c r="JU151">
        <v>99.267099999999999</v>
      </c>
      <c r="JV151">
        <v>98.894999999999996</v>
      </c>
    </row>
    <row r="152" spans="1:282" x14ac:dyDescent="0.25">
      <c r="A152">
        <v>136</v>
      </c>
      <c r="B152">
        <v>1689026816.5</v>
      </c>
      <c r="C152">
        <v>27639.5</v>
      </c>
      <c r="D152" t="s">
        <v>1106</v>
      </c>
      <c r="E152" t="s">
        <v>1107</v>
      </c>
      <c r="F152" t="s">
        <v>414</v>
      </c>
      <c r="G152" t="s">
        <v>415</v>
      </c>
      <c r="H152" t="s">
        <v>31</v>
      </c>
      <c r="I152" t="s">
        <v>500</v>
      </c>
      <c r="J152" t="s">
        <v>417</v>
      </c>
      <c r="K152">
        <v>1689026816.5</v>
      </c>
      <c r="L152">
        <f t="shared" si="184"/>
        <v>3.8534017995324192E-3</v>
      </c>
      <c r="M152">
        <f t="shared" si="185"/>
        <v>3.8534017995324192</v>
      </c>
      <c r="N152">
        <f t="shared" si="186"/>
        <v>43.839580383361344</v>
      </c>
      <c r="O152">
        <f t="shared" si="187"/>
        <v>345.815</v>
      </c>
      <c r="P152">
        <f t="shared" si="188"/>
        <v>60.901086753852368</v>
      </c>
      <c r="Q152">
        <f t="shared" si="189"/>
        <v>6.0361911162494479</v>
      </c>
      <c r="R152">
        <f t="shared" si="190"/>
        <v>34.275339606049997</v>
      </c>
      <c r="S152">
        <f t="shared" si="191"/>
        <v>0.26127204668583859</v>
      </c>
      <c r="T152">
        <f t="shared" si="192"/>
        <v>2.9065128523744601</v>
      </c>
      <c r="U152">
        <f t="shared" si="193"/>
        <v>0.24889022929721943</v>
      </c>
      <c r="V152">
        <f t="shared" si="194"/>
        <v>0.15661994223184095</v>
      </c>
      <c r="W152">
        <f t="shared" si="195"/>
        <v>289.54673895858025</v>
      </c>
      <c r="X152">
        <f t="shared" si="196"/>
        <v>30.794647713167883</v>
      </c>
      <c r="Y152">
        <f t="shared" si="197"/>
        <v>30.055499999999999</v>
      </c>
      <c r="Z152">
        <f t="shared" si="198"/>
        <v>4.2740504330676155</v>
      </c>
      <c r="AA152">
        <f t="shared" si="199"/>
        <v>65.264003958756575</v>
      </c>
      <c r="AB152">
        <f t="shared" si="200"/>
        <v>2.7942407766399997</v>
      </c>
      <c r="AC152">
        <f t="shared" si="201"/>
        <v>4.281442460082304</v>
      </c>
      <c r="AD152">
        <f t="shared" si="202"/>
        <v>1.4798096564276157</v>
      </c>
      <c r="AE152">
        <f t="shared" si="203"/>
        <v>-169.93501935937968</v>
      </c>
      <c r="AF152">
        <f t="shared" si="204"/>
        <v>4.7165472190062205</v>
      </c>
      <c r="AG152">
        <f t="shared" si="205"/>
        <v>0.36107245529143911</v>
      </c>
      <c r="AH152">
        <f t="shared" si="206"/>
        <v>124.68933927349822</v>
      </c>
      <c r="AI152">
        <v>0</v>
      </c>
      <c r="AJ152">
        <v>0</v>
      </c>
      <c r="AK152">
        <f t="shared" si="207"/>
        <v>1</v>
      </c>
      <c r="AL152">
        <f t="shared" si="208"/>
        <v>0</v>
      </c>
      <c r="AM152">
        <f t="shared" si="209"/>
        <v>51661.379776354603</v>
      </c>
      <c r="AN152" t="s">
        <v>418</v>
      </c>
      <c r="AO152">
        <v>10076.700000000001</v>
      </c>
      <c r="AP152">
        <v>185.01599999999999</v>
      </c>
      <c r="AQ152">
        <v>473.06</v>
      </c>
      <c r="AR152">
        <f t="shared" si="210"/>
        <v>0.60889527755464423</v>
      </c>
      <c r="AS152">
        <v>-1.4827006201179751</v>
      </c>
      <c r="AT152" t="s">
        <v>1108</v>
      </c>
      <c r="AU152">
        <v>8099.94</v>
      </c>
      <c r="AV152">
        <v>686.12304000000006</v>
      </c>
      <c r="AW152">
        <v>1015.476821694288</v>
      </c>
      <c r="AX152">
        <f t="shared" si="211"/>
        <v>0.32433412034434472</v>
      </c>
      <c r="AY152">
        <v>0.5</v>
      </c>
      <c r="AZ152">
        <f t="shared" si="212"/>
        <v>1513.0835994604042</v>
      </c>
      <c r="BA152">
        <f t="shared" si="213"/>
        <v>43.839580383361344</v>
      </c>
      <c r="BB152">
        <f t="shared" si="214"/>
        <v>245.37231911922251</v>
      </c>
      <c r="BC152">
        <f t="shared" si="215"/>
        <v>2.9953586847178932E-2</v>
      </c>
      <c r="BD152">
        <f t="shared" si="216"/>
        <v>-0.53414987925503243</v>
      </c>
      <c r="BE152">
        <f t="shared" si="217"/>
        <v>233.87434881828557</v>
      </c>
      <c r="BF152" t="s">
        <v>1109</v>
      </c>
      <c r="BG152">
        <v>541.33000000000004</v>
      </c>
      <c r="BH152">
        <f t="shared" si="218"/>
        <v>541.33000000000004</v>
      </c>
      <c r="BI152">
        <f t="shared" si="219"/>
        <v>0.46692037825461186</v>
      </c>
      <c r="BJ152">
        <f t="shared" si="220"/>
        <v>0.69462404180501469</v>
      </c>
      <c r="BK152">
        <f t="shared" si="221"/>
        <v>7.9451709637364543</v>
      </c>
      <c r="BL152">
        <f t="shared" si="222"/>
        <v>0.39659159479955663</v>
      </c>
      <c r="BM152">
        <f t="shared" si="223"/>
        <v>-1.8831040455426535</v>
      </c>
      <c r="BN152">
        <f t="shared" si="224"/>
        <v>0.54803702926272324</v>
      </c>
      <c r="BO152">
        <f t="shared" si="225"/>
        <v>0.45196297073727676</v>
      </c>
      <c r="BP152">
        <v>9325</v>
      </c>
      <c r="BQ152">
        <v>290.00000000000011</v>
      </c>
      <c r="BR152">
        <v>912.47</v>
      </c>
      <c r="BS152">
        <v>285</v>
      </c>
      <c r="BT152">
        <v>8099.94</v>
      </c>
      <c r="BU152">
        <v>913.94</v>
      </c>
      <c r="BV152">
        <v>-1.47</v>
      </c>
      <c r="BW152">
        <v>300.00000000000011</v>
      </c>
      <c r="BX152">
        <v>19.2</v>
      </c>
      <c r="BY152">
        <v>1015.476821694288</v>
      </c>
      <c r="BZ152">
        <v>2.877008379830631</v>
      </c>
      <c r="CA152">
        <v>-82.244824069650107</v>
      </c>
      <c r="CB152">
        <v>2.1413205881235502</v>
      </c>
      <c r="CC152">
        <v>0.98137319128546807</v>
      </c>
      <c r="CD152">
        <v>-4.1728856507230279E-3</v>
      </c>
      <c r="CE152">
        <v>289.99999999999989</v>
      </c>
      <c r="CF152">
        <v>913.2</v>
      </c>
      <c r="CG152">
        <v>685</v>
      </c>
      <c r="CH152">
        <v>8092.12</v>
      </c>
      <c r="CI152">
        <v>913.84</v>
      </c>
      <c r="CJ152">
        <v>-0.64</v>
      </c>
      <c r="CX152">
        <f t="shared" si="226"/>
        <v>1799.88</v>
      </c>
      <c r="CY152">
        <f t="shared" si="227"/>
        <v>1513.0835994604042</v>
      </c>
      <c r="CZ152">
        <f t="shared" si="228"/>
        <v>0.8406580435697959</v>
      </c>
      <c r="DA152">
        <f t="shared" si="229"/>
        <v>0.1608700240897061</v>
      </c>
      <c r="DB152">
        <v>6</v>
      </c>
      <c r="DC152">
        <v>0.5</v>
      </c>
      <c r="DD152" t="s">
        <v>421</v>
      </c>
      <c r="DE152">
        <v>2</v>
      </c>
      <c r="DF152">
        <v>1689026816.5</v>
      </c>
      <c r="DG152">
        <v>345.815</v>
      </c>
      <c r="DH152">
        <v>399.99599999999998</v>
      </c>
      <c r="DI152">
        <v>28.192</v>
      </c>
      <c r="DJ152">
        <v>23.700399999999998</v>
      </c>
      <c r="DK152">
        <v>347.16199999999998</v>
      </c>
      <c r="DL152">
        <v>28.148</v>
      </c>
      <c r="DM152">
        <v>500.23599999999999</v>
      </c>
      <c r="DN152">
        <v>99.014399999999995</v>
      </c>
      <c r="DO152">
        <v>0.10027</v>
      </c>
      <c r="DP152">
        <v>30.085599999999999</v>
      </c>
      <c r="DQ152">
        <v>30.055499999999999</v>
      </c>
      <c r="DR152">
        <v>999.9</v>
      </c>
      <c r="DS152">
        <v>0</v>
      </c>
      <c r="DT152">
        <v>0</v>
      </c>
      <c r="DU152">
        <v>9967.5</v>
      </c>
      <c r="DV152">
        <v>0</v>
      </c>
      <c r="DW152">
        <v>1071.6199999999999</v>
      </c>
      <c r="DX152">
        <v>-54.181100000000001</v>
      </c>
      <c r="DY152">
        <v>355.84699999999998</v>
      </c>
      <c r="DZ152">
        <v>409.70600000000002</v>
      </c>
      <c r="EA152">
        <v>4.4915399999999996</v>
      </c>
      <c r="EB152">
        <v>399.99599999999998</v>
      </c>
      <c r="EC152">
        <v>23.700399999999998</v>
      </c>
      <c r="ED152">
        <v>2.7914099999999999</v>
      </c>
      <c r="EE152">
        <v>2.3466800000000001</v>
      </c>
      <c r="EF152">
        <v>22.833400000000001</v>
      </c>
      <c r="EG152">
        <v>20.000499999999999</v>
      </c>
      <c r="EH152">
        <v>1799.88</v>
      </c>
      <c r="EI152">
        <v>0.97800500000000001</v>
      </c>
      <c r="EJ152">
        <v>2.1995500000000001E-2</v>
      </c>
      <c r="EK152">
        <v>0</v>
      </c>
      <c r="EL152">
        <v>683.923</v>
      </c>
      <c r="EM152">
        <v>5.00082</v>
      </c>
      <c r="EN152">
        <v>14705.3</v>
      </c>
      <c r="EO152">
        <v>14128.9</v>
      </c>
      <c r="EP152">
        <v>48.125</v>
      </c>
      <c r="EQ152">
        <v>49.25</v>
      </c>
      <c r="ER152">
        <v>49.061999999999998</v>
      </c>
      <c r="ES152">
        <v>48.875</v>
      </c>
      <c r="ET152">
        <v>49.436999999999998</v>
      </c>
      <c r="EU152">
        <v>1755.4</v>
      </c>
      <c r="EV152">
        <v>39.479999999999997</v>
      </c>
      <c r="EW152">
        <v>0</v>
      </c>
      <c r="EX152">
        <v>657.79999995231628</v>
      </c>
      <c r="EY152">
        <v>0</v>
      </c>
      <c r="EZ152">
        <v>686.12304000000006</v>
      </c>
      <c r="FA152">
        <v>-17.39915386806771</v>
      </c>
      <c r="FB152">
        <v>-41.161537071238797</v>
      </c>
      <c r="FC152">
        <v>14790.995999999999</v>
      </c>
      <c r="FD152">
        <v>15</v>
      </c>
      <c r="FE152">
        <v>1689026775.5</v>
      </c>
      <c r="FF152" t="s">
        <v>1110</v>
      </c>
      <c r="FG152">
        <v>1689026772.5</v>
      </c>
      <c r="FH152">
        <v>1689026775.5</v>
      </c>
      <c r="FI152">
        <v>156</v>
      </c>
      <c r="FJ152">
        <v>4.5999999999999999E-2</v>
      </c>
      <c r="FK152">
        <v>-2.5000000000000001E-2</v>
      </c>
      <c r="FL152">
        <v>-1.4</v>
      </c>
      <c r="FM152">
        <v>4.3999999999999997E-2</v>
      </c>
      <c r="FN152">
        <v>400</v>
      </c>
      <c r="FO152">
        <v>23</v>
      </c>
      <c r="FP152">
        <v>0.04</v>
      </c>
      <c r="FQ152">
        <v>0.02</v>
      </c>
      <c r="FR152">
        <v>44.012181652506129</v>
      </c>
      <c r="FS152">
        <v>-0.61279564281329568</v>
      </c>
      <c r="FT152">
        <v>5.679348126547535E-2</v>
      </c>
      <c r="FU152">
        <v>1</v>
      </c>
      <c r="FV152">
        <v>0.26388791521701899</v>
      </c>
      <c r="FW152">
        <v>-2.9255810085665489E-2</v>
      </c>
      <c r="FX152">
        <v>2.4821897931074852E-3</v>
      </c>
      <c r="FY152">
        <v>1</v>
      </c>
      <c r="FZ152">
        <v>2</v>
      </c>
      <c r="GA152">
        <v>2</v>
      </c>
      <c r="GB152" t="s">
        <v>423</v>
      </c>
      <c r="GC152">
        <v>2.9445899999999998</v>
      </c>
      <c r="GD152">
        <v>2.7086600000000001</v>
      </c>
      <c r="GE152">
        <v>7.8281799999999999E-2</v>
      </c>
      <c r="GF152">
        <v>8.7602100000000002E-2</v>
      </c>
      <c r="GG152">
        <v>0.12617</v>
      </c>
      <c r="GH152">
        <v>0.111904</v>
      </c>
      <c r="GI152">
        <v>30275</v>
      </c>
      <c r="GJ152">
        <v>29251</v>
      </c>
      <c r="GK152">
        <v>33846.1</v>
      </c>
      <c r="GL152">
        <v>32103.200000000001</v>
      </c>
      <c r="GM152">
        <v>42700.2</v>
      </c>
      <c r="GN152">
        <v>40572.400000000001</v>
      </c>
      <c r="GO152">
        <v>49020.3</v>
      </c>
      <c r="GP152">
        <v>45449.9</v>
      </c>
      <c r="GQ152">
        <v>1.9725699999999999</v>
      </c>
      <c r="GR152">
        <v>1.7892999999999999</v>
      </c>
      <c r="GS152">
        <v>1.4785700000000001E-2</v>
      </c>
      <c r="GT152">
        <v>0</v>
      </c>
      <c r="GU152">
        <v>29.814800000000002</v>
      </c>
      <c r="GV152">
        <v>999.9</v>
      </c>
      <c r="GW152">
        <v>33.700000000000003</v>
      </c>
      <c r="GX152">
        <v>41.8</v>
      </c>
      <c r="GY152">
        <v>27.763500000000001</v>
      </c>
      <c r="GZ152">
        <v>60.004899999999999</v>
      </c>
      <c r="HA152">
        <v>25.348600000000001</v>
      </c>
      <c r="HB152">
        <v>1</v>
      </c>
      <c r="HC152">
        <v>0.48822700000000002</v>
      </c>
      <c r="HD152">
        <v>3.73346</v>
      </c>
      <c r="HE152">
        <v>20.2288</v>
      </c>
      <c r="HF152">
        <v>5.2687999999999997</v>
      </c>
      <c r="HG152">
        <v>12.039899999999999</v>
      </c>
      <c r="HH152">
        <v>4.9665499999999998</v>
      </c>
      <c r="HI152">
        <v>3.3010000000000002</v>
      </c>
      <c r="HJ152">
        <v>9999</v>
      </c>
      <c r="HK152">
        <v>9999</v>
      </c>
      <c r="HL152">
        <v>9999</v>
      </c>
      <c r="HM152">
        <v>999.9</v>
      </c>
      <c r="HN152">
        <v>1.8682300000000001</v>
      </c>
      <c r="HO152">
        <v>1.8718600000000001</v>
      </c>
      <c r="HP152">
        <v>1.8716699999999999</v>
      </c>
      <c r="HQ152">
        <v>1.8711899999999999</v>
      </c>
      <c r="HR152">
        <v>1.8644700000000001</v>
      </c>
      <c r="HS152">
        <v>1.86557</v>
      </c>
      <c r="HT152">
        <v>1.8676600000000001</v>
      </c>
      <c r="HU152">
        <v>1.87215</v>
      </c>
      <c r="HV152">
        <v>0</v>
      </c>
      <c r="HW152">
        <v>0</v>
      </c>
      <c r="HX152">
        <v>0</v>
      </c>
      <c r="HY152">
        <v>0</v>
      </c>
      <c r="HZ152" t="s">
        <v>424</v>
      </c>
      <c r="IA152" t="s">
        <v>425</v>
      </c>
      <c r="IB152" t="s">
        <v>426</v>
      </c>
      <c r="IC152" t="s">
        <v>426</v>
      </c>
      <c r="ID152" t="s">
        <v>426</v>
      </c>
      <c r="IE152" t="s">
        <v>426</v>
      </c>
      <c r="IF152">
        <v>0</v>
      </c>
      <c r="IG152">
        <v>100</v>
      </c>
      <c r="IH152">
        <v>100</v>
      </c>
      <c r="II152">
        <v>-1.347</v>
      </c>
      <c r="IJ152">
        <v>4.3999999999999997E-2</v>
      </c>
      <c r="IK152">
        <v>-0.97292678310882019</v>
      </c>
      <c r="IL152">
        <v>-1.171017271736434E-3</v>
      </c>
      <c r="IM152">
        <v>2.801297040296544E-7</v>
      </c>
      <c r="IN152">
        <v>-3.6238253961199429E-11</v>
      </c>
      <c r="IO152">
        <v>4.3975000000003213E-2</v>
      </c>
      <c r="IP152">
        <v>0</v>
      </c>
      <c r="IQ152">
        <v>0</v>
      </c>
      <c r="IR152">
        <v>0</v>
      </c>
      <c r="IS152">
        <v>0</v>
      </c>
      <c r="IT152">
        <v>2161</v>
      </c>
      <c r="IU152">
        <v>1</v>
      </c>
      <c r="IV152">
        <v>19</v>
      </c>
      <c r="IW152">
        <v>0.7</v>
      </c>
      <c r="IX152">
        <v>0.7</v>
      </c>
      <c r="IY152">
        <v>1.0363800000000001</v>
      </c>
      <c r="IZ152">
        <v>2.5097700000000001</v>
      </c>
      <c r="JA152">
        <v>1.4440900000000001</v>
      </c>
      <c r="JB152">
        <v>2.2778299999999998</v>
      </c>
      <c r="JC152">
        <v>1.54419</v>
      </c>
      <c r="JD152">
        <v>2.2668499999999998</v>
      </c>
      <c r="JE152">
        <v>44.14</v>
      </c>
      <c r="JF152">
        <v>16.049600000000002</v>
      </c>
      <c r="JG152">
        <v>18</v>
      </c>
      <c r="JH152">
        <v>509.863</v>
      </c>
      <c r="JI152">
        <v>429.75900000000001</v>
      </c>
      <c r="JJ152">
        <v>25.210599999999999</v>
      </c>
      <c r="JK152">
        <v>33.376199999999997</v>
      </c>
      <c r="JL152">
        <v>29.999500000000001</v>
      </c>
      <c r="JM152">
        <v>33.199199999999998</v>
      </c>
      <c r="JN152">
        <v>33.144599999999997</v>
      </c>
      <c r="JO152">
        <v>20.8629</v>
      </c>
      <c r="JP152">
        <v>24.533100000000001</v>
      </c>
      <c r="JQ152">
        <v>16.542400000000001</v>
      </c>
      <c r="JR152">
        <v>25.207799999999999</v>
      </c>
      <c r="JS152">
        <v>400</v>
      </c>
      <c r="JT152">
        <v>23.7089</v>
      </c>
      <c r="JU152">
        <v>99.349299999999999</v>
      </c>
      <c r="JV152">
        <v>98.975800000000007</v>
      </c>
    </row>
    <row r="153" spans="1:282" x14ac:dyDescent="0.25">
      <c r="A153">
        <v>137</v>
      </c>
      <c r="B153">
        <v>1689026964.5</v>
      </c>
      <c r="C153">
        <v>27787.5</v>
      </c>
      <c r="D153" t="s">
        <v>1111</v>
      </c>
      <c r="E153" t="s">
        <v>1112</v>
      </c>
      <c r="F153" t="s">
        <v>414</v>
      </c>
      <c r="G153" t="s">
        <v>415</v>
      </c>
      <c r="H153" t="s">
        <v>31</v>
      </c>
      <c r="I153" t="s">
        <v>500</v>
      </c>
      <c r="J153" t="s">
        <v>417</v>
      </c>
      <c r="K153">
        <v>1689026964.5</v>
      </c>
      <c r="L153">
        <f t="shared" si="184"/>
        <v>4.3635410111116275E-3</v>
      </c>
      <c r="M153">
        <f t="shared" si="185"/>
        <v>4.3635410111116277</v>
      </c>
      <c r="N153">
        <f t="shared" si="186"/>
        <v>34.431650261444908</v>
      </c>
      <c r="O153">
        <f t="shared" si="187"/>
        <v>257.39499999999998</v>
      </c>
      <c r="P153">
        <f t="shared" si="188"/>
        <v>61.141027912684628</v>
      </c>
      <c r="Q153">
        <f t="shared" si="189"/>
        <v>6.0597401022742901</v>
      </c>
      <c r="R153">
        <f t="shared" si="190"/>
        <v>25.510640839279997</v>
      </c>
      <c r="S153">
        <f t="shared" si="191"/>
        <v>0.3003839445088668</v>
      </c>
      <c r="T153">
        <f t="shared" si="192"/>
        <v>2.9103857152962722</v>
      </c>
      <c r="U153">
        <f t="shared" si="193"/>
        <v>0.28416172580905197</v>
      </c>
      <c r="V153">
        <f t="shared" si="194"/>
        <v>0.17898553796645464</v>
      </c>
      <c r="W153">
        <f t="shared" si="195"/>
        <v>289.56429495864387</v>
      </c>
      <c r="X153">
        <f t="shared" si="196"/>
        <v>30.517536826039805</v>
      </c>
      <c r="Y153">
        <f t="shared" si="197"/>
        <v>29.936499999999999</v>
      </c>
      <c r="Z153">
        <f t="shared" si="198"/>
        <v>4.2449349349532186</v>
      </c>
      <c r="AA153">
        <f t="shared" si="199"/>
        <v>65.395032651079674</v>
      </c>
      <c r="AB153">
        <f t="shared" si="200"/>
        <v>2.7769179208111994</v>
      </c>
      <c r="AC153">
        <f t="shared" si="201"/>
        <v>4.2463743930332791</v>
      </c>
      <c r="AD153">
        <f t="shared" si="202"/>
        <v>1.4680170141420192</v>
      </c>
      <c r="AE153">
        <f t="shared" si="203"/>
        <v>-192.43215859002277</v>
      </c>
      <c r="AF153">
        <f t="shared" si="204"/>
        <v>0.9257378166300827</v>
      </c>
      <c r="AG153">
        <f t="shared" si="205"/>
        <v>7.0683193133302902E-2</v>
      </c>
      <c r="AH153">
        <f t="shared" si="206"/>
        <v>98.128557378384471</v>
      </c>
      <c r="AI153">
        <v>0</v>
      </c>
      <c r="AJ153">
        <v>0</v>
      </c>
      <c r="AK153">
        <f t="shared" si="207"/>
        <v>1</v>
      </c>
      <c r="AL153">
        <f t="shared" si="208"/>
        <v>0</v>
      </c>
      <c r="AM153">
        <f t="shared" si="209"/>
        <v>51795.770273564842</v>
      </c>
      <c r="AN153" t="s">
        <v>418</v>
      </c>
      <c r="AO153">
        <v>10076.700000000001</v>
      </c>
      <c r="AP153">
        <v>185.01599999999999</v>
      </c>
      <c r="AQ153">
        <v>473.06</v>
      </c>
      <c r="AR153">
        <f t="shared" si="210"/>
        <v>0.60889527755464423</v>
      </c>
      <c r="AS153">
        <v>-1.4827006201179751</v>
      </c>
      <c r="AT153" t="s">
        <v>1113</v>
      </c>
      <c r="AU153">
        <v>8098.61</v>
      </c>
      <c r="AV153">
        <v>651.16365384615369</v>
      </c>
      <c r="AW153">
        <v>890.95196284676206</v>
      </c>
      <c r="AX153">
        <f t="shared" si="211"/>
        <v>0.26913719145355364</v>
      </c>
      <c r="AY153">
        <v>0.5</v>
      </c>
      <c r="AZ153">
        <f t="shared" si="212"/>
        <v>1513.1759994604372</v>
      </c>
      <c r="BA153">
        <f t="shared" si="213"/>
        <v>34.431650261444908</v>
      </c>
      <c r="BB153">
        <f t="shared" si="214"/>
        <v>203.62596933485304</v>
      </c>
      <c r="BC153">
        <f t="shared" si="215"/>
        <v>2.3734417473161806E-2</v>
      </c>
      <c r="BD153">
        <f t="shared" si="216"/>
        <v>-0.46903983634708796</v>
      </c>
      <c r="BE153">
        <f t="shared" si="217"/>
        <v>226.58082347713122</v>
      </c>
      <c r="BF153" t="s">
        <v>1114</v>
      </c>
      <c r="BG153">
        <v>525.33000000000004</v>
      </c>
      <c r="BH153">
        <f t="shared" si="218"/>
        <v>525.33000000000004</v>
      </c>
      <c r="BI153">
        <f t="shared" si="219"/>
        <v>0.41037225135969158</v>
      </c>
      <c r="BJ153">
        <f t="shared" si="220"/>
        <v>0.65583672034797169</v>
      </c>
      <c r="BK153">
        <f t="shared" si="221"/>
        <v>7.9948720651762342</v>
      </c>
      <c r="BL153">
        <f t="shared" si="222"/>
        <v>0.33967430704852664</v>
      </c>
      <c r="BM153">
        <f t="shared" si="223"/>
        <v>-1.4507921110898407</v>
      </c>
      <c r="BN153">
        <f t="shared" si="224"/>
        <v>0.52910002311308368</v>
      </c>
      <c r="BO153">
        <f t="shared" si="225"/>
        <v>0.47089997688691632</v>
      </c>
      <c r="BP153">
        <v>9327</v>
      </c>
      <c r="BQ153">
        <v>290.00000000000011</v>
      </c>
      <c r="BR153">
        <v>823.53</v>
      </c>
      <c r="BS153">
        <v>295</v>
      </c>
      <c r="BT153">
        <v>8098.61</v>
      </c>
      <c r="BU153">
        <v>825.13</v>
      </c>
      <c r="BV153">
        <v>-1.6</v>
      </c>
      <c r="BW153">
        <v>300.00000000000011</v>
      </c>
      <c r="BX153">
        <v>19.2</v>
      </c>
      <c r="BY153">
        <v>890.95196284676206</v>
      </c>
      <c r="BZ153">
        <v>3.3017230001936779</v>
      </c>
      <c r="CA153">
        <v>-53.307784740187408</v>
      </c>
      <c r="CB153">
        <v>2.4570357224282988</v>
      </c>
      <c r="CC153">
        <v>0.94385574473442524</v>
      </c>
      <c r="CD153">
        <v>-4.1720335928809816E-3</v>
      </c>
      <c r="CE153">
        <v>289.99999999999989</v>
      </c>
      <c r="CF153">
        <v>824.94</v>
      </c>
      <c r="CG153">
        <v>635</v>
      </c>
      <c r="CH153">
        <v>8092.07</v>
      </c>
      <c r="CI153">
        <v>825.08</v>
      </c>
      <c r="CJ153">
        <v>-0.14000000000000001</v>
      </c>
      <c r="CX153">
        <f t="shared" si="226"/>
        <v>1799.99</v>
      </c>
      <c r="CY153">
        <f t="shared" si="227"/>
        <v>1513.1759994604372</v>
      </c>
      <c r="CZ153">
        <f t="shared" si="228"/>
        <v>0.84065800335581709</v>
      </c>
      <c r="DA153">
        <f t="shared" si="229"/>
        <v>0.16086994647672703</v>
      </c>
      <c r="DB153">
        <v>6</v>
      </c>
      <c r="DC153">
        <v>0.5</v>
      </c>
      <c r="DD153" t="s">
        <v>421</v>
      </c>
      <c r="DE153">
        <v>2</v>
      </c>
      <c r="DF153">
        <v>1689026964.5</v>
      </c>
      <c r="DG153">
        <v>257.39499999999998</v>
      </c>
      <c r="DH153">
        <v>300.04199999999997</v>
      </c>
      <c r="DI153">
        <v>28.0183</v>
      </c>
      <c r="DJ153">
        <v>22.931000000000001</v>
      </c>
      <c r="DK153">
        <v>258.45999999999998</v>
      </c>
      <c r="DL153">
        <v>27.9725</v>
      </c>
      <c r="DM153">
        <v>500.22</v>
      </c>
      <c r="DN153">
        <v>99.010599999999997</v>
      </c>
      <c r="DO153">
        <v>0.10026400000000001</v>
      </c>
      <c r="DP153">
        <v>29.942399999999999</v>
      </c>
      <c r="DQ153">
        <v>29.936499999999999</v>
      </c>
      <c r="DR153">
        <v>999.9</v>
      </c>
      <c r="DS153">
        <v>0</v>
      </c>
      <c r="DT153">
        <v>0</v>
      </c>
      <c r="DU153">
        <v>9990</v>
      </c>
      <c r="DV153">
        <v>0</v>
      </c>
      <c r="DW153">
        <v>1092.3599999999999</v>
      </c>
      <c r="DX153">
        <v>-42.646299999999997</v>
      </c>
      <c r="DY153">
        <v>264.815</v>
      </c>
      <c r="DZ153">
        <v>307.08300000000003</v>
      </c>
      <c r="EA153">
        <v>5.0872700000000002</v>
      </c>
      <c r="EB153">
        <v>300.04199999999997</v>
      </c>
      <c r="EC153">
        <v>22.931000000000001</v>
      </c>
      <c r="ED153">
        <v>2.7741099999999999</v>
      </c>
      <c r="EE153">
        <v>2.27041</v>
      </c>
      <c r="EF153">
        <v>22.730799999999999</v>
      </c>
      <c r="EG153">
        <v>19.468</v>
      </c>
      <c r="EH153">
        <v>1799.99</v>
      </c>
      <c r="EI153">
        <v>0.97800799999999999</v>
      </c>
      <c r="EJ153">
        <v>2.1991900000000002E-2</v>
      </c>
      <c r="EK153">
        <v>0</v>
      </c>
      <c r="EL153">
        <v>650.52099999999996</v>
      </c>
      <c r="EM153">
        <v>5.00082</v>
      </c>
      <c r="EN153">
        <v>14093.3</v>
      </c>
      <c r="EO153">
        <v>14129.7</v>
      </c>
      <c r="EP153">
        <v>48.186999999999998</v>
      </c>
      <c r="EQ153">
        <v>49.375</v>
      </c>
      <c r="ER153">
        <v>49.186999999999998</v>
      </c>
      <c r="ES153">
        <v>48.875</v>
      </c>
      <c r="ET153">
        <v>49.436999999999998</v>
      </c>
      <c r="EU153">
        <v>1755.51</v>
      </c>
      <c r="EV153">
        <v>39.479999999999997</v>
      </c>
      <c r="EW153">
        <v>0</v>
      </c>
      <c r="EX153">
        <v>145.79999995231631</v>
      </c>
      <c r="EY153">
        <v>0</v>
      </c>
      <c r="EZ153">
        <v>651.16365384615369</v>
      </c>
      <c r="FA153">
        <v>-4.7916239401425242</v>
      </c>
      <c r="FB153">
        <v>-396.51281844144432</v>
      </c>
      <c r="FC153">
        <v>14154.74615384615</v>
      </c>
      <c r="FD153">
        <v>15</v>
      </c>
      <c r="FE153">
        <v>1689026926</v>
      </c>
      <c r="FF153" t="s">
        <v>1115</v>
      </c>
      <c r="FG153">
        <v>1689026918</v>
      </c>
      <c r="FH153">
        <v>1689026926</v>
      </c>
      <c r="FI153">
        <v>157</v>
      </c>
      <c r="FJ153">
        <v>0.192</v>
      </c>
      <c r="FK153">
        <v>2E-3</v>
      </c>
      <c r="FL153">
        <v>-1.109</v>
      </c>
      <c r="FM153">
        <v>4.5999999999999999E-2</v>
      </c>
      <c r="FN153">
        <v>300</v>
      </c>
      <c r="FO153">
        <v>23</v>
      </c>
      <c r="FP153">
        <v>0.05</v>
      </c>
      <c r="FQ153">
        <v>0.02</v>
      </c>
      <c r="FR153">
        <v>34.25126003285142</v>
      </c>
      <c r="FS153">
        <v>0.5997397043721181</v>
      </c>
      <c r="FT153">
        <v>5.8120868122961938E-2</v>
      </c>
      <c r="FU153">
        <v>1</v>
      </c>
      <c r="FV153">
        <v>0.29843078415103341</v>
      </c>
      <c r="FW153">
        <v>-6.0431826913779942E-3</v>
      </c>
      <c r="FX153">
        <v>1.578158440820209E-3</v>
      </c>
      <c r="FY153">
        <v>1</v>
      </c>
      <c r="FZ153">
        <v>2</v>
      </c>
      <c r="GA153">
        <v>2</v>
      </c>
      <c r="GB153" t="s">
        <v>423</v>
      </c>
      <c r="GC153">
        <v>2.9446400000000001</v>
      </c>
      <c r="GD153">
        <v>2.7088399999999999</v>
      </c>
      <c r="GE153">
        <v>6.1514399999999997E-2</v>
      </c>
      <c r="GF153">
        <v>6.9784799999999994E-2</v>
      </c>
      <c r="GG153">
        <v>0.12564600000000001</v>
      </c>
      <c r="GH153">
        <v>0.109371</v>
      </c>
      <c r="GI153">
        <v>30833.599999999999</v>
      </c>
      <c r="GJ153">
        <v>29829.7</v>
      </c>
      <c r="GK153">
        <v>33854.6</v>
      </c>
      <c r="GL153">
        <v>32111.1</v>
      </c>
      <c r="GM153">
        <v>42735.199999999997</v>
      </c>
      <c r="GN153">
        <v>40697.5</v>
      </c>
      <c r="GO153">
        <v>49031.8</v>
      </c>
      <c r="GP153">
        <v>45460.800000000003</v>
      </c>
      <c r="GQ153">
        <v>1.9743999999999999</v>
      </c>
      <c r="GR153">
        <v>1.7907500000000001</v>
      </c>
      <c r="GS153">
        <v>1.5206600000000001E-2</v>
      </c>
      <c r="GT153">
        <v>0</v>
      </c>
      <c r="GU153">
        <v>29.689</v>
      </c>
      <c r="GV153">
        <v>999.9</v>
      </c>
      <c r="GW153">
        <v>33.799999999999997</v>
      </c>
      <c r="GX153">
        <v>41.6</v>
      </c>
      <c r="GY153">
        <v>27.555199999999999</v>
      </c>
      <c r="GZ153">
        <v>60.264899999999997</v>
      </c>
      <c r="HA153">
        <v>24.507200000000001</v>
      </c>
      <c r="HB153">
        <v>1</v>
      </c>
      <c r="HC153">
        <v>0.473829</v>
      </c>
      <c r="HD153">
        <v>2.6328499999999999</v>
      </c>
      <c r="HE153">
        <v>20.250399999999999</v>
      </c>
      <c r="HF153">
        <v>5.2695499999999997</v>
      </c>
      <c r="HG153">
        <v>12.039899999999999</v>
      </c>
      <c r="HH153">
        <v>4.9660000000000002</v>
      </c>
      <c r="HI153">
        <v>3.3010000000000002</v>
      </c>
      <c r="HJ153">
        <v>9999</v>
      </c>
      <c r="HK153">
        <v>9999</v>
      </c>
      <c r="HL153">
        <v>9999</v>
      </c>
      <c r="HM153">
        <v>999.9</v>
      </c>
      <c r="HN153">
        <v>1.86825</v>
      </c>
      <c r="HO153">
        <v>1.8718699999999999</v>
      </c>
      <c r="HP153">
        <v>1.8717299999999999</v>
      </c>
      <c r="HQ153">
        <v>1.8711899999999999</v>
      </c>
      <c r="HR153">
        <v>1.8644700000000001</v>
      </c>
      <c r="HS153">
        <v>1.86557</v>
      </c>
      <c r="HT153">
        <v>1.86768</v>
      </c>
      <c r="HU153">
        <v>1.8721300000000001</v>
      </c>
      <c r="HV153">
        <v>0</v>
      </c>
      <c r="HW153">
        <v>0</v>
      </c>
      <c r="HX153">
        <v>0</v>
      </c>
      <c r="HY153">
        <v>0</v>
      </c>
      <c r="HZ153" t="s">
        <v>424</v>
      </c>
      <c r="IA153" t="s">
        <v>425</v>
      </c>
      <c r="IB153" t="s">
        <v>426</v>
      </c>
      <c r="IC153" t="s">
        <v>426</v>
      </c>
      <c r="ID153" t="s">
        <v>426</v>
      </c>
      <c r="IE153" t="s">
        <v>426</v>
      </c>
      <c r="IF153">
        <v>0</v>
      </c>
      <c r="IG153">
        <v>100</v>
      </c>
      <c r="IH153">
        <v>100</v>
      </c>
      <c r="II153">
        <v>-1.0649999999999999</v>
      </c>
      <c r="IJ153">
        <v>4.58E-2</v>
      </c>
      <c r="IK153">
        <v>-0.78050611509452872</v>
      </c>
      <c r="IL153">
        <v>-1.171017271736434E-3</v>
      </c>
      <c r="IM153">
        <v>2.801297040296544E-7</v>
      </c>
      <c r="IN153">
        <v>-3.6238253961199429E-11</v>
      </c>
      <c r="IO153">
        <v>4.5745000000003699E-2</v>
      </c>
      <c r="IP153">
        <v>0</v>
      </c>
      <c r="IQ153">
        <v>0</v>
      </c>
      <c r="IR153">
        <v>0</v>
      </c>
      <c r="IS153">
        <v>0</v>
      </c>
      <c r="IT153">
        <v>2161</v>
      </c>
      <c r="IU153">
        <v>1</v>
      </c>
      <c r="IV153">
        <v>19</v>
      </c>
      <c r="IW153">
        <v>0.8</v>
      </c>
      <c r="IX153">
        <v>0.6</v>
      </c>
      <c r="IY153">
        <v>0.82275399999999999</v>
      </c>
      <c r="IZ153">
        <v>2.49756</v>
      </c>
      <c r="JA153">
        <v>1.4440900000000001</v>
      </c>
      <c r="JB153">
        <v>2.2778299999999998</v>
      </c>
      <c r="JC153">
        <v>1.54419</v>
      </c>
      <c r="JD153">
        <v>2.4523899999999998</v>
      </c>
      <c r="JE153">
        <v>43.8917</v>
      </c>
      <c r="JF153">
        <v>16.0671</v>
      </c>
      <c r="JG153">
        <v>18</v>
      </c>
      <c r="JH153">
        <v>510.37799999999999</v>
      </c>
      <c r="JI153">
        <v>430.05200000000002</v>
      </c>
      <c r="JJ153">
        <v>25.888500000000001</v>
      </c>
      <c r="JK153">
        <v>33.292000000000002</v>
      </c>
      <c r="JL153">
        <v>29.9999</v>
      </c>
      <c r="JM153">
        <v>33.112400000000001</v>
      </c>
      <c r="JN153">
        <v>33.0565</v>
      </c>
      <c r="JO153">
        <v>16.5855</v>
      </c>
      <c r="JP153">
        <v>27.654800000000002</v>
      </c>
      <c r="JQ153">
        <v>17.146999999999998</v>
      </c>
      <c r="JR153">
        <v>25.891999999999999</v>
      </c>
      <c r="JS153">
        <v>300</v>
      </c>
      <c r="JT153">
        <v>22.819099999999999</v>
      </c>
      <c r="JU153">
        <v>99.3733</v>
      </c>
      <c r="JV153">
        <v>98.999799999999993</v>
      </c>
    </row>
    <row r="154" spans="1:282" x14ac:dyDescent="0.25">
      <c r="A154">
        <v>138</v>
      </c>
      <c r="B154">
        <v>1689027120.5</v>
      </c>
      <c r="C154">
        <v>27943.5</v>
      </c>
      <c r="D154" t="s">
        <v>1116</v>
      </c>
      <c r="E154" t="s">
        <v>1117</v>
      </c>
      <c r="F154" t="s">
        <v>414</v>
      </c>
      <c r="G154" t="s">
        <v>415</v>
      </c>
      <c r="H154" t="s">
        <v>31</v>
      </c>
      <c r="I154" t="s">
        <v>500</v>
      </c>
      <c r="J154" t="s">
        <v>417</v>
      </c>
      <c r="K154">
        <v>1689027120.5</v>
      </c>
      <c r="L154">
        <f t="shared" si="184"/>
        <v>4.7446315946983375E-3</v>
      </c>
      <c r="M154">
        <f t="shared" si="185"/>
        <v>4.7446315946983377</v>
      </c>
      <c r="N154">
        <f t="shared" si="186"/>
        <v>25.127206614884486</v>
      </c>
      <c r="O154">
        <f t="shared" si="187"/>
        <v>168.84</v>
      </c>
      <c r="P154">
        <f t="shared" si="188"/>
        <v>38.08660131191575</v>
      </c>
      <c r="Q154">
        <f t="shared" si="189"/>
        <v>3.7749117651587922</v>
      </c>
      <c r="R154">
        <f t="shared" si="190"/>
        <v>16.734391635779996</v>
      </c>
      <c r="S154">
        <f t="shared" si="191"/>
        <v>0.33029074212406512</v>
      </c>
      <c r="T154">
        <f t="shared" si="192"/>
        <v>2.9183078419644235</v>
      </c>
      <c r="U154">
        <f t="shared" si="193"/>
        <v>0.31083963875391979</v>
      </c>
      <c r="V154">
        <f t="shared" si="194"/>
        <v>0.19592685251097133</v>
      </c>
      <c r="W154">
        <f t="shared" si="195"/>
        <v>289.54035495855703</v>
      </c>
      <c r="X154">
        <f t="shared" si="196"/>
        <v>30.558236663533936</v>
      </c>
      <c r="Y154">
        <f t="shared" si="197"/>
        <v>30.012699999999999</v>
      </c>
      <c r="Z154">
        <f t="shared" si="198"/>
        <v>4.2635586631457061</v>
      </c>
      <c r="AA154">
        <f t="shared" si="199"/>
        <v>65.512819507700684</v>
      </c>
      <c r="AB154">
        <f t="shared" si="200"/>
        <v>2.8046360670269497</v>
      </c>
      <c r="AC154">
        <f t="shared" si="201"/>
        <v>4.2810492482273332</v>
      </c>
      <c r="AD154">
        <f t="shared" si="202"/>
        <v>1.4589225961187564</v>
      </c>
      <c r="AE154">
        <f t="shared" si="203"/>
        <v>-209.23825332619668</v>
      </c>
      <c r="AF154">
        <f t="shared" si="204"/>
        <v>11.217758222407928</v>
      </c>
      <c r="AG154">
        <f t="shared" si="205"/>
        <v>0.85510994691081565</v>
      </c>
      <c r="AH154">
        <f t="shared" si="206"/>
        <v>92.3749698016791</v>
      </c>
      <c r="AI154">
        <v>0</v>
      </c>
      <c r="AJ154">
        <v>0</v>
      </c>
      <c r="AK154">
        <f t="shared" si="207"/>
        <v>1</v>
      </c>
      <c r="AL154">
        <f t="shared" si="208"/>
        <v>0</v>
      </c>
      <c r="AM154">
        <f t="shared" si="209"/>
        <v>51996.939792029189</v>
      </c>
      <c r="AN154" t="s">
        <v>418</v>
      </c>
      <c r="AO154">
        <v>10076.700000000001</v>
      </c>
      <c r="AP154">
        <v>185.01599999999999</v>
      </c>
      <c r="AQ154">
        <v>473.06</v>
      </c>
      <c r="AR154">
        <f t="shared" si="210"/>
        <v>0.60889527755464423</v>
      </c>
      <c r="AS154">
        <v>-1.4827006201179751</v>
      </c>
      <c r="AT154" t="s">
        <v>1118</v>
      </c>
      <c r="AU154">
        <v>8099.75</v>
      </c>
      <c r="AV154">
        <v>641.94952000000001</v>
      </c>
      <c r="AW154">
        <v>814.610581752239</v>
      </c>
      <c r="AX154">
        <f t="shared" si="211"/>
        <v>0.21195533868568539</v>
      </c>
      <c r="AY154">
        <v>0.5</v>
      </c>
      <c r="AZ154">
        <f t="shared" si="212"/>
        <v>1513.049999460392</v>
      </c>
      <c r="BA154">
        <f t="shared" si="213"/>
        <v>25.127206614884486</v>
      </c>
      <c r="BB154">
        <f t="shared" si="214"/>
        <v>160.34951254200175</v>
      </c>
      <c r="BC154">
        <f t="shared" si="215"/>
        <v>1.7586931855849117E-2</v>
      </c>
      <c r="BD154">
        <f t="shared" si="216"/>
        <v>-0.41928080656349787</v>
      </c>
      <c r="BE154">
        <f t="shared" si="217"/>
        <v>221.30642603883115</v>
      </c>
      <c r="BF154" t="s">
        <v>1119</v>
      </c>
      <c r="BG154">
        <v>526.87</v>
      </c>
      <c r="BH154">
        <f t="shared" si="218"/>
        <v>526.87</v>
      </c>
      <c r="BI154">
        <f t="shared" si="219"/>
        <v>0.35322470416883722</v>
      </c>
      <c r="BJ154">
        <f t="shared" si="220"/>
        <v>0.60005808252973503</v>
      </c>
      <c r="BK154">
        <f t="shared" si="221"/>
        <v>6.3473440206697447</v>
      </c>
      <c r="BL154">
        <f t="shared" si="222"/>
        <v>0.2742416576580155</v>
      </c>
      <c r="BM154">
        <f t="shared" si="223"/>
        <v>-1.1857583624454564</v>
      </c>
      <c r="BN154">
        <f t="shared" si="224"/>
        <v>0.49248825973487992</v>
      </c>
      <c r="BO154">
        <f t="shared" si="225"/>
        <v>0.50751174026512014</v>
      </c>
      <c r="BP154">
        <v>9329</v>
      </c>
      <c r="BQ154">
        <v>290.00000000000011</v>
      </c>
      <c r="BR154">
        <v>762.06</v>
      </c>
      <c r="BS154">
        <v>265</v>
      </c>
      <c r="BT154">
        <v>8099.75</v>
      </c>
      <c r="BU154">
        <v>763.87</v>
      </c>
      <c r="BV154">
        <v>-1.81</v>
      </c>
      <c r="BW154">
        <v>300.00000000000011</v>
      </c>
      <c r="BX154">
        <v>19.2</v>
      </c>
      <c r="BY154">
        <v>814.610581752239</v>
      </c>
      <c r="BZ154">
        <v>2.2521413045101109</v>
      </c>
      <c r="CA154">
        <v>-41.09749751135039</v>
      </c>
      <c r="CB154">
        <v>1.6760070470289441</v>
      </c>
      <c r="CC154">
        <v>0.95550493056755625</v>
      </c>
      <c r="CD154">
        <v>-4.1721074527252613E-3</v>
      </c>
      <c r="CE154">
        <v>289.99999999999989</v>
      </c>
      <c r="CF154">
        <v>761.63</v>
      </c>
      <c r="CG154">
        <v>635</v>
      </c>
      <c r="CH154">
        <v>8092.27</v>
      </c>
      <c r="CI154">
        <v>763.82</v>
      </c>
      <c r="CJ154">
        <v>-2.19</v>
      </c>
      <c r="CX154">
        <f t="shared" si="226"/>
        <v>1799.84</v>
      </c>
      <c r="CY154">
        <f t="shared" si="227"/>
        <v>1513.049999460392</v>
      </c>
      <c r="CZ154">
        <f t="shared" si="228"/>
        <v>0.84065805819427952</v>
      </c>
      <c r="DA154">
        <f t="shared" si="229"/>
        <v>0.16087005231495968</v>
      </c>
      <c r="DB154">
        <v>6</v>
      </c>
      <c r="DC154">
        <v>0.5</v>
      </c>
      <c r="DD154" t="s">
        <v>421</v>
      </c>
      <c r="DE154">
        <v>2</v>
      </c>
      <c r="DF154">
        <v>1689027120.5</v>
      </c>
      <c r="DG154">
        <v>168.84</v>
      </c>
      <c r="DH154">
        <v>199.94300000000001</v>
      </c>
      <c r="DI154">
        <v>28.2971</v>
      </c>
      <c r="DJ154">
        <v>22.7666</v>
      </c>
      <c r="DK154">
        <v>169.96</v>
      </c>
      <c r="DL154">
        <v>28.259799999999998</v>
      </c>
      <c r="DM154">
        <v>500.17599999999999</v>
      </c>
      <c r="DN154">
        <v>99.013999999999996</v>
      </c>
      <c r="DO154">
        <v>9.9904499999999993E-2</v>
      </c>
      <c r="DP154">
        <v>30.084</v>
      </c>
      <c r="DQ154">
        <v>30.012699999999999</v>
      </c>
      <c r="DR154">
        <v>999.9</v>
      </c>
      <c r="DS154">
        <v>0</v>
      </c>
      <c r="DT154">
        <v>0</v>
      </c>
      <c r="DU154">
        <v>10035</v>
      </c>
      <c r="DV154">
        <v>0</v>
      </c>
      <c r="DW154">
        <v>1057.9000000000001</v>
      </c>
      <c r="DX154">
        <v>-31.103100000000001</v>
      </c>
      <c r="DY154">
        <v>173.75700000000001</v>
      </c>
      <c r="DZ154">
        <v>204.602</v>
      </c>
      <c r="EA154">
        <v>5.5304099999999998</v>
      </c>
      <c r="EB154">
        <v>199.94300000000001</v>
      </c>
      <c r="EC154">
        <v>22.7666</v>
      </c>
      <c r="ED154">
        <v>2.8018000000000001</v>
      </c>
      <c r="EE154">
        <v>2.2542200000000001</v>
      </c>
      <c r="EF154">
        <v>22.8947</v>
      </c>
      <c r="EG154">
        <v>19.352900000000002</v>
      </c>
      <c r="EH154">
        <v>1799.84</v>
      </c>
      <c r="EI154">
        <v>0.97800500000000001</v>
      </c>
      <c r="EJ154">
        <v>2.1995500000000001E-2</v>
      </c>
      <c r="EK154">
        <v>0</v>
      </c>
      <c r="EL154">
        <v>641.952</v>
      </c>
      <c r="EM154">
        <v>5.00082</v>
      </c>
      <c r="EN154">
        <v>13884.5</v>
      </c>
      <c r="EO154">
        <v>14128.5</v>
      </c>
      <c r="EP154">
        <v>48</v>
      </c>
      <c r="EQ154">
        <v>49.25</v>
      </c>
      <c r="ER154">
        <v>49.061999999999998</v>
      </c>
      <c r="ES154">
        <v>48.625</v>
      </c>
      <c r="ET154">
        <v>49.375</v>
      </c>
      <c r="EU154">
        <v>1755.36</v>
      </c>
      <c r="EV154">
        <v>39.479999999999997</v>
      </c>
      <c r="EW154">
        <v>0</v>
      </c>
      <c r="EX154">
        <v>154.20000004768369</v>
      </c>
      <c r="EY154">
        <v>0</v>
      </c>
      <c r="EZ154">
        <v>641.94952000000001</v>
      </c>
      <c r="FA154">
        <v>-3.9426153553184689</v>
      </c>
      <c r="FB154">
        <v>-579.5692280782248</v>
      </c>
      <c r="FC154">
        <v>13990.364</v>
      </c>
      <c r="FD154">
        <v>15</v>
      </c>
      <c r="FE154">
        <v>1689027048</v>
      </c>
      <c r="FF154" t="s">
        <v>1120</v>
      </c>
      <c r="FG154">
        <v>1689027037</v>
      </c>
      <c r="FH154">
        <v>1689027048</v>
      </c>
      <c r="FI154">
        <v>158</v>
      </c>
      <c r="FJ154">
        <v>-0.14799999999999999</v>
      </c>
      <c r="FK154">
        <v>-8.9999999999999993E-3</v>
      </c>
      <c r="FL154">
        <v>-1.153</v>
      </c>
      <c r="FM154">
        <v>3.6999999999999998E-2</v>
      </c>
      <c r="FN154">
        <v>200</v>
      </c>
      <c r="FO154">
        <v>23</v>
      </c>
      <c r="FP154">
        <v>0.05</v>
      </c>
      <c r="FQ154">
        <v>0.03</v>
      </c>
      <c r="FR154">
        <v>25.0345596751262</v>
      </c>
      <c r="FS154">
        <v>0.55452424399379718</v>
      </c>
      <c r="FT154">
        <v>4.7168941056402451E-2</v>
      </c>
      <c r="FU154">
        <v>1</v>
      </c>
      <c r="FV154">
        <v>0.32962769984858858</v>
      </c>
      <c r="FW154">
        <v>3.6779232477222958E-2</v>
      </c>
      <c r="FX154">
        <v>3.0261107874919942E-3</v>
      </c>
      <c r="FY154">
        <v>1</v>
      </c>
      <c r="FZ154">
        <v>2</v>
      </c>
      <c r="GA154">
        <v>2</v>
      </c>
      <c r="GB154" t="s">
        <v>423</v>
      </c>
      <c r="GC154">
        <v>2.9446099999999999</v>
      </c>
      <c r="GD154">
        <v>2.7088700000000001</v>
      </c>
      <c r="GE154">
        <v>4.2601300000000002E-2</v>
      </c>
      <c r="GF154">
        <v>4.9412400000000002E-2</v>
      </c>
      <c r="GG154">
        <v>0.12657199999999999</v>
      </c>
      <c r="GH154">
        <v>0.108852</v>
      </c>
      <c r="GI154">
        <v>31462.9</v>
      </c>
      <c r="GJ154">
        <v>30490.1</v>
      </c>
      <c r="GK154">
        <v>33863.1</v>
      </c>
      <c r="GL154">
        <v>32118.6</v>
      </c>
      <c r="GM154">
        <v>42698.400000000001</v>
      </c>
      <c r="GN154">
        <v>40729.9</v>
      </c>
      <c r="GO154">
        <v>49042.7</v>
      </c>
      <c r="GP154">
        <v>45471.4</v>
      </c>
      <c r="GQ154">
        <v>1.97645</v>
      </c>
      <c r="GR154">
        <v>1.79345</v>
      </c>
      <c r="GS154">
        <v>2.4873800000000001E-2</v>
      </c>
      <c r="GT154">
        <v>0</v>
      </c>
      <c r="GU154">
        <v>29.607800000000001</v>
      </c>
      <c r="GV154">
        <v>999.9</v>
      </c>
      <c r="GW154">
        <v>33.799999999999997</v>
      </c>
      <c r="GX154">
        <v>41.5</v>
      </c>
      <c r="GY154">
        <v>27.410799999999998</v>
      </c>
      <c r="GZ154">
        <v>60.114899999999999</v>
      </c>
      <c r="HA154">
        <v>24.4712</v>
      </c>
      <c r="HB154">
        <v>1</v>
      </c>
      <c r="HC154">
        <v>0.46214899999999998</v>
      </c>
      <c r="HD154">
        <v>2.1808000000000001</v>
      </c>
      <c r="HE154">
        <v>20.257100000000001</v>
      </c>
      <c r="HF154">
        <v>5.2698499999999999</v>
      </c>
      <c r="HG154">
        <v>12.039899999999999</v>
      </c>
      <c r="HH154">
        <v>4.9657499999999999</v>
      </c>
      <c r="HI154">
        <v>3.3010000000000002</v>
      </c>
      <c r="HJ154">
        <v>9999</v>
      </c>
      <c r="HK154">
        <v>9999</v>
      </c>
      <c r="HL154">
        <v>9999</v>
      </c>
      <c r="HM154">
        <v>999.9</v>
      </c>
      <c r="HN154">
        <v>1.8682099999999999</v>
      </c>
      <c r="HO154">
        <v>1.87182</v>
      </c>
      <c r="HP154">
        <v>1.87174</v>
      </c>
      <c r="HQ154">
        <v>1.8711899999999999</v>
      </c>
      <c r="HR154">
        <v>1.8644700000000001</v>
      </c>
      <c r="HS154">
        <v>1.86557</v>
      </c>
      <c r="HT154">
        <v>1.86768</v>
      </c>
      <c r="HU154">
        <v>1.8721300000000001</v>
      </c>
      <c r="HV154">
        <v>0</v>
      </c>
      <c r="HW154">
        <v>0</v>
      </c>
      <c r="HX154">
        <v>0</v>
      </c>
      <c r="HY154">
        <v>0</v>
      </c>
      <c r="HZ154" t="s">
        <v>424</v>
      </c>
      <c r="IA154" t="s">
        <v>425</v>
      </c>
      <c r="IB154" t="s">
        <v>426</v>
      </c>
      <c r="IC154" t="s">
        <v>426</v>
      </c>
      <c r="ID154" t="s">
        <v>426</v>
      </c>
      <c r="IE154" t="s">
        <v>426</v>
      </c>
      <c r="IF154">
        <v>0</v>
      </c>
      <c r="IG154">
        <v>100</v>
      </c>
      <c r="IH154">
        <v>100</v>
      </c>
      <c r="II154">
        <v>-1.1200000000000001</v>
      </c>
      <c r="IJ154">
        <v>3.73E-2</v>
      </c>
      <c r="IK154">
        <v>-0.92814818358507356</v>
      </c>
      <c r="IL154">
        <v>-1.171017271736434E-3</v>
      </c>
      <c r="IM154">
        <v>2.801297040296544E-7</v>
      </c>
      <c r="IN154">
        <v>-3.6238253961199429E-11</v>
      </c>
      <c r="IO154">
        <v>3.7229999999997432E-2</v>
      </c>
      <c r="IP154">
        <v>0</v>
      </c>
      <c r="IQ154">
        <v>0</v>
      </c>
      <c r="IR154">
        <v>0</v>
      </c>
      <c r="IS154">
        <v>0</v>
      </c>
      <c r="IT154">
        <v>2161</v>
      </c>
      <c r="IU154">
        <v>1</v>
      </c>
      <c r="IV154">
        <v>19</v>
      </c>
      <c r="IW154">
        <v>1.4</v>
      </c>
      <c r="IX154">
        <v>1.2</v>
      </c>
      <c r="IY154">
        <v>0.60180699999999998</v>
      </c>
      <c r="IZ154">
        <v>2.50854</v>
      </c>
      <c r="JA154">
        <v>1.4440900000000001</v>
      </c>
      <c r="JB154">
        <v>2.2778299999999998</v>
      </c>
      <c r="JC154">
        <v>1.54419</v>
      </c>
      <c r="JD154">
        <v>2.4499499999999999</v>
      </c>
      <c r="JE154">
        <v>43.59</v>
      </c>
      <c r="JF154">
        <v>16.049600000000002</v>
      </c>
      <c r="JG154">
        <v>18</v>
      </c>
      <c r="JH154">
        <v>510.86399999999998</v>
      </c>
      <c r="JI154">
        <v>431.00200000000001</v>
      </c>
      <c r="JJ154">
        <v>26.136700000000001</v>
      </c>
      <c r="JK154">
        <v>33.170200000000001</v>
      </c>
      <c r="JL154">
        <v>29.999199999999998</v>
      </c>
      <c r="JM154">
        <v>33.003700000000002</v>
      </c>
      <c r="JN154">
        <v>32.9497</v>
      </c>
      <c r="JO154">
        <v>12.1755</v>
      </c>
      <c r="JP154">
        <v>27.284099999999999</v>
      </c>
      <c r="JQ154">
        <v>17.6691</v>
      </c>
      <c r="JR154">
        <v>26.1495</v>
      </c>
      <c r="JS154">
        <v>200</v>
      </c>
      <c r="JT154">
        <v>22.638400000000001</v>
      </c>
      <c r="JU154">
        <v>99.396500000000003</v>
      </c>
      <c r="JV154">
        <v>99.022800000000004</v>
      </c>
    </row>
    <row r="155" spans="1:282" x14ac:dyDescent="0.25">
      <c r="A155">
        <v>139</v>
      </c>
      <c r="B155">
        <v>1689027259</v>
      </c>
      <c r="C155">
        <v>28082</v>
      </c>
      <c r="D155" t="s">
        <v>1121</v>
      </c>
      <c r="E155" t="s">
        <v>1122</v>
      </c>
      <c r="F155" t="s">
        <v>414</v>
      </c>
      <c r="G155" t="s">
        <v>415</v>
      </c>
      <c r="H155" t="s">
        <v>31</v>
      </c>
      <c r="I155" t="s">
        <v>500</v>
      </c>
      <c r="J155" t="s">
        <v>417</v>
      </c>
      <c r="K155">
        <v>1689027259</v>
      </c>
      <c r="L155">
        <f t="shared" si="184"/>
        <v>5.3761028998298242E-3</v>
      </c>
      <c r="M155">
        <f t="shared" si="185"/>
        <v>5.3761028998298244</v>
      </c>
      <c r="N155">
        <f t="shared" si="186"/>
        <v>15.999710938845837</v>
      </c>
      <c r="O155">
        <f t="shared" si="187"/>
        <v>100.128</v>
      </c>
      <c r="P155">
        <f t="shared" si="188"/>
        <v>27.829721232023253</v>
      </c>
      <c r="Q155">
        <f t="shared" si="189"/>
        <v>2.7582435791260713</v>
      </c>
      <c r="R155">
        <f t="shared" si="190"/>
        <v>9.9238296635520005</v>
      </c>
      <c r="S155">
        <f t="shared" si="191"/>
        <v>0.3842886182087733</v>
      </c>
      <c r="T155">
        <f t="shared" si="192"/>
        <v>2.9123570624079878</v>
      </c>
      <c r="U155">
        <f t="shared" si="193"/>
        <v>0.35817746011003315</v>
      </c>
      <c r="V155">
        <f t="shared" si="194"/>
        <v>0.22605887934597033</v>
      </c>
      <c r="W155">
        <f t="shared" si="195"/>
        <v>289.56269895863807</v>
      </c>
      <c r="X155">
        <f t="shared" si="196"/>
        <v>30.391897415023724</v>
      </c>
      <c r="Y155">
        <f t="shared" si="197"/>
        <v>29.915299999999998</v>
      </c>
      <c r="Z155">
        <f t="shared" si="198"/>
        <v>4.2397661537077127</v>
      </c>
      <c r="AA155">
        <f t="shared" si="199"/>
        <v>65.531384463178199</v>
      </c>
      <c r="AB155">
        <f t="shared" si="200"/>
        <v>2.8050121604944001</v>
      </c>
      <c r="AC155">
        <f t="shared" si="201"/>
        <v>4.2804103460846674</v>
      </c>
      <c r="AD155">
        <f t="shared" si="202"/>
        <v>1.4347539932133127</v>
      </c>
      <c r="AE155">
        <f t="shared" si="203"/>
        <v>-237.08613788249525</v>
      </c>
      <c r="AF155">
        <f t="shared" si="204"/>
        <v>26.079526094852422</v>
      </c>
      <c r="AG155">
        <f t="shared" si="205"/>
        <v>1.9910726501517</v>
      </c>
      <c r="AH155">
        <f t="shared" si="206"/>
        <v>80.547159821146934</v>
      </c>
      <c r="AI155">
        <v>0</v>
      </c>
      <c r="AJ155">
        <v>0</v>
      </c>
      <c r="AK155">
        <f t="shared" si="207"/>
        <v>1</v>
      </c>
      <c r="AL155">
        <f t="shared" si="208"/>
        <v>0</v>
      </c>
      <c r="AM155">
        <f t="shared" si="209"/>
        <v>51828.0571969886</v>
      </c>
      <c r="AN155" t="s">
        <v>418</v>
      </c>
      <c r="AO155">
        <v>10076.700000000001</v>
      </c>
      <c r="AP155">
        <v>185.01599999999999</v>
      </c>
      <c r="AQ155">
        <v>473.06</v>
      </c>
      <c r="AR155">
        <f t="shared" si="210"/>
        <v>0.60889527755464423</v>
      </c>
      <c r="AS155">
        <v>-1.4827006201179751</v>
      </c>
      <c r="AT155" t="s">
        <v>1123</v>
      </c>
      <c r="AU155">
        <v>8098.77</v>
      </c>
      <c r="AV155">
        <v>648.68263999999999</v>
      </c>
      <c r="AW155">
        <v>761.46744671578404</v>
      </c>
      <c r="AX155">
        <f t="shared" si="211"/>
        <v>0.14811507333928187</v>
      </c>
      <c r="AY155">
        <v>0.5</v>
      </c>
      <c r="AZ155">
        <f t="shared" si="212"/>
        <v>1513.1675994604343</v>
      </c>
      <c r="BA155">
        <f t="shared" si="213"/>
        <v>15.999710938845837</v>
      </c>
      <c r="BB155">
        <f t="shared" si="214"/>
        <v>112.06146498435366</v>
      </c>
      <c r="BC155">
        <f t="shared" si="215"/>
        <v>1.1553519626773461E-2</v>
      </c>
      <c r="BD155">
        <f t="shared" si="216"/>
        <v>-0.37875216853942734</v>
      </c>
      <c r="BE155">
        <f t="shared" si="217"/>
        <v>217.18851776955015</v>
      </c>
      <c r="BF155" t="s">
        <v>1124</v>
      </c>
      <c r="BG155">
        <v>540.29</v>
      </c>
      <c r="BH155">
        <f t="shared" si="218"/>
        <v>540.29</v>
      </c>
      <c r="BI155">
        <f t="shared" si="219"/>
        <v>0.2904621171525118</v>
      </c>
      <c r="BJ155">
        <f t="shared" si="220"/>
        <v>0.50992905646801323</v>
      </c>
      <c r="BK155">
        <f t="shared" si="221"/>
        <v>4.2898623637629658</v>
      </c>
      <c r="BL155">
        <f t="shared" si="222"/>
        <v>0.19565361030552139</v>
      </c>
      <c r="BM155">
        <f t="shared" si="223"/>
        <v>-1.0012617749919597</v>
      </c>
      <c r="BN155">
        <f t="shared" si="224"/>
        <v>0.42472166346104595</v>
      </c>
      <c r="BO155">
        <f t="shared" si="225"/>
        <v>0.57527833653895399</v>
      </c>
      <c r="BP155">
        <v>9331</v>
      </c>
      <c r="BQ155">
        <v>290.00000000000011</v>
      </c>
      <c r="BR155">
        <v>725.69</v>
      </c>
      <c r="BS155">
        <v>265</v>
      </c>
      <c r="BT155">
        <v>8098.77</v>
      </c>
      <c r="BU155">
        <v>726.17</v>
      </c>
      <c r="BV155">
        <v>-0.48</v>
      </c>
      <c r="BW155">
        <v>300.00000000000011</v>
      </c>
      <c r="BX155">
        <v>19.2</v>
      </c>
      <c r="BY155">
        <v>761.46744671578404</v>
      </c>
      <c r="BZ155">
        <v>2.0013491879339309</v>
      </c>
      <c r="CA155">
        <v>-28.589989119736479</v>
      </c>
      <c r="CB155">
        <v>1.4891957982726529</v>
      </c>
      <c r="CC155">
        <v>0.92939522212640913</v>
      </c>
      <c r="CD155">
        <v>-4.1716767519466118E-3</v>
      </c>
      <c r="CE155">
        <v>289.99999999999989</v>
      </c>
      <c r="CF155">
        <v>725.16</v>
      </c>
      <c r="CG155">
        <v>625</v>
      </c>
      <c r="CH155">
        <v>8091.54</v>
      </c>
      <c r="CI155">
        <v>726.13</v>
      </c>
      <c r="CJ155">
        <v>-0.97</v>
      </c>
      <c r="CX155">
        <f t="shared" si="226"/>
        <v>1799.98</v>
      </c>
      <c r="CY155">
        <f t="shared" si="227"/>
        <v>1513.1675994604343</v>
      </c>
      <c r="CZ155">
        <f t="shared" si="228"/>
        <v>0.84065800701143023</v>
      </c>
      <c r="DA155">
        <f t="shared" si="229"/>
        <v>0.16086995353206041</v>
      </c>
      <c r="DB155">
        <v>6</v>
      </c>
      <c r="DC155">
        <v>0.5</v>
      </c>
      <c r="DD155" t="s">
        <v>421</v>
      </c>
      <c r="DE155">
        <v>2</v>
      </c>
      <c r="DF155">
        <v>1689027259</v>
      </c>
      <c r="DG155">
        <v>100.128</v>
      </c>
      <c r="DH155">
        <v>119.97</v>
      </c>
      <c r="DI155">
        <v>28.301600000000001</v>
      </c>
      <c r="DJ155">
        <v>22.033999999999999</v>
      </c>
      <c r="DK155">
        <v>101.166</v>
      </c>
      <c r="DL155">
        <v>28.266999999999999</v>
      </c>
      <c r="DM155">
        <v>500.09100000000001</v>
      </c>
      <c r="DN155">
        <v>99.011300000000006</v>
      </c>
      <c r="DO155">
        <v>0.100134</v>
      </c>
      <c r="DP155">
        <v>30.081399999999999</v>
      </c>
      <c r="DQ155">
        <v>29.915299999999998</v>
      </c>
      <c r="DR155">
        <v>999.9</v>
      </c>
      <c r="DS155">
        <v>0</v>
      </c>
      <c r="DT155">
        <v>0</v>
      </c>
      <c r="DU155">
        <v>10001.200000000001</v>
      </c>
      <c r="DV155">
        <v>0</v>
      </c>
      <c r="DW155">
        <v>1088.31</v>
      </c>
      <c r="DX155">
        <v>-19.841200000000001</v>
      </c>
      <c r="DY155">
        <v>103.045</v>
      </c>
      <c r="DZ155">
        <v>122.673</v>
      </c>
      <c r="EA155">
        <v>6.2676600000000002</v>
      </c>
      <c r="EB155">
        <v>119.97</v>
      </c>
      <c r="EC155">
        <v>22.033999999999999</v>
      </c>
      <c r="ED155">
        <v>2.8021799999999999</v>
      </c>
      <c r="EE155">
        <v>2.18161</v>
      </c>
      <c r="EF155">
        <v>22.896899999999999</v>
      </c>
      <c r="EG155">
        <v>18.8279</v>
      </c>
      <c r="EH155">
        <v>1799.98</v>
      </c>
      <c r="EI155">
        <v>0.97800799999999999</v>
      </c>
      <c r="EJ155">
        <v>2.1991900000000002E-2</v>
      </c>
      <c r="EK155">
        <v>0</v>
      </c>
      <c r="EL155">
        <v>648.14</v>
      </c>
      <c r="EM155">
        <v>5.00082</v>
      </c>
      <c r="EN155">
        <v>14107.6</v>
      </c>
      <c r="EO155">
        <v>14129.6</v>
      </c>
      <c r="EP155">
        <v>48.125</v>
      </c>
      <c r="EQ155">
        <v>49.375</v>
      </c>
      <c r="ER155">
        <v>49.186999999999998</v>
      </c>
      <c r="ES155">
        <v>48.811999999999998</v>
      </c>
      <c r="ET155">
        <v>49.5</v>
      </c>
      <c r="EU155">
        <v>1755.5</v>
      </c>
      <c r="EV155">
        <v>39.479999999999997</v>
      </c>
      <c r="EW155">
        <v>0</v>
      </c>
      <c r="EX155">
        <v>136.4000000953674</v>
      </c>
      <c r="EY155">
        <v>0</v>
      </c>
      <c r="EZ155">
        <v>648.68263999999999</v>
      </c>
      <c r="FA155">
        <v>-4.6611538456966226</v>
      </c>
      <c r="FB155">
        <v>241.0538444305011</v>
      </c>
      <c r="FC155">
        <v>14095.188</v>
      </c>
      <c r="FD155">
        <v>15</v>
      </c>
      <c r="FE155">
        <v>1689027200.5</v>
      </c>
      <c r="FF155" t="s">
        <v>1125</v>
      </c>
      <c r="FG155">
        <v>1689027194</v>
      </c>
      <c r="FH155">
        <v>1689027200.5</v>
      </c>
      <c r="FI155">
        <v>159</v>
      </c>
      <c r="FJ155">
        <v>6.0000000000000001E-3</v>
      </c>
      <c r="FK155">
        <v>-3.0000000000000001E-3</v>
      </c>
      <c r="FL155">
        <v>-1.06</v>
      </c>
      <c r="FM155">
        <v>3.5000000000000003E-2</v>
      </c>
      <c r="FN155">
        <v>120</v>
      </c>
      <c r="FO155">
        <v>22</v>
      </c>
      <c r="FP155">
        <v>0.06</v>
      </c>
      <c r="FQ155">
        <v>0.03</v>
      </c>
      <c r="FR155">
        <v>15.88968802747338</v>
      </c>
      <c r="FS155">
        <v>0.43558806247584581</v>
      </c>
      <c r="FT155">
        <v>3.9734849984551929E-2</v>
      </c>
      <c r="FU155">
        <v>1</v>
      </c>
      <c r="FV155">
        <v>0.3802725068415026</v>
      </c>
      <c r="FW155">
        <v>4.3778130308233493E-2</v>
      </c>
      <c r="FX155">
        <v>3.383196456680922E-3</v>
      </c>
      <c r="FY155">
        <v>1</v>
      </c>
      <c r="FZ155">
        <v>2</v>
      </c>
      <c r="GA155">
        <v>2</v>
      </c>
      <c r="GB155" t="s">
        <v>423</v>
      </c>
      <c r="GC155">
        <v>2.9444499999999998</v>
      </c>
      <c r="GD155">
        <v>2.7088000000000001</v>
      </c>
      <c r="GE155">
        <v>2.6197000000000002E-2</v>
      </c>
      <c r="GF155">
        <v>3.0920799999999998E-2</v>
      </c>
      <c r="GG155">
        <v>0.126608</v>
      </c>
      <c r="GH155">
        <v>0.106394</v>
      </c>
      <c r="GI155">
        <v>32005.3</v>
      </c>
      <c r="GJ155">
        <v>31086.3</v>
      </c>
      <c r="GK155">
        <v>33867.1</v>
      </c>
      <c r="GL155">
        <v>32122.400000000001</v>
      </c>
      <c r="GM155">
        <v>42700.2</v>
      </c>
      <c r="GN155">
        <v>40846.800000000003</v>
      </c>
      <c r="GO155">
        <v>49047.5</v>
      </c>
      <c r="GP155">
        <v>45476.9</v>
      </c>
      <c r="GQ155">
        <v>1.9776</v>
      </c>
      <c r="GR155">
        <v>1.79427</v>
      </c>
      <c r="GS155">
        <v>8.7171799999999997E-3</v>
      </c>
      <c r="GT155">
        <v>0</v>
      </c>
      <c r="GU155">
        <v>29.773499999999999</v>
      </c>
      <c r="GV155">
        <v>999.9</v>
      </c>
      <c r="GW155">
        <v>33.799999999999997</v>
      </c>
      <c r="GX155">
        <v>41.3</v>
      </c>
      <c r="GY155">
        <v>27.1236</v>
      </c>
      <c r="GZ155">
        <v>60.194899999999997</v>
      </c>
      <c r="HA155">
        <v>25.2804</v>
      </c>
      <c r="HB155">
        <v>1</v>
      </c>
      <c r="HC155">
        <v>0.45997500000000002</v>
      </c>
      <c r="HD155">
        <v>2.6933199999999999</v>
      </c>
      <c r="HE155">
        <v>20.249600000000001</v>
      </c>
      <c r="HF155">
        <v>5.2709000000000001</v>
      </c>
      <c r="HG155">
        <v>12.039899999999999</v>
      </c>
      <c r="HH155">
        <v>4.9659500000000003</v>
      </c>
      <c r="HI155">
        <v>3.3010000000000002</v>
      </c>
      <c r="HJ155">
        <v>9999</v>
      </c>
      <c r="HK155">
        <v>9999</v>
      </c>
      <c r="HL155">
        <v>9999</v>
      </c>
      <c r="HM155">
        <v>999.9</v>
      </c>
      <c r="HN155">
        <v>1.86819</v>
      </c>
      <c r="HO155">
        <v>1.8718300000000001</v>
      </c>
      <c r="HP155">
        <v>1.8717699999999999</v>
      </c>
      <c r="HQ155">
        <v>1.8711899999999999</v>
      </c>
      <c r="HR155">
        <v>1.8644700000000001</v>
      </c>
      <c r="HS155">
        <v>1.8655999999999999</v>
      </c>
      <c r="HT155">
        <v>1.86768</v>
      </c>
      <c r="HU155">
        <v>1.8721300000000001</v>
      </c>
      <c r="HV155">
        <v>0</v>
      </c>
      <c r="HW155">
        <v>0</v>
      </c>
      <c r="HX155">
        <v>0</v>
      </c>
      <c r="HY155">
        <v>0</v>
      </c>
      <c r="HZ155" t="s">
        <v>424</v>
      </c>
      <c r="IA155" t="s">
        <v>425</v>
      </c>
      <c r="IB155" t="s">
        <v>426</v>
      </c>
      <c r="IC155" t="s">
        <v>426</v>
      </c>
      <c r="ID155" t="s">
        <v>426</v>
      </c>
      <c r="IE155" t="s">
        <v>426</v>
      </c>
      <c r="IF155">
        <v>0</v>
      </c>
      <c r="IG155">
        <v>100</v>
      </c>
      <c r="IH155">
        <v>100</v>
      </c>
      <c r="II155">
        <v>-1.038</v>
      </c>
      <c r="IJ155">
        <v>3.4599999999999999E-2</v>
      </c>
      <c r="IK155">
        <v>-0.92207100307494039</v>
      </c>
      <c r="IL155">
        <v>-1.171017271736434E-3</v>
      </c>
      <c r="IM155">
        <v>2.801297040296544E-7</v>
      </c>
      <c r="IN155">
        <v>-3.6238253961199429E-11</v>
      </c>
      <c r="IO155">
        <v>3.463999999999956E-2</v>
      </c>
      <c r="IP155">
        <v>0</v>
      </c>
      <c r="IQ155">
        <v>0</v>
      </c>
      <c r="IR155">
        <v>0</v>
      </c>
      <c r="IS155">
        <v>0</v>
      </c>
      <c r="IT155">
        <v>2161</v>
      </c>
      <c r="IU155">
        <v>1</v>
      </c>
      <c r="IV155">
        <v>19</v>
      </c>
      <c r="IW155">
        <v>1.1000000000000001</v>
      </c>
      <c r="IX155">
        <v>1</v>
      </c>
      <c r="IY155">
        <v>0.41748000000000002</v>
      </c>
      <c r="IZ155">
        <v>2.5341800000000001</v>
      </c>
      <c r="JA155">
        <v>1.4440900000000001</v>
      </c>
      <c r="JB155">
        <v>2.2778299999999998</v>
      </c>
      <c r="JC155">
        <v>1.54419</v>
      </c>
      <c r="JD155">
        <v>2.4145500000000002</v>
      </c>
      <c r="JE155">
        <v>43.426400000000001</v>
      </c>
      <c r="JF155">
        <v>16.040800000000001</v>
      </c>
      <c r="JG155">
        <v>18</v>
      </c>
      <c r="JH155">
        <v>511.12599999999998</v>
      </c>
      <c r="JI155">
        <v>431.07900000000001</v>
      </c>
      <c r="JJ155">
        <v>25.942799999999998</v>
      </c>
      <c r="JK155">
        <v>33.124499999999998</v>
      </c>
      <c r="JL155">
        <v>30.000699999999998</v>
      </c>
      <c r="JM155">
        <v>32.941499999999998</v>
      </c>
      <c r="JN155">
        <v>32.887300000000003</v>
      </c>
      <c r="JO155">
        <v>8.4788200000000007</v>
      </c>
      <c r="JP155">
        <v>29.7514</v>
      </c>
      <c r="JQ155">
        <v>18.0259</v>
      </c>
      <c r="JR155">
        <v>25.977399999999999</v>
      </c>
      <c r="JS155">
        <v>120</v>
      </c>
      <c r="JT155">
        <v>21.966999999999999</v>
      </c>
      <c r="JU155">
        <v>99.4071</v>
      </c>
      <c r="JV155">
        <v>99.034700000000001</v>
      </c>
    </row>
    <row r="156" spans="1:282" x14ac:dyDescent="0.25">
      <c r="A156">
        <v>140</v>
      </c>
      <c r="B156">
        <v>1689027369.5</v>
      </c>
      <c r="C156">
        <v>28192.5</v>
      </c>
      <c r="D156" t="s">
        <v>1126</v>
      </c>
      <c r="E156" t="s">
        <v>1127</v>
      </c>
      <c r="F156" t="s">
        <v>414</v>
      </c>
      <c r="G156" t="s">
        <v>415</v>
      </c>
      <c r="H156" t="s">
        <v>31</v>
      </c>
      <c r="I156" t="s">
        <v>500</v>
      </c>
      <c r="J156" t="s">
        <v>417</v>
      </c>
      <c r="K156">
        <v>1689027369.5</v>
      </c>
      <c r="L156">
        <f t="shared" si="184"/>
        <v>5.4466064812713419E-3</v>
      </c>
      <c r="M156">
        <f t="shared" si="185"/>
        <v>5.4466064812713419</v>
      </c>
      <c r="N156">
        <f t="shared" si="186"/>
        <v>9.8536241335089514</v>
      </c>
      <c r="O156">
        <f t="shared" si="187"/>
        <v>57.982100000000003</v>
      </c>
      <c r="P156">
        <f t="shared" si="188"/>
        <v>13.767828950225113</v>
      </c>
      <c r="Q156">
        <f t="shared" si="189"/>
        <v>1.3645772148859459</v>
      </c>
      <c r="R156">
        <f t="shared" si="190"/>
        <v>5.7468067635997704</v>
      </c>
      <c r="S156">
        <f t="shared" si="191"/>
        <v>0.38645054308819327</v>
      </c>
      <c r="T156">
        <f t="shared" si="192"/>
        <v>2.9176413123438305</v>
      </c>
      <c r="U156">
        <f t="shared" si="193"/>
        <v>0.36009989481681082</v>
      </c>
      <c r="V156">
        <f t="shared" si="194"/>
        <v>0.22728003219190562</v>
      </c>
      <c r="W156">
        <f t="shared" si="195"/>
        <v>289.59737295823209</v>
      </c>
      <c r="X156">
        <f t="shared" si="196"/>
        <v>30.457996521368781</v>
      </c>
      <c r="Y156">
        <f t="shared" si="197"/>
        <v>30.003</v>
      </c>
      <c r="Z156">
        <f t="shared" si="198"/>
        <v>4.2611839777791918</v>
      </c>
      <c r="AA156">
        <f t="shared" si="199"/>
        <v>65.45907635233975</v>
      </c>
      <c r="AB156">
        <f t="shared" si="200"/>
        <v>2.8155855427504899</v>
      </c>
      <c r="AC156">
        <f t="shared" si="201"/>
        <v>4.301291279448141</v>
      </c>
      <c r="AD156">
        <f t="shared" si="202"/>
        <v>1.4455984350287019</v>
      </c>
      <c r="AE156">
        <f t="shared" si="203"/>
        <v>-240.19534582406618</v>
      </c>
      <c r="AF156">
        <f t="shared" si="204"/>
        <v>25.670687359952321</v>
      </c>
      <c r="AG156">
        <f t="shared" si="205"/>
        <v>1.95798088292842</v>
      </c>
      <c r="AH156">
        <f t="shared" si="206"/>
        <v>77.030695377046669</v>
      </c>
      <c r="AI156">
        <v>0</v>
      </c>
      <c r="AJ156">
        <v>0</v>
      </c>
      <c r="AK156">
        <f t="shared" si="207"/>
        <v>1</v>
      </c>
      <c r="AL156">
        <f t="shared" si="208"/>
        <v>0</v>
      </c>
      <c r="AM156">
        <f t="shared" si="209"/>
        <v>51963.871948301683</v>
      </c>
      <c r="AN156" t="s">
        <v>418</v>
      </c>
      <c r="AO156">
        <v>10076.700000000001</v>
      </c>
      <c r="AP156">
        <v>185.01599999999999</v>
      </c>
      <c r="AQ156">
        <v>473.06</v>
      </c>
      <c r="AR156">
        <f t="shared" si="210"/>
        <v>0.60889527755464423</v>
      </c>
      <c r="AS156">
        <v>-1.4827006201179751</v>
      </c>
      <c r="AT156" t="s">
        <v>1128</v>
      </c>
      <c r="AU156">
        <v>8102.17</v>
      </c>
      <c r="AV156">
        <v>661.72938461538456</v>
      </c>
      <c r="AW156">
        <v>745.70812207394044</v>
      </c>
      <c r="AX156">
        <f t="shared" si="211"/>
        <v>0.11261609599342548</v>
      </c>
      <c r="AY156">
        <v>0.5</v>
      </c>
      <c r="AZ156">
        <f t="shared" si="212"/>
        <v>1513.3445994602239</v>
      </c>
      <c r="BA156">
        <f t="shared" si="213"/>
        <v>9.8536241335089514</v>
      </c>
      <c r="BB156">
        <f t="shared" si="214"/>
        <v>85.2134803419723</v>
      </c>
      <c r="BC156">
        <f t="shared" si="215"/>
        <v>7.4909077269448999E-3</v>
      </c>
      <c r="BD156">
        <f t="shared" si="216"/>
        <v>-0.36562310910019308</v>
      </c>
      <c r="BE156">
        <f t="shared" si="217"/>
        <v>215.88720660606762</v>
      </c>
      <c r="BF156" t="s">
        <v>1129</v>
      </c>
      <c r="BG156">
        <v>560.44000000000005</v>
      </c>
      <c r="BH156">
        <f t="shared" si="218"/>
        <v>560.44000000000005</v>
      </c>
      <c r="BI156">
        <f t="shared" si="219"/>
        <v>0.2484458953708033</v>
      </c>
      <c r="BJ156">
        <f t="shared" si="220"/>
        <v>0.4532821756839529</v>
      </c>
      <c r="BK156">
        <f t="shared" si="221"/>
        <v>3.1202577486145602</v>
      </c>
      <c r="BL156">
        <f t="shared" si="222"/>
        <v>0.14977691705017626</v>
      </c>
      <c r="BM156">
        <f t="shared" si="223"/>
        <v>-0.9465502564675552</v>
      </c>
      <c r="BN156">
        <f t="shared" si="224"/>
        <v>0.38389932266339993</v>
      </c>
      <c r="BO156">
        <f t="shared" si="225"/>
        <v>0.61610067733660001</v>
      </c>
      <c r="BP156">
        <v>9333</v>
      </c>
      <c r="BQ156">
        <v>290.00000000000011</v>
      </c>
      <c r="BR156">
        <v>719.38</v>
      </c>
      <c r="BS156">
        <v>195</v>
      </c>
      <c r="BT156">
        <v>8102.17</v>
      </c>
      <c r="BU156">
        <v>718.78</v>
      </c>
      <c r="BV156">
        <v>0.6</v>
      </c>
      <c r="BW156">
        <v>300.00000000000011</v>
      </c>
      <c r="BX156">
        <v>19.2</v>
      </c>
      <c r="BY156">
        <v>745.70812207394044</v>
      </c>
      <c r="BZ156">
        <v>2.101847481043571</v>
      </c>
      <c r="CA156">
        <v>-21.81389232231157</v>
      </c>
      <c r="CB156">
        <v>1.563877030642961</v>
      </c>
      <c r="CC156">
        <v>0.87419314646430679</v>
      </c>
      <c r="CD156">
        <v>-4.1712863181312598E-3</v>
      </c>
      <c r="CE156">
        <v>289.99999999999989</v>
      </c>
      <c r="CF156">
        <v>717.79</v>
      </c>
      <c r="CG156">
        <v>705</v>
      </c>
      <c r="CH156">
        <v>8088.98</v>
      </c>
      <c r="CI156">
        <v>718.74</v>
      </c>
      <c r="CJ156">
        <v>-0.95</v>
      </c>
      <c r="CX156">
        <f t="shared" si="226"/>
        <v>1800.19</v>
      </c>
      <c r="CY156">
        <f t="shared" si="227"/>
        <v>1513.3445994602239</v>
      </c>
      <c r="CZ156">
        <f t="shared" si="228"/>
        <v>0.840658263550083</v>
      </c>
      <c r="DA156">
        <f t="shared" si="229"/>
        <v>0.16087044865166014</v>
      </c>
      <c r="DB156">
        <v>6</v>
      </c>
      <c r="DC156">
        <v>0.5</v>
      </c>
      <c r="DD156" t="s">
        <v>421</v>
      </c>
      <c r="DE156">
        <v>2</v>
      </c>
      <c r="DF156">
        <v>1689027369.5</v>
      </c>
      <c r="DG156">
        <v>57.982100000000003</v>
      </c>
      <c r="DH156">
        <v>70.183000000000007</v>
      </c>
      <c r="DI156">
        <v>28.407699999999998</v>
      </c>
      <c r="DJ156">
        <v>22.058700000000002</v>
      </c>
      <c r="DK156">
        <v>58.968499999999999</v>
      </c>
      <c r="DL156">
        <v>28.382400000000001</v>
      </c>
      <c r="DM156">
        <v>500.09899999999999</v>
      </c>
      <c r="DN156">
        <v>99.013800000000003</v>
      </c>
      <c r="DO156">
        <v>9.9663699999999994E-2</v>
      </c>
      <c r="DP156">
        <v>30.1662</v>
      </c>
      <c r="DQ156">
        <v>30.003</v>
      </c>
      <c r="DR156">
        <v>999.9</v>
      </c>
      <c r="DS156">
        <v>0</v>
      </c>
      <c r="DT156">
        <v>0</v>
      </c>
      <c r="DU156">
        <v>10031.200000000001</v>
      </c>
      <c r="DV156">
        <v>0</v>
      </c>
      <c r="DW156">
        <v>1045.27</v>
      </c>
      <c r="DX156">
        <v>-12.200900000000001</v>
      </c>
      <c r="DY156">
        <v>59.677399999999999</v>
      </c>
      <c r="DZ156">
        <v>71.766099999999994</v>
      </c>
      <c r="EA156">
        <v>6.3490500000000001</v>
      </c>
      <c r="EB156">
        <v>70.183000000000007</v>
      </c>
      <c r="EC156">
        <v>22.058700000000002</v>
      </c>
      <c r="ED156">
        <v>2.8127599999999999</v>
      </c>
      <c r="EE156">
        <v>2.18411</v>
      </c>
      <c r="EF156">
        <v>22.959099999999999</v>
      </c>
      <c r="EG156">
        <v>18.846299999999999</v>
      </c>
      <c r="EH156">
        <v>1800.19</v>
      </c>
      <c r="EI156">
        <v>0.97799499999999995</v>
      </c>
      <c r="EJ156">
        <v>2.2005400000000001E-2</v>
      </c>
      <c r="EK156">
        <v>0</v>
      </c>
      <c r="EL156">
        <v>661.23299999999995</v>
      </c>
      <c r="EM156">
        <v>5.00082</v>
      </c>
      <c r="EN156">
        <v>14240.9</v>
      </c>
      <c r="EO156">
        <v>14131.3</v>
      </c>
      <c r="EP156">
        <v>48.25</v>
      </c>
      <c r="EQ156">
        <v>49.5</v>
      </c>
      <c r="ER156">
        <v>49.25</v>
      </c>
      <c r="ES156">
        <v>48.875</v>
      </c>
      <c r="ET156">
        <v>49.561999999999998</v>
      </c>
      <c r="EU156">
        <v>1755.69</v>
      </c>
      <c r="EV156">
        <v>39.5</v>
      </c>
      <c r="EW156">
        <v>0</v>
      </c>
      <c r="EX156">
        <v>108.7999999523163</v>
      </c>
      <c r="EY156">
        <v>0</v>
      </c>
      <c r="EZ156">
        <v>661.72938461538456</v>
      </c>
      <c r="FA156">
        <v>-1.7724444428992061</v>
      </c>
      <c r="FB156">
        <v>418.62222479603503</v>
      </c>
      <c r="FC156">
        <v>14290.77307692308</v>
      </c>
      <c r="FD156">
        <v>15</v>
      </c>
      <c r="FE156">
        <v>1689027335</v>
      </c>
      <c r="FF156" t="s">
        <v>1130</v>
      </c>
      <c r="FG156">
        <v>1689027334.5</v>
      </c>
      <c r="FH156">
        <v>1689027335</v>
      </c>
      <c r="FI156">
        <v>160</v>
      </c>
      <c r="FJ156">
        <v>4.0000000000000001E-3</v>
      </c>
      <c r="FK156">
        <v>-8.9999999999999993E-3</v>
      </c>
      <c r="FL156">
        <v>-1</v>
      </c>
      <c r="FM156">
        <v>2.5000000000000001E-2</v>
      </c>
      <c r="FN156">
        <v>70</v>
      </c>
      <c r="FO156">
        <v>22</v>
      </c>
      <c r="FP156">
        <v>0.17</v>
      </c>
      <c r="FQ156">
        <v>0.02</v>
      </c>
      <c r="FR156">
        <v>9.9451213182646097</v>
      </c>
      <c r="FS156">
        <v>-0.60087883549218257</v>
      </c>
      <c r="FT156">
        <v>4.5361765675884617E-2</v>
      </c>
      <c r="FU156">
        <v>1</v>
      </c>
      <c r="FV156">
        <v>0.3849178140822706</v>
      </c>
      <c r="FW156">
        <v>4.0631445923984308E-2</v>
      </c>
      <c r="FX156">
        <v>3.561237536504835E-3</v>
      </c>
      <c r="FY156">
        <v>1</v>
      </c>
      <c r="FZ156">
        <v>2</v>
      </c>
      <c r="GA156">
        <v>2</v>
      </c>
      <c r="GB156" t="s">
        <v>423</v>
      </c>
      <c r="GC156">
        <v>2.9444699999999999</v>
      </c>
      <c r="GD156">
        <v>2.7086000000000001</v>
      </c>
      <c r="GE156">
        <v>1.54705E-2</v>
      </c>
      <c r="GF156">
        <v>1.8426399999999999E-2</v>
      </c>
      <c r="GG156">
        <v>0.126975</v>
      </c>
      <c r="GH156">
        <v>0.106487</v>
      </c>
      <c r="GI156">
        <v>32356.9</v>
      </c>
      <c r="GJ156">
        <v>31486.9</v>
      </c>
      <c r="GK156">
        <v>33866.800000000003</v>
      </c>
      <c r="GL156">
        <v>32122.9</v>
      </c>
      <c r="GM156">
        <v>42680.9</v>
      </c>
      <c r="GN156">
        <v>40842.9</v>
      </c>
      <c r="GO156">
        <v>49046.400000000001</v>
      </c>
      <c r="GP156">
        <v>45477.599999999999</v>
      </c>
      <c r="GQ156">
        <v>1.9774499999999999</v>
      </c>
      <c r="GR156">
        <v>1.7954300000000001</v>
      </c>
      <c r="GS156">
        <v>1.14702E-2</v>
      </c>
      <c r="GT156">
        <v>0</v>
      </c>
      <c r="GU156">
        <v>29.816299999999998</v>
      </c>
      <c r="GV156">
        <v>999.9</v>
      </c>
      <c r="GW156">
        <v>33.799999999999997</v>
      </c>
      <c r="GX156">
        <v>41.2</v>
      </c>
      <c r="GY156">
        <v>26.974599999999999</v>
      </c>
      <c r="GZ156">
        <v>59.934899999999999</v>
      </c>
      <c r="HA156">
        <v>24.647400000000001</v>
      </c>
      <c r="HB156">
        <v>1</v>
      </c>
      <c r="HC156">
        <v>0.460038</v>
      </c>
      <c r="HD156">
        <v>2.89222</v>
      </c>
      <c r="HE156">
        <v>20.245100000000001</v>
      </c>
      <c r="HF156">
        <v>5.2680600000000002</v>
      </c>
      <c r="HG156">
        <v>12.039899999999999</v>
      </c>
      <c r="HH156">
        <v>4.9652000000000003</v>
      </c>
      <c r="HI156">
        <v>3.3002500000000001</v>
      </c>
      <c r="HJ156">
        <v>9999</v>
      </c>
      <c r="HK156">
        <v>9999</v>
      </c>
      <c r="HL156">
        <v>9999</v>
      </c>
      <c r="HM156">
        <v>999.9</v>
      </c>
      <c r="HN156">
        <v>1.8681700000000001</v>
      </c>
      <c r="HO156">
        <v>1.87185</v>
      </c>
      <c r="HP156">
        <v>1.8717200000000001</v>
      </c>
      <c r="HQ156">
        <v>1.8711899999999999</v>
      </c>
      <c r="HR156">
        <v>1.8644700000000001</v>
      </c>
      <c r="HS156">
        <v>1.8655600000000001</v>
      </c>
      <c r="HT156">
        <v>1.86768</v>
      </c>
      <c r="HU156">
        <v>1.8721300000000001</v>
      </c>
      <c r="HV156">
        <v>0</v>
      </c>
      <c r="HW156">
        <v>0</v>
      </c>
      <c r="HX156">
        <v>0</v>
      </c>
      <c r="HY156">
        <v>0</v>
      </c>
      <c r="HZ156" t="s">
        <v>424</v>
      </c>
      <c r="IA156" t="s">
        <v>425</v>
      </c>
      <c r="IB156" t="s">
        <v>426</v>
      </c>
      <c r="IC156" t="s">
        <v>426</v>
      </c>
      <c r="ID156" t="s">
        <v>426</v>
      </c>
      <c r="IE156" t="s">
        <v>426</v>
      </c>
      <c r="IF156">
        <v>0</v>
      </c>
      <c r="IG156">
        <v>100</v>
      </c>
      <c r="IH156">
        <v>100</v>
      </c>
      <c r="II156">
        <v>-0.98599999999999999</v>
      </c>
      <c r="IJ156">
        <v>2.53E-2</v>
      </c>
      <c r="IK156">
        <v>-0.91828749393721587</v>
      </c>
      <c r="IL156">
        <v>-1.171017271736434E-3</v>
      </c>
      <c r="IM156">
        <v>2.801297040296544E-7</v>
      </c>
      <c r="IN156">
        <v>-3.6238253961199429E-11</v>
      </c>
      <c r="IO156">
        <v>2.5328571428566701E-2</v>
      </c>
      <c r="IP156">
        <v>0</v>
      </c>
      <c r="IQ156">
        <v>0</v>
      </c>
      <c r="IR156">
        <v>0</v>
      </c>
      <c r="IS156">
        <v>0</v>
      </c>
      <c r="IT156">
        <v>2161</v>
      </c>
      <c r="IU156">
        <v>1</v>
      </c>
      <c r="IV156">
        <v>19</v>
      </c>
      <c r="IW156">
        <v>0.6</v>
      </c>
      <c r="IX156">
        <v>0.6</v>
      </c>
      <c r="IY156">
        <v>0.302734</v>
      </c>
      <c r="IZ156">
        <v>2.5439500000000002</v>
      </c>
      <c r="JA156">
        <v>1.4440900000000001</v>
      </c>
      <c r="JB156">
        <v>2.2778299999999998</v>
      </c>
      <c r="JC156">
        <v>1.54419</v>
      </c>
      <c r="JD156">
        <v>2.4499499999999999</v>
      </c>
      <c r="JE156">
        <v>43.317599999999999</v>
      </c>
      <c r="JF156">
        <v>16.023299999999999</v>
      </c>
      <c r="JG156">
        <v>18</v>
      </c>
      <c r="JH156">
        <v>510.834</v>
      </c>
      <c r="JI156">
        <v>431.61399999999998</v>
      </c>
      <c r="JJ156">
        <v>26.0154</v>
      </c>
      <c r="JK156">
        <v>33.1126</v>
      </c>
      <c r="JL156">
        <v>30.0001</v>
      </c>
      <c r="JM156">
        <v>32.918100000000003</v>
      </c>
      <c r="JN156">
        <v>32.860199999999999</v>
      </c>
      <c r="JO156">
        <v>6.1892199999999997</v>
      </c>
      <c r="JP156">
        <v>29.368300000000001</v>
      </c>
      <c r="JQ156">
        <v>18.136099999999999</v>
      </c>
      <c r="JR156">
        <v>26.017099999999999</v>
      </c>
      <c r="JS156">
        <v>70</v>
      </c>
      <c r="JT156">
        <v>21.9436</v>
      </c>
      <c r="JU156">
        <v>99.405299999999997</v>
      </c>
      <c r="JV156">
        <v>99.036199999999994</v>
      </c>
    </row>
    <row r="157" spans="1:282" x14ac:dyDescent="0.25">
      <c r="A157">
        <v>141</v>
      </c>
      <c r="B157">
        <v>1689027527.5999999</v>
      </c>
      <c r="C157">
        <v>28350.599999904629</v>
      </c>
      <c r="D157" t="s">
        <v>1131</v>
      </c>
      <c r="E157" t="s">
        <v>1132</v>
      </c>
      <c r="F157" t="s">
        <v>414</v>
      </c>
      <c r="G157" t="s">
        <v>415</v>
      </c>
      <c r="H157" t="s">
        <v>31</v>
      </c>
      <c r="I157" t="s">
        <v>500</v>
      </c>
      <c r="J157" t="s">
        <v>417</v>
      </c>
      <c r="K157">
        <v>1689027527.5999999</v>
      </c>
      <c r="L157">
        <f t="shared" si="184"/>
        <v>5.942717108074964E-3</v>
      </c>
      <c r="M157">
        <f t="shared" si="185"/>
        <v>5.9427171080749641</v>
      </c>
      <c r="N157">
        <f t="shared" si="186"/>
        <v>4.6107055956908427</v>
      </c>
      <c r="O157">
        <f t="shared" si="187"/>
        <v>24.3142</v>
      </c>
      <c r="P157">
        <f t="shared" si="188"/>
        <v>5.5794167852389629</v>
      </c>
      <c r="Q157">
        <f t="shared" si="189"/>
        <v>0.5530065052780736</v>
      </c>
      <c r="R157">
        <f t="shared" si="190"/>
        <v>2.40991330961418</v>
      </c>
      <c r="S157">
        <f t="shared" si="191"/>
        <v>0.42935143696476702</v>
      </c>
      <c r="T157">
        <f t="shared" si="192"/>
        <v>2.9121165298160268</v>
      </c>
      <c r="U157">
        <f t="shared" si="193"/>
        <v>0.39703101283364872</v>
      </c>
      <c r="V157">
        <f t="shared" si="194"/>
        <v>0.25084518970756203</v>
      </c>
      <c r="W157">
        <f t="shared" si="195"/>
        <v>289.56124395783525</v>
      </c>
      <c r="X157">
        <f t="shared" si="196"/>
        <v>30.361538756745869</v>
      </c>
      <c r="Y157">
        <f t="shared" si="197"/>
        <v>29.960899999999999</v>
      </c>
      <c r="Z157">
        <f t="shared" si="198"/>
        <v>4.2508907066629282</v>
      </c>
      <c r="AA157">
        <f t="shared" si="199"/>
        <v>65.444908899725945</v>
      </c>
      <c r="AB157">
        <f t="shared" si="200"/>
        <v>2.8202612582669699</v>
      </c>
      <c r="AC157">
        <f t="shared" si="201"/>
        <v>4.3093669250699804</v>
      </c>
      <c r="AD157">
        <f t="shared" si="202"/>
        <v>1.4306294483959583</v>
      </c>
      <c r="AE157">
        <f t="shared" si="203"/>
        <v>-262.07382446610592</v>
      </c>
      <c r="AF157">
        <f t="shared" si="204"/>
        <v>37.365530272595038</v>
      </c>
      <c r="AG157">
        <f t="shared" si="205"/>
        <v>2.85525618543398</v>
      </c>
      <c r="AH157">
        <f t="shared" si="206"/>
        <v>67.708205949758337</v>
      </c>
      <c r="AI157">
        <v>0</v>
      </c>
      <c r="AJ157">
        <v>0</v>
      </c>
      <c r="AK157">
        <f t="shared" si="207"/>
        <v>1</v>
      </c>
      <c r="AL157">
        <f t="shared" si="208"/>
        <v>0</v>
      </c>
      <c r="AM157">
        <f t="shared" si="209"/>
        <v>51801.231411813707</v>
      </c>
      <c r="AN157" t="s">
        <v>418</v>
      </c>
      <c r="AO157">
        <v>10076.700000000001</v>
      </c>
      <c r="AP157">
        <v>185.01599999999999</v>
      </c>
      <c r="AQ157">
        <v>473.06</v>
      </c>
      <c r="AR157">
        <f t="shared" si="210"/>
        <v>0.60889527755464423</v>
      </c>
      <c r="AS157">
        <v>-1.4827006201179751</v>
      </c>
      <c r="AT157" t="s">
        <v>1133</v>
      </c>
      <c r="AU157">
        <v>8109.74</v>
      </c>
      <c r="AV157">
        <v>674.50823999999989</v>
      </c>
      <c r="AW157">
        <v>742.63568257203235</v>
      </c>
      <c r="AX157">
        <f t="shared" si="211"/>
        <v>9.1737367555624338E-2</v>
      </c>
      <c r="AY157">
        <v>0.5</v>
      </c>
      <c r="AZ157">
        <f t="shared" si="212"/>
        <v>1513.1516994600183</v>
      </c>
      <c r="BA157">
        <f t="shared" si="213"/>
        <v>4.6107055956908427</v>
      </c>
      <c r="BB157">
        <f t="shared" si="214"/>
        <v>69.406276810390665</v>
      </c>
      <c r="BC157">
        <f t="shared" si="215"/>
        <v>4.026963204008761E-3</v>
      </c>
      <c r="BD157">
        <f t="shared" si="216"/>
        <v>-0.36299855891436339</v>
      </c>
      <c r="BE157">
        <f t="shared" si="217"/>
        <v>215.62893741402598</v>
      </c>
      <c r="BF157" t="s">
        <v>1134</v>
      </c>
      <c r="BG157">
        <v>573.9</v>
      </c>
      <c r="BH157">
        <f t="shared" si="218"/>
        <v>573.9</v>
      </c>
      <c r="BI157">
        <f t="shared" si="219"/>
        <v>0.22721192440906679</v>
      </c>
      <c r="BJ157">
        <f t="shared" si="220"/>
        <v>0.40375243418326301</v>
      </c>
      <c r="BK157">
        <f t="shared" si="221"/>
        <v>2.6733010965096433</v>
      </c>
      <c r="BL157">
        <f t="shared" si="222"/>
        <v>0.12217546241874608</v>
      </c>
      <c r="BM157">
        <f t="shared" si="223"/>
        <v>-0.93588369336640365</v>
      </c>
      <c r="BN157">
        <f t="shared" si="224"/>
        <v>0.34352956455769118</v>
      </c>
      <c r="BO157">
        <f t="shared" si="225"/>
        <v>0.65647043544230876</v>
      </c>
      <c r="BP157">
        <v>9335</v>
      </c>
      <c r="BQ157">
        <v>290.00000000000011</v>
      </c>
      <c r="BR157">
        <v>717.05</v>
      </c>
      <c r="BS157">
        <v>95</v>
      </c>
      <c r="BT157">
        <v>8109.74</v>
      </c>
      <c r="BU157">
        <v>716.34</v>
      </c>
      <c r="BV157">
        <v>0.71</v>
      </c>
      <c r="BW157">
        <v>300.00000000000011</v>
      </c>
      <c r="BX157">
        <v>19.2</v>
      </c>
      <c r="BY157">
        <v>742.63568257203235</v>
      </c>
      <c r="BZ157">
        <v>2.262474491841802</v>
      </c>
      <c r="CA157">
        <v>-21.325574852734171</v>
      </c>
      <c r="CB157">
        <v>1.68337831521688</v>
      </c>
      <c r="CC157">
        <v>0.85144811038442147</v>
      </c>
      <c r="CD157">
        <v>-4.171185317018905E-3</v>
      </c>
      <c r="CE157">
        <v>289.99999999999989</v>
      </c>
      <c r="CF157">
        <v>714.01</v>
      </c>
      <c r="CG157">
        <v>715</v>
      </c>
      <c r="CH157">
        <v>8088.66</v>
      </c>
      <c r="CI157">
        <v>716.27</v>
      </c>
      <c r="CJ157">
        <v>-2.2599999999999998</v>
      </c>
      <c r="CX157">
        <f t="shared" si="226"/>
        <v>1799.96</v>
      </c>
      <c r="CY157">
        <f t="shared" si="227"/>
        <v>1513.1516994600183</v>
      </c>
      <c r="CZ157">
        <f t="shared" si="228"/>
        <v>0.84065851433366201</v>
      </c>
      <c r="DA157">
        <f t="shared" si="229"/>
        <v>0.16087093266396765</v>
      </c>
      <c r="DB157">
        <v>6</v>
      </c>
      <c r="DC157">
        <v>0.5</v>
      </c>
      <c r="DD157" t="s">
        <v>421</v>
      </c>
      <c r="DE157">
        <v>2</v>
      </c>
      <c r="DF157">
        <v>1689027527.5999999</v>
      </c>
      <c r="DG157">
        <v>24.3142</v>
      </c>
      <c r="DH157">
        <v>30.018999999999998</v>
      </c>
      <c r="DI157">
        <v>28.4543</v>
      </c>
      <c r="DJ157">
        <v>21.527699999999999</v>
      </c>
      <c r="DK157">
        <v>25.2439</v>
      </c>
      <c r="DL157">
        <v>28.431100000000001</v>
      </c>
      <c r="DM157">
        <v>500.12599999999998</v>
      </c>
      <c r="DN157">
        <v>99.015699999999995</v>
      </c>
      <c r="DO157">
        <v>9.9767900000000007E-2</v>
      </c>
      <c r="DP157">
        <v>30.198899999999998</v>
      </c>
      <c r="DQ157">
        <v>29.960899999999999</v>
      </c>
      <c r="DR157">
        <v>999.9</v>
      </c>
      <c r="DS157">
        <v>0</v>
      </c>
      <c r="DT157">
        <v>0</v>
      </c>
      <c r="DU157">
        <v>9999.3799999999992</v>
      </c>
      <c r="DV157">
        <v>0</v>
      </c>
      <c r="DW157">
        <v>997.33900000000006</v>
      </c>
      <c r="DX157">
        <v>-5.7047800000000004</v>
      </c>
      <c r="DY157">
        <v>25.026299999999999</v>
      </c>
      <c r="DZ157">
        <v>30.679400000000001</v>
      </c>
      <c r="EA157">
        <v>6.9265800000000004</v>
      </c>
      <c r="EB157">
        <v>30.018999999999998</v>
      </c>
      <c r="EC157">
        <v>21.527699999999999</v>
      </c>
      <c r="ED157">
        <v>2.8174199999999998</v>
      </c>
      <c r="EE157">
        <v>2.13158</v>
      </c>
      <c r="EF157">
        <v>22.986499999999999</v>
      </c>
      <c r="EG157">
        <v>18.457100000000001</v>
      </c>
      <c r="EH157">
        <v>1799.96</v>
      </c>
      <c r="EI157">
        <v>0.97799100000000005</v>
      </c>
      <c r="EJ157">
        <v>2.2009000000000001E-2</v>
      </c>
      <c r="EK157">
        <v>0</v>
      </c>
      <c r="EL157">
        <v>674.78700000000003</v>
      </c>
      <c r="EM157">
        <v>5.00082</v>
      </c>
      <c r="EN157">
        <v>14452.7</v>
      </c>
      <c r="EO157">
        <v>14129.4</v>
      </c>
      <c r="EP157">
        <v>48.311999999999998</v>
      </c>
      <c r="EQ157">
        <v>49.436999999999998</v>
      </c>
      <c r="ER157">
        <v>49.311999999999998</v>
      </c>
      <c r="ES157">
        <v>48.875</v>
      </c>
      <c r="ET157">
        <v>49.625</v>
      </c>
      <c r="EU157">
        <v>1755.45</v>
      </c>
      <c r="EV157">
        <v>39.51</v>
      </c>
      <c r="EW157">
        <v>0</v>
      </c>
      <c r="EX157">
        <v>156</v>
      </c>
      <c r="EY157">
        <v>0</v>
      </c>
      <c r="EZ157">
        <v>674.50823999999989</v>
      </c>
      <c r="FA157">
        <v>-0.6244615246941837</v>
      </c>
      <c r="FB157">
        <v>-680.32308008520738</v>
      </c>
      <c r="FC157">
        <v>14465.58</v>
      </c>
      <c r="FD157">
        <v>15</v>
      </c>
      <c r="FE157">
        <v>1689027485.0999999</v>
      </c>
      <c r="FF157" t="s">
        <v>1135</v>
      </c>
      <c r="FG157">
        <v>1689027480.5999999</v>
      </c>
      <c r="FH157">
        <v>1689027485.0999999</v>
      </c>
      <c r="FI157">
        <v>161</v>
      </c>
      <c r="FJ157">
        <v>1.7999999999999999E-2</v>
      </c>
      <c r="FK157">
        <v>-2E-3</v>
      </c>
      <c r="FL157">
        <v>-0.93600000000000005</v>
      </c>
      <c r="FM157">
        <v>2.3E-2</v>
      </c>
      <c r="FN157">
        <v>30</v>
      </c>
      <c r="FO157">
        <v>21</v>
      </c>
      <c r="FP157">
        <v>0.17</v>
      </c>
      <c r="FQ157">
        <v>0.02</v>
      </c>
      <c r="FR157">
        <v>4.6672990381056438</v>
      </c>
      <c r="FS157">
        <v>-0.6613688862971232</v>
      </c>
      <c r="FT157">
        <v>5.0570323202140478E-2</v>
      </c>
      <c r="FU157">
        <v>1</v>
      </c>
      <c r="FV157">
        <v>0.42625195771523727</v>
      </c>
      <c r="FW157">
        <v>1.634114546431446E-2</v>
      </c>
      <c r="FX157">
        <v>1.3195558437434931E-3</v>
      </c>
      <c r="FY157">
        <v>1</v>
      </c>
      <c r="FZ157">
        <v>2</v>
      </c>
      <c r="GA157">
        <v>2</v>
      </c>
      <c r="GB157" t="s">
        <v>423</v>
      </c>
      <c r="GC157">
        <v>2.9445899999999998</v>
      </c>
      <c r="GD157">
        <v>2.7084199999999998</v>
      </c>
      <c r="GE157">
        <v>6.6561299999999997E-3</v>
      </c>
      <c r="GF157">
        <v>7.9438600000000005E-3</v>
      </c>
      <c r="GG157">
        <v>0.12714800000000001</v>
      </c>
      <c r="GH157">
        <v>0.104696</v>
      </c>
      <c r="GI157">
        <v>32651.4</v>
      </c>
      <c r="GJ157">
        <v>31828.7</v>
      </c>
      <c r="GK157">
        <v>33871.9</v>
      </c>
      <c r="GL157">
        <v>32128.7</v>
      </c>
      <c r="GM157">
        <v>42678</v>
      </c>
      <c r="GN157">
        <v>40931.4</v>
      </c>
      <c r="GO157">
        <v>49053.3</v>
      </c>
      <c r="GP157">
        <v>45485.3</v>
      </c>
      <c r="GQ157">
        <v>1.9786999999999999</v>
      </c>
      <c r="GR157">
        <v>1.7972699999999999</v>
      </c>
      <c r="GS157">
        <v>1.24983E-2</v>
      </c>
      <c r="GT157">
        <v>0</v>
      </c>
      <c r="GU157">
        <v>29.7575</v>
      </c>
      <c r="GV157">
        <v>999.9</v>
      </c>
      <c r="GW157">
        <v>33.700000000000003</v>
      </c>
      <c r="GX157">
        <v>41</v>
      </c>
      <c r="GY157">
        <v>26.6114</v>
      </c>
      <c r="GZ157">
        <v>60.1768</v>
      </c>
      <c r="HA157">
        <v>25.4207</v>
      </c>
      <c r="HB157">
        <v>1</v>
      </c>
      <c r="HC157">
        <v>0.45232499999999998</v>
      </c>
      <c r="HD157">
        <v>2.4361600000000001</v>
      </c>
      <c r="HE157">
        <v>20.253499999999999</v>
      </c>
      <c r="HF157">
        <v>5.2704500000000003</v>
      </c>
      <c r="HG157">
        <v>12.039899999999999</v>
      </c>
      <c r="HH157">
        <v>4.9656500000000001</v>
      </c>
      <c r="HI157">
        <v>3.3010000000000002</v>
      </c>
      <c r="HJ157">
        <v>9999</v>
      </c>
      <c r="HK157">
        <v>9999</v>
      </c>
      <c r="HL157">
        <v>9999</v>
      </c>
      <c r="HM157">
        <v>999.9</v>
      </c>
      <c r="HN157">
        <v>1.86818</v>
      </c>
      <c r="HO157">
        <v>1.8717999999999999</v>
      </c>
      <c r="HP157">
        <v>1.8716999999999999</v>
      </c>
      <c r="HQ157">
        <v>1.8711899999999999</v>
      </c>
      <c r="HR157">
        <v>1.8644700000000001</v>
      </c>
      <c r="HS157">
        <v>1.8655600000000001</v>
      </c>
      <c r="HT157">
        <v>1.86768</v>
      </c>
      <c r="HU157">
        <v>1.8721099999999999</v>
      </c>
      <c r="HV157">
        <v>0</v>
      </c>
      <c r="HW157">
        <v>0</v>
      </c>
      <c r="HX157">
        <v>0</v>
      </c>
      <c r="HY157">
        <v>0</v>
      </c>
      <c r="HZ157" t="s">
        <v>424</v>
      </c>
      <c r="IA157" t="s">
        <v>425</v>
      </c>
      <c r="IB157" t="s">
        <v>426</v>
      </c>
      <c r="IC157" t="s">
        <v>426</v>
      </c>
      <c r="ID157" t="s">
        <v>426</v>
      </c>
      <c r="IE157" t="s">
        <v>426</v>
      </c>
      <c r="IF157">
        <v>0</v>
      </c>
      <c r="IG157">
        <v>100</v>
      </c>
      <c r="IH157">
        <v>100</v>
      </c>
      <c r="II157">
        <v>-0.93</v>
      </c>
      <c r="IJ157">
        <v>2.3199999999999998E-2</v>
      </c>
      <c r="IK157">
        <v>-0.90035402043431345</v>
      </c>
      <c r="IL157">
        <v>-1.171017271736434E-3</v>
      </c>
      <c r="IM157">
        <v>2.801297040296544E-7</v>
      </c>
      <c r="IN157">
        <v>-3.6238253961199429E-11</v>
      </c>
      <c r="IO157">
        <v>2.3214285714278301E-2</v>
      </c>
      <c r="IP157">
        <v>0</v>
      </c>
      <c r="IQ157">
        <v>0</v>
      </c>
      <c r="IR157">
        <v>0</v>
      </c>
      <c r="IS157">
        <v>0</v>
      </c>
      <c r="IT157">
        <v>2161</v>
      </c>
      <c r="IU157">
        <v>1</v>
      </c>
      <c r="IV157">
        <v>19</v>
      </c>
      <c r="IW157">
        <v>0.8</v>
      </c>
      <c r="IX157">
        <v>0.7</v>
      </c>
      <c r="IY157">
        <v>0.21240200000000001</v>
      </c>
      <c r="IZ157">
        <v>2.5647000000000002</v>
      </c>
      <c r="JA157">
        <v>1.4440900000000001</v>
      </c>
      <c r="JB157">
        <v>2.2778299999999998</v>
      </c>
      <c r="JC157">
        <v>1.54419</v>
      </c>
      <c r="JD157">
        <v>2.4475099999999999</v>
      </c>
      <c r="JE157">
        <v>43.127899999999997</v>
      </c>
      <c r="JF157">
        <v>16.014600000000002</v>
      </c>
      <c r="JG157">
        <v>18</v>
      </c>
      <c r="JH157">
        <v>511.101</v>
      </c>
      <c r="JI157">
        <v>432.27800000000002</v>
      </c>
      <c r="JJ157">
        <v>26.163699999999999</v>
      </c>
      <c r="JK157">
        <v>33.044600000000003</v>
      </c>
      <c r="JL157">
        <v>29.998699999999999</v>
      </c>
      <c r="JM157">
        <v>32.848500000000001</v>
      </c>
      <c r="JN157">
        <v>32.789000000000001</v>
      </c>
      <c r="JO157">
        <v>4.37418</v>
      </c>
      <c r="JP157">
        <v>29.1797</v>
      </c>
      <c r="JQ157">
        <v>17.660799999999998</v>
      </c>
      <c r="JR157">
        <v>26.236899999999999</v>
      </c>
      <c r="JS157">
        <v>30</v>
      </c>
      <c r="JT157">
        <v>21.5151</v>
      </c>
      <c r="JU157">
        <v>99.419799999999995</v>
      </c>
      <c r="JV157">
        <v>99.053600000000003</v>
      </c>
    </row>
    <row r="158" spans="1:282" x14ac:dyDescent="0.25">
      <c r="A158">
        <v>142</v>
      </c>
      <c r="B158">
        <v>1689027630.0999999</v>
      </c>
      <c r="C158">
        <v>28453.099999904629</v>
      </c>
      <c r="D158" t="s">
        <v>1136</v>
      </c>
      <c r="E158" t="s">
        <v>1137</v>
      </c>
      <c r="F158" t="s">
        <v>414</v>
      </c>
      <c r="G158" t="s">
        <v>415</v>
      </c>
      <c r="H158" t="s">
        <v>31</v>
      </c>
      <c r="I158" t="s">
        <v>500</v>
      </c>
      <c r="J158" t="s">
        <v>417</v>
      </c>
      <c r="K158">
        <v>1689027630.0999999</v>
      </c>
      <c r="L158">
        <f t="shared" si="184"/>
        <v>6.0692548958165083E-3</v>
      </c>
      <c r="M158">
        <f t="shared" si="185"/>
        <v>6.069254895816508</v>
      </c>
      <c r="N158">
        <f t="shared" si="186"/>
        <v>1.7482544544981753</v>
      </c>
      <c r="O158">
        <f t="shared" si="187"/>
        <v>8.0640599999999996</v>
      </c>
      <c r="P158">
        <f t="shared" si="188"/>
        <v>1.1097601542205766</v>
      </c>
      <c r="Q158">
        <f t="shared" si="189"/>
        <v>0.10999205335085493</v>
      </c>
      <c r="R158">
        <f t="shared" si="190"/>
        <v>0.79925605039176595</v>
      </c>
      <c r="S158">
        <f t="shared" si="191"/>
        <v>0.4376854737535566</v>
      </c>
      <c r="T158">
        <f t="shared" si="192"/>
        <v>2.9125236039001692</v>
      </c>
      <c r="U158">
        <f t="shared" si="193"/>
        <v>0.4041549391721444</v>
      </c>
      <c r="V158">
        <f t="shared" si="194"/>
        <v>0.2553950247080965</v>
      </c>
      <c r="W158">
        <f t="shared" si="195"/>
        <v>289.56589095864967</v>
      </c>
      <c r="X158">
        <f t="shared" si="196"/>
        <v>30.382926602054631</v>
      </c>
      <c r="Y158">
        <f t="shared" si="197"/>
        <v>30.032699999999998</v>
      </c>
      <c r="Z158">
        <f t="shared" si="198"/>
        <v>4.2684585623874227</v>
      </c>
      <c r="AA158">
        <f t="shared" si="199"/>
        <v>65.544623459737082</v>
      </c>
      <c r="AB158">
        <f t="shared" si="200"/>
        <v>2.8333832448375302</v>
      </c>
      <c r="AC158">
        <f t="shared" si="201"/>
        <v>4.3228309131686871</v>
      </c>
      <c r="AD158">
        <f t="shared" si="202"/>
        <v>1.4350753175498925</v>
      </c>
      <c r="AE158">
        <f t="shared" si="203"/>
        <v>-267.65414090550803</v>
      </c>
      <c r="AF158">
        <f t="shared" si="204"/>
        <v>34.638605940882748</v>
      </c>
      <c r="AG158">
        <f t="shared" si="205"/>
        <v>2.6481638298070131</v>
      </c>
      <c r="AH158">
        <f t="shared" si="206"/>
        <v>59.198519823831397</v>
      </c>
      <c r="AI158">
        <v>0</v>
      </c>
      <c r="AJ158">
        <v>0</v>
      </c>
      <c r="AK158">
        <f t="shared" si="207"/>
        <v>1</v>
      </c>
      <c r="AL158">
        <f t="shared" si="208"/>
        <v>0</v>
      </c>
      <c r="AM158">
        <f t="shared" si="209"/>
        <v>51803.463449793046</v>
      </c>
      <c r="AN158" t="s">
        <v>418</v>
      </c>
      <c r="AO158">
        <v>10076.700000000001</v>
      </c>
      <c r="AP158">
        <v>185.01599999999999</v>
      </c>
      <c r="AQ158">
        <v>473.06</v>
      </c>
      <c r="AR158">
        <f t="shared" si="210"/>
        <v>0.60889527755464423</v>
      </c>
      <c r="AS158">
        <v>-1.4827006201179751</v>
      </c>
      <c r="AT158" t="s">
        <v>1138</v>
      </c>
      <c r="AU158">
        <v>8104.94</v>
      </c>
      <c r="AV158">
        <v>680.85907692307694</v>
      </c>
      <c r="AW158">
        <v>737.34764710340835</v>
      </c>
      <c r="AX158">
        <f t="shared" si="211"/>
        <v>7.66104976427886E-2</v>
      </c>
      <c r="AY158">
        <v>0.5</v>
      </c>
      <c r="AZ158">
        <f t="shared" si="212"/>
        <v>1513.1843994604403</v>
      </c>
      <c r="BA158">
        <f t="shared" si="213"/>
        <v>1.7482544544981753</v>
      </c>
      <c r="BB158">
        <f t="shared" si="214"/>
        <v>57.962904933984269</v>
      </c>
      <c r="BC158">
        <f t="shared" si="215"/>
        <v>2.1352024748392991E-3</v>
      </c>
      <c r="BD158">
        <f t="shared" si="216"/>
        <v>-0.35843017624269125</v>
      </c>
      <c r="BE158">
        <f t="shared" si="217"/>
        <v>215.18085600874966</v>
      </c>
      <c r="BF158" t="s">
        <v>1139</v>
      </c>
      <c r="BG158">
        <v>584.82000000000005</v>
      </c>
      <c r="BH158">
        <f t="shared" si="218"/>
        <v>584.82000000000005</v>
      </c>
      <c r="BI158">
        <f t="shared" si="219"/>
        <v>0.20685988177028425</v>
      </c>
      <c r="BJ158">
        <f t="shared" si="220"/>
        <v>0.37034971202325156</v>
      </c>
      <c r="BK158">
        <f t="shared" si="221"/>
        <v>2.3647785173891216</v>
      </c>
      <c r="BL158">
        <f t="shared" si="222"/>
        <v>0.10227291967891808</v>
      </c>
      <c r="BM158">
        <f t="shared" si="223"/>
        <v>-0.91752526386041144</v>
      </c>
      <c r="BN158">
        <f t="shared" si="224"/>
        <v>0.31810976151516884</v>
      </c>
      <c r="BO158">
        <f t="shared" si="225"/>
        <v>0.6818902384848311</v>
      </c>
      <c r="BP158">
        <v>9337</v>
      </c>
      <c r="BQ158">
        <v>290.00000000000011</v>
      </c>
      <c r="BR158">
        <v>716.84</v>
      </c>
      <c r="BS158">
        <v>155</v>
      </c>
      <c r="BT158">
        <v>8104.94</v>
      </c>
      <c r="BU158">
        <v>715.63</v>
      </c>
      <c r="BV158">
        <v>1.21</v>
      </c>
      <c r="BW158">
        <v>300.00000000000011</v>
      </c>
      <c r="BX158">
        <v>19.2</v>
      </c>
      <c r="BY158">
        <v>737.34764710340835</v>
      </c>
      <c r="BZ158">
        <v>2.1023682143252458</v>
      </c>
      <c r="CA158">
        <v>-17.60051856309536</v>
      </c>
      <c r="CB158">
        <v>1.56427157400803</v>
      </c>
      <c r="CC158">
        <v>0.81888503190357675</v>
      </c>
      <c r="CD158">
        <v>-4.1713982202447224E-3</v>
      </c>
      <c r="CE158">
        <v>289.99999999999989</v>
      </c>
      <c r="CF158">
        <v>714.31</v>
      </c>
      <c r="CG158">
        <v>685</v>
      </c>
      <c r="CH158">
        <v>8089.49</v>
      </c>
      <c r="CI158">
        <v>715.59</v>
      </c>
      <c r="CJ158">
        <v>-1.28</v>
      </c>
      <c r="CX158">
        <f t="shared" si="226"/>
        <v>1800</v>
      </c>
      <c r="CY158">
        <f t="shared" si="227"/>
        <v>1513.1843994604403</v>
      </c>
      <c r="CZ158">
        <f t="shared" si="228"/>
        <v>0.84065799970024457</v>
      </c>
      <c r="DA158">
        <f t="shared" si="229"/>
        <v>0.16086993942147204</v>
      </c>
      <c r="DB158">
        <v>6</v>
      </c>
      <c r="DC158">
        <v>0.5</v>
      </c>
      <c r="DD158" t="s">
        <v>421</v>
      </c>
      <c r="DE158">
        <v>2</v>
      </c>
      <c r="DF158">
        <v>1689027630.0999999</v>
      </c>
      <c r="DG158">
        <v>8.0640599999999996</v>
      </c>
      <c r="DH158">
        <v>10.2203</v>
      </c>
      <c r="DI158">
        <v>28.587299999999999</v>
      </c>
      <c r="DJ158">
        <v>21.5137</v>
      </c>
      <c r="DK158">
        <v>9.0271600000000003</v>
      </c>
      <c r="DL158">
        <v>28.569400000000002</v>
      </c>
      <c r="DM158">
        <v>500.09199999999998</v>
      </c>
      <c r="DN158">
        <v>99.013800000000003</v>
      </c>
      <c r="DO158">
        <v>9.9556099999999995E-2</v>
      </c>
      <c r="DP158">
        <v>30.253299999999999</v>
      </c>
      <c r="DQ158">
        <v>30.032699999999998</v>
      </c>
      <c r="DR158">
        <v>999.9</v>
      </c>
      <c r="DS158">
        <v>0</v>
      </c>
      <c r="DT158">
        <v>0</v>
      </c>
      <c r="DU158">
        <v>10001.9</v>
      </c>
      <c r="DV158">
        <v>0</v>
      </c>
      <c r="DW158">
        <v>997.72500000000002</v>
      </c>
      <c r="DX158">
        <v>-2.1562899999999998</v>
      </c>
      <c r="DY158">
        <v>8.3013700000000004</v>
      </c>
      <c r="DZ158">
        <v>10.4451</v>
      </c>
      <c r="EA158">
        <v>7.0736800000000004</v>
      </c>
      <c r="EB158">
        <v>10.2203</v>
      </c>
      <c r="EC158">
        <v>21.5137</v>
      </c>
      <c r="ED158">
        <v>2.8305400000000001</v>
      </c>
      <c r="EE158">
        <v>2.13015</v>
      </c>
      <c r="EF158">
        <v>23.063300000000002</v>
      </c>
      <c r="EG158">
        <v>18.446400000000001</v>
      </c>
      <c r="EH158">
        <v>1800</v>
      </c>
      <c r="EI158">
        <v>0.97800799999999999</v>
      </c>
      <c r="EJ158">
        <v>2.1991900000000002E-2</v>
      </c>
      <c r="EK158">
        <v>0</v>
      </c>
      <c r="EL158">
        <v>681.08500000000004</v>
      </c>
      <c r="EM158">
        <v>5.00082</v>
      </c>
      <c r="EN158">
        <v>14629.6</v>
      </c>
      <c r="EO158">
        <v>14129.8</v>
      </c>
      <c r="EP158">
        <v>48.25</v>
      </c>
      <c r="EQ158">
        <v>49.436999999999998</v>
      </c>
      <c r="ER158">
        <v>49.311999999999998</v>
      </c>
      <c r="ES158">
        <v>48.811999999999998</v>
      </c>
      <c r="ET158">
        <v>49.625</v>
      </c>
      <c r="EU158">
        <v>1755.52</v>
      </c>
      <c r="EV158">
        <v>39.479999999999997</v>
      </c>
      <c r="EW158">
        <v>0</v>
      </c>
      <c r="EX158">
        <v>100.3999998569489</v>
      </c>
      <c r="EY158">
        <v>0</v>
      </c>
      <c r="EZ158">
        <v>680.85907692307694</v>
      </c>
      <c r="FA158">
        <v>-1.08526495536112</v>
      </c>
      <c r="FB158">
        <v>443.63761002259139</v>
      </c>
      <c r="FC158">
        <v>14590.115384615379</v>
      </c>
      <c r="FD158">
        <v>15</v>
      </c>
      <c r="FE158">
        <v>1689027595.5999999</v>
      </c>
      <c r="FF158" t="s">
        <v>1140</v>
      </c>
      <c r="FG158">
        <v>1689027592.5999999</v>
      </c>
      <c r="FH158">
        <v>1689027595.5999999</v>
      </c>
      <c r="FI158">
        <v>162</v>
      </c>
      <c r="FJ158">
        <v>-5.1999999999999998E-2</v>
      </c>
      <c r="FK158">
        <v>-5.0000000000000001E-3</v>
      </c>
      <c r="FL158">
        <v>-0.96499999999999997</v>
      </c>
      <c r="FM158">
        <v>1.7999999999999999E-2</v>
      </c>
      <c r="FN158">
        <v>10</v>
      </c>
      <c r="FO158">
        <v>21</v>
      </c>
      <c r="FP158">
        <v>0.2</v>
      </c>
      <c r="FQ158">
        <v>0.01</v>
      </c>
      <c r="FR158">
        <v>1.855977080476426</v>
      </c>
      <c r="FS158">
        <v>-0.52094912039388053</v>
      </c>
      <c r="FT158">
        <v>5.7518382728519057E-2</v>
      </c>
      <c r="FU158">
        <v>1</v>
      </c>
      <c r="FV158">
        <v>0.43729758985306733</v>
      </c>
      <c r="FW158">
        <v>-1.1050316146167781E-3</v>
      </c>
      <c r="FX158">
        <v>1.329010998743062E-3</v>
      </c>
      <c r="FY158">
        <v>1</v>
      </c>
      <c r="FZ158">
        <v>2</v>
      </c>
      <c r="GA158">
        <v>2</v>
      </c>
      <c r="GB158" t="s">
        <v>423</v>
      </c>
      <c r="GC158">
        <v>2.94455</v>
      </c>
      <c r="GD158">
        <v>2.7082299999999999</v>
      </c>
      <c r="GE158">
        <v>2.38112E-3</v>
      </c>
      <c r="GF158">
        <v>2.7072099999999998E-3</v>
      </c>
      <c r="GG158">
        <v>0.12758900000000001</v>
      </c>
      <c r="GH158">
        <v>0.10466</v>
      </c>
      <c r="GI158">
        <v>32796.400000000001</v>
      </c>
      <c r="GJ158">
        <v>32000.7</v>
      </c>
      <c r="GK158">
        <v>33876.5</v>
      </c>
      <c r="GL158">
        <v>32132.799999999999</v>
      </c>
      <c r="GM158">
        <v>42661.3</v>
      </c>
      <c r="GN158">
        <v>40938</v>
      </c>
      <c r="GO158">
        <v>49059.4</v>
      </c>
      <c r="GP158">
        <v>45491.1</v>
      </c>
      <c r="GQ158">
        <v>1.97932</v>
      </c>
      <c r="GR158">
        <v>1.7989299999999999</v>
      </c>
      <c r="GS158">
        <v>1.7806900000000001E-2</v>
      </c>
      <c r="GT158">
        <v>0</v>
      </c>
      <c r="GU158">
        <v>29.742899999999999</v>
      </c>
      <c r="GV158">
        <v>999.9</v>
      </c>
      <c r="GW158">
        <v>33.700000000000003</v>
      </c>
      <c r="GX158">
        <v>40.9</v>
      </c>
      <c r="GY158">
        <v>26.469100000000001</v>
      </c>
      <c r="GZ158">
        <v>60.016800000000003</v>
      </c>
      <c r="HA158">
        <v>25.284500000000001</v>
      </c>
      <c r="HB158">
        <v>1</v>
      </c>
      <c r="HC158">
        <v>0.449131</v>
      </c>
      <c r="HD158">
        <v>2.9482699999999999</v>
      </c>
      <c r="HE158">
        <v>20.244</v>
      </c>
      <c r="HF158">
        <v>5.2664099999999996</v>
      </c>
      <c r="HG158">
        <v>12.039899999999999</v>
      </c>
      <c r="HH158">
        <v>4.9650499999999997</v>
      </c>
      <c r="HI158">
        <v>3.3002500000000001</v>
      </c>
      <c r="HJ158">
        <v>9999</v>
      </c>
      <c r="HK158">
        <v>9999</v>
      </c>
      <c r="HL158">
        <v>9999</v>
      </c>
      <c r="HM158">
        <v>999.9</v>
      </c>
      <c r="HN158">
        <v>1.8682099999999999</v>
      </c>
      <c r="HO158">
        <v>1.8717999999999999</v>
      </c>
      <c r="HP158">
        <v>1.87168</v>
      </c>
      <c r="HQ158">
        <v>1.8711899999999999</v>
      </c>
      <c r="HR158">
        <v>1.8644700000000001</v>
      </c>
      <c r="HS158">
        <v>1.86555</v>
      </c>
      <c r="HT158">
        <v>1.8676699999999999</v>
      </c>
      <c r="HU158">
        <v>1.8721000000000001</v>
      </c>
      <c r="HV158">
        <v>0</v>
      </c>
      <c r="HW158">
        <v>0</v>
      </c>
      <c r="HX158">
        <v>0</v>
      </c>
      <c r="HY158">
        <v>0</v>
      </c>
      <c r="HZ158" t="s">
        <v>424</v>
      </c>
      <c r="IA158" t="s">
        <v>425</v>
      </c>
      <c r="IB158" t="s">
        <v>426</v>
      </c>
      <c r="IC158" t="s">
        <v>426</v>
      </c>
      <c r="ID158" t="s">
        <v>426</v>
      </c>
      <c r="IE158" t="s">
        <v>426</v>
      </c>
      <c r="IF158">
        <v>0</v>
      </c>
      <c r="IG158">
        <v>100</v>
      </c>
      <c r="IH158">
        <v>100</v>
      </c>
      <c r="II158">
        <v>-0.96299999999999997</v>
      </c>
      <c r="IJ158">
        <v>1.7899999999999999E-2</v>
      </c>
      <c r="IK158">
        <v>-0.95255895493499854</v>
      </c>
      <c r="IL158">
        <v>-1.171017271736434E-3</v>
      </c>
      <c r="IM158">
        <v>2.801297040296544E-7</v>
      </c>
      <c r="IN158">
        <v>-3.6238253961199429E-11</v>
      </c>
      <c r="IO158">
        <v>1.797999999999433E-2</v>
      </c>
      <c r="IP158">
        <v>0</v>
      </c>
      <c r="IQ158">
        <v>0</v>
      </c>
      <c r="IR158">
        <v>0</v>
      </c>
      <c r="IS158">
        <v>0</v>
      </c>
      <c r="IT158">
        <v>2161</v>
      </c>
      <c r="IU158">
        <v>1</v>
      </c>
      <c r="IV158">
        <v>19</v>
      </c>
      <c r="IW158">
        <v>0.6</v>
      </c>
      <c r="IX158">
        <v>0.6</v>
      </c>
      <c r="IY158">
        <v>0.168457</v>
      </c>
      <c r="IZ158">
        <v>2.6037599999999999</v>
      </c>
      <c r="JA158">
        <v>1.4440900000000001</v>
      </c>
      <c r="JB158">
        <v>2.2778299999999998</v>
      </c>
      <c r="JC158">
        <v>1.54419</v>
      </c>
      <c r="JD158">
        <v>2.3596200000000001</v>
      </c>
      <c r="JE158">
        <v>42.992899999999999</v>
      </c>
      <c r="JF158">
        <v>15.997</v>
      </c>
      <c r="JG158">
        <v>18</v>
      </c>
      <c r="JH158">
        <v>511.04199999999997</v>
      </c>
      <c r="JI158">
        <v>432.911</v>
      </c>
      <c r="JJ158">
        <v>26.1829</v>
      </c>
      <c r="JK158">
        <v>32.979500000000002</v>
      </c>
      <c r="JL158">
        <v>30.000399999999999</v>
      </c>
      <c r="JM158">
        <v>32.790199999999999</v>
      </c>
      <c r="JN158">
        <v>32.731299999999997</v>
      </c>
      <c r="JO158">
        <v>3.4963500000000001</v>
      </c>
      <c r="JP158">
        <v>28.590499999999999</v>
      </c>
      <c r="JQ158">
        <v>18.078199999999999</v>
      </c>
      <c r="JR158">
        <v>26.102399999999999</v>
      </c>
      <c r="JS158">
        <v>10</v>
      </c>
      <c r="JT158">
        <v>21.446200000000001</v>
      </c>
      <c r="JU158">
        <v>99.432500000000005</v>
      </c>
      <c r="JV158">
        <v>99.066100000000006</v>
      </c>
    </row>
    <row r="159" spans="1:282" x14ac:dyDescent="0.25">
      <c r="A159">
        <v>143</v>
      </c>
      <c r="B159">
        <v>1689027783.0999999</v>
      </c>
      <c r="C159">
        <v>28606.099999904629</v>
      </c>
      <c r="D159" t="s">
        <v>1141</v>
      </c>
      <c r="E159" t="s">
        <v>1142</v>
      </c>
      <c r="F159" t="s">
        <v>414</v>
      </c>
      <c r="G159" t="s">
        <v>415</v>
      </c>
      <c r="H159" t="s">
        <v>31</v>
      </c>
      <c r="I159" t="s">
        <v>500</v>
      </c>
      <c r="J159" t="s">
        <v>417</v>
      </c>
      <c r="K159">
        <v>1689027783.0999999</v>
      </c>
      <c r="L159">
        <f t="shared" si="184"/>
        <v>5.6658889828984753E-3</v>
      </c>
      <c r="M159">
        <f t="shared" si="185"/>
        <v>5.6658889828984753</v>
      </c>
      <c r="N159">
        <f t="shared" si="186"/>
        <v>44.811003721560908</v>
      </c>
      <c r="O159">
        <f t="shared" si="187"/>
        <v>343.88</v>
      </c>
      <c r="P159">
        <f t="shared" si="188"/>
        <v>144.49954831133428</v>
      </c>
      <c r="Q159">
        <f t="shared" si="189"/>
        <v>14.321880575378552</v>
      </c>
      <c r="R159">
        <f t="shared" si="190"/>
        <v>34.083208908376001</v>
      </c>
      <c r="S159">
        <f t="shared" si="191"/>
        <v>0.39447147135076427</v>
      </c>
      <c r="T159">
        <f t="shared" si="192"/>
        <v>2.9125236039001692</v>
      </c>
      <c r="U159">
        <f t="shared" si="193"/>
        <v>0.36701265395335075</v>
      </c>
      <c r="V159">
        <f t="shared" si="194"/>
        <v>0.23169049664316727</v>
      </c>
      <c r="W159">
        <f t="shared" si="195"/>
        <v>289.58779695819737</v>
      </c>
      <c r="X159">
        <f t="shared" si="196"/>
        <v>30.483990609010011</v>
      </c>
      <c r="Y159">
        <f t="shared" si="197"/>
        <v>30.1008</v>
      </c>
      <c r="Z159">
        <f t="shared" si="198"/>
        <v>4.2851795427462767</v>
      </c>
      <c r="AA159">
        <f t="shared" si="199"/>
        <v>65.016089503057657</v>
      </c>
      <c r="AB159">
        <f t="shared" si="200"/>
        <v>2.8098428160689402</v>
      </c>
      <c r="AC159">
        <f t="shared" si="201"/>
        <v>4.3217653315442712</v>
      </c>
      <c r="AD159">
        <f t="shared" si="202"/>
        <v>1.4753367266773365</v>
      </c>
      <c r="AE159">
        <f t="shared" si="203"/>
        <v>-249.86570414582275</v>
      </c>
      <c r="AF159">
        <f t="shared" si="204"/>
        <v>23.270359929459527</v>
      </c>
      <c r="AG159">
        <f t="shared" si="205"/>
        <v>1.7796090668158029</v>
      </c>
      <c r="AH159">
        <f t="shared" si="206"/>
        <v>64.772061808649951</v>
      </c>
      <c r="AI159">
        <v>0</v>
      </c>
      <c r="AJ159">
        <v>0</v>
      </c>
      <c r="AK159">
        <f t="shared" si="207"/>
        <v>1</v>
      </c>
      <c r="AL159">
        <f t="shared" si="208"/>
        <v>0</v>
      </c>
      <c r="AM159">
        <f t="shared" si="209"/>
        <v>51804.198010806707</v>
      </c>
      <c r="AN159" t="s">
        <v>418</v>
      </c>
      <c r="AO159">
        <v>10076.700000000001</v>
      </c>
      <c r="AP159">
        <v>185.01599999999999</v>
      </c>
      <c r="AQ159">
        <v>473.06</v>
      </c>
      <c r="AR159">
        <f t="shared" si="210"/>
        <v>0.60889527755464423</v>
      </c>
      <c r="AS159">
        <v>-1.4827006201179751</v>
      </c>
      <c r="AT159" t="s">
        <v>1143</v>
      </c>
      <c r="AU159">
        <v>8097.85</v>
      </c>
      <c r="AV159">
        <v>654.88973076923082</v>
      </c>
      <c r="AW159">
        <v>976.60428175130244</v>
      </c>
      <c r="AX159">
        <f t="shared" si="211"/>
        <v>0.32942160606254434</v>
      </c>
      <c r="AY159">
        <v>0.5</v>
      </c>
      <c r="AZ159">
        <f t="shared" si="212"/>
        <v>1513.2941994602058</v>
      </c>
      <c r="BA159">
        <f t="shared" si="213"/>
        <v>44.811003721560908</v>
      </c>
      <c r="BB159">
        <f t="shared" si="214"/>
        <v>249.25590281565667</v>
      </c>
      <c r="BC159">
        <f t="shared" si="215"/>
        <v>3.0591344603178888E-2</v>
      </c>
      <c r="BD159">
        <f t="shared" si="216"/>
        <v>-0.51560728450659477</v>
      </c>
      <c r="BE159">
        <f t="shared" si="217"/>
        <v>231.74985078266829</v>
      </c>
      <c r="BF159" t="s">
        <v>1144</v>
      </c>
      <c r="BG159">
        <v>531.46</v>
      </c>
      <c r="BH159">
        <f t="shared" si="218"/>
        <v>531.46</v>
      </c>
      <c r="BI159">
        <f t="shared" si="219"/>
        <v>0.4558082429794843</v>
      </c>
      <c r="BJ159">
        <f t="shared" si="220"/>
        <v>0.72271972070801593</v>
      </c>
      <c r="BK159">
        <f t="shared" si="221"/>
        <v>8.622333591631886</v>
      </c>
      <c r="BL159">
        <f t="shared" si="222"/>
        <v>0.40641651524996475</v>
      </c>
      <c r="BM159">
        <f t="shared" si="223"/>
        <v>-1.748150566411043</v>
      </c>
      <c r="BN159">
        <f t="shared" si="224"/>
        <v>0.58650579589379703</v>
      </c>
      <c r="BO159">
        <f t="shared" si="225"/>
        <v>0.41349420410620297</v>
      </c>
      <c r="BP159">
        <v>9339</v>
      </c>
      <c r="BQ159">
        <v>290.00000000000011</v>
      </c>
      <c r="BR159">
        <v>842.75</v>
      </c>
      <c r="BS159">
        <v>285</v>
      </c>
      <c r="BT159">
        <v>8097.85</v>
      </c>
      <c r="BU159">
        <v>844.38</v>
      </c>
      <c r="BV159">
        <v>-1.63</v>
      </c>
      <c r="BW159">
        <v>300.00000000000011</v>
      </c>
      <c r="BX159">
        <v>19.2</v>
      </c>
      <c r="BY159">
        <v>976.60428175130244</v>
      </c>
      <c r="BZ159">
        <v>3.7175935440296062</v>
      </c>
      <c r="CA159">
        <v>-107.074069177722</v>
      </c>
      <c r="CB159">
        <v>2.7662272933421468</v>
      </c>
      <c r="CC159">
        <v>0.98165473847259288</v>
      </c>
      <c r="CD159">
        <v>-4.172010901001123E-3</v>
      </c>
      <c r="CE159">
        <v>289.99999999999989</v>
      </c>
      <c r="CF159">
        <v>831.59</v>
      </c>
      <c r="CG159">
        <v>615</v>
      </c>
      <c r="CH159">
        <v>8091.83</v>
      </c>
      <c r="CI159">
        <v>844.28</v>
      </c>
      <c r="CJ159">
        <v>-12.69</v>
      </c>
      <c r="CX159">
        <f t="shared" si="226"/>
        <v>1800.13</v>
      </c>
      <c r="CY159">
        <f t="shared" si="227"/>
        <v>1513.2941994602058</v>
      </c>
      <c r="CZ159">
        <f t="shared" si="228"/>
        <v>0.84065828549060662</v>
      </c>
      <c r="DA159">
        <f t="shared" si="229"/>
        <v>0.16087049099687098</v>
      </c>
      <c r="DB159">
        <v>6</v>
      </c>
      <c r="DC159">
        <v>0.5</v>
      </c>
      <c r="DD159" t="s">
        <v>421</v>
      </c>
      <c r="DE159">
        <v>2</v>
      </c>
      <c r="DF159">
        <v>1689027783.0999999</v>
      </c>
      <c r="DG159">
        <v>343.88</v>
      </c>
      <c r="DH159">
        <v>399.97500000000002</v>
      </c>
      <c r="DI159">
        <v>28.349699999999999</v>
      </c>
      <c r="DJ159">
        <v>21.7453</v>
      </c>
      <c r="DK159">
        <v>345.12900000000002</v>
      </c>
      <c r="DL159">
        <v>28.331</v>
      </c>
      <c r="DM159">
        <v>500.14499999999998</v>
      </c>
      <c r="DN159">
        <v>99.013800000000003</v>
      </c>
      <c r="DO159">
        <v>9.9870200000000006E-2</v>
      </c>
      <c r="DP159">
        <v>30.248999999999999</v>
      </c>
      <c r="DQ159">
        <v>30.1008</v>
      </c>
      <c r="DR159">
        <v>999.9</v>
      </c>
      <c r="DS159">
        <v>0</v>
      </c>
      <c r="DT159">
        <v>0</v>
      </c>
      <c r="DU159">
        <v>10001.9</v>
      </c>
      <c r="DV159">
        <v>0</v>
      </c>
      <c r="DW159">
        <v>1019.44</v>
      </c>
      <c r="DX159">
        <v>-56.095100000000002</v>
      </c>
      <c r="DY159">
        <v>353.91300000000001</v>
      </c>
      <c r="DZ159">
        <v>408.86599999999999</v>
      </c>
      <c r="EA159">
        <v>6.6044</v>
      </c>
      <c r="EB159">
        <v>399.97500000000002</v>
      </c>
      <c r="EC159">
        <v>21.7453</v>
      </c>
      <c r="ED159">
        <v>2.80701</v>
      </c>
      <c r="EE159">
        <v>2.1530800000000001</v>
      </c>
      <c r="EF159">
        <v>22.9254</v>
      </c>
      <c r="EG159">
        <v>18.6174</v>
      </c>
      <c r="EH159">
        <v>1800.13</v>
      </c>
      <c r="EI159">
        <v>0.97799499999999995</v>
      </c>
      <c r="EJ159">
        <v>2.2005500000000001E-2</v>
      </c>
      <c r="EK159">
        <v>0</v>
      </c>
      <c r="EL159">
        <v>653.14599999999996</v>
      </c>
      <c r="EM159">
        <v>5.00082</v>
      </c>
      <c r="EN159">
        <v>13999.8</v>
      </c>
      <c r="EO159">
        <v>14130.8</v>
      </c>
      <c r="EP159">
        <v>48.375</v>
      </c>
      <c r="EQ159">
        <v>49.625</v>
      </c>
      <c r="ER159">
        <v>49.436999999999998</v>
      </c>
      <c r="ES159">
        <v>49</v>
      </c>
      <c r="ET159">
        <v>49.75</v>
      </c>
      <c r="EU159">
        <v>1755.63</v>
      </c>
      <c r="EV159">
        <v>39.5</v>
      </c>
      <c r="EW159">
        <v>0</v>
      </c>
      <c r="EX159">
        <v>150.79999995231631</v>
      </c>
      <c r="EY159">
        <v>0</v>
      </c>
      <c r="EZ159">
        <v>654.88973076923082</v>
      </c>
      <c r="FA159">
        <v>-13.723042739952239</v>
      </c>
      <c r="FB159">
        <v>-645.90769344790726</v>
      </c>
      <c r="FC159">
        <v>14089.553846153851</v>
      </c>
      <c r="FD159">
        <v>15</v>
      </c>
      <c r="FE159">
        <v>1689027708.0999999</v>
      </c>
      <c r="FF159" t="s">
        <v>1145</v>
      </c>
      <c r="FG159">
        <v>1689027703.0999999</v>
      </c>
      <c r="FH159">
        <v>1689027708.0999999</v>
      </c>
      <c r="FI159">
        <v>163</v>
      </c>
      <c r="FJ159">
        <v>7.5999999999999998E-2</v>
      </c>
      <c r="FK159">
        <v>1E-3</v>
      </c>
      <c r="FL159">
        <v>-1.304</v>
      </c>
      <c r="FM159">
        <v>1.9E-2</v>
      </c>
      <c r="FN159">
        <v>400</v>
      </c>
      <c r="FO159">
        <v>21</v>
      </c>
      <c r="FP159">
        <v>0.05</v>
      </c>
      <c r="FQ159">
        <v>0.01</v>
      </c>
      <c r="FR159">
        <v>44.808321432284998</v>
      </c>
      <c r="FS159">
        <v>0.63771172607828996</v>
      </c>
      <c r="FT159">
        <v>6.612194522253137E-2</v>
      </c>
      <c r="FU159">
        <v>1</v>
      </c>
      <c r="FV159">
        <v>0.40259528800673727</v>
      </c>
      <c r="FW159">
        <v>-4.8909650648552017E-2</v>
      </c>
      <c r="FX159">
        <v>3.9404954127381566E-3</v>
      </c>
      <c r="FY159">
        <v>1</v>
      </c>
      <c r="FZ159">
        <v>2</v>
      </c>
      <c r="GA159">
        <v>2</v>
      </c>
      <c r="GB159" t="s">
        <v>423</v>
      </c>
      <c r="GC159">
        <v>2.9447000000000001</v>
      </c>
      <c r="GD159">
        <v>2.7085499999999998</v>
      </c>
      <c r="GE159">
        <v>7.8014200000000006E-2</v>
      </c>
      <c r="GF159">
        <v>8.7684799999999993E-2</v>
      </c>
      <c r="GG159">
        <v>0.12687000000000001</v>
      </c>
      <c r="GH159">
        <v>0.105466</v>
      </c>
      <c r="GI159">
        <v>30317.5</v>
      </c>
      <c r="GJ159">
        <v>29280.2</v>
      </c>
      <c r="GK159">
        <v>33881.1</v>
      </c>
      <c r="GL159">
        <v>32135.9</v>
      </c>
      <c r="GM159">
        <v>42703.6</v>
      </c>
      <c r="GN159">
        <v>40907.300000000003</v>
      </c>
      <c r="GO159">
        <v>49065.7</v>
      </c>
      <c r="GP159">
        <v>45495.9</v>
      </c>
      <c r="GQ159">
        <v>1.9800800000000001</v>
      </c>
      <c r="GR159">
        <v>1.8027</v>
      </c>
      <c r="GS159">
        <v>1.7248099999999999E-2</v>
      </c>
      <c r="GT159">
        <v>0</v>
      </c>
      <c r="GU159">
        <v>29.8201</v>
      </c>
      <c r="GV159">
        <v>999.9</v>
      </c>
      <c r="GW159">
        <v>33.799999999999997</v>
      </c>
      <c r="GX159">
        <v>40.700000000000003</v>
      </c>
      <c r="GY159">
        <v>26.272099999999998</v>
      </c>
      <c r="GZ159">
        <v>60.226799999999997</v>
      </c>
      <c r="HA159">
        <v>24.427099999999999</v>
      </c>
      <c r="HB159">
        <v>1</v>
      </c>
      <c r="HC159">
        <v>0.44337900000000002</v>
      </c>
      <c r="HD159">
        <v>2.8499300000000001</v>
      </c>
      <c r="HE159">
        <v>20.246600000000001</v>
      </c>
      <c r="HF159">
        <v>5.2709000000000001</v>
      </c>
      <c r="HG159">
        <v>12.039899999999999</v>
      </c>
      <c r="HH159">
        <v>4.9658499999999997</v>
      </c>
      <c r="HI159">
        <v>3.3010000000000002</v>
      </c>
      <c r="HJ159">
        <v>9999</v>
      </c>
      <c r="HK159">
        <v>9999</v>
      </c>
      <c r="HL159">
        <v>9999</v>
      </c>
      <c r="HM159">
        <v>999.9</v>
      </c>
      <c r="HN159">
        <v>1.86815</v>
      </c>
      <c r="HO159">
        <v>1.8717999999999999</v>
      </c>
      <c r="HP159">
        <v>1.87168</v>
      </c>
      <c r="HQ159">
        <v>1.8711899999999999</v>
      </c>
      <c r="HR159">
        <v>1.8644499999999999</v>
      </c>
      <c r="HS159">
        <v>1.86554</v>
      </c>
      <c r="HT159">
        <v>1.8675999999999999</v>
      </c>
      <c r="HU159">
        <v>1.8721000000000001</v>
      </c>
      <c r="HV159">
        <v>0</v>
      </c>
      <c r="HW159">
        <v>0</v>
      </c>
      <c r="HX159">
        <v>0</v>
      </c>
      <c r="HY159">
        <v>0</v>
      </c>
      <c r="HZ159" t="s">
        <v>424</v>
      </c>
      <c r="IA159" t="s">
        <v>425</v>
      </c>
      <c r="IB159" t="s">
        <v>426</v>
      </c>
      <c r="IC159" t="s">
        <v>426</v>
      </c>
      <c r="ID159" t="s">
        <v>426</v>
      </c>
      <c r="IE159" t="s">
        <v>426</v>
      </c>
      <c r="IF159">
        <v>0</v>
      </c>
      <c r="IG159">
        <v>100</v>
      </c>
      <c r="IH159">
        <v>100</v>
      </c>
      <c r="II159">
        <v>-1.2490000000000001</v>
      </c>
      <c r="IJ159">
        <v>1.8700000000000001E-2</v>
      </c>
      <c r="IK159">
        <v>-0.87655900774787709</v>
      </c>
      <c r="IL159">
        <v>-1.171017271736434E-3</v>
      </c>
      <c r="IM159">
        <v>2.801297040296544E-7</v>
      </c>
      <c r="IN159">
        <v>-3.6238253961199429E-11</v>
      </c>
      <c r="IO159">
        <v>1.8661904761906101E-2</v>
      </c>
      <c r="IP159">
        <v>0</v>
      </c>
      <c r="IQ159">
        <v>0</v>
      </c>
      <c r="IR159">
        <v>0</v>
      </c>
      <c r="IS159">
        <v>0</v>
      </c>
      <c r="IT159">
        <v>2161</v>
      </c>
      <c r="IU159">
        <v>1</v>
      </c>
      <c r="IV159">
        <v>19</v>
      </c>
      <c r="IW159">
        <v>1.3</v>
      </c>
      <c r="IX159">
        <v>1.2</v>
      </c>
      <c r="IY159">
        <v>1.0363800000000001</v>
      </c>
      <c r="IZ159">
        <v>2.52319</v>
      </c>
      <c r="JA159">
        <v>1.4440900000000001</v>
      </c>
      <c r="JB159">
        <v>2.2778299999999998</v>
      </c>
      <c r="JC159">
        <v>1.54419</v>
      </c>
      <c r="JD159">
        <v>2.36938</v>
      </c>
      <c r="JE159">
        <v>42.831499999999998</v>
      </c>
      <c r="JF159">
        <v>15.988300000000001</v>
      </c>
      <c r="JG159">
        <v>18</v>
      </c>
      <c r="JH159">
        <v>511.00700000000001</v>
      </c>
      <c r="JI159">
        <v>434.87200000000001</v>
      </c>
      <c r="JJ159">
        <v>26.116099999999999</v>
      </c>
      <c r="JK159">
        <v>32.923699999999997</v>
      </c>
      <c r="JL159">
        <v>30.0002</v>
      </c>
      <c r="JM159">
        <v>32.724899999999998</v>
      </c>
      <c r="JN159">
        <v>32.670400000000001</v>
      </c>
      <c r="JO159">
        <v>20.8674</v>
      </c>
      <c r="JP159">
        <v>27.168900000000001</v>
      </c>
      <c r="JQ159">
        <v>18.153099999999998</v>
      </c>
      <c r="JR159">
        <v>26.034099999999999</v>
      </c>
      <c r="JS159">
        <v>400</v>
      </c>
      <c r="JT159">
        <v>21.828199999999999</v>
      </c>
      <c r="JU159">
        <v>99.445599999999999</v>
      </c>
      <c r="JV159">
        <v>99.076300000000003</v>
      </c>
    </row>
    <row r="160" spans="1:282" x14ac:dyDescent="0.25">
      <c r="A160">
        <v>144</v>
      </c>
      <c r="B160">
        <v>1689027956.0999999</v>
      </c>
      <c r="C160">
        <v>28779.099999904629</v>
      </c>
      <c r="D160" t="s">
        <v>1146</v>
      </c>
      <c r="E160" t="s">
        <v>1147</v>
      </c>
      <c r="F160" t="s">
        <v>414</v>
      </c>
      <c r="G160" t="s">
        <v>415</v>
      </c>
      <c r="H160" t="s">
        <v>31</v>
      </c>
      <c r="I160" t="s">
        <v>500</v>
      </c>
      <c r="J160" t="s">
        <v>417</v>
      </c>
      <c r="K160">
        <v>1689027956.0999999</v>
      </c>
      <c r="L160">
        <f t="shared" si="184"/>
        <v>5.3728016373134025E-3</v>
      </c>
      <c r="M160">
        <f t="shared" si="185"/>
        <v>5.3728016373134029</v>
      </c>
      <c r="N160">
        <f t="shared" si="186"/>
        <v>51.453116864872769</v>
      </c>
      <c r="O160">
        <f t="shared" si="187"/>
        <v>336.11599999999999</v>
      </c>
      <c r="P160">
        <f t="shared" si="188"/>
        <v>96.42579547772165</v>
      </c>
      <c r="Q160">
        <f t="shared" si="189"/>
        <v>9.5567728455155976</v>
      </c>
      <c r="R160">
        <f t="shared" si="190"/>
        <v>33.312499480343597</v>
      </c>
      <c r="S160">
        <f t="shared" si="191"/>
        <v>0.37243817801991563</v>
      </c>
      <c r="T160">
        <f t="shared" si="192"/>
        <v>2.919123357812146</v>
      </c>
      <c r="U160">
        <f t="shared" si="193"/>
        <v>0.34791031217055807</v>
      </c>
      <c r="V160">
        <f t="shared" si="194"/>
        <v>0.21951292337212291</v>
      </c>
      <c r="W160">
        <f t="shared" si="195"/>
        <v>289.57183695813944</v>
      </c>
      <c r="X160">
        <f t="shared" si="196"/>
        <v>30.479823083345522</v>
      </c>
      <c r="Y160">
        <f t="shared" si="197"/>
        <v>30.0608</v>
      </c>
      <c r="Z160">
        <f t="shared" si="198"/>
        <v>4.2753512118575898</v>
      </c>
      <c r="AA160">
        <f t="shared" si="199"/>
        <v>65.072305492977961</v>
      </c>
      <c r="AB160">
        <f t="shared" si="200"/>
        <v>2.7994150950030496</v>
      </c>
      <c r="AC160">
        <f t="shared" si="201"/>
        <v>4.3020069348935825</v>
      </c>
      <c r="AD160">
        <f t="shared" si="202"/>
        <v>1.4759361168545402</v>
      </c>
      <c r="AE160">
        <f t="shared" si="203"/>
        <v>-236.94055220552104</v>
      </c>
      <c r="AF160">
        <f t="shared" si="204"/>
        <v>17.043796807907679</v>
      </c>
      <c r="AG160">
        <f t="shared" si="205"/>
        <v>1.2997121898424471</v>
      </c>
      <c r="AH160">
        <f t="shared" si="206"/>
        <v>70.974793750368548</v>
      </c>
      <c r="AI160">
        <v>0</v>
      </c>
      <c r="AJ160">
        <v>0</v>
      </c>
      <c r="AK160">
        <f t="shared" si="207"/>
        <v>1</v>
      </c>
      <c r="AL160">
        <f t="shared" si="208"/>
        <v>0</v>
      </c>
      <c r="AM160">
        <f t="shared" si="209"/>
        <v>52005.481679366298</v>
      </c>
      <c r="AN160" t="s">
        <v>418</v>
      </c>
      <c r="AO160">
        <v>10076.700000000001</v>
      </c>
      <c r="AP160">
        <v>185.01599999999999</v>
      </c>
      <c r="AQ160">
        <v>473.06</v>
      </c>
      <c r="AR160">
        <f t="shared" si="210"/>
        <v>0.60889527755464423</v>
      </c>
      <c r="AS160">
        <v>-1.4827006201179751</v>
      </c>
      <c r="AT160" t="s">
        <v>1148</v>
      </c>
      <c r="AU160">
        <v>8097.73</v>
      </c>
      <c r="AV160">
        <v>680.71461538461529</v>
      </c>
      <c r="AW160">
        <v>1059.5628910245041</v>
      </c>
      <c r="AX160">
        <f t="shared" si="211"/>
        <v>0.35755147603704374</v>
      </c>
      <c r="AY160">
        <v>0.5</v>
      </c>
      <c r="AZ160">
        <f t="shared" si="212"/>
        <v>1513.2101994601755</v>
      </c>
      <c r="BA160">
        <f t="shared" si="213"/>
        <v>51.453116864872769</v>
      </c>
      <c r="BB160">
        <f t="shared" si="214"/>
        <v>270.52527018564757</v>
      </c>
      <c r="BC160">
        <f t="shared" si="215"/>
        <v>3.4982461460988781E-2</v>
      </c>
      <c r="BD160">
        <f t="shared" si="216"/>
        <v>-0.55353287284099528</v>
      </c>
      <c r="BE160">
        <f t="shared" si="217"/>
        <v>236.13717702091861</v>
      </c>
      <c r="BF160" t="s">
        <v>1149</v>
      </c>
      <c r="BG160">
        <v>545.51</v>
      </c>
      <c r="BH160">
        <f t="shared" si="218"/>
        <v>545.51</v>
      </c>
      <c r="BI160">
        <f t="shared" si="219"/>
        <v>0.48515561971735366</v>
      </c>
      <c r="BJ160">
        <f t="shared" si="220"/>
        <v>0.73698306585699114</v>
      </c>
      <c r="BK160">
        <f t="shared" si="221"/>
        <v>8.0952779989579611</v>
      </c>
      <c r="BL160">
        <f t="shared" si="222"/>
        <v>0.43319378243524481</v>
      </c>
      <c r="BM160">
        <f t="shared" si="223"/>
        <v>-2.03615729202658</v>
      </c>
      <c r="BN160">
        <f t="shared" si="224"/>
        <v>0.59060232169173066</v>
      </c>
      <c r="BO160">
        <f t="shared" si="225"/>
        <v>0.40939767830826934</v>
      </c>
      <c r="BP160">
        <v>9341</v>
      </c>
      <c r="BQ160">
        <v>290.00000000000011</v>
      </c>
      <c r="BR160">
        <v>917.48</v>
      </c>
      <c r="BS160">
        <v>295</v>
      </c>
      <c r="BT160">
        <v>8097.73</v>
      </c>
      <c r="BU160">
        <v>919.94</v>
      </c>
      <c r="BV160">
        <v>-2.46</v>
      </c>
      <c r="BW160">
        <v>300.00000000000011</v>
      </c>
      <c r="BX160">
        <v>19.2</v>
      </c>
      <c r="BY160">
        <v>1059.5628910245041</v>
      </c>
      <c r="BZ160">
        <v>3.643973076290659</v>
      </c>
      <c r="CA160">
        <v>-113.0612186137562</v>
      </c>
      <c r="CB160">
        <v>2.711399341305782</v>
      </c>
      <c r="CC160">
        <v>0.98415180619892662</v>
      </c>
      <c r="CD160">
        <v>-4.171840711902115E-3</v>
      </c>
      <c r="CE160">
        <v>289.99999999999989</v>
      </c>
      <c r="CF160">
        <v>910.75</v>
      </c>
      <c r="CG160">
        <v>675</v>
      </c>
      <c r="CH160">
        <v>8089.96</v>
      </c>
      <c r="CI160">
        <v>919.81</v>
      </c>
      <c r="CJ160">
        <v>-9.06</v>
      </c>
      <c r="CX160">
        <f t="shared" si="226"/>
        <v>1800.03</v>
      </c>
      <c r="CY160">
        <f t="shared" si="227"/>
        <v>1513.2101994601755</v>
      </c>
      <c r="CZ160">
        <f t="shared" si="228"/>
        <v>0.84065832206139657</v>
      </c>
      <c r="DA160">
        <f t="shared" si="229"/>
        <v>0.16087056157849561</v>
      </c>
      <c r="DB160">
        <v>6</v>
      </c>
      <c r="DC160">
        <v>0.5</v>
      </c>
      <c r="DD160" t="s">
        <v>421</v>
      </c>
      <c r="DE160">
        <v>2</v>
      </c>
      <c r="DF160">
        <v>1689027956.0999999</v>
      </c>
      <c r="DG160">
        <v>336.11599999999999</v>
      </c>
      <c r="DH160">
        <v>400.01299999999998</v>
      </c>
      <c r="DI160">
        <v>28.2455</v>
      </c>
      <c r="DJ160">
        <v>21.9816</v>
      </c>
      <c r="DK160">
        <v>337.399</v>
      </c>
      <c r="DL160">
        <v>28.216200000000001</v>
      </c>
      <c r="DM160">
        <v>500.108</v>
      </c>
      <c r="DN160">
        <v>99.010800000000003</v>
      </c>
      <c r="DO160">
        <v>9.9327100000000002E-2</v>
      </c>
      <c r="DP160">
        <v>30.1691</v>
      </c>
      <c r="DQ160">
        <v>30.0608</v>
      </c>
      <c r="DR160">
        <v>999.9</v>
      </c>
      <c r="DS160">
        <v>0</v>
      </c>
      <c r="DT160">
        <v>0</v>
      </c>
      <c r="DU160">
        <v>10040</v>
      </c>
      <c r="DV160">
        <v>0</v>
      </c>
      <c r="DW160">
        <v>1003.61</v>
      </c>
      <c r="DX160">
        <v>-63.897500000000001</v>
      </c>
      <c r="DY160">
        <v>345.88499999999999</v>
      </c>
      <c r="DZ160">
        <v>409.00400000000002</v>
      </c>
      <c r="EA160">
        <v>6.2638499999999997</v>
      </c>
      <c r="EB160">
        <v>400.01299999999998</v>
      </c>
      <c r="EC160">
        <v>21.9816</v>
      </c>
      <c r="ED160">
        <v>2.7966099999999998</v>
      </c>
      <c r="EE160">
        <v>2.1764199999999998</v>
      </c>
      <c r="EF160">
        <v>22.864100000000001</v>
      </c>
      <c r="EG160">
        <v>18.7898</v>
      </c>
      <c r="EH160">
        <v>1800.03</v>
      </c>
      <c r="EI160">
        <v>0.97799499999999995</v>
      </c>
      <c r="EJ160">
        <v>2.2005400000000001E-2</v>
      </c>
      <c r="EK160">
        <v>0</v>
      </c>
      <c r="EL160">
        <v>681.51300000000003</v>
      </c>
      <c r="EM160">
        <v>5.00082</v>
      </c>
      <c r="EN160">
        <v>14612.9</v>
      </c>
      <c r="EO160">
        <v>14129.9</v>
      </c>
      <c r="EP160">
        <v>48.5</v>
      </c>
      <c r="EQ160">
        <v>49.75</v>
      </c>
      <c r="ER160">
        <v>49.561999999999998</v>
      </c>
      <c r="ES160">
        <v>49.125</v>
      </c>
      <c r="ET160">
        <v>49.811999999999998</v>
      </c>
      <c r="EU160">
        <v>1755.53</v>
      </c>
      <c r="EV160">
        <v>39.5</v>
      </c>
      <c r="EW160">
        <v>0</v>
      </c>
      <c r="EX160">
        <v>171</v>
      </c>
      <c r="EY160">
        <v>0</v>
      </c>
      <c r="EZ160">
        <v>680.71461538461529</v>
      </c>
      <c r="FA160">
        <v>6.769025653182112</v>
      </c>
      <c r="FB160">
        <v>48.181196029504413</v>
      </c>
      <c r="FC160">
        <v>14592.465384615391</v>
      </c>
      <c r="FD160">
        <v>15</v>
      </c>
      <c r="FE160">
        <v>1689027859.0999999</v>
      </c>
      <c r="FF160" t="s">
        <v>1150</v>
      </c>
      <c r="FG160">
        <v>1689027849.5999999</v>
      </c>
      <c r="FH160">
        <v>1689027859.0999999</v>
      </c>
      <c r="FI160">
        <v>164</v>
      </c>
      <c r="FJ160">
        <v>-4.2000000000000003E-2</v>
      </c>
      <c r="FK160">
        <v>1.0999999999999999E-2</v>
      </c>
      <c r="FL160">
        <v>-1.3460000000000001</v>
      </c>
      <c r="FM160">
        <v>2.9000000000000001E-2</v>
      </c>
      <c r="FN160">
        <v>400</v>
      </c>
      <c r="FO160">
        <v>22</v>
      </c>
      <c r="FP160">
        <v>0.03</v>
      </c>
      <c r="FQ160">
        <v>0.02</v>
      </c>
      <c r="FR160">
        <v>51.383380917576588</v>
      </c>
      <c r="FS160">
        <v>0.69861419050586515</v>
      </c>
      <c r="FT160">
        <v>6.5867916226784687E-2</v>
      </c>
      <c r="FU160">
        <v>1</v>
      </c>
      <c r="FV160">
        <v>0.37844426834849182</v>
      </c>
      <c r="FW160">
        <v>-2.184793005924509E-2</v>
      </c>
      <c r="FX160">
        <v>2.4351359520778629E-3</v>
      </c>
      <c r="FY160">
        <v>1</v>
      </c>
      <c r="FZ160">
        <v>2</v>
      </c>
      <c r="GA160">
        <v>2</v>
      </c>
      <c r="GB160" t="s">
        <v>423</v>
      </c>
      <c r="GC160">
        <v>2.9446300000000001</v>
      </c>
      <c r="GD160">
        <v>2.7083400000000002</v>
      </c>
      <c r="GE160">
        <v>7.6630599999999993E-2</v>
      </c>
      <c r="GF160">
        <v>8.7702299999999997E-2</v>
      </c>
      <c r="GG160">
        <v>0.126526</v>
      </c>
      <c r="GH160">
        <v>0.106281</v>
      </c>
      <c r="GI160">
        <v>30364.9</v>
      </c>
      <c r="GJ160">
        <v>29281.5</v>
      </c>
      <c r="GK160">
        <v>33882.9</v>
      </c>
      <c r="GL160">
        <v>32137.8</v>
      </c>
      <c r="GM160">
        <v>42722.400000000001</v>
      </c>
      <c r="GN160">
        <v>40872.800000000003</v>
      </c>
      <c r="GO160">
        <v>49068.2</v>
      </c>
      <c r="GP160">
        <v>45499.1</v>
      </c>
      <c r="GQ160">
        <v>1.9806699999999999</v>
      </c>
      <c r="GR160">
        <v>1.8048</v>
      </c>
      <c r="GS160">
        <v>1.65328E-2</v>
      </c>
      <c r="GT160">
        <v>0</v>
      </c>
      <c r="GU160">
        <v>29.791699999999999</v>
      </c>
      <c r="GV160">
        <v>999.9</v>
      </c>
      <c r="GW160">
        <v>34.200000000000003</v>
      </c>
      <c r="GX160">
        <v>40.5</v>
      </c>
      <c r="GY160">
        <v>26.301200000000001</v>
      </c>
      <c r="GZ160">
        <v>59.966799999999999</v>
      </c>
      <c r="HA160">
        <v>25.212299999999999</v>
      </c>
      <c r="HB160">
        <v>1</v>
      </c>
      <c r="HC160">
        <v>0.43963400000000002</v>
      </c>
      <c r="HD160">
        <v>2.67727</v>
      </c>
      <c r="HE160">
        <v>20.2499</v>
      </c>
      <c r="HF160">
        <v>5.2704500000000003</v>
      </c>
      <c r="HG160">
        <v>12.039899999999999</v>
      </c>
      <c r="HH160">
        <v>4.9660000000000002</v>
      </c>
      <c r="HI160">
        <v>3.3010000000000002</v>
      </c>
      <c r="HJ160">
        <v>9999</v>
      </c>
      <c r="HK160">
        <v>9999</v>
      </c>
      <c r="HL160">
        <v>9999</v>
      </c>
      <c r="HM160">
        <v>999.9</v>
      </c>
      <c r="HN160">
        <v>1.8681399999999999</v>
      </c>
      <c r="HO160">
        <v>1.8717999999999999</v>
      </c>
      <c r="HP160">
        <v>1.8716699999999999</v>
      </c>
      <c r="HQ160">
        <v>1.8711800000000001</v>
      </c>
      <c r="HR160">
        <v>1.8644400000000001</v>
      </c>
      <c r="HS160">
        <v>1.86554</v>
      </c>
      <c r="HT160">
        <v>1.86761</v>
      </c>
      <c r="HU160">
        <v>1.8721099999999999</v>
      </c>
      <c r="HV160">
        <v>0</v>
      </c>
      <c r="HW160">
        <v>0</v>
      </c>
      <c r="HX160">
        <v>0</v>
      </c>
      <c r="HY160">
        <v>0</v>
      </c>
      <c r="HZ160" t="s">
        <v>424</v>
      </c>
      <c r="IA160" t="s">
        <v>425</v>
      </c>
      <c r="IB160" t="s">
        <v>426</v>
      </c>
      <c r="IC160" t="s">
        <v>426</v>
      </c>
      <c r="ID160" t="s">
        <v>426</v>
      </c>
      <c r="IE160" t="s">
        <v>426</v>
      </c>
      <c r="IF160">
        <v>0</v>
      </c>
      <c r="IG160">
        <v>100</v>
      </c>
      <c r="IH160">
        <v>100</v>
      </c>
      <c r="II160">
        <v>-1.2829999999999999</v>
      </c>
      <c r="IJ160">
        <v>2.93E-2</v>
      </c>
      <c r="IK160">
        <v>-0.91833197104762854</v>
      </c>
      <c r="IL160">
        <v>-1.171017271736434E-3</v>
      </c>
      <c r="IM160">
        <v>2.801297040296544E-7</v>
      </c>
      <c r="IN160">
        <v>-3.6238253961199429E-11</v>
      </c>
      <c r="IO160">
        <v>2.9328571428571589E-2</v>
      </c>
      <c r="IP160">
        <v>0</v>
      </c>
      <c r="IQ160">
        <v>0</v>
      </c>
      <c r="IR160">
        <v>0</v>
      </c>
      <c r="IS160">
        <v>0</v>
      </c>
      <c r="IT160">
        <v>2161</v>
      </c>
      <c r="IU160">
        <v>1</v>
      </c>
      <c r="IV160">
        <v>19</v>
      </c>
      <c r="IW160">
        <v>1.8</v>
      </c>
      <c r="IX160">
        <v>1.6</v>
      </c>
      <c r="IY160">
        <v>1.0363800000000001</v>
      </c>
      <c r="IZ160">
        <v>2.50854</v>
      </c>
      <c r="JA160">
        <v>1.4440900000000001</v>
      </c>
      <c r="JB160">
        <v>2.2778299999999998</v>
      </c>
      <c r="JC160">
        <v>1.54419</v>
      </c>
      <c r="JD160">
        <v>2.4450699999999999</v>
      </c>
      <c r="JE160">
        <v>42.697400000000002</v>
      </c>
      <c r="JF160">
        <v>15.9795</v>
      </c>
      <c r="JG160">
        <v>18</v>
      </c>
      <c r="JH160">
        <v>511.00200000000001</v>
      </c>
      <c r="JI160">
        <v>435.84500000000003</v>
      </c>
      <c r="JJ160">
        <v>26.0685</v>
      </c>
      <c r="JK160">
        <v>32.883299999999998</v>
      </c>
      <c r="JL160">
        <v>29.9999</v>
      </c>
      <c r="JM160">
        <v>32.675400000000003</v>
      </c>
      <c r="JN160">
        <v>32.619900000000001</v>
      </c>
      <c r="JO160">
        <v>20.864100000000001</v>
      </c>
      <c r="JP160">
        <v>26.723400000000002</v>
      </c>
      <c r="JQ160">
        <v>19.1814</v>
      </c>
      <c r="JR160">
        <v>26.004200000000001</v>
      </c>
      <c r="JS160">
        <v>400</v>
      </c>
      <c r="JT160">
        <v>21.957899999999999</v>
      </c>
      <c r="JU160">
        <v>99.450800000000001</v>
      </c>
      <c r="JV160">
        <v>99.082800000000006</v>
      </c>
    </row>
    <row r="161" spans="1:282" x14ac:dyDescent="0.25">
      <c r="A161">
        <v>145</v>
      </c>
      <c r="B161">
        <v>1689028060.5999999</v>
      </c>
      <c r="C161">
        <v>28883.599999904629</v>
      </c>
      <c r="D161" t="s">
        <v>1151</v>
      </c>
      <c r="E161" t="s">
        <v>1152</v>
      </c>
      <c r="F161" t="s">
        <v>414</v>
      </c>
      <c r="G161" t="s">
        <v>415</v>
      </c>
      <c r="H161" t="s">
        <v>31</v>
      </c>
      <c r="I161" t="s">
        <v>500</v>
      </c>
      <c r="J161" t="s">
        <v>417</v>
      </c>
      <c r="K161">
        <v>1689028060.5999999</v>
      </c>
      <c r="L161">
        <f t="shared" si="184"/>
        <v>5.1704356890916753E-3</v>
      </c>
      <c r="M161">
        <f t="shared" si="185"/>
        <v>5.1704356890916756</v>
      </c>
      <c r="N161">
        <f t="shared" si="186"/>
        <v>52.252649199311598</v>
      </c>
      <c r="O161">
        <f t="shared" si="187"/>
        <v>335.38600000000002</v>
      </c>
      <c r="P161">
        <f t="shared" si="188"/>
        <v>87.492151696386372</v>
      </c>
      <c r="Q161">
        <f t="shared" si="189"/>
        <v>8.6710088924719635</v>
      </c>
      <c r="R161">
        <f t="shared" si="190"/>
        <v>33.238809790646805</v>
      </c>
      <c r="S161">
        <f t="shared" si="191"/>
        <v>0.36476468340741275</v>
      </c>
      <c r="T161">
        <f t="shared" si="192"/>
        <v>2.9081217295717794</v>
      </c>
      <c r="U161">
        <f t="shared" si="193"/>
        <v>0.34111989316353197</v>
      </c>
      <c r="V161">
        <f t="shared" si="194"/>
        <v>0.21519647102258493</v>
      </c>
      <c r="W161">
        <f t="shared" si="195"/>
        <v>289.58620095819157</v>
      </c>
      <c r="X161">
        <f t="shared" si="196"/>
        <v>30.539071107932823</v>
      </c>
      <c r="Y161">
        <f t="shared" si="197"/>
        <v>30.014099999999999</v>
      </c>
      <c r="Z161">
        <f t="shared" si="198"/>
        <v>4.2639014964629762</v>
      </c>
      <c r="AA161">
        <f t="shared" si="199"/>
        <v>65.423827581992938</v>
      </c>
      <c r="AB161">
        <f t="shared" si="200"/>
        <v>2.8153773171502596</v>
      </c>
      <c r="AC161">
        <f t="shared" si="201"/>
        <v>4.303290438979384</v>
      </c>
      <c r="AD161">
        <f t="shared" si="202"/>
        <v>1.4485241793127166</v>
      </c>
      <c r="AE161">
        <f t="shared" si="203"/>
        <v>-228.01621388894287</v>
      </c>
      <c r="AF161">
        <f t="shared" si="204"/>
        <v>25.116581921284688</v>
      </c>
      <c r="AG161">
        <f t="shared" si="205"/>
        <v>1.9221712210588779</v>
      </c>
      <c r="AH161">
        <f t="shared" si="206"/>
        <v>88.608740211592263</v>
      </c>
      <c r="AI161">
        <v>0</v>
      </c>
      <c r="AJ161">
        <v>0</v>
      </c>
      <c r="AK161">
        <f t="shared" si="207"/>
        <v>1</v>
      </c>
      <c r="AL161">
        <f t="shared" si="208"/>
        <v>0</v>
      </c>
      <c r="AM161">
        <f t="shared" si="209"/>
        <v>51691.766320825016</v>
      </c>
      <c r="AN161" t="s">
        <v>418</v>
      </c>
      <c r="AO161">
        <v>10076.700000000001</v>
      </c>
      <c r="AP161">
        <v>185.01599999999999</v>
      </c>
      <c r="AQ161">
        <v>473.06</v>
      </c>
      <c r="AR161">
        <f t="shared" si="210"/>
        <v>0.60889527755464423</v>
      </c>
      <c r="AS161">
        <v>-1.4827006201179751</v>
      </c>
      <c r="AT161" t="s">
        <v>1153</v>
      </c>
      <c r="AU161">
        <v>8097.95</v>
      </c>
      <c r="AV161">
        <v>685.03880769230761</v>
      </c>
      <c r="AW161">
        <v>1074.8765879623049</v>
      </c>
      <c r="AX161">
        <f t="shared" si="211"/>
        <v>0.362681432115878</v>
      </c>
      <c r="AY161">
        <v>0.5</v>
      </c>
      <c r="AZ161">
        <f t="shared" si="212"/>
        <v>1513.2857994602027</v>
      </c>
      <c r="BA161">
        <f t="shared" si="213"/>
        <v>52.252649199311598</v>
      </c>
      <c r="BB161">
        <f t="shared" si="214"/>
        <v>274.42033047442385</v>
      </c>
      <c r="BC161">
        <f t="shared" si="215"/>
        <v>3.5509055750471766E-2</v>
      </c>
      <c r="BD161">
        <f t="shared" si="216"/>
        <v>-0.55989366100456006</v>
      </c>
      <c r="BE161">
        <f t="shared" si="217"/>
        <v>236.88932720538563</v>
      </c>
      <c r="BF161" t="s">
        <v>1154</v>
      </c>
      <c r="BG161">
        <v>545.28</v>
      </c>
      <c r="BH161">
        <f t="shared" si="218"/>
        <v>545.28</v>
      </c>
      <c r="BI161">
        <f t="shared" si="219"/>
        <v>0.49270455221867526</v>
      </c>
      <c r="BJ161">
        <f t="shared" si="220"/>
        <v>0.73610327017013333</v>
      </c>
      <c r="BK161">
        <f t="shared" si="221"/>
        <v>8.3331014672155259</v>
      </c>
      <c r="BL161">
        <f t="shared" si="222"/>
        <v>0.43808860122987164</v>
      </c>
      <c r="BM161">
        <f t="shared" si="223"/>
        <v>-2.0893217284939283</v>
      </c>
      <c r="BN161">
        <f t="shared" si="224"/>
        <v>0.58592650029639692</v>
      </c>
      <c r="BO161">
        <f t="shared" si="225"/>
        <v>0.41407349970360308</v>
      </c>
      <c r="BP161">
        <v>9343</v>
      </c>
      <c r="BQ161">
        <v>290.00000000000011</v>
      </c>
      <c r="BR161">
        <v>931.26</v>
      </c>
      <c r="BS161">
        <v>285</v>
      </c>
      <c r="BT161">
        <v>8097.95</v>
      </c>
      <c r="BU161">
        <v>933.88</v>
      </c>
      <c r="BV161">
        <v>-2.62</v>
      </c>
      <c r="BW161">
        <v>300.00000000000011</v>
      </c>
      <c r="BX161">
        <v>19.2</v>
      </c>
      <c r="BY161">
        <v>1074.8765879623049</v>
      </c>
      <c r="BZ161">
        <v>3.1344628576538862</v>
      </c>
      <c r="CA161">
        <v>-114.17569990310869</v>
      </c>
      <c r="CB161">
        <v>2.3323422945154548</v>
      </c>
      <c r="CC161">
        <v>0.9884508421373206</v>
      </c>
      <c r="CD161">
        <v>-4.1722747497219079E-3</v>
      </c>
      <c r="CE161">
        <v>289.99999999999989</v>
      </c>
      <c r="CF161">
        <v>924.56</v>
      </c>
      <c r="CG161">
        <v>635</v>
      </c>
      <c r="CH161">
        <v>8091.28</v>
      </c>
      <c r="CI161">
        <v>933.77</v>
      </c>
      <c r="CJ161">
        <v>-9.2100000000000009</v>
      </c>
      <c r="CX161">
        <f t="shared" si="226"/>
        <v>1800.12</v>
      </c>
      <c r="CY161">
        <f t="shared" si="227"/>
        <v>1513.2857994602027</v>
      </c>
      <c r="CZ161">
        <f t="shared" si="228"/>
        <v>0.84065828914750285</v>
      </c>
      <c r="DA161">
        <f t="shared" si="229"/>
        <v>0.16087049805468057</v>
      </c>
      <c r="DB161">
        <v>6</v>
      </c>
      <c r="DC161">
        <v>0.5</v>
      </c>
      <c r="DD161" t="s">
        <v>421</v>
      </c>
      <c r="DE161">
        <v>2</v>
      </c>
      <c r="DF161">
        <v>1689028060.5999999</v>
      </c>
      <c r="DG161">
        <v>335.38600000000002</v>
      </c>
      <c r="DH161">
        <v>400.16399999999999</v>
      </c>
      <c r="DI161">
        <v>28.407699999999998</v>
      </c>
      <c r="DJ161">
        <v>22.38</v>
      </c>
      <c r="DK161">
        <v>336.69499999999999</v>
      </c>
      <c r="DL161">
        <v>28.380400000000002</v>
      </c>
      <c r="DM161">
        <v>500.04700000000003</v>
      </c>
      <c r="DN161">
        <v>99.006299999999996</v>
      </c>
      <c r="DO161">
        <v>9.98338E-2</v>
      </c>
      <c r="DP161">
        <v>30.174299999999999</v>
      </c>
      <c r="DQ161">
        <v>30.014099999999999</v>
      </c>
      <c r="DR161">
        <v>999.9</v>
      </c>
      <c r="DS161">
        <v>0</v>
      </c>
      <c r="DT161">
        <v>0</v>
      </c>
      <c r="DU161">
        <v>9977.5</v>
      </c>
      <c r="DV161">
        <v>0</v>
      </c>
      <c r="DW161">
        <v>988.12300000000005</v>
      </c>
      <c r="DX161">
        <v>-64.778499999999994</v>
      </c>
      <c r="DY161">
        <v>345.19200000000001</v>
      </c>
      <c r="DZ161">
        <v>409.32499999999999</v>
      </c>
      <c r="EA161">
        <v>6.0276399999999999</v>
      </c>
      <c r="EB161">
        <v>400.16399999999999</v>
      </c>
      <c r="EC161">
        <v>22.38</v>
      </c>
      <c r="ED161">
        <v>2.8125399999999998</v>
      </c>
      <c r="EE161">
        <v>2.21576</v>
      </c>
      <c r="EF161">
        <v>22.957799999999999</v>
      </c>
      <c r="EG161">
        <v>19.076699999999999</v>
      </c>
      <c r="EH161">
        <v>1800.12</v>
      </c>
      <c r="EI161">
        <v>0.97799499999999995</v>
      </c>
      <c r="EJ161">
        <v>2.2005400000000001E-2</v>
      </c>
      <c r="EK161">
        <v>0</v>
      </c>
      <c r="EL161">
        <v>684.97699999999998</v>
      </c>
      <c r="EM161">
        <v>5.00082</v>
      </c>
      <c r="EN161">
        <v>14745.7</v>
      </c>
      <c r="EO161">
        <v>14130.7</v>
      </c>
      <c r="EP161">
        <v>48.5</v>
      </c>
      <c r="EQ161">
        <v>49.75</v>
      </c>
      <c r="ER161">
        <v>49.561999999999998</v>
      </c>
      <c r="ES161">
        <v>49.061999999999998</v>
      </c>
      <c r="ET161">
        <v>49.875</v>
      </c>
      <c r="EU161">
        <v>1755.62</v>
      </c>
      <c r="EV161">
        <v>39.5</v>
      </c>
      <c r="EW161">
        <v>0</v>
      </c>
      <c r="EX161">
        <v>102.7999999523163</v>
      </c>
      <c r="EY161">
        <v>0</v>
      </c>
      <c r="EZ161">
        <v>685.03880769230761</v>
      </c>
      <c r="FA161">
        <v>1.0294358851635319</v>
      </c>
      <c r="FB161">
        <v>-85.579486240235553</v>
      </c>
      <c r="FC161">
        <v>14737.76153846154</v>
      </c>
      <c r="FD161">
        <v>15</v>
      </c>
      <c r="FE161">
        <v>1689028028.5999999</v>
      </c>
      <c r="FF161" t="s">
        <v>1155</v>
      </c>
      <c r="FG161">
        <v>1689028024.5999999</v>
      </c>
      <c r="FH161">
        <v>1689028028.5999999</v>
      </c>
      <c r="FI161">
        <v>165</v>
      </c>
      <c r="FJ161">
        <v>-2.7E-2</v>
      </c>
      <c r="FK161">
        <v>-2E-3</v>
      </c>
      <c r="FL161">
        <v>-1.373</v>
      </c>
      <c r="FM161">
        <v>2.7E-2</v>
      </c>
      <c r="FN161">
        <v>400</v>
      </c>
      <c r="FO161">
        <v>22</v>
      </c>
      <c r="FP161">
        <v>0.03</v>
      </c>
      <c r="FQ161">
        <v>0.02</v>
      </c>
      <c r="FR161">
        <v>52.198184432248368</v>
      </c>
      <c r="FS161">
        <v>-0.69906158803171148</v>
      </c>
      <c r="FT161">
        <v>7.1122863864742952E-2</v>
      </c>
      <c r="FU161">
        <v>1</v>
      </c>
      <c r="FV161">
        <v>0.36171118286483778</v>
      </c>
      <c r="FW161">
        <v>1.563202636178998E-2</v>
      </c>
      <c r="FX161">
        <v>1.759715053136132E-3</v>
      </c>
      <c r="FY161">
        <v>1</v>
      </c>
      <c r="FZ161">
        <v>2</v>
      </c>
      <c r="GA161">
        <v>2</v>
      </c>
      <c r="GB161" t="s">
        <v>423</v>
      </c>
      <c r="GC161">
        <v>2.9444699999999999</v>
      </c>
      <c r="GD161">
        <v>2.7082999999999999</v>
      </c>
      <c r="GE161">
        <v>7.6505100000000006E-2</v>
      </c>
      <c r="GF161">
        <v>8.7732500000000005E-2</v>
      </c>
      <c r="GG161">
        <v>0.12703500000000001</v>
      </c>
      <c r="GH161">
        <v>0.107631</v>
      </c>
      <c r="GI161">
        <v>30370</v>
      </c>
      <c r="GJ161">
        <v>29281.3</v>
      </c>
      <c r="GK161">
        <v>33883.9</v>
      </c>
      <c r="GL161">
        <v>32138.5</v>
      </c>
      <c r="GM161">
        <v>42698.400000000001</v>
      </c>
      <c r="GN161">
        <v>40811.599999999999</v>
      </c>
      <c r="GO161">
        <v>49069.4</v>
      </c>
      <c r="GP161">
        <v>45499.9</v>
      </c>
      <c r="GQ161">
        <v>1.9799500000000001</v>
      </c>
      <c r="GR161">
        <v>1.8065199999999999</v>
      </c>
      <c r="GS161">
        <v>1.6435999999999999E-2</v>
      </c>
      <c r="GT161">
        <v>0</v>
      </c>
      <c r="GU161">
        <v>29.746600000000001</v>
      </c>
      <c r="GV161">
        <v>999.9</v>
      </c>
      <c r="GW161">
        <v>34.4</v>
      </c>
      <c r="GX161">
        <v>40.4</v>
      </c>
      <c r="GY161">
        <v>26.314399999999999</v>
      </c>
      <c r="GZ161">
        <v>60.456800000000001</v>
      </c>
      <c r="HA161">
        <v>25.252400000000002</v>
      </c>
      <c r="HB161">
        <v>1</v>
      </c>
      <c r="HC161">
        <v>0.443552</v>
      </c>
      <c r="HD161">
        <v>3.7572800000000002</v>
      </c>
      <c r="HE161">
        <v>20.228000000000002</v>
      </c>
      <c r="HF161">
        <v>5.2692500000000004</v>
      </c>
      <c r="HG161">
        <v>12.039899999999999</v>
      </c>
      <c r="HH161">
        <v>4.9655500000000004</v>
      </c>
      <c r="HI161">
        <v>3.30078</v>
      </c>
      <c r="HJ161">
        <v>9999</v>
      </c>
      <c r="HK161">
        <v>9999</v>
      </c>
      <c r="HL161">
        <v>9999</v>
      </c>
      <c r="HM161">
        <v>999.9</v>
      </c>
      <c r="HN161">
        <v>1.8681399999999999</v>
      </c>
      <c r="HO161">
        <v>1.8717999999999999</v>
      </c>
      <c r="HP161">
        <v>1.87164</v>
      </c>
      <c r="HQ161">
        <v>1.8711800000000001</v>
      </c>
      <c r="HR161">
        <v>1.86446</v>
      </c>
      <c r="HS161">
        <v>1.86554</v>
      </c>
      <c r="HT161">
        <v>1.8675600000000001</v>
      </c>
      <c r="HU161">
        <v>1.8721000000000001</v>
      </c>
      <c r="HV161">
        <v>0</v>
      </c>
      <c r="HW161">
        <v>0</v>
      </c>
      <c r="HX161">
        <v>0</v>
      </c>
      <c r="HY161">
        <v>0</v>
      </c>
      <c r="HZ161" t="s">
        <v>424</v>
      </c>
      <c r="IA161" t="s">
        <v>425</v>
      </c>
      <c r="IB161" t="s">
        <v>426</v>
      </c>
      <c r="IC161" t="s">
        <v>426</v>
      </c>
      <c r="ID161" t="s">
        <v>426</v>
      </c>
      <c r="IE161" t="s">
        <v>426</v>
      </c>
      <c r="IF161">
        <v>0</v>
      </c>
      <c r="IG161">
        <v>100</v>
      </c>
      <c r="IH161">
        <v>100</v>
      </c>
      <c r="II161">
        <v>-1.3089999999999999</v>
      </c>
      <c r="IJ161">
        <v>2.7300000000000001E-2</v>
      </c>
      <c r="IK161">
        <v>-0.94525996496225617</v>
      </c>
      <c r="IL161">
        <v>-1.171017271736434E-3</v>
      </c>
      <c r="IM161">
        <v>2.801297040296544E-7</v>
      </c>
      <c r="IN161">
        <v>-3.6238253961199429E-11</v>
      </c>
      <c r="IO161">
        <v>2.7260000000001838E-2</v>
      </c>
      <c r="IP161">
        <v>0</v>
      </c>
      <c r="IQ161">
        <v>0</v>
      </c>
      <c r="IR161">
        <v>0</v>
      </c>
      <c r="IS161">
        <v>0</v>
      </c>
      <c r="IT161">
        <v>2161</v>
      </c>
      <c r="IU161">
        <v>1</v>
      </c>
      <c r="IV161">
        <v>19</v>
      </c>
      <c r="IW161">
        <v>0.6</v>
      </c>
      <c r="IX161">
        <v>0.5</v>
      </c>
      <c r="IY161">
        <v>1.0363800000000001</v>
      </c>
      <c r="IZ161">
        <v>2.5146500000000001</v>
      </c>
      <c r="JA161">
        <v>1.4440900000000001</v>
      </c>
      <c r="JB161">
        <v>2.2778299999999998</v>
      </c>
      <c r="JC161">
        <v>1.54419</v>
      </c>
      <c r="JD161">
        <v>2.34741</v>
      </c>
      <c r="JE161">
        <v>42.617100000000001</v>
      </c>
      <c r="JF161">
        <v>15.9445</v>
      </c>
      <c r="JG161">
        <v>18</v>
      </c>
      <c r="JH161">
        <v>510.351</v>
      </c>
      <c r="JI161">
        <v>436.77199999999999</v>
      </c>
      <c r="JJ161">
        <v>25.567699999999999</v>
      </c>
      <c r="JK161">
        <v>32.859900000000003</v>
      </c>
      <c r="JL161">
        <v>30.0001</v>
      </c>
      <c r="JM161">
        <v>32.655000000000001</v>
      </c>
      <c r="JN161">
        <v>32.5961</v>
      </c>
      <c r="JO161">
        <v>20.869</v>
      </c>
      <c r="JP161">
        <v>25.610600000000002</v>
      </c>
      <c r="JQ161">
        <v>20.122499999999999</v>
      </c>
      <c r="JR161">
        <v>25.516100000000002</v>
      </c>
      <c r="JS161">
        <v>400</v>
      </c>
      <c r="JT161">
        <v>22.322800000000001</v>
      </c>
      <c r="JU161">
        <v>99.453400000000002</v>
      </c>
      <c r="JV161">
        <v>99.084599999999995</v>
      </c>
    </row>
    <row r="162" spans="1:282" x14ac:dyDescent="0.25">
      <c r="A162">
        <v>146</v>
      </c>
      <c r="B162">
        <v>1689028186.5999999</v>
      </c>
      <c r="C162">
        <v>29009.599999904629</v>
      </c>
      <c r="D162" t="s">
        <v>1156</v>
      </c>
      <c r="E162" t="s">
        <v>1157</v>
      </c>
      <c r="F162" t="s">
        <v>414</v>
      </c>
      <c r="G162" t="s">
        <v>415</v>
      </c>
      <c r="H162" t="s">
        <v>31</v>
      </c>
      <c r="I162" t="s">
        <v>500</v>
      </c>
      <c r="J162" t="s">
        <v>417</v>
      </c>
      <c r="K162">
        <v>1689028186.5999999</v>
      </c>
      <c r="L162">
        <f t="shared" si="184"/>
        <v>5.1366792889798495E-3</v>
      </c>
      <c r="M162">
        <f t="shared" si="185"/>
        <v>5.1366792889798498</v>
      </c>
      <c r="N162">
        <f t="shared" si="186"/>
        <v>56.709061351039999</v>
      </c>
      <c r="O162">
        <f t="shared" si="187"/>
        <v>429.58</v>
      </c>
      <c r="P162">
        <f t="shared" si="188"/>
        <v>160.11101990689144</v>
      </c>
      <c r="Q162">
        <f t="shared" si="189"/>
        <v>15.867772366889714</v>
      </c>
      <c r="R162">
        <f t="shared" si="190"/>
        <v>42.573444709379999</v>
      </c>
      <c r="S162">
        <f t="shared" si="191"/>
        <v>0.3662937015108429</v>
      </c>
      <c r="T162">
        <f t="shared" si="192"/>
        <v>2.9129065713331017</v>
      </c>
      <c r="U162">
        <f t="shared" si="193"/>
        <v>0.34249364032627988</v>
      </c>
      <c r="V162">
        <f t="shared" si="194"/>
        <v>0.21606786857377352</v>
      </c>
      <c r="W162">
        <f t="shared" si="195"/>
        <v>289.54630095804686</v>
      </c>
      <c r="X162">
        <f t="shared" si="196"/>
        <v>30.549683861270847</v>
      </c>
      <c r="Y162">
        <f t="shared" si="197"/>
        <v>29.965</v>
      </c>
      <c r="Z162">
        <f t="shared" si="198"/>
        <v>4.2518921859115029</v>
      </c>
      <c r="AA162">
        <f t="shared" si="199"/>
        <v>65.487803438397862</v>
      </c>
      <c r="AB162">
        <f t="shared" si="200"/>
        <v>2.8185507353211001</v>
      </c>
      <c r="AC162">
        <f t="shared" si="201"/>
        <v>4.3039323161486314</v>
      </c>
      <c r="AD162">
        <f t="shared" si="202"/>
        <v>1.4333414505904027</v>
      </c>
      <c r="AE162">
        <f t="shared" si="203"/>
        <v>-226.52755664401136</v>
      </c>
      <c r="AF162">
        <f t="shared" si="204"/>
        <v>33.276907181719189</v>
      </c>
      <c r="AG162">
        <f t="shared" si="205"/>
        <v>2.5419124711933057</v>
      </c>
      <c r="AH162">
        <f t="shared" si="206"/>
        <v>98.837563966948011</v>
      </c>
      <c r="AI162">
        <v>0</v>
      </c>
      <c r="AJ162">
        <v>0</v>
      </c>
      <c r="AK162">
        <f t="shared" si="207"/>
        <v>1</v>
      </c>
      <c r="AL162">
        <f t="shared" si="208"/>
        <v>0</v>
      </c>
      <c r="AM162">
        <f t="shared" si="209"/>
        <v>51827.208706604899</v>
      </c>
      <c r="AN162" t="s">
        <v>418</v>
      </c>
      <c r="AO162">
        <v>10076.700000000001</v>
      </c>
      <c r="AP162">
        <v>185.01599999999999</v>
      </c>
      <c r="AQ162">
        <v>473.06</v>
      </c>
      <c r="AR162">
        <f t="shared" si="210"/>
        <v>0.60889527755464423</v>
      </c>
      <c r="AS162">
        <v>-1.4827006201179751</v>
      </c>
      <c r="AT162" t="s">
        <v>1158</v>
      </c>
      <c r="AU162">
        <v>8098.99</v>
      </c>
      <c r="AV162">
        <v>706.40342307692299</v>
      </c>
      <c r="AW162">
        <v>1137.849438798891</v>
      </c>
      <c r="AX162">
        <f t="shared" si="211"/>
        <v>0.37917671794732399</v>
      </c>
      <c r="AY162">
        <v>0.5</v>
      </c>
      <c r="AZ162">
        <f t="shared" si="212"/>
        <v>1513.0757994601279</v>
      </c>
      <c r="BA162">
        <f t="shared" si="213"/>
        <v>56.709061351039999</v>
      </c>
      <c r="BB162">
        <f t="shared" si="214"/>
        <v>286.86155782240735</v>
      </c>
      <c r="BC162">
        <f t="shared" si="215"/>
        <v>3.8459251011694888E-2</v>
      </c>
      <c r="BD162">
        <f t="shared" si="216"/>
        <v>-0.58425079463996565</v>
      </c>
      <c r="BE162">
        <f t="shared" si="217"/>
        <v>239.81435925844841</v>
      </c>
      <c r="BF162" t="s">
        <v>1159</v>
      </c>
      <c r="BG162">
        <v>555.04999999999995</v>
      </c>
      <c r="BH162">
        <f t="shared" si="218"/>
        <v>555.04999999999995</v>
      </c>
      <c r="BI162">
        <f t="shared" si="219"/>
        <v>0.5121938095905656</v>
      </c>
      <c r="BJ162">
        <f t="shared" si="220"/>
        <v>0.74029929852222942</v>
      </c>
      <c r="BK162">
        <f t="shared" si="221"/>
        <v>8.1081770801182032</v>
      </c>
      <c r="BL162">
        <f t="shared" si="222"/>
        <v>0.45280318485236409</v>
      </c>
      <c r="BM162">
        <f t="shared" si="223"/>
        <v>-2.307944059931438</v>
      </c>
      <c r="BN162">
        <f t="shared" si="224"/>
        <v>0.58168337273192772</v>
      </c>
      <c r="BO162">
        <f t="shared" si="225"/>
        <v>0.41831662726807228</v>
      </c>
      <c r="BP162">
        <v>9345</v>
      </c>
      <c r="BQ162">
        <v>290.00000000000011</v>
      </c>
      <c r="BR162">
        <v>992.33</v>
      </c>
      <c r="BS162">
        <v>275</v>
      </c>
      <c r="BT162">
        <v>8098.99</v>
      </c>
      <c r="BU162">
        <v>994.42</v>
      </c>
      <c r="BV162">
        <v>-2.09</v>
      </c>
      <c r="BW162">
        <v>300.00000000000011</v>
      </c>
      <c r="BX162">
        <v>19.2</v>
      </c>
      <c r="BY162">
        <v>1137.849438798891</v>
      </c>
      <c r="BZ162">
        <v>3.9257620332112051</v>
      </c>
      <c r="CA162">
        <v>-116.1656972509405</v>
      </c>
      <c r="CB162">
        <v>2.9213634587949548</v>
      </c>
      <c r="CC162">
        <v>0.98259996373242819</v>
      </c>
      <c r="CD162">
        <v>-4.1723116796440508E-3</v>
      </c>
      <c r="CE162">
        <v>289.99999999999989</v>
      </c>
      <c r="CF162">
        <v>987.98</v>
      </c>
      <c r="CG162">
        <v>655</v>
      </c>
      <c r="CH162">
        <v>8091.35</v>
      </c>
      <c r="CI162">
        <v>994.28</v>
      </c>
      <c r="CJ162">
        <v>-6.3</v>
      </c>
      <c r="CX162">
        <f t="shared" si="226"/>
        <v>1799.87</v>
      </c>
      <c r="CY162">
        <f t="shared" si="227"/>
        <v>1513.0757994601279</v>
      </c>
      <c r="CZ162">
        <f t="shared" si="228"/>
        <v>0.84065838058311315</v>
      </c>
      <c r="DA162">
        <f t="shared" si="229"/>
        <v>0.16087067452540843</v>
      </c>
      <c r="DB162">
        <v>6</v>
      </c>
      <c r="DC162">
        <v>0.5</v>
      </c>
      <c r="DD162" t="s">
        <v>421</v>
      </c>
      <c r="DE162">
        <v>2</v>
      </c>
      <c r="DF162">
        <v>1689028186.5999999</v>
      </c>
      <c r="DG162">
        <v>429.58</v>
      </c>
      <c r="DH162">
        <v>500.24799999999999</v>
      </c>
      <c r="DI162">
        <v>28.440100000000001</v>
      </c>
      <c r="DJ162">
        <v>22.454000000000001</v>
      </c>
      <c r="DK162">
        <v>431.07400000000001</v>
      </c>
      <c r="DL162">
        <v>28.4147</v>
      </c>
      <c r="DM162">
        <v>500.21800000000002</v>
      </c>
      <c r="DN162">
        <v>99.004800000000003</v>
      </c>
      <c r="DO162">
        <v>0.100011</v>
      </c>
      <c r="DP162">
        <v>30.1769</v>
      </c>
      <c r="DQ162">
        <v>29.965</v>
      </c>
      <c r="DR162">
        <v>999.9</v>
      </c>
      <c r="DS162">
        <v>0</v>
      </c>
      <c r="DT162">
        <v>0</v>
      </c>
      <c r="DU162">
        <v>10005</v>
      </c>
      <c r="DV162">
        <v>0</v>
      </c>
      <c r="DW162">
        <v>847.69899999999996</v>
      </c>
      <c r="DX162">
        <v>-70.668700000000001</v>
      </c>
      <c r="DY162">
        <v>442.154</v>
      </c>
      <c r="DZ162">
        <v>511.73899999999998</v>
      </c>
      <c r="EA162">
        <v>5.9861500000000003</v>
      </c>
      <c r="EB162">
        <v>500.24799999999999</v>
      </c>
      <c r="EC162">
        <v>22.454000000000001</v>
      </c>
      <c r="ED162">
        <v>2.8157100000000002</v>
      </c>
      <c r="EE162">
        <v>2.2230500000000002</v>
      </c>
      <c r="EF162">
        <v>22.976500000000001</v>
      </c>
      <c r="EG162">
        <v>19.1294</v>
      </c>
      <c r="EH162">
        <v>1799.87</v>
      </c>
      <c r="EI162">
        <v>0.97799100000000005</v>
      </c>
      <c r="EJ162">
        <v>2.2009000000000001E-2</v>
      </c>
      <c r="EK162">
        <v>0</v>
      </c>
      <c r="EL162">
        <v>706.54600000000005</v>
      </c>
      <c r="EM162">
        <v>5.00082</v>
      </c>
      <c r="EN162">
        <v>15050</v>
      </c>
      <c r="EO162">
        <v>14128.7</v>
      </c>
      <c r="EP162">
        <v>48.436999999999998</v>
      </c>
      <c r="EQ162">
        <v>49.625</v>
      </c>
      <c r="ER162">
        <v>49.5</v>
      </c>
      <c r="ES162">
        <v>48.936999999999998</v>
      </c>
      <c r="ET162">
        <v>49.75</v>
      </c>
      <c r="EU162">
        <v>1755.37</v>
      </c>
      <c r="EV162">
        <v>39.5</v>
      </c>
      <c r="EW162">
        <v>0</v>
      </c>
      <c r="EX162">
        <v>124.19999980926509</v>
      </c>
      <c r="EY162">
        <v>0</v>
      </c>
      <c r="EZ162">
        <v>706.40342307692299</v>
      </c>
      <c r="FA162">
        <v>-0.33199999535627323</v>
      </c>
      <c r="FB162">
        <v>-487.95897611191492</v>
      </c>
      <c r="FC162">
        <v>15083.40769230769</v>
      </c>
      <c r="FD162">
        <v>15</v>
      </c>
      <c r="FE162">
        <v>1689028150.5999999</v>
      </c>
      <c r="FF162" t="s">
        <v>1160</v>
      </c>
      <c r="FG162">
        <v>1689028150.5999999</v>
      </c>
      <c r="FH162">
        <v>1689028143.5999999</v>
      </c>
      <c r="FI162">
        <v>166</v>
      </c>
      <c r="FJ162">
        <v>-9.2999999999999999E-2</v>
      </c>
      <c r="FK162">
        <v>-2E-3</v>
      </c>
      <c r="FL162">
        <v>-1.56</v>
      </c>
      <c r="FM162">
        <v>2.5000000000000001E-2</v>
      </c>
      <c r="FN162">
        <v>500</v>
      </c>
      <c r="FO162">
        <v>22</v>
      </c>
      <c r="FP162">
        <v>0.03</v>
      </c>
      <c r="FQ162">
        <v>0.01</v>
      </c>
      <c r="FR162">
        <v>56.639014893279253</v>
      </c>
      <c r="FS162">
        <v>-0.32085472133944409</v>
      </c>
      <c r="FT162">
        <v>7.1949927377779332E-2</v>
      </c>
      <c r="FU162">
        <v>1</v>
      </c>
      <c r="FV162">
        <v>0.35888698209581532</v>
      </c>
      <c r="FW162">
        <v>2.8461794041102391E-2</v>
      </c>
      <c r="FX162">
        <v>2.5589963949265832E-3</v>
      </c>
      <c r="FY162">
        <v>1</v>
      </c>
      <c r="FZ162">
        <v>2</v>
      </c>
      <c r="GA162">
        <v>2</v>
      </c>
      <c r="GB162" t="s">
        <v>423</v>
      </c>
      <c r="GC162">
        <v>2.9449700000000001</v>
      </c>
      <c r="GD162">
        <v>2.70872</v>
      </c>
      <c r="GE162">
        <v>9.2658900000000002E-2</v>
      </c>
      <c r="GF162">
        <v>0.103659</v>
      </c>
      <c r="GG162">
        <v>0.12715199999999999</v>
      </c>
      <c r="GH162">
        <v>0.107891</v>
      </c>
      <c r="GI162">
        <v>29843.200000000001</v>
      </c>
      <c r="GJ162">
        <v>28773.9</v>
      </c>
      <c r="GK162">
        <v>33888.5</v>
      </c>
      <c r="GL162">
        <v>32142.400000000001</v>
      </c>
      <c r="GM162">
        <v>42698</v>
      </c>
      <c r="GN162">
        <v>40805.1</v>
      </c>
      <c r="GO162">
        <v>49075.3</v>
      </c>
      <c r="GP162">
        <v>45505.7</v>
      </c>
      <c r="GQ162">
        <v>1.98078</v>
      </c>
      <c r="GR162">
        <v>1.8083499999999999</v>
      </c>
      <c r="GS162">
        <v>2.0097899999999998E-2</v>
      </c>
      <c r="GT162">
        <v>0</v>
      </c>
      <c r="GU162">
        <v>29.637799999999999</v>
      </c>
      <c r="GV162">
        <v>999.9</v>
      </c>
      <c r="GW162">
        <v>34.700000000000003</v>
      </c>
      <c r="GX162">
        <v>40.200000000000003</v>
      </c>
      <c r="GY162">
        <v>26.2622</v>
      </c>
      <c r="GZ162">
        <v>59.946800000000003</v>
      </c>
      <c r="HA162">
        <v>24.7316</v>
      </c>
      <c r="HB162">
        <v>1</v>
      </c>
      <c r="HC162">
        <v>0.43376999999999999</v>
      </c>
      <c r="HD162">
        <v>2.6528200000000002</v>
      </c>
      <c r="HE162">
        <v>20.2502</v>
      </c>
      <c r="HF162">
        <v>5.2680600000000002</v>
      </c>
      <c r="HG162">
        <v>12.039899999999999</v>
      </c>
      <c r="HH162">
        <v>4.9657499999999999</v>
      </c>
      <c r="HI162">
        <v>3.30078</v>
      </c>
      <c r="HJ162">
        <v>9999</v>
      </c>
      <c r="HK162">
        <v>9999</v>
      </c>
      <c r="HL162">
        <v>9999</v>
      </c>
      <c r="HM162">
        <v>999.9</v>
      </c>
      <c r="HN162">
        <v>1.8681700000000001</v>
      </c>
      <c r="HO162">
        <v>1.8717999999999999</v>
      </c>
      <c r="HP162">
        <v>1.8716600000000001</v>
      </c>
      <c r="HQ162">
        <v>1.8711500000000001</v>
      </c>
      <c r="HR162">
        <v>1.86446</v>
      </c>
      <c r="HS162">
        <v>1.86554</v>
      </c>
      <c r="HT162">
        <v>1.8675900000000001</v>
      </c>
      <c r="HU162">
        <v>1.8721000000000001</v>
      </c>
      <c r="HV162">
        <v>0</v>
      </c>
      <c r="HW162">
        <v>0</v>
      </c>
      <c r="HX162">
        <v>0</v>
      </c>
      <c r="HY162">
        <v>0</v>
      </c>
      <c r="HZ162" t="s">
        <v>424</v>
      </c>
      <c r="IA162" t="s">
        <v>425</v>
      </c>
      <c r="IB162" t="s">
        <v>426</v>
      </c>
      <c r="IC162" t="s">
        <v>426</v>
      </c>
      <c r="ID162" t="s">
        <v>426</v>
      </c>
      <c r="IE162" t="s">
        <v>426</v>
      </c>
      <c r="IF162">
        <v>0</v>
      </c>
      <c r="IG162">
        <v>100</v>
      </c>
      <c r="IH162">
        <v>100</v>
      </c>
      <c r="II162">
        <v>-1.494</v>
      </c>
      <c r="IJ162">
        <v>2.5399999999999999E-2</v>
      </c>
      <c r="IK162">
        <v>-1.0386944907722651</v>
      </c>
      <c r="IL162">
        <v>-1.171017271736434E-3</v>
      </c>
      <c r="IM162">
        <v>2.801297040296544E-7</v>
      </c>
      <c r="IN162">
        <v>-3.6238253961199429E-11</v>
      </c>
      <c r="IO162">
        <v>2.5410000000000821E-2</v>
      </c>
      <c r="IP162">
        <v>0</v>
      </c>
      <c r="IQ162">
        <v>0</v>
      </c>
      <c r="IR162">
        <v>0</v>
      </c>
      <c r="IS162">
        <v>0</v>
      </c>
      <c r="IT162">
        <v>2161</v>
      </c>
      <c r="IU162">
        <v>1</v>
      </c>
      <c r="IV162">
        <v>19</v>
      </c>
      <c r="IW162">
        <v>0.6</v>
      </c>
      <c r="IX162">
        <v>0.7</v>
      </c>
      <c r="IY162">
        <v>1.2402299999999999</v>
      </c>
      <c r="IZ162">
        <v>2.49756</v>
      </c>
      <c r="JA162">
        <v>1.4440900000000001</v>
      </c>
      <c r="JB162">
        <v>2.2778299999999998</v>
      </c>
      <c r="JC162">
        <v>1.54419</v>
      </c>
      <c r="JD162">
        <v>2.4462899999999999</v>
      </c>
      <c r="JE162">
        <v>42.483699999999999</v>
      </c>
      <c r="JF162">
        <v>15.970800000000001</v>
      </c>
      <c r="JG162">
        <v>18</v>
      </c>
      <c r="JH162">
        <v>510.517</v>
      </c>
      <c r="JI162">
        <v>437.58600000000001</v>
      </c>
      <c r="JJ162">
        <v>26.094999999999999</v>
      </c>
      <c r="JK162">
        <v>32.806699999999999</v>
      </c>
      <c r="JL162">
        <v>29.999400000000001</v>
      </c>
      <c r="JM162">
        <v>32.6081</v>
      </c>
      <c r="JN162">
        <v>32.547600000000003</v>
      </c>
      <c r="JO162">
        <v>24.9663</v>
      </c>
      <c r="JP162">
        <v>25.7348</v>
      </c>
      <c r="JQ162">
        <v>21.375399999999999</v>
      </c>
      <c r="JR162">
        <v>26.0899</v>
      </c>
      <c r="JS162">
        <v>500</v>
      </c>
      <c r="JT162">
        <v>22.387799999999999</v>
      </c>
      <c r="JU162">
        <v>99.466099999999997</v>
      </c>
      <c r="JV162">
        <v>99.096999999999994</v>
      </c>
    </row>
    <row r="163" spans="1:282" x14ac:dyDescent="0.25">
      <c r="A163">
        <v>147</v>
      </c>
      <c r="B163">
        <v>1689028297.0999999</v>
      </c>
      <c r="C163">
        <v>29120.099999904629</v>
      </c>
      <c r="D163" t="s">
        <v>1161</v>
      </c>
      <c r="E163" t="s">
        <v>1162</v>
      </c>
      <c r="F163" t="s">
        <v>414</v>
      </c>
      <c r="G163" t="s">
        <v>415</v>
      </c>
      <c r="H163" t="s">
        <v>31</v>
      </c>
      <c r="I163" t="s">
        <v>500</v>
      </c>
      <c r="J163" t="s">
        <v>417</v>
      </c>
      <c r="K163">
        <v>1689028297.0999999</v>
      </c>
      <c r="L163">
        <f t="shared" si="184"/>
        <v>5.0595244081810264E-3</v>
      </c>
      <c r="M163">
        <f t="shared" si="185"/>
        <v>5.0595244081810264</v>
      </c>
      <c r="N163">
        <f t="shared" si="186"/>
        <v>58.502781548980671</v>
      </c>
      <c r="O163">
        <f t="shared" si="187"/>
        <v>626.11599999999999</v>
      </c>
      <c r="P163">
        <f t="shared" si="188"/>
        <v>338.4015954781442</v>
      </c>
      <c r="Q163">
        <f t="shared" si="189"/>
        <v>33.538789577331045</v>
      </c>
      <c r="R163">
        <f t="shared" si="190"/>
        <v>62.054000499996</v>
      </c>
      <c r="S163">
        <f t="shared" si="191"/>
        <v>0.35870125987651319</v>
      </c>
      <c r="T163">
        <f t="shared" si="192"/>
        <v>2.9083917992334039</v>
      </c>
      <c r="U163">
        <f t="shared" si="193"/>
        <v>0.33581154618537773</v>
      </c>
      <c r="V163">
        <f t="shared" si="194"/>
        <v>0.2118169293903813</v>
      </c>
      <c r="W163">
        <f t="shared" si="195"/>
        <v>289.55964795782944</v>
      </c>
      <c r="X163">
        <f t="shared" si="196"/>
        <v>30.628740790544647</v>
      </c>
      <c r="Y163">
        <f t="shared" si="197"/>
        <v>29.968900000000001</v>
      </c>
      <c r="Z163">
        <f t="shared" si="198"/>
        <v>4.2528450033332108</v>
      </c>
      <c r="AA163">
        <f t="shared" si="199"/>
        <v>65.136836028956395</v>
      </c>
      <c r="AB163">
        <f t="shared" si="200"/>
        <v>2.8128346721541</v>
      </c>
      <c r="AC163">
        <f t="shared" si="201"/>
        <v>4.3183471037857322</v>
      </c>
      <c r="AD163">
        <f t="shared" si="202"/>
        <v>1.4400103311791108</v>
      </c>
      <c r="AE163">
        <f t="shared" si="203"/>
        <v>-223.12502640078327</v>
      </c>
      <c r="AF163">
        <f t="shared" si="204"/>
        <v>41.755099334555858</v>
      </c>
      <c r="AG163">
        <f t="shared" si="205"/>
        <v>3.1954683654784466</v>
      </c>
      <c r="AH163">
        <f t="shared" si="206"/>
        <v>111.3851892570805</v>
      </c>
      <c r="AI163">
        <v>0</v>
      </c>
      <c r="AJ163">
        <v>0</v>
      </c>
      <c r="AK163">
        <f t="shared" si="207"/>
        <v>1</v>
      </c>
      <c r="AL163">
        <f t="shared" si="208"/>
        <v>0</v>
      </c>
      <c r="AM163">
        <f t="shared" si="209"/>
        <v>51689.112331020537</v>
      </c>
      <c r="AN163" t="s">
        <v>418</v>
      </c>
      <c r="AO163">
        <v>10076.700000000001</v>
      </c>
      <c r="AP163">
        <v>185.01599999999999</v>
      </c>
      <c r="AQ163">
        <v>473.06</v>
      </c>
      <c r="AR163">
        <f t="shared" si="210"/>
        <v>0.60889527755464423</v>
      </c>
      <c r="AS163">
        <v>-1.4827006201179751</v>
      </c>
      <c r="AT163" t="s">
        <v>1163</v>
      </c>
      <c r="AU163">
        <v>8099.16</v>
      </c>
      <c r="AV163">
        <v>711.59500000000014</v>
      </c>
      <c r="AW163">
        <v>1179.827852746258</v>
      </c>
      <c r="AX163">
        <f t="shared" si="211"/>
        <v>0.39686540002964255</v>
      </c>
      <c r="AY163">
        <v>0.5</v>
      </c>
      <c r="AZ163">
        <f t="shared" si="212"/>
        <v>1513.1432994600154</v>
      </c>
      <c r="BA163">
        <f t="shared" si="213"/>
        <v>58.502781548980671</v>
      </c>
      <c r="BB163">
        <f t="shared" si="214"/>
        <v>300.2571104211861</v>
      </c>
      <c r="BC163">
        <f t="shared" si="215"/>
        <v>3.9642961899580317E-2</v>
      </c>
      <c r="BD163">
        <f t="shared" si="216"/>
        <v>-0.59904320032887082</v>
      </c>
      <c r="BE163">
        <f t="shared" si="217"/>
        <v>241.62629150274984</v>
      </c>
      <c r="BF163" t="s">
        <v>1164</v>
      </c>
      <c r="BG163">
        <v>556.48</v>
      </c>
      <c r="BH163">
        <f t="shared" si="218"/>
        <v>556.48</v>
      </c>
      <c r="BI163">
        <f t="shared" si="219"/>
        <v>0.52833797006512917</v>
      </c>
      <c r="BJ163">
        <f t="shared" si="220"/>
        <v>0.75115820273284595</v>
      </c>
      <c r="BK163">
        <f t="shared" si="221"/>
        <v>8.4724029339038349</v>
      </c>
      <c r="BL163">
        <f t="shared" si="222"/>
        <v>0.47067478282819358</v>
      </c>
      <c r="BM163">
        <f t="shared" si="223"/>
        <v>-2.4536801764531049</v>
      </c>
      <c r="BN163">
        <f t="shared" si="224"/>
        <v>0.58741913118666378</v>
      </c>
      <c r="BO163">
        <f t="shared" si="225"/>
        <v>0.41258086881333622</v>
      </c>
      <c r="BP163">
        <v>9347</v>
      </c>
      <c r="BQ163">
        <v>290.00000000000011</v>
      </c>
      <c r="BR163">
        <v>1014.8</v>
      </c>
      <c r="BS163">
        <v>285</v>
      </c>
      <c r="BT163">
        <v>8099.16</v>
      </c>
      <c r="BU163">
        <v>1017.15</v>
      </c>
      <c r="BV163">
        <v>-2.35</v>
      </c>
      <c r="BW163">
        <v>300.00000000000011</v>
      </c>
      <c r="BX163">
        <v>19.2</v>
      </c>
      <c r="BY163">
        <v>1179.827852746258</v>
      </c>
      <c r="BZ163">
        <v>4.279688572383205</v>
      </c>
      <c r="CA163">
        <v>-131.7578106480928</v>
      </c>
      <c r="CB163">
        <v>3.1849908929803301</v>
      </c>
      <c r="CC163">
        <v>0.98390194157971655</v>
      </c>
      <c r="CD163">
        <v>-4.172910344827592E-3</v>
      </c>
      <c r="CE163">
        <v>289.99999999999989</v>
      </c>
      <c r="CF163">
        <v>1008.43</v>
      </c>
      <c r="CG163">
        <v>675</v>
      </c>
      <c r="CH163">
        <v>8091.48</v>
      </c>
      <c r="CI163">
        <v>1016.99</v>
      </c>
      <c r="CJ163">
        <v>-8.56</v>
      </c>
      <c r="CX163">
        <f t="shared" si="226"/>
        <v>1799.95</v>
      </c>
      <c r="CY163">
        <f t="shared" si="227"/>
        <v>1513.1432994600154</v>
      </c>
      <c r="CZ163">
        <f t="shared" si="228"/>
        <v>0.84065851799217495</v>
      </c>
      <c r="DA163">
        <f t="shared" si="229"/>
        <v>0.1608709397248976</v>
      </c>
      <c r="DB163">
        <v>6</v>
      </c>
      <c r="DC163">
        <v>0.5</v>
      </c>
      <c r="DD163" t="s">
        <v>421</v>
      </c>
      <c r="DE163">
        <v>2</v>
      </c>
      <c r="DF163">
        <v>1689028297.0999999</v>
      </c>
      <c r="DG163">
        <v>626.11599999999999</v>
      </c>
      <c r="DH163">
        <v>700.10299999999995</v>
      </c>
      <c r="DI163">
        <v>28.3811</v>
      </c>
      <c r="DJ163">
        <v>22.4834</v>
      </c>
      <c r="DK163">
        <v>627.81200000000001</v>
      </c>
      <c r="DL163">
        <v>28.345300000000002</v>
      </c>
      <c r="DM163">
        <v>500.12</v>
      </c>
      <c r="DN163">
        <v>99.009200000000007</v>
      </c>
      <c r="DO163">
        <v>0.100231</v>
      </c>
      <c r="DP163">
        <v>30.235199999999999</v>
      </c>
      <c r="DQ163">
        <v>29.968900000000001</v>
      </c>
      <c r="DR163">
        <v>999.9</v>
      </c>
      <c r="DS163">
        <v>0</v>
      </c>
      <c r="DT163">
        <v>0</v>
      </c>
      <c r="DU163">
        <v>9978.75</v>
      </c>
      <c r="DV163">
        <v>0</v>
      </c>
      <c r="DW163">
        <v>903.94500000000005</v>
      </c>
      <c r="DX163">
        <v>-73.986900000000006</v>
      </c>
      <c r="DY163">
        <v>644.40499999999997</v>
      </c>
      <c r="DZ163">
        <v>716.20600000000002</v>
      </c>
      <c r="EA163">
        <v>5.89771</v>
      </c>
      <c r="EB163">
        <v>700.10299999999995</v>
      </c>
      <c r="EC163">
        <v>22.4834</v>
      </c>
      <c r="ED163">
        <v>2.80999</v>
      </c>
      <c r="EE163">
        <v>2.2260599999999999</v>
      </c>
      <c r="EF163">
        <v>22.942900000000002</v>
      </c>
      <c r="EG163">
        <v>19.1511</v>
      </c>
      <c r="EH163">
        <v>1799.95</v>
      </c>
      <c r="EI163">
        <v>0.97799100000000005</v>
      </c>
      <c r="EJ163">
        <v>2.2009000000000001E-2</v>
      </c>
      <c r="EK163">
        <v>0</v>
      </c>
      <c r="EL163">
        <v>711.38199999999995</v>
      </c>
      <c r="EM163">
        <v>5.00082</v>
      </c>
      <c r="EN163">
        <v>14999.8</v>
      </c>
      <c r="EO163">
        <v>14129.4</v>
      </c>
      <c r="EP163">
        <v>48.375</v>
      </c>
      <c r="EQ163">
        <v>49.5</v>
      </c>
      <c r="ER163">
        <v>49.436999999999998</v>
      </c>
      <c r="ES163">
        <v>48.75</v>
      </c>
      <c r="ET163">
        <v>49.686999999999998</v>
      </c>
      <c r="EU163">
        <v>1755.44</v>
      </c>
      <c r="EV163">
        <v>39.51</v>
      </c>
      <c r="EW163">
        <v>0</v>
      </c>
      <c r="EX163">
        <v>108.5999999046326</v>
      </c>
      <c r="EY163">
        <v>0</v>
      </c>
      <c r="EZ163">
        <v>711.59500000000014</v>
      </c>
      <c r="FA163">
        <v>-2.4110769144372162</v>
      </c>
      <c r="FB163">
        <v>-543.96922664159752</v>
      </c>
      <c r="FC163">
        <v>15139.096153846151</v>
      </c>
      <c r="FD163">
        <v>15</v>
      </c>
      <c r="FE163">
        <v>1689028264.5999999</v>
      </c>
      <c r="FF163" t="s">
        <v>1165</v>
      </c>
      <c r="FG163">
        <v>1689028264.5999999</v>
      </c>
      <c r="FH163">
        <v>1689028262.0999999</v>
      </c>
      <c r="FI163">
        <v>167</v>
      </c>
      <c r="FJ163">
        <v>-2.4E-2</v>
      </c>
      <c r="FK163">
        <v>0.01</v>
      </c>
      <c r="FL163">
        <v>-1.7589999999999999</v>
      </c>
      <c r="FM163">
        <v>3.5999999999999997E-2</v>
      </c>
      <c r="FN163">
        <v>700</v>
      </c>
      <c r="FO163">
        <v>22</v>
      </c>
      <c r="FP163">
        <v>0.02</v>
      </c>
      <c r="FQ163">
        <v>0.01</v>
      </c>
      <c r="FR163">
        <v>58.522536801528723</v>
      </c>
      <c r="FS163">
        <v>-0.65929548474718258</v>
      </c>
      <c r="FT163">
        <v>6.7558299547263792E-2</v>
      </c>
      <c r="FU163">
        <v>1</v>
      </c>
      <c r="FV163">
        <v>0.3595538033599931</v>
      </c>
      <c r="FW163">
        <v>8.4532731041979149E-3</v>
      </c>
      <c r="FX163">
        <v>2.190613986585373E-3</v>
      </c>
      <c r="FY163">
        <v>1</v>
      </c>
      <c r="FZ163">
        <v>2</v>
      </c>
      <c r="GA163">
        <v>2</v>
      </c>
      <c r="GB163" t="s">
        <v>423</v>
      </c>
      <c r="GC163">
        <v>2.94476</v>
      </c>
      <c r="GD163">
        <v>2.70871</v>
      </c>
      <c r="GE163">
        <v>0.121624</v>
      </c>
      <c r="GF163">
        <v>0.13131799999999999</v>
      </c>
      <c r="GG163">
        <v>0.12695699999999999</v>
      </c>
      <c r="GH163">
        <v>0.108006</v>
      </c>
      <c r="GI163">
        <v>28893.3</v>
      </c>
      <c r="GJ163">
        <v>27887.8</v>
      </c>
      <c r="GK163">
        <v>33891.800000000003</v>
      </c>
      <c r="GL163">
        <v>32144.9</v>
      </c>
      <c r="GM163">
        <v>42711.9</v>
      </c>
      <c r="GN163">
        <v>40803.5</v>
      </c>
      <c r="GO163">
        <v>49079.8</v>
      </c>
      <c r="GP163">
        <v>45509.2</v>
      </c>
      <c r="GQ163">
        <v>1.98102</v>
      </c>
      <c r="GR163">
        <v>1.8108</v>
      </c>
      <c r="GS163">
        <v>2.37897E-2</v>
      </c>
      <c r="GT163">
        <v>0</v>
      </c>
      <c r="GU163">
        <v>29.581600000000002</v>
      </c>
      <c r="GV163">
        <v>999.9</v>
      </c>
      <c r="GW163">
        <v>35.1</v>
      </c>
      <c r="GX163">
        <v>40.1</v>
      </c>
      <c r="GY163">
        <v>26.424199999999999</v>
      </c>
      <c r="GZ163">
        <v>60.486800000000002</v>
      </c>
      <c r="HA163">
        <v>24.6875</v>
      </c>
      <c r="HB163">
        <v>1</v>
      </c>
      <c r="HC163">
        <v>0.42869699999999999</v>
      </c>
      <c r="HD163">
        <v>2.25027</v>
      </c>
      <c r="HE163">
        <v>20.2563</v>
      </c>
      <c r="HF163">
        <v>5.2664099999999996</v>
      </c>
      <c r="HG163">
        <v>12.039899999999999</v>
      </c>
      <c r="HH163">
        <v>4.9650999999999996</v>
      </c>
      <c r="HI163">
        <v>3.3002500000000001</v>
      </c>
      <c r="HJ163">
        <v>9999</v>
      </c>
      <c r="HK163">
        <v>9999</v>
      </c>
      <c r="HL163">
        <v>9999</v>
      </c>
      <c r="HM163">
        <v>999.9</v>
      </c>
      <c r="HN163">
        <v>1.8681700000000001</v>
      </c>
      <c r="HO163">
        <v>1.8717999999999999</v>
      </c>
      <c r="HP163">
        <v>1.87165</v>
      </c>
      <c r="HQ163">
        <v>1.87117</v>
      </c>
      <c r="HR163">
        <v>1.86446</v>
      </c>
      <c r="HS163">
        <v>1.86554</v>
      </c>
      <c r="HT163">
        <v>1.8676299999999999</v>
      </c>
      <c r="HU163">
        <v>1.8721000000000001</v>
      </c>
      <c r="HV163">
        <v>0</v>
      </c>
      <c r="HW163">
        <v>0</v>
      </c>
      <c r="HX163">
        <v>0</v>
      </c>
      <c r="HY163">
        <v>0</v>
      </c>
      <c r="HZ163" t="s">
        <v>424</v>
      </c>
      <c r="IA163" t="s">
        <v>425</v>
      </c>
      <c r="IB163" t="s">
        <v>426</v>
      </c>
      <c r="IC163" t="s">
        <v>426</v>
      </c>
      <c r="ID163" t="s">
        <v>426</v>
      </c>
      <c r="IE163" t="s">
        <v>426</v>
      </c>
      <c r="IF163">
        <v>0</v>
      </c>
      <c r="IG163">
        <v>100</v>
      </c>
      <c r="IH163">
        <v>100</v>
      </c>
      <c r="II163">
        <v>-1.696</v>
      </c>
      <c r="IJ163">
        <v>3.5799999999999998E-2</v>
      </c>
      <c r="IK163">
        <v>-1.062362502849562</v>
      </c>
      <c r="IL163">
        <v>-1.171017271736434E-3</v>
      </c>
      <c r="IM163">
        <v>2.801297040296544E-7</v>
      </c>
      <c r="IN163">
        <v>-3.6238253961199429E-11</v>
      </c>
      <c r="IO163">
        <v>3.5750000000003723E-2</v>
      </c>
      <c r="IP163">
        <v>0</v>
      </c>
      <c r="IQ163">
        <v>0</v>
      </c>
      <c r="IR163">
        <v>0</v>
      </c>
      <c r="IS163">
        <v>0</v>
      </c>
      <c r="IT163">
        <v>2161</v>
      </c>
      <c r="IU163">
        <v>1</v>
      </c>
      <c r="IV163">
        <v>19</v>
      </c>
      <c r="IW163">
        <v>0.5</v>
      </c>
      <c r="IX163">
        <v>0.6</v>
      </c>
      <c r="IY163">
        <v>1.63086</v>
      </c>
      <c r="IZ163">
        <v>2.4890099999999999</v>
      </c>
      <c r="JA163">
        <v>1.4440900000000001</v>
      </c>
      <c r="JB163">
        <v>2.2778299999999998</v>
      </c>
      <c r="JC163">
        <v>1.54419</v>
      </c>
      <c r="JD163">
        <v>2.4499499999999999</v>
      </c>
      <c r="JE163">
        <v>42.3506</v>
      </c>
      <c r="JF163">
        <v>15.962</v>
      </c>
      <c r="JG163">
        <v>18</v>
      </c>
      <c r="JH163">
        <v>510.3</v>
      </c>
      <c r="JI163">
        <v>438.82900000000001</v>
      </c>
      <c r="JJ163">
        <v>26.5367</v>
      </c>
      <c r="JK163">
        <v>32.752000000000002</v>
      </c>
      <c r="JL163">
        <v>29.9999</v>
      </c>
      <c r="JM163">
        <v>32.561300000000003</v>
      </c>
      <c r="JN163">
        <v>32.503300000000003</v>
      </c>
      <c r="JO163">
        <v>32.784300000000002</v>
      </c>
      <c r="JP163">
        <v>26.705300000000001</v>
      </c>
      <c r="JQ163">
        <v>22.610499999999998</v>
      </c>
      <c r="JR163">
        <v>26.542400000000001</v>
      </c>
      <c r="JS163">
        <v>700</v>
      </c>
      <c r="JT163">
        <v>22.408999999999999</v>
      </c>
      <c r="JU163">
        <v>99.475300000000004</v>
      </c>
      <c r="JV163">
        <v>99.104699999999994</v>
      </c>
    </row>
    <row r="164" spans="1:282" x14ac:dyDescent="0.25">
      <c r="A164">
        <v>148</v>
      </c>
      <c r="B164">
        <v>1689028410.5999999</v>
      </c>
      <c r="C164">
        <v>29233.599999904629</v>
      </c>
      <c r="D164" t="s">
        <v>1166</v>
      </c>
      <c r="E164" t="s">
        <v>1167</v>
      </c>
      <c r="F164" t="s">
        <v>414</v>
      </c>
      <c r="G164" t="s">
        <v>415</v>
      </c>
      <c r="H164" t="s">
        <v>31</v>
      </c>
      <c r="I164" t="s">
        <v>500</v>
      </c>
      <c r="J164" t="s">
        <v>417</v>
      </c>
      <c r="K164">
        <v>1689028410.5999999</v>
      </c>
      <c r="L164">
        <f t="shared" si="184"/>
        <v>4.7244088302103721E-3</v>
      </c>
      <c r="M164">
        <f t="shared" si="185"/>
        <v>4.7244088302103719</v>
      </c>
      <c r="N164">
        <f t="shared" si="186"/>
        <v>58.116950402349779</v>
      </c>
      <c r="O164">
        <f t="shared" si="187"/>
        <v>825.64099999999996</v>
      </c>
      <c r="P164">
        <f t="shared" si="188"/>
        <v>514.97064047421713</v>
      </c>
      <c r="Q164">
        <f t="shared" si="189"/>
        <v>51.041171353793338</v>
      </c>
      <c r="R164">
        <f t="shared" si="190"/>
        <v>81.833177361160992</v>
      </c>
      <c r="S164">
        <f t="shared" si="191"/>
        <v>0.33270441139124929</v>
      </c>
      <c r="T164">
        <f t="shared" si="192"/>
        <v>2.9117665670244914</v>
      </c>
      <c r="U164">
        <f t="shared" si="193"/>
        <v>0.31293560300554041</v>
      </c>
      <c r="V164">
        <f t="shared" si="194"/>
        <v>0.1972629420842234</v>
      </c>
      <c r="W164">
        <f t="shared" si="195"/>
        <v>289.57227495867278</v>
      </c>
      <c r="X164">
        <f t="shared" si="196"/>
        <v>30.660360755716074</v>
      </c>
      <c r="Y164">
        <f t="shared" si="197"/>
        <v>29.974399999999999</v>
      </c>
      <c r="Z164">
        <f t="shared" si="198"/>
        <v>4.2541890364674853</v>
      </c>
      <c r="AA164">
        <f t="shared" si="199"/>
        <v>65.306078791640033</v>
      </c>
      <c r="AB164">
        <f t="shared" si="200"/>
        <v>2.8111809202509002</v>
      </c>
      <c r="AC164">
        <f t="shared" si="201"/>
        <v>4.3046236617880744</v>
      </c>
      <c r="AD164">
        <f t="shared" si="202"/>
        <v>1.4430081162165851</v>
      </c>
      <c r="AE164">
        <f t="shared" si="203"/>
        <v>-208.34642941227742</v>
      </c>
      <c r="AF164">
        <f t="shared" si="204"/>
        <v>32.227821375840605</v>
      </c>
      <c r="AG164">
        <f t="shared" si="205"/>
        <v>2.4628888042989381</v>
      </c>
      <c r="AH164">
        <f t="shared" si="206"/>
        <v>115.9165557265349</v>
      </c>
      <c r="AI164">
        <v>0</v>
      </c>
      <c r="AJ164">
        <v>0</v>
      </c>
      <c r="AK164">
        <f t="shared" si="207"/>
        <v>1</v>
      </c>
      <c r="AL164">
        <f t="shared" si="208"/>
        <v>0</v>
      </c>
      <c r="AM164">
        <f t="shared" si="209"/>
        <v>51794.54204018935</v>
      </c>
      <c r="AN164" t="s">
        <v>418</v>
      </c>
      <c r="AO164">
        <v>10076.700000000001</v>
      </c>
      <c r="AP164">
        <v>185.01599999999999</v>
      </c>
      <c r="AQ164">
        <v>473.06</v>
      </c>
      <c r="AR164">
        <f t="shared" si="210"/>
        <v>0.60889527755464423</v>
      </c>
      <c r="AS164">
        <v>-1.4827006201179751</v>
      </c>
      <c r="AT164" t="s">
        <v>1168</v>
      </c>
      <c r="AU164">
        <v>8099.6</v>
      </c>
      <c r="AV164">
        <v>707.15288461538455</v>
      </c>
      <c r="AW164">
        <v>1176.9265841716269</v>
      </c>
      <c r="AX164">
        <f t="shared" si="211"/>
        <v>0.39915293432418297</v>
      </c>
      <c r="AY164">
        <v>0.5</v>
      </c>
      <c r="AZ164">
        <f t="shared" si="212"/>
        <v>1513.2179994604521</v>
      </c>
      <c r="BA164">
        <f t="shared" si="213"/>
        <v>58.116950402349779</v>
      </c>
      <c r="BB164">
        <f t="shared" si="214"/>
        <v>302.00270237840471</v>
      </c>
      <c r="BC164">
        <f t="shared" si="215"/>
        <v>3.9386030990722028E-2</v>
      </c>
      <c r="BD164">
        <f t="shared" si="216"/>
        <v>-0.59805479257403249</v>
      </c>
      <c r="BE164">
        <f t="shared" si="217"/>
        <v>241.50436753306644</v>
      </c>
      <c r="BF164" t="s">
        <v>1169</v>
      </c>
      <c r="BG164">
        <v>556.45000000000005</v>
      </c>
      <c r="BH164">
        <f t="shared" si="218"/>
        <v>556.45000000000005</v>
      </c>
      <c r="BI164">
        <f t="shared" si="219"/>
        <v>0.5272007553541207</v>
      </c>
      <c r="BJ164">
        <f t="shared" si="220"/>
        <v>0.7571175311690741</v>
      </c>
      <c r="BK164">
        <f t="shared" si="221"/>
        <v>8.4406593616935677</v>
      </c>
      <c r="BL164">
        <f t="shared" si="222"/>
        <v>0.47360488642085002</v>
      </c>
      <c r="BM164">
        <f t="shared" si="223"/>
        <v>-2.4436078660608347</v>
      </c>
      <c r="BN164">
        <f t="shared" si="224"/>
        <v>0.59576657238437536</v>
      </c>
      <c r="BO164">
        <f t="shared" si="225"/>
        <v>0.40423342761562464</v>
      </c>
      <c r="BP164">
        <v>9349</v>
      </c>
      <c r="BQ164">
        <v>290.00000000000011</v>
      </c>
      <c r="BR164">
        <v>1012.74</v>
      </c>
      <c r="BS164">
        <v>285</v>
      </c>
      <c r="BT164">
        <v>8099.6</v>
      </c>
      <c r="BU164">
        <v>1015.34</v>
      </c>
      <c r="BV164">
        <v>-2.6</v>
      </c>
      <c r="BW164">
        <v>300.00000000000011</v>
      </c>
      <c r="BX164">
        <v>19.2</v>
      </c>
      <c r="BY164">
        <v>1176.9265841716269</v>
      </c>
      <c r="BZ164">
        <v>3.7120512326251478</v>
      </c>
      <c r="CA164">
        <v>-130.87559606555399</v>
      </c>
      <c r="CB164">
        <v>2.7627009956816559</v>
      </c>
      <c r="CC164">
        <v>0.98767680532371316</v>
      </c>
      <c r="CD164">
        <v>-4.1730360400445039E-3</v>
      </c>
      <c r="CE164">
        <v>289.99999999999989</v>
      </c>
      <c r="CF164">
        <v>1007.51</v>
      </c>
      <c r="CG164">
        <v>645</v>
      </c>
      <c r="CH164">
        <v>8092.73</v>
      </c>
      <c r="CI164">
        <v>1015.21</v>
      </c>
      <c r="CJ164">
        <v>-7.7</v>
      </c>
      <c r="CX164">
        <f t="shared" si="226"/>
        <v>1800.04</v>
      </c>
      <c r="CY164">
        <f t="shared" si="227"/>
        <v>1513.2179994604521</v>
      </c>
      <c r="CZ164">
        <f t="shared" si="228"/>
        <v>0.84065798507836054</v>
      </c>
      <c r="DA164">
        <f t="shared" si="229"/>
        <v>0.16086991120123595</v>
      </c>
      <c r="DB164">
        <v>6</v>
      </c>
      <c r="DC164">
        <v>0.5</v>
      </c>
      <c r="DD164" t="s">
        <v>421</v>
      </c>
      <c r="DE164">
        <v>2</v>
      </c>
      <c r="DF164">
        <v>1689028410.5999999</v>
      </c>
      <c r="DG164">
        <v>825.64099999999996</v>
      </c>
      <c r="DH164">
        <v>900.01900000000001</v>
      </c>
      <c r="DI164">
        <v>28.3629</v>
      </c>
      <c r="DJ164">
        <v>22.857600000000001</v>
      </c>
      <c r="DK164">
        <v>827.51</v>
      </c>
      <c r="DL164">
        <v>28.3216</v>
      </c>
      <c r="DM164">
        <v>500.29</v>
      </c>
      <c r="DN164">
        <v>99.014499999999998</v>
      </c>
      <c r="DO164">
        <v>0.100221</v>
      </c>
      <c r="DP164">
        <v>30.1797</v>
      </c>
      <c r="DQ164">
        <v>29.974399999999999</v>
      </c>
      <c r="DR164">
        <v>999.9</v>
      </c>
      <c r="DS164">
        <v>0</v>
      </c>
      <c r="DT164">
        <v>0</v>
      </c>
      <c r="DU164">
        <v>9997.5</v>
      </c>
      <c r="DV164">
        <v>0</v>
      </c>
      <c r="DW164">
        <v>964.07100000000003</v>
      </c>
      <c r="DX164">
        <v>-74.378399999999999</v>
      </c>
      <c r="DY164">
        <v>849.74199999999996</v>
      </c>
      <c r="DZ164">
        <v>921.072</v>
      </c>
      <c r="EA164">
        <v>5.5053400000000003</v>
      </c>
      <c r="EB164">
        <v>900.01900000000001</v>
      </c>
      <c r="EC164">
        <v>22.857600000000001</v>
      </c>
      <c r="ED164">
        <v>2.8083399999999998</v>
      </c>
      <c r="EE164">
        <v>2.2632300000000001</v>
      </c>
      <c r="EF164">
        <v>22.933199999999999</v>
      </c>
      <c r="EG164">
        <v>19.417100000000001</v>
      </c>
      <c r="EH164">
        <v>1800.04</v>
      </c>
      <c r="EI164">
        <v>0.97800799999999999</v>
      </c>
      <c r="EJ164">
        <v>2.1991900000000002E-2</v>
      </c>
      <c r="EK164">
        <v>0</v>
      </c>
      <c r="EL164">
        <v>706.89</v>
      </c>
      <c r="EM164">
        <v>5.00082</v>
      </c>
      <c r="EN164">
        <v>15016.5</v>
      </c>
      <c r="EO164">
        <v>14130.1</v>
      </c>
      <c r="EP164">
        <v>48.186999999999998</v>
      </c>
      <c r="EQ164">
        <v>49.25</v>
      </c>
      <c r="ER164">
        <v>49.25</v>
      </c>
      <c r="ES164">
        <v>48.5</v>
      </c>
      <c r="ET164">
        <v>49.5</v>
      </c>
      <c r="EU164">
        <v>1755.56</v>
      </c>
      <c r="EV164">
        <v>39.479999999999997</v>
      </c>
      <c r="EW164">
        <v>0</v>
      </c>
      <c r="EX164">
        <v>111.7999999523163</v>
      </c>
      <c r="EY164">
        <v>0</v>
      </c>
      <c r="EZ164">
        <v>707.15288461538455</v>
      </c>
      <c r="FA164">
        <v>-3.35976068158535</v>
      </c>
      <c r="FB164">
        <v>-413.6170937552302</v>
      </c>
      <c r="FC164">
        <v>15056.211538461541</v>
      </c>
      <c r="FD164">
        <v>15</v>
      </c>
      <c r="FE164">
        <v>1689028374.0999999</v>
      </c>
      <c r="FF164" t="s">
        <v>1170</v>
      </c>
      <c r="FG164">
        <v>1689028372.0999999</v>
      </c>
      <c r="FH164">
        <v>1689028374.0999999</v>
      </c>
      <c r="FI164">
        <v>168</v>
      </c>
      <c r="FJ164">
        <v>-8.9999999999999993E-3</v>
      </c>
      <c r="FK164">
        <v>6.0000000000000001E-3</v>
      </c>
      <c r="FL164">
        <v>-1.927</v>
      </c>
      <c r="FM164">
        <v>4.1000000000000002E-2</v>
      </c>
      <c r="FN164">
        <v>900</v>
      </c>
      <c r="FO164">
        <v>23</v>
      </c>
      <c r="FP164">
        <v>7.0000000000000007E-2</v>
      </c>
      <c r="FQ164">
        <v>0.02</v>
      </c>
      <c r="FR164">
        <v>58.178164428735272</v>
      </c>
      <c r="FS164">
        <v>-0.60443220689027133</v>
      </c>
      <c r="FT164">
        <v>7.0625135758238006E-2</v>
      </c>
      <c r="FU164">
        <v>1</v>
      </c>
      <c r="FV164">
        <v>0.33571187669759728</v>
      </c>
      <c r="FW164">
        <v>1.459908298211251E-2</v>
      </c>
      <c r="FX164">
        <v>1.879344740962709E-3</v>
      </c>
      <c r="FY164">
        <v>1</v>
      </c>
      <c r="FZ164">
        <v>2</v>
      </c>
      <c r="GA164">
        <v>2</v>
      </c>
      <c r="GB164" t="s">
        <v>423</v>
      </c>
      <c r="GC164">
        <v>2.94523</v>
      </c>
      <c r="GD164">
        <v>2.70886</v>
      </c>
      <c r="GE164">
        <v>0.14662600000000001</v>
      </c>
      <c r="GF164">
        <v>0.15518599999999999</v>
      </c>
      <c r="GG164">
        <v>0.12690799999999999</v>
      </c>
      <c r="GH164">
        <v>0.10928400000000001</v>
      </c>
      <c r="GI164">
        <v>28073.7</v>
      </c>
      <c r="GJ164">
        <v>27125</v>
      </c>
      <c r="GK164">
        <v>33895.800000000003</v>
      </c>
      <c r="GL164">
        <v>32149.7</v>
      </c>
      <c r="GM164">
        <v>42719</v>
      </c>
      <c r="GN164">
        <v>40750.9</v>
      </c>
      <c r="GO164">
        <v>49084.800000000003</v>
      </c>
      <c r="GP164">
        <v>45515.4</v>
      </c>
      <c r="GQ164">
        <v>1.9823200000000001</v>
      </c>
      <c r="GR164">
        <v>1.8138700000000001</v>
      </c>
      <c r="GS164">
        <v>2.7611900000000002E-2</v>
      </c>
      <c r="GT164">
        <v>0</v>
      </c>
      <c r="GU164">
        <v>29.524899999999999</v>
      </c>
      <c r="GV164">
        <v>999.9</v>
      </c>
      <c r="GW164">
        <v>35.6</v>
      </c>
      <c r="GX164">
        <v>40</v>
      </c>
      <c r="GY164">
        <v>26.654599999999999</v>
      </c>
      <c r="GZ164">
        <v>60.1068</v>
      </c>
      <c r="HA164">
        <v>24.146599999999999</v>
      </c>
      <c r="HB164">
        <v>1</v>
      </c>
      <c r="HC164">
        <v>0.42261700000000002</v>
      </c>
      <c r="HD164">
        <v>2.2400099999999998</v>
      </c>
      <c r="HE164">
        <v>20.256699999999999</v>
      </c>
      <c r="HF164">
        <v>5.2690999999999999</v>
      </c>
      <c r="HG164">
        <v>12.039899999999999</v>
      </c>
      <c r="HH164">
        <v>4.9659500000000003</v>
      </c>
      <c r="HI164">
        <v>3.3009300000000001</v>
      </c>
      <c r="HJ164">
        <v>9999</v>
      </c>
      <c r="HK164">
        <v>9999</v>
      </c>
      <c r="HL164">
        <v>9999</v>
      </c>
      <c r="HM164">
        <v>999.9</v>
      </c>
      <c r="HN164">
        <v>1.86815</v>
      </c>
      <c r="HO164">
        <v>1.8717999999999999</v>
      </c>
      <c r="HP164">
        <v>1.8716600000000001</v>
      </c>
      <c r="HQ164">
        <v>1.8711500000000001</v>
      </c>
      <c r="HR164">
        <v>1.8644700000000001</v>
      </c>
      <c r="HS164">
        <v>1.86554</v>
      </c>
      <c r="HT164">
        <v>1.8675900000000001</v>
      </c>
      <c r="HU164">
        <v>1.8721000000000001</v>
      </c>
      <c r="HV164">
        <v>0</v>
      </c>
      <c r="HW164">
        <v>0</v>
      </c>
      <c r="HX164">
        <v>0</v>
      </c>
      <c r="HY164">
        <v>0</v>
      </c>
      <c r="HZ164" t="s">
        <v>424</v>
      </c>
      <c r="IA164" t="s">
        <v>425</v>
      </c>
      <c r="IB164" t="s">
        <v>426</v>
      </c>
      <c r="IC164" t="s">
        <v>426</v>
      </c>
      <c r="ID164" t="s">
        <v>426</v>
      </c>
      <c r="IE164" t="s">
        <v>426</v>
      </c>
      <c r="IF164">
        <v>0</v>
      </c>
      <c r="IG164">
        <v>100</v>
      </c>
      <c r="IH164">
        <v>100</v>
      </c>
      <c r="II164">
        <v>-1.869</v>
      </c>
      <c r="IJ164">
        <v>4.1300000000000003E-2</v>
      </c>
      <c r="IK164">
        <v>-1.0715376462817039</v>
      </c>
      <c r="IL164">
        <v>-1.171017271736434E-3</v>
      </c>
      <c r="IM164">
        <v>2.801297040296544E-7</v>
      </c>
      <c r="IN164">
        <v>-3.6238253961199429E-11</v>
      </c>
      <c r="IO164">
        <v>4.1347619047620299E-2</v>
      </c>
      <c r="IP164">
        <v>0</v>
      </c>
      <c r="IQ164">
        <v>0</v>
      </c>
      <c r="IR164">
        <v>0</v>
      </c>
      <c r="IS164">
        <v>0</v>
      </c>
      <c r="IT164">
        <v>2161</v>
      </c>
      <c r="IU164">
        <v>1</v>
      </c>
      <c r="IV164">
        <v>19</v>
      </c>
      <c r="IW164">
        <v>0.6</v>
      </c>
      <c r="IX164">
        <v>0.6</v>
      </c>
      <c r="IY164">
        <v>2.0031699999999999</v>
      </c>
      <c r="IZ164">
        <v>2.48169</v>
      </c>
      <c r="JA164">
        <v>1.4440900000000001</v>
      </c>
      <c r="JB164">
        <v>2.2778299999999998</v>
      </c>
      <c r="JC164">
        <v>1.54419</v>
      </c>
      <c r="JD164">
        <v>2.4462899999999999</v>
      </c>
      <c r="JE164">
        <v>42.164999999999999</v>
      </c>
      <c r="JF164">
        <v>15.9533</v>
      </c>
      <c r="JG164">
        <v>18</v>
      </c>
      <c r="JH164">
        <v>510.65899999999999</v>
      </c>
      <c r="JI164">
        <v>440.34100000000001</v>
      </c>
      <c r="JJ164">
        <v>26.472300000000001</v>
      </c>
      <c r="JK164">
        <v>32.684399999999997</v>
      </c>
      <c r="JL164">
        <v>30</v>
      </c>
      <c r="JM164">
        <v>32.499499999999998</v>
      </c>
      <c r="JN164">
        <v>32.4405</v>
      </c>
      <c r="JO164">
        <v>40.254899999999999</v>
      </c>
      <c r="JP164">
        <v>26.251100000000001</v>
      </c>
      <c r="JQ164">
        <v>24.823599999999999</v>
      </c>
      <c r="JR164">
        <v>26.459800000000001</v>
      </c>
      <c r="JS164">
        <v>900</v>
      </c>
      <c r="JT164">
        <v>22.821400000000001</v>
      </c>
      <c r="JU164">
        <v>99.486199999999997</v>
      </c>
      <c r="JV164">
        <v>99.118700000000004</v>
      </c>
    </row>
    <row r="165" spans="1:282" x14ac:dyDescent="0.25">
      <c r="A165">
        <v>149</v>
      </c>
      <c r="B165">
        <v>1689028580.0999999</v>
      </c>
      <c r="C165">
        <v>29403.099999904629</v>
      </c>
      <c r="D165" t="s">
        <v>1171</v>
      </c>
      <c r="E165" t="s">
        <v>1172</v>
      </c>
      <c r="F165" t="s">
        <v>414</v>
      </c>
      <c r="G165" t="s">
        <v>415</v>
      </c>
      <c r="H165" t="s">
        <v>31</v>
      </c>
      <c r="I165" t="s">
        <v>500</v>
      </c>
      <c r="J165" t="s">
        <v>417</v>
      </c>
      <c r="K165">
        <v>1689028580.0999999</v>
      </c>
      <c r="L165">
        <f t="shared" si="184"/>
        <v>4.0488400373809314E-3</v>
      </c>
      <c r="M165">
        <f t="shared" si="185"/>
        <v>4.0488400373809315</v>
      </c>
      <c r="N165">
        <f t="shared" si="186"/>
        <v>56.708834231223733</v>
      </c>
      <c r="O165">
        <f t="shared" si="187"/>
        <v>1126.5</v>
      </c>
      <c r="P165">
        <f t="shared" si="188"/>
        <v>758.97966420539092</v>
      </c>
      <c r="Q165">
        <f t="shared" si="189"/>
        <v>75.228307733503499</v>
      </c>
      <c r="R165">
        <f t="shared" si="190"/>
        <v>111.65607282840001</v>
      </c>
      <c r="S165">
        <f t="shared" si="191"/>
        <v>0.27533713186432035</v>
      </c>
      <c r="T165">
        <f t="shared" si="192"/>
        <v>2.9052564181158842</v>
      </c>
      <c r="U165">
        <f t="shared" si="193"/>
        <v>0.26161830337882719</v>
      </c>
      <c r="V165">
        <f t="shared" si="194"/>
        <v>0.16468704208547558</v>
      </c>
      <c r="W165">
        <f t="shared" si="195"/>
        <v>289.58983095873646</v>
      </c>
      <c r="X165">
        <f t="shared" si="196"/>
        <v>30.658315699857418</v>
      </c>
      <c r="Y165">
        <f t="shared" si="197"/>
        <v>29.987100000000002</v>
      </c>
      <c r="Z165">
        <f t="shared" si="198"/>
        <v>4.2572939455202681</v>
      </c>
      <c r="AA165">
        <f t="shared" si="199"/>
        <v>65.199807488171516</v>
      </c>
      <c r="AB165">
        <f t="shared" si="200"/>
        <v>2.7777731389400002</v>
      </c>
      <c r="AC165">
        <f t="shared" si="201"/>
        <v>4.2604008293183089</v>
      </c>
      <c r="AD165">
        <f t="shared" si="202"/>
        <v>1.4795208065802679</v>
      </c>
      <c r="AE165">
        <f t="shared" si="203"/>
        <v>-178.55384564849908</v>
      </c>
      <c r="AF165">
        <f t="shared" si="204"/>
        <v>1.9891779369708029</v>
      </c>
      <c r="AG165">
        <f t="shared" si="205"/>
        <v>0.152229945844743</v>
      </c>
      <c r="AH165">
        <f t="shared" si="206"/>
        <v>113.17739319305292</v>
      </c>
      <c r="AI165">
        <v>0</v>
      </c>
      <c r="AJ165">
        <v>0</v>
      </c>
      <c r="AK165">
        <f t="shared" si="207"/>
        <v>1</v>
      </c>
      <c r="AL165">
        <f t="shared" si="208"/>
        <v>0</v>
      </c>
      <c r="AM165">
        <f t="shared" si="209"/>
        <v>51640.401006818247</v>
      </c>
      <c r="AN165" t="s">
        <v>418</v>
      </c>
      <c r="AO165">
        <v>10076.700000000001</v>
      </c>
      <c r="AP165">
        <v>185.01599999999999</v>
      </c>
      <c r="AQ165">
        <v>473.06</v>
      </c>
      <c r="AR165">
        <f t="shared" si="210"/>
        <v>0.60889527755464423</v>
      </c>
      <c r="AS165">
        <v>-1.4827006201179751</v>
      </c>
      <c r="AT165" t="s">
        <v>1173</v>
      </c>
      <c r="AU165">
        <v>8100.1</v>
      </c>
      <c r="AV165">
        <v>697.49226923076935</v>
      </c>
      <c r="AW165">
        <v>1159.623601603992</v>
      </c>
      <c r="AX165">
        <f t="shared" si="211"/>
        <v>0.39851839142804812</v>
      </c>
      <c r="AY165">
        <v>0.5</v>
      </c>
      <c r="AZ165">
        <f t="shared" si="212"/>
        <v>1513.3103994604853</v>
      </c>
      <c r="BA165">
        <f t="shared" si="213"/>
        <v>56.708834231223733</v>
      </c>
      <c r="BB165">
        <f t="shared" si="214"/>
        <v>301.54101306216478</v>
      </c>
      <c r="BC165">
        <f t="shared" si="215"/>
        <v>3.8453138808857548E-2</v>
      </c>
      <c r="BD165">
        <f t="shared" si="216"/>
        <v>-0.59205728535909141</v>
      </c>
      <c r="BE165">
        <f t="shared" si="217"/>
        <v>240.76718195468015</v>
      </c>
      <c r="BF165" t="s">
        <v>1174</v>
      </c>
      <c r="BG165">
        <v>553.22</v>
      </c>
      <c r="BH165">
        <f t="shared" si="218"/>
        <v>553.22</v>
      </c>
      <c r="BI165">
        <f t="shared" si="219"/>
        <v>0.52293140702311869</v>
      </c>
      <c r="BJ165">
        <f t="shared" si="220"/>
        <v>0.76208540178660511</v>
      </c>
      <c r="BK165">
        <f t="shared" si="221"/>
        <v>8.5649151896705575</v>
      </c>
      <c r="BL165">
        <f t="shared" si="222"/>
        <v>0.47417168880342719</v>
      </c>
      <c r="BM165">
        <f t="shared" si="223"/>
        <v>-2.3835372429350796</v>
      </c>
      <c r="BN165">
        <f t="shared" si="224"/>
        <v>0.60445241413406492</v>
      </c>
      <c r="BO165">
        <f t="shared" si="225"/>
        <v>0.39554758586593508</v>
      </c>
      <c r="BP165">
        <v>9351</v>
      </c>
      <c r="BQ165">
        <v>290.00000000000011</v>
      </c>
      <c r="BR165">
        <v>999.91</v>
      </c>
      <c r="BS165">
        <v>295</v>
      </c>
      <c r="BT165">
        <v>8100.1</v>
      </c>
      <c r="BU165">
        <v>1001.94</v>
      </c>
      <c r="BV165">
        <v>-2.0299999999999998</v>
      </c>
      <c r="BW165">
        <v>300.00000000000011</v>
      </c>
      <c r="BX165">
        <v>19.2</v>
      </c>
      <c r="BY165">
        <v>1159.623601603992</v>
      </c>
      <c r="BZ165">
        <v>4.2593944758676683</v>
      </c>
      <c r="CA165">
        <v>-127.7283752729132</v>
      </c>
      <c r="CB165">
        <v>3.1702664116891919</v>
      </c>
      <c r="CC165">
        <v>0.98304306642845796</v>
      </c>
      <c r="CD165">
        <v>-4.1732175750834218E-3</v>
      </c>
      <c r="CE165">
        <v>289.99999999999989</v>
      </c>
      <c r="CF165">
        <v>994.53</v>
      </c>
      <c r="CG165">
        <v>635</v>
      </c>
      <c r="CH165">
        <v>8093.54</v>
      </c>
      <c r="CI165">
        <v>1001.81</v>
      </c>
      <c r="CJ165">
        <v>-7.28</v>
      </c>
      <c r="CX165">
        <f t="shared" si="226"/>
        <v>1800.15</v>
      </c>
      <c r="CY165">
        <f t="shared" si="227"/>
        <v>1513.3103994604853</v>
      </c>
      <c r="CZ165">
        <f t="shared" si="228"/>
        <v>0.84065794487153023</v>
      </c>
      <c r="DA165">
        <f t="shared" si="229"/>
        <v>0.1608698336020534</v>
      </c>
      <c r="DB165">
        <v>6</v>
      </c>
      <c r="DC165">
        <v>0.5</v>
      </c>
      <c r="DD165" t="s">
        <v>421</v>
      </c>
      <c r="DE165">
        <v>2</v>
      </c>
      <c r="DF165">
        <v>1689028580.0999999</v>
      </c>
      <c r="DG165">
        <v>1126.5</v>
      </c>
      <c r="DH165">
        <v>1200.02</v>
      </c>
      <c r="DI165">
        <v>28.024999999999999</v>
      </c>
      <c r="DJ165">
        <v>23.302800000000001</v>
      </c>
      <c r="DK165">
        <v>1128.78</v>
      </c>
      <c r="DL165">
        <v>27.9863</v>
      </c>
      <c r="DM165">
        <v>500.02600000000001</v>
      </c>
      <c r="DN165">
        <v>99.017700000000005</v>
      </c>
      <c r="DO165">
        <v>9.9985599999999994E-2</v>
      </c>
      <c r="DP165">
        <v>29.9998</v>
      </c>
      <c r="DQ165">
        <v>29.987100000000002</v>
      </c>
      <c r="DR165">
        <v>999.9</v>
      </c>
      <c r="DS165">
        <v>0</v>
      </c>
      <c r="DT165">
        <v>0</v>
      </c>
      <c r="DU165">
        <v>9960</v>
      </c>
      <c r="DV165">
        <v>0</v>
      </c>
      <c r="DW165">
        <v>959.98900000000003</v>
      </c>
      <c r="DX165">
        <v>-73.513900000000007</v>
      </c>
      <c r="DY165">
        <v>1158.98</v>
      </c>
      <c r="DZ165">
        <v>1228.6500000000001</v>
      </c>
      <c r="EA165">
        <v>4.7222499999999998</v>
      </c>
      <c r="EB165">
        <v>1200.02</v>
      </c>
      <c r="EC165">
        <v>23.302800000000001</v>
      </c>
      <c r="ED165">
        <v>2.7749700000000002</v>
      </c>
      <c r="EE165">
        <v>2.3073899999999998</v>
      </c>
      <c r="EF165">
        <v>22.736000000000001</v>
      </c>
      <c r="EG165">
        <v>19.728100000000001</v>
      </c>
      <c r="EH165">
        <v>1800.15</v>
      </c>
      <c r="EI165">
        <v>0.97800799999999999</v>
      </c>
      <c r="EJ165">
        <v>2.1991900000000002E-2</v>
      </c>
      <c r="EK165">
        <v>0</v>
      </c>
      <c r="EL165">
        <v>697.27300000000002</v>
      </c>
      <c r="EM165">
        <v>5.00082</v>
      </c>
      <c r="EN165">
        <v>14823.9</v>
      </c>
      <c r="EO165">
        <v>14131</v>
      </c>
      <c r="EP165">
        <v>48</v>
      </c>
      <c r="EQ165">
        <v>49.125</v>
      </c>
      <c r="ER165">
        <v>49.125</v>
      </c>
      <c r="ES165">
        <v>48.311999999999998</v>
      </c>
      <c r="ET165">
        <v>49.375</v>
      </c>
      <c r="EU165">
        <v>1755.67</v>
      </c>
      <c r="EV165">
        <v>39.479999999999997</v>
      </c>
      <c r="EW165">
        <v>0</v>
      </c>
      <c r="EX165">
        <v>167.4000000953674</v>
      </c>
      <c r="EY165">
        <v>0</v>
      </c>
      <c r="EZ165">
        <v>697.49226923076935</v>
      </c>
      <c r="FA165">
        <v>-2.0032478739593049</v>
      </c>
      <c r="FB165">
        <v>-107.1623931082852</v>
      </c>
      <c r="FC165">
        <v>14851.31923076923</v>
      </c>
      <c r="FD165">
        <v>15</v>
      </c>
      <c r="FE165">
        <v>1689028547.5999999</v>
      </c>
      <c r="FF165" t="s">
        <v>1175</v>
      </c>
      <c r="FG165">
        <v>1689028547.5999999</v>
      </c>
      <c r="FH165">
        <v>1689028532.0999999</v>
      </c>
      <c r="FI165">
        <v>169</v>
      </c>
      <c r="FJ165">
        <v>-0.191</v>
      </c>
      <c r="FK165">
        <v>-3.0000000000000001E-3</v>
      </c>
      <c r="FL165">
        <v>-2.327</v>
      </c>
      <c r="FM165">
        <v>3.9E-2</v>
      </c>
      <c r="FN165">
        <v>1200</v>
      </c>
      <c r="FO165">
        <v>23</v>
      </c>
      <c r="FP165">
        <v>0.06</v>
      </c>
      <c r="FQ165">
        <v>0.02</v>
      </c>
      <c r="FR165">
        <v>56.720326527748099</v>
      </c>
      <c r="FS165">
        <v>-0.33805559854898948</v>
      </c>
      <c r="FT165">
        <v>0.13009645621990601</v>
      </c>
      <c r="FU165">
        <v>1</v>
      </c>
      <c r="FV165">
        <v>0.27878045956299141</v>
      </c>
      <c r="FW165">
        <v>-3.5434723163902233E-2</v>
      </c>
      <c r="FX165">
        <v>2.6869895635246339E-3</v>
      </c>
      <c r="FY165">
        <v>1</v>
      </c>
      <c r="FZ165">
        <v>2</v>
      </c>
      <c r="GA165">
        <v>2</v>
      </c>
      <c r="GB165" t="s">
        <v>423</v>
      </c>
      <c r="GC165">
        <v>2.9446599999999998</v>
      </c>
      <c r="GD165">
        <v>2.7082999999999999</v>
      </c>
      <c r="GE165">
        <v>0.178975</v>
      </c>
      <c r="GF165">
        <v>0.18626500000000001</v>
      </c>
      <c r="GG165">
        <v>0.12590100000000001</v>
      </c>
      <c r="GH165">
        <v>0.11079700000000001</v>
      </c>
      <c r="GI165">
        <v>27014.1</v>
      </c>
      <c r="GJ165">
        <v>26130.799999999999</v>
      </c>
      <c r="GK165">
        <v>33903.199999999997</v>
      </c>
      <c r="GL165">
        <v>32155.9</v>
      </c>
      <c r="GM165">
        <v>42776.9</v>
      </c>
      <c r="GN165">
        <v>40689.5</v>
      </c>
      <c r="GO165">
        <v>49094.1</v>
      </c>
      <c r="GP165">
        <v>45523.7</v>
      </c>
      <c r="GQ165">
        <v>1.98265</v>
      </c>
      <c r="GR165">
        <v>1.8185199999999999</v>
      </c>
      <c r="GS165">
        <v>3.3497800000000001E-2</v>
      </c>
      <c r="GT165">
        <v>0</v>
      </c>
      <c r="GU165">
        <v>29.441700000000001</v>
      </c>
      <c r="GV165">
        <v>999.9</v>
      </c>
      <c r="GW165">
        <v>36.6</v>
      </c>
      <c r="GX165">
        <v>39.700000000000003</v>
      </c>
      <c r="GY165">
        <v>26.9695</v>
      </c>
      <c r="GZ165">
        <v>60.416800000000002</v>
      </c>
      <c r="HA165">
        <v>25.012</v>
      </c>
      <c r="HB165">
        <v>1</v>
      </c>
      <c r="HC165">
        <v>0.41637200000000002</v>
      </c>
      <c r="HD165">
        <v>2.7936299999999998</v>
      </c>
      <c r="HE165">
        <v>20.248000000000001</v>
      </c>
      <c r="HF165">
        <v>5.2667099999999998</v>
      </c>
      <c r="HG165">
        <v>12.039899999999999</v>
      </c>
      <c r="HH165">
        <v>4.9652500000000002</v>
      </c>
      <c r="HI165">
        <v>3.3002500000000001</v>
      </c>
      <c r="HJ165">
        <v>9999</v>
      </c>
      <c r="HK165">
        <v>9999</v>
      </c>
      <c r="HL165">
        <v>9999</v>
      </c>
      <c r="HM165">
        <v>999.9</v>
      </c>
      <c r="HN165">
        <v>1.8681300000000001</v>
      </c>
      <c r="HO165">
        <v>1.8717999999999999</v>
      </c>
      <c r="HP165">
        <v>1.87165</v>
      </c>
      <c r="HQ165">
        <v>1.8711500000000001</v>
      </c>
      <c r="HR165">
        <v>1.8644400000000001</v>
      </c>
      <c r="HS165">
        <v>1.86554</v>
      </c>
      <c r="HT165">
        <v>1.8675600000000001</v>
      </c>
      <c r="HU165">
        <v>1.8721000000000001</v>
      </c>
      <c r="HV165">
        <v>0</v>
      </c>
      <c r="HW165">
        <v>0</v>
      </c>
      <c r="HX165">
        <v>0</v>
      </c>
      <c r="HY165">
        <v>0</v>
      </c>
      <c r="HZ165" t="s">
        <v>424</v>
      </c>
      <c r="IA165" t="s">
        <v>425</v>
      </c>
      <c r="IB165" t="s">
        <v>426</v>
      </c>
      <c r="IC165" t="s">
        <v>426</v>
      </c>
      <c r="ID165" t="s">
        <v>426</v>
      </c>
      <c r="IE165" t="s">
        <v>426</v>
      </c>
      <c r="IF165">
        <v>0</v>
      </c>
      <c r="IG165">
        <v>100</v>
      </c>
      <c r="IH165">
        <v>100</v>
      </c>
      <c r="II165">
        <v>-2.2799999999999998</v>
      </c>
      <c r="IJ165">
        <v>3.8699999999999998E-2</v>
      </c>
      <c r="IK165">
        <v>-1.261148308149705</v>
      </c>
      <c r="IL165">
        <v>-1.171017271736434E-3</v>
      </c>
      <c r="IM165">
        <v>2.801297040296544E-7</v>
      </c>
      <c r="IN165">
        <v>-3.6238253961199429E-11</v>
      </c>
      <c r="IO165">
        <v>3.8710000000001799E-2</v>
      </c>
      <c r="IP165">
        <v>0</v>
      </c>
      <c r="IQ165">
        <v>0</v>
      </c>
      <c r="IR165">
        <v>0</v>
      </c>
      <c r="IS165">
        <v>0</v>
      </c>
      <c r="IT165">
        <v>2161</v>
      </c>
      <c r="IU165">
        <v>1</v>
      </c>
      <c r="IV165">
        <v>19</v>
      </c>
      <c r="IW165">
        <v>0.5</v>
      </c>
      <c r="IX165">
        <v>0.8</v>
      </c>
      <c r="IY165">
        <v>2.5366200000000001</v>
      </c>
      <c r="IZ165">
        <v>2.47681</v>
      </c>
      <c r="JA165">
        <v>1.4440900000000001</v>
      </c>
      <c r="JB165">
        <v>2.2778299999999998</v>
      </c>
      <c r="JC165">
        <v>1.54419</v>
      </c>
      <c r="JD165">
        <v>2.32422</v>
      </c>
      <c r="JE165">
        <v>41.927500000000002</v>
      </c>
      <c r="JF165">
        <v>15.9095</v>
      </c>
      <c r="JG165">
        <v>18</v>
      </c>
      <c r="JH165">
        <v>510.03800000000001</v>
      </c>
      <c r="JI165">
        <v>442.59500000000003</v>
      </c>
      <c r="JJ165">
        <v>26.112100000000002</v>
      </c>
      <c r="JK165">
        <v>32.576900000000002</v>
      </c>
      <c r="JL165">
        <v>30.000399999999999</v>
      </c>
      <c r="JM165">
        <v>32.397599999999997</v>
      </c>
      <c r="JN165">
        <v>32.340699999999998</v>
      </c>
      <c r="JO165">
        <v>50.9452</v>
      </c>
      <c r="JP165">
        <v>27.274000000000001</v>
      </c>
      <c r="JQ165">
        <v>29.047000000000001</v>
      </c>
      <c r="JR165">
        <v>26.0444</v>
      </c>
      <c r="JS165">
        <v>1200</v>
      </c>
      <c r="JT165">
        <v>23.264500000000002</v>
      </c>
      <c r="JU165">
        <v>99.506200000000007</v>
      </c>
      <c r="JV165">
        <v>99.137299999999996</v>
      </c>
    </row>
    <row r="166" spans="1:282" x14ac:dyDescent="0.25">
      <c r="A166">
        <v>150</v>
      </c>
      <c r="B166">
        <v>1689028687.0999999</v>
      </c>
      <c r="C166">
        <v>29510.099999904629</v>
      </c>
      <c r="D166" t="s">
        <v>1176</v>
      </c>
      <c r="E166" t="s">
        <v>1177</v>
      </c>
      <c r="F166" t="s">
        <v>414</v>
      </c>
      <c r="G166" t="s">
        <v>415</v>
      </c>
      <c r="H166" t="s">
        <v>31</v>
      </c>
      <c r="I166" t="s">
        <v>500</v>
      </c>
      <c r="J166" t="s">
        <v>417</v>
      </c>
      <c r="K166">
        <v>1689028687.0999999</v>
      </c>
      <c r="L166">
        <f t="shared" si="184"/>
        <v>3.587932511334832E-3</v>
      </c>
      <c r="M166">
        <f t="shared" si="185"/>
        <v>3.5879325113348322</v>
      </c>
      <c r="N166">
        <f t="shared" si="186"/>
        <v>55.379033824670358</v>
      </c>
      <c r="O166">
        <f t="shared" si="187"/>
        <v>1427.42</v>
      </c>
      <c r="P166">
        <f t="shared" si="188"/>
        <v>1008.3610534977474</v>
      </c>
      <c r="Q166">
        <f t="shared" si="189"/>
        <v>99.947081205219718</v>
      </c>
      <c r="R166">
        <f t="shared" si="190"/>
        <v>141.48351144570802</v>
      </c>
      <c r="S166">
        <f t="shared" si="191"/>
        <v>0.23690824337329433</v>
      </c>
      <c r="T166">
        <f t="shared" si="192"/>
        <v>2.9183891703967006</v>
      </c>
      <c r="U166">
        <f t="shared" si="193"/>
        <v>0.22671910154883951</v>
      </c>
      <c r="V166">
        <f t="shared" si="194"/>
        <v>0.1425783731371027</v>
      </c>
      <c r="W166">
        <f t="shared" si="195"/>
        <v>289.55631495861502</v>
      </c>
      <c r="X166">
        <f t="shared" si="196"/>
        <v>30.758316015141382</v>
      </c>
      <c r="Y166">
        <f t="shared" si="197"/>
        <v>30.084599999999998</v>
      </c>
      <c r="Z166">
        <f t="shared" si="198"/>
        <v>4.2811966989847763</v>
      </c>
      <c r="AA166">
        <f t="shared" si="199"/>
        <v>65.043316652205846</v>
      </c>
      <c r="AB166">
        <f t="shared" si="200"/>
        <v>2.7683853547167399</v>
      </c>
      <c r="AC166">
        <f t="shared" si="201"/>
        <v>4.2562180054864323</v>
      </c>
      <c r="AD166">
        <f t="shared" si="202"/>
        <v>1.5128113442680364</v>
      </c>
      <c r="AE166">
        <f t="shared" si="203"/>
        <v>-158.22782374986608</v>
      </c>
      <c r="AF166">
        <f t="shared" si="204"/>
        <v>-16.032558469655633</v>
      </c>
      <c r="AG166">
        <f t="shared" si="205"/>
        <v>-1.2219218142876407</v>
      </c>
      <c r="AH166">
        <f t="shared" si="206"/>
        <v>114.07401092480563</v>
      </c>
      <c r="AI166">
        <v>0</v>
      </c>
      <c r="AJ166">
        <v>0</v>
      </c>
      <c r="AK166">
        <f t="shared" si="207"/>
        <v>1</v>
      </c>
      <c r="AL166">
        <f t="shared" si="208"/>
        <v>0</v>
      </c>
      <c r="AM166">
        <f t="shared" si="209"/>
        <v>52016.741065486109</v>
      </c>
      <c r="AN166" t="s">
        <v>418</v>
      </c>
      <c r="AO166">
        <v>10076.700000000001</v>
      </c>
      <c r="AP166">
        <v>185.01599999999999</v>
      </c>
      <c r="AQ166">
        <v>473.06</v>
      </c>
      <c r="AR166">
        <f t="shared" si="210"/>
        <v>0.60889527755464423</v>
      </c>
      <c r="AS166">
        <v>-1.4827006201179751</v>
      </c>
      <c r="AT166" t="s">
        <v>1178</v>
      </c>
      <c r="AU166">
        <v>8100.73</v>
      </c>
      <c r="AV166">
        <v>692.61312000000009</v>
      </c>
      <c r="AW166">
        <v>1149.453135343437</v>
      </c>
      <c r="AX166">
        <f t="shared" si="211"/>
        <v>0.39744118424361941</v>
      </c>
      <c r="AY166">
        <v>0.5</v>
      </c>
      <c r="AZ166">
        <f t="shared" si="212"/>
        <v>1513.1339994604225</v>
      </c>
      <c r="BA166">
        <f t="shared" si="213"/>
        <v>55.379033824670358</v>
      </c>
      <c r="BB166">
        <f t="shared" si="214"/>
        <v>300.69088433241723</v>
      </c>
      <c r="BC166">
        <f t="shared" si="215"/>
        <v>3.7578783151436028E-2</v>
      </c>
      <c r="BD166">
        <f t="shared" si="216"/>
        <v>-0.58844777098401868</v>
      </c>
      <c r="BE166">
        <f t="shared" si="217"/>
        <v>240.32568265143934</v>
      </c>
      <c r="BF166" t="s">
        <v>1179</v>
      </c>
      <c r="BG166">
        <v>553.73</v>
      </c>
      <c r="BH166">
        <f t="shared" si="218"/>
        <v>553.73</v>
      </c>
      <c r="BI166">
        <f t="shared" si="219"/>
        <v>0.51826657131649401</v>
      </c>
      <c r="BJ166">
        <f t="shared" si="220"/>
        <v>0.76686633142099925</v>
      </c>
      <c r="BK166">
        <f t="shared" si="221"/>
        <v>8.3846923930015738</v>
      </c>
      <c r="BL166">
        <f t="shared" si="222"/>
        <v>0.47368563341430825</v>
      </c>
      <c r="BM166">
        <f t="shared" si="223"/>
        <v>-2.3482285183632956</v>
      </c>
      <c r="BN166">
        <f t="shared" si="224"/>
        <v>0.61309392131894624</v>
      </c>
      <c r="BO166">
        <f t="shared" si="225"/>
        <v>0.38690607868105376</v>
      </c>
      <c r="BP166">
        <v>9353</v>
      </c>
      <c r="BQ166">
        <v>290.00000000000011</v>
      </c>
      <c r="BR166">
        <v>989.86</v>
      </c>
      <c r="BS166">
        <v>275</v>
      </c>
      <c r="BT166">
        <v>8100.73</v>
      </c>
      <c r="BU166">
        <v>992.88</v>
      </c>
      <c r="BV166">
        <v>-3.02</v>
      </c>
      <c r="BW166">
        <v>300.00000000000011</v>
      </c>
      <c r="BX166">
        <v>19.2</v>
      </c>
      <c r="BY166">
        <v>1149.453135343437</v>
      </c>
      <c r="BZ166">
        <v>4.0929326729538964</v>
      </c>
      <c r="CA166">
        <v>-126.83624778303221</v>
      </c>
      <c r="CB166">
        <v>3.0464350476199562</v>
      </c>
      <c r="CC166">
        <v>0.98410370287035864</v>
      </c>
      <c r="CD166">
        <v>-4.1732751946607386E-3</v>
      </c>
      <c r="CE166">
        <v>289.99999999999989</v>
      </c>
      <c r="CF166">
        <v>985.66</v>
      </c>
      <c r="CG166">
        <v>655</v>
      </c>
      <c r="CH166">
        <v>8093.13</v>
      </c>
      <c r="CI166">
        <v>992.73</v>
      </c>
      <c r="CJ166">
        <v>-7.07</v>
      </c>
      <c r="CX166">
        <f t="shared" si="226"/>
        <v>1799.94</v>
      </c>
      <c r="CY166">
        <f t="shared" si="227"/>
        <v>1513.1339994604225</v>
      </c>
      <c r="CZ166">
        <f t="shared" si="228"/>
        <v>0.84065802163428915</v>
      </c>
      <c r="DA166">
        <f t="shared" si="229"/>
        <v>0.16086998175417791</v>
      </c>
      <c r="DB166">
        <v>6</v>
      </c>
      <c r="DC166">
        <v>0.5</v>
      </c>
      <c r="DD166" t="s">
        <v>421</v>
      </c>
      <c r="DE166">
        <v>2</v>
      </c>
      <c r="DF166">
        <v>1689028687.0999999</v>
      </c>
      <c r="DG166">
        <v>1427.42</v>
      </c>
      <c r="DH166">
        <v>1499.99</v>
      </c>
      <c r="DI166">
        <v>27.930099999999999</v>
      </c>
      <c r="DJ166">
        <v>23.746600000000001</v>
      </c>
      <c r="DK166">
        <v>1429.84</v>
      </c>
      <c r="DL166">
        <v>27.882100000000001</v>
      </c>
      <c r="DM166">
        <v>500.21100000000001</v>
      </c>
      <c r="DN166">
        <v>99.018600000000006</v>
      </c>
      <c r="DO166">
        <v>9.97474E-2</v>
      </c>
      <c r="DP166">
        <v>29.982700000000001</v>
      </c>
      <c r="DQ166">
        <v>30.084599999999998</v>
      </c>
      <c r="DR166">
        <v>999.9</v>
      </c>
      <c r="DS166">
        <v>0</v>
      </c>
      <c r="DT166">
        <v>0</v>
      </c>
      <c r="DU166">
        <v>10035</v>
      </c>
      <c r="DV166">
        <v>0</v>
      </c>
      <c r="DW166">
        <v>807.51199999999994</v>
      </c>
      <c r="DX166">
        <v>-72.616299999999995</v>
      </c>
      <c r="DY166">
        <v>1468.37</v>
      </c>
      <c r="DZ166">
        <v>1536.47</v>
      </c>
      <c r="EA166">
        <v>4.1741999999999999</v>
      </c>
      <c r="EB166">
        <v>1499.99</v>
      </c>
      <c r="EC166">
        <v>23.746600000000001</v>
      </c>
      <c r="ED166">
        <v>2.7646799999999998</v>
      </c>
      <c r="EE166">
        <v>2.3513600000000001</v>
      </c>
      <c r="EF166">
        <v>22.674700000000001</v>
      </c>
      <c r="EG166">
        <v>20.032599999999999</v>
      </c>
      <c r="EH166">
        <v>1799.94</v>
      </c>
      <c r="EI166">
        <v>0.97800500000000001</v>
      </c>
      <c r="EJ166">
        <v>2.1995500000000001E-2</v>
      </c>
      <c r="EK166">
        <v>0</v>
      </c>
      <c r="EL166">
        <v>692.55899999999997</v>
      </c>
      <c r="EM166">
        <v>5.00082</v>
      </c>
      <c r="EN166">
        <v>14825.9</v>
      </c>
      <c r="EO166">
        <v>14129.3</v>
      </c>
      <c r="EP166">
        <v>47.936999999999998</v>
      </c>
      <c r="EQ166">
        <v>49.061999999999998</v>
      </c>
      <c r="ER166">
        <v>49</v>
      </c>
      <c r="ES166">
        <v>48.25</v>
      </c>
      <c r="ET166">
        <v>49.311999999999998</v>
      </c>
      <c r="EU166">
        <v>1755.46</v>
      </c>
      <c r="EV166">
        <v>39.479999999999997</v>
      </c>
      <c r="EW166">
        <v>0</v>
      </c>
      <c r="EX166">
        <v>105.19999980926509</v>
      </c>
      <c r="EY166">
        <v>0</v>
      </c>
      <c r="EZ166">
        <v>692.61312000000009</v>
      </c>
      <c r="FA166">
        <v>-2.818923071154253</v>
      </c>
      <c r="FB166">
        <v>830.62307870207508</v>
      </c>
      <c r="FC166">
        <v>14702.028</v>
      </c>
      <c r="FD166">
        <v>15</v>
      </c>
      <c r="FE166">
        <v>1689028718.5999999</v>
      </c>
      <c r="FF166" t="s">
        <v>1180</v>
      </c>
      <c r="FG166">
        <v>1689028718.5999999</v>
      </c>
      <c r="FH166">
        <v>1689028710.0999999</v>
      </c>
      <c r="FI166">
        <v>170</v>
      </c>
      <c r="FJ166">
        <v>9.1999999999999998E-2</v>
      </c>
      <c r="FK166">
        <v>8.9999999999999993E-3</v>
      </c>
      <c r="FL166">
        <v>-2.42</v>
      </c>
      <c r="FM166">
        <v>4.8000000000000001E-2</v>
      </c>
      <c r="FN166">
        <v>1500</v>
      </c>
      <c r="FO166">
        <v>24</v>
      </c>
      <c r="FP166">
        <v>7.0000000000000007E-2</v>
      </c>
      <c r="FQ166">
        <v>0.02</v>
      </c>
      <c r="FR166">
        <v>55.439077066472613</v>
      </c>
      <c r="FS166">
        <v>-0.40111375099893359</v>
      </c>
      <c r="FT166">
        <v>7.7333124182166646E-2</v>
      </c>
      <c r="FU166">
        <v>1</v>
      </c>
      <c r="FV166">
        <v>0.23885487506097791</v>
      </c>
      <c r="FW166">
        <v>-2.4397109949547219E-2</v>
      </c>
      <c r="FX166">
        <v>2.038309992621981E-3</v>
      </c>
      <c r="FY166">
        <v>1</v>
      </c>
      <c r="FZ166">
        <v>2</v>
      </c>
      <c r="GA166">
        <v>2</v>
      </c>
      <c r="GB166" t="s">
        <v>423</v>
      </c>
      <c r="GC166">
        <v>2.94516</v>
      </c>
      <c r="GD166">
        <v>2.70871</v>
      </c>
      <c r="GE166">
        <v>0.20688500000000001</v>
      </c>
      <c r="GF166">
        <v>0.21330099999999999</v>
      </c>
      <c r="GG166">
        <v>0.12559300000000001</v>
      </c>
      <c r="GH166">
        <v>0.112279</v>
      </c>
      <c r="GI166">
        <v>26096.7</v>
      </c>
      <c r="GJ166">
        <v>25262.400000000001</v>
      </c>
      <c r="GK166">
        <v>33906.9</v>
      </c>
      <c r="GL166">
        <v>32158.2</v>
      </c>
      <c r="GM166">
        <v>42796.1</v>
      </c>
      <c r="GN166">
        <v>40625.1</v>
      </c>
      <c r="GO166">
        <v>49098.3</v>
      </c>
      <c r="GP166">
        <v>45527.199999999997</v>
      </c>
      <c r="GQ166">
        <v>1.98302</v>
      </c>
      <c r="GR166">
        <v>1.8219700000000001</v>
      </c>
      <c r="GS166">
        <v>4.0985599999999997E-2</v>
      </c>
      <c r="GT166">
        <v>0</v>
      </c>
      <c r="GU166">
        <v>29.417300000000001</v>
      </c>
      <c r="GV166">
        <v>999.9</v>
      </c>
      <c r="GW166">
        <v>37.4</v>
      </c>
      <c r="GX166">
        <v>39.6</v>
      </c>
      <c r="GY166">
        <v>27.407399999999999</v>
      </c>
      <c r="GZ166">
        <v>59.736800000000002</v>
      </c>
      <c r="HA166">
        <v>24.286899999999999</v>
      </c>
      <c r="HB166">
        <v>1</v>
      </c>
      <c r="HC166">
        <v>0.41053400000000001</v>
      </c>
      <c r="HD166">
        <v>2.3604699999999998</v>
      </c>
      <c r="HE166">
        <v>20.255800000000001</v>
      </c>
      <c r="HF166">
        <v>5.2683499999999999</v>
      </c>
      <c r="HG166">
        <v>12.039899999999999</v>
      </c>
      <c r="HH166">
        <v>4.9661999999999997</v>
      </c>
      <c r="HI166">
        <v>3.3010000000000002</v>
      </c>
      <c r="HJ166">
        <v>9999</v>
      </c>
      <c r="HK166">
        <v>9999</v>
      </c>
      <c r="HL166">
        <v>9999</v>
      </c>
      <c r="HM166">
        <v>999.9</v>
      </c>
      <c r="HN166">
        <v>1.8681300000000001</v>
      </c>
      <c r="HO166">
        <v>1.8717900000000001</v>
      </c>
      <c r="HP166">
        <v>1.8716600000000001</v>
      </c>
      <c r="HQ166">
        <v>1.8711199999999999</v>
      </c>
      <c r="HR166">
        <v>1.86446</v>
      </c>
      <c r="HS166">
        <v>1.86554</v>
      </c>
      <c r="HT166">
        <v>1.86761</v>
      </c>
      <c r="HU166">
        <v>1.8721000000000001</v>
      </c>
      <c r="HV166">
        <v>0</v>
      </c>
      <c r="HW166">
        <v>0</v>
      </c>
      <c r="HX166">
        <v>0</v>
      </c>
      <c r="HY166">
        <v>0</v>
      </c>
      <c r="HZ166" t="s">
        <v>424</v>
      </c>
      <c r="IA166" t="s">
        <v>425</v>
      </c>
      <c r="IB166" t="s">
        <v>426</v>
      </c>
      <c r="IC166" t="s">
        <v>426</v>
      </c>
      <c r="ID166" t="s">
        <v>426</v>
      </c>
      <c r="IE166" t="s">
        <v>426</v>
      </c>
      <c r="IF166">
        <v>0</v>
      </c>
      <c r="IG166">
        <v>100</v>
      </c>
      <c r="IH166">
        <v>100</v>
      </c>
      <c r="II166">
        <v>-2.42</v>
      </c>
      <c r="IJ166">
        <v>4.8000000000000001E-2</v>
      </c>
      <c r="IK166">
        <v>-1.261148308149705</v>
      </c>
      <c r="IL166">
        <v>-1.171017271736434E-3</v>
      </c>
      <c r="IM166">
        <v>2.801297040296544E-7</v>
      </c>
      <c r="IN166">
        <v>-3.6238253961199429E-11</v>
      </c>
      <c r="IO166">
        <v>3.8710000000001799E-2</v>
      </c>
      <c r="IP166">
        <v>0</v>
      </c>
      <c r="IQ166">
        <v>0</v>
      </c>
      <c r="IR166">
        <v>0</v>
      </c>
      <c r="IS166">
        <v>0</v>
      </c>
      <c r="IT166">
        <v>2161</v>
      </c>
      <c r="IU166">
        <v>1</v>
      </c>
      <c r="IV166">
        <v>19</v>
      </c>
      <c r="IW166">
        <v>2.2999999999999998</v>
      </c>
      <c r="IX166">
        <v>2.6</v>
      </c>
      <c r="IY166">
        <v>3.0456500000000002</v>
      </c>
      <c r="IZ166">
        <v>2.4584999999999999</v>
      </c>
      <c r="JA166">
        <v>1.4440900000000001</v>
      </c>
      <c r="JB166">
        <v>2.2778299999999998</v>
      </c>
      <c r="JC166">
        <v>1.54419</v>
      </c>
      <c r="JD166">
        <v>2.4389599999999998</v>
      </c>
      <c r="JE166">
        <v>41.7699</v>
      </c>
      <c r="JF166">
        <v>15.9095</v>
      </c>
      <c r="JG166">
        <v>18</v>
      </c>
      <c r="JH166">
        <v>509.84899999999999</v>
      </c>
      <c r="JI166">
        <v>444.45499999999998</v>
      </c>
      <c r="JJ166">
        <v>26.150700000000001</v>
      </c>
      <c r="JK166">
        <v>32.524299999999997</v>
      </c>
      <c r="JL166">
        <v>30</v>
      </c>
      <c r="JM166">
        <v>32.3444</v>
      </c>
      <c r="JN166">
        <v>32.291400000000003</v>
      </c>
      <c r="JO166">
        <v>61.128300000000003</v>
      </c>
      <c r="JP166">
        <v>27.831399999999999</v>
      </c>
      <c r="JQ166">
        <v>32.154899999999998</v>
      </c>
      <c r="JR166">
        <v>26.059799999999999</v>
      </c>
      <c r="JS166">
        <v>1500</v>
      </c>
      <c r="JT166">
        <v>23.628399999999999</v>
      </c>
      <c r="JU166">
        <v>99.515699999999995</v>
      </c>
      <c r="JV166">
        <v>99.1447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2023-07-10T22:36:55Z</dcterms:created>
  <dcterms:modified xsi:type="dcterms:W3CDTF">2023-07-10T23:55:00Z</dcterms:modified>
</cp:coreProperties>
</file>