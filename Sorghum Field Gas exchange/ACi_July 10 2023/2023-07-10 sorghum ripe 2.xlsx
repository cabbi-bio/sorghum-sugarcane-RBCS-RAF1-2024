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sorghum aci field july 10 2023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DA166" i="1" l="1"/>
  <c r="CZ166" i="1"/>
  <c r="CX166" i="1"/>
  <c r="CY166" i="1" s="1"/>
  <c r="AZ166" i="1" s="1"/>
  <c r="BB166" i="1" s="1"/>
  <c r="BN166" i="1"/>
  <c r="BO166" i="1" s="1"/>
  <c r="BM166" i="1"/>
  <c r="BL166" i="1"/>
  <c r="BK166" i="1"/>
  <c r="BJ166" i="1"/>
  <c r="BH166" i="1"/>
  <c r="BI166" i="1" s="1"/>
  <c r="BD166" i="1"/>
  <c r="AX166" i="1"/>
  <c r="AR166" i="1"/>
  <c r="BE166" i="1" s="1"/>
  <c r="AM166" i="1"/>
  <c r="AK166" i="1"/>
  <c r="AC166" i="1"/>
  <c r="AB166" i="1"/>
  <c r="AA166" i="1"/>
  <c r="W166" i="1"/>
  <c r="T166" i="1"/>
  <c r="DA165" i="1"/>
  <c r="W165" i="1" s="1"/>
  <c r="CZ165" i="1"/>
  <c r="CX165" i="1"/>
  <c r="BM165" i="1"/>
  <c r="BL165" i="1"/>
  <c r="BK165" i="1"/>
  <c r="BJ165" i="1"/>
  <c r="BN165" i="1" s="1"/>
  <c r="BO165" i="1" s="1"/>
  <c r="BH165" i="1"/>
  <c r="BI165" i="1" s="1"/>
  <c r="BD165" i="1"/>
  <c r="AX165" i="1"/>
  <c r="AR165" i="1"/>
  <c r="BE165" i="1" s="1"/>
  <c r="AM165" i="1"/>
  <c r="AK165" i="1" s="1"/>
  <c r="AC165" i="1"/>
  <c r="AB165" i="1"/>
  <c r="AA165" i="1"/>
  <c r="T165" i="1"/>
  <c r="DA164" i="1"/>
  <c r="CZ164" i="1"/>
  <c r="CX164" i="1"/>
  <c r="CY164" i="1" s="1"/>
  <c r="AZ164" i="1" s="1"/>
  <c r="BM164" i="1"/>
  <c r="BL164" i="1"/>
  <c r="BI164" i="1"/>
  <c r="BH164" i="1"/>
  <c r="BD164" i="1"/>
  <c r="AX164" i="1"/>
  <c r="AR164" i="1"/>
  <c r="BE164" i="1" s="1"/>
  <c r="AM164" i="1"/>
  <c r="AK164" i="1" s="1"/>
  <c r="AC164" i="1"/>
  <c r="AB164" i="1"/>
  <c r="AA164" i="1" s="1"/>
  <c r="W164" i="1"/>
  <c r="T164" i="1"/>
  <c r="O164" i="1"/>
  <c r="N164" i="1"/>
  <c r="BA164" i="1" s="1"/>
  <c r="DA163" i="1"/>
  <c r="CZ163" i="1"/>
  <c r="CX163" i="1"/>
  <c r="CY163" i="1" s="1"/>
  <c r="AZ163" i="1" s="1"/>
  <c r="BB163" i="1" s="1"/>
  <c r="BM163" i="1"/>
  <c r="BL163" i="1"/>
  <c r="BH163" i="1"/>
  <c r="BK163" i="1" s="1"/>
  <c r="BE163" i="1"/>
  <c r="BD163" i="1"/>
  <c r="AX163" i="1"/>
  <c r="AR163" i="1"/>
  <c r="AM163" i="1"/>
  <c r="AK163" i="1" s="1"/>
  <c r="AL163" i="1" s="1"/>
  <c r="AC163" i="1"/>
  <c r="AB163" i="1"/>
  <c r="AA163" i="1" s="1"/>
  <c r="T163" i="1"/>
  <c r="DA162" i="1"/>
  <c r="CZ162" i="1"/>
  <c r="CX162" i="1"/>
  <c r="CY162" i="1" s="1"/>
  <c r="AZ162" i="1" s="1"/>
  <c r="BM162" i="1"/>
  <c r="BL162" i="1"/>
  <c r="BH162" i="1"/>
  <c r="BK162" i="1" s="1"/>
  <c r="BD162" i="1"/>
  <c r="BB162" i="1"/>
  <c r="AX162" i="1"/>
  <c r="AR162" i="1"/>
  <c r="BE162" i="1" s="1"/>
  <c r="AM162" i="1"/>
  <c r="AK162" i="1"/>
  <c r="AC162" i="1"/>
  <c r="AB162" i="1"/>
  <c r="AA162" i="1"/>
  <c r="T162" i="1"/>
  <c r="R162" i="1"/>
  <c r="DA161" i="1"/>
  <c r="CZ161" i="1"/>
  <c r="CX161" i="1"/>
  <c r="BM161" i="1"/>
  <c r="BL161" i="1"/>
  <c r="BK161" i="1"/>
  <c r="BJ161" i="1"/>
  <c r="BN161" i="1" s="1"/>
  <c r="BO161" i="1" s="1"/>
  <c r="BH161" i="1"/>
  <c r="BI161" i="1" s="1"/>
  <c r="BD161" i="1"/>
  <c r="AX161" i="1"/>
  <c r="AR161" i="1"/>
  <c r="BE161" i="1" s="1"/>
  <c r="AM161" i="1"/>
  <c r="AK161" i="1" s="1"/>
  <c r="AC161" i="1"/>
  <c r="AB161" i="1"/>
  <c r="AA161" i="1" s="1"/>
  <c r="T161" i="1"/>
  <c r="DA160" i="1"/>
  <c r="CZ160" i="1"/>
  <c r="CY160" i="1"/>
  <c r="AZ160" i="1" s="1"/>
  <c r="CX160" i="1"/>
  <c r="BM160" i="1"/>
  <c r="BL160" i="1"/>
  <c r="BH160" i="1"/>
  <c r="BD160" i="1"/>
  <c r="AX160" i="1"/>
  <c r="BB160" i="1" s="1"/>
  <c r="AR160" i="1"/>
  <c r="BE160" i="1" s="1"/>
  <c r="AM160" i="1"/>
  <c r="AK160" i="1" s="1"/>
  <c r="AC160" i="1"/>
  <c r="AB160" i="1"/>
  <c r="AA160" i="1" s="1"/>
  <c r="W160" i="1"/>
  <c r="T160" i="1"/>
  <c r="O160" i="1"/>
  <c r="N160" i="1"/>
  <c r="BA160" i="1" s="1"/>
  <c r="BC160" i="1" s="1"/>
  <c r="DA159" i="1"/>
  <c r="CZ159" i="1"/>
  <c r="CX159" i="1"/>
  <c r="CY159" i="1" s="1"/>
  <c r="AZ159" i="1" s="1"/>
  <c r="BB159" i="1" s="1"/>
  <c r="BM159" i="1"/>
  <c r="BL159" i="1"/>
  <c r="BH159" i="1"/>
  <c r="BK159" i="1" s="1"/>
  <c r="BE159" i="1"/>
  <c r="BD159" i="1"/>
  <c r="AX159" i="1"/>
  <c r="AR159" i="1"/>
  <c r="AM159" i="1"/>
  <c r="AK159" i="1" s="1"/>
  <c r="AC159" i="1"/>
  <c r="AB159" i="1"/>
  <c r="AA159" i="1" s="1"/>
  <c r="T159" i="1"/>
  <c r="M159" i="1"/>
  <c r="L159" i="1" s="1"/>
  <c r="DA158" i="1"/>
  <c r="CZ158" i="1"/>
  <c r="CX158" i="1"/>
  <c r="CY158" i="1" s="1"/>
  <c r="AZ158" i="1" s="1"/>
  <c r="BM158" i="1"/>
  <c r="BL158" i="1"/>
  <c r="BH158" i="1"/>
  <c r="BK158" i="1" s="1"/>
  <c r="BD158" i="1"/>
  <c r="BB158" i="1"/>
  <c r="AX158" i="1"/>
  <c r="AR158" i="1"/>
  <c r="BE158" i="1" s="1"/>
  <c r="AM158" i="1"/>
  <c r="AK158" i="1"/>
  <c r="AC158" i="1"/>
  <c r="AB158" i="1"/>
  <c r="AA158" i="1"/>
  <c r="T158" i="1"/>
  <c r="R158" i="1"/>
  <c r="DA157" i="1"/>
  <c r="W157" i="1" s="1"/>
  <c r="CZ157" i="1"/>
  <c r="CX157" i="1"/>
  <c r="BM157" i="1"/>
  <c r="BL157" i="1"/>
  <c r="BK157" i="1"/>
  <c r="BJ157" i="1"/>
  <c r="BN157" i="1" s="1"/>
  <c r="BO157" i="1" s="1"/>
  <c r="BH157" i="1"/>
  <c r="BI157" i="1" s="1"/>
  <c r="BD157" i="1"/>
  <c r="AX157" i="1"/>
  <c r="AR157" i="1"/>
  <c r="BE157" i="1" s="1"/>
  <c r="AM157" i="1"/>
  <c r="AK157" i="1" s="1"/>
  <c r="AC157" i="1"/>
  <c r="AB157" i="1"/>
  <c r="AA157" i="1" s="1"/>
  <c r="T157" i="1"/>
  <c r="DA156" i="1"/>
  <c r="CZ156" i="1"/>
  <c r="CY156" i="1"/>
  <c r="AZ156" i="1" s="1"/>
  <c r="CX156" i="1"/>
  <c r="W156" i="1" s="1"/>
  <c r="BM156" i="1"/>
  <c r="BL156" i="1"/>
  <c r="BH156" i="1"/>
  <c r="BD156" i="1"/>
  <c r="AX156" i="1"/>
  <c r="AR156" i="1"/>
  <c r="BE156" i="1" s="1"/>
  <c r="AM156" i="1"/>
  <c r="AK156" i="1" s="1"/>
  <c r="AC156" i="1"/>
  <c r="AB156" i="1"/>
  <c r="AA156" i="1" s="1"/>
  <c r="T156" i="1"/>
  <c r="O156" i="1"/>
  <c r="DA155" i="1"/>
  <c r="CZ155" i="1"/>
  <c r="CX155" i="1"/>
  <c r="CY155" i="1" s="1"/>
  <c r="AZ155" i="1" s="1"/>
  <c r="BB155" i="1" s="1"/>
  <c r="BM155" i="1"/>
  <c r="BL155" i="1"/>
  <c r="BH155" i="1"/>
  <c r="BK155" i="1" s="1"/>
  <c r="BE155" i="1"/>
  <c r="BD155" i="1"/>
  <c r="AX155" i="1"/>
  <c r="AR155" i="1"/>
  <c r="AM155" i="1"/>
  <c r="AK155" i="1" s="1"/>
  <c r="AL155" i="1"/>
  <c r="AC155" i="1"/>
  <c r="AB155" i="1"/>
  <c r="T155" i="1"/>
  <c r="M155" i="1"/>
  <c r="L155" i="1" s="1"/>
  <c r="DA154" i="1"/>
  <c r="CZ154" i="1"/>
  <c r="CX154" i="1"/>
  <c r="CY154" i="1" s="1"/>
  <c r="AZ154" i="1" s="1"/>
  <c r="BB154" i="1" s="1"/>
  <c r="BM154" i="1"/>
  <c r="BL154" i="1"/>
  <c r="BH154" i="1"/>
  <c r="BK154" i="1" s="1"/>
  <c r="BD154" i="1"/>
  <c r="AX154" i="1"/>
  <c r="AR154" i="1"/>
  <c r="BE154" i="1" s="1"/>
  <c r="AM154" i="1"/>
  <c r="AK154" i="1"/>
  <c r="AC154" i="1"/>
  <c r="AB154" i="1"/>
  <c r="AA154" i="1"/>
  <c r="W154" i="1"/>
  <c r="T154" i="1"/>
  <c r="R154" i="1"/>
  <c r="DA153" i="1"/>
  <c r="W153" i="1" s="1"/>
  <c r="CZ153" i="1"/>
  <c r="CX153" i="1"/>
  <c r="CY153" i="1" s="1"/>
  <c r="BM153" i="1"/>
  <c r="BL153" i="1"/>
  <c r="BK153" i="1"/>
  <c r="BJ153" i="1"/>
  <c r="BN153" i="1" s="1"/>
  <c r="BO153" i="1" s="1"/>
  <c r="BH153" i="1"/>
  <c r="BI153" i="1" s="1"/>
  <c r="BD153" i="1"/>
  <c r="AZ153" i="1"/>
  <c r="BB153" i="1" s="1"/>
  <c r="AX153" i="1"/>
  <c r="AR153" i="1"/>
  <c r="BE153" i="1" s="1"/>
  <c r="AM153" i="1"/>
  <c r="AK153" i="1" s="1"/>
  <c r="AC153" i="1"/>
  <c r="AA153" i="1" s="1"/>
  <c r="AB153" i="1"/>
  <c r="T153" i="1"/>
  <c r="DA152" i="1"/>
  <c r="CZ152" i="1"/>
  <c r="CX152" i="1"/>
  <c r="W152" i="1" s="1"/>
  <c r="BM152" i="1"/>
  <c r="BL152" i="1"/>
  <c r="BI152" i="1"/>
  <c r="BH152" i="1"/>
  <c r="BD152" i="1"/>
  <c r="AX152" i="1"/>
  <c r="AR152" i="1"/>
  <c r="BE152" i="1" s="1"/>
  <c r="AM152" i="1"/>
  <c r="AK152" i="1" s="1"/>
  <c r="AC152" i="1"/>
  <c r="AB152" i="1"/>
  <c r="AA152" i="1" s="1"/>
  <c r="T152" i="1"/>
  <c r="O152" i="1"/>
  <c r="N152" i="1"/>
  <c r="BA152" i="1" s="1"/>
  <c r="DA151" i="1"/>
  <c r="CZ151" i="1"/>
  <c r="CX151" i="1"/>
  <c r="CY151" i="1" s="1"/>
  <c r="AZ151" i="1" s="1"/>
  <c r="BB151" i="1" s="1"/>
  <c r="BM151" i="1"/>
  <c r="BL151" i="1"/>
  <c r="BH151" i="1"/>
  <c r="BK151" i="1" s="1"/>
  <c r="BE151" i="1"/>
  <c r="BD151" i="1"/>
  <c r="AX151" i="1"/>
  <c r="AR151" i="1"/>
  <c r="AM151" i="1"/>
  <c r="AK151" i="1" s="1"/>
  <c r="AL151" i="1" s="1"/>
  <c r="AC151" i="1"/>
  <c r="AB151" i="1"/>
  <c r="AA151" i="1" s="1"/>
  <c r="W151" i="1"/>
  <c r="T151" i="1"/>
  <c r="DA150" i="1"/>
  <c r="W150" i="1" s="1"/>
  <c r="CZ150" i="1"/>
  <c r="CX150" i="1"/>
  <c r="CY150" i="1" s="1"/>
  <c r="AZ150" i="1" s="1"/>
  <c r="BB150" i="1" s="1"/>
  <c r="BM150" i="1"/>
  <c r="BL150" i="1"/>
  <c r="BK150" i="1"/>
  <c r="BJ150" i="1"/>
  <c r="BN150" i="1" s="1"/>
  <c r="BO150" i="1" s="1"/>
  <c r="BH150" i="1"/>
  <c r="BI150" i="1" s="1"/>
  <c r="BD150" i="1"/>
  <c r="AX150" i="1"/>
  <c r="AR150" i="1"/>
  <c r="BE150" i="1" s="1"/>
  <c r="AM150" i="1"/>
  <c r="AK150" i="1"/>
  <c r="AC150" i="1"/>
  <c r="AB150" i="1"/>
  <c r="AA150" i="1"/>
  <c r="T150" i="1"/>
  <c r="R150" i="1"/>
  <c r="DA149" i="1"/>
  <c r="W149" i="1" s="1"/>
  <c r="CZ149" i="1"/>
  <c r="CX149" i="1"/>
  <c r="CY149" i="1" s="1"/>
  <c r="BM149" i="1"/>
  <c r="BL149" i="1"/>
  <c r="BK149" i="1"/>
  <c r="BJ149" i="1"/>
  <c r="BN149" i="1" s="1"/>
  <c r="BO149" i="1" s="1"/>
  <c r="BH149" i="1"/>
  <c r="BI149" i="1" s="1"/>
  <c r="BD149" i="1"/>
  <c r="AZ149" i="1"/>
  <c r="AX149" i="1"/>
  <c r="BB149" i="1" s="1"/>
  <c r="AR149" i="1"/>
  <c r="BE149" i="1" s="1"/>
  <c r="AM149" i="1"/>
  <c r="AK149" i="1" s="1"/>
  <c r="AC149" i="1"/>
  <c r="AB149" i="1"/>
  <c r="AA149" i="1" s="1"/>
  <c r="T149" i="1"/>
  <c r="DA148" i="1"/>
  <c r="CZ148" i="1"/>
  <c r="CX148" i="1"/>
  <c r="CY148" i="1" s="1"/>
  <c r="AZ148" i="1" s="1"/>
  <c r="BM148" i="1"/>
  <c r="BL148" i="1"/>
  <c r="BI148" i="1"/>
  <c r="BH148" i="1"/>
  <c r="BD148" i="1"/>
  <c r="AX148" i="1"/>
  <c r="AR148" i="1"/>
  <c r="BE148" i="1" s="1"/>
  <c r="AM148" i="1"/>
  <c r="AK148" i="1" s="1"/>
  <c r="AC148" i="1"/>
  <c r="AB148" i="1"/>
  <c r="AA148" i="1"/>
  <c r="W148" i="1"/>
  <c r="T148" i="1"/>
  <c r="O148" i="1"/>
  <c r="N148" i="1"/>
  <c r="BA148" i="1" s="1"/>
  <c r="DA147" i="1"/>
  <c r="CZ147" i="1"/>
  <c r="CX147" i="1"/>
  <c r="BM147" i="1"/>
  <c r="BL147" i="1"/>
  <c r="BK147" i="1"/>
  <c r="BJ147" i="1"/>
  <c r="BN147" i="1" s="1"/>
  <c r="BO147" i="1" s="1"/>
  <c r="BH147" i="1"/>
  <c r="BI147" i="1" s="1"/>
  <c r="BE147" i="1"/>
  <c r="BD147" i="1"/>
  <c r="AX147" i="1"/>
  <c r="AR147" i="1"/>
  <c r="AM147" i="1"/>
  <c r="AK147" i="1"/>
  <c r="M147" i="1" s="1"/>
  <c r="L147" i="1" s="1"/>
  <c r="AE147" i="1" s="1"/>
  <c r="AC147" i="1"/>
  <c r="AB147" i="1"/>
  <c r="AA147" i="1"/>
  <c r="W147" i="1"/>
  <c r="T147" i="1"/>
  <c r="O147" i="1"/>
  <c r="DA146" i="1"/>
  <c r="CZ146" i="1"/>
  <c r="CX146" i="1"/>
  <c r="BM146" i="1"/>
  <c r="BL146" i="1"/>
  <c r="BH146" i="1"/>
  <c r="BD146" i="1"/>
  <c r="AX146" i="1"/>
  <c r="AR146" i="1"/>
  <c r="BE146" i="1" s="1"/>
  <c r="AM146" i="1"/>
  <c r="AK146" i="1" s="1"/>
  <c r="AC146" i="1"/>
  <c r="AB146" i="1"/>
  <c r="T146" i="1"/>
  <c r="N146" i="1"/>
  <c r="BA146" i="1" s="1"/>
  <c r="M146" i="1"/>
  <c r="L146" i="1" s="1"/>
  <c r="AE146" i="1" s="1"/>
  <c r="DA145" i="1"/>
  <c r="CZ145" i="1"/>
  <c r="CY145" i="1"/>
  <c r="AZ145" i="1" s="1"/>
  <c r="CX145" i="1"/>
  <c r="BM145" i="1"/>
  <c r="BL145" i="1"/>
  <c r="BI145" i="1"/>
  <c r="BH145" i="1"/>
  <c r="BK145" i="1" s="1"/>
  <c r="BD145" i="1"/>
  <c r="AX145" i="1"/>
  <c r="AR145" i="1"/>
  <c r="BE145" i="1" s="1"/>
  <c r="AM145" i="1"/>
  <c r="AL145" i="1"/>
  <c r="AK145" i="1"/>
  <c r="AC145" i="1"/>
  <c r="AB145" i="1"/>
  <c r="AA145" i="1" s="1"/>
  <c r="W145" i="1"/>
  <c r="T145" i="1"/>
  <c r="DA144" i="1"/>
  <c r="W144" i="1" s="1"/>
  <c r="CZ144" i="1"/>
  <c r="CX144" i="1"/>
  <c r="CY144" i="1" s="1"/>
  <c r="AZ144" i="1" s="1"/>
  <c r="BB144" i="1" s="1"/>
  <c r="BM144" i="1"/>
  <c r="BL144" i="1"/>
  <c r="BK144" i="1"/>
  <c r="BH144" i="1"/>
  <c r="BI144" i="1" s="1"/>
  <c r="BE144" i="1"/>
  <c r="BD144" i="1"/>
  <c r="AX144" i="1"/>
  <c r="AR144" i="1"/>
  <c r="AM144" i="1"/>
  <c r="AK144" i="1" s="1"/>
  <c r="AC144" i="1"/>
  <c r="AA144" i="1" s="1"/>
  <c r="AB144" i="1"/>
  <c r="T144" i="1"/>
  <c r="R144" i="1"/>
  <c r="DA143" i="1"/>
  <c r="CZ143" i="1"/>
  <c r="CY143" i="1" s="1"/>
  <c r="AZ143" i="1" s="1"/>
  <c r="CX143" i="1"/>
  <c r="BM143" i="1"/>
  <c r="BL143" i="1"/>
  <c r="BK143" i="1"/>
  <c r="BJ143" i="1"/>
  <c r="BN143" i="1" s="1"/>
  <c r="BO143" i="1" s="1"/>
  <c r="BI143" i="1"/>
  <c r="BH143" i="1"/>
  <c r="BD143" i="1"/>
  <c r="AX143" i="1"/>
  <c r="AR143" i="1"/>
  <c r="BE143" i="1" s="1"/>
  <c r="AM143" i="1"/>
  <c r="AK143" i="1"/>
  <c r="M143" i="1" s="1"/>
  <c r="L143" i="1" s="1"/>
  <c r="AC143" i="1"/>
  <c r="AB143" i="1"/>
  <c r="AA143" i="1"/>
  <c r="W143" i="1"/>
  <c r="T143" i="1"/>
  <c r="O143" i="1"/>
  <c r="DA142" i="1"/>
  <c r="CZ142" i="1"/>
  <c r="CX142" i="1"/>
  <c r="BM142" i="1"/>
  <c r="BL142" i="1"/>
  <c r="BH142" i="1"/>
  <c r="BE142" i="1"/>
  <c r="BD142" i="1"/>
  <c r="AX142" i="1"/>
  <c r="AR142" i="1"/>
  <c r="AM142" i="1"/>
  <c r="AK142" i="1" s="1"/>
  <c r="AC142" i="1"/>
  <c r="AB142" i="1"/>
  <c r="T142" i="1"/>
  <c r="M142" i="1"/>
  <c r="L142" i="1" s="1"/>
  <c r="AE142" i="1" s="1"/>
  <c r="DA141" i="1"/>
  <c r="CZ141" i="1"/>
  <c r="CY141" i="1"/>
  <c r="AZ141" i="1" s="1"/>
  <c r="CX141" i="1"/>
  <c r="BM141" i="1"/>
  <c r="BL141" i="1"/>
  <c r="BH141" i="1"/>
  <c r="BK141" i="1" s="1"/>
  <c r="BD141" i="1"/>
  <c r="AX141" i="1"/>
  <c r="BB141" i="1" s="1"/>
  <c r="AR141" i="1"/>
  <c r="BE141" i="1" s="1"/>
  <c r="AM141" i="1"/>
  <c r="AL141" i="1"/>
  <c r="AK141" i="1"/>
  <c r="AC141" i="1"/>
  <c r="AB141" i="1"/>
  <c r="AA141" i="1"/>
  <c r="W141" i="1"/>
  <c r="T141" i="1"/>
  <c r="DA140" i="1"/>
  <c r="W140" i="1" s="1"/>
  <c r="CZ140" i="1"/>
  <c r="CX140" i="1"/>
  <c r="CY140" i="1" s="1"/>
  <c r="AZ140" i="1" s="1"/>
  <c r="BN140" i="1"/>
  <c r="BO140" i="1" s="1"/>
  <c r="BM140" i="1"/>
  <c r="BL140" i="1"/>
  <c r="BK140" i="1"/>
  <c r="BJ140" i="1"/>
  <c r="BH140" i="1"/>
  <c r="BI140" i="1" s="1"/>
  <c r="BE140" i="1"/>
  <c r="BD140" i="1"/>
  <c r="BB140" i="1"/>
  <c r="AX140" i="1"/>
  <c r="AR140" i="1"/>
  <c r="AM140" i="1"/>
  <c r="AK140" i="1" s="1"/>
  <c r="AC140" i="1"/>
  <c r="AB140" i="1"/>
  <c r="AA140" i="1" s="1"/>
  <c r="T140" i="1"/>
  <c r="R140" i="1"/>
  <c r="DA139" i="1"/>
  <c r="CZ139" i="1"/>
  <c r="CY139" i="1"/>
  <c r="AZ139" i="1" s="1"/>
  <c r="CX139" i="1"/>
  <c r="BM139" i="1"/>
  <c r="BL139" i="1"/>
  <c r="BK139" i="1"/>
  <c r="BJ139" i="1"/>
  <c r="BN139" i="1" s="1"/>
  <c r="BO139" i="1" s="1"/>
  <c r="BI139" i="1"/>
  <c r="BH139" i="1"/>
  <c r="BD139" i="1"/>
  <c r="AX139" i="1"/>
  <c r="AR139" i="1"/>
  <c r="BE139" i="1" s="1"/>
  <c r="AM139" i="1"/>
  <c r="AK139" i="1" s="1"/>
  <c r="O139" i="1" s="1"/>
  <c r="AC139" i="1"/>
  <c r="AB139" i="1"/>
  <c r="AA139" i="1" s="1"/>
  <c r="W139" i="1"/>
  <c r="T139" i="1"/>
  <c r="DA138" i="1"/>
  <c r="CZ138" i="1"/>
  <c r="CX138" i="1"/>
  <c r="BM138" i="1"/>
  <c r="BL138" i="1"/>
  <c r="BH138" i="1"/>
  <c r="BD138" i="1"/>
  <c r="AX138" i="1"/>
  <c r="AR138" i="1"/>
  <c r="BE138" i="1" s="1"/>
  <c r="AM138" i="1"/>
  <c r="AK138" i="1" s="1"/>
  <c r="AC138" i="1"/>
  <c r="AA138" i="1" s="1"/>
  <c r="AB138" i="1"/>
  <c r="T138" i="1"/>
  <c r="N138" i="1"/>
  <c r="BA138" i="1" s="1"/>
  <c r="M138" i="1"/>
  <c r="L138" i="1" s="1"/>
  <c r="AE138" i="1" s="1"/>
  <c r="DA137" i="1"/>
  <c r="CZ137" i="1"/>
  <c r="CX137" i="1"/>
  <c r="CY137" i="1" s="1"/>
  <c r="AZ137" i="1" s="1"/>
  <c r="BB137" i="1" s="1"/>
  <c r="BM137" i="1"/>
  <c r="BL137" i="1"/>
  <c r="BH137" i="1"/>
  <c r="BK137" i="1" s="1"/>
  <c r="BD137" i="1"/>
  <c r="AX137" i="1"/>
  <c r="AR137" i="1"/>
  <c r="BE137" i="1" s="1"/>
  <c r="AM137" i="1"/>
  <c r="AK137" i="1"/>
  <c r="AC137" i="1"/>
  <c r="AB137" i="1"/>
  <c r="AA137" i="1"/>
  <c r="T137" i="1"/>
  <c r="DA136" i="1"/>
  <c r="W136" i="1" s="1"/>
  <c r="CZ136" i="1"/>
  <c r="CY136" i="1" s="1"/>
  <c r="AZ136" i="1" s="1"/>
  <c r="CX136" i="1"/>
  <c r="BM136" i="1"/>
  <c r="BL136" i="1"/>
  <c r="BK136" i="1"/>
  <c r="BJ136" i="1"/>
  <c r="BN136" i="1" s="1"/>
  <c r="BO136" i="1" s="1"/>
  <c r="BI136" i="1"/>
  <c r="BH136" i="1"/>
  <c r="BD136" i="1"/>
  <c r="BB136" i="1"/>
  <c r="AX136" i="1"/>
  <c r="AR136" i="1"/>
  <c r="BE136" i="1" s="1"/>
  <c r="AM136" i="1"/>
  <c r="AK136" i="1" s="1"/>
  <c r="AC136" i="1"/>
  <c r="AB136" i="1"/>
  <c r="AA136" i="1" s="1"/>
  <c r="T136" i="1"/>
  <c r="R136" i="1"/>
  <c r="DA135" i="1"/>
  <c r="CZ135" i="1"/>
  <c r="CY135" i="1"/>
  <c r="AZ135" i="1" s="1"/>
  <c r="CX135" i="1"/>
  <c r="BM135" i="1"/>
  <c r="BL135" i="1"/>
  <c r="BK135" i="1"/>
  <c r="BJ135" i="1"/>
  <c r="BN135" i="1" s="1"/>
  <c r="BO135" i="1" s="1"/>
  <c r="BI135" i="1"/>
  <c r="BH135" i="1"/>
  <c r="BD135" i="1"/>
  <c r="AX135" i="1"/>
  <c r="AR135" i="1"/>
  <c r="BE135" i="1" s="1"/>
  <c r="AM135" i="1"/>
  <c r="AK135" i="1" s="1"/>
  <c r="O135" i="1" s="1"/>
  <c r="AC135" i="1"/>
  <c r="AB135" i="1"/>
  <c r="AA135" i="1" s="1"/>
  <c r="W135" i="1"/>
  <c r="T135" i="1"/>
  <c r="DA134" i="1"/>
  <c r="CZ134" i="1"/>
  <c r="CX134" i="1"/>
  <c r="BM134" i="1"/>
  <c r="BL134" i="1"/>
  <c r="BH134" i="1"/>
  <c r="BD134" i="1"/>
  <c r="AX134" i="1"/>
  <c r="AR134" i="1"/>
  <c r="BE134" i="1" s="1"/>
  <c r="AM134" i="1"/>
  <c r="AK134" i="1" s="1"/>
  <c r="AC134" i="1"/>
  <c r="AB134" i="1"/>
  <c r="AA134" i="1" s="1"/>
  <c r="T134" i="1"/>
  <c r="N134" i="1"/>
  <c r="BA134" i="1" s="1"/>
  <c r="M134" i="1"/>
  <c r="L134" i="1" s="1"/>
  <c r="AE134" i="1" s="1"/>
  <c r="DA133" i="1"/>
  <c r="CZ133" i="1"/>
  <c r="CX133" i="1"/>
  <c r="CY133" i="1" s="1"/>
  <c r="AZ133" i="1" s="1"/>
  <c r="BB133" i="1" s="1"/>
  <c r="BM133" i="1"/>
  <c r="BL133" i="1"/>
  <c r="BH133" i="1"/>
  <c r="BK133" i="1" s="1"/>
  <c r="BD133" i="1"/>
  <c r="AX133" i="1"/>
  <c r="AR133" i="1"/>
  <c r="BE133" i="1" s="1"/>
  <c r="AM133" i="1"/>
  <c r="AK133" i="1"/>
  <c r="AC133" i="1"/>
  <c r="AB133" i="1"/>
  <c r="AA133" i="1"/>
  <c r="W133" i="1"/>
  <c r="T133" i="1"/>
  <c r="DA132" i="1"/>
  <c r="W132" i="1" s="1"/>
  <c r="CZ132" i="1"/>
  <c r="CX132" i="1"/>
  <c r="CY132" i="1" s="1"/>
  <c r="AZ132" i="1" s="1"/>
  <c r="BM132" i="1"/>
  <c r="BL132" i="1"/>
  <c r="BK132" i="1"/>
  <c r="BH132" i="1"/>
  <c r="BI132" i="1" s="1"/>
  <c r="BD132" i="1"/>
  <c r="BB132" i="1"/>
  <c r="BA132" i="1"/>
  <c r="BC132" i="1" s="1"/>
  <c r="AX132" i="1"/>
  <c r="AR132" i="1"/>
  <c r="BE132" i="1" s="1"/>
  <c r="AM132" i="1"/>
  <c r="AK132" i="1" s="1"/>
  <c r="AL132" i="1" s="1"/>
  <c r="AC132" i="1"/>
  <c r="AB132" i="1"/>
  <c r="AA132" i="1" s="1"/>
  <c r="T132" i="1"/>
  <c r="R132" i="1"/>
  <c r="O132" i="1"/>
  <c r="N132" i="1"/>
  <c r="M132" i="1"/>
  <c r="L132" i="1"/>
  <c r="AE132" i="1" s="1"/>
  <c r="DA131" i="1"/>
  <c r="CZ131" i="1"/>
  <c r="CY131" i="1"/>
  <c r="AZ131" i="1" s="1"/>
  <c r="CX131" i="1"/>
  <c r="BM131" i="1"/>
  <c r="BL131" i="1"/>
  <c r="BH131" i="1"/>
  <c r="BD131" i="1"/>
  <c r="AX131" i="1"/>
  <c r="AR131" i="1"/>
  <c r="BE131" i="1" s="1"/>
  <c r="AM131" i="1"/>
  <c r="AK131" i="1" s="1"/>
  <c r="AC131" i="1"/>
  <c r="AB131" i="1"/>
  <c r="AA131" i="1" s="1"/>
  <c r="W131" i="1"/>
  <c r="T131" i="1"/>
  <c r="O131" i="1"/>
  <c r="DA130" i="1"/>
  <c r="CZ130" i="1"/>
  <c r="CX130" i="1"/>
  <c r="CY130" i="1" s="1"/>
  <c r="AZ130" i="1" s="1"/>
  <c r="BB130" i="1" s="1"/>
  <c r="BO130" i="1"/>
  <c r="BN130" i="1"/>
  <c r="BM130" i="1"/>
  <c r="BL130" i="1"/>
  <c r="BJ130" i="1"/>
  <c r="BH130" i="1"/>
  <c r="BK130" i="1" s="1"/>
  <c r="BE130" i="1"/>
  <c r="BD130" i="1"/>
  <c r="AX130" i="1"/>
  <c r="AR130" i="1"/>
  <c r="AM130" i="1"/>
  <c r="AK130" i="1" s="1"/>
  <c r="AL130" i="1" s="1"/>
  <c r="AC130" i="1"/>
  <c r="AB130" i="1"/>
  <c r="T130" i="1"/>
  <c r="DA129" i="1"/>
  <c r="CZ129" i="1"/>
  <c r="CX129" i="1"/>
  <c r="CY129" i="1" s="1"/>
  <c r="AZ129" i="1" s="1"/>
  <c r="BM129" i="1"/>
  <c r="BL129" i="1"/>
  <c r="BH129" i="1"/>
  <c r="BJ129" i="1" s="1"/>
  <c r="BN129" i="1" s="1"/>
  <c r="BO129" i="1" s="1"/>
  <c r="BD129" i="1"/>
  <c r="BB129" i="1"/>
  <c r="AX129" i="1"/>
  <c r="AR129" i="1"/>
  <c r="BE129" i="1" s="1"/>
  <c r="AM129" i="1"/>
  <c r="AK129" i="1"/>
  <c r="AC129" i="1"/>
  <c r="AB129" i="1"/>
  <c r="AA129" i="1"/>
  <c r="T129" i="1"/>
  <c r="R129" i="1"/>
  <c r="DA128" i="1"/>
  <c r="CZ128" i="1"/>
  <c r="CX128" i="1"/>
  <c r="BM128" i="1"/>
  <c r="BL128" i="1"/>
  <c r="BK128" i="1"/>
  <c r="BJ128" i="1"/>
  <c r="BN128" i="1" s="1"/>
  <c r="BO128" i="1" s="1"/>
  <c r="BH128" i="1"/>
  <c r="BI128" i="1" s="1"/>
  <c r="BD128" i="1"/>
  <c r="AX128" i="1"/>
  <c r="AR128" i="1"/>
  <c r="BE128" i="1" s="1"/>
  <c r="AM128" i="1"/>
  <c r="AK128" i="1" s="1"/>
  <c r="AC128" i="1"/>
  <c r="AB128" i="1"/>
  <c r="AA128" i="1" s="1"/>
  <c r="T128" i="1"/>
  <c r="DA127" i="1"/>
  <c r="CZ127" i="1"/>
  <c r="CY127" i="1"/>
  <c r="AZ127" i="1" s="1"/>
  <c r="CX127" i="1"/>
  <c r="BM127" i="1"/>
  <c r="BL127" i="1"/>
  <c r="BI127" i="1"/>
  <c r="BH127" i="1"/>
  <c r="BD127" i="1"/>
  <c r="AX127" i="1"/>
  <c r="BB127" i="1" s="1"/>
  <c r="AR127" i="1"/>
  <c r="BE127" i="1" s="1"/>
  <c r="AM127" i="1"/>
  <c r="AL127" i="1"/>
  <c r="AK127" i="1"/>
  <c r="AE127" i="1"/>
  <c r="AC127" i="1"/>
  <c r="AB127" i="1"/>
  <c r="AA127" i="1" s="1"/>
  <c r="W127" i="1"/>
  <c r="T127" i="1"/>
  <c r="R127" i="1"/>
  <c r="O127" i="1"/>
  <c r="N127" i="1"/>
  <c r="BA127" i="1" s="1"/>
  <c r="M127" i="1"/>
  <c r="L127" i="1"/>
  <c r="DA126" i="1"/>
  <c r="CZ126" i="1"/>
  <c r="CX126" i="1"/>
  <c r="CY126" i="1" s="1"/>
  <c r="AZ126" i="1" s="1"/>
  <c r="BB126" i="1" s="1"/>
  <c r="BO126" i="1"/>
  <c r="BN126" i="1"/>
  <c r="BM126" i="1"/>
  <c r="BL126" i="1"/>
  <c r="BJ126" i="1"/>
  <c r="BH126" i="1"/>
  <c r="BK126" i="1" s="1"/>
  <c r="BE126" i="1"/>
  <c r="BD126" i="1"/>
  <c r="AX126" i="1"/>
  <c r="AR126" i="1"/>
  <c r="AM126" i="1"/>
  <c r="AK126" i="1" s="1"/>
  <c r="AL126" i="1" s="1"/>
  <c r="AC126" i="1"/>
  <c r="AB126" i="1"/>
  <c r="T126" i="1"/>
  <c r="M126" i="1"/>
  <c r="L126" i="1" s="1"/>
  <c r="DA125" i="1"/>
  <c r="CZ125" i="1"/>
  <c r="CX125" i="1"/>
  <c r="CY125" i="1" s="1"/>
  <c r="AZ125" i="1" s="1"/>
  <c r="BB125" i="1" s="1"/>
  <c r="BM125" i="1"/>
  <c r="BL125" i="1"/>
  <c r="BH125" i="1"/>
  <c r="BJ125" i="1" s="1"/>
  <c r="BN125" i="1" s="1"/>
  <c r="BO125" i="1" s="1"/>
  <c r="BD125" i="1"/>
  <c r="AX125" i="1"/>
  <c r="AR125" i="1"/>
  <c r="BE125" i="1" s="1"/>
  <c r="AM125" i="1"/>
  <c r="AK125" i="1"/>
  <c r="AC125" i="1"/>
  <c r="AB125" i="1"/>
  <c r="AA125" i="1"/>
  <c r="T125" i="1"/>
  <c r="R125" i="1"/>
  <c r="DA124" i="1"/>
  <c r="CZ124" i="1"/>
  <c r="CX124" i="1"/>
  <c r="BM124" i="1"/>
  <c r="BL124" i="1"/>
  <c r="BK124" i="1"/>
  <c r="BJ124" i="1"/>
  <c r="BN124" i="1" s="1"/>
  <c r="BO124" i="1" s="1"/>
  <c r="BH124" i="1"/>
  <c r="BI124" i="1" s="1"/>
  <c r="BD124" i="1"/>
  <c r="AX124" i="1"/>
  <c r="AR124" i="1"/>
  <c r="BE124" i="1" s="1"/>
  <c r="AM124" i="1"/>
  <c r="AK124" i="1" s="1"/>
  <c r="AL124" i="1" s="1"/>
  <c r="AC124" i="1"/>
  <c r="AB124" i="1"/>
  <c r="AA124" i="1" s="1"/>
  <c r="T124" i="1"/>
  <c r="N124" i="1"/>
  <c r="BA124" i="1" s="1"/>
  <c r="DA123" i="1"/>
  <c r="CZ123" i="1"/>
  <c r="CY123" i="1" s="1"/>
  <c r="AZ123" i="1" s="1"/>
  <c r="CX123" i="1"/>
  <c r="BM123" i="1"/>
  <c r="BL123" i="1"/>
  <c r="BI123" i="1"/>
  <c r="BH123" i="1"/>
  <c r="BD123" i="1"/>
  <c r="AX123" i="1"/>
  <c r="AR123" i="1"/>
  <c r="BE123" i="1" s="1"/>
  <c r="AM123" i="1"/>
  <c r="AL123" i="1"/>
  <c r="AK123" i="1"/>
  <c r="M123" i="1" s="1"/>
  <c r="L123" i="1" s="1"/>
  <c r="AC123" i="1"/>
  <c r="AB123" i="1"/>
  <c r="AA123" i="1" s="1"/>
  <c r="W123" i="1"/>
  <c r="T123" i="1"/>
  <c r="R123" i="1"/>
  <c r="O123" i="1"/>
  <c r="N123" i="1"/>
  <c r="BA123" i="1" s="1"/>
  <c r="BC123" i="1" s="1"/>
  <c r="DA122" i="1"/>
  <c r="CZ122" i="1"/>
  <c r="CX122" i="1"/>
  <c r="BM122" i="1"/>
  <c r="BL122" i="1"/>
  <c r="BJ122" i="1"/>
  <c r="BN122" i="1" s="1"/>
  <c r="BO122" i="1" s="1"/>
  <c r="BH122" i="1"/>
  <c r="BD122" i="1"/>
  <c r="AX122" i="1"/>
  <c r="AR122" i="1"/>
  <c r="BE122" i="1" s="1"/>
  <c r="AM122" i="1"/>
  <c r="AK122" i="1" s="1"/>
  <c r="AC122" i="1"/>
  <c r="AB122" i="1"/>
  <c r="T122" i="1"/>
  <c r="DA121" i="1"/>
  <c r="CZ121" i="1"/>
  <c r="CX121" i="1"/>
  <c r="CY121" i="1" s="1"/>
  <c r="BM121" i="1"/>
  <c r="BL121" i="1"/>
  <c r="BJ121" i="1"/>
  <c r="BN121" i="1" s="1"/>
  <c r="BO121" i="1" s="1"/>
  <c r="BH121" i="1"/>
  <c r="BD121" i="1"/>
  <c r="AZ121" i="1"/>
  <c r="BB121" i="1" s="1"/>
  <c r="AX121" i="1"/>
  <c r="AR121" i="1"/>
  <c r="BE121" i="1" s="1"/>
  <c r="AM121" i="1"/>
  <c r="AL121" i="1"/>
  <c r="AK121" i="1"/>
  <c r="M121" i="1" s="1"/>
  <c r="L121" i="1" s="1"/>
  <c r="AC121" i="1"/>
  <c r="AB121" i="1"/>
  <c r="AA121" i="1"/>
  <c r="T121" i="1"/>
  <c r="R121" i="1"/>
  <c r="O121" i="1"/>
  <c r="N121" i="1"/>
  <c r="BA121" i="1" s="1"/>
  <c r="BC121" i="1" s="1"/>
  <c r="DA120" i="1"/>
  <c r="CZ120" i="1"/>
  <c r="CX120" i="1"/>
  <c r="BM120" i="1"/>
  <c r="BL120" i="1"/>
  <c r="BH120" i="1"/>
  <c r="BI120" i="1" s="1"/>
  <c r="BE120" i="1"/>
  <c r="BD120" i="1"/>
  <c r="AX120" i="1"/>
  <c r="AR120" i="1"/>
  <c r="AM120" i="1"/>
  <c r="AK120" i="1" s="1"/>
  <c r="AL120" i="1" s="1"/>
  <c r="AC120" i="1"/>
  <c r="AB120" i="1"/>
  <c r="AA120" i="1"/>
  <c r="T120" i="1"/>
  <c r="R120" i="1"/>
  <c r="O120" i="1"/>
  <c r="N120" i="1"/>
  <c r="BA120" i="1" s="1"/>
  <c r="DA119" i="1"/>
  <c r="CZ119" i="1"/>
  <c r="CY119" i="1" s="1"/>
  <c r="AZ119" i="1" s="1"/>
  <c r="CX119" i="1"/>
  <c r="BN119" i="1"/>
  <c r="BO119" i="1" s="1"/>
  <c r="BM119" i="1"/>
  <c r="BL119" i="1"/>
  <c r="BK119" i="1"/>
  <c r="BJ119" i="1"/>
  <c r="BI119" i="1"/>
  <c r="BH119" i="1"/>
  <c r="BE119" i="1"/>
  <c r="BD119" i="1"/>
  <c r="AX119" i="1"/>
  <c r="BB119" i="1" s="1"/>
  <c r="AR119" i="1"/>
  <c r="AM119" i="1"/>
  <c r="AK119" i="1" s="1"/>
  <c r="AL119" i="1" s="1"/>
  <c r="AC119" i="1"/>
  <c r="AB119" i="1"/>
  <c r="AA119" i="1" s="1"/>
  <c r="W119" i="1"/>
  <c r="T119" i="1"/>
  <c r="DA118" i="1"/>
  <c r="CZ118" i="1"/>
  <c r="CX118" i="1"/>
  <c r="CY118" i="1" s="1"/>
  <c r="AZ118" i="1" s="1"/>
  <c r="BB118" i="1" s="1"/>
  <c r="BM118" i="1"/>
  <c r="BL118" i="1"/>
  <c r="BH118" i="1"/>
  <c r="BJ118" i="1" s="1"/>
  <c r="BN118" i="1" s="1"/>
  <c r="BO118" i="1" s="1"/>
  <c r="BD118" i="1"/>
  <c r="AX118" i="1"/>
  <c r="AR118" i="1"/>
  <c r="BE118" i="1" s="1"/>
  <c r="AM118" i="1"/>
  <c r="AK118" i="1"/>
  <c r="AC118" i="1"/>
  <c r="AB118" i="1"/>
  <c r="AA118" i="1"/>
  <c r="T118" i="1"/>
  <c r="R118" i="1"/>
  <c r="DA117" i="1"/>
  <c r="CZ117" i="1"/>
  <c r="CX117" i="1"/>
  <c r="CY117" i="1" s="1"/>
  <c r="BM117" i="1"/>
  <c r="BL117" i="1"/>
  <c r="BK117" i="1"/>
  <c r="BJ117" i="1"/>
  <c r="BN117" i="1" s="1"/>
  <c r="BO117" i="1" s="1"/>
  <c r="BH117" i="1"/>
  <c r="BI117" i="1" s="1"/>
  <c r="BD117" i="1"/>
  <c r="AZ117" i="1"/>
  <c r="BB117" i="1" s="1"/>
  <c r="AX117" i="1"/>
  <c r="AR117" i="1"/>
  <c r="BE117" i="1" s="1"/>
  <c r="AM117" i="1"/>
  <c r="AL117" i="1"/>
  <c r="AK117" i="1"/>
  <c r="N117" i="1" s="1"/>
  <c r="BA117" i="1" s="1"/>
  <c r="BC117" i="1" s="1"/>
  <c r="AC117" i="1"/>
  <c r="AB117" i="1"/>
  <c r="AA117" i="1" s="1"/>
  <c r="T117" i="1"/>
  <c r="DA116" i="1"/>
  <c r="CZ116" i="1"/>
  <c r="CY116" i="1"/>
  <c r="AZ116" i="1" s="1"/>
  <c r="CX116" i="1"/>
  <c r="BM116" i="1"/>
  <c r="BL116" i="1"/>
  <c r="BI116" i="1"/>
  <c r="BH116" i="1"/>
  <c r="BD116" i="1"/>
  <c r="AX116" i="1"/>
  <c r="BB116" i="1" s="1"/>
  <c r="AR116" i="1"/>
  <c r="BE116" i="1" s="1"/>
  <c r="AM116" i="1"/>
  <c r="AK116" i="1"/>
  <c r="AL116" i="1" s="1"/>
  <c r="AC116" i="1"/>
  <c r="AB116" i="1"/>
  <c r="AA116" i="1"/>
  <c r="W116" i="1"/>
  <c r="T116" i="1"/>
  <c r="R116" i="1"/>
  <c r="O116" i="1"/>
  <c r="N116" i="1"/>
  <c r="BA116" i="1" s="1"/>
  <c r="BC116" i="1" s="1"/>
  <c r="DA115" i="1"/>
  <c r="CZ115" i="1"/>
  <c r="CY115" i="1" s="1"/>
  <c r="AZ115" i="1" s="1"/>
  <c r="CX115" i="1"/>
  <c r="BN115" i="1"/>
  <c r="BO115" i="1" s="1"/>
  <c r="BM115" i="1"/>
  <c r="BL115" i="1"/>
  <c r="BK115" i="1"/>
  <c r="BJ115" i="1"/>
  <c r="BI115" i="1"/>
  <c r="BH115" i="1"/>
  <c r="BE115" i="1"/>
  <c r="BD115" i="1"/>
  <c r="AX115" i="1"/>
  <c r="AR115" i="1"/>
  <c r="AM115" i="1"/>
  <c r="AK115" i="1" s="1"/>
  <c r="AL115" i="1" s="1"/>
  <c r="AC115" i="1"/>
  <c r="AB115" i="1"/>
  <c r="W115" i="1"/>
  <c r="T115" i="1"/>
  <c r="M115" i="1"/>
  <c r="L115" i="1" s="1"/>
  <c r="DA114" i="1"/>
  <c r="CZ114" i="1"/>
  <c r="CX114" i="1"/>
  <c r="CY114" i="1" s="1"/>
  <c r="AZ114" i="1" s="1"/>
  <c r="BB114" i="1" s="1"/>
  <c r="BM114" i="1"/>
  <c r="BL114" i="1"/>
  <c r="BH114" i="1"/>
  <c r="BJ114" i="1" s="1"/>
  <c r="BN114" i="1" s="1"/>
  <c r="BO114" i="1" s="1"/>
  <c r="BD114" i="1"/>
  <c r="AX114" i="1"/>
  <c r="AR114" i="1"/>
  <c r="BE114" i="1" s="1"/>
  <c r="AM114" i="1"/>
  <c r="AK114" i="1"/>
  <c r="AC114" i="1"/>
  <c r="AB114" i="1"/>
  <c r="AA114" i="1"/>
  <c r="T114" i="1"/>
  <c r="R114" i="1"/>
  <c r="DA113" i="1"/>
  <c r="CZ113" i="1"/>
  <c r="CX113" i="1"/>
  <c r="BM113" i="1"/>
  <c r="BL113" i="1"/>
  <c r="BK113" i="1"/>
  <c r="BJ113" i="1"/>
  <c r="BN113" i="1" s="1"/>
  <c r="BO113" i="1" s="1"/>
  <c r="BH113" i="1"/>
  <c r="BI113" i="1" s="1"/>
  <c r="BD113" i="1"/>
  <c r="BA113" i="1"/>
  <c r="AX113" i="1"/>
  <c r="AR113" i="1"/>
  <c r="BE113" i="1" s="1"/>
  <c r="AM113" i="1"/>
  <c r="AL113" i="1"/>
  <c r="AK113" i="1"/>
  <c r="N113" i="1" s="1"/>
  <c r="AC113" i="1"/>
  <c r="AB113" i="1"/>
  <c r="AA113" i="1" s="1"/>
  <c r="T113" i="1"/>
  <c r="DA112" i="1"/>
  <c r="CZ112" i="1"/>
  <c r="CX112" i="1"/>
  <c r="CY112" i="1" s="1"/>
  <c r="AZ112" i="1" s="1"/>
  <c r="BM112" i="1"/>
  <c r="BL112" i="1"/>
  <c r="BH112" i="1"/>
  <c r="BD112" i="1"/>
  <c r="AX112" i="1"/>
  <c r="BB112" i="1" s="1"/>
  <c r="AR112" i="1"/>
  <c r="BE112" i="1" s="1"/>
  <c r="AM112" i="1"/>
  <c r="AK112" i="1"/>
  <c r="AL112" i="1" s="1"/>
  <c r="AC112" i="1"/>
  <c r="AB112" i="1"/>
  <c r="AA112" i="1"/>
  <c r="W112" i="1"/>
  <c r="T112" i="1"/>
  <c r="R112" i="1"/>
  <c r="O112" i="1"/>
  <c r="N112" i="1"/>
  <c r="BA112" i="1" s="1"/>
  <c r="DA111" i="1"/>
  <c r="CZ111" i="1"/>
  <c r="CY111" i="1" s="1"/>
  <c r="CX111" i="1"/>
  <c r="BN111" i="1"/>
  <c r="BO111" i="1" s="1"/>
  <c r="BM111" i="1"/>
  <c r="BL111" i="1"/>
  <c r="BK111" i="1"/>
  <c r="BJ111" i="1"/>
  <c r="BI111" i="1"/>
  <c r="BH111" i="1"/>
  <c r="BE111" i="1"/>
  <c r="BD111" i="1"/>
  <c r="AZ111" i="1"/>
  <c r="AX111" i="1"/>
  <c r="AR111" i="1"/>
  <c r="AM111" i="1"/>
  <c r="AK111" i="1" s="1"/>
  <c r="AL111" i="1" s="1"/>
  <c r="AC111" i="1"/>
  <c r="AB111" i="1"/>
  <c r="AA111" i="1" s="1"/>
  <c r="W111" i="1"/>
  <c r="T111" i="1"/>
  <c r="M111" i="1"/>
  <c r="L111" i="1"/>
  <c r="AE111" i="1" s="1"/>
  <c r="DA110" i="1"/>
  <c r="CZ110" i="1"/>
  <c r="CX110" i="1"/>
  <c r="BM110" i="1"/>
  <c r="BL110" i="1"/>
  <c r="BH110" i="1"/>
  <c r="BD110" i="1"/>
  <c r="AX110" i="1"/>
  <c r="AR110" i="1"/>
  <c r="BE110" i="1" s="1"/>
  <c r="AM110" i="1"/>
  <c r="AK110" i="1"/>
  <c r="AC110" i="1"/>
  <c r="AA110" i="1" s="1"/>
  <c r="AB110" i="1"/>
  <c r="T110" i="1"/>
  <c r="R110" i="1"/>
  <c r="N110" i="1"/>
  <c r="BA110" i="1" s="1"/>
  <c r="DA109" i="1"/>
  <c r="CZ109" i="1"/>
  <c r="CX109" i="1"/>
  <c r="BM109" i="1"/>
  <c r="BL109" i="1"/>
  <c r="BK109" i="1"/>
  <c r="BJ109" i="1"/>
  <c r="BN109" i="1" s="1"/>
  <c r="BO109" i="1" s="1"/>
  <c r="BH109" i="1"/>
  <c r="BI109" i="1" s="1"/>
  <c r="BD109" i="1"/>
  <c r="AX109" i="1"/>
  <c r="AR109" i="1"/>
  <c r="BE109" i="1" s="1"/>
  <c r="AM109" i="1"/>
  <c r="AK109" i="1"/>
  <c r="AC109" i="1"/>
  <c r="AB109" i="1"/>
  <c r="AA109" i="1" s="1"/>
  <c r="T109" i="1"/>
  <c r="M109" i="1"/>
  <c r="L109" i="1"/>
  <c r="AE109" i="1" s="1"/>
  <c r="DA108" i="1"/>
  <c r="CZ108" i="1"/>
  <c r="CX108" i="1"/>
  <c r="BM108" i="1"/>
  <c r="BL108" i="1"/>
  <c r="BH108" i="1"/>
  <c r="BJ108" i="1" s="1"/>
  <c r="BN108" i="1" s="1"/>
  <c r="BO108" i="1" s="1"/>
  <c r="BD108" i="1"/>
  <c r="AX108" i="1"/>
  <c r="AR108" i="1"/>
  <c r="BE108" i="1" s="1"/>
  <c r="AM108" i="1"/>
  <c r="AK108" i="1"/>
  <c r="M108" i="1" s="1"/>
  <c r="L108" i="1" s="1"/>
  <c r="AC108" i="1"/>
  <c r="AB108" i="1"/>
  <c r="AA108" i="1"/>
  <c r="T108" i="1"/>
  <c r="O108" i="1"/>
  <c r="N108" i="1"/>
  <c r="BA108" i="1" s="1"/>
  <c r="DA107" i="1"/>
  <c r="CZ107" i="1"/>
  <c r="CY107" i="1" s="1"/>
  <c r="AZ107" i="1" s="1"/>
  <c r="CX107" i="1"/>
  <c r="BN107" i="1"/>
  <c r="BO107" i="1" s="1"/>
  <c r="BM107" i="1"/>
  <c r="BL107" i="1"/>
  <c r="BK107" i="1"/>
  <c r="BJ107" i="1"/>
  <c r="BI107" i="1"/>
  <c r="BH107" i="1"/>
  <c r="BE107" i="1"/>
  <c r="BD107" i="1"/>
  <c r="BB107" i="1"/>
  <c r="BA107" i="1"/>
  <c r="AX107" i="1"/>
  <c r="AR107" i="1"/>
  <c r="AM107" i="1"/>
  <c r="AK107" i="1" s="1"/>
  <c r="N107" i="1" s="1"/>
  <c r="AL107" i="1"/>
  <c r="AC107" i="1"/>
  <c r="AB107" i="1"/>
  <c r="W107" i="1"/>
  <c r="T107" i="1"/>
  <c r="R107" i="1"/>
  <c r="O107" i="1"/>
  <c r="M107" i="1"/>
  <c r="L107" i="1"/>
  <c r="DA106" i="1"/>
  <c r="CZ106" i="1"/>
  <c r="CY106" i="1"/>
  <c r="CX106" i="1"/>
  <c r="W106" i="1" s="1"/>
  <c r="BM106" i="1"/>
  <c r="BL106" i="1"/>
  <c r="BJ106" i="1"/>
  <c r="BN106" i="1" s="1"/>
  <c r="BO106" i="1" s="1"/>
  <c r="BH106" i="1"/>
  <c r="BK106" i="1" s="1"/>
  <c r="BE106" i="1"/>
  <c r="BD106" i="1"/>
  <c r="AZ106" i="1"/>
  <c r="AX106" i="1"/>
  <c r="BB106" i="1" s="1"/>
  <c r="AR106" i="1"/>
  <c r="AM106" i="1"/>
  <c r="AK106" i="1"/>
  <c r="AL106" i="1" s="1"/>
  <c r="AC106" i="1"/>
  <c r="AA106" i="1" s="1"/>
  <c r="AB106" i="1"/>
  <c r="T106" i="1"/>
  <c r="DA105" i="1"/>
  <c r="CZ105" i="1"/>
  <c r="CX105" i="1"/>
  <c r="CY105" i="1" s="1"/>
  <c r="AZ105" i="1" s="1"/>
  <c r="BB105" i="1" s="1"/>
  <c r="BM105" i="1"/>
  <c r="BL105" i="1"/>
  <c r="BK105" i="1"/>
  <c r="BH105" i="1"/>
  <c r="BJ105" i="1" s="1"/>
  <c r="BN105" i="1" s="1"/>
  <c r="BO105" i="1" s="1"/>
  <c r="BD105" i="1"/>
  <c r="BA105" i="1"/>
  <c r="BC105" i="1" s="1"/>
  <c r="AX105" i="1"/>
  <c r="AR105" i="1"/>
  <c r="BE105" i="1" s="1"/>
  <c r="AM105" i="1"/>
  <c r="AK105" i="1"/>
  <c r="AL105" i="1" s="1"/>
  <c r="AC105" i="1"/>
  <c r="AB105" i="1"/>
  <c r="AA105" i="1"/>
  <c r="T105" i="1"/>
  <c r="R105" i="1"/>
  <c r="O105" i="1"/>
  <c r="N105" i="1"/>
  <c r="M105" i="1"/>
  <c r="L105" i="1" s="1"/>
  <c r="DA104" i="1"/>
  <c r="CZ104" i="1"/>
  <c r="CY104" i="1"/>
  <c r="AZ104" i="1" s="1"/>
  <c r="CX104" i="1"/>
  <c r="BM104" i="1"/>
  <c r="BL104" i="1"/>
  <c r="BK104" i="1"/>
  <c r="BJ104" i="1"/>
  <c r="BN104" i="1" s="1"/>
  <c r="BO104" i="1" s="1"/>
  <c r="BI104" i="1"/>
  <c r="BH104" i="1"/>
  <c r="BE104" i="1"/>
  <c r="BD104" i="1"/>
  <c r="AX104" i="1"/>
  <c r="BB104" i="1" s="1"/>
  <c r="AR104" i="1"/>
  <c r="AM104" i="1"/>
  <c r="AK104" i="1" s="1"/>
  <c r="AC104" i="1"/>
  <c r="AB104" i="1"/>
  <c r="AA104" i="1" s="1"/>
  <c r="W104" i="1"/>
  <c r="T104" i="1"/>
  <c r="DA103" i="1"/>
  <c r="CZ103" i="1"/>
  <c r="CX103" i="1"/>
  <c r="CY103" i="1" s="1"/>
  <c r="AZ103" i="1" s="1"/>
  <c r="BB103" i="1" s="1"/>
  <c r="BM103" i="1"/>
  <c r="BL103" i="1"/>
  <c r="BH103" i="1"/>
  <c r="BK103" i="1" s="1"/>
  <c r="BE103" i="1"/>
  <c r="BD103" i="1"/>
  <c r="AX103" i="1"/>
  <c r="AR103" i="1"/>
  <c r="AM103" i="1"/>
  <c r="AK103" i="1" s="1"/>
  <c r="AC103" i="1"/>
  <c r="AA103" i="1" s="1"/>
  <c r="AB103" i="1"/>
  <c r="T103" i="1"/>
  <c r="DA102" i="1"/>
  <c r="W102" i="1" s="1"/>
  <c r="CZ102" i="1"/>
  <c r="CY102" i="1" s="1"/>
  <c r="AZ102" i="1" s="1"/>
  <c r="CX102" i="1"/>
  <c r="BN102" i="1"/>
  <c r="BO102" i="1" s="1"/>
  <c r="BM102" i="1"/>
  <c r="BL102" i="1"/>
  <c r="BK102" i="1"/>
  <c r="BJ102" i="1"/>
  <c r="BI102" i="1"/>
  <c r="BH102" i="1"/>
  <c r="BE102" i="1"/>
  <c r="BD102" i="1"/>
  <c r="AX102" i="1"/>
  <c r="AR102" i="1"/>
  <c r="AM102" i="1"/>
  <c r="AK102" i="1"/>
  <c r="AC102" i="1"/>
  <c r="AB102" i="1"/>
  <c r="AA102" i="1"/>
  <c r="T102" i="1"/>
  <c r="DA101" i="1"/>
  <c r="CZ101" i="1"/>
  <c r="CX101" i="1"/>
  <c r="CY101" i="1" s="1"/>
  <c r="AZ101" i="1" s="1"/>
  <c r="BB101" i="1" s="1"/>
  <c r="BM101" i="1"/>
  <c r="BL101" i="1"/>
  <c r="BK101" i="1"/>
  <c r="BH101" i="1"/>
  <c r="BJ101" i="1" s="1"/>
  <c r="BN101" i="1" s="1"/>
  <c r="BO101" i="1" s="1"/>
  <c r="BD101" i="1"/>
  <c r="AX101" i="1"/>
  <c r="AR101" i="1"/>
  <c r="BE101" i="1" s="1"/>
  <c r="AM101" i="1"/>
  <c r="AK101" i="1" s="1"/>
  <c r="AC101" i="1"/>
  <c r="AA101" i="1" s="1"/>
  <c r="AB101" i="1"/>
  <c r="T101" i="1"/>
  <c r="R101" i="1"/>
  <c r="DA100" i="1"/>
  <c r="CZ100" i="1"/>
  <c r="CY100" i="1" s="1"/>
  <c r="CX100" i="1"/>
  <c r="BM100" i="1"/>
  <c r="BL100" i="1"/>
  <c r="BK100" i="1"/>
  <c r="BJ100" i="1"/>
  <c r="BN100" i="1" s="1"/>
  <c r="BO100" i="1" s="1"/>
  <c r="BI100" i="1"/>
  <c r="BH100" i="1"/>
  <c r="BE100" i="1"/>
  <c r="BD100" i="1"/>
  <c r="AZ100" i="1"/>
  <c r="AX100" i="1"/>
  <c r="AR100" i="1"/>
  <c r="AM100" i="1"/>
  <c r="AK100" i="1" s="1"/>
  <c r="O100" i="1" s="1"/>
  <c r="AC100" i="1"/>
  <c r="AB100" i="1"/>
  <c r="AA100" i="1" s="1"/>
  <c r="W100" i="1"/>
  <c r="T100" i="1"/>
  <c r="DA99" i="1"/>
  <c r="CZ99" i="1"/>
  <c r="CX99" i="1"/>
  <c r="BM99" i="1"/>
  <c r="BL99" i="1"/>
  <c r="BH99" i="1"/>
  <c r="BD99" i="1"/>
  <c r="AX99" i="1"/>
  <c r="AR99" i="1"/>
  <c r="BE99" i="1" s="1"/>
  <c r="AM99" i="1"/>
  <c r="AK99" i="1" s="1"/>
  <c r="AC99" i="1"/>
  <c r="AA99" i="1" s="1"/>
  <c r="AB99" i="1"/>
  <c r="T99" i="1"/>
  <c r="M99" i="1"/>
  <c r="L99" i="1" s="1"/>
  <c r="DA98" i="1"/>
  <c r="W98" i="1" s="1"/>
  <c r="CZ98" i="1"/>
  <c r="CY98" i="1" s="1"/>
  <c r="AZ98" i="1" s="1"/>
  <c r="CX98" i="1"/>
  <c r="BN98" i="1"/>
  <c r="BO98" i="1" s="1"/>
  <c r="BM98" i="1"/>
  <c r="BL98" i="1"/>
  <c r="BK98" i="1"/>
  <c r="BJ98" i="1"/>
  <c r="BI98" i="1"/>
  <c r="BH98" i="1"/>
  <c r="BE98" i="1"/>
  <c r="BD98" i="1"/>
  <c r="AX98" i="1"/>
  <c r="AR98" i="1"/>
  <c r="AM98" i="1"/>
  <c r="AL98" i="1"/>
  <c r="AK98" i="1"/>
  <c r="AC98" i="1"/>
  <c r="AB98" i="1"/>
  <c r="AA98" i="1"/>
  <c r="T98" i="1"/>
  <c r="DA97" i="1"/>
  <c r="CZ97" i="1"/>
  <c r="CX97" i="1"/>
  <c r="CY97" i="1" s="1"/>
  <c r="AZ97" i="1" s="1"/>
  <c r="BM97" i="1"/>
  <c r="BL97" i="1"/>
  <c r="BK97" i="1"/>
  <c r="BH97" i="1"/>
  <c r="BJ97" i="1" s="1"/>
  <c r="BN97" i="1" s="1"/>
  <c r="BO97" i="1" s="1"/>
  <c r="BD97" i="1"/>
  <c r="BB97" i="1"/>
  <c r="AX97" i="1"/>
  <c r="AR97" i="1"/>
  <c r="BE97" i="1" s="1"/>
  <c r="AM97" i="1"/>
  <c r="AK97" i="1" s="1"/>
  <c r="AC97" i="1"/>
  <c r="AA97" i="1" s="1"/>
  <c r="AB97" i="1"/>
  <c r="T97" i="1"/>
  <c r="R97" i="1"/>
  <c r="DA96" i="1"/>
  <c r="CZ96" i="1"/>
  <c r="CY96" i="1" s="1"/>
  <c r="AZ96" i="1" s="1"/>
  <c r="CX96" i="1"/>
  <c r="BM96" i="1"/>
  <c r="BL96" i="1"/>
  <c r="BK96" i="1"/>
  <c r="BJ96" i="1"/>
  <c r="BN96" i="1" s="1"/>
  <c r="BO96" i="1" s="1"/>
  <c r="BI96" i="1"/>
  <c r="BH96" i="1"/>
  <c r="BE96" i="1"/>
  <c r="BD96" i="1"/>
  <c r="AX96" i="1"/>
  <c r="AR96" i="1"/>
  <c r="AM96" i="1"/>
  <c r="AK96" i="1" s="1"/>
  <c r="AC96" i="1"/>
  <c r="AB96" i="1"/>
  <c r="AA96" i="1" s="1"/>
  <c r="W96" i="1"/>
  <c r="T96" i="1"/>
  <c r="O96" i="1"/>
  <c r="DA95" i="1"/>
  <c r="CZ95" i="1"/>
  <c r="CX95" i="1"/>
  <c r="BM95" i="1"/>
  <c r="BL95" i="1"/>
  <c r="BH95" i="1"/>
  <c r="BE95" i="1"/>
  <c r="BD95" i="1"/>
  <c r="AX95" i="1"/>
  <c r="AR95" i="1"/>
  <c r="AM95" i="1"/>
  <c r="AK95" i="1" s="1"/>
  <c r="R95" i="1" s="1"/>
  <c r="AC95" i="1"/>
  <c r="AA95" i="1" s="1"/>
  <c r="AB95" i="1"/>
  <c r="T95" i="1"/>
  <c r="N95" i="1"/>
  <c r="BA95" i="1" s="1"/>
  <c r="M95" i="1"/>
  <c r="L95" i="1" s="1"/>
  <c r="DA94" i="1"/>
  <c r="W94" i="1" s="1"/>
  <c r="CZ94" i="1"/>
  <c r="CY94" i="1" s="1"/>
  <c r="CX94" i="1"/>
  <c r="BM94" i="1"/>
  <c r="BL94" i="1"/>
  <c r="BK94" i="1"/>
  <c r="BJ94" i="1"/>
  <c r="BN94" i="1" s="1"/>
  <c r="BO94" i="1" s="1"/>
  <c r="BI94" i="1"/>
  <c r="BH94" i="1"/>
  <c r="BE94" i="1"/>
  <c r="BD94" i="1"/>
  <c r="AZ94" i="1"/>
  <c r="AX94" i="1"/>
  <c r="BB94" i="1" s="1"/>
  <c r="AR94" i="1"/>
  <c r="AM94" i="1"/>
  <c r="AK94" i="1"/>
  <c r="AC94" i="1"/>
  <c r="AB94" i="1"/>
  <c r="AA94" i="1"/>
  <c r="T94" i="1"/>
  <c r="DA93" i="1"/>
  <c r="CZ93" i="1"/>
  <c r="CX93" i="1"/>
  <c r="BM93" i="1"/>
  <c r="BL93" i="1"/>
  <c r="BH93" i="1"/>
  <c r="BD93" i="1"/>
  <c r="AX93" i="1"/>
  <c r="AR93" i="1"/>
  <c r="BE93" i="1" s="1"/>
  <c r="AM93" i="1"/>
  <c r="AK93" i="1" s="1"/>
  <c r="AC93" i="1"/>
  <c r="AA93" i="1" s="1"/>
  <c r="AB93" i="1"/>
  <c r="T93" i="1"/>
  <c r="DA92" i="1"/>
  <c r="CZ92" i="1"/>
  <c r="CY92" i="1"/>
  <c r="AZ92" i="1" s="1"/>
  <c r="CX92" i="1"/>
  <c r="BM92" i="1"/>
  <c r="BL92" i="1"/>
  <c r="BK92" i="1"/>
  <c r="BJ92" i="1"/>
  <c r="BN92" i="1" s="1"/>
  <c r="BO92" i="1" s="1"/>
  <c r="BI92" i="1"/>
  <c r="BH92" i="1"/>
  <c r="BE92" i="1"/>
  <c r="BD92" i="1"/>
  <c r="AX92" i="1"/>
  <c r="AR92" i="1"/>
  <c r="AM92" i="1"/>
  <c r="AK92" i="1" s="1"/>
  <c r="AL92" i="1"/>
  <c r="AC92" i="1"/>
  <c r="AB92" i="1"/>
  <c r="AA92" i="1" s="1"/>
  <c r="W92" i="1"/>
  <c r="T92" i="1"/>
  <c r="O92" i="1"/>
  <c r="DA91" i="1"/>
  <c r="CZ91" i="1"/>
  <c r="CX91" i="1"/>
  <c r="BM91" i="1"/>
  <c r="BL91" i="1"/>
  <c r="BH91" i="1"/>
  <c r="BE91" i="1"/>
  <c r="BD91" i="1"/>
  <c r="AX91" i="1"/>
  <c r="AR91" i="1"/>
  <c r="AM91" i="1"/>
  <c r="AK91" i="1" s="1"/>
  <c r="AC91" i="1"/>
  <c r="AA91" i="1" s="1"/>
  <c r="AB91" i="1"/>
  <c r="T91" i="1"/>
  <c r="DA90" i="1"/>
  <c r="W90" i="1" s="1"/>
  <c r="CZ90" i="1"/>
  <c r="CY90" i="1"/>
  <c r="AZ90" i="1" s="1"/>
  <c r="CX90" i="1"/>
  <c r="BN90" i="1"/>
  <c r="BO90" i="1" s="1"/>
  <c r="BM90" i="1"/>
  <c r="BL90" i="1"/>
  <c r="BK90" i="1"/>
  <c r="BJ90" i="1"/>
  <c r="BI90" i="1"/>
  <c r="BH90" i="1"/>
  <c r="BE90" i="1"/>
  <c r="BD90" i="1"/>
  <c r="AX90" i="1"/>
  <c r="AR90" i="1"/>
  <c r="AM90" i="1"/>
  <c r="AL90" i="1"/>
  <c r="AK90" i="1"/>
  <c r="AC90" i="1"/>
  <c r="AB90" i="1"/>
  <c r="AA90" i="1"/>
  <c r="T90" i="1"/>
  <c r="O90" i="1"/>
  <c r="DA89" i="1"/>
  <c r="CZ89" i="1"/>
  <c r="CY89" i="1"/>
  <c r="CX89" i="1"/>
  <c r="BM89" i="1"/>
  <c r="BL89" i="1"/>
  <c r="BK89" i="1"/>
  <c r="BJ89" i="1"/>
  <c r="BN89" i="1" s="1"/>
  <c r="BO89" i="1" s="1"/>
  <c r="BH89" i="1"/>
  <c r="BI89" i="1" s="1"/>
  <c r="BD89" i="1"/>
  <c r="BB89" i="1"/>
  <c r="AZ89" i="1"/>
  <c r="AX89" i="1"/>
  <c r="AR89" i="1"/>
  <c r="BE89" i="1" s="1"/>
  <c r="AM89" i="1"/>
  <c r="AK89" i="1"/>
  <c r="AL89" i="1" s="1"/>
  <c r="AC89" i="1"/>
  <c r="AA89" i="1" s="1"/>
  <c r="AB89" i="1"/>
  <c r="W89" i="1"/>
  <c r="T89" i="1"/>
  <c r="O89" i="1"/>
  <c r="M89" i="1"/>
  <c r="L89" i="1" s="1"/>
  <c r="DA88" i="1"/>
  <c r="CZ88" i="1"/>
  <c r="CX88" i="1"/>
  <c r="BM88" i="1"/>
  <c r="BL88" i="1"/>
  <c r="BH88" i="1"/>
  <c r="BD88" i="1"/>
  <c r="AX88" i="1"/>
  <c r="AR88" i="1"/>
  <c r="BE88" i="1" s="1"/>
  <c r="AM88" i="1"/>
  <c r="AK88" i="1" s="1"/>
  <c r="AC88" i="1"/>
  <c r="AA88" i="1" s="1"/>
  <c r="AB88" i="1"/>
  <c r="T88" i="1"/>
  <c r="N88" i="1"/>
  <c r="BA88" i="1" s="1"/>
  <c r="DA87" i="1"/>
  <c r="W87" i="1" s="1"/>
  <c r="CZ87" i="1"/>
  <c r="CY87" i="1"/>
  <c r="AZ87" i="1" s="1"/>
  <c r="CX87" i="1"/>
  <c r="BM87" i="1"/>
  <c r="BL87" i="1"/>
  <c r="BK87" i="1"/>
  <c r="BI87" i="1"/>
  <c r="BH87" i="1"/>
  <c r="BJ87" i="1" s="1"/>
  <c r="BN87" i="1" s="1"/>
  <c r="BO87" i="1" s="1"/>
  <c r="BE87" i="1"/>
  <c r="BD87" i="1"/>
  <c r="AX87" i="1"/>
  <c r="BB87" i="1" s="1"/>
  <c r="AR87" i="1"/>
  <c r="AM87" i="1"/>
  <c r="AK87" i="1" s="1"/>
  <c r="AL87" i="1"/>
  <c r="AC87" i="1"/>
  <c r="AB87" i="1"/>
  <c r="AA87" i="1" s="1"/>
  <c r="T87" i="1"/>
  <c r="DA86" i="1"/>
  <c r="W86" i="1" s="1"/>
  <c r="CZ86" i="1"/>
  <c r="CY86" i="1"/>
  <c r="AZ86" i="1" s="1"/>
  <c r="CX86" i="1"/>
  <c r="BM86" i="1"/>
  <c r="BL86" i="1"/>
  <c r="BK86" i="1"/>
  <c r="BJ86" i="1"/>
  <c r="BN86" i="1" s="1"/>
  <c r="BO86" i="1" s="1"/>
  <c r="BI86" i="1"/>
  <c r="BH86" i="1"/>
  <c r="BE86" i="1"/>
  <c r="BD86" i="1"/>
  <c r="BB86" i="1"/>
  <c r="AX86" i="1"/>
  <c r="AR86" i="1"/>
  <c r="AM86" i="1"/>
  <c r="AK86" i="1"/>
  <c r="O86" i="1" s="1"/>
  <c r="AC86" i="1"/>
  <c r="AB86" i="1"/>
  <c r="AA86" i="1"/>
  <c r="T86" i="1"/>
  <c r="R86" i="1"/>
  <c r="DA85" i="1"/>
  <c r="W85" i="1" s="1"/>
  <c r="CZ85" i="1"/>
  <c r="CY85" i="1" s="1"/>
  <c r="CX85" i="1"/>
  <c r="BM85" i="1"/>
  <c r="BL85" i="1"/>
  <c r="BK85" i="1"/>
  <c r="BJ85" i="1"/>
  <c r="BN85" i="1" s="1"/>
  <c r="BO85" i="1" s="1"/>
  <c r="BI85" i="1"/>
  <c r="BH85" i="1"/>
  <c r="BE85" i="1"/>
  <c r="BD85" i="1"/>
  <c r="AZ85" i="1"/>
  <c r="AX85" i="1"/>
  <c r="BB85" i="1" s="1"/>
  <c r="AR85" i="1"/>
  <c r="AM85" i="1"/>
  <c r="AK85" i="1" s="1"/>
  <c r="AC85" i="1"/>
  <c r="AA85" i="1" s="1"/>
  <c r="AB85" i="1"/>
  <c r="T85" i="1"/>
  <c r="DA84" i="1"/>
  <c r="CZ84" i="1"/>
  <c r="CX84" i="1"/>
  <c r="BM84" i="1"/>
  <c r="BL84" i="1"/>
  <c r="BH84" i="1"/>
  <c r="BD84" i="1"/>
  <c r="AX84" i="1"/>
  <c r="AR84" i="1"/>
  <c r="BE84" i="1" s="1"/>
  <c r="AM84" i="1"/>
  <c r="AK84" i="1" s="1"/>
  <c r="AC84" i="1"/>
  <c r="AB84" i="1"/>
  <c r="AA84" i="1" s="1"/>
  <c r="T84" i="1"/>
  <c r="N84" i="1"/>
  <c r="BA84" i="1" s="1"/>
  <c r="DA83" i="1"/>
  <c r="CZ83" i="1"/>
  <c r="CX83" i="1"/>
  <c r="CY83" i="1" s="1"/>
  <c r="AZ83" i="1" s="1"/>
  <c r="BB83" i="1" s="1"/>
  <c r="BN83" i="1"/>
  <c r="BO83" i="1" s="1"/>
  <c r="BM83" i="1"/>
  <c r="BL83" i="1"/>
  <c r="BK83" i="1"/>
  <c r="BJ83" i="1"/>
  <c r="BH83" i="1"/>
  <c r="BI83" i="1" s="1"/>
  <c r="BE83" i="1"/>
  <c r="BD83" i="1"/>
  <c r="AX83" i="1"/>
  <c r="AR83" i="1"/>
  <c r="AM83" i="1"/>
  <c r="AK83" i="1" s="1"/>
  <c r="AL83" i="1"/>
  <c r="AC83" i="1"/>
  <c r="AB83" i="1"/>
  <c r="AA83" i="1" s="1"/>
  <c r="W83" i="1"/>
  <c r="T83" i="1"/>
  <c r="DA82" i="1"/>
  <c r="CZ82" i="1"/>
  <c r="CX82" i="1"/>
  <c r="CY82" i="1" s="1"/>
  <c r="AZ82" i="1" s="1"/>
  <c r="BB82" i="1" s="1"/>
  <c r="BM82" i="1"/>
  <c r="BL82" i="1"/>
  <c r="BH82" i="1"/>
  <c r="BJ82" i="1" s="1"/>
  <c r="BN82" i="1" s="1"/>
  <c r="BO82" i="1" s="1"/>
  <c r="BD82" i="1"/>
  <c r="AX82" i="1"/>
  <c r="AR82" i="1"/>
  <c r="BE82" i="1" s="1"/>
  <c r="AM82" i="1"/>
  <c r="AK82" i="1"/>
  <c r="AL82" i="1" s="1"/>
  <c r="AC82" i="1"/>
  <c r="AB82" i="1"/>
  <c r="AA82" i="1" s="1"/>
  <c r="Z82" i="1"/>
  <c r="AD82" i="1" s="1"/>
  <c r="W82" i="1"/>
  <c r="X82" i="1" s="1"/>
  <c r="Y82" i="1" s="1"/>
  <c r="AG82" i="1" s="1"/>
  <c r="T82" i="1"/>
  <c r="R82" i="1"/>
  <c r="O82" i="1"/>
  <c r="N82" i="1"/>
  <c r="BA82" i="1" s="1"/>
  <c r="BC82" i="1" s="1"/>
  <c r="M82" i="1"/>
  <c r="L82" i="1"/>
  <c r="AE82" i="1" s="1"/>
  <c r="DA81" i="1"/>
  <c r="CZ81" i="1"/>
  <c r="CX81" i="1"/>
  <c r="BM81" i="1"/>
  <c r="BL81" i="1"/>
  <c r="BJ81" i="1"/>
  <c r="BN81" i="1" s="1"/>
  <c r="BO81" i="1" s="1"/>
  <c r="BH81" i="1"/>
  <c r="BK81" i="1" s="1"/>
  <c r="BD81" i="1"/>
  <c r="AX81" i="1"/>
  <c r="AR81" i="1"/>
  <c r="BE81" i="1" s="1"/>
  <c r="AM81" i="1"/>
  <c r="AK81" i="1" s="1"/>
  <c r="AC81" i="1"/>
  <c r="AB81" i="1"/>
  <c r="AA81" i="1"/>
  <c r="W81" i="1"/>
  <c r="T81" i="1"/>
  <c r="DA80" i="1"/>
  <c r="CZ80" i="1"/>
  <c r="CX80" i="1"/>
  <c r="BM80" i="1"/>
  <c r="BL80" i="1"/>
  <c r="BH80" i="1"/>
  <c r="BD80" i="1"/>
  <c r="AX80" i="1"/>
  <c r="AR80" i="1"/>
  <c r="BE80" i="1" s="1"/>
  <c r="AM80" i="1"/>
  <c r="AK80" i="1" s="1"/>
  <c r="AC80" i="1"/>
  <c r="AB80" i="1"/>
  <c r="AA80" i="1" s="1"/>
  <c r="T80" i="1"/>
  <c r="DA79" i="1"/>
  <c r="CZ79" i="1"/>
  <c r="CX79" i="1"/>
  <c r="CY79" i="1" s="1"/>
  <c r="AZ79" i="1" s="1"/>
  <c r="BB79" i="1" s="1"/>
  <c r="BN79" i="1"/>
  <c r="BO79" i="1" s="1"/>
  <c r="BM79" i="1"/>
  <c r="BL79" i="1"/>
  <c r="BK79" i="1"/>
  <c r="BH79" i="1"/>
  <c r="BJ79" i="1" s="1"/>
  <c r="BD79" i="1"/>
  <c r="AX79" i="1"/>
  <c r="AR79" i="1"/>
  <c r="BE79" i="1" s="1"/>
  <c r="AM79" i="1"/>
  <c r="AK79" i="1" s="1"/>
  <c r="AL79" i="1" s="1"/>
  <c r="AC79" i="1"/>
  <c r="AB79" i="1"/>
  <c r="AA79" i="1" s="1"/>
  <c r="W79" i="1"/>
  <c r="T79" i="1"/>
  <c r="DA78" i="1"/>
  <c r="CZ78" i="1"/>
  <c r="CY78" i="1" s="1"/>
  <c r="AZ78" i="1" s="1"/>
  <c r="BB78" i="1" s="1"/>
  <c r="CX78" i="1"/>
  <c r="BM78" i="1"/>
  <c r="BL78" i="1"/>
  <c r="BK78" i="1"/>
  <c r="BJ78" i="1"/>
  <c r="BN78" i="1" s="1"/>
  <c r="BO78" i="1" s="1"/>
  <c r="BI78" i="1"/>
  <c r="BH78" i="1"/>
  <c r="BD78" i="1"/>
  <c r="AX78" i="1"/>
  <c r="AR78" i="1"/>
  <c r="BE78" i="1" s="1"/>
  <c r="AM78" i="1"/>
  <c r="AK78" i="1" s="1"/>
  <c r="AC78" i="1"/>
  <c r="AB78" i="1"/>
  <c r="AA78" i="1" s="1"/>
  <c r="W78" i="1"/>
  <c r="T78" i="1"/>
  <c r="DA77" i="1"/>
  <c r="CZ77" i="1"/>
  <c r="CX77" i="1"/>
  <c r="BM77" i="1"/>
  <c r="BL77" i="1"/>
  <c r="BJ77" i="1"/>
  <c r="BN77" i="1" s="1"/>
  <c r="BO77" i="1" s="1"/>
  <c r="BH77" i="1"/>
  <c r="BK77" i="1" s="1"/>
  <c r="BD77" i="1"/>
  <c r="AX77" i="1"/>
  <c r="AR77" i="1"/>
  <c r="BE77" i="1" s="1"/>
  <c r="AM77" i="1"/>
  <c r="AK77" i="1" s="1"/>
  <c r="AC77" i="1"/>
  <c r="AA77" i="1" s="1"/>
  <c r="AB77" i="1"/>
  <c r="T77" i="1"/>
  <c r="DA76" i="1"/>
  <c r="CZ76" i="1"/>
  <c r="CX76" i="1"/>
  <c r="BM76" i="1"/>
  <c r="BL76" i="1"/>
  <c r="BH76" i="1"/>
  <c r="BD76" i="1"/>
  <c r="AX76" i="1"/>
  <c r="AR76" i="1"/>
  <c r="BE76" i="1" s="1"/>
  <c r="AM76" i="1"/>
  <c r="AK76" i="1"/>
  <c r="AL76" i="1" s="1"/>
  <c r="AC76" i="1"/>
  <c r="AB76" i="1"/>
  <c r="AA76" i="1"/>
  <c r="T76" i="1"/>
  <c r="R76" i="1"/>
  <c r="O76" i="1"/>
  <c r="N76" i="1"/>
  <c r="BA76" i="1" s="1"/>
  <c r="DA75" i="1"/>
  <c r="W75" i="1" s="1"/>
  <c r="CZ75" i="1"/>
  <c r="CX75" i="1"/>
  <c r="CY75" i="1" s="1"/>
  <c r="AZ75" i="1" s="1"/>
  <c r="BB75" i="1" s="1"/>
  <c r="BN75" i="1"/>
  <c r="BO75" i="1" s="1"/>
  <c r="BM75" i="1"/>
  <c r="BL75" i="1"/>
  <c r="BK75" i="1"/>
  <c r="BJ75" i="1"/>
  <c r="BH75" i="1"/>
  <c r="BI75" i="1" s="1"/>
  <c r="BD75" i="1"/>
  <c r="AX75" i="1"/>
  <c r="AR75" i="1"/>
  <c r="BE75" i="1" s="1"/>
  <c r="AM75" i="1"/>
  <c r="AK75" i="1" s="1"/>
  <c r="AL75" i="1"/>
  <c r="AC75" i="1"/>
  <c r="AB75" i="1"/>
  <c r="AA75" i="1" s="1"/>
  <c r="T75" i="1"/>
  <c r="DA74" i="1"/>
  <c r="CZ74" i="1"/>
  <c r="CY74" i="1" s="1"/>
  <c r="AZ74" i="1" s="1"/>
  <c r="BB74" i="1" s="1"/>
  <c r="CX74" i="1"/>
  <c r="BM74" i="1"/>
  <c r="BL74" i="1"/>
  <c r="BK74" i="1"/>
  <c r="BJ74" i="1"/>
  <c r="BN74" i="1" s="1"/>
  <c r="BO74" i="1" s="1"/>
  <c r="BI74" i="1"/>
  <c r="BH74" i="1"/>
  <c r="BD74" i="1"/>
  <c r="AX74" i="1"/>
  <c r="AR74" i="1"/>
  <c r="BE74" i="1" s="1"/>
  <c r="AM74" i="1"/>
  <c r="AK74" i="1" s="1"/>
  <c r="AC74" i="1"/>
  <c r="AA74" i="1" s="1"/>
  <c r="AB74" i="1"/>
  <c r="W74" i="1"/>
  <c r="T74" i="1"/>
  <c r="R74" i="1"/>
  <c r="DA73" i="1"/>
  <c r="CZ73" i="1"/>
  <c r="CX73" i="1"/>
  <c r="BM73" i="1"/>
  <c r="BL73" i="1"/>
  <c r="BH73" i="1"/>
  <c r="BD73" i="1"/>
  <c r="AX73" i="1"/>
  <c r="AR73" i="1"/>
  <c r="BE73" i="1" s="1"/>
  <c r="AM73" i="1"/>
  <c r="AK73" i="1"/>
  <c r="AL73" i="1" s="1"/>
  <c r="AC73" i="1"/>
  <c r="AB73" i="1"/>
  <c r="AA73" i="1"/>
  <c r="T73" i="1"/>
  <c r="N73" i="1"/>
  <c r="BA73" i="1" s="1"/>
  <c r="DA72" i="1"/>
  <c r="W72" i="1" s="1"/>
  <c r="CZ72" i="1"/>
  <c r="CY72" i="1" s="1"/>
  <c r="AZ72" i="1" s="1"/>
  <c r="BB72" i="1" s="1"/>
  <c r="CX72" i="1"/>
  <c r="BN72" i="1"/>
  <c r="BO72" i="1" s="1"/>
  <c r="BM72" i="1"/>
  <c r="BL72" i="1"/>
  <c r="BK72" i="1"/>
  <c r="BJ72" i="1"/>
  <c r="BI72" i="1"/>
  <c r="BH72" i="1"/>
  <c r="BE72" i="1"/>
  <c r="BD72" i="1"/>
  <c r="AX72" i="1"/>
  <c r="AR72" i="1"/>
  <c r="AM72" i="1"/>
  <c r="AK72" i="1" s="1"/>
  <c r="AL72" i="1"/>
  <c r="AC72" i="1"/>
  <c r="AB72" i="1"/>
  <c r="AA72" i="1" s="1"/>
  <c r="T72" i="1"/>
  <c r="DA71" i="1"/>
  <c r="CZ71" i="1"/>
  <c r="CY71" i="1" s="1"/>
  <c r="AZ71" i="1" s="1"/>
  <c r="BB71" i="1" s="1"/>
  <c r="CX71" i="1"/>
  <c r="BM71" i="1"/>
  <c r="BL71" i="1"/>
  <c r="BK71" i="1"/>
  <c r="BJ71" i="1"/>
  <c r="BN71" i="1" s="1"/>
  <c r="BO71" i="1" s="1"/>
  <c r="BI71" i="1"/>
  <c r="BH71" i="1"/>
  <c r="BD71" i="1"/>
  <c r="AX71" i="1"/>
  <c r="AR71" i="1"/>
  <c r="BE71" i="1" s="1"/>
  <c r="AM71" i="1"/>
  <c r="AK71" i="1"/>
  <c r="N71" i="1" s="1"/>
  <c r="BA71" i="1" s="1"/>
  <c r="AC71" i="1"/>
  <c r="AB71" i="1"/>
  <c r="AA71" i="1"/>
  <c r="W71" i="1"/>
  <c r="T71" i="1"/>
  <c r="R71" i="1"/>
  <c r="O71" i="1"/>
  <c r="DA70" i="1"/>
  <c r="CZ70" i="1"/>
  <c r="CX70" i="1"/>
  <c r="BM70" i="1"/>
  <c r="BL70" i="1"/>
  <c r="BJ70" i="1"/>
  <c r="BN70" i="1" s="1"/>
  <c r="BO70" i="1" s="1"/>
  <c r="BH70" i="1"/>
  <c r="BK70" i="1" s="1"/>
  <c r="BD70" i="1"/>
  <c r="AX70" i="1"/>
  <c r="AR70" i="1"/>
  <c r="BE70" i="1" s="1"/>
  <c r="AM70" i="1"/>
  <c r="AK70" i="1" s="1"/>
  <c r="AC70" i="1"/>
  <c r="AB70" i="1"/>
  <c r="AA70" i="1" s="1"/>
  <c r="T70" i="1"/>
  <c r="DA69" i="1"/>
  <c r="CZ69" i="1"/>
  <c r="CX69" i="1"/>
  <c r="BM69" i="1"/>
  <c r="BL69" i="1"/>
  <c r="BH69" i="1"/>
  <c r="BD69" i="1"/>
  <c r="AX69" i="1"/>
  <c r="AR69" i="1"/>
  <c r="BE69" i="1" s="1"/>
  <c r="AM69" i="1"/>
  <c r="AL69" i="1"/>
  <c r="AK69" i="1"/>
  <c r="R69" i="1" s="1"/>
  <c r="AC69" i="1"/>
  <c r="AB69" i="1"/>
  <c r="AA69" i="1" s="1"/>
  <c r="T69" i="1"/>
  <c r="N69" i="1"/>
  <c r="BA69" i="1" s="1"/>
  <c r="DA68" i="1"/>
  <c r="W68" i="1" s="1"/>
  <c r="CZ68" i="1"/>
  <c r="CY68" i="1" s="1"/>
  <c r="AZ68" i="1" s="1"/>
  <c r="BB68" i="1" s="1"/>
  <c r="CX68" i="1"/>
  <c r="BN68" i="1"/>
  <c r="BO68" i="1" s="1"/>
  <c r="BM68" i="1"/>
  <c r="BL68" i="1"/>
  <c r="BK68" i="1"/>
  <c r="BJ68" i="1"/>
  <c r="BI68" i="1"/>
  <c r="BH68" i="1"/>
  <c r="BE68" i="1"/>
  <c r="BD68" i="1"/>
  <c r="AX68" i="1"/>
  <c r="AR68" i="1"/>
  <c r="AM68" i="1"/>
  <c r="AK68" i="1" s="1"/>
  <c r="AL68" i="1"/>
  <c r="AC68" i="1"/>
  <c r="AB68" i="1"/>
  <c r="AA68" i="1" s="1"/>
  <c r="T68" i="1"/>
  <c r="DA67" i="1"/>
  <c r="CZ67" i="1"/>
  <c r="CY67" i="1" s="1"/>
  <c r="AZ67" i="1" s="1"/>
  <c r="CX67" i="1"/>
  <c r="BM67" i="1"/>
  <c r="BL67" i="1"/>
  <c r="BJ67" i="1"/>
  <c r="BN67" i="1" s="1"/>
  <c r="BO67" i="1" s="1"/>
  <c r="BI67" i="1"/>
  <c r="BH67" i="1"/>
  <c r="BK67" i="1" s="1"/>
  <c r="BD67" i="1"/>
  <c r="BB67" i="1"/>
  <c r="AX67" i="1"/>
  <c r="AR67" i="1"/>
  <c r="BE67" i="1" s="1"/>
  <c r="AM67" i="1"/>
  <c r="AK67" i="1"/>
  <c r="N67" i="1" s="1"/>
  <c r="BA67" i="1" s="1"/>
  <c r="AC67" i="1"/>
  <c r="AB67" i="1"/>
  <c r="AA67" i="1"/>
  <c r="W67" i="1"/>
  <c r="T67" i="1"/>
  <c r="R67" i="1"/>
  <c r="O67" i="1"/>
  <c r="DA66" i="1"/>
  <c r="CZ66" i="1"/>
  <c r="CX66" i="1"/>
  <c r="BM66" i="1"/>
  <c r="BL66" i="1"/>
  <c r="BJ66" i="1"/>
  <c r="BN66" i="1" s="1"/>
  <c r="BO66" i="1" s="1"/>
  <c r="BH66" i="1"/>
  <c r="BK66" i="1" s="1"/>
  <c r="BD66" i="1"/>
  <c r="AX66" i="1"/>
  <c r="AR66" i="1"/>
  <c r="BE66" i="1" s="1"/>
  <c r="AM66" i="1"/>
  <c r="AK66" i="1" s="1"/>
  <c r="AC66" i="1"/>
  <c r="AB66" i="1"/>
  <c r="AA66" i="1" s="1"/>
  <c r="T66" i="1"/>
  <c r="DA65" i="1"/>
  <c r="CZ65" i="1"/>
  <c r="CX65" i="1"/>
  <c r="BM65" i="1"/>
  <c r="BL65" i="1"/>
  <c r="BH65" i="1"/>
  <c r="BD65" i="1"/>
  <c r="AX65" i="1"/>
  <c r="AR65" i="1"/>
  <c r="BE65" i="1" s="1"/>
  <c r="AM65" i="1"/>
  <c r="AL65" i="1"/>
  <c r="AK65" i="1"/>
  <c r="R65" i="1" s="1"/>
  <c r="AC65" i="1"/>
  <c r="AB65" i="1"/>
  <c r="AA65" i="1" s="1"/>
  <c r="T65" i="1"/>
  <c r="N65" i="1"/>
  <c r="BA65" i="1" s="1"/>
  <c r="DA64" i="1"/>
  <c r="W64" i="1" s="1"/>
  <c r="CZ64" i="1"/>
  <c r="CY64" i="1" s="1"/>
  <c r="AZ64" i="1" s="1"/>
  <c r="BB64" i="1" s="1"/>
  <c r="CX64" i="1"/>
  <c r="BN64" i="1"/>
  <c r="BO64" i="1" s="1"/>
  <c r="BM64" i="1"/>
  <c r="BL64" i="1"/>
  <c r="BK64" i="1"/>
  <c r="BJ64" i="1"/>
  <c r="BI64" i="1"/>
  <c r="BH64" i="1"/>
  <c r="BE64" i="1"/>
  <c r="BD64" i="1"/>
  <c r="AX64" i="1"/>
  <c r="AR64" i="1"/>
  <c r="AM64" i="1"/>
  <c r="AK64" i="1" s="1"/>
  <c r="AL64" i="1" s="1"/>
  <c r="AC64" i="1"/>
  <c r="AB64" i="1"/>
  <c r="AA64" i="1" s="1"/>
  <c r="T64" i="1"/>
  <c r="DA63" i="1"/>
  <c r="CZ63" i="1"/>
  <c r="CY63" i="1" s="1"/>
  <c r="AZ63" i="1" s="1"/>
  <c r="CX63" i="1"/>
  <c r="BM63" i="1"/>
  <c r="BL63" i="1"/>
  <c r="BJ63" i="1"/>
  <c r="BN63" i="1" s="1"/>
  <c r="BO63" i="1" s="1"/>
  <c r="BI63" i="1"/>
  <c r="BH63" i="1"/>
  <c r="BK63" i="1" s="1"/>
  <c r="BD63" i="1"/>
  <c r="BB63" i="1"/>
  <c r="AX63" i="1"/>
  <c r="AR63" i="1"/>
  <c r="BE63" i="1" s="1"/>
  <c r="AM63" i="1"/>
  <c r="AK63" i="1"/>
  <c r="N63" i="1" s="1"/>
  <c r="BA63" i="1" s="1"/>
  <c r="AC63" i="1"/>
  <c r="AB63" i="1"/>
  <c r="AA63" i="1"/>
  <c r="W63" i="1"/>
  <c r="T63" i="1"/>
  <c r="R63" i="1"/>
  <c r="O63" i="1"/>
  <c r="DA62" i="1"/>
  <c r="CZ62" i="1"/>
  <c r="CX62" i="1"/>
  <c r="CY62" i="1" s="1"/>
  <c r="AZ62" i="1" s="1"/>
  <c r="BM62" i="1"/>
  <c r="BL62" i="1"/>
  <c r="BJ62" i="1"/>
  <c r="BN62" i="1" s="1"/>
  <c r="BO62" i="1" s="1"/>
  <c r="BH62" i="1"/>
  <c r="BK62" i="1" s="1"/>
  <c r="BD62" i="1"/>
  <c r="AX62" i="1"/>
  <c r="AR62" i="1"/>
  <c r="BE62" i="1" s="1"/>
  <c r="AM62" i="1"/>
  <c r="AK62" i="1" s="1"/>
  <c r="AC62" i="1"/>
  <c r="AB62" i="1"/>
  <c r="AA62" i="1" s="1"/>
  <c r="T62" i="1"/>
  <c r="DA61" i="1"/>
  <c r="CZ61" i="1"/>
  <c r="CX61" i="1"/>
  <c r="BM61" i="1"/>
  <c r="BL61" i="1"/>
  <c r="BH61" i="1"/>
  <c r="BD61" i="1"/>
  <c r="AX61" i="1"/>
  <c r="AR61" i="1"/>
  <c r="BE61" i="1" s="1"/>
  <c r="AM61" i="1"/>
  <c r="AL61" i="1"/>
  <c r="AK61" i="1"/>
  <c r="R61" i="1" s="1"/>
  <c r="AC61" i="1"/>
  <c r="AB61" i="1"/>
  <c r="AA61" i="1" s="1"/>
  <c r="T61" i="1"/>
  <c r="N61" i="1"/>
  <c r="BA61" i="1" s="1"/>
  <c r="DA60" i="1"/>
  <c r="W60" i="1" s="1"/>
  <c r="CZ60" i="1"/>
  <c r="CX60" i="1"/>
  <c r="CY60" i="1" s="1"/>
  <c r="AZ60" i="1" s="1"/>
  <c r="BB60" i="1" s="1"/>
  <c r="BN60" i="1"/>
  <c r="BO60" i="1" s="1"/>
  <c r="BM60" i="1"/>
  <c r="BL60" i="1"/>
  <c r="BK60" i="1"/>
  <c r="BJ60" i="1"/>
  <c r="BH60" i="1"/>
  <c r="BI60" i="1" s="1"/>
  <c r="BE60" i="1"/>
  <c r="BD60" i="1"/>
  <c r="AX60" i="1"/>
  <c r="AR60" i="1"/>
  <c r="AM60" i="1"/>
  <c r="AK60" i="1" s="1"/>
  <c r="AL60" i="1"/>
  <c r="AC60" i="1"/>
  <c r="AB60" i="1"/>
  <c r="AA60" i="1" s="1"/>
  <c r="T60" i="1"/>
  <c r="DA59" i="1"/>
  <c r="CZ59" i="1"/>
  <c r="CY59" i="1" s="1"/>
  <c r="AZ59" i="1" s="1"/>
  <c r="CX59" i="1"/>
  <c r="BM59" i="1"/>
  <c r="BL59" i="1"/>
  <c r="BJ59" i="1"/>
  <c r="BN59" i="1" s="1"/>
  <c r="BO59" i="1" s="1"/>
  <c r="BI59" i="1"/>
  <c r="BH59" i="1"/>
  <c r="BK59" i="1" s="1"/>
  <c r="BD59" i="1"/>
  <c r="BB59" i="1"/>
  <c r="AX59" i="1"/>
  <c r="AR59" i="1"/>
  <c r="BE59" i="1" s="1"/>
  <c r="AM59" i="1"/>
  <c r="AK59" i="1"/>
  <c r="N59" i="1" s="1"/>
  <c r="BA59" i="1" s="1"/>
  <c r="BC59" i="1" s="1"/>
  <c r="AC59" i="1"/>
  <c r="AB59" i="1"/>
  <c r="AA59" i="1"/>
  <c r="W59" i="1"/>
  <c r="T59" i="1"/>
  <c r="R59" i="1"/>
  <c r="O59" i="1"/>
  <c r="DA58" i="1"/>
  <c r="CZ58" i="1"/>
  <c r="CX58" i="1"/>
  <c r="BM58" i="1"/>
  <c r="BL58" i="1"/>
  <c r="BJ58" i="1"/>
  <c r="BN58" i="1" s="1"/>
  <c r="BO58" i="1" s="1"/>
  <c r="BH58" i="1"/>
  <c r="BK58" i="1" s="1"/>
  <c r="BD58" i="1"/>
  <c r="AX58" i="1"/>
  <c r="AR58" i="1"/>
  <c r="BE58" i="1" s="1"/>
  <c r="AM58" i="1"/>
  <c r="AK58" i="1" s="1"/>
  <c r="AC58" i="1"/>
  <c r="AB58" i="1"/>
  <c r="AA58" i="1" s="1"/>
  <c r="T58" i="1"/>
  <c r="DA57" i="1"/>
  <c r="CZ57" i="1"/>
  <c r="CX57" i="1"/>
  <c r="BM57" i="1"/>
  <c r="BL57" i="1"/>
  <c r="BH57" i="1"/>
  <c r="BD57" i="1"/>
  <c r="AX57" i="1"/>
  <c r="AR57" i="1"/>
  <c r="BE57" i="1" s="1"/>
  <c r="AM57" i="1"/>
  <c r="AL57" i="1"/>
  <c r="AK57" i="1"/>
  <c r="R57" i="1" s="1"/>
  <c r="AC57" i="1"/>
  <c r="AB57" i="1"/>
  <c r="AA57" i="1" s="1"/>
  <c r="T57" i="1"/>
  <c r="N57" i="1"/>
  <c r="BA57" i="1" s="1"/>
  <c r="DA56" i="1"/>
  <c r="W56" i="1" s="1"/>
  <c r="CZ56" i="1"/>
  <c r="CX56" i="1"/>
  <c r="CY56" i="1" s="1"/>
  <c r="AZ56" i="1" s="1"/>
  <c r="BB56" i="1" s="1"/>
  <c r="BN56" i="1"/>
  <c r="BO56" i="1" s="1"/>
  <c r="BM56" i="1"/>
  <c r="BL56" i="1"/>
  <c r="BK56" i="1"/>
  <c r="BJ56" i="1"/>
  <c r="BH56" i="1"/>
  <c r="BI56" i="1" s="1"/>
  <c r="BE56" i="1"/>
  <c r="BD56" i="1"/>
  <c r="AX56" i="1"/>
  <c r="AR56" i="1"/>
  <c r="AM56" i="1"/>
  <c r="AK56" i="1" s="1"/>
  <c r="AL56" i="1" s="1"/>
  <c r="AC56" i="1"/>
  <c r="AB56" i="1"/>
  <c r="AA56" i="1" s="1"/>
  <c r="T56" i="1"/>
  <c r="DA55" i="1"/>
  <c r="CZ55" i="1"/>
  <c r="CY55" i="1" s="1"/>
  <c r="AZ55" i="1" s="1"/>
  <c r="BB55" i="1" s="1"/>
  <c r="CX55" i="1"/>
  <c r="BM55" i="1"/>
  <c r="BL55" i="1"/>
  <c r="BJ55" i="1"/>
  <c r="BN55" i="1" s="1"/>
  <c r="BO55" i="1" s="1"/>
  <c r="BI55" i="1"/>
  <c r="BH55" i="1"/>
  <c r="BK55" i="1" s="1"/>
  <c r="BD55" i="1"/>
  <c r="AX55" i="1"/>
  <c r="AR55" i="1"/>
  <c r="BE55" i="1" s="1"/>
  <c r="AM55" i="1"/>
  <c r="AK55" i="1"/>
  <c r="N55" i="1" s="1"/>
  <c r="BA55" i="1" s="1"/>
  <c r="AC55" i="1"/>
  <c r="AB55" i="1"/>
  <c r="AA55" i="1"/>
  <c r="W55" i="1"/>
  <c r="T55" i="1"/>
  <c r="R55" i="1"/>
  <c r="O55" i="1"/>
  <c r="DA54" i="1"/>
  <c r="CZ54" i="1"/>
  <c r="CX54" i="1"/>
  <c r="BM54" i="1"/>
  <c r="BL54" i="1"/>
  <c r="BH54" i="1"/>
  <c r="BD54" i="1"/>
  <c r="AX54" i="1"/>
  <c r="AR54" i="1"/>
  <c r="BE54" i="1" s="1"/>
  <c r="AM54" i="1"/>
  <c r="AK54" i="1" s="1"/>
  <c r="AC54" i="1"/>
  <c r="AB54" i="1"/>
  <c r="AA54" i="1" s="1"/>
  <c r="T54" i="1"/>
  <c r="N54" i="1"/>
  <c r="BA54" i="1" s="1"/>
  <c r="DA53" i="1"/>
  <c r="CZ53" i="1"/>
  <c r="CX53" i="1"/>
  <c r="BM53" i="1"/>
  <c r="BL53" i="1"/>
  <c r="BH53" i="1"/>
  <c r="BD53" i="1"/>
  <c r="AX53" i="1"/>
  <c r="AR53" i="1"/>
  <c r="BE53" i="1" s="1"/>
  <c r="AM53" i="1"/>
  <c r="AL53" i="1"/>
  <c r="AK53" i="1"/>
  <c r="R53" i="1" s="1"/>
  <c r="AC53" i="1"/>
  <c r="AB53" i="1"/>
  <c r="AA53" i="1" s="1"/>
  <c r="T53" i="1"/>
  <c r="N53" i="1"/>
  <c r="BA53" i="1" s="1"/>
  <c r="DA52" i="1"/>
  <c r="W52" i="1" s="1"/>
  <c r="CZ52" i="1"/>
  <c r="CX52" i="1"/>
  <c r="CY52" i="1" s="1"/>
  <c r="AZ52" i="1" s="1"/>
  <c r="BN52" i="1"/>
  <c r="BO52" i="1" s="1"/>
  <c r="BM52" i="1"/>
  <c r="BL52" i="1"/>
  <c r="BK52" i="1"/>
  <c r="BJ52" i="1"/>
  <c r="BH52" i="1"/>
  <c r="BI52" i="1" s="1"/>
  <c r="BE52" i="1"/>
  <c r="BD52" i="1"/>
  <c r="BB52" i="1"/>
  <c r="AX52" i="1"/>
  <c r="AR52" i="1"/>
  <c r="AM52" i="1"/>
  <c r="AK52" i="1" s="1"/>
  <c r="AL52" i="1" s="1"/>
  <c r="AC52" i="1"/>
  <c r="AB52" i="1"/>
  <c r="AA52" i="1" s="1"/>
  <c r="T52" i="1"/>
  <c r="R52" i="1"/>
  <c r="DA51" i="1"/>
  <c r="CZ51" i="1"/>
  <c r="CY51" i="1" s="1"/>
  <c r="AZ51" i="1" s="1"/>
  <c r="CX51" i="1"/>
  <c r="BM51" i="1"/>
  <c r="BL51" i="1"/>
  <c r="BJ51" i="1"/>
  <c r="BN51" i="1" s="1"/>
  <c r="BO51" i="1" s="1"/>
  <c r="BI51" i="1"/>
  <c r="BH51" i="1"/>
  <c r="BK51" i="1" s="1"/>
  <c r="BD51" i="1"/>
  <c r="BB51" i="1"/>
  <c r="AX51" i="1"/>
  <c r="AR51" i="1"/>
  <c r="BE51" i="1" s="1"/>
  <c r="AM51" i="1"/>
  <c r="AK51" i="1"/>
  <c r="N51" i="1" s="1"/>
  <c r="BA51" i="1" s="1"/>
  <c r="AC51" i="1"/>
  <c r="AB51" i="1"/>
  <c r="AA51" i="1"/>
  <c r="W51" i="1"/>
  <c r="T51" i="1"/>
  <c r="R51" i="1"/>
  <c r="O51" i="1"/>
  <c r="DA50" i="1"/>
  <c r="CZ50" i="1"/>
  <c r="CX50" i="1"/>
  <c r="BM50" i="1"/>
  <c r="BL50" i="1"/>
  <c r="BH50" i="1"/>
  <c r="BE50" i="1"/>
  <c r="BD50" i="1"/>
  <c r="AX50" i="1"/>
  <c r="AR50" i="1"/>
  <c r="AM50" i="1"/>
  <c r="AK50" i="1" s="1"/>
  <c r="AC50" i="1"/>
  <c r="AB50" i="1"/>
  <c r="T50" i="1"/>
  <c r="N50" i="1"/>
  <c r="BA50" i="1" s="1"/>
  <c r="M50" i="1"/>
  <c r="L50" i="1" s="1"/>
  <c r="AE50" i="1" s="1"/>
  <c r="DA49" i="1"/>
  <c r="CZ49" i="1"/>
  <c r="CX49" i="1"/>
  <c r="BM49" i="1"/>
  <c r="BL49" i="1"/>
  <c r="BH49" i="1"/>
  <c r="BE49" i="1"/>
  <c r="BD49" i="1"/>
  <c r="AX49" i="1"/>
  <c r="AR49" i="1"/>
  <c r="AM49" i="1"/>
  <c r="AK49" i="1"/>
  <c r="AC49" i="1"/>
  <c r="AB49" i="1"/>
  <c r="AA49" i="1" s="1"/>
  <c r="T49" i="1"/>
  <c r="DA48" i="1"/>
  <c r="W48" i="1" s="1"/>
  <c r="CZ48" i="1"/>
  <c r="CX48" i="1"/>
  <c r="CY48" i="1" s="1"/>
  <c r="BN48" i="1"/>
  <c r="BO48" i="1" s="1"/>
  <c r="BM48" i="1"/>
  <c r="BL48" i="1"/>
  <c r="BK48" i="1"/>
  <c r="BJ48" i="1"/>
  <c r="BH48" i="1"/>
  <c r="BI48" i="1" s="1"/>
  <c r="BE48" i="1"/>
  <c r="BD48" i="1"/>
  <c r="AZ48" i="1"/>
  <c r="BB48" i="1" s="1"/>
  <c r="AX48" i="1"/>
  <c r="AR48" i="1"/>
  <c r="AM48" i="1"/>
  <c r="AK48" i="1"/>
  <c r="AC48" i="1"/>
  <c r="AB48" i="1"/>
  <c r="AA48" i="1" s="1"/>
  <c r="T48" i="1"/>
  <c r="DA47" i="1"/>
  <c r="CZ47" i="1"/>
  <c r="CX47" i="1"/>
  <c r="BM47" i="1"/>
  <c r="BL47" i="1"/>
  <c r="BH47" i="1"/>
  <c r="BD47" i="1"/>
  <c r="AX47" i="1"/>
  <c r="AR47" i="1"/>
  <c r="BE47" i="1" s="1"/>
  <c r="AM47" i="1"/>
  <c r="AK47" i="1"/>
  <c r="O47" i="1" s="1"/>
  <c r="AC47" i="1"/>
  <c r="AB47" i="1"/>
  <c r="AA47" i="1"/>
  <c r="W47" i="1"/>
  <c r="T47" i="1"/>
  <c r="R47" i="1"/>
  <c r="N47" i="1"/>
  <c r="BA47" i="1" s="1"/>
  <c r="DA46" i="1"/>
  <c r="W46" i="1" s="1"/>
  <c r="CZ46" i="1"/>
  <c r="CY46" i="1"/>
  <c r="AZ46" i="1" s="1"/>
  <c r="CX46" i="1"/>
  <c r="BM46" i="1"/>
  <c r="BL46" i="1"/>
  <c r="BK46" i="1"/>
  <c r="BJ46" i="1"/>
  <c r="BN46" i="1" s="1"/>
  <c r="BO46" i="1" s="1"/>
  <c r="BI46" i="1"/>
  <c r="BH46" i="1"/>
  <c r="BE46" i="1"/>
  <c r="BD46" i="1"/>
  <c r="AX46" i="1"/>
  <c r="AR46" i="1"/>
  <c r="AM46" i="1"/>
  <c r="AK46" i="1" s="1"/>
  <c r="AC46" i="1"/>
  <c r="AB46" i="1"/>
  <c r="T46" i="1"/>
  <c r="DA45" i="1"/>
  <c r="CZ45" i="1"/>
  <c r="CY45" i="1"/>
  <c r="AZ45" i="1" s="1"/>
  <c r="CX45" i="1"/>
  <c r="BM45" i="1"/>
  <c r="BL45" i="1"/>
  <c r="BH45" i="1"/>
  <c r="BE45" i="1"/>
  <c r="BD45" i="1"/>
  <c r="AX45" i="1"/>
  <c r="BB45" i="1" s="1"/>
  <c r="AR45" i="1"/>
  <c r="AM45" i="1"/>
  <c r="AL45" i="1"/>
  <c r="AK45" i="1"/>
  <c r="R45" i="1" s="1"/>
  <c r="AC45" i="1"/>
  <c r="AB45" i="1"/>
  <c r="AA45" i="1" s="1"/>
  <c r="W45" i="1"/>
  <c r="T45" i="1"/>
  <c r="N45" i="1"/>
  <c r="BA45" i="1" s="1"/>
  <c r="BC45" i="1" s="1"/>
  <c r="M45" i="1"/>
  <c r="L45" i="1" s="1"/>
  <c r="AE45" i="1" s="1"/>
  <c r="DA44" i="1"/>
  <c r="W44" i="1" s="1"/>
  <c r="CZ44" i="1"/>
  <c r="CX44" i="1"/>
  <c r="CY44" i="1" s="1"/>
  <c r="AZ44" i="1" s="1"/>
  <c r="BM44" i="1"/>
  <c r="BL44" i="1"/>
  <c r="BK44" i="1"/>
  <c r="BJ44" i="1"/>
  <c r="BN44" i="1" s="1"/>
  <c r="BO44" i="1" s="1"/>
  <c r="BH44" i="1"/>
  <c r="BI44" i="1" s="1"/>
  <c r="BE44" i="1"/>
  <c r="BD44" i="1"/>
  <c r="BB44" i="1"/>
  <c r="AX44" i="1"/>
  <c r="AR44" i="1"/>
  <c r="AM44" i="1"/>
  <c r="AK44" i="1" s="1"/>
  <c r="AC44" i="1"/>
  <c r="AB44" i="1"/>
  <c r="AA44" i="1" s="1"/>
  <c r="T44" i="1"/>
  <c r="N44" i="1"/>
  <c r="BA44" i="1" s="1"/>
  <c r="BC44" i="1" s="1"/>
  <c r="DA43" i="1"/>
  <c r="CZ43" i="1"/>
  <c r="CY43" i="1"/>
  <c r="AZ43" i="1" s="1"/>
  <c r="CX43" i="1"/>
  <c r="BM43" i="1"/>
  <c r="BL43" i="1"/>
  <c r="BI43" i="1"/>
  <c r="BH43" i="1"/>
  <c r="BK43" i="1" s="1"/>
  <c r="BD43" i="1"/>
  <c r="AX43" i="1"/>
  <c r="BB43" i="1" s="1"/>
  <c r="AR43" i="1"/>
  <c r="BE43" i="1" s="1"/>
  <c r="AM43" i="1"/>
  <c r="AK43" i="1" s="1"/>
  <c r="O43" i="1" s="1"/>
  <c r="AC43" i="1"/>
  <c r="AB43" i="1"/>
  <c r="AA43" i="1" s="1"/>
  <c r="W43" i="1"/>
  <c r="T43" i="1"/>
  <c r="DA42" i="1"/>
  <c r="CZ42" i="1"/>
  <c r="CY42" i="1" s="1"/>
  <c r="AZ42" i="1" s="1"/>
  <c r="CX42" i="1"/>
  <c r="BO42" i="1"/>
  <c r="BN42" i="1"/>
  <c r="BM42" i="1"/>
  <c r="BL42" i="1"/>
  <c r="BK42" i="1"/>
  <c r="BJ42" i="1"/>
  <c r="BI42" i="1"/>
  <c r="BH42" i="1"/>
  <c r="BE42" i="1"/>
  <c r="BD42" i="1"/>
  <c r="BB42" i="1"/>
  <c r="AX42" i="1"/>
  <c r="AR42" i="1"/>
  <c r="AM42" i="1"/>
  <c r="AK42" i="1" s="1"/>
  <c r="AC42" i="1"/>
  <c r="AB42" i="1"/>
  <c r="W42" i="1"/>
  <c r="T42" i="1"/>
  <c r="R42" i="1"/>
  <c r="DA41" i="1"/>
  <c r="CZ41" i="1"/>
  <c r="CX41" i="1"/>
  <c r="CY41" i="1" s="1"/>
  <c r="AZ41" i="1" s="1"/>
  <c r="BB41" i="1" s="1"/>
  <c r="BM41" i="1"/>
  <c r="BL41" i="1"/>
  <c r="BJ41" i="1"/>
  <c r="BN41" i="1" s="1"/>
  <c r="BO41" i="1" s="1"/>
  <c r="BH41" i="1"/>
  <c r="BI41" i="1" s="1"/>
  <c r="BD41" i="1"/>
  <c r="AX41" i="1"/>
  <c r="AR41" i="1"/>
  <c r="BE41" i="1" s="1"/>
  <c r="AM41" i="1"/>
  <c r="AK41" i="1"/>
  <c r="AC41" i="1"/>
  <c r="AB41" i="1"/>
  <c r="AA41" i="1"/>
  <c r="T41" i="1"/>
  <c r="DA40" i="1"/>
  <c r="CZ40" i="1"/>
  <c r="CX40" i="1"/>
  <c r="BM40" i="1"/>
  <c r="BL40" i="1"/>
  <c r="BK40" i="1"/>
  <c r="BH40" i="1"/>
  <c r="BD40" i="1"/>
  <c r="AX40" i="1"/>
  <c r="AR40" i="1"/>
  <c r="BE40" i="1" s="1"/>
  <c r="AM40" i="1"/>
  <c r="AL40" i="1"/>
  <c r="AK40" i="1"/>
  <c r="M40" i="1" s="1"/>
  <c r="L40" i="1" s="1"/>
  <c r="AC40" i="1"/>
  <c r="AB40" i="1"/>
  <c r="AA40" i="1" s="1"/>
  <c r="T40" i="1"/>
  <c r="O40" i="1"/>
  <c r="N40" i="1"/>
  <c r="BA40" i="1" s="1"/>
  <c r="DA39" i="1"/>
  <c r="CZ39" i="1"/>
  <c r="CY39" i="1"/>
  <c r="AZ39" i="1" s="1"/>
  <c r="CX39" i="1"/>
  <c r="BM39" i="1"/>
  <c r="BL39" i="1"/>
  <c r="BI39" i="1"/>
  <c r="BH39" i="1"/>
  <c r="BK39" i="1" s="1"/>
  <c r="BD39" i="1"/>
  <c r="AX39" i="1"/>
  <c r="BB39" i="1" s="1"/>
  <c r="AR39" i="1"/>
  <c r="BE39" i="1" s="1"/>
  <c r="AM39" i="1"/>
  <c r="AK39" i="1" s="1"/>
  <c r="AL39" i="1"/>
  <c r="AC39" i="1"/>
  <c r="AB39" i="1"/>
  <c r="AA39" i="1" s="1"/>
  <c r="W39" i="1"/>
  <c r="T39" i="1"/>
  <c r="DA38" i="1"/>
  <c r="CZ38" i="1"/>
  <c r="CY38" i="1" s="1"/>
  <c r="AZ38" i="1" s="1"/>
  <c r="CX38" i="1"/>
  <c r="BO38" i="1"/>
  <c r="BN38" i="1"/>
  <c r="BM38" i="1"/>
  <c r="BL38" i="1"/>
  <c r="BK38" i="1"/>
  <c r="BJ38" i="1"/>
  <c r="BI38" i="1"/>
  <c r="BH38" i="1"/>
  <c r="BE38" i="1"/>
  <c r="BD38" i="1"/>
  <c r="BB38" i="1"/>
  <c r="AX38" i="1"/>
  <c r="AR38" i="1"/>
  <c r="AM38" i="1"/>
  <c r="AK38" i="1" s="1"/>
  <c r="M38" i="1" s="1"/>
  <c r="L38" i="1" s="1"/>
  <c r="AC38" i="1"/>
  <c r="AB38" i="1"/>
  <c r="W38" i="1"/>
  <c r="T38" i="1"/>
  <c r="R38" i="1"/>
  <c r="DA37" i="1"/>
  <c r="CZ37" i="1"/>
  <c r="CX37" i="1"/>
  <c r="BM37" i="1"/>
  <c r="BL37" i="1"/>
  <c r="BJ37" i="1"/>
  <c r="BN37" i="1" s="1"/>
  <c r="BO37" i="1" s="1"/>
  <c r="BH37" i="1"/>
  <c r="BI37" i="1" s="1"/>
  <c r="BD37" i="1"/>
  <c r="AX37" i="1"/>
  <c r="AR37" i="1"/>
  <c r="BE37" i="1" s="1"/>
  <c r="AM37" i="1"/>
  <c r="AK37" i="1"/>
  <c r="AC37" i="1"/>
  <c r="AB37" i="1"/>
  <c r="AA37" i="1"/>
  <c r="T37" i="1"/>
  <c r="R37" i="1"/>
  <c r="DA36" i="1"/>
  <c r="CZ36" i="1"/>
  <c r="CX36" i="1"/>
  <c r="BM36" i="1"/>
  <c r="BL36" i="1"/>
  <c r="BJ36" i="1"/>
  <c r="BN36" i="1" s="1"/>
  <c r="BO36" i="1" s="1"/>
  <c r="BH36" i="1"/>
  <c r="BI36" i="1" s="1"/>
  <c r="BD36" i="1"/>
  <c r="BA36" i="1"/>
  <c r="AX36" i="1"/>
  <c r="AR36" i="1"/>
  <c r="BE36" i="1" s="1"/>
  <c r="AM36" i="1"/>
  <c r="AL36" i="1"/>
  <c r="AK36" i="1"/>
  <c r="M36" i="1" s="1"/>
  <c r="L36" i="1" s="1"/>
  <c r="AC36" i="1"/>
  <c r="AB36" i="1"/>
  <c r="AA36" i="1" s="1"/>
  <c r="T36" i="1"/>
  <c r="O36" i="1"/>
  <c r="N36" i="1"/>
  <c r="DA35" i="1"/>
  <c r="CZ35" i="1"/>
  <c r="CX35" i="1"/>
  <c r="CY35" i="1" s="1"/>
  <c r="AZ35" i="1" s="1"/>
  <c r="BM35" i="1"/>
  <c r="BL35" i="1"/>
  <c r="BH35" i="1"/>
  <c r="BI35" i="1" s="1"/>
  <c r="BD35" i="1"/>
  <c r="AX35" i="1"/>
  <c r="AR35" i="1"/>
  <c r="BE35" i="1" s="1"/>
  <c r="AM35" i="1"/>
  <c r="AK35" i="1" s="1"/>
  <c r="M35" i="1" s="1"/>
  <c r="AL35" i="1"/>
  <c r="AE35" i="1"/>
  <c r="AC35" i="1"/>
  <c r="AB35" i="1"/>
  <c r="AA35" i="1" s="1"/>
  <c r="T35" i="1"/>
  <c r="R35" i="1"/>
  <c r="O35" i="1"/>
  <c r="L35" i="1"/>
  <c r="DA34" i="1"/>
  <c r="CZ34" i="1"/>
  <c r="CY34" i="1" s="1"/>
  <c r="AZ34" i="1" s="1"/>
  <c r="BB34" i="1" s="1"/>
  <c r="CX34" i="1"/>
  <c r="BN34" i="1"/>
  <c r="BO34" i="1" s="1"/>
  <c r="BM34" i="1"/>
  <c r="BL34" i="1"/>
  <c r="BK34" i="1"/>
  <c r="BJ34" i="1"/>
  <c r="BI34" i="1"/>
  <c r="BH34" i="1"/>
  <c r="BE34" i="1"/>
  <c r="BD34" i="1"/>
  <c r="AX34" i="1"/>
  <c r="AR34" i="1"/>
  <c r="AM34" i="1"/>
  <c r="AK34" i="1" s="1"/>
  <c r="AL34" i="1"/>
  <c r="AC34" i="1"/>
  <c r="AB34" i="1"/>
  <c r="W34" i="1"/>
  <c r="T34" i="1"/>
  <c r="R34" i="1"/>
  <c r="DA33" i="1"/>
  <c r="CZ33" i="1"/>
  <c r="CX33" i="1"/>
  <c r="BM33" i="1"/>
  <c r="BL33" i="1"/>
  <c r="BJ33" i="1"/>
  <c r="BN33" i="1" s="1"/>
  <c r="BO33" i="1" s="1"/>
  <c r="BH33" i="1"/>
  <c r="BD33" i="1"/>
  <c r="AX33" i="1"/>
  <c r="AR33" i="1"/>
  <c r="BE33" i="1" s="1"/>
  <c r="AM33" i="1"/>
  <c r="AK33" i="1"/>
  <c r="AC33" i="1"/>
  <c r="AB33" i="1"/>
  <c r="AA33" i="1"/>
  <c r="T33" i="1"/>
  <c r="R33" i="1"/>
  <c r="N33" i="1"/>
  <c r="BA33" i="1" s="1"/>
  <c r="DA32" i="1"/>
  <c r="CZ32" i="1"/>
  <c r="CX32" i="1"/>
  <c r="BM32" i="1"/>
  <c r="BL32" i="1"/>
  <c r="BJ32" i="1"/>
  <c r="BN32" i="1" s="1"/>
  <c r="BO32" i="1" s="1"/>
  <c r="BH32" i="1"/>
  <c r="BI32" i="1" s="1"/>
  <c r="BD32" i="1"/>
  <c r="BA32" i="1"/>
  <c r="AX32" i="1"/>
  <c r="AR32" i="1"/>
  <c r="BE32" i="1" s="1"/>
  <c r="AM32" i="1"/>
  <c r="AL32" i="1"/>
  <c r="AK32" i="1"/>
  <c r="M32" i="1" s="1"/>
  <c r="L32" i="1" s="1"/>
  <c r="AC32" i="1"/>
  <c r="AB32" i="1"/>
  <c r="AA32" i="1" s="1"/>
  <c r="T32" i="1"/>
  <c r="O32" i="1"/>
  <c r="N32" i="1"/>
  <c r="DA31" i="1"/>
  <c r="CZ31" i="1"/>
  <c r="CX31" i="1"/>
  <c r="CY31" i="1" s="1"/>
  <c r="AZ31" i="1" s="1"/>
  <c r="BB31" i="1" s="1"/>
  <c r="BM31" i="1"/>
  <c r="BL31" i="1"/>
  <c r="BI31" i="1"/>
  <c r="BH31" i="1"/>
  <c r="BJ31" i="1" s="1"/>
  <c r="BN31" i="1" s="1"/>
  <c r="BO31" i="1" s="1"/>
  <c r="BD31" i="1"/>
  <c r="AX31" i="1"/>
  <c r="AR31" i="1"/>
  <c r="BE31" i="1" s="1"/>
  <c r="AM31" i="1"/>
  <c r="AK31" i="1" s="1"/>
  <c r="R31" i="1" s="1"/>
  <c r="AL31" i="1"/>
  <c r="AC31" i="1"/>
  <c r="AB31" i="1"/>
  <c r="AA31" i="1" s="1"/>
  <c r="W31" i="1"/>
  <c r="T31" i="1"/>
  <c r="O31" i="1"/>
  <c r="N31" i="1"/>
  <c r="BA31" i="1" s="1"/>
  <c r="M31" i="1"/>
  <c r="L31" i="1" s="1"/>
  <c r="DA30" i="1"/>
  <c r="CZ30" i="1"/>
  <c r="CY30" i="1" s="1"/>
  <c r="AZ30" i="1" s="1"/>
  <c r="BB30" i="1" s="1"/>
  <c r="CX30" i="1"/>
  <c r="BM30" i="1"/>
  <c r="BL30" i="1"/>
  <c r="BK30" i="1"/>
  <c r="BJ30" i="1"/>
  <c r="BN30" i="1" s="1"/>
  <c r="BO30" i="1" s="1"/>
  <c r="BI30" i="1"/>
  <c r="BH30" i="1"/>
  <c r="BE30" i="1"/>
  <c r="BD30" i="1"/>
  <c r="AX30" i="1"/>
  <c r="AR30" i="1"/>
  <c r="AM30" i="1"/>
  <c r="AK30" i="1" s="1"/>
  <c r="AC30" i="1"/>
  <c r="AA30" i="1" s="1"/>
  <c r="AB30" i="1"/>
  <c r="W30" i="1"/>
  <c r="T30" i="1"/>
  <c r="DA29" i="1"/>
  <c r="CZ29" i="1"/>
  <c r="CX29" i="1"/>
  <c r="BM29" i="1"/>
  <c r="BL29" i="1"/>
  <c r="BJ29" i="1"/>
  <c r="BN29" i="1" s="1"/>
  <c r="BO29" i="1" s="1"/>
  <c r="BH29" i="1"/>
  <c r="BI29" i="1" s="1"/>
  <c r="BD29" i="1"/>
  <c r="AX29" i="1"/>
  <c r="AR29" i="1"/>
  <c r="BE29" i="1" s="1"/>
  <c r="AM29" i="1"/>
  <c r="AK29" i="1"/>
  <c r="N29" i="1" s="1"/>
  <c r="BA29" i="1" s="1"/>
  <c r="AC29" i="1"/>
  <c r="AA29" i="1" s="1"/>
  <c r="AB29" i="1"/>
  <c r="T29" i="1"/>
  <c r="DA28" i="1"/>
  <c r="CZ28" i="1"/>
  <c r="CY28" i="1" s="1"/>
  <c r="AZ28" i="1" s="1"/>
  <c r="CX28" i="1"/>
  <c r="W28" i="1" s="1"/>
  <c r="BM28" i="1"/>
  <c r="BL28" i="1"/>
  <c r="BI28" i="1"/>
  <c r="BH28" i="1"/>
  <c r="BK28" i="1" s="1"/>
  <c r="BD28" i="1"/>
  <c r="AX28" i="1"/>
  <c r="AR28" i="1"/>
  <c r="BE28" i="1" s="1"/>
  <c r="AM28" i="1"/>
  <c r="AL28" i="1"/>
  <c r="AK28" i="1"/>
  <c r="AC28" i="1"/>
  <c r="AB28" i="1"/>
  <c r="AA28" i="1" s="1"/>
  <c r="T28" i="1"/>
  <c r="O28" i="1"/>
  <c r="N28" i="1"/>
  <c r="BA28" i="1" s="1"/>
  <c r="BC28" i="1" s="1"/>
  <c r="DA27" i="1"/>
  <c r="CZ27" i="1"/>
  <c r="CX27" i="1"/>
  <c r="W27" i="1" s="1"/>
  <c r="BO27" i="1"/>
  <c r="BN27" i="1"/>
  <c r="BM27" i="1"/>
  <c r="BL27" i="1"/>
  <c r="BK27" i="1"/>
  <c r="BI27" i="1"/>
  <c r="BH27" i="1"/>
  <c r="BJ27" i="1" s="1"/>
  <c r="BE27" i="1"/>
  <c r="BD27" i="1"/>
  <c r="AX27" i="1"/>
  <c r="AR27" i="1"/>
  <c r="AM27" i="1"/>
  <c r="AK27" i="1" s="1"/>
  <c r="R27" i="1" s="1"/>
  <c r="AC27" i="1"/>
  <c r="AB27" i="1"/>
  <c r="AA27" i="1" s="1"/>
  <c r="T27" i="1"/>
  <c r="O27" i="1"/>
  <c r="M27" i="1"/>
  <c r="L27" i="1" s="1"/>
  <c r="DA26" i="1"/>
  <c r="CZ26" i="1"/>
  <c r="CY26" i="1" s="1"/>
  <c r="AZ26" i="1" s="1"/>
  <c r="BB26" i="1" s="1"/>
  <c r="CX26" i="1"/>
  <c r="BM26" i="1"/>
  <c r="BL26" i="1"/>
  <c r="BK26" i="1"/>
  <c r="BJ26" i="1"/>
  <c r="BN26" i="1" s="1"/>
  <c r="BO26" i="1" s="1"/>
  <c r="BI26" i="1"/>
  <c r="BH26" i="1"/>
  <c r="BE26" i="1"/>
  <c r="BD26" i="1"/>
  <c r="AX26" i="1"/>
  <c r="AR26" i="1"/>
  <c r="AM26" i="1"/>
  <c r="AK26" i="1" s="1"/>
  <c r="AC26" i="1"/>
  <c r="AA26" i="1" s="1"/>
  <c r="AB26" i="1"/>
  <c r="W26" i="1"/>
  <c r="T26" i="1"/>
  <c r="DA25" i="1"/>
  <c r="CZ25" i="1"/>
  <c r="CX25" i="1"/>
  <c r="BM25" i="1"/>
  <c r="BL25" i="1"/>
  <c r="BJ25" i="1"/>
  <c r="BN25" i="1" s="1"/>
  <c r="BO25" i="1" s="1"/>
  <c r="BH25" i="1"/>
  <c r="BI25" i="1" s="1"/>
  <c r="BD25" i="1"/>
  <c r="AX25" i="1"/>
  <c r="AR25" i="1"/>
  <c r="BE25" i="1" s="1"/>
  <c r="AM25" i="1"/>
  <c r="AK25" i="1"/>
  <c r="N25" i="1" s="1"/>
  <c r="BA25" i="1" s="1"/>
  <c r="AC25" i="1"/>
  <c r="AA25" i="1" s="1"/>
  <c r="AB25" i="1"/>
  <c r="T25" i="1"/>
  <c r="DA24" i="1"/>
  <c r="CZ24" i="1"/>
  <c r="CY24" i="1" s="1"/>
  <c r="AZ24" i="1" s="1"/>
  <c r="CX24" i="1"/>
  <c r="W24" i="1" s="1"/>
  <c r="BM24" i="1"/>
  <c r="BL24" i="1"/>
  <c r="BI24" i="1"/>
  <c r="BH24" i="1"/>
  <c r="BK24" i="1" s="1"/>
  <c r="BD24" i="1"/>
  <c r="AX24" i="1"/>
  <c r="AR24" i="1"/>
  <c r="BE24" i="1" s="1"/>
  <c r="AM24" i="1"/>
  <c r="AL24" i="1"/>
  <c r="AK24" i="1"/>
  <c r="AC24" i="1"/>
  <c r="AB24" i="1"/>
  <c r="AA24" i="1" s="1"/>
  <c r="T24" i="1"/>
  <c r="O24" i="1"/>
  <c r="N24" i="1"/>
  <c r="BA24" i="1" s="1"/>
  <c r="BC24" i="1" s="1"/>
  <c r="DA23" i="1"/>
  <c r="CZ23" i="1"/>
  <c r="CX23" i="1"/>
  <c r="CY23" i="1" s="1"/>
  <c r="AZ23" i="1" s="1"/>
  <c r="BM23" i="1"/>
  <c r="BL23" i="1"/>
  <c r="BH23" i="1"/>
  <c r="BK23" i="1" s="1"/>
  <c r="BD23" i="1"/>
  <c r="AX23" i="1"/>
  <c r="BB23" i="1" s="1"/>
  <c r="AR23" i="1"/>
  <c r="BE23" i="1" s="1"/>
  <c r="AM23" i="1"/>
  <c r="AK23" i="1" s="1"/>
  <c r="AC23" i="1"/>
  <c r="AA23" i="1" s="1"/>
  <c r="AB23" i="1"/>
  <c r="T23" i="1"/>
  <c r="DA22" i="1"/>
  <c r="CZ22" i="1"/>
  <c r="CX22" i="1"/>
  <c r="CY22" i="1" s="1"/>
  <c r="AZ22" i="1" s="1"/>
  <c r="BB22" i="1" s="1"/>
  <c r="BM22" i="1"/>
  <c r="BL22" i="1"/>
  <c r="BK22" i="1"/>
  <c r="BH22" i="1"/>
  <c r="BJ22" i="1" s="1"/>
  <c r="BN22" i="1" s="1"/>
  <c r="BO22" i="1" s="1"/>
  <c r="BD22" i="1"/>
  <c r="AX22" i="1"/>
  <c r="AR22" i="1"/>
  <c r="BE22" i="1" s="1"/>
  <c r="AM22" i="1"/>
  <c r="AL22" i="1"/>
  <c r="AK22" i="1"/>
  <c r="R22" i="1" s="1"/>
  <c r="AC22" i="1"/>
  <c r="AB22" i="1"/>
  <c r="AA22" i="1" s="1"/>
  <c r="T22" i="1"/>
  <c r="DA21" i="1"/>
  <c r="W21" i="1" s="1"/>
  <c r="CZ21" i="1"/>
  <c r="CY21" i="1"/>
  <c r="AZ21" i="1" s="1"/>
  <c r="BB21" i="1" s="1"/>
  <c r="CX21" i="1"/>
  <c r="BM21" i="1"/>
  <c r="BL21" i="1"/>
  <c r="BK21" i="1"/>
  <c r="BJ21" i="1"/>
  <c r="BN21" i="1" s="1"/>
  <c r="BO21" i="1" s="1"/>
  <c r="BI21" i="1"/>
  <c r="BH21" i="1"/>
  <c r="BE21" i="1"/>
  <c r="BD21" i="1"/>
  <c r="AX21" i="1"/>
  <c r="AR21" i="1"/>
  <c r="AM21" i="1"/>
  <c r="AK21" i="1" s="1"/>
  <c r="AC21" i="1"/>
  <c r="AB21" i="1"/>
  <c r="AA21" i="1" s="1"/>
  <c r="T21" i="1"/>
  <c r="DA20" i="1"/>
  <c r="CZ20" i="1"/>
  <c r="CY20" i="1" s="1"/>
  <c r="AZ20" i="1" s="1"/>
  <c r="CX20" i="1"/>
  <c r="BM20" i="1"/>
  <c r="BL20" i="1"/>
  <c r="BJ20" i="1"/>
  <c r="BN20" i="1" s="1"/>
  <c r="BO20" i="1" s="1"/>
  <c r="BI20" i="1"/>
  <c r="BH20" i="1"/>
  <c r="BK20" i="1" s="1"/>
  <c r="BE20" i="1"/>
  <c r="BD20" i="1"/>
  <c r="AX20" i="1"/>
  <c r="BB20" i="1" s="1"/>
  <c r="AR20" i="1"/>
  <c r="AM20" i="1"/>
  <c r="AK20" i="1" s="1"/>
  <c r="AC20" i="1"/>
  <c r="AA20" i="1" s="1"/>
  <c r="AB20" i="1"/>
  <c r="W20" i="1"/>
  <c r="T20" i="1"/>
  <c r="DA19" i="1"/>
  <c r="CZ19" i="1"/>
  <c r="CX19" i="1"/>
  <c r="CY19" i="1" s="1"/>
  <c r="AZ19" i="1" s="1"/>
  <c r="BB19" i="1" s="1"/>
  <c r="BM19" i="1"/>
  <c r="BL19" i="1"/>
  <c r="BH19" i="1"/>
  <c r="BK19" i="1" s="1"/>
  <c r="BD19" i="1"/>
  <c r="AX19" i="1"/>
  <c r="AR19" i="1"/>
  <c r="BE19" i="1" s="1"/>
  <c r="AM19" i="1"/>
  <c r="AK19" i="1" s="1"/>
  <c r="AC19" i="1"/>
  <c r="AA19" i="1" s="1"/>
  <c r="AB19" i="1"/>
  <c r="T19" i="1"/>
  <c r="DA18" i="1"/>
  <c r="CZ18" i="1"/>
  <c r="CX18" i="1"/>
  <c r="CY18" i="1" s="1"/>
  <c r="AZ18" i="1" s="1"/>
  <c r="BB18" i="1" s="1"/>
  <c r="BM18" i="1"/>
  <c r="BL18" i="1"/>
  <c r="BK18" i="1"/>
  <c r="BH18" i="1"/>
  <c r="BJ18" i="1" s="1"/>
  <c r="BN18" i="1" s="1"/>
  <c r="BO18" i="1" s="1"/>
  <c r="BD18" i="1"/>
  <c r="AX18" i="1"/>
  <c r="AR18" i="1"/>
  <c r="BE18" i="1" s="1"/>
  <c r="AM18" i="1"/>
  <c r="AL18" i="1"/>
  <c r="AK18" i="1"/>
  <c r="R18" i="1" s="1"/>
  <c r="AC18" i="1"/>
  <c r="AB18" i="1"/>
  <c r="AA18" i="1" s="1"/>
  <c r="T18" i="1"/>
  <c r="DA17" i="1"/>
  <c r="W17" i="1" s="1"/>
  <c r="CZ17" i="1"/>
  <c r="CY17" i="1"/>
  <c r="AZ17" i="1" s="1"/>
  <c r="BB17" i="1" s="1"/>
  <c r="CX17" i="1"/>
  <c r="BM17" i="1"/>
  <c r="BL17" i="1"/>
  <c r="BK17" i="1"/>
  <c r="BJ17" i="1"/>
  <c r="BN17" i="1" s="1"/>
  <c r="BO17" i="1" s="1"/>
  <c r="BI17" i="1"/>
  <c r="BH17" i="1"/>
  <c r="BD17" i="1"/>
  <c r="AX17" i="1"/>
  <c r="AR17" i="1"/>
  <c r="BE17" i="1" s="1"/>
  <c r="AM17" i="1"/>
  <c r="AK17" i="1" s="1"/>
  <c r="AC17" i="1"/>
  <c r="AB17" i="1"/>
  <c r="AA17" i="1" s="1"/>
  <c r="T17" i="1"/>
  <c r="AE31" i="1" l="1"/>
  <c r="BB35" i="1"/>
  <c r="AE27" i="1"/>
  <c r="BC31" i="1"/>
  <c r="AE32" i="1"/>
  <c r="N20" i="1"/>
  <c r="BA20" i="1" s="1"/>
  <c r="BC20" i="1" s="1"/>
  <c r="M20" i="1"/>
  <c r="L20" i="1" s="1"/>
  <c r="AL20" i="1"/>
  <c r="R20" i="1"/>
  <c r="O20" i="1"/>
  <c r="O21" i="1"/>
  <c r="N21" i="1"/>
  <c r="BA21" i="1" s="1"/>
  <c r="BC21" i="1" s="1"/>
  <c r="M21" i="1"/>
  <c r="L21" i="1" s="1"/>
  <c r="R21" i="1"/>
  <c r="AL21" i="1"/>
  <c r="X27" i="1"/>
  <c r="Y27" i="1" s="1"/>
  <c r="U27" i="1" s="1"/>
  <c r="S27" i="1" s="1"/>
  <c r="V27" i="1" s="1"/>
  <c r="P27" i="1" s="1"/>
  <c r="Q27" i="1" s="1"/>
  <c r="N30" i="1"/>
  <c r="BA30" i="1" s="1"/>
  <c r="BC30" i="1" s="1"/>
  <c r="R30" i="1"/>
  <c r="AL30" i="1"/>
  <c r="O30" i="1"/>
  <c r="M30" i="1"/>
  <c r="L30" i="1" s="1"/>
  <c r="BC40" i="1"/>
  <c r="X17" i="1"/>
  <c r="Y17" i="1" s="1"/>
  <c r="O17" i="1"/>
  <c r="N17" i="1"/>
  <c r="BA17" i="1" s="1"/>
  <c r="BC17" i="1" s="1"/>
  <c r="M17" i="1"/>
  <c r="L17" i="1" s="1"/>
  <c r="AL17" i="1"/>
  <c r="R17" i="1"/>
  <c r="N26" i="1"/>
  <c r="BA26" i="1" s="1"/>
  <c r="BC26" i="1" s="1"/>
  <c r="R26" i="1"/>
  <c r="AL26" i="1"/>
  <c r="O26" i="1"/>
  <c r="M26" i="1"/>
  <c r="L26" i="1" s="1"/>
  <c r="X38" i="1"/>
  <c r="Y38" i="1" s="1"/>
  <c r="U38" i="1" s="1"/>
  <c r="S38" i="1" s="1"/>
  <c r="V38" i="1" s="1"/>
  <c r="P38" i="1" s="1"/>
  <c r="Q38" i="1" s="1"/>
  <c r="AE38" i="1"/>
  <c r="AL19" i="1"/>
  <c r="R19" i="1"/>
  <c r="N19" i="1"/>
  <c r="BA19" i="1" s="1"/>
  <c r="BC19" i="1" s="1"/>
  <c r="O19" i="1"/>
  <c r="M19" i="1"/>
  <c r="L19" i="1" s="1"/>
  <c r="AL23" i="1"/>
  <c r="R23" i="1"/>
  <c r="N23" i="1"/>
  <c r="BA23" i="1" s="1"/>
  <c r="BC23" i="1" s="1"/>
  <c r="O23" i="1"/>
  <c r="M23" i="1"/>
  <c r="L23" i="1" s="1"/>
  <c r="AE36" i="1"/>
  <c r="X31" i="1"/>
  <c r="Y31" i="1" s="1"/>
  <c r="AA38" i="1"/>
  <c r="O42" i="1"/>
  <c r="N42" i="1"/>
  <c r="BA42" i="1" s="1"/>
  <c r="BC42" i="1" s="1"/>
  <c r="AL42" i="1"/>
  <c r="AL43" i="1"/>
  <c r="BB47" i="1"/>
  <c r="O48" i="1"/>
  <c r="N48" i="1"/>
  <c r="BA48" i="1" s="1"/>
  <c r="BC48" i="1" s="1"/>
  <c r="R48" i="1"/>
  <c r="AL48" i="1"/>
  <c r="BK50" i="1"/>
  <c r="BI50" i="1"/>
  <c r="BJ50" i="1"/>
  <c r="BN50" i="1" s="1"/>
  <c r="BO50" i="1" s="1"/>
  <c r="M18" i="1"/>
  <c r="L18" i="1" s="1"/>
  <c r="W19" i="1"/>
  <c r="BI19" i="1"/>
  <c r="M22" i="1"/>
  <c r="L22" i="1" s="1"/>
  <c r="W23" i="1"/>
  <c r="BI23" i="1"/>
  <c r="BJ24" i="1"/>
  <c r="BN24" i="1" s="1"/>
  <c r="BO24" i="1" s="1"/>
  <c r="BK25" i="1"/>
  <c r="N27" i="1"/>
  <c r="BA27" i="1" s="1"/>
  <c r="AL27" i="1"/>
  <c r="CY27" i="1"/>
  <c r="AZ27" i="1" s="1"/>
  <c r="BB27" i="1" s="1"/>
  <c r="BJ28" i="1"/>
  <c r="BN28" i="1" s="1"/>
  <c r="BO28" i="1" s="1"/>
  <c r="BK29" i="1"/>
  <c r="BK31" i="1"/>
  <c r="BK32" i="1"/>
  <c r="BK36" i="1"/>
  <c r="BJ40" i="1"/>
  <c r="BN40" i="1" s="1"/>
  <c r="BO40" i="1" s="1"/>
  <c r="BI40" i="1"/>
  <c r="M48" i="1"/>
  <c r="L48" i="1" s="1"/>
  <c r="BK35" i="1"/>
  <c r="BJ35" i="1"/>
  <c r="BN35" i="1" s="1"/>
  <c r="BO35" i="1" s="1"/>
  <c r="N18" i="1"/>
  <c r="BA18" i="1" s="1"/>
  <c r="BC18" i="1" s="1"/>
  <c r="BJ19" i="1"/>
  <c r="BN19" i="1" s="1"/>
  <c r="BO19" i="1" s="1"/>
  <c r="N22" i="1"/>
  <c r="BA22" i="1" s="1"/>
  <c r="BC22" i="1" s="1"/>
  <c r="BJ23" i="1"/>
  <c r="BN23" i="1" s="1"/>
  <c r="BO23" i="1" s="1"/>
  <c r="BB24" i="1"/>
  <c r="M25" i="1"/>
  <c r="L25" i="1" s="1"/>
  <c r="BB28" i="1"/>
  <c r="M29" i="1"/>
  <c r="L29" i="1" s="1"/>
  <c r="CY33" i="1"/>
  <c r="AZ33" i="1" s="1"/>
  <c r="BB33" i="1" s="1"/>
  <c r="W33" i="1"/>
  <c r="O37" i="1"/>
  <c r="N37" i="1"/>
  <c r="BA37" i="1" s="1"/>
  <c r="M37" i="1"/>
  <c r="L37" i="1" s="1"/>
  <c r="AL37" i="1"/>
  <c r="O38" i="1"/>
  <c r="N38" i="1"/>
  <c r="BA38" i="1" s="1"/>
  <c r="BC38" i="1" s="1"/>
  <c r="AL38" i="1"/>
  <c r="AE40" i="1"/>
  <c r="BJ47" i="1"/>
  <c r="BN47" i="1" s="1"/>
  <c r="BO47" i="1" s="1"/>
  <c r="BI47" i="1"/>
  <c r="N70" i="1"/>
  <c r="BA70" i="1" s="1"/>
  <c r="M70" i="1"/>
  <c r="L70" i="1" s="1"/>
  <c r="AL70" i="1"/>
  <c r="R70" i="1"/>
  <c r="O70" i="1"/>
  <c r="O41" i="1"/>
  <c r="N41" i="1"/>
  <c r="BA41" i="1" s="1"/>
  <c r="BC41" i="1" s="1"/>
  <c r="M41" i="1"/>
  <c r="L41" i="1" s="1"/>
  <c r="AL41" i="1"/>
  <c r="R41" i="1"/>
  <c r="O18" i="1"/>
  <c r="W18" i="1"/>
  <c r="BI18" i="1"/>
  <c r="O22" i="1"/>
  <c r="W22" i="1"/>
  <c r="BI22" i="1"/>
  <c r="O34" i="1"/>
  <c r="N34" i="1"/>
  <c r="BA34" i="1" s="1"/>
  <c r="BC34" i="1" s="1"/>
  <c r="W35" i="1"/>
  <c r="AF38" i="1"/>
  <c r="R39" i="1"/>
  <c r="N39" i="1"/>
  <c r="BA39" i="1" s="1"/>
  <c r="BC39" i="1" s="1"/>
  <c r="M39" i="1"/>
  <c r="L39" i="1" s="1"/>
  <c r="X43" i="1"/>
  <c r="Y43" i="1" s="1"/>
  <c r="X44" i="1"/>
  <c r="Y44" i="1" s="1"/>
  <c r="AF44" i="1" s="1"/>
  <c r="R46" i="1"/>
  <c r="AL46" i="1"/>
  <c r="N46" i="1"/>
  <c r="BA46" i="1" s="1"/>
  <c r="BC46" i="1" s="1"/>
  <c r="M46" i="1"/>
  <c r="L46" i="1" s="1"/>
  <c r="X46" i="1" s="1"/>
  <c r="Y46" i="1" s="1"/>
  <c r="BK47" i="1"/>
  <c r="BK57" i="1"/>
  <c r="BJ57" i="1"/>
  <c r="BN57" i="1" s="1"/>
  <c r="BO57" i="1" s="1"/>
  <c r="BI57" i="1"/>
  <c r="CY36" i="1"/>
  <c r="AZ36" i="1" s="1"/>
  <c r="BC36" i="1" s="1"/>
  <c r="W36" i="1"/>
  <c r="O39" i="1"/>
  <c r="AA42" i="1"/>
  <c r="BK49" i="1"/>
  <c r="BJ49" i="1"/>
  <c r="BN49" i="1" s="1"/>
  <c r="BO49" i="1" s="1"/>
  <c r="BI49" i="1"/>
  <c r="CY65" i="1"/>
  <c r="AZ65" i="1" s="1"/>
  <c r="BB65" i="1" s="1"/>
  <c r="W65" i="1"/>
  <c r="R43" i="1"/>
  <c r="N43" i="1"/>
  <c r="BA43" i="1" s="1"/>
  <c r="BC43" i="1" s="1"/>
  <c r="M43" i="1"/>
  <c r="L43" i="1" s="1"/>
  <c r="O25" i="1"/>
  <c r="AL25" i="1"/>
  <c r="CY25" i="1"/>
  <c r="AZ25" i="1" s="1"/>
  <c r="BB25" i="1" s="1"/>
  <c r="W25" i="1"/>
  <c r="O29" i="1"/>
  <c r="AL29" i="1"/>
  <c r="CY29" i="1"/>
  <c r="AZ29" i="1" s="1"/>
  <c r="BB29" i="1" s="1"/>
  <c r="W29" i="1"/>
  <c r="AF31" i="1"/>
  <c r="BC32" i="1"/>
  <c r="CY32" i="1"/>
  <c r="AZ32" i="1" s="1"/>
  <c r="BB32" i="1" s="1"/>
  <c r="W32" i="1"/>
  <c r="CY40" i="1"/>
  <c r="AZ40" i="1" s="1"/>
  <c r="W40" i="1"/>
  <c r="BK45" i="1"/>
  <c r="BJ45" i="1"/>
  <c r="BN45" i="1" s="1"/>
  <c r="BO45" i="1" s="1"/>
  <c r="BI45" i="1"/>
  <c r="O46" i="1"/>
  <c r="R49" i="1"/>
  <c r="O49" i="1"/>
  <c r="AL49" i="1"/>
  <c r="N49" i="1"/>
  <c r="BA49" i="1" s="1"/>
  <c r="BC49" i="1" s="1"/>
  <c r="M49" i="1"/>
  <c r="L49" i="1" s="1"/>
  <c r="M24" i="1"/>
  <c r="L24" i="1" s="1"/>
  <c r="R24" i="1"/>
  <c r="R25" i="1"/>
  <c r="M28" i="1"/>
  <c r="L28" i="1" s="1"/>
  <c r="X28" i="1" s="1"/>
  <c r="Y28" i="1" s="1"/>
  <c r="R28" i="1"/>
  <c r="R29" i="1"/>
  <c r="O33" i="1"/>
  <c r="M33" i="1"/>
  <c r="L33" i="1" s="1"/>
  <c r="AL33" i="1"/>
  <c r="BI33" i="1"/>
  <c r="BK33" i="1"/>
  <c r="M34" i="1"/>
  <c r="L34" i="1" s="1"/>
  <c r="AA34" i="1"/>
  <c r="N35" i="1"/>
  <c r="BA35" i="1" s="1"/>
  <c r="BC35" i="1" s="1"/>
  <c r="CY37" i="1"/>
  <c r="AZ37" i="1" s="1"/>
  <c r="BB37" i="1" s="1"/>
  <c r="X39" i="1"/>
  <c r="Y39" i="1" s="1"/>
  <c r="BB40" i="1"/>
  <c r="M42" i="1"/>
  <c r="L42" i="1" s="1"/>
  <c r="M44" i="1"/>
  <c r="L44" i="1" s="1"/>
  <c r="AL44" i="1"/>
  <c r="R44" i="1"/>
  <c r="O44" i="1"/>
  <c r="CY47" i="1"/>
  <c r="AZ47" i="1" s="1"/>
  <c r="BC47" i="1" s="1"/>
  <c r="CY57" i="1"/>
  <c r="AZ57" i="1" s="1"/>
  <c r="BC57" i="1" s="1"/>
  <c r="W57" i="1"/>
  <c r="BK37" i="1"/>
  <c r="BK41" i="1"/>
  <c r="AA46" i="1"/>
  <c r="AA50" i="1"/>
  <c r="BK53" i="1"/>
  <c r="BJ53" i="1"/>
  <c r="BN53" i="1" s="1"/>
  <c r="BO53" i="1" s="1"/>
  <c r="BI53" i="1"/>
  <c r="M54" i="1"/>
  <c r="L54" i="1" s="1"/>
  <c r="AL54" i="1"/>
  <c r="R54" i="1"/>
  <c r="O54" i="1"/>
  <c r="BC55" i="1"/>
  <c r="R56" i="1"/>
  <c r="CY61" i="1"/>
  <c r="AZ61" i="1" s="1"/>
  <c r="W61" i="1"/>
  <c r="BC65" i="1"/>
  <c r="N66" i="1"/>
  <c r="BA66" i="1" s="1"/>
  <c r="M66" i="1"/>
  <c r="L66" i="1" s="1"/>
  <c r="AL66" i="1"/>
  <c r="R66" i="1"/>
  <c r="O66" i="1"/>
  <c r="R68" i="1"/>
  <c r="O68" i="1"/>
  <c r="N68" i="1"/>
  <c r="BA68" i="1" s="1"/>
  <c r="BC68" i="1" s="1"/>
  <c r="M68" i="1"/>
  <c r="L68" i="1" s="1"/>
  <c r="CY70" i="1"/>
  <c r="AZ70" i="1" s="1"/>
  <c r="R72" i="1"/>
  <c r="O72" i="1"/>
  <c r="N72" i="1"/>
  <c r="BA72" i="1" s="1"/>
  <c r="BC72" i="1" s="1"/>
  <c r="M72" i="1"/>
  <c r="L72" i="1" s="1"/>
  <c r="X45" i="1"/>
  <c r="Y45" i="1" s="1"/>
  <c r="BB46" i="1"/>
  <c r="CY54" i="1"/>
  <c r="AZ54" i="1" s="1"/>
  <c r="BC54" i="1" s="1"/>
  <c r="W54" i="1"/>
  <c r="BC61" i="1"/>
  <c r="N62" i="1"/>
  <c r="BA62" i="1" s="1"/>
  <c r="BC62" i="1" s="1"/>
  <c r="M62" i="1"/>
  <c r="L62" i="1" s="1"/>
  <c r="AL62" i="1"/>
  <c r="R62" i="1"/>
  <c r="O62" i="1"/>
  <c r="R64" i="1"/>
  <c r="O64" i="1"/>
  <c r="N64" i="1"/>
  <c r="BA64" i="1" s="1"/>
  <c r="BC64" i="1" s="1"/>
  <c r="M64" i="1"/>
  <c r="L64" i="1" s="1"/>
  <c r="CY66" i="1"/>
  <c r="AZ66" i="1" s="1"/>
  <c r="BB66" i="1" s="1"/>
  <c r="BB70" i="1"/>
  <c r="R32" i="1"/>
  <c r="R36" i="1"/>
  <c r="BJ39" i="1"/>
  <c r="BN39" i="1" s="1"/>
  <c r="BO39" i="1" s="1"/>
  <c r="R40" i="1"/>
  <c r="BJ43" i="1"/>
  <c r="BN43" i="1" s="1"/>
  <c r="BO43" i="1" s="1"/>
  <c r="O45" i="1"/>
  <c r="N58" i="1"/>
  <c r="BA58" i="1" s="1"/>
  <c r="BC58" i="1" s="1"/>
  <c r="M58" i="1"/>
  <c r="L58" i="1" s="1"/>
  <c r="AL58" i="1"/>
  <c r="R58" i="1"/>
  <c r="O58" i="1"/>
  <c r="R60" i="1"/>
  <c r="O60" i="1"/>
  <c r="N60" i="1"/>
  <c r="BA60" i="1" s="1"/>
  <c r="BC60" i="1" s="1"/>
  <c r="M60" i="1"/>
  <c r="L60" i="1" s="1"/>
  <c r="X60" i="1" s="1"/>
  <c r="Y60" i="1" s="1"/>
  <c r="BB61" i="1"/>
  <c r="BB62" i="1"/>
  <c r="BK69" i="1"/>
  <c r="BJ69" i="1"/>
  <c r="BN69" i="1" s="1"/>
  <c r="BO69" i="1" s="1"/>
  <c r="BI69" i="1"/>
  <c r="BK73" i="1"/>
  <c r="BJ73" i="1"/>
  <c r="BN73" i="1" s="1"/>
  <c r="BO73" i="1" s="1"/>
  <c r="BI73" i="1"/>
  <c r="AL50" i="1"/>
  <c r="R50" i="1"/>
  <c r="O50" i="1"/>
  <c r="O52" i="1"/>
  <c r="N52" i="1"/>
  <c r="BA52" i="1" s="1"/>
  <c r="BC52" i="1" s="1"/>
  <c r="M52" i="1"/>
  <c r="L52" i="1" s="1"/>
  <c r="CY53" i="1"/>
  <c r="AZ53" i="1" s="1"/>
  <c r="BC53" i="1" s="1"/>
  <c r="W53" i="1"/>
  <c r="CY58" i="1"/>
  <c r="AZ58" i="1" s="1"/>
  <c r="BK65" i="1"/>
  <c r="BJ65" i="1"/>
  <c r="BN65" i="1" s="1"/>
  <c r="BO65" i="1" s="1"/>
  <c r="BI65" i="1"/>
  <c r="BC71" i="1"/>
  <c r="BC51" i="1"/>
  <c r="BK54" i="1"/>
  <c r="BI54" i="1"/>
  <c r="O56" i="1"/>
  <c r="N56" i="1"/>
  <c r="BA56" i="1" s="1"/>
  <c r="BC56" i="1" s="1"/>
  <c r="M56" i="1"/>
  <c r="L56" i="1" s="1"/>
  <c r="X56" i="1" s="1"/>
  <c r="Y56" i="1" s="1"/>
  <c r="BB58" i="1"/>
  <c r="BK61" i="1"/>
  <c r="BJ61" i="1"/>
  <c r="BN61" i="1" s="1"/>
  <c r="BO61" i="1" s="1"/>
  <c r="BI61" i="1"/>
  <c r="BC67" i="1"/>
  <c r="W37" i="1"/>
  <c r="W41" i="1"/>
  <c r="AF45" i="1"/>
  <c r="M47" i="1"/>
  <c r="L47" i="1" s="1"/>
  <c r="AL47" i="1"/>
  <c r="BB49" i="1"/>
  <c r="CY49" i="1"/>
  <c r="AZ49" i="1" s="1"/>
  <c r="W49" i="1"/>
  <c r="CY50" i="1"/>
  <c r="AZ50" i="1" s="1"/>
  <c r="BB50" i="1" s="1"/>
  <c r="W50" i="1"/>
  <c r="BJ54" i="1"/>
  <c r="BN54" i="1" s="1"/>
  <c r="BO54" i="1" s="1"/>
  <c r="BC63" i="1"/>
  <c r="X68" i="1"/>
  <c r="Y68" i="1" s="1"/>
  <c r="CY69" i="1"/>
  <c r="AZ69" i="1" s="1"/>
  <c r="BC69" i="1" s="1"/>
  <c r="W69" i="1"/>
  <c r="X72" i="1"/>
  <c r="Y72" i="1" s="1"/>
  <c r="AF72" i="1" s="1"/>
  <c r="CY73" i="1"/>
  <c r="AZ73" i="1" s="1"/>
  <c r="BC73" i="1" s="1"/>
  <c r="W73" i="1"/>
  <c r="AL91" i="1"/>
  <c r="O91" i="1"/>
  <c r="N91" i="1"/>
  <c r="BA91" i="1" s="1"/>
  <c r="M91" i="1"/>
  <c r="L91" i="1" s="1"/>
  <c r="R91" i="1"/>
  <c r="M53" i="1"/>
  <c r="L53" i="1" s="1"/>
  <c r="M57" i="1"/>
  <c r="L57" i="1" s="1"/>
  <c r="W58" i="1"/>
  <c r="BI58" i="1"/>
  <c r="M61" i="1"/>
  <c r="L61" i="1" s="1"/>
  <c r="W62" i="1"/>
  <c r="BI62" i="1"/>
  <c r="M65" i="1"/>
  <c r="L65" i="1" s="1"/>
  <c r="W66" i="1"/>
  <c r="BI66" i="1"/>
  <c r="M69" i="1"/>
  <c r="L69" i="1" s="1"/>
  <c r="W70" i="1"/>
  <c r="BI70" i="1"/>
  <c r="M73" i="1"/>
  <c r="L73" i="1" s="1"/>
  <c r="R75" i="1"/>
  <c r="O75" i="1"/>
  <c r="N75" i="1"/>
  <c r="BA75" i="1" s="1"/>
  <c r="BC75" i="1" s="1"/>
  <c r="M75" i="1"/>
  <c r="L75" i="1" s="1"/>
  <c r="CY77" i="1"/>
  <c r="AZ77" i="1" s="1"/>
  <c r="BB77" i="1" s="1"/>
  <c r="AL80" i="1"/>
  <c r="R80" i="1"/>
  <c r="O80" i="1"/>
  <c r="M80" i="1"/>
  <c r="L80" i="1" s="1"/>
  <c r="AL88" i="1"/>
  <c r="R88" i="1"/>
  <c r="O88" i="1"/>
  <c r="M88" i="1"/>
  <c r="L88" i="1" s="1"/>
  <c r="O53" i="1"/>
  <c r="O57" i="1"/>
  <c r="O61" i="1"/>
  <c r="O65" i="1"/>
  <c r="O69" i="1"/>
  <c r="O73" i="1"/>
  <c r="O78" i="1"/>
  <c r="N78" i="1"/>
  <c r="BA78" i="1" s="1"/>
  <c r="BC78" i="1" s="1"/>
  <c r="M78" i="1"/>
  <c r="L78" i="1" s="1"/>
  <c r="AL78" i="1"/>
  <c r="X79" i="1"/>
  <c r="Y79" i="1" s="1"/>
  <c r="N80" i="1"/>
  <c r="BA80" i="1" s="1"/>
  <c r="N81" i="1"/>
  <c r="BA81" i="1" s="1"/>
  <c r="M81" i="1"/>
  <c r="L81" i="1" s="1"/>
  <c r="AL81" i="1"/>
  <c r="R81" i="1"/>
  <c r="O81" i="1"/>
  <c r="U89" i="1"/>
  <c r="S89" i="1" s="1"/>
  <c r="V89" i="1" s="1"/>
  <c r="AE89" i="1"/>
  <c r="AE99" i="1"/>
  <c r="AL51" i="1"/>
  <c r="AL55" i="1"/>
  <c r="AL59" i="1"/>
  <c r="AL63" i="1"/>
  <c r="AL67" i="1"/>
  <c r="AL71" i="1"/>
  <c r="BK76" i="1"/>
  <c r="BJ76" i="1"/>
  <c r="BN76" i="1" s="1"/>
  <c r="BO76" i="1" s="1"/>
  <c r="BI76" i="1"/>
  <c r="R78" i="1"/>
  <c r="CY81" i="1"/>
  <c r="AZ81" i="1" s="1"/>
  <c r="BB81" i="1" s="1"/>
  <c r="AF82" i="1"/>
  <c r="AH82" i="1" s="1"/>
  <c r="R83" i="1"/>
  <c r="O83" i="1"/>
  <c r="N83" i="1"/>
  <c r="BA83" i="1" s="1"/>
  <c r="BC83" i="1" s="1"/>
  <c r="M83" i="1"/>
  <c r="L83" i="1" s="1"/>
  <c r="BK84" i="1"/>
  <c r="BJ84" i="1"/>
  <c r="BN84" i="1" s="1"/>
  <c r="BO84" i="1" s="1"/>
  <c r="BI84" i="1"/>
  <c r="R87" i="1"/>
  <c r="O87" i="1"/>
  <c r="N87" i="1"/>
  <c r="BA87" i="1" s="1"/>
  <c r="BC87" i="1" s="1"/>
  <c r="M87" i="1"/>
  <c r="L87" i="1" s="1"/>
  <c r="AE105" i="1"/>
  <c r="M51" i="1"/>
  <c r="L51" i="1" s="1"/>
  <c r="M55" i="1"/>
  <c r="L55" i="1" s="1"/>
  <c r="M59" i="1"/>
  <c r="L59" i="1" s="1"/>
  <c r="M63" i="1"/>
  <c r="L63" i="1" s="1"/>
  <c r="M67" i="1"/>
  <c r="L67" i="1" s="1"/>
  <c r="M71" i="1"/>
  <c r="L71" i="1" s="1"/>
  <c r="X75" i="1"/>
  <c r="Y75" i="1" s="1"/>
  <c r="AF75" i="1" s="1"/>
  <c r="BK80" i="1"/>
  <c r="BJ80" i="1"/>
  <c r="BN80" i="1" s="1"/>
  <c r="BO80" i="1" s="1"/>
  <c r="BI80" i="1"/>
  <c r="BK88" i="1"/>
  <c r="BJ88" i="1"/>
  <c r="BN88" i="1" s="1"/>
  <c r="BO88" i="1" s="1"/>
  <c r="BI88" i="1"/>
  <c r="R73" i="1"/>
  <c r="O74" i="1"/>
  <c r="N74" i="1"/>
  <c r="BA74" i="1" s="1"/>
  <c r="BC74" i="1" s="1"/>
  <c r="M74" i="1"/>
  <c r="L74" i="1" s="1"/>
  <c r="AL74" i="1"/>
  <c r="CY76" i="1"/>
  <c r="AZ76" i="1" s="1"/>
  <c r="BC76" i="1" s="1"/>
  <c r="W76" i="1"/>
  <c r="R79" i="1"/>
  <c r="O79" i="1"/>
  <c r="N79" i="1"/>
  <c r="BA79" i="1" s="1"/>
  <c r="BC79" i="1" s="1"/>
  <c r="M79" i="1"/>
  <c r="L79" i="1" s="1"/>
  <c r="CY84" i="1"/>
  <c r="AZ84" i="1" s="1"/>
  <c r="BC84" i="1" s="1"/>
  <c r="W84" i="1"/>
  <c r="AL99" i="1"/>
  <c r="R99" i="1"/>
  <c r="O99" i="1"/>
  <c r="N99" i="1"/>
  <c r="BA99" i="1" s="1"/>
  <c r="N77" i="1"/>
  <c r="BA77" i="1" s="1"/>
  <c r="BC77" i="1" s="1"/>
  <c r="M77" i="1"/>
  <c r="L77" i="1" s="1"/>
  <c r="AL77" i="1"/>
  <c r="R77" i="1"/>
  <c r="O77" i="1"/>
  <c r="CY80" i="1"/>
  <c r="AZ80" i="1" s="1"/>
  <c r="BB80" i="1" s="1"/>
  <c r="W80" i="1"/>
  <c r="AL84" i="1"/>
  <c r="R84" i="1"/>
  <c r="O84" i="1"/>
  <c r="M84" i="1"/>
  <c r="L84" i="1" s="1"/>
  <c r="N85" i="1"/>
  <c r="BA85" i="1" s="1"/>
  <c r="BC85" i="1" s="1"/>
  <c r="M85" i="1"/>
  <c r="L85" i="1" s="1"/>
  <c r="AL85" i="1"/>
  <c r="R85" i="1"/>
  <c r="O85" i="1"/>
  <c r="CY88" i="1"/>
  <c r="AZ88" i="1" s="1"/>
  <c r="BB88" i="1" s="1"/>
  <c r="W88" i="1"/>
  <c r="X89" i="1"/>
  <c r="Y89" i="1" s="1"/>
  <c r="AE95" i="1"/>
  <c r="M76" i="1"/>
  <c r="L76" i="1" s="1"/>
  <c r="W77" i="1"/>
  <c r="BI77" i="1"/>
  <c r="BI81" i="1"/>
  <c r="BK82" i="1"/>
  <c r="R90" i="1"/>
  <c r="N90" i="1"/>
  <c r="BA90" i="1" s="1"/>
  <c r="BC90" i="1" s="1"/>
  <c r="M90" i="1"/>
  <c r="L90" i="1" s="1"/>
  <c r="O93" i="1"/>
  <c r="M93" i="1"/>
  <c r="L93" i="1" s="1"/>
  <c r="AL93" i="1"/>
  <c r="BB100" i="1"/>
  <c r="AL103" i="1"/>
  <c r="R103" i="1"/>
  <c r="O103" i="1"/>
  <c r="N103" i="1"/>
  <c r="BA103" i="1" s="1"/>
  <c r="BC103" i="1" s="1"/>
  <c r="X107" i="1"/>
  <c r="Y107" i="1" s="1"/>
  <c r="CY93" i="1"/>
  <c r="AZ93" i="1" s="1"/>
  <c r="BB93" i="1" s="1"/>
  <c r="W93" i="1"/>
  <c r="BK95" i="1"/>
  <c r="BJ95" i="1"/>
  <c r="BN95" i="1" s="1"/>
  <c r="BO95" i="1" s="1"/>
  <c r="BI95" i="1"/>
  <c r="CY99" i="1"/>
  <c r="AZ99" i="1" s="1"/>
  <c r="BB99" i="1" s="1"/>
  <c r="W99" i="1"/>
  <c r="R102" i="1"/>
  <c r="O102" i="1"/>
  <c r="N102" i="1"/>
  <c r="BA102" i="1" s="1"/>
  <c r="BC102" i="1" s="1"/>
  <c r="M102" i="1"/>
  <c r="L102" i="1" s="1"/>
  <c r="X102" i="1" s="1"/>
  <c r="Y102" i="1" s="1"/>
  <c r="AL102" i="1"/>
  <c r="N104" i="1"/>
  <c r="BA104" i="1" s="1"/>
  <c r="BC104" i="1" s="1"/>
  <c r="M104" i="1"/>
  <c r="L104" i="1" s="1"/>
  <c r="AL104" i="1"/>
  <c r="R104" i="1"/>
  <c r="BK112" i="1"/>
  <c r="BJ112" i="1"/>
  <c r="BN112" i="1" s="1"/>
  <c r="BO112" i="1" s="1"/>
  <c r="BI112" i="1"/>
  <c r="AL86" i="1"/>
  <c r="R89" i="1"/>
  <c r="CY91" i="1"/>
  <c r="AZ91" i="1" s="1"/>
  <c r="BB91" i="1" s="1"/>
  <c r="W91" i="1"/>
  <c r="N92" i="1"/>
  <c r="BA92" i="1" s="1"/>
  <c r="BC92" i="1" s="1"/>
  <c r="R92" i="1"/>
  <c r="N96" i="1"/>
  <c r="BA96" i="1" s="1"/>
  <c r="BC96" i="1" s="1"/>
  <c r="M96" i="1"/>
  <c r="L96" i="1" s="1"/>
  <c r="AL96" i="1"/>
  <c r="R96" i="1"/>
  <c r="BB98" i="1"/>
  <c r="M103" i="1"/>
  <c r="L103" i="1" s="1"/>
  <c r="U107" i="1"/>
  <c r="S107" i="1" s="1"/>
  <c r="V107" i="1" s="1"/>
  <c r="P107" i="1" s="1"/>
  <c r="Q107" i="1" s="1"/>
  <c r="AE107" i="1"/>
  <c r="U123" i="1"/>
  <c r="S123" i="1" s="1"/>
  <c r="V123" i="1" s="1"/>
  <c r="P123" i="1" s="1"/>
  <c r="Q123" i="1" s="1"/>
  <c r="AE123" i="1"/>
  <c r="X123" i="1"/>
  <c r="Y123" i="1" s="1"/>
  <c r="BI79" i="1"/>
  <c r="U82" i="1"/>
  <c r="S82" i="1" s="1"/>
  <c r="V82" i="1" s="1"/>
  <c r="P82" i="1" s="1"/>
  <c r="Q82" i="1" s="1"/>
  <c r="M86" i="1"/>
  <c r="L86" i="1" s="1"/>
  <c r="X86" i="1" s="1"/>
  <c r="Y86" i="1" s="1"/>
  <c r="BB90" i="1"/>
  <c r="N93" i="1"/>
  <c r="BA93" i="1" s="1"/>
  <c r="AL95" i="1"/>
  <c r="O95" i="1"/>
  <c r="O97" i="1"/>
  <c r="N97" i="1"/>
  <c r="BA97" i="1" s="1"/>
  <c r="BC97" i="1" s="1"/>
  <c r="M97" i="1"/>
  <c r="L97" i="1" s="1"/>
  <c r="AL97" i="1"/>
  <c r="O104" i="1"/>
  <c r="X115" i="1"/>
  <c r="Y115" i="1" s="1"/>
  <c r="AE115" i="1"/>
  <c r="U115" i="1"/>
  <c r="S115" i="1" s="1"/>
  <c r="V115" i="1" s="1"/>
  <c r="N86" i="1"/>
  <c r="BA86" i="1" s="1"/>
  <c r="BC86" i="1" s="1"/>
  <c r="BB92" i="1"/>
  <c r="BB96" i="1"/>
  <c r="BB102" i="1"/>
  <c r="BC110" i="1"/>
  <c r="BI82" i="1"/>
  <c r="BJ91" i="1"/>
  <c r="BN91" i="1" s="1"/>
  <c r="BO91" i="1" s="1"/>
  <c r="BI91" i="1"/>
  <c r="R93" i="1"/>
  <c r="BJ93" i="1"/>
  <c r="BN93" i="1" s="1"/>
  <c r="BO93" i="1" s="1"/>
  <c r="BI93" i="1"/>
  <c r="R94" i="1"/>
  <c r="O94" i="1"/>
  <c r="N94" i="1"/>
  <c r="BA94" i="1" s="1"/>
  <c r="BC94" i="1" s="1"/>
  <c r="M94" i="1"/>
  <c r="L94" i="1" s="1"/>
  <c r="CY95" i="1"/>
  <c r="AZ95" i="1" s="1"/>
  <c r="BB95" i="1" s="1"/>
  <c r="W95" i="1"/>
  <c r="BK99" i="1"/>
  <c r="BJ99" i="1"/>
  <c r="BN99" i="1" s="1"/>
  <c r="BO99" i="1" s="1"/>
  <c r="BI99" i="1"/>
  <c r="N100" i="1"/>
  <c r="BA100" i="1" s="1"/>
  <c r="BC100" i="1" s="1"/>
  <c r="M100" i="1"/>
  <c r="L100" i="1" s="1"/>
  <c r="AL100" i="1"/>
  <c r="R100" i="1"/>
  <c r="AE108" i="1"/>
  <c r="O118" i="1"/>
  <c r="N118" i="1"/>
  <c r="BA118" i="1" s="1"/>
  <c r="BC118" i="1" s="1"/>
  <c r="M118" i="1"/>
  <c r="L118" i="1" s="1"/>
  <c r="AL118" i="1"/>
  <c r="N89" i="1"/>
  <c r="BA89" i="1" s="1"/>
  <c r="BC89" i="1" s="1"/>
  <c r="BK91" i="1"/>
  <c r="M92" i="1"/>
  <c r="L92" i="1" s="1"/>
  <c r="X92" i="1" s="1"/>
  <c r="Y92" i="1" s="1"/>
  <c r="BK93" i="1"/>
  <c r="AL94" i="1"/>
  <c r="R98" i="1"/>
  <c r="O98" i="1"/>
  <c r="N98" i="1"/>
  <c r="BA98" i="1" s="1"/>
  <c r="BC98" i="1" s="1"/>
  <c r="M98" i="1"/>
  <c r="L98" i="1" s="1"/>
  <c r="X98" i="1" s="1"/>
  <c r="Y98" i="1" s="1"/>
  <c r="O101" i="1"/>
  <c r="N101" i="1"/>
  <c r="BA101" i="1" s="1"/>
  <c r="BC101" i="1" s="1"/>
  <c r="M101" i="1"/>
  <c r="L101" i="1" s="1"/>
  <c r="AL101" i="1"/>
  <c r="X106" i="1"/>
  <c r="Y106" i="1" s="1"/>
  <c r="AF107" i="1"/>
  <c r="W108" i="1"/>
  <c r="CY108" i="1"/>
  <c r="AZ108" i="1" s="1"/>
  <c r="BC108" i="1" s="1"/>
  <c r="AF115" i="1"/>
  <c r="BB115" i="1"/>
  <c r="O165" i="1"/>
  <c r="N165" i="1"/>
  <c r="BA165" i="1" s="1"/>
  <c r="M165" i="1"/>
  <c r="L165" i="1" s="1"/>
  <c r="AL165" i="1"/>
  <c r="R165" i="1"/>
  <c r="W103" i="1"/>
  <c r="BI103" i="1"/>
  <c r="M106" i="1"/>
  <c r="L106" i="1" s="1"/>
  <c r="AL108" i="1"/>
  <c r="O114" i="1"/>
  <c r="N114" i="1"/>
  <c r="BA114" i="1" s="1"/>
  <c r="BC114" i="1" s="1"/>
  <c r="M114" i="1"/>
  <c r="L114" i="1" s="1"/>
  <c r="AL114" i="1"/>
  <c r="BJ103" i="1"/>
  <c r="BN103" i="1" s="1"/>
  <c r="BO103" i="1" s="1"/>
  <c r="N106" i="1"/>
  <c r="BA106" i="1" s="1"/>
  <c r="BC106" i="1" s="1"/>
  <c r="R108" i="1"/>
  <c r="BI108" i="1"/>
  <c r="BJ110" i="1"/>
  <c r="BN110" i="1" s="1"/>
  <c r="BO110" i="1" s="1"/>
  <c r="BI110" i="1"/>
  <c r="BK110" i="1"/>
  <c r="AF123" i="1"/>
  <c r="O106" i="1"/>
  <c r="AA107" i="1"/>
  <c r="BK108" i="1"/>
  <c r="CY109" i="1"/>
  <c r="AZ109" i="1" s="1"/>
  <c r="BB109" i="1" s="1"/>
  <c r="W109" i="1"/>
  <c r="O110" i="1"/>
  <c r="AL110" i="1"/>
  <c r="R111" i="1"/>
  <c r="O111" i="1"/>
  <c r="N111" i="1"/>
  <c r="BA111" i="1" s="1"/>
  <c r="BC111" i="1" s="1"/>
  <c r="AA115" i="1"/>
  <c r="X116" i="1"/>
  <c r="Y116" i="1" s="1"/>
  <c r="O122" i="1"/>
  <c r="R122" i="1"/>
  <c r="N122" i="1"/>
  <c r="BA122" i="1" s="1"/>
  <c r="BC122" i="1" s="1"/>
  <c r="AL122" i="1"/>
  <c r="AE126" i="1"/>
  <c r="R130" i="1"/>
  <c r="O130" i="1"/>
  <c r="N130" i="1"/>
  <c r="BA130" i="1" s="1"/>
  <c r="BC130" i="1" s="1"/>
  <c r="M130" i="1"/>
  <c r="L130" i="1" s="1"/>
  <c r="R109" i="1"/>
  <c r="O109" i="1"/>
  <c r="BC112" i="1"/>
  <c r="R119" i="1"/>
  <c r="O119" i="1"/>
  <c r="N119" i="1"/>
  <c r="BA119" i="1" s="1"/>
  <c r="BC119" i="1" s="1"/>
  <c r="BB123" i="1"/>
  <c r="AE143" i="1"/>
  <c r="W97" i="1"/>
  <c r="BI97" i="1"/>
  <c r="W101" i="1"/>
  <c r="BI101" i="1"/>
  <c r="W105" i="1"/>
  <c r="BI105" i="1"/>
  <c r="R106" i="1"/>
  <c r="N109" i="1"/>
  <c r="BA109" i="1" s="1"/>
  <c r="BC109" i="1" s="1"/>
  <c r="AL109" i="1"/>
  <c r="CY110" i="1"/>
  <c r="AZ110" i="1" s="1"/>
  <c r="BB110" i="1" s="1"/>
  <c r="W110" i="1"/>
  <c r="BB111" i="1"/>
  <c r="M119" i="1"/>
  <c r="L119" i="1" s="1"/>
  <c r="BI121" i="1"/>
  <c r="BK121" i="1"/>
  <c r="M122" i="1"/>
  <c r="L122" i="1" s="1"/>
  <c r="CY138" i="1"/>
  <c r="AZ138" i="1" s="1"/>
  <c r="BB138" i="1" s="1"/>
  <c r="W138" i="1"/>
  <c r="BI106" i="1"/>
  <c r="BC107" i="1"/>
  <c r="M110" i="1"/>
  <c r="L110" i="1" s="1"/>
  <c r="X111" i="1"/>
  <c r="Y111" i="1" s="1"/>
  <c r="CY113" i="1"/>
  <c r="AZ113" i="1" s="1"/>
  <c r="BB113" i="1" s="1"/>
  <c r="R115" i="1"/>
  <c r="O115" i="1"/>
  <c r="N115" i="1"/>
  <c r="BA115" i="1" s="1"/>
  <c r="BC115" i="1" s="1"/>
  <c r="BK116" i="1"/>
  <c r="BJ116" i="1"/>
  <c r="BN116" i="1" s="1"/>
  <c r="BO116" i="1" s="1"/>
  <c r="AE121" i="1"/>
  <c r="BK123" i="1"/>
  <c r="BJ123" i="1"/>
  <c r="BN123" i="1" s="1"/>
  <c r="BO123" i="1" s="1"/>
  <c r="AL131" i="1"/>
  <c r="R131" i="1"/>
  <c r="M131" i="1"/>
  <c r="L131" i="1" s="1"/>
  <c r="N131" i="1"/>
  <c r="BA131" i="1" s="1"/>
  <c r="BC131" i="1" s="1"/>
  <c r="X132" i="1"/>
  <c r="Y132" i="1" s="1"/>
  <c r="O137" i="1"/>
  <c r="N137" i="1"/>
  <c r="BA137" i="1" s="1"/>
  <c r="BC137" i="1" s="1"/>
  <c r="M137" i="1"/>
  <c r="L137" i="1" s="1"/>
  <c r="R137" i="1"/>
  <c r="AL137" i="1"/>
  <c r="M112" i="1"/>
  <c r="L112" i="1" s="1"/>
  <c r="X112" i="1" s="1"/>
  <c r="Y112" i="1" s="1"/>
  <c r="O113" i="1"/>
  <c r="W113" i="1"/>
  <c r="BK114" i="1"/>
  <c r="M116" i="1"/>
  <c r="L116" i="1" s="1"/>
  <c r="O117" i="1"/>
  <c r="W117" i="1"/>
  <c r="BK118" i="1"/>
  <c r="M120" i="1"/>
  <c r="L120" i="1" s="1"/>
  <c r="BK122" i="1"/>
  <c r="BI122" i="1"/>
  <c r="CY124" i="1"/>
  <c r="AZ124" i="1" s="1"/>
  <c r="BB124" i="1" s="1"/>
  <c r="W124" i="1"/>
  <c r="N128" i="1"/>
  <c r="BA128" i="1" s="1"/>
  <c r="M128" i="1"/>
  <c r="L128" i="1" s="1"/>
  <c r="AL128" i="1"/>
  <c r="R128" i="1"/>
  <c r="O128" i="1"/>
  <c r="O133" i="1"/>
  <c r="N133" i="1"/>
  <c r="BA133" i="1" s="1"/>
  <c r="BC133" i="1" s="1"/>
  <c r="M133" i="1"/>
  <c r="L133" i="1" s="1"/>
  <c r="R133" i="1"/>
  <c r="AL133" i="1"/>
  <c r="R113" i="1"/>
  <c r="R117" i="1"/>
  <c r="AA122" i="1"/>
  <c r="O125" i="1"/>
  <c r="N125" i="1"/>
  <c r="BA125" i="1" s="1"/>
  <c r="BC125" i="1" s="1"/>
  <c r="M125" i="1"/>
  <c r="L125" i="1" s="1"/>
  <c r="AL125" i="1"/>
  <c r="CY128" i="1"/>
  <c r="AZ128" i="1" s="1"/>
  <c r="BB128" i="1" s="1"/>
  <c r="BB131" i="1"/>
  <c r="AE155" i="1"/>
  <c r="AE159" i="1"/>
  <c r="CY120" i="1"/>
  <c r="AZ120" i="1" s="1"/>
  <c r="BB120" i="1" s="1"/>
  <c r="W120" i="1"/>
  <c r="M124" i="1"/>
  <c r="L124" i="1" s="1"/>
  <c r="O124" i="1"/>
  <c r="AA126" i="1"/>
  <c r="X127" i="1"/>
  <c r="Y127" i="1" s="1"/>
  <c r="X131" i="1"/>
  <c r="Y131" i="1" s="1"/>
  <c r="BC164" i="1"/>
  <c r="U127" i="1"/>
  <c r="S127" i="1" s="1"/>
  <c r="V127" i="1" s="1"/>
  <c r="P127" i="1" s="1"/>
  <c r="Q127" i="1" s="1"/>
  <c r="BK131" i="1"/>
  <c r="BJ131" i="1"/>
  <c r="BN131" i="1" s="1"/>
  <c r="BO131" i="1" s="1"/>
  <c r="M113" i="1"/>
  <c r="L113" i="1" s="1"/>
  <c r="W114" i="1"/>
  <c r="BI114" i="1"/>
  <c r="M117" i="1"/>
  <c r="L117" i="1" s="1"/>
  <c r="W118" i="1"/>
  <c r="BI118" i="1"/>
  <c r="BJ120" i="1"/>
  <c r="BN120" i="1" s="1"/>
  <c r="BO120" i="1" s="1"/>
  <c r="CY122" i="1"/>
  <c r="AZ122" i="1" s="1"/>
  <c r="BB122" i="1" s="1"/>
  <c r="W122" i="1"/>
  <c r="O129" i="1"/>
  <c r="N129" i="1"/>
  <c r="BA129" i="1" s="1"/>
  <c r="BC129" i="1" s="1"/>
  <c r="M129" i="1"/>
  <c r="L129" i="1" s="1"/>
  <c r="AL129" i="1"/>
  <c r="BI131" i="1"/>
  <c r="BC138" i="1"/>
  <c r="X143" i="1"/>
  <c r="Y143" i="1" s="1"/>
  <c r="U143" i="1" s="1"/>
  <c r="S143" i="1" s="1"/>
  <c r="V143" i="1" s="1"/>
  <c r="P143" i="1" s="1"/>
  <c r="Q143" i="1" s="1"/>
  <c r="O144" i="1"/>
  <c r="N144" i="1"/>
  <c r="BA144" i="1" s="1"/>
  <c r="BC144" i="1" s="1"/>
  <c r="M144" i="1"/>
  <c r="L144" i="1" s="1"/>
  <c r="AL144" i="1"/>
  <c r="BB146" i="1"/>
  <c r="BK120" i="1"/>
  <c r="W121" i="1"/>
  <c r="R124" i="1"/>
  <c r="R126" i="1"/>
  <c r="O126" i="1"/>
  <c r="N126" i="1"/>
  <c r="BA126" i="1" s="1"/>
  <c r="BC126" i="1" s="1"/>
  <c r="BC127" i="1"/>
  <c r="BK127" i="1"/>
  <c r="BJ127" i="1"/>
  <c r="BN127" i="1" s="1"/>
  <c r="BO127" i="1" s="1"/>
  <c r="AA130" i="1"/>
  <c r="CY134" i="1"/>
  <c r="AZ134" i="1" s="1"/>
  <c r="BB134" i="1" s="1"/>
  <c r="W134" i="1"/>
  <c r="BK125" i="1"/>
  <c r="W128" i="1"/>
  <c r="BK129" i="1"/>
  <c r="R134" i="1"/>
  <c r="O134" i="1"/>
  <c r="AL134" i="1"/>
  <c r="R138" i="1"/>
  <c r="O138" i="1"/>
  <c r="AL138" i="1"/>
  <c r="AA142" i="1"/>
  <c r="BK142" i="1"/>
  <c r="BJ142" i="1"/>
  <c r="BN142" i="1" s="1"/>
  <c r="BO142" i="1" s="1"/>
  <c r="BI142" i="1"/>
  <c r="BC146" i="1"/>
  <c r="CY146" i="1"/>
  <c r="AZ146" i="1" s="1"/>
  <c r="W146" i="1"/>
  <c r="X160" i="1"/>
  <c r="Y160" i="1" s="1"/>
  <c r="AF132" i="1"/>
  <c r="X136" i="1"/>
  <c r="Y136" i="1" s="1"/>
  <c r="AF136" i="1" s="1"/>
  <c r="R142" i="1"/>
  <c r="O142" i="1"/>
  <c r="AL142" i="1"/>
  <c r="AF144" i="1"/>
  <c r="BB145" i="1"/>
  <c r="W126" i="1"/>
  <c r="BI126" i="1"/>
  <c r="W130" i="1"/>
  <c r="BI130" i="1"/>
  <c r="U132" i="1"/>
  <c r="S132" i="1" s="1"/>
  <c r="V132" i="1" s="1"/>
  <c r="P132" i="1" s="1"/>
  <c r="Q132" i="1" s="1"/>
  <c r="X140" i="1"/>
  <c r="Y140" i="1" s="1"/>
  <c r="AF140" i="1" s="1"/>
  <c r="O141" i="1"/>
  <c r="N141" i="1"/>
  <c r="BA141" i="1" s="1"/>
  <c r="BC141" i="1" s="1"/>
  <c r="M141" i="1"/>
  <c r="L141" i="1" s="1"/>
  <c r="R141" i="1"/>
  <c r="N142" i="1"/>
  <c r="BA142" i="1" s="1"/>
  <c r="BC142" i="1" s="1"/>
  <c r="CY142" i="1"/>
  <c r="AZ142" i="1" s="1"/>
  <c r="W142" i="1"/>
  <c r="BB143" i="1"/>
  <c r="AA146" i="1"/>
  <c r="BK146" i="1"/>
  <c r="BJ146" i="1"/>
  <c r="BN146" i="1" s="1"/>
  <c r="BO146" i="1" s="1"/>
  <c r="BI146" i="1"/>
  <c r="BC148" i="1"/>
  <c r="BC152" i="1"/>
  <c r="X156" i="1"/>
  <c r="Y156" i="1" s="1"/>
  <c r="BK134" i="1"/>
  <c r="BJ134" i="1"/>
  <c r="BN134" i="1" s="1"/>
  <c r="BO134" i="1" s="1"/>
  <c r="BI134" i="1"/>
  <c r="M135" i="1"/>
  <c r="L135" i="1" s="1"/>
  <c r="AL135" i="1"/>
  <c r="R135" i="1"/>
  <c r="N135" i="1"/>
  <c r="BA135" i="1" s="1"/>
  <c r="BC135" i="1" s="1"/>
  <c r="O136" i="1"/>
  <c r="N136" i="1"/>
  <c r="BA136" i="1" s="1"/>
  <c r="BC136" i="1" s="1"/>
  <c r="M136" i="1"/>
  <c r="L136" i="1" s="1"/>
  <c r="AL136" i="1"/>
  <c r="BK138" i="1"/>
  <c r="BJ138" i="1"/>
  <c r="BN138" i="1" s="1"/>
  <c r="BO138" i="1" s="1"/>
  <c r="BI138" i="1"/>
  <c r="M139" i="1"/>
  <c r="L139" i="1" s="1"/>
  <c r="X139" i="1" s="1"/>
  <c r="Y139" i="1" s="1"/>
  <c r="AL139" i="1"/>
  <c r="R139" i="1"/>
  <c r="N139" i="1"/>
  <c r="BA139" i="1" s="1"/>
  <c r="BC139" i="1" s="1"/>
  <c r="O140" i="1"/>
  <c r="N140" i="1"/>
  <c r="BA140" i="1" s="1"/>
  <c r="BC140" i="1" s="1"/>
  <c r="M140" i="1"/>
  <c r="L140" i="1" s="1"/>
  <c r="AL140" i="1"/>
  <c r="BB142" i="1"/>
  <c r="M156" i="1"/>
  <c r="L156" i="1" s="1"/>
  <c r="AL156" i="1"/>
  <c r="R156" i="1"/>
  <c r="N156" i="1"/>
  <c r="BA156" i="1" s="1"/>
  <c r="BC156" i="1" s="1"/>
  <c r="W125" i="1"/>
  <c r="BI125" i="1"/>
  <c r="W129" i="1"/>
  <c r="BI129" i="1"/>
  <c r="O162" i="1"/>
  <c r="N162" i="1"/>
  <c r="BA162" i="1" s="1"/>
  <c r="BC162" i="1" s="1"/>
  <c r="M162" i="1"/>
  <c r="L162" i="1" s="1"/>
  <c r="AL162" i="1"/>
  <c r="BB135" i="1"/>
  <c r="BB139" i="1"/>
  <c r="X144" i="1"/>
  <c r="Y144" i="1" s="1"/>
  <c r="O145" i="1"/>
  <c r="N145" i="1"/>
  <c r="BA145" i="1" s="1"/>
  <c r="BC145" i="1" s="1"/>
  <c r="M145" i="1"/>
  <c r="L145" i="1" s="1"/>
  <c r="X145" i="1" s="1"/>
  <c r="Y145" i="1" s="1"/>
  <c r="R145" i="1"/>
  <c r="R146" i="1"/>
  <c r="O146" i="1"/>
  <c r="AL146" i="1"/>
  <c r="X147" i="1"/>
  <c r="Y147" i="1" s="1"/>
  <c r="CY157" i="1"/>
  <c r="AZ157" i="1" s="1"/>
  <c r="BB157" i="1" s="1"/>
  <c r="BK160" i="1"/>
  <c r="BJ160" i="1"/>
  <c r="BN160" i="1" s="1"/>
  <c r="BO160" i="1" s="1"/>
  <c r="BI160" i="1"/>
  <c r="BJ132" i="1"/>
  <c r="BN132" i="1" s="1"/>
  <c r="BO132" i="1" s="1"/>
  <c r="N143" i="1"/>
  <c r="BA143" i="1" s="1"/>
  <c r="BC143" i="1" s="1"/>
  <c r="BJ144" i="1"/>
  <c r="BN144" i="1" s="1"/>
  <c r="BO144" i="1" s="1"/>
  <c r="N147" i="1"/>
  <c r="BA147" i="1" s="1"/>
  <c r="BC147" i="1" s="1"/>
  <c r="O149" i="1"/>
  <c r="N149" i="1"/>
  <c r="BA149" i="1" s="1"/>
  <c r="BC149" i="1" s="1"/>
  <c r="M149" i="1"/>
  <c r="L149" i="1" s="1"/>
  <c r="AL149" i="1"/>
  <c r="R149" i="1"/>
  <c r="O153" i="1"/>
  <c r="N153" i="1"/>
  <c r="BA153" i="1" s="1"/>
  <c r="BC153" i="1" s="1"/>
  <c r="M153" i="1"/>
  <c r="L153" i="1" s="1"/>
  <c r="AL153" i="1"/>
  <c r="R153" i="1"/>
  <c r="AA155" i="1"/>
  <c r="R159" i="1"/>
  <c r="O159" i="1"/>
  <c r="N159" i="1"/>
  <c r="BA159" i="1" s="1"/>
  <c r="BC159" i="1" s="1"/>
  <c r="O166" i="1"/>
  <c r="N166" i="1"/>
  <c r="BA166" i="1" s="1"/>
  <c r="BC166" i="1" s="1"/>
  <c r="M166" i="1"/>
  <c r="L166" i="1" s="1"/>
  <c r="AL166" i="1"/>
  <c r="M148" i="1"/>
  <c r="L148" i="1" s="1"/>
  <c r="X148" i="1" s="1"/>
  <c r="Y148" i="1" s="1"/>
  <c r="AL148" i="1"/>
  <c r="R148" i="1"/>
  <c r="M152" i="1"/>
  <c r="L152" i="1" s="1"/>
  <c r="AL152" i="1"/>
  <c r="R152" i="1"/>
  <c r="R155" i="1"/>
  <c r="O155" i="1"/>
  <c r="N155" i="1"/>
  <c r="BA155" i="1" s="1"/>
  <c r="BC155" i="1" s="1"/>
  <c r="BB156" i="1"/>
  <c r="O161" i="1"/>
  <c r="N161" i="1"/>
  <c r="BA161" i="1" s="1"/>
  <c r="BC161" i="1" s="1"/>
  <c r="M161" i="1"/>
  <c r="L161" i="1" s="1"/>
  <c r="AL161" i="1"/>
  <c r="R161" i="1"/>
  <c r="M164" i="1"/>
  <c r="L164" i="1" s="1"/>
  <c r="AL164" i="1"/>
  <c r="R164" i="1"/>
  <c r="R143" i="1"/>
  <c r="R147" i="1"/>
  <c r="CY152" i="1"/>
  <c r="AZ152" i="1" s="1"/>
  <c r="O158" i="1"/>
  <c r="N158" i="1"/>
  <c r="BA158" i="1" s="1"/>
  <c r="BC158" i="1" s="1"/>
  <c r="M158" i="1"/>
  <c r="L158" i="1" s="1"/>
  <c r="AL158" i="1"/>
  <c r="CY165" i="1"/>
  <c r="AZ165" i="1" s="1"/>
  <c r="BB165" i="1" s="1"/>
  <c r="BI133" i="1"/>
  <c r="W137" i="1"/>
  <c r="BI137" i="1"/>
  <c r="BI141" i="1"/>
  <c r="BB148" i="1"/>
  <c r="R151" i="1"/>
  <c r="O151" i="1"/>
  <c r="N151" i="1"/>
  <c r="BA151" i="1" s="1"/>
  <c r="BC151" i="1" s="1"/>
  <c r="BB152" i="1"/>
  <c r="BK156" i="1"/>
  <c r="BJ156" i="1"/>
  <c r="BN156" i="1" s="1"/>
  <c r="BO156" i="1" s="1"/>
  <c r="R163" i="1"/>
  <c r="O163" i="1"/>
  <c r="N163" i="1"/>
  <c r="BA163" i="1" s="1"/>
  <c r="BC163" i="1" s="1"/>
  <c r="BB164" i="1"/>
  <c r="BJ133" i="1"/>
  <c r="BN133" i="1" s="1"/>
  <c r="BO133" i="1" s="1"/>
  <c r="BJ137" i="1"/>
  <c r="BN137" i="1" s="1"/>
  <c r="BO137" i="1" s="1"/>
  <c r="BJ141" i="1"/>
  <c r="BN141" i="1" s="1"/>
  <c r="BO141" i="1" s="1"/>
  <c r="AL143" i="1"/>
  <c r="BJ145" i="1"/>
  <c r="BN145" i="1" s="1"/>
  <c r="BO145" i="1" s="1"/>
  <c r="AL147" i="1"/>
  <c r="CY147" i="1"/>
  <c r="AZ147" i="1" s="1"/>
  <c r="BB147" i="1" s="1"/>
  <c r="O150" i="1"/>
  <c r="N150" i="1"/>
  <c r="BA150" i="1" s="1"/>
  <c r="BC150" i="1" s="1"/>
  <c r="M150" i="1"/>
  <c r="L150" i="1" s="1"/>
  <c r="X150" i="1" s="1"/>
  <c r="Y150" i="1" s="1"/>
  <c r="AL150" i="1"/>
  <c r="M151" i="1"/>
  <c r="L151" i="1" s="1"/>
  <c r="BI156" i="1"/>
  <c r="O157" i="1"/>
  <c r="N157" i="1"/>
  <c r="BA157" i="1" s="1"/>
  <c r="BC157" i="1" s="1"/>
  <c r="M157" i="1"/>
  <c r="L157" i="1" s="1"/>
  <c r="AL157" i="1"/>
  <c r="R157" i="1"/>
  <c r="M160" i="1"/>
  <c r="L160" i="1" s="1"/>
  <c r="AL160" i="1"/>
  <c r="R160" i="1"/>
  <c r="CY161" i="1"/>
  <c r="AZ161" i="1" s="1"/>
  <c r="BB161" i="1" s="1"/>
  <c r="X164" i="1"/>
  <c r="Y164" i="1" s="1"/>
  <c r="BK148" i="1"/>
  <c r="BJ148" i="1"/>
  <c r="BN148" i="1" s="1"/>
  <c r="BO148" i="1" s="1"/>
  <c r="BK152" i="1"/>
  <c r="BJ152" i="1"/>
  <c r="BN152" i="1" s="1"/>
  <c r="BO152" i="1" s="1"/>
  <c r="O154" i="1"/>
  <c r="N154" i="1"/>
  <c r="BA154" i="1" s="1"/>
  <c r="BC154" i="1" s="1"/>
  <c r="M154" i="1"/>
  <c r="L154" i="1" s="1"/>
  <c r="AL154" i="1"/>
  <c r="AL159" i="1"/>
  <c r="M163" i="1"/>
  <c r="L163" i="1" s="1"/>
  <c r="BK164" i="1"/>
  <c r="BJ164" i="1"/>
  <c r="BN164" i="1" s="1"/>
  <c r="BO164" i="1" s="1"/>
  <c r="R166" i="1"/>
  <c r="BI151" i="1"/>
  <c r="W155" i="1"/>
  <c r="BI155" i="1"/>
  <c r="W159" i="1"/>
  <c r="BI159" i="1"/>
  <c r="W163" i="1"/>
  <c r="BI163" i="1"/>
  <c r="BJ151" i="1"/>
  <c r="BN151" i="1" s="1"/>
  <c r="BO151" i="1" s="1"/>
  <c r="BJ155" i="1"/>
  <c r="BN155" i="1" s="1"/>
  <c r="BO155" i="1" s="1"/>
  <c r="BJ159" i="1"/>
  <c r="BN159" i="1" s="1"/>
  <c r="BO159" i="1" s="1"/>
  <c r="BJ163" i="1"/>
  <c r="BN163" i="1" s="1"/>
  <c r="BO163" i="1" s="1"/>
  <c r="BI154" i="1"/>
  <c r="W158" i="1"/>
  <c r="BI158" i="1"/>
  <c r="W162" i="1"/>
  <c r="BI162" i="1"/>
  <c r="BJ154" i="1"/>
  <c r="BN154" i="1" s="1"/>
  <c r="BO154" i="1" s="1"/>
  <c r="BJ158" i="1"/>
  <c r="BN158" i="1" s="1"/>
  <c r="BO158" i="1" s="1"/>
  <c r="BJ162" i="1"/>
  <c r="BN162" i="1" s="1"/>
  <c r="BO162" i="1" s="1"/>
  <c r="W161" i="1"/>
  <c r="Z139" i="1" l="1"/>
  <c r="AD139" i="1" s="1"/>
  <c r="AG139" i="1"/>
  <c r="AF139" i="1"/>
  <c r="AG86" i="1"/>
  <c r="Z86" i="1"/>
  <c r="AD86" i="1" s="1"/>
  <c r="AF86" i="1"/>
  <c r="Z28" i="1"/>
  <c r="AD28" i="1" s="1"/>
  <c r="AG28" i="1"/>
  <c r="AF28" i="1"/>
  <c r="Z60" i="1"/>
  <c r="AD60" i="1" s="1"/>
  <c r="AG60" i="1"/>
  <c r="AF60" i="1"/>
  <c r="AG150" i="1"/>
  <c r="AF150" i="1"/>
  <c r="Z150" i="1"/>
  <c r="AD150" i="1" s="1"/>
  <c r="AG112" i="1"/>
  <c r="Z112" i="1"/>
  <c r="AD112" i="1" s="1"/>
  <c r="AF112" i="1"/>
  <c r="Z92" i="1"/>
  <c r="AD92" i="1" s="1"/>
  <c r="AG92" i="1"/>
  <c r="AF92" i="1"/>
  <c r="Z102" i="1"/>
  <c r="AD102" i="1" s="1"/>
  <c r="AG102" i="1"/>
  <c r="AH102" i="1" s="1"/>
  <c r="AF102" i="1"/>
  <c r="Z148" i="1"/>
  <c r="AD148" i="1" s="1"/>
  <c r="AG148" i="1"/>
  <c r="AF148" i="1"/>
  <c r="AG145" i="1"/>
  <c r="Z145" i="1"/>
  <c r="AD145" i="1" s="1"/>
  <c r="AF145" i="1"/>
  <c r="Z56" i="1"/>
  <c r="AD56" i="1" s="1"/>
  <c r="AG56" i="1"/>
  <c r="AF56" i="1"/>
  <c r="Z46" i="1"/>
  <c r="AD46" i="1" s="1"/>
  <c r="AG46" i="1"/>
  <c r="AF46" i="1"/>
  <c r="Z98" i="1"/>
  <c r="AD98" i="1" s="1"/>
  <c r="AG98" i="1"/>
  <c r="AF98" i="1"/>
  <c r="X95" i="1"/>
  <c r="Y95" i="1" s="1"/>
  <c r="X155" i="1"/>
  <c r="Y155" i="1" s="1"/>
  <c r="X154" i="1"/>
  <c r="Y154" i="1" s="1"/>
  <c r="U154" i="1" s="1"/>
  <c r="S154" i="1" s="1"/>
  <c r="V154" i="1" s="1"/>
  <c r="P154" i="1" s="1"/>
  <c r="Q154" i="1" s="1"/>
  <c r="AE154" i="1"/>
  <c r="AE158" i="1"/>
  <c r="AE140" i="1"/>
  <c r="U140" i="1"/>
  <c r="S140" i="1" s="1"/>
  <c r="V140" i="1" s="1"/>
  <c r="P140" i="1" s="1"/>
  <c r="Q140" i="1" s="1"/>
  <c r="X121" i="1"/>
  <c r="Y121" i="1" s="1"/>
  <c r="BC134" i="1"/>
  <c r="X120" i="1"/>
  <c r="Y120" i="1" s="1"/>
  <c r="AG132" i="1"/>
  <c r="AH132" i="1" s="1"/>
  <c r="Z132" i="1"/>
  <c r="AD132" i="1" s="1"/>
  <c r="BC124" i="1"/>
  <c r="BC165" i="1"/>
  <c r="Z115" i="1"/>
  <c r="AD115" i="1" s="1"/>
  <c r="AG115" i="1"/>
  <c r="AH115" i="1" s="1"/>
  <c r="AG123" i="1"/>
  <c r="AH123" i="1" s="1"/>
  <c r="Z123" i="1"/>
  <c r="AD123" i="1" s="1"/>
  <c r="X93" i="1"/>
  <c r="Y93" i="1" s="1"/>
  <c r="AE93" i="1"/>
  <c r="X77" i="1"/>
  <c r="Y77" i="1" s="1"/>
  <c r="U77" i="1" s="1"/>
  <c r="S77" i="1" s="1"/>
  <c r="V77" i="1" s="1"/>
  <c r="P77" i="1" s="1"/>
  <c r="Q77" i="1" s="1"/>
  <c r="AE77" i="1"/>
  <c r="BC88" i="1"/>
  <c r="BC80" i="1"/>
  <c r="AE80" i="1"/>
  <c r="AE65" i="1"/>
  <c r="AE47" i="1"/>
  <c r="AE52" i="1"/>
  <c r="BB73" i="1"/>
  <c r="X54" i="1"/>
  <c r="Y54" i="1" s="1"/>
  <c r="X57" i="1"/>
  <c r="Y57" i="1" s="1"/>
  <c r="X42" i="1"/>
  <c r="Y42" i="1" s="1"/>
  <c r="AE42" i="1"/>
  <c r="AE49" i="1"/>
  <c r="BB36" i="1"/>
  <c r="AE25" i="1"/>
  <c r="BC25" i="1"/>
  <c r="Z17" i="1"/>
  <c r="AD17" i="1" s="1"/>
  <c r="AG17" i="1"/>
  <c r="AF17" i="1"/>
  <c r="AE135" i="1"/>
  <c r="Z116" i="1"/>
  <c r="AD116" i="1" s="1"/>
  <c r="AG116" i="1"/>
  <c r="Z27" i="1"/>
  <c r="AD27" i="1" s="1"/>
  <c r="AG27" i="1"/>
  <c r="AE157" i="1"/>
  <c r="U157" i="1"/>
  <c r="S157" i="1" s="1"/>
  <c r="V157" i="1" s="1"/>
  <c r="P157" i="1" s="1"/>
  <c r="Q157" i="1" s="1"/>
  <c r="X157" i="1"/>
  <c r="Y157" i="1" s="1"/>
  <c r="U164" i="1"/>
  <c r="S164" i="1" s="1"/>
  <c r="V164" i="1" s="1"/>
  <c r="P164" i="1" s="1"/>
  <c r="Q164" i="1" s="1"/>
  <c r="AE164" i="1"/>
  <c r="AE153" i="1"/>
  <c r="U153" i="1"/>
  <c r="S153" i="1" s="1"/>
  <c r="V153" i="1" s="1"/>
  <c r="P153" i="1" s="1"/>
  <c r="Q153" i="1" s="1"/>
  <c r="X153" i="1"/>
  <c r="Y153" i="1" s="1"/>
  <c r="X130" i="1"/>
  <c r="Y130" i="1" s="1"/>
  <c r="U131" i="1"/>
  <c r="S131" i="1" s="1"/>
  <c r="V131" i="1" s="1"/>
  <c r="P131" i="1" s="1"/>
  <c r="Q131" i="1" s="1"/>
  <c r="AE131" i="1"/>
  <c r="Z111" i="1"/>
  <c r="AD111" i="1" s="1"/>
  <c r="AG111" i="1"/>
  <c r="U111" i="1"/>
  <c r="S111" i="1" s="1"/>
  <c r="V111" i="1" s="1"/>
  <c r="P111" i="1" s="1"/>
  <c r="Q111" i="1" s="1"/>
  <c r="AE106" i="1"/>
  <c r="U106" i="1"/>
  <c r="S106" i="1" s="1"/>
  <c r="V106" i="1" s="1"/>
  <c r="P106" i="1" s="1"/>
  <c r="Q106" i="1" s="1"/>
  <c r="AE118" i="1"/>
  <c r="BC93" i="1"/>
  <c r="X99" i="1"/>
  <c r="Y99" i="1" s="1"/>
  <c r="U90" i="1"/>
  <c r="S90" i="1" s="1"/>
  <c r="V90" i="1" s="1"/>
  <c r="P90" i="1" s="1"/>
  <c r="Q90" i="1" s="1"/>
  <c r="AE90" i="1"/>
  <c r="X84" i="1"/>
  <c r="Y84" i="1" s="1"/>
  <c r="X67" i="1"/>
  <c r="Y67" i="1" s="1"/>
  <c r="U67" i="1" s="1"/>
  <c r="S67" i="1" s="1"/>
  <c r="V67" i="1" s="1"/>
  <c r="P67" i="1" s="1"/>
  <c r="Q67" i="1" s="1"/>
  <c r="AE67" i="1"/>
  <c r="AE87" i="1"/>
  <c r="AE73" i="1"/>
  <c r="X62" i="1"/>
  <c r="Y62" i="1" s="1"/>
  <c r="BC91" i="1"/>
  <c r="X41" i="1"/>
  <c r="Y41" i="1" s="1"/>
  <c r="BB69" i="1"/>
  <c r="Z39" i="1"/>
  <c r="AD39" i="1" s="1"/>
  <c r="AG39" i="1"/>
  <c r="AE24" i="1"/>
  <c r="X29" i="1"/>
  <c r="Y29" i="1" s="1"/>
  <c r="BC50" i="1"/>
  <c r="Z43" i="1"/>
  <c r="AD43" i="1" s="1"/>
  <c r="AG43" i="1"/>
  <c r="AF43" i="1"/>
  <c r="BC37" i="1"/>
  <c r="BB54" i="1"/>
  <c r="X47" i="1"/>
  <c r="Y47" i="1" s="1"/>
  <c r="U47" i="1" s="1"/>
  <c r="S47" i="1" s="1"/>
  <c r="V47" i="1" s="1"/>
  <c r="P47" i="1" s="1"/>
  <c r="Q47" i="1" s="1"/>
  <c r="AG38" i="1"/>
  <c r="AH38" i="1" s="1"/>
  <c r="Z38" i="1"/>
  <c r="AD38" i="1" s="1"/>
  <c r="AE30" i="1"/>
  <c r="X20" i="1"/>
  <c r="Y20" i="1" s="1"/>
  <c r="AE20" i="1"/>
  <c r="X30" i="1"/>
  <c r="Y30" i="1" s="1"/>
  <c r="U30" i="1" s="1"/>
  <c r="S30" i="1" s="1"/>
  <c r="V30" i="1" s="1"/>
  <c r="P30" i="1" s="1"/>
  <c r="Q30" i="1" s="1"/>
  <c r="AE145" i="1"/>
  <c r="U145" i="1"/>
  <c r="S145" i="1" s="1"/>
  <c r="V145" i="1" s="1"/>
  <c r="P145" i="1" s="1"/>
  <c r="Q145" i="1" s="1"/>
  <c r="Z131" i="1"/>
  <c r="AD131" i="1" s="1"/>
  <c r="AG131" i="1"/>
  <c r="AE120" i="1"/>
  <c r="AE122" i="1"/>
  <c r="AE104" i="1"/>
  <c r="AE76" i="1"/>
  <c r="Z79" i="1"/>
  <c r="AD79" i="1" s="1"/>
  <c r="AG79" i="1"/>
  <c r="AE91" i="1"/>
  <c r="X69" i="1"/>
  <c r="Y69" i="1" s="1"/>
  <c r="AE37" i="1"/>
  <c r="X162" i="1"/>
  <c r="Y162" i="1" s="1"/>
  <c r="AE162" i="1"/>
  <c r="U162" i="1"/>
  <c r="S162" i="1" s="1"/>
  <c r="V162" i="1" s="1"/>
  <c r="P162" i="1" s="1"/>
  <c r="Q162" i="1" s="1"/>
  <c r="AE136" i="1"/>
  <c r="U136" i="1"/>
  <c r="S136" i="1" s="1"/>
  <c r="V136" i="1" s="1"/>
  <c r="P136" i="1" s="1"/>
  <c r="Q136" i="1" s="1"/>
  <c r="AE141" i="1"/>
  <c r="U141" i="1"/>
  <c r="S141" i="1" s="1"/>
  <c r="V141" i="1" s="1"/>
  <c r="P141" i="1" s="1"/>
  <c r="Q141" i="1" s="1"/>
  <c r="X141" i="1"/>
  <c r="Y141" i="1" s="1"/>
  <c r="X128" i="1"/>
  <c r="Y128" i="1" s="1"/>
  <c r="X118" i="1"/>
  <c r="Y118" i="1" s="1"/>
  <c r="Z127" i="1"/>
  <c r="AD127" i="1" s="1"/>
  <c r="AG127" i="1"/>
  <c r="AE125" i="1"/>
  <c r="AE128" i="1"/>
  <c r="X117" i="1"/>
  <c r="Y117" i="1" s="1"/>
  <c r="AE110" i="1"/>
  <c r="U110" i="1"/>
  <c r="S110" i="1" s="1"/>
  <c r="V110" i="1" s="1"/>
  <c r="P110" i="1" s="1"/>
  <c r="Q110" i="1" s="1"/>
  <c r="AF116" i="1"/>
  <c r="AE94" i="1"/>
  <c r="X94" i="1"/>
  <c r="Y94" i="1" s="1"/>
  <c r="U96" i="1"/>
  <c r="S96" i="1" s="1"/>
  <c r="V96" i="1" s="1"/>
  <c r="P96" i="1" s="1"/>
  <c r="Q96" i="1" s="1"/>
  <c r="X96" i="1"/>
  <c r="Y96" i="1" s="1"/>
  <c r="AE96" i="1"/>
  <c r="BC113" i="1"/>
  <c r="AF111" i="1"/>
  <c r="X80" i="1"/>
  <c r="Y80" i="1" s="1"/>
  <c r="U80" i="1" s="1"/>
  <c r="S80" i="1" s="1"/>
  <c r="V80" i="1" s="1"/>
  <c r="P80" i="1" s="1"/>
  <c r="Q80" i="1" s="1"/>
  <c r="BB108" i="1"/>
  <c r="X90" i="1"/>
  <c r="Y90" i="1" s="1"/>
  <c r="X63" i="1"/>
  <c r="Y63" i="1" s="1"/>
  <c r="AE63" i="1"/>
  <c r="U63" i="1"/>
  <c r="S63" i="1" s="1"/>
  <c r="V63" i="1" s="1"/>
  <c r="P63" i="1" s="1"/>
  <c r="Q63" i="1" s="1"/>
  <c r="X78" i="1"/>
  <c r="Y78" i="1" s="1"/>
  <c r="AE78" i="1"/>
  <c r="U78" i="1"/>
  <c r="S78" i="1" s="1"/>
  <c r="V78" i="1" s="1"/>
  <c r="P78" i="1" s="1"/>
  <c r="Q78" i="1" s="1"/>
  <c r="AE61" i="1"/>
  <c r="Z68" i="1"/>
  <c r="AD68" i="1" s="1"/>
  <c r="AG68" i="1"/>
  <c r="X37" i="1"/>
  <c r="Y37" i="1" s="1"/>
  <c r="AG45" i="1"/>
  <c r="AH45" i="1" s="1"/>
  <c r="Z45" i="1"/>
  <c r="AD45" i="1" s="1"/>
  <c r="U45" i="1"/>
  <c r="S45" i="1" s="1"/>
  <c r="V45" i="1" s="1"/>
  <c r="P45" i="1" s="1"/>
  <c r="Q45" i="1" s="1"/>
  <c r="AE66" i="1"/>
  <c r="AE33" i="1"/>
  <c r="U33" i="1"/>
  <c r="S33" i="1" s="1"/>
  <c r="V33" i="1" s="1"/>
  <c r="P33" i="1" s="1"/>
  <c r="Q33" i="1" s="1"/>
  <c r="AF39" i="1"/>
  <c r="U43" i="1"/>
  <c r="S43" i="1" s="1"/>
  <c r="V43" i="1" s="1"/>
  <c r="P43" i="1" s="1"/>
  <c r="Q43" i="1" s="1"/>
  <c r="AE43" i="1"/>
  <c r="AE70" i="1"/>
  <c r="X23" i="1"/>
  <c r="Y23" i="1" s="1"/>
  <c r="X87" i="1"/>
  <c r="Y87" i="1" s="1"/>
  <c r="AG31" i="1"/>
  <c r="AH31" i="1" s="1"/>
  <c r="Z31" i="1"/>
  <c r="AD31" i="1" s="1"/>
  <c r="AE19" i="1"/>
  <c r="AE26" i="1"/>
  <c r="AE17" i="1"/>
  <c r="U17" i="1"/>
  <c r="S17" i="1" s="1"/>
  <c r="V17" i="1" s="1"/>
  <c r="P17" i="1" s="1"/>
  <c r="Q17" i="1" s="1"/>
  <c r="X109" i="1"/>
  <c r="Y109" i="1" s="1"/>
  <c r="X71" i="1"/>
  <c r="Y71" i="1" s="1"/>
  <c r="AE71" i="1"/>
  <c r="U71" i="1"/>
  <c r="S71" i="1" s="1"/>
  <c r="V71" i="1" s="1"/>
  <c r="P71" i="1" s="1"/>
  <c r="Q71" i="1" s="1"/>
  <c r="X40" i="1"/>
  <c r="Y40" i="1" s="1"/>
  <c r="X35" i="1"/>
  <c r="Y35" i="1" s="1"/>
  <c r="X18" i="1"/>
  <c r="Y18" i="1" s="1"/>
  <c r="X163" i="1"/>
  <c r="Y163" i="1" s="1"/>
  <c r="X137" i="1"/>
  <c r="Y137" i="1" s="1"/>
  <c r="U148" i="1"/>
  <c r="S148" i="1" s="1"/>
  <c r="V148" i="1" s="1"/>
  <c r="P148" i="1" s="1"/>
  <c r="Q148" i="1" s="1"/>
  <c r="AE148" i="1"/>
  <c r="Z147" i="1"/>
  <c r="AD147" i="1" s="1"/>
  <c r="AG147" i="1"/>
  <c r="AH147" i="1" s="1"/>
  <c r="AF147" i="1"/>
  <c r="Z144" i="1"/>
  <c r="AD144" i="1" s="1"/>
  <c r="AG144" i="1"/>
  <c r="U156" i="1"/>
  <c r="S156" i="1" s="1"/>
  <c r="V156" i="1" s="1"/>
  <c r="P156" i="1" s="1"/>
  <c r="Q156" i="1" s="1"/>
  <c r="AE156" i="1"/>
  <c r="X126" i="1"/>
  <c r="Y126" i="1" s="1"/>
  <c r="X146" i="1"/>
  <c r="Y146" i="1" s="1"/>
  <c r="AE144" i="1"/>
  <c r="U144" i="1"/>
  <c r="S144" i="1" s="1"/>
  <c r="V144" i="1" s="1"/>
  <c r="P144" i="1" s="1"/>
  <c r="Q144" i="1" s="1"/>
  <c r="AE129" i="1"/>
  <c r="U129" i="1"/>
  <c r="S129" i="1" s="1"/>
  <c r="V129" i="1" s="1"/>
  <c r="P129" i="1" s="1"/>
  <c r="Q129" i="1" s="1"/>
  <c r="U117" i="1"/>
  <c r="S117" i="1" s="1"/>
  <c r="V117" i="1" s="1"/>
  <c r="P117" i="1" s="1"/>
  <c r="Q117" i="1" s="1"/>
  <c r="AE117" i="1"/>
  <c r="X133" i="1"/>
  <c r="Y133" i="1" s="1"/>
  <c r="AE133" i="1"/>
  <c r="U133" i="1"/>
  <c r="S133" i="1" s="1"/>
  <c r="V133" i="1" s="1"/>
  <c r="P133" i="1" s="1"/>
  <c r="Q133" i="1" s="1"/>
  <c r="BC128" i="1"/>
  <c r="AE137" i="1"/>
  <c r="U137" i="1"/>
  <c r="S137" i="1" s="1"/>
  <c r="V137" i="1" s="1"/>
  <c r="P137" i="1" s="1"/>
  <c r="Q137" i="1" s="1"/>
  <c r="X119" i="1"/>
  <c r="Y119" i="1" s="1"/>
  <c r="AE119" i="1"/>
  <c r="U119" i="1"/>
  <c r="S119" i="1" s="1"/>
  <c r="V119" i="1" s="1"/>
  <c r="P119" i="1" s="1"/>
  <c r="Q119" i="1" s="1"/>
  <c r="X103" i="1"/>
  <c r="Y103" i="1" s="1"/>
  <c r="AE101" i="1"/>
  <c r="U100" i="1"/>
  <c r="S100" i="1" s="1"/>
  <c r="V100" i="1" s="1"/>
  <c r="P100" i="1" s="1"/>
  <c r="Q100" i="1" s="1"/>
  <c r="AE100" i="1"/>
  <c r="X100" i="1"/>
  <c r="Y100" i="1" s="1"/>
  <c r="AE97" i="1"/>
  <c r="Z107" i="1"/>
  <c r="AD107" i="1" s="1"/>
  <c r="AG107" i="1"/>
  <c r="AH107" i="1" s="1"/>
  <c r="Z89" i="1"/>
  <c r="AD89" i="1" s="1"/>
  <c r="AG89" i="1"/>
  <c r="AH89" i="1" s="1"/>
  <c r="AF89" i="1"/>
  <c r="AE85" i="1"/>
  <c r="BC99" i="1"/>
  <c r="X59" i="1"/>
  <c r="Y59" i="1" s="1"/>
  <c r="U59" i="1" s="1"/>
  <c r="S59" i="1" s="1"/>
  <c r="V59" i="1" s="1"/>
  <c r="P59" i="1" s="1"/>
  <c r="Q59" i="1" s="1"/>
  <c r="AE59" i="1"/>
  <c r="AE88" i="1"/>
  <c r="X70" i="1"/>
  <c r="Y70" i="1" s="1"/>
  <c r="U70" i="1" s="1"/>
  <c r="S70" i="1" s="1"/>
  <c r="V70" i="1" s="1"/>
  <c r="P70" i="1" s="1"/>
  <c r="Q70" i="1" s="1"/>
  <c r="X49" i="1"/>
  <c r="Y49" i="1" s="1"/>
  <c r="BB57" i="1"/>
  <c r="U62" i="1"/>
  <c r="S62" i="1" s="1"/>
  <c r="V62" i="1" s="1"/>
  <c r="P62" i="1" s="1"/>
  <c r="Q62" i="1" s="1"/>
  <c r="AE62" i="1"/>
  <c r="BB76" i="1"/>
  <c r="AE68" i="1"/>
  <c r="U68" i="1"/>
  <c r="S68" i="1" s="1"/>
  <c r="V68" i="1" s="1"/>
  <c r="P68" i="1" s="1"/>
  <c r="Q68" i="1" s="1"/>
  <c r="BC66" i="1"/>
  <c r="X52" i="1"/>
  <c r="Y52" i="1" s="1"/>
  <c r="U39" i="1"/>
  <c r="S39" i="1" s="1"/>
  <c r="V39" i="1" s="1"/>
  <c r="P39" i="1" s="1"/>
  <c r="Q39" i="1" s="1"/>
  <c r="AE39" i="1"/>
  <c r="BC70" i="1"/>
  <c r="X33" i="1"/>
  <c r="Y33" i="1" s="1"/>
  <c r="AE48" i="1"/>
  <c r="X48" i="1"/>
  <c r="Y48" i="1" s="1"/>
  <c r="U48" i="1"/>
  <c r="S48" i="1" s="1"/>
  <c r="V48" i="1" s="1"/>
  <c r="P48" i="1" s="1"/>
  <c r="Q48" i="1" s="1"/>
  <c r="AE22" i="1"/>
  <c r="AE21" i="1"/>
  <c r="AE152" i="1"/>
  <c r="AG106" i="1"/>
  <c r="AH106" i="1" s="1"/>
  <c r="Z106" i="1"/>
  <c r="AD106" i="1" s="1"/>
  <c r="AF106" i="1"/>
  <c r="X76" i="1"/>
  <c r="Y76" i="1" s="1"/>
  <c r="U76" i="1" s="1"/>
  <c r="S76" i="1" s="1"/>
  <c r="V76" i="1" s="1"/>
  <c r="P76" i="1" s="1"/>
  <c r="Q76" i="1" s="1"/>
  <c r="X83" i="1"/>
  <c r="Y83" i="1" s="1"/>
  <c r="AE83" i="1"/>
  <c r="U83" i="1"/>
  <c r="S83" i="1" s="1"/>
  <c r="V83" i="1" s="1"/>
  <c r="P83" i="1" s="1"/>
  <c r="Q83" i="1" s="1"/>
  <c r="X50" i="1"/>
  <c r="Y50" i="1" s="1"/>
  <c r="Z44" i="1"/>
  <c r="AD44" i="1" s="1"/>
  <c r="AG44" i="1"/>
  <c r="X158" i="1"/>
  <c r="Y158" i="1" s="1"/>
  <c r="U158" i="1" s="1"/>
  <c r="S158" i="1" s="1"/>
  <c r="V158" i="1" s="1"/>
  <c r="P158" i="1" s="1"/>
  <c r="Q158" i="1" s="1"/>
  <c r="AE163" i="1"/>
  <c r="U163" i="1"/>
  <c r="S163" i="1" s="1"/>
  <c r="V163" i="1" s="1"/>
  <c r="P163" i="1" s="1"/>
  <c r="Q163" i="1" s="1"/>
  <c r="X129" i="1"/>
  <c r="Y129" i="1" s="1"/>
  <c r="U147" i="1"/>
  <c r="S147" i="1" s="1"/>
  <c r="V147" i="1" s="1"/>
  <c r="P147" i="1" s="1"/>
  <c r="Q147" i="1" s="1"/>
  <c r="X152" i="1"/>
  <c r="Y152" i="1" s="1"/>
  <c r="X124" i="1"/>
  <c r="Y124" i="1" s="1"/>
  <c r="U116" i="1"/>
  <c r="S116" i="1" s="1"/>
  <c r="V116" i="1" s="1"/>
  <c r="P116" i="1" s="1"/>
  <c r="Q116" i="1" s="1"/>
  <c r="AE116" i="1"/>
  <c r="X105" i="1"/>
  <c r="Y105" i="1" s="1"/>
  <c r="AE114" i="1"/>
  <c r="BC120" i="1"/>
  <c r="AE86" i="1"/>
  <c r="U86" i="1"/>
  <c r="S86" i="1" s="1"/>
  <c r="V86" i="1" s="1"/>
  <c r="P86" i="1" s="1"/>
  <c r="Q86" i="1" s="1"/>
  <c r="AE103" i="1"/>
  <c r="U103" i="1"/>
  <c r="S103" i="1" s="1"/>
  <c r="V103" i="1" s="1"/>
  <c r="P103" i="1" s="1"/>
  <c r="Q103" i="1" s="1"/>
  <c r="X88" i="1"/>
  <c r="Y88" i="1" s="1"/>
  <c r="U88" i="1" s="1"/>
  <c r="S88" i="1" s="1"/>
  <c r="V88" i="1" s="1"/>
  <c r="P88" i="1" s="1"/>
  <c r="Q88" i="1" s="1"/>
  <c r="AE79" i="1"/>
  <c r="U79" i="1"/>
  <c r="S79" i="1" s="1"/>
  <c r="V79" i="1" s="1"/>
  <c r="P79" i="1" s="1"/>
  <c r="Q79" i="1" s="1"/>
  <c r="AE55" i="1"/>
  <c r="X55" i="1"/>
  <c r="Y55" i="1" s="1"/>
  <c r="U81" i="1"/>
  <c r="S81" i="1" s="1"/>
  <c r="V81" i="1" s="1"/>
  <c r="P81" i="1" s="1"/>
  <c r="Q81" i="1" s="1"/>
  <c r="AE81" i="1"/>
  <c r="X81" i="1"/>
  <c r="Y81" i="1" s="1"/>
  <c r="AE69" i="1"/>
  <c r="U69" i="1"/>
  <c r="S69" i="1" s="1"/>
  <c r="V69" i="1" s="1"/>
  <c r="P69" i="1" s="1"/>
  <c r="Q69" i="1" s="1"/>
  <c r="X58" i="1"/>
  <c r="Y58" i="1" s="1"/>
  <c r="X73" i="1"/>
  <c r="Y73" i="1" s="1"/>
  <c r="BB84" i="1"/>
  <c r="AE56" i="1"/>
  <c r="U56" i="1"/>
  <c r="S56" i="1" s="1"/>
  <c r="V56" i="1" s="1"/>
  <c r="P56" i="1" s="1"/>
  <c r="Q56" i="1" s="1"/>
  <c r="X53" i="1"/>
  <c r="Y53" i="1" s="1"/>
  <c r="U58" i="1"/>
  <c r="S58" i="1" s="1"/>
  <c r="V58" i="1" s="1"/>
  <c r="P58" i="1" s="1"/>
  <c r="Q58" i="1" s="1"/>
  <c r="AE58" i="1"/>
  <c r="AE64" i="1"/>
  <c r="U64" i="1"/>
  <c r="S64" i="1" s="1"/>
  <c r="V64" i="1" s="1"/>
  <c r="P64" i="1" s="1"/>
  <c r="Q64" i="1" s="1"/>
  <c r="X36" i="1"/>
  <c r="Y36" i="1" s="1"/>
  <c r="AE46" i="1"/>
  <c r="U46" i="1"/>
  <c r="S46" i="1" s="1"/>
  <c r="V46" i="1" s="1"/>
  <c r="P46" i="1" s="1"/>
  <c r="Q46" i="1" s="1"/>
  <c r="AE41" i="1"/>
  <c r="U41" i="1"/>
  <c r="S41" i="1" s="1"/>
  <c r="V41" i="1" s="1"/>
  <c r="P41" i="1" s="1"/>
  <c r="Q41" i="1" s="1"/>
  <c r="X85" i="1"/>
  <c r="Y85" i="1" s="1"/>
  <c r="BC33" i="1"/>
  <c r="Z164" i="1"/>
  <c r="AD164" i="1" s="1"/>
  <c r="AG164" i="1"/>
  <c r="AF164" i="1"/>
  <c r="Z160" i="1"/>
  <c r="AD160" i="1" s="1"/>
  <c r="AG160" i="1"/>
  <c r="AF160" i="1"/>
  <c r="U112" i="1"/>
  <c r="S112" i="1" s="1"/>
  <c r="V112" i="1" s="1"/>
  <c r="P112" i="1" s="1"/>
  <c r="Q112" i="1" s="1"/>
  <c r="AE112" i="1"/>
  <c r="X97" i="1"/>
  <c r="Y97" i="1" s="1"/>
  <c r="X161" i="1"/>
  <c r="Y161" i="1" s="1"/>
  <c r="X159" i="1"/>
  <c r="Y159" i="1" s="1"/>
  <c r="U160" i="1"/>
  <c r="S160" i="1" s="1"/>
  <c r="V160" i="1" s="1"/>
  <c r="P160" i="1" s="1"/>
  <c r="Q160" i="1" s="1"/>
  <c r="AE160" i="1"/>
  <c r="AE161" i="1"/>
  <c r="U161" i="1"/>
  <c r="S161" i="1" s="1"/>
  <c r="V161" i="1" s="1"/>
  <c r="P161" i="1" s="1"/>
  <c r="Q161" i="1" s="1"/>
  <c r="U139" i="1"/>
  <c r="S139" i="1" s="1"/>
  <c r="V139" i="1" s="1"/>
  <c r="P139" i="1" s="1"/>
  <c r="Q139" i="1" s="1"/>
  <c r="AE139" i="1"/>
  <c r="Z156" i="1"/>
  <c r="AD156" i="1" s="1"/>
  <c r="AG156" i="1"/>
  <c r="AF156" i="1"/>
  <c r="AG140" i="1"/>
  <c r="AH140" i="1" s="1"/>
  <c r="Z140" i="1"/>
  <c r="AD140" i="1" s="1"/>
  <c r="AG136" i="1"/>
  <c r="AH136" i="1" s="1"/>
  <c r="Z136" i="1"/>
  <c r="AD136" i="1" s="1"/>
  <c r="X134" i="1"/>
  <c r="Y134" i="1" s="1"/>
  <c r="X114" i="1"/>
  <c r="Y114" i="1" s="1"/>
  <c r="U114" i="1" s="1"/>
  <c r="S114" i="1" s="1"/>
  <c r="V114" i="1" s="1"/>
  <c r="P114" i="1" s="1"/>
  <c r="Q114" i="1" s="1"/>
  <c r="X138" i="1"/>
  <c r="Y138" i="1" s="1"/>
  <c r="AE130" i="1"/>
  <c r="U130" i="1"/>
  <c r="S130" i="1" s="1"/>
  <c r="V130" i="1" s="1"/>
  <c r="P130" i="1" s="1"/>
  <c r="Q130" i="1" s="1"/>
  <c r="AF131" i="1"/>
  <c r="U92" i="1"/>
  <c r="S92" i="1" s="1"/>
  <c r="V92" i="1" s="1"/>
  <c r="P92" i="1" s="1"/>
  <c r="Q92" i="1" s="1"/>
  <c r="AE92" i="1"/>
  <c r="P115" i="1"/>
  <c r="Q115" i="1" s="1"/>
  <c r="AE102" i="1"/>
  <c r="U102" i="1"/>
  <c r="S102" i="1" s="1"/>
  <c r="V102" i="1" s="1"/>
  <c r="P102" i="1" s="1"/>
  <c r="Q102" i="1" s="1"/>
  <c r="AE84" i="1"/>
  <c r="U84" i="1"/>
  <c r="S84" i="1" s="1"/>
  <c r="V84" i="1" s="1"/>
  <c r="P84" i="1" s="1"/>
  <c r="Q84" i="1" s="1"/>
  <c r="Z75" i="1"/>
  <c r="AD75" i="1" s="1"/>
  <c r="AG75" i="1"/>
  <c r="AE51" i="1"/>
  <c r="U51" i="1"/>
  <c r="S51" i="1" s="1"/>
  <c r="V51" i="1" s="1"/>
  <c r="P51" i="1" s="1"/>
  <c r="Q51" i="1" s="1"/>
  <c r="X51" i="1"/>
  <c r="Y51" i="1" s="1"/>
  <c r="P89" i="1"/>
  <c r="Q89" i="1" s="1"/>
  <c r="BC81" i="1"/>
  <c r="AE75" i="1"/>
  <c r="U75" i="1"/>
  <c r="S75" i="1" s="1"/>
  <c r="V75" i="1" s="1"/>
  <c r="P75" i="1" s="1"/>
  <c r="Q75" i="1" s="1"/>
  <c r="AE57" i="1"/>
  <c r="U57" i="1"/>
  <c r="S57" i="1" s="1"/>
  <c r="V57" i="1" s="1"/>
  <c r="P57" i="1" s="1"/>
  <c r="Q57" i="1" s="1"/>
  <c r="AE60" i="1"/>
  <c r="U60" i="1"/>
  <c r="S60" i="1" s="1"/>
  <c r="V60" i="1" s="1"/>
  <c r="P60" i="1" s="1"/>
  <c r="Q60" i="1" s="1"/>
  <c r="AE72" i="1"/>
  <c r="U72" i="1"/>
  <c r="S72" i="1" s="1"/>
  <c r="V72" i="1" s="1"/>
  <c r="P72" i="1" s="1"/>
  <c r="Q72" i="1" s="1"/>
  <c r="X61" i="1"/>
  <c r="Y61" i="1" s="1"/>
  <c r="X64" i="1"/>
  <c r="Y64" i="1" s="1"/>
  <c r="X32" i="1"/>
  <c r="Y32" i="1" s="1"/>
  <c r="AF27" i="1"/>
  <c r="X65" i="1"/>
  <c r="Y65" i="1" s="1"/>
  <c r="X22" i="1"/>
  <c r="Y22" i="1" s="1"/>
  <c r="AE29" i="1"/>
  <c r="U29" i="1"/>
  <c r="S29" i="1" s="1"/>
  <c r="V29" i="1" s="1"/>
  <c r="P29" i="1" s="1"/>
  <c r="Q29" i="1" s="1"/>
  <c r="X19" i="1"/>
  <c r="Y19" i="1" s="1"/>
  <c r="AE23" i="1"/>
  <c r="U23" i="1"/>
  <c r="S23" i="1" s="1"/>
  <c r="V23" i="1" s="1"/>
  <c r="P23" i="1" s="1"/>
  <c r="Q23" i="1" s="1"/>
  <c r="X26" i="1"/>
  <c r="Y26" i="1" s="1"/>
  <c r="U26" i="1" s="1"/>
  <c r="S26" i="1" s="1"/>
  <c r="V26" i="1" s="1"/>
  <c r="P26" i="1" s="1"/>
  <c r="Q26" i="1" s="1"/>
  <c r="AE150" i="1"/>
  <c r="U150" i="1"/>
  <c r="S150" i="1" s="1"/>
  <c r="V150" i="1" s="1"/>
  <c r="P150" i="1" s="1"/>
  <c r="Q150" i="1" s="1"/>
  <c r="X151" i="1"/>
  <c r="Y151" i="1" s="1"/>
  <c r="U151" i="1" s="1"/>
  <c r="S151" i="1" s="1"/>
  <c r="V151" i="1" s="1"/>
  <c r="P151" i="1" s="1"/>
  <c r="Q151" i="1" s="1"/>
  <c r="AE151" i="1"/>
  <c r="X166" i="1"/>
  <c r="Y166" i="1" s="1"/>
  <c r="AE166" i="1"/>
  <c r="U166" i="1"/>
  <c r="S166" i="1" s="1"/>
  <c r="V166" i="1" s="1"/>
  <c r="P166" i="1" s="1"/>
  <c r="Q166" i="1" s="1"/>
  <c r="AE149" i="1"/>
  <c r="X149" i="1"/>
  <c r="Y149" i="1" s="1"/>
  <c r="X125" i="1"/>
  <c r="Y125" i="1" s="1"/>
  <c r="X142" i="1"/>
  <c r="Y142" i="1" s="1"/>
  <c r="Z143" i="1"/>
  <c r="AD143" i="1" s="1"/>
  <c r="AG143" i="1"/>
  <c r="AF143" i="1"/>
  <c r="X122" i="1"/>
  <c r="Y122" i="1" s="1"/>
  <c r="U122" i="1" s="1"/>
  <c r="S122" i="1" s="1"/>
  <c r="V122" i="1" s="1"/>
  <c r="P122" i="1" s="1"/>
  <c r="Q122" i="1" s="1"/>
  <c r="AE113" i="1"/>
  <c r="U124" i="1"/>
  <c r="S124" i="1" s="1"/>
  <c r="V124" i="1" s="1"/>
  <c r="P124" i="1" s="1"/>
  <c r="Q124" i="1" s="1"/>
  <c r="AE124" i="1"/>
  <c r="X135" i="1"/>
  <c r="Y135" i="1" s="1"/>
  <c r="X113" i="1"/>
  <c r="Y113" i="1" s="1"/>
  <c r="U113" i="1" s="1"/>
  <c r="S113" i="1" s="1"/>
  <c r="V113" i="1" s="1"/>
  <c r="P113" i="1" s="1"/>
  <c r="Q113" i="1" s="1"/>
  <c r="X110" i="1"/>
  <c r="Y110" i="1" s="1"/>
  <c r="X101" i="1"/>
  <c r="Y101" i="1" s="1"/>
  <c r="U101" i="1" s="1"/>
  <c r="S101" i="1" s="1"/>
  <c r="V101" i="1" s="1"/>
  <c r="P101" i="1" s="1"/>
  <c r="Q101" i="1" s="1"/>
  <c r="AF127" i="1"/>
  <c r="AE165" i="1"/>
  <c r="X165" i="1"/>
  <c r="Y165" i="1" s="1"/>
  <c r="X108" i="1"/>
  <c r="Y108" i="1" s="1"/>
  <c r="AE98" i="1"/>
  <c r="U98" i="1"/>
  <c r="S98" i="1" s="1"/>
  <c r="V98" i="1" s="1"/>
  <c r="P98" i="1" s="1"/>
  <c r="Q98" i="1" s="1"/>
  <c r="X104" i="1"/>
  <c r="Y104" i="1" s="1"/>
  <c r="X91" i="1"/>
  <c r="Y91" i="1" s="1"/>
  <c r="BC95" i="1"/>
  <c r="X74" i="1"/>
  <c r="Y74" i="1" s="1"/>
  <c r="U74" i="1" s="1"/>
  <c r="S74" i="1" s="1"/>
  <c r="V74" i="1" s="1"/>
  <c r="P74" i="1" s="1"/>
  <c r="Q74" i="1" s="1"/>
  <c r="AE74" i="1"/>
  <c r="X66" i="1"/>
  <c r="Y66" i="1" s="1"/>
  <c r="AE53" i="1"/>
  <c r="U53" i="1"/>
  <c r="S53" i="1" s="1"/>
  <c r="V53" i="1" s="1"/>
  <c r="P53" i="1" s="1"/>
  <c r="Q53" i="1" s="1"/>
  <c r="Z72" i="1"/>
  <c r="AD72" i="1" s="1"/>
  <c r="AG72" i="1"/>
  <c r="AH72" i="1" s="1"/>
  <c r="BB53" i="1"/>
  <c r="AF68" i="1"/>
  <c r="AF79" i="1"/>
  <c r="U54" i="1"/>
  <c r="S54" i="1" s="1"/>
  <c r="V54" i="1" s="1"/>
  <c r="P54" i="1" s="1"/>
  <c r="Q54" i="1" s="1"/>
  <c r="AE54" i="1"/>
  <c r="AE44" i="1"/>
  <c r="U44" i="1"/>
  <c r="S44" i="1" s="1"/>
  <c r="V44" i="1" s="1"/>
  <c r="P44" i="1" s="1"/>
  <c r="Q44" i="1" s="1"/>
  <c r="AE34" i="1"/>
  <c r="X34" i="1"/>
  <c r="Y34" i="1" s="1"/>
  <c r="U34" i="1" s="1"/>
  <c r="S34" i="1" s="1"/>
  <c r="V34" i="1" s="1"/>
  <c r="P34" i="1" s="1"/>
  <c r="Q34" i="1" s="1"/>
  <c r="U28" i="1"/>
  <c r="S28" i="1" s="1"/>
  <c r="V28" i="1" s="1"/>
  <c r="P28" i="1" s="1"/>
  <c r="Q28" i="1" s="1"/>
  <c r="AE28" i="1"/>
  <c r="X25" i="1"/>
  <c r="Y25" i="1" s="1"/>
  <c r="U25" i="1" s="1"/>
  <c r="S25" i="1" s="1"/>
  <c r="V25" i="1" s="1"/>
  <c r="P25" i="1" s="1"/>
  <c r="Q25" i="1" s="1"/>
  <c r="BC27" i="1"/>
  <c r="AE18" i="1"/>
  <c r="U18" i="1"/>
  <c r="S18" i="1" s="1"/>
  <c r="V18" i="1" s="1"/>
  <c r="P18" i="1" s="1"/>
  <c r="Q18" i="1" s="1"/>
  <c r="X24" i="1"/>
  <c r="Y24" i="1" s="1"/>
  <c r="BC29" i="1"/>
  <c r="X21" i="1"/>
  <c r="Y21" i="1" s="1"/>
  <c r="U21" i="1" s="1"/>
  <c r="S21" i="1" s="1"/>
  <c r="V21" i="1" s="1"/>
  <c r="P21" i="1" s="1"/>
  <c r="Q21" i="1" s="1"/>
  <c r="U31" i="1"/>
  <c r="S31" i="1" s="1"/>
  <c r="V31" i="1" s="1"/>
  <c r="P31" i="1" s="1"/>
  <c r="Q31" i="1" s="1"/>
  <c r="Z87" i="1" l="1"/>
  <c r="AD87" i="1" s="1"/>
  <c r="AG87" i="1"/>
  <c r="AF87" i="1"/>
  <c r="AG37" i="1"/>
  <c r="Z37" i="1"/>
  <c r="AD37" i="1" s="1"/>
  <c r="AF37" i="1"/>
  <c r="AH127" i="1"/>
  <c r="Z91" i="1"/>
  <c r="AD91" i="1" s="1"/>
  <c r="AG91" i="1"/>
  <c r="AF91" i="1"/>
  <c r="Z135" i="1"/>
  <c r="AD135" i="1" s="1"/>
  <c r="AG135" i="1"/>
  <c r="AF135" i="1"/>
  <c r="AH143" i="1"/>
  <c r="Z22" i="1"/>
  <c r="AD22" i="1" s="1"/>
  <c r="AG22" i="1"/>
  <c r="AH22" i="1" s="1"/>
  <c r="AF22" i="1"/>
  <c r="Z61" i="1"/>
  <c r="AD61" i="1" s="1"/>
  <c r="AG61" i="1"/>
  <c r="AH61" i="1" s="1"/>
  <c r="AF61" i="1"/>
  <c r="Z161" i="1"/>
  <c r="AD161" i="1" s="1"/>
  <c r="AG161" i="1"/>
  <c r="AF161" i="1"/>
  <c r="Z53" i="1"/>
  <c r="AD53" i="1" s="1"/>
  <c r="AG53" i="1"/>
  <c r="AF53" i="1"/>
  <c r="Z124" i="1"/>
  <c r="AD124" i="1" s="1"/>
  <c r="AG124" i="1"/>
  <c r="AF124" i="1"/>
  <c r="Z83" i="1"/>
  <c r="AD83" i="1" s="1"/>
  <c r="AG83" i="1"/>
  <c r="AF83" i="1"/>
  <c r="AG33" i="1"/>
  <c r="AF33" i="1"/>
  <c r="Z33" i="1"/>
  <c r="AD33" i="1" s="1"/>
  <c r="Z119" i="1"/>
  <c r="AD119" i="1" s="1"/>
  <c r="AG119" i="1"/>
  <c r="AH119" i="1" s="1"/>
  <c r="AF119" i="1"/>
  <c r="AG78" i="1"/>
  <c r="AH78" i="1" s="1"/>
  <c r="Z78" i="1"/>
  <c r="AD78" i="1" s="1"/>
  <c r="AF78" i="1"/>
  <c r="U37" i="1"/>
  <c r="S37" i="1" s="1"/>
  <c r="V37" i="1" s="1"/>
  <c r="P37" i="1" s="1"/>
  <c r="Q37" i="1" s="1"/>
  <c r="AH131" i="1"/>
  <c r="AH43" i="1"/>
  <c r="Z153" i="1"/>
  <c r="AD153" i="1" s="1"/>
  <c r="AG153" i="1"/>
  <c r="AF153" i="1"/>
  <c r="AH27" i="1"/>
  <c r="AG93" i="1"/>
  <c r="Z93" i="1"/>
  <c r="AD93" i="1" s="1"/>
  <c r="AF93" i="1"/>
  <c r="AG95" i="1"/>
  <c r="Z95" i="1"/>
  <c r="AD95" i="1" s="1"/>
  <c r="U95" i="1"/>
  <c r="S95" i="1" s="1"/>
  <c r="V95" i="1" s="1"/>
  <c r="P95" i="1" s="1"/>
  <c r="Q95" i="1" s="1"/>
  <c r="AF95" i="1"/>
  <c r="AH56" i="1"/>
  <c r="AH112" i="1"/>
  <c r="AH28" i="1"/>
  <c r="U87" i="1"/>
  <c r="S87" i="1" s="1"/>
  <c r="V87" i="1" s="1"/>
  <c r="P87" i="1" s="1"/>
  <c r="Q87" i="1" s="1"/>
  <c r="Z142" i="1"/>
  <c r="AD142" i="1" s="1"/>
  <c r="AG142" i="1"/>
  <c r="AF142" i="1"/>
  <c r="U142" i="1"/>
  <c r="S142" i="1" s="1"/>
  <c r="V142" i="1" s="1"/>
  <c r="P142" i="1" s="1"/>
  <c r="Q142" i="1" s="1"/>
  <c r="Z65" i="1"/>
  <c r="AD65" i="1" s="1"/>
  <c r="AG65" i="1"/>
  <c r="AF65" i="1"/>
  <c r="AH164" i="1"/>
  <c r="Z36" i="1"/>
  <c r="AD36" i="1" s="1"/>
  <c r="AG36" i="1"/>
  <c r="AF36" i="1"/>
  <c r="U36" i="1"/>
  <c r="S36" i="1" s="1"/>
  <c r="V36" i="1" s="1"/>
  <c r="P36" i="1" s="1"/>
  <c r="Q36" i="1" s="1"/>
  <c r="Z152" i="1"/>
  <c r="AD152" i="1" s="1"/>
  <c r="AG152" i="1"/>
  <c r="AF152" i="1"/>
  <c r="AH44" i="1"/>
  <c r="U22" i="1"/>
  <c r="S22" i="1" s="1"/>
  <c r="V22" i="1" s="1"/>
  <c r="P22" i="1" s="1"/>
  <c r="Q22" i="1" s="1"/>
  <c r="Z40" i="1"/>
  <c r="AD40" i="1" s="1"/>
  <c r="AF40" i="1"/>
  <c r="AG40" i="1"/>
  <c r="AH40" i="1" s="1"/>
  <c r="U40" i="1"/>
  <c r="S40" i="1" s="1"/>
  <c r="V40" i="1" s="1"/>
  <c r="P40" i="1" s="1"/>
  <c r="Q40" i="1" s="1"/>
  <c r="Z23" i="1"/>
  <c r="AD23" i="1" s="1"/>
  <c r="AG23" i="1"/>
  <c r="AH23" i="1" s="1"/>
  <c r="AF23" i="1"/>
  <c r="AH68" i="1"/>
  <c r="Z69" i="1"/>
  <c r="AD69" i="1" s="1"/>
  <c r="AG69" i="1"/>
  <c r="AF69" i="1"/>
  <c r="Z41" i="1"/>
  <c r="AD41" i="1" s="1"/>
  <c r="AG41" i="1"/>
  <c r="AF41" i="1"/>
  <c r="Z99" i="1"/>
  <c r="AD99" i="1" s="1"/>
  <c r="AG99" i="1"/>
  <c r="AF99" i="1"/>
  <c r="U99" i="1"/>
  <c r="S99" i="1" s="1"/>
  <c r="V99" i="1" s="1"/>
  <c r="P99" i="1" s="1"/>
  <c r="Q99" i="1" s="1"/>
  <c r="AH111" i="1"/>
  <c r="AH116" i="1"/>
  <c r="Z57" i="1"/>
  <c r="AD57" i="1" s="1"/>
  <c r="AG57" i="1"/>
  <c r="AH57" i="1" s="1"/>
  <c r="AF57" i="1"/>
  <c r="AH98" i="1"/>
  <c r="Z104" i="1"/>
  <c r="AD104" i="1" s="1"/>
  <c r="AG104" i="1"/>
  <c r="AF104" i="1"/>
  <c r="AG42" i="1"/>
  <c r="AH42" i="1" s="1"/>
  <c r="Z42" i="1"/>
  <c r="AD42" i="1" s="1"/>
  <c r="AF42" i="1"/>
  <c r="Z24" i="1"/>
  <c r="AD24" i="1" s="1"/>
  <c r="AG24" i="1"/>
  <c r="AF24" i="1"/>
  <c r="AF101" i="1"/>
  <c r="AG101" i="1"/>
  <c r="AH101" i="1" s="1"/>
  <c r="Z101" i="1"/>
  <c r="AD101" i="1" s="1"/>
  <c r="AG166" i="1"/>
  <c r="Z166" i="1"/>
  <c r="AD166" i="1" s="1"/>
  <c r="AF166" i="1"/>
  <c r="Z138" i="1"/>
  <c r="AD138" i="1" s="1"/>
  <c r="AG138" i="1"/>
  <c r="AF138" i="1"/>
  <c r="U138" i="1"/>
  <c r="S138" i="1" s="1"/>
  <c r="V138" i="1" s="1"/>
  <c r="P138" i="1" s="1"/>
  <c r="Q138" i="1" s="1"/>
  <c r="AF97" i="1"/>
  <c r="Z97" i="1"/>
  <c r="AD97" i="1" s="1"/>
  <c r="AG97" i="1"/>
  <c r="Z81" i="1"/>
  <c r="AD81" i="1" s="1"/>
  <c r="AG81" i="1"/>
  <c r="AH81" i="1" s="1"/>
  <c r="AF81" i="1"/>
  <c r="Z88" i="1"/>
  <c r="AD88" i="1" s="1"/>
  <c r="AG88" i="1"/>
  <c r="AF88" i="1"/>
  <c r="AH144" i="1"/>
  <c r="AG137" i="1"/>
  <c r="AH137" i="1" s="1"/>
  <c r="Z137" i="1"/>
  <c r="AD137" i="1" s="1"/>
  <c r="AF137" i="1"/>
  <c r="AF63" i="1"/>
  <c r="AG63" i="1"/>
  <c r="AH63" i="1" s="1"/>
  <c r="Z63" i="1"/>
  <c r="AD63" i="1" s="1"/>
  <c r="Z96" i="1"/>
  <c r="AD96" i="1" s="1"/>
  <c r="AG96" i="1"/>
  <c r="AF96" i="1"/>
  <c r="Z117" i="1"/>
  <c r="AD117" i="1" s="1"/>
  <c r="AG117" i="1"/>
  <c r="AH117" i="1" s="1"/>
  <c r="AF117" i="1"/>
  <c r="U104" i="1"/>
  <c r="S104" i="1" s="1"/>
  <c r="V104" i="1" s="1"/>
  <c r="P104" i="1" s="1"/>
  <c r="Q104" i="1" s="1"/>
  <c r="Z29" i="1"/>
  <c r="AD29" i="1" s="1"/>
  <c r="AG29" i="1"/>
  <c r="AH29" i="1" s="1"/>
  <c r="AF29" i="1"/>
  <c r="U65" i="1"/>
  <c r="S65" i="1" s="1"/>
  <c r="V65" i="1" s="1"/>
  <c r="P65" i="1" s="1"/>
  <c r="Q65" i="1" s="1"/>
  <c r="Z77" i="1"/>
  <c r="AD77" i="1" s="1"/>
  <c r="AG77" i="1"/>
  <c r="AH77" i="1" s="1"/>
  <c r="AF77" i="1"/>
  <c r="AH150" i="1"/>
  <c r="Z66" i="1"/>
  <c r="AD66" i="1" s="1"/>
  <c r="AG66" i="1"/>
  <c r="AH66" i="1" s="1"/>
  <c r="AF66" i="1"/>
  <c r="AG26" i="1"/>
  <c r="AH26" i="1" s="1"/>
  <c r="Z26" i="1"/>
  <c r="AD26" i="1" s="1"/>
  <c r="AF26" i="1"/>
  <c r="AG158" i="1"/>
  <c r="Z158" i="1"/>
  <c r="AD158" i="1" s="1"/>
  <c r="AF158" i="1"/>
  <c r="AG34" i="1"/>
  <c r="AH34" i="1" s="1"/>
  <c r="Z34" i="1"/>
  <c r="AD34" i="1" s="1"/>
  <c r="AF34" i="1"/>
  <c r="Z19" i="1"/>
  <c r="AD19" i="1" s="1"/>
  <c r="AG19" i="1"/>
  <c r="AH19" i="1" s="1"/>
  <c r="AF19" i="1"/>
  <c r="AG51" i="1"/>
  <c r="AH51" i="1" s="1"/>
  <c r="AF51" i="1"/>
  <c r="Z51" i="1"/>
  <c r="AD51" i="1" s="1"/>
  <c r="Z50" i="1"/>
  <c r="AD50" i="1" s="1"/>
  <c r="AG50" i="1"/>
  <c r="AH50" i="1" s="1"/>
  <c r="AF50" i="1"/>
  <c r="U50" i="1"/>
  <c r="S50" i="1" s="1"/>
  <c r="V50" i="1" s="1"/>
  <c r="P50" i="1" s="1"/>
  <c r="Q50" i="1" s="1"/>
  <c r="AG52" i="1"/>
  <c r="Z52" i="1"/>
  <c r="AD52" i="1" s="1"/>
  <c r="AF52" i="1"/>
  <c r="Z49" i="1"/>
  <c r="AD49" i="1" s="1"/>
  <c r="AG49" i="1"/>
  <c r="AF49" i="1"/>
  <c r="AF59" i="1"/>
  <c r="AG59" i="1"/>
  <c r="AH59" i="1" s="1"/>
  <c r="Z59" i="1"/>
  <c r="AD59" i="1" s="1"/>
  <c r="Z103" i="1"/>
  <c r="AD103" i="1" s="1"/>
  <c r="AG103" i="1"/>
  <c r="AF103" i="1"/>
  <c r="Z163" i="1"/>
  <c r="AD163" i="1" s="1"/>
  <c r="AG163" i="1"/>
  <c r="AH163" i="1" s="1"/>
  <c r="AF163" i="1"/>
  <c r="U66" i="1"/>
  <c r="S66" i="1" s="1"/>
  <c r="V66" i="1" s="1"/>
  <c r="P66" i="1" s="1"/>
  <c r="Q66" i="1" s="1"/>
  <c r="U61" i="1"/>
  <c r="S61" i="1" s="1"/>
  <c r="V61" i="1" s="1"/>
  <c r="P61" i="1" s="1"/>
  <c r="Q61" i="1" s="1"/>
  <c r="Z90" i="1"/>
  <c r="AD90" i="1" s="1"/>
  <c r="AG90" i="1"/>
  <c r="AF90" i="1"/>
  <c r="AF118" i="1"/>
  <c r="AG118" i="1"/>
  <c r="AH118" i="1" s="1"/>
  <c r="Z118" i="1"/>
  <c r="AD118" i="1" s="1"/>
  <c r="U91" i="1"/>
  <c r="S91" i="1" s="1"/>
  <c r="V91" i="1" s="1"/>
  <c r="P91" i="1" s="1"/>
  <c r="Q91" i="1" s="1"/>
  <c r="AG30" i="1"/>
  <c r="Z30" i="1"/>
  <c r="AD30" i="1" s="1"/>
  <c r="AF30" i="1"/>
  <c r="Z47" i="1"/>
  <c r="AD47" i="1" s="1"/>
  <c r="AG47" i="1"/>
  <c r="AF47" i="1"/>
  <c r="Z54" i="1"/>
  <c r="AD54" i="1" s="1"/>
  <c r="AG54" i="1"/>
  <c r="AH54" i="1" s="1"/>
  <c r="AF54" i="1"/>
  <c r="AG121" i="1"/>
  <c r="AH121" i="1" s="1"/>
  <c r="Z121" i="1"/>
  <c r="AD121" i="1" s="1"/>
  <c r="U121" i="1"/>
  <c r="S121" i="1" s="1"/>
  <c r="V121" i="1" s="1"/>
  <c r="P121" i="1" s="1"/>
  <c r="Q121" i="1" s="1"/>
  <c r="AF121" i="1"/>
  <c r="AG154" i="1"/>
  <c r="AH154" i="1" s="1"/>
  <c r="Z154" i="1"/>
  <c r="AD154" i="1" s="1"/>
  <c r="AF154" i="1"/>
  <c r="AH145" i="1"/>
  <c r="AH92" i="1"/>
  <c r="AH86" i="1"/>
  <c r="AG74" i="1"/>
  <c r="AH74" i="1" s="1"/>
  <c r="Z74" i="1"/>
  <c r="AD74" i="1" s="1"/>
  <c r="AF74" i="1"/>
  <c r="AG108" i="1"/>
  <c r="Z108" i="1"/>
  <c r="AD108" i="1" s="1"/>
  <c r="U108" i="1"/>
  <c r="S108" i="1" s="1"/>
  <c r="V108" i="1" s="1"/>
  <c r="P108" i="1" s="1"/>
  <c r="Q108" i="1" s="1"/>
  <c r="AF108" i="1"/>
  <c r="AF110" i="1"/>
  <c r="AG110" i="1"/>
  <c r="AH110" i="1" s="1"/>
  <c r="Z110" i="1"/>
  <c r="AD110" i="1" s="1"/>
  <c r="AG122" i="1"/>
  <c r="AH122" i="1" s="1"/>
  <c r="Z122" i="1"/>
  <c r="AD122" i="1" s="1"/>
  <c r="AF122" i="1"/>
  <c r="AG125" i="1"/>
  <c r="Z125" i="1"/>
  <c r="AD125" i="1" s="1"/>
  <c r="AF125" i="1"/>
  <c r="Z32" i="1"/>
  <c r="AD32" i="1" s="1"/>
  <c r="AG32" i="1"/>
  <c r="AF32" i="1"/>
  <c r="U32" i="1"/>
  <c r="S32" i="1" s="1"/>
  <c r="V32" i="1" s="1"/>
  <c r="P32" i="1" s="1"/>
  <c r="Q32" i="1" s="1"/>
  <c r="Z85" i="1"/>
  <c r="AD85" i="1" s="1"/>
  <c r="AG85" i="1"/>
  <c r="AF85" i="1"/>
  <c r="Z73" i="1"/>
  <c r="AD73" i="1" s="1"/>
  <c r="AG73" i="1"/>
  <c r="AH73" i="1" s="1"/>
  <c r="AF73" i="1"/>
  <c r="AF105" i="1"/>
  <c r="Z105" i="1"/>
  <c r="AD105" i="1" s="1"/>
  <c r="AG105" i="1"/>
  <c r="U105" i="1"/>
  <c r="S105" i="1" s="1"/>
  <c r="V105" i="1" s="1"/>
  <c r="P105" i="1" s="1"/>
  <c r="Q105" i="1" s="1"/>
  <c r="AG129" i="1"/>
  <c r="Z129" i="1"/>
  <c r="AD129" i="1" s="1"/>
  <c r="AF129" i="1"/>
  <c r="Z48" i="1"/>
  <c r="AD48" i="1" s="1"/>
  <c r="AG48" i="1"/>
  <c r="AH48" i="1" s="1"/>
  <c r="AF48" i="1"/>
  <c r="U97" i="1"/>
  <c r="S97" i="1" s="1"/>
  <c r="V97" i="1" s="1"/>
  <c r="P97" i="1" s="1"/>
  <c r="Q97" i="1" s="1"/>
  <c r="Z146" i="1"/>
  <c r="AD146" i="1" s="1"/>
  <c r="AG146" i="1"/>
  <c r="U146" i="1"/>
  <c r="S146" i="1" s="1"/>
  <c r="V146" i="1" s="1"/>
  <c r="P146" i="1" s="1"/>
  <c r="Q146" i="1" s="1"/>
  <c r="AF146" i="1"/>
  <c r="U19" i="1"/>
  <c r="S19" i="1" s="1"/>
  <c r="V19" i="1" s="1"/>
  <c r="P19" i="1" s="1"/>
  <c r="Q19" i="1" s="1"/>
  <c r="Z94" i="1"/>
  <c r="AD94" i="1" s="1"/>
  <c r="AG94" i="1"/>
  <c r="AF94" i="1"/>
  <c r="Z128" i="1"/>
  <c r="AD128" i="1" s="1"/>
  <c r="AG128" i="1"/>
  <c r="AF128" i="1"/>
  <c r="Z62" i="1"/>
  <c r="AD62" i="1" s="1"/>
  <c r="AG62" i="1"/>
  <c r="AF62" i="1"/>
  <c r="AF67" i="1"/>
  <c r="AG67" i="1"/>
  <c r="AH67" i="1" s="1"/>
  <c r="Z67" i="1"/>
  <c r="AD67" i="1" s="1"/>
  <c r="U118" i="1"/>
  <c r="S118" i="1" s="1"/>
  <c r="V118" i="1" s="1"/>
  <c r="P118" i="1" s="1"/>
  <c r="Q118" i="1" s="1"/>
  <c r="Z157" i="1"/>
  <c r="AD157" i="1" s="1"/>
  <c r="AG157" i="1"/>
  <c r="AH157" i="1" s="1"/>
  <c r="AF157" i="1"/>
  <c r="U135" i="1"/>
  <c r="S135" i="1" s="1"/>
  <c r="V135" i="1" s="1"/>
  <c r="P135" i="1" s="1"/>
  <c r="Q135" i="1" s="1"/>
  <c r="U49" i="1"/>
  <c r="S49" i="1" s="1"/>
  <c r="V49" i="1" s="1"/>
  <c r="P49" i="1" s="1"/>
  <c r="Q49" i="1" s="1"/>
  <c r="U93" i="1"/>
  <c r="S93" i="1" s="1"/>
  <c r="V93" i="1" s="1"/>
  <c r="P93" i="1" s="1"/>
  <c r="Q93" i="1" s="1"/>
  <c r="Z155" i="1"/>
  <c r="AD155" i="1" s="1"/>
  <c r="AG155" i="1"/>
  <c r="AH155" i="1" s="1"/>
  <c r="AF155" i="1"/>
  <c r="U155" i="1"/>
  <c r="S155" i="1" s="1"/>
  <c r="V155" i="1" s="1"/>
  <c r="P155" i="1" s="1"/>
  <c r="Q155" i="1" s="1"/>
  <c r="AH46" i="1"/>
  <c r="AH60" i="1"/>
  <c r="Z76" i="1"/>
  <c r="AD76" i="1" s="1"/>
  <c r="AG76" i="1"/>
  <c r="AH76" i="1" s="1"/>
  <c r="AF76" i="1"/>
  <c r="Z120" i="1"/>
  <c r="AD120" i="1" s="1"/>
  <c r="AG120" i="1"/>
  <c r="AF120" i="1"/>
  <c r="Z165" i="1"/>
  <c r="AD165" i="1" s="1"/>
  <c r="AF165" i="1"/>
  <c r="AG165" i="1"/>
  <c r="Z113" i="1"/>
  <c r="AD113" i="1" s="1"/>
  <c r="AG113" i="1"/>
  <c r="AF113" i="1"/>
  <c r="Z149" i="1"/>
  <c r="AD149" i="1" s="1"/>
  <c r="AG149" i="1"/>
  <c r="AH149" i="1" s="1"/>
  <c r="AF149" i="1"/>
  <c r="Z151" i="1"/>
  <c r="AD151" i="1" s="1"/>
  <c r="AG151" i="1"/>
  <c r="AF151" i="1"/>
  <c r="AF114" i="1"/>
  <c r="AG114" i="1"/>
  <c r="AH114" i="1" s="1"/>
  <c r="Z114" i="1"/>
  <c r="AD114" i="1" s="1"/>
  <c r="AH156" i="1"/>
  <c r="Z159" i="1"/>
  <c r="AD159" i="1" s="1"/>
  <c r="AG159" i="1"/>
  <c r="AH159" i="1" s="1"/>
  <c r="AF159" i="1"/>
  <c r="U159" i="1"/>
  <c r="S159" i="1" s="1"/>
  <c r="V159" i="1" s="1"/>
  <c r="P159" i="1" s="1"/>
  <c r="Q159" i="1" s="1"/>
  <c r="AG55" i="1"/>
  <c r="AF55" i="1"/>
  <c r="Z55" i="1"/>
  <c r="AD55" i="1" s="1"/>
  <c r="Z70" i="1"/>
  <c r="AD70" i="1" s="1"/>
  <c r="AG70" i="1"/>
  <c r="AF70" i="1"/>
  <c r="AG133" i="1"/>
  <c r="Z133" i="1"/>
  <c r="AD133" i="1" s="1"/>
  <c r="AF133" i="1"/>
  <c r="Z18" i="1"/>
  <c r="AD18" i="1" s="1"/>
  <c r="AG18" i="1"/>
  <c r="AF18" i="1"/>
  <c r="AF71" i="1"/>
  <c r="AG71" i="1"/>
  <c r="AH71" i="1" s="1"/>
  <c r="Z71" i="1"/>
  <c r="AD71" i="1" s="1"/>
  <c r="Z80" i="1"/>
  <c r="AD80" i="1" s="1"/>
  <c r="AG80" i="1"/>
  <c r="AF80" i="1"/>
  <c r="U94" i="1"/>
  <c r="S94" i="1" s="1"/>
  <c r="V94" i="1" s="1"/>
  <c r="P94" i="1" s="1"/>
  <c r="Q94" i="1" s="1"/>
  <c r="U128" i="1"/>
  <c r="S128" i="1" s="1"/>
  <c r="V128" i="1" s="1"/>
  <c r="P128" i="1" s="1"/>
  <c r="Q128" i="1" s="1"/>
  <c r="AH79" i="1"/>
  <c r="U120" i="1"/>
  <c r="S120" i="1" s="1"/>
  <c r="V120" i="1" s="1"/>
  <c r="P120" i="1" s="1"/>
  <c r="Q120" i="1" s="1"/>
  <c r="AF20" i="1"/>
  <c r="Z20" i="1"/>
  <c r="AD20" i="1" s="1"/>
  <c r="AG20" i="1"/>
  <c r="AH20" i="1" s="1"/>
  <c r="U24" i="1"/>
  <c r="S24" i="1" s="1"/>
  <c r="V24" i="1" s="1"/>
  <c r="P24" i="1" s="1"/>
  <c r="Q24" i="1" s="1"/>
  <c r="Z84" i="1"/>
  <c r="AD84" i="1" s="1"/>
  <c r="AG84" i="1"/>
  <c r="AH84" i="1" s="1"/>
  <c r="AF84" i="1"/>
  <c r="Z130" i="1"/>
  <c r="AD130" i="1" s="1"/>
  <c r="AG130" i="1"/>
  <c r="AF130" i="1"/>
  <c r="AH148" i="1"/>
  <c r="AH139" i="1"/>
  <c r="AG21" i="1"/>
  <c r="AH21" i="1" s="1"/>
  <c r="Z21" i="1"/>
  <c r="AD21" i="1" s="1"/>
  <c r="AF21" i="1"/>
  <c r="AG35" i="1"/>
  <c r="AH35" i="1" s="1"/>
  <c r="Z35" i="1"/>
  <c r="AD35" i="1" s="1"/>
  <c r="U35" i="1"/>
  <c r="S35" i="1" s="1"/>
  <c r="V35" i="1" s="1"/>
  <c r="P35" i="1" s="1"/>
  <c r="Q35" i="1" s="1"/>
  <c r="AF35" i="1"/>
  <c r="Z25" i="1"/>
  <c r="AD25" i="1" s="1"/>
  <c r="AG25" i="1"/>
  <c r="AF25" i="1"/>
  <c r="U165" i="1"/>
  <c r="S165" i="1" s="1"/>
  <c r="V165" i="1" s="1"/>
  <c r="P165" i="1" s="1"/>
  <c r="Q165" i="1" s="1"/>
  <c r="U149" i="1"/>
  <c r="S149" i="1" s="1"/>
  <c r="V149" i="1" s="1"/>
  <c r="P149" i="1" s="1"/>
  <c r="Q149" i="1" s="1"/>
  <c r="Z64" i="1"/>
  <c r="AD64" i="1" s="1"/>
  <c r="AG64" i="1"/>
  <c r="AH64" i="1" s="1"/>
  <c r="AF64" i="1"/>
  <c r="AH75" i="1"/>
  <c r="Z134" i="1"/>
  <c r="AD134" i="1" s="1"/>
  <c r="AG134" i="1"/>
  <c r="AH134" i="1" s="1"/>
  <c r="U134" i="1"/>
  <c r="S134" i="1" s="1"/>
  <c r="V134" i="1" s="1"/>
  <c r="P134" i="1" s="1"/>
  <c r="Q134" i="1" s="1"/>
  <c r="AF134" i="1"/>
  <c r="AH160" i="1"/>
  <c r="Z58" i="1"/>
  <c r="AD58" i="1" s="1"/>
  <c r="AG58" i="1"/>
  <c r="AF58" i="1"/>
  <c r="U55" i="1"/>
  <c r="S55" i="1" s="1"/>
  <c r="V55" i="1" s="1"/>
  <c r="P55" i="1" s="1"/>
  <c r="Q55" i="1" s="1"/>
  <c r="U152" i="1"/>
  <c r="S152" i="1" s="1"/>
  <c r="V152" i="1" s="1"/>
  <c r="P152" i="1" s="1"/>
  <c r="Q152" i="1" s="1"/>
  <c r="U85" i="1"/>
  <c r="S85" i="1" s="1"/>
  <c r="V85" i="1" s="1"/>
  <c r="P85" i="1" s="1"/>
  <c r="Q85" i="1" s="1"/>
  <c r="Z100" i="1"/>
  <c r="AD100" i="1" s="1"/>
  <c r="AG100" i="1"/>
  <c r="AF100" i="1"/>
  <c r="Z126" i="1"/>
  <c r="AD126" i="1" s="1"/>
  <c r="AG126" i="1"/>
  <c r="AF126" i="1"/>
  <c r="U126" i="1"/>
  <c r="S126" i="1" s="1"/>
  <c r="V126" i="1" s="1"/>
  <c r="P126" i="1" s="1"/>
  <c r="Q126" i="1" s="1"/>
  <c r="Z109" i="1"/>
  <c r="AD109" i="1" s="1"/>
  <c r="AG109" i="1"/>
  <c r="AH109" i="1" s="1"/>
  <c r="AF109" i="1"/>
  <c r="U109" i="1"/>
  <c r="S109" i="1" s="1"/>
  <c r="V109" i="1" s="1"/>
  <c r="P109" i="1" s="1"/>
  <c r="Q109" i="1" s="1"/>
  <c r="U125" i="1"/>
  <c r="S125" i="1" s="1"/>
  <c r="V125" i="1" s="1"/>
  <c r="P125" i="1" s="1"/>
  <c r="Q125" i="1" s="1"/>
  <c r="AG141" i="1"/>
  <c r="Z141" i="1"/>
  <c r="AD141" i="1" s="1"/>
  <c r="AF141" i="1"/>
  <c r="AG162" i="1"/>
  <c r="AH162" i="1" s="1"/>
  <c r="Z162" i="1"/>
  <c r="AD162" i="1" s="1"/>
  <c r="AF162" i="1"/>
  <c r="U20" i="1"/>
  <c r="S20" i="1" s="1"/>
  <c r="V20" i="1" s="1"/>
  <c r="P20" i="1" s="1"/>
  <c r="Q20" i="1" s="1"/>
  <c r="AH39" i="1"/>
  <c r="U73" i="1"/>
  <c r="S73" i="1" s="1"/>
  <c r="V73" i="1" s="1"/>
  <c r="P73" i="1" s="1"/>
  <c r="Q73" i="1" s="1"/>
  <c r="AH17" i="1"/>
  <c r="U42" i="1"/>
  <c r="S42" i="1" s="1"/>
  <c r="V42" i="1" s="1"/>
  <c r="P42" i="1" s="1"/>
  <c r="Q42" i="1" s="1"/>
  <c r="U52" i="1"/>
  <c r="S52" i="1" s="1"/>
  <c r="V52" i="1" s="1"/>
  <c r="P52" i="1" s="1"/>
  <c r="Q52" i="1" s="1"/>
  <c r="AH25" i="1" l="1"/>
  <c r="AH18" i="1"/>
  <c r="AH120" i="1"/>
  <c r="AH90" i="1"/>
  <c r="AH103" i="1"/>
  <c r="AH88" i="1"/>
  <c r="AH83" i="1"/>
  <c r="AH128" i="1"/>
  <c r="AH146" i="1"/>
  <c r="AH129" i="1"/>
  <c r="AH104" i="1"/>
  <c r="AH69" i="1"/>
  <c r="AH153" i="1"/>
  <c r="AH161" i="1"/>
  <c r="AH141" i="1"/>
  <c r="AH126" i="1"/>
  <c r="AH58" i="1"/>
  <c r="AH80" i="1"/>
  <c r="AH55" i="1"/>
  <c r="AH113" i="1"/>
  <c r="AH85" i="1"/>
  <c r="AH125" i="1"/>
  <c r="AH30" i="1"/>
  <c r="AH52" i="1"/>
  <c r="AH158" i="1"/>
  <c r="AH138" i="1"/>
  <c r="AH36" i="1"/>
  <c r="AH142" i="1"/>
  <c r="AH105" i="1"/>
  <c r="AH24" i="1"/>
  <c r="AH99" i="1"/>
  <c r="AH95" i="1"/>
  <c r="AH124" i="1"/>
  <c r="AH135" i="1"/>
  <c r="AH37" i="1"/>
  <c r="AH100" i="1"/>
  <c r="AH130" i="1"/>
  <c r="AH133" i="1"/>
  <c r="AH151" i="1"/>
  <c r="AH165" i="1"/>
  <c r="AH94" i="1"/>
  <c r="AH108" i="1"/>
  <c r="AH97" i="1"/>
  <c r="AH87" i="1"/>
  <c r="AH70" i="1"/>
  <c r="AH62" i="1"/>
  <c r="AH32" i="1"/>
  <c r="AH47" i="1"/>
  <c r="AH49" i="1"/>
  <c r="AH96" i="1"/>
  <c r="AH166" i="1"/>
  <c r="AH41" i="1"/>
  <c r="AH152" i="1"/>
  <c r="AH65" i="1"/>
  <c r="AH93" i="1"/>
  <c r="AH33" i="1"/>
  <c r="AH53" i="1"/>
  <c r="AH91" i="1"/>
</calcChain>
</file>

<file path=xl/sharedStrings.xml><?xml version="1.0" encoding="utf-8"?>
<sst xmlns="http://schemas.openxmlformats.org/spreadsheetml/2006/main" count="3692" uniqueCount="1180">
  <si>
    <t>File opened</t>
  </si>
  <si>
    <t>2023-07-10 08:57:58</t>
  </si>
  <si>
    <t>Console s/n</t>
  </si>
  <si>
    <t>68C-831537</t>
  </si>
  <si>
    <t>Console ver</t>
  </si>
  <si>
    <t>Bluestem v.2.1.08</t>
  </si>
  <si>
    <t>Scripts ver</t>
  </si>
  <si>
    <t>2022.05  2.1.08, Aug 2022</t>
  </si>
  <si>
    <t>Head s/n</t>
  </si>
  <si>
    <t>68H-891537</t>
  </si>
  <si>
    <t>Head ver</t>
  </si>
  <si>
    <t>1.4.22</t>
  </si>
  <si>
    <t>Head cal</t>
  </si>
  <si>
    <t>{"oxygen": "21", "co2azero": "0.988409", "co2aspan1": "0.998891", "co2aspan2": "-0.0224022", "co2aspan2a": "0.283421", "co2aspan2b": "0.281308", "co2aspanconc1": "2490", "co2aspanconc2": "303.6", "co2bzero": "1.00587", "co2bspan1": "0.998779", "co2bspan2": "-0.0221525", "co2bspan2a": "0.283276", "co2bspan2b": "0.281153", "co2bspanconc1": "2490", "co2bspanconc2": "303.6", "h2oazero": "1.10563", "h2oaspan1": "0.996778", "h2oaspan2": "0", "h2oaspan2a": "0.066342", "h2oaspan2b": "0.0661282", "h2oaspanconc1": "12.55", "h2oaspanconc2": "0", "h2obzero": "1.10864", "h2obspan1": "0.99674", "h2obspan2": "0", "h2obspan2a": "0.066461", "h2obspan2b": "0.0662443", "h2obspanconc1": "12.55", "h2obspanconc2": "0", "tazero": "0.235279", "tbzero": "0.220158", "flowmeterzero": "0.997172", "flowazero": "0.343", "flowbzero": "0.36739", "chamberpressurezero": "2.61886", "ssa_ref": "31195.9", "ssb_ref": "32453.3"}</t>
  </si>
  <si>
    <t>CO2 rangematch</t>
  </si>
  <si>
    <t>Tue May 16 11:11</t>
  </si>
  <si>
    <t>H2O rangematch</t>
  </si>
  <si>
    <t>Tue May 16 11:17</t>
  </si>
  <si>
    <t>Chamber type</t>
  </si>
  <si>
    <t>6800-01A</t>
  </si>
  <si>
    <t>Chamber s/n</t>
  </si>
  <si>
    <t>MPF-651432</t>
  </si>
  <si>
    <t>Chamber rev</t>
  </si>
  <si>
    <t>0</t>
  </si>
  <si>
    <t>Chamber cal</t>
  </si>
  <si>
    <t>Fluorometer</t>
  </si>
  <si>
    <t>Flr. Version</t>
  </si>
  <si>
    <t>08:57:58</t>
  </si>
  <si>
    <t>Stability Definition:	A (GasEx): Slp&lt;0.7 Std&lt;0.2 Per=15	gsw (GasEx): Slp&lt;0.05 Std&lt;0.05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</si>
  <si>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</si>
  <si>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</si>
  <si>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</si>
  <si>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</si>
  <si>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</si>
  <si>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</si>
  <si>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</si>
  <si>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</si>
  <si>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</si>
  <si>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</si>
  <si>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</si>
  <si>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</si>
  <si>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</si>
  <si>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</si>
  <si>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</si>
  <si>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</si>
  <si>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</si>
  <si>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</si>
  <si>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</si>
  <si>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</si>
  <si>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</si>
  <si>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</si>
  <si>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</si>
  <si>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</si>
  <si>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</si>
  <si>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</si>
  <si>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</si>
  <si>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</si>
  <si>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</si>
  <si>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</si>
  <si>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</si>
  <si>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</si>
  <si>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</si>
  <si>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</si>
  <si>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</si>
  <si>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</si>
  <si>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</si>
  <si>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</si>
  <si>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</si>
  <si>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</si>
  <si>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</si>
  <si>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</si>
  <si>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</si>
  <si>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</si>
  <si>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</si>
  <si>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</si>
  <si>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</si>
  <si>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</si>
  <si>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</si>
  <si>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</si>
  <si>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</si>
  <si>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</si>
  <si>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2.40056 76.3725 423.795 675.926 911.266 1129.91 1323.78 1511.67</t>
  </si>
  <si>
    <t>Fs_true</t>
  </si>
  <si>
    <t>0.0462759 98.9398 401.449 601.127 800.908 1000.93 1200.31 1400.65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</si>
  <si>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</si>
  <si>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</si>
  <si>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</si>
  <si>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</si>
  <si>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</si>
  <si>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</si>
  <si>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</si>
  <si>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</si>
  <si>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</si>
  <si>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</si>
  <si>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</si>
  <si>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</si>
  <si>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</si>
  <si>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</si>
  <si>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</si>
  <si>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</si>
  <si>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</si>
  <si>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</si>
  <si>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</si>
  <si>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</si>
  <si>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</si>
  <si>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</si>
  <si>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</si>
  <si>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</si>
  <si>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</si>
  <si>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</si>
  <si>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</si>
  <si>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</si>
  <si>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type</t>
  </si>
  <si>
    <t>plot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</si>
  <si>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</si>
  <si>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</si>
  <si>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</si>
  <si>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</si>
  <si>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</si>
  <si>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</si>
  <si>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</si>
  <si>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</si>
  <si>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</si>
  <si>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</si>
  <si>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</si>
  <si>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</si>
  <si>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</si>
  <si>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</si>
  <si>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</si>
  <si>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</si>
  <si>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</si>
  <si>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</si>
  <si>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</si>
  <si>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</si>
  <si>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</si>
  <si>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</si>
  <si>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</si>
  <si>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</si>
  <si>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</si>
  <si>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</si>
  <si>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</si>
  <si>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</si>
  <si>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</si>
  <si>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</si>
  <si>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</si>
  <si>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</si>
  <si>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</si>
  <si>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</si>
  <si>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</si>
  <si>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</si>
  <si>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</si>
  <si>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</si>
  <si>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</si>
  <si>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</si>
  <si>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</si>
  <si>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</si>
  <si>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</si>
  <si>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</si>
  <si>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</si>
  <si>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</si>
  <si>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</si>
  <si>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</si>
  <si>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</si>
  <si>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</si>
  <si>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</si>
  <si>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</si>
  <si>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</si>
  <si>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</si>
  <si>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</si>
  <si>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</si>
  <si>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</si>
  <si>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</si>
  <si>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</si>
  <si>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</si>
  <si>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</si>
  <si>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</si>
  <si>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</si>
  <si>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</si>
  <si>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</si>
  <si>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</si>
  <si>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</si>
  <si>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</si>
  <si>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</si>
  <si>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</si>
  <si>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</si>
  <si>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</si>
  <si>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</si>
  <si>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</si>
  <si>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</si>
  <si>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</si>
  <si>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</si>
  <si>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</si>
  <si>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</si>
  <si>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</si>
  <si>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</si>
  <si>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</si>
  <si>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</si>
  <si>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</si>
  <si>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</si>
  <si>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</si>
  <si>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</si>
  <si>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</si>
  <si>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</si>
  <si>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</si>
  <si>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</si>
  <si>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</si>
  <si>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</si>
  <si>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</si>
  <si>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</si>
  <si>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</si>
  <si>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</si>
  <si>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</si>
  <si>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</si>
  <si>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</si>
  <si>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</si>
  <si>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</si>
  <si>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</si>
  <si>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</si>
  <si>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</si>
  <si>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</si>
  <si>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</si>
  <si>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</si>
  <si>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</si>
  <si>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</si>
  <si>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</si>
  <si>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</si>
  <si>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</si>
  <si>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</si>
  <si>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</si>
  <si>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</si>
  <si>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</si>
  <si>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</si>
  <si>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</si>
  <si>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</si>
  <si>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</si>
  <si>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</si>
  <si>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</si>
  <si>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</si>
  <si>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</si>
  <si>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</si>
  <si>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</si>
  <si>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</si>
  <si>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</si>
  <si>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</si>
  <si>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</si>
  <si>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</si>
  <si>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</si>
  <si>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</si>
  <si>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</si>
  <si>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</si>
  <si>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</si>
  <si>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</si>
  <si>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</si>
  <si>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</si>
  <si>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</si>
  <si>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</si>
  <si>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</si>
  <si>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</si>
  <si>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</si>
  <si>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</si>
  <si>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</si>
  <si>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</si>
  <si>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</si>
  <si>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</si>
  <si>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</si>
  <si>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</si>
  <si>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</si>
  <si>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</si>
  <si>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</si>
  <si>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</si>
  <si>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</si>
  <si>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</si>
  <si>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</si>
  <si>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</si>
  <si>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</si>
  <si>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</si>
  <si>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</si>
  <si>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</si>
  <si>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</si>
  <si>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</si>
  <si>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</si>
  <si>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</si>
  <si>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</si>
  <si>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</si>
  <si>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</si>
  <si>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</si>
  <si>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</si>
  <si>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</si>
  <si>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</si>
  <si>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</si>
  <si>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</si>
  <si>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</si>
  <si>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</si>
  <si>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</si>
  <si>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</si>
  <si>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</si>
  <si>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</si>
  <si>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</si>
  <si>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</si>
  <si>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</si>
  <si>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</si>
  <si>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</si>
  <si>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</si>
  <si>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</si>
  <si>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</si>
  <si>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</si>
  <si>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</si>
  <si>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</si>
  <si>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</si>
  <si>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</si>
  <si>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</si>
  <si>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</si>
  <si>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</si>
  <si>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</si>
  <si>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</si>
  <si>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</si>
  <si>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</si>
  <si>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</si>
  <si>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</si>
  <si>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</si>
  <si>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</si>
  <si>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</si>
  <si>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</si>
  <si>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</si>
  <si>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</si>
  <si>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</si>
  <si>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</si>
  <si>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</si>
  <si>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</si>
  <si>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</si>
  <si>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</si>
  <si>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</si>
  <si>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</si>
  <si>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</si>
  <si>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</si>
  <si>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</si>
  <si>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</si>
  <si>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</si>
  <si>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</si>
  <si>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</si>
  <si>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</si>
  <si>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</si>
  <si>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</si>
  <si>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</si>
  <si>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</si>
  <si>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</si>
  <si>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</si>
  <si>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</si>
  <si>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</si>
  <si>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</si>
  <si>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</si>
  <si>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</si>
  <si>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</si>
  <si>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</si>
  <si>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</si>
  <si>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</si>
  <si>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</si>
  <si>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</si>
  <si>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</si>
  <si>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</si>
  <si>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</si>
  <si>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</si>
  <si>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</si>
  <si>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</si>
  <si>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</si>
  <si>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</si>
  <si>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</si>
  <si>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</si>
  <si>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</si>
  <si>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</si>
  <si>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</si>
  <si>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</si>
  <si>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</si>
  <si>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</si>
  <si>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</si>
  <si>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</si>
  <si>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</si>
  <si>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</si>
  <si>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</si>
  <si>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</si>
  <si>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</si>
  <si>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</si>
  <si>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</si>
  <si>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</si>
  <si>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</si>
  <si>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</si>
  <si>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</si>
  <si>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</si>
  <si>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</si>
  <si>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</si>
  <si>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</si>
  <si>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</si>
  <si>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</si>
  <si>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</si>
  <si>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</si>
  <si>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</si>
  <si>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</si>
  <si>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</si>
  <si>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</si>
  <si>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</si>
  <si>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</si>
  <si>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</si>
  <si>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</si>
  <si>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</si>
  <si>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</si>
  <si>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</si>
  <si>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</si>
  <si>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</si>
  <si>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</si>
  <si>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</si>
  <si>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</si>
  <si>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</si>
  <si>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20230710 09:37:02</t>
  </si>
  <si>
    <t>09:37:02</t>
  </si>
  <si>
    <t>none</t>
  </si>
  <si>
    <t>aci</t>
  </si>
  <si>
    <t>1</t>
  </si>
  <si>
    <t>zg5b</t>
  </si>
  <si>
    <t>2</t>
  </si>
  <si>
    <t>RECT-6035-20230528-14_09_18</t>
  </si>
  <si>
    <t>MPF-6037-20230710-09_35_23</t>
  </si>
  <si>
    <t>DARK-6038-20230710-09_35_30</t>
  </si>
  <si>
    <t>0: Broadleaf</t>
  </si>
  <si>
    <t>09:36:30</t>
  </si>
  <si>
    <t>2/2</t>
  </si>
  <si>
    <t>00000000</t>
  </si>
  <si>
    <t>iiiiiiii</t>
  </si>
  <si>
    <t>off</t>
  </si>
  <si>
    <t>20230710 09:39:08</t>
  </si>
  <si>
    <t>09:39:08</t>
  </si>
  <si>
    <t>MPF-6039-20230710-09_37_29</t>
  </si>
  <si>
    <t>DARK-6040-20230710-09_37_36</t>
  </si>
  <si>
    <t>09:38:35</t>
  </si>
  <si>
    <t>20230710 09:41:07</t>
  </si>
  <si>
    <t>09:41:07</t>
  </si>
  <si>
    <t>MPF-6041-20230710-09_39_28</t>
  </si>
  <si>
    <t>DARK-6042-20230710-09_39_35</t>
  </si>
  <si>
    <t>09:40:28</t>
  </si>
  <si>
    <t>20230710 09:43:19</t>
  </si>
  <si>
    <t>09:43:19</t>
  </si>
  <si>
    <t>MPF-6043-20230710-09_41_39</t>
  </si>
  <si>
    <t>DARK-6044-20230710-09_41_46</t>
  </si>
  <si>
    <t>09:42:45</t>
  </si>
  <si>
    <t>20230710 09:45:28</t>
  </si>
  <si>
    <t>09:45:28</t>
  </si>
  <si>
    <t>MPF-6045-20230710-09_43_48</t>
  </si>
  <si>
    <t>DARK-6046-20230710-09_43_55</t>
  </si>
  <si>
    <t>09:44:56</t>
  </si>
  <si>
    <t>20230710 09:47:25</t>
  </si>
  <si>
    <t>09:47:25</t>
  </si>
  <si>
    <t>MPF-6047-20230710-09_45_45</t>
  </si>
  <si>
    <t>DARK-6048-20230710-09_45_52</t>
  </si>
  <si>
    <t>09:46:53</t>
  </si>
  <si>
    <t>20230710 09:49:41</t>
  </si>
  <si>
    <t>09:49:41</t>
  </si>
  <si>
    <t>MPF-6049-20230710-09_48_02</t>
  </si>
  <si>
    <t>DARK-6050-20230710-09_48_09</t>
  </si>
  <si>
    <t>09:49:11</t>
  </si>
  <si>
    <t>20230710 09:52:51</t>
  </si>
  <si>
    <t>09:52:51</t>
  </si>
  <si>
    <t>MPF-6051-20230710-09_51_11</t>
  </si>
  <si>
    <t>DARK-6052-20230710-09_51_18</t>
  </si>
  <si>
    <t>09:51:31</t>
  </si>
  <si>
    <t>1/2</t>
  </si>
  <si>
    <t>20230710 09:54:31</t>
  </si>
  <si>
    <t>09:54:31</t>
  </si>
  <si>
    <t>MPF-6053-20230710-09_52_52</t>
  </si>
  <si>
    <t>DARK-6054-20230710-09_52_59</t>
  </si>
  <si>
    <t>09:54:00</t>
  </si>
  <si>
    <t>20230710 09:56:14</t>
  </si>
  <si>
    <t>09:56:14</t>
  </si>
  <si>
    <t>MPF-6055-20230710-09_54_35</t>
  </si>
  <si>
    <t>DARK-6056-20230710-09_54_42</t>
  </si>
  <si>
    <t>09:55:42</t>
  </si>
  <si>
    <t>20230710 09:58:03</t>
  </si>
  <si>
    <t>09:58:03</t>
  </si>
  <si>
    <t>MPF-6057-20230710-09_56_23</t>
  </si>
  <si>
    <t>DARK-6058-20230710-09_56_30</t>
  </si>
  <si>
    <t>09:57:33</t>
  </si>
  <si>
    <t>20230710 10:00:02</t>
  </si>
  <si>
    <t>10:00:02</t>
  </si>
  <si>
    <t>MPF-6059-20230710-09_58_23</t>
  </si>
  <si>
    <t>DARK-6060-20230710-09_58_30</t>
  </si>
  <si>
    <t>09:59:31</t>
  </si>
  <si>
    <t>20230710 10:01:59</t>
  </si>
  <si>
    <t>10:01:59</t>
  </si>
  <si>
    <t>MPF-6061-20230710-10_00_20</t>
  </si>
  <si>
    <t>DARK-6062-20230710-10_00_27</t>
  </si>
  <si>
    <t>10:01:29</t>
  </si>
  <si>
    <t>20230710 10:04:01</t>
  </si>
  <si>
    <t>10:04:01</t>
  </si>
  <si>
    <t>MPF-6063-20230710-10_02_22</t>
  </si>
  <si>
    <t>DARK-6064-20230710-10_02_29</t>
  </si>
  <si>
    <t>10:03:24</t>
  </si>
  <si>
    <t>20230710 10:05:53</t>
  </si>
  <si>
    <t>10:05:53</t>
  </si>
  <si>
    <t>MPF-6065-20230710-10_04_14</t>
  </si>
  <si>
    <t>DARK-6066-20230710-10_04_21</t>
  </si>
  <si>
    <t>10:05:21</t>
  </si>
  <si>
    <t>20230710 10:24:07</t>
  </si>
  <si>
    <t>10:24:07</t>
  </si>
  <si>
    <t>wt</t>
  </si>
  <si>
    <t>MPF-6067-20230710-10_22_28</t>
  </si>
  <si>
    <t>DARK-6068-20230710-10_22_35</t>
  </si>
  <si>
    <t>10:23:35</t>
  </si>
  <si>
    <t>20230710 10:26:54</t>
  </si>
  <si>
    <t>10:26:54</t>
  </si>
  <si>
    <t>MPF-6069-20230710-10_25_15</t>
  </si>
  <si>
    <t>DARK-6070-20230710-10_25_22</t>
  </si>
  <si>
    <t>10:25:27</t>
  </si>
  <si>
    <t>20230710 10:29:27</t>
  </si>
  <si>
    <t>10:29:27</t>
  </si>
  <si>
    <t>MPF-6071-20230710-10_27_48</t>
  </si>
  <si>
    <t>DARK-6072-20230710-10_27_55</t>
  </si>
  <si>
    <t>10:28:13</t>
  </si>
  <si>
    <t>20230710 10:31:50</t>
  </si>
  <si>
    <t>10:31:50</t>
  </si>
  <si>
    <t>MPF-6073-20230710-10_30_11</t>
  </si>
  <si>
    <t>DARK-6074-20230710-10_30_18</t>
  </si>
  <si>
    <t>10:31:18</t>
  </si>
  <si>
    <t>20230710 10:33:46</t>
  </si>
  <si>
    <t>10:33:46</t>
  </si>
  <si>
    <t>MPF-6075-20230710-10_32_06</t>
  </si>
  <si>
    <t>DARK-6076-20230710-10_32_14</t>
  </si>
  <si>
    <t>10:33:14</t>
  </si>
  <si>
    <t>20230710 10:35:33</t>
  </si>
  <si>
    <t>10:35:33</t>
  </si>
  <si>
    <t>MPF-6077-20230710-10_33_53</t>
  </si>
  <si>
    <t>DARK-6078-20230710-10_34_01</t>
  </si>
  <si>
    <t>10:35:01</t>
  </si>
  <si>
    <t>20230710 10:37:24</t>
  </si>
  <si>
    <t>10:37:24</t>
  </si>
  <si>
    <t>MPF-6079-20230710-10_35_45</t>
  </si>
  <si>
    <t>DARK-6080-20230710-10_35_52</t>
  </si>
  <si>
    <t>10:36:51</t>
  </si>
  <si>
    <t>20230710 10:40:34</t>
  </si>
  <si>
    <t>10:40:34</t>
  </si>
  <si>
    <t>MPF-6081-20230710-10_38_54</t>
  </si>
  <si>
    <t>DARK-6082-20230710-10_39_02</t>
  </si>
  <si>
    <t>10:38:57</t>
  </si>
  <si>
    <t>20230710 10:42:20</t>
  </si>
  <si>
    <t>10:42:20</t>
  </si>
  <si>
    <t>MPF-6083-20230710-10_40_40</t>
  </si>
  <si>
    <t>DARK-6084-20230710-10_40_48</t>
  </si>
  <si>
    <t>10:41:41</t>
  </si>
  <si>
    <t>20230710 10:44:37</t>
  </si>
  <si>
    <t>10:44:37</t>
  </si>
  <si>
    <t>MPF-6085-20230710-10_42_58</t>
  </si>
  <si>
    <t>DARK-6086-20230710-10_43_05</t>
  </si>
  <si>
    <t>10:43:39</t>
  </si>
  <si>
    <t>20230710 10:46:20</t>
  </si>
  <si>
    <t>10:46:20</t>
  </si>
  <si>
    <t>MPF-6087-20230710-10_44_41</t>
  </si>
  <si>
    <t>DARK-6088-20230710-10_44_48</t>
  </si>
  <si>
    <t>10:45:49</t>
  </si>
  <si>
    <t>20230710 10:48:26</t>
  </si>
  <si>
    <t>10:48:26</t>
  </si>
  <si>
    <t>MPF-6089-20230710-10_46_47</t>
  </si>
  <si>
    <t>DARK-6090-20230710-10_46_54</t>
  </si>
  <si>
    <t>10:47:50</t>
  </si>
  <si>
    <t>20230710 10:50:27</t>
  </si>
  <si>
    <t>10:50:27</t>
  </si>
  <si>
    <t>MPF-6091-20230710-10_48_48</t>
  </si>
  <si>
    <t>DARK-6092-20230710-10_48_55</t>
  </si>
  <si>
    <t>10:49:39</t>
  </si>
  <si>
    <t>20230710 10:53:15</t>
  </si>
  <si>
    <t>10:53:15</t>
  </si>
  <si>
    <t>MPF-6093-20230710-10_51_36</t>
  </si>
  <si>
    <t>DARK-6094-20230710-10_51_43</t>
  </si>
  <si>
    <t>10:52:39</t>
  </si>
  <si>
    <t>20230710 10:55:11</t>
  </si>
  <si>
    <t>10:55:11</t>
  </si>
  <si>
    <t>MPF-6095-20230710-10_53_31</t>
  </si>
  <si>
    <t>DARK-6096-20230710-10_53_39</t>
  </si>
  <si>
    <t>10:54:33</t>
  </si>
  <si>
    <t>20230710 11:14:21</t>
  </si>
  <si>
    <t>11:14:21</t>
  </si>
  <si>
    <t>3</t>
  </si>
  <si>
    <t>zg12a</t>
  </si>
  <si>
    <t>MPF-6097-20230710-11_12_42</t>
  </si>
  <si>
    <t>DARK-6098-20230710-11_12_49</t>
  </si>
  <si>
    <t>11:13:47</t>
  </si>
  <si>
    <t>20230710 11:17:06</t>
  </si>
  <si>
    <t>11:17:06</t>
  </si>
  <si>
    <t>MPF-6099-20230710-11_15_26</t>
  </si>
  <si>
    <t>DARK-6100-20230710-11_15_34</t>
  </si>
  <si>
    <t>11:15:44</t>
  </si>
  <si>
    <t>20230710 11:19:19</t>
  </si>
  <si>
    <t>11:19:19</t>
  </si>
  <si>
    <t>MPF-6101-20230710-11_17_40</t>
  </si>
  <si>
    <t>DARK-6102-20230710-11_17_47</t>
  </si>
  <si>
    <t>11:18:20</t>
  </si>
  <si>
    <t>20230710 11:21:15</t>
  </si>
  <si>
    <t>11:21:15</t>
  </si>
  <si>
    <t>MPF-6103-20230710-11_19_36</t>
  </si>
  <si>
    <t>DARK-6104-20230710-11_19_43</t>
  </si>
  <si>
    <t>11:20:40</t>
  </si>
  <si>
    <t>20230710 11:23:00</t>
  </si>
  <si>
    <t>11:23:00</t>
  </si>
  <si>
    <t>MPF-6105-20230710-11_21_21</t>
  </si>
  <si>
    <t>DARK-6106-20230710-11_21_28</t>
  </si>
  <si>
    <t>11:22:30</t>
  </si>
  <si>
    <t>20230710 11:25:05</t>
  </si>
  <si>
    <t>11:25:05</t>
  </si>
  <si>
    <t>MPF-6107-20230710-11_23_25</t>
  </si>
  <si>
    <t>DARK-6108-20230710-11_23_33</t>
  </si>
  <si>
    <t>11:24:32</t>
  </si>
  <si>
    <t>20230710 11:27:15</t>
  </si>
  <si>
    <t>11:27:15</t>
  </si>
  <si>
    <t>MPF-6109-20230710-11_25_35</t>
  </si>
  <si>
    <t>DARK-6110-20230710-11_25_43</t>
  </si>
  <si>
    <t>11:26:41</t>
  </si>
  <si>
    <t>20230710 11:30:24</t>
  </si>
  <si>
    <t>11:30:24</t>
  </si>
  <si>
    <t>MPF-6111-20230710-11_28_45</t>
  </si>
  <si>
    <t>DARK-6112-20230710-11_28_52</t>
  </si>
  <si>
    <t>11:28:29</t>
  </si>
  <si>
    <t>20230710 11:32:04</t>
  </si>
  <si>
    <t>11:32:04</t>
  </si>
  <si>
    <t>MPF-6113-20230710-11_30_24</t>
  </si>
  <si>
    <t>DARK-6114-20230710-11_30_31</t>
  </si>
  <si>
    <t>11:31:36</t>
  </si>
  <si>
    <t>20230710 11:34:21</t>
  </si>
  <si>
    <t>11:34:21</t>
  </si>
  <si>
    <t>MPF-6115-20230710-11_32_42</t>
  </si>
  <si>
    <t>DARK-6116-20230710-11_32_49</t>
  </si>
  <si>
    <t>11:33:53</t>
  </si>
  <si>
    <t>20230710 11:36:45</t>
  </si>
  <si>
    <t>11:36:45</t>
  </si>
  <si>
    <t>MPF-6117-20230710-11_35_06</t>
  </si>
  <si>
    <t>DARK-6118-20230710-11_35_13</t>
  </si>
  <si>
    <t>11:36:14</t>
  </si>
  <si>
    <t>20230710 11:38:34</t>
  </si>
  <si>
    <t>11:38:34</t>
  </si>
  <si>
    <t>MPF-6119-20230710-11_36_54</t>
  </si>
  <si>
    <t>DARK-6120-20230710-11_37_02</t>
  </si>
  <si>
    <t>11:38:03</t>
  </si>
  <si>
    <t>20230710 11:40:26</t>
  </si>
  <si>
    <t>11:40:26</t>
  </si>
  <si>
    <t>MPF-6121-20230710-11_38_47</t>
  </si>
  <si>
    <t>DARK-6122-20230710-11_38_54</t>
  </si>
  <si>
    <t>11:39:54</t>
  </si>
  <si>
    <t>20230710 11:42:28</t>
  </si>
  <si>
    <t>11:42:28</t>
  </si>
  <si>
    <t>MPF-6123-20230710-11_40_49</t>
  </si>
  <si>
    <t>DARK-6124-20230710-11_40_56</t>
  </si>
  <si>
    <t>11:41:54</t>
  </si>
  <si>
    <t>20230710 11:44:28</t>
  </si>
  <si>
    <t>11:44:28</t>
  </si>
  <si>
    <t>MPF-6125-20230710-11_42_48</t>
  </si>
  <si>
    <t>DARK-6126-20230710-11_42_56</t>
  </si>
  <si>
    <t>11:43:51</t>
  </si>
  <si>
    <t>20230710 12:02:54</t>
  </si>
  <si>
    <t>12:02:54</t>
  </si>
  <si>
    <t>6</t>
  </si>
  <si>
    <t>hn1a</t>
  </si>
  <si>
    <t>MPF-6127-20230710-12_01_14</t>
  </si>
  <si>
    <t>DARK-6128-20230710-12_01_22</t>
  </si>
  <si>
    <t>12:02:11</t>
  </si>
  <si>
    <t>20230710 12:05:23</t>
  </si>
  <si>
    <t>12:05:23</t>
  </si>
  <si>
    <t>MPF-6129-20230710-12_03_44</t>
  </si>
  <si>
    <t>DARK-6130-20230710-12_03_51</t>
  </si>
  <si>
    <t>12:04:52</t>
  </si>
  <si>
    <t>20230710 12:07:14</t>
  </si>
  <si>
    <t>12:07:14</t>
  </si>
  <si>
    <t>MPF-6131-20230710-12_05_34</t>
  </si>
  <si>
    <t>DARK-6132-20230710-12_05_42</t>
  </si>
  <si>
    <t>12:06:42</t>
  </si>
  <si>
    <t>20230710 12:09:00</t>
  </si>
  <si>
    <t>12:09:00</t>
  </si>
  <si>
    <t>MPF-6133-20230710-12_07_20</t>
  </si>
  <si>
    <t>DARK-6134-20230710-12_07_28</t>
  </si>
  <si>
    <t>12:08:29</t>
  </si>
  <si>
    <t>20230710 12:10:48</t>
  </si>
  <si>
    <t>12:10:48</t>
  </si>
  <si>
    <t>MPF-6135-20230710-12_09_09</t>
  </si>
  <si>
    <t>DARK-6136-20230710-12_09_16</t>
  </si>
  <si>
    <t>12:10:15</t>
  </si>
  <si>
    <t>20230710 12:13:14</t>
  </si>
  <si>
    <t>12:13:14</t>
  </si>
  <si>
    <t>MPF-6137-20230710-12_11_34</t>
  </si>
  <si>
    <t>DARK-6138-20230710-12_11_42</t>
  </si>
  <si>
    <t>12:12:41</t>
  </si>
  <si>
    <t>20230710 12:15:00</t>
  </si>
  <si>
    <t>12:15:00</t>
  </si>
  <si>
    <t>MPF-6139-20230710-12_13_21</t>
  </si>
  <si>
    <t>DARK-6140-20230710-12_13_28</t>
  </si>
  <si>
    <t>12:14:28</t>
  </si>
  <si>
    <t>20230710 12:18:10</t>
  </si>
  <si>
    <t>12:18:10</t>
  </si>
  <si>
    <t>MPF-6141-20230710-12_16_30</t>
  </si>
  <si>
    <t>DARK-6142-20230710-12_16_38</t>
  </si>
  <si>
    <t>12:16:26</t>
  </si>
  <si>
    <t>20230710 12:19:51</t>
  </si>
  <si>
    <t>12:19:51</t>
  </si>
  <si>
    <t>MPF-6143-20230710-12_18_11</t>
  </si>
  <si>
    <t>DARK-6144-20230710-12_18_19</t>
  </si>
  <si>
    <t>12:19:20</t>
  </si>
  <si>
    <t>20230710 12:22:03</t>
  </si>
  <si>
    <t>12:22:03</t>
  </si>
  <si>
    <t>MPF-6145-20230710-12_20_24</t>
  </si>
  <si>
    <t>DARK-6146-20230710-12_20_31</t>
  </si>
  <si>
    <t>12:21:34</t>
  </si>
  <si>
    <t>20230710 12:24:06</t>
  </si>
  <si>
    <t>12:24:06</t>
  </si>
  <si>
    <t>MPF-6147-20230710-12_22_27</t>
  </si>
  <si>
    <t>DARK-6148-20230710-12_22_34</t>
  </si>
  <si>
    <t>12:23:26</t>
  </si>
  <si>
    <t>20230710 12:25:51</t>
  </si>
  <si>
    <t>12:25:51</t>
  </si>
  <si>
    <t>MPF-6149-20230710-12_24_11</t>
  </si>
  <si>
    <t>DARK-6150-20230710-12_24_19</t>
  </si>
  <si>
    <t>12:25:21</t>
  </si>
  <si>
    <t>20230710 12:27:47</t>
  </si>
  <si>
    <t>12:27:47</t>
  </si>
  <si>
    <t>MPF-6151-20230710-12_26_07</t>
  </si>
  <si>
    <t>DARK-6152-20230710-12_26_15</t>
  </si>
  <si>
    <t>12:27:15</t>
  </si>
  <si>
    <t>20230710 12:29:35</t>
  </si>
  <si>
    <t>12:29:35</t>
  </si>
  <si>
    <t>MPF-6153-20230710-12_27_56</t>
  </si>
  <si>
    <t>DARK-6154-20230710-12_28_03</t>
  </si>
  <si>
    <t>12:29:04</t>
  </si>
  <si>
    <t>20230710 12:31:46</t>
  </si>
  <si>
    <t>12:31:46</t>
  </si>
  <si>
    <t>MPF-6155-20230710-12_30_06</t>
  </si>
  <si>
    <t>DARK-6156-20230710-12_30_14</t>
  </si>
  <si>
    <t>12:31:13</t>
  </si>
  <si>
    <t>20230710 12:58:20</t>
  </si>
  <si>
    <t>12:58:20</t>
  </si>
  <si>
    <t>5</t>
  </si>
  <si>
    <t>MPF-6157-20230710-12_56_41</t>
  </si>
  <si>
    <t>DARK-6158-20230710-12_56_48</t>
  </si>
  <si>
    <t>12:57:43</t>
  </si>
  <si>
    <t>20230710 13:00:40</t>
  </si>
  <si>
    <t>13:00:40</t>
  </si>
  <si>
    <t>MPF-6159-20230710-12_59_00</t>
  </si>
  <si>
    <t>DARK-6160-20230710-12_59_08</t>
  </si>
  <si>
    <t>12:59:53</t>
  </si>
  <si>
    <t>20230710 13:02:55</t>
  </si>
  <si>
    <t>13:02:55</t>
  </si>
  <si>
    <t>MPF-6161-20230710-13_01_15</t>
  </si>
  <si>
    <t>DARK-6162-20230710-13_01_23</t>
  </si>
  <si>
    <t>13:02:05</t>
  </si>
  <si>
    <t>20230710 13:05:05</t>
  </si>
  <si>
    <t>13:05:05</t>
  </si>
  <si>
    <t>MPF-6163-20230710-13_03_26</t>
  </si>
  <si>
    <t>DARK-6164-20230710-13_03_33</t>
  </si>
  <si>
    <t>13:04:17</t>
  </si>
  <si>
    <t>20230710 13:07:04</t>
  </si>
  <si>
    <t>13:07:04</t>
  </si>
  <si>
    <t>MPF-6165-20230710-13_05_25</t>
  </si>
  <si>
    <t>DARK-6166-20230710-13_05_32</t>
  </si>
  <si>
    <t>13:06:22</t>
  </si>
  <si>
    <t>20230710 13:09:21</t>
  </si>
  <si>
    <t>13:09:21</t>
  </si>
  <si>
    <t>MPF-6167-20230710-13_07_42</t>
  </si>
  <si>
    <t>DARK-6168-20230710-13_07_49</t>
  </si>
  <si>
    <t>13:08:44</t>
  </si>
  <si>
    <t>20230710 13:11:04</t>
  </si>
  <si>
    <t>13:11:04</t>
  </si>
  <si>
    <t>MPF-6169-20230710-13_09_25</t>
  </si>
  <si>
    <t>DARK-6170-20230710-13_09_32</t>
  </si>
  <si>
    <t>13:10:32</t>
  </si>
  <si>
    <t>20230710 13:14:14</t>
  </si>
  <si>
    <t>13:14:14</t>
  </si>
  <si>
    <t>MPF-6171-20230710-13_12_34</t>
  </si>
  <si>
    <t>DARK-6172-20230710-13_12_42</t>
  </si>
  <si>
    <t>13:12:51</t>
  </si>
  <si>
    <t>20230710 13:16:50</t>
  </si>
  <si>
    <t>13:16:50</t>
  </si>
  <si>
    <t>MPF-6173-20230710-13_15_11</t>
  </si>
  <si>
    <t>DARK-6174-20230710-13_15_18</t>
  </si>
  <si>
    <t>13:15:30</t>
  </si>
  <si>
    <t>20230710 13:18:35</t>
  </si>
  <si>
    <t>13:18:35</t>
  </si>
  <si>
    <t>MPF-6175-20230710-13_16_56</t>
  </si>
  <si>
    <t>DARK-6176-20230710-13_17_03</t>
  </si>
  <si>
    <t>13:18:00</t>
  </si>
  <si>
    <t>20230710 13:20:23</t>
  </si>
  <si>
    <t>13:20:23</t>
  </si>
  <si>
    <t>MPF-6177-20230710-13_18_44</t>
  </si>
  <si>
    <t>DARK-6178-20230710-13_18_51</t>
  </si>
  <si>
    <t>13:19:51</t>
  </si>
  <si>
    <t>20230710 13:22:10</t>
  </si>
  <si>
    <t>13:22:10</t>
  </si>
  <si>
    <t>MPF-6179-20230710-13_20_30</t>
  </si>
  <si>
    <t>DARK-6180-20230710-13_20_38</t>
  </si>
  <si>
    <t>13:21:35</t>
  </si>
  <si>
    <t>20230710 13:24:42</t>
  </si>
  <si>
    <t>13:24:42</t>
  </si>
  <si>
    <t>MPF-6181-20230710-13_23_02</t>
  </si>
  <si>
    <t>DARK-6182-20230710-13_23_10</t>
  </si>
  <si>
    <t>13:24:07</t>
  </si>
  <si>
    <t>20230710 13:26:37</t>
  </si>
  <si>
    <t>13:26:37</t>
  </si>
  <si>
    <t>MPF-6183-20230710-13_24_58</t>
  </si>
  <si>
    <t>DARK-6184-20230710-13_25_05</t>
  </si>
  <si>
    <t>13:26:06</t>
  </si>
  <si>
    <t>20230710 13:28:40</t>
  </si>
  <si>
    <t>13:28:40</t>
  </si>
  <si>
    <t>MPF-6185-20230710-13_27_01</t>
  </si>
  <si>
    <t>DARK-6186-20230710-13_27_08</t>
  </si>
  <si>
    <t>13:28:03</t>
  </si>
  <si>
    <t>20230710 13:56:39</t>
  </si>
  <si>
    <t>13:56:39</t>
  </si>
  <si>
    <t>MPF-6187-20230710-13_55_00</t>
  </si>
  <si>
    <t>DARK-6188-20230710-13_55_07</t>
  </si>
  <si>
    <t>13:56:04</t>
  </si>
  <si>
    <t>20230710 13:59:22</t>
  </si>
  <si>
    <t>13:59:22</t>
  </si>
  <si>
    <t>MPF-6189-20230710-13_57_43</t>
  </si>
  <si>
    <t>DARK-6190-20230710-13_57_50</t>
  </si>
  <si>
    <t>13:57:58</t>
  </si>
  <si>
    <t>20230710 14:02:12</t>
  </si>
  <si>
    <t>14:02:12</t>
  </si>
  <si>
    <t>MPF-6191-20230710-14_00_33</t>
  </si>
  <si>
    <t>DARK-6192-20230710-14_00_40</t>
  </si>
  <si>
    <t>14:00:38</t>
  </si>
  <si>
    <t>20230710 14:04:26</t>
  </si>
  <si>
    <t>14:04:26</t>
  </si>
  <si>
    <t>MPF-6193-20230710-14_02_47</t>
  </si>
  <si>
    <t>DARK-6194-20230710-14_02_54</t>
  </si>
  <si>
    <t>14:03:31</t>
  </si>
  <si>
    <t>20230710 14:06:16</t>
  </si>
  <si>
    <t>14:06:16</t>
  </si>
  <si>
    <t>MPF-6195-20230710-14_04_37</t>
  </si>
  <si>
    <t>DARK-6196-20230710-14_04_44</t>
  </si>
  <si>
    <t>14:05:37</t>
  </si>
  <si>
    <t>20230710 14:08:52</t>
  </si>
  <si>
    <t>14:08:52</t>
  </si>
  <si>
    <t>MPF-6197-20230710-14_07_13</t>
  </si>
  <si>
    <t>DARK-6198-20230710-14_07_20</t>
  </si>
  <si>
    <t>14:08:13</t>
  </si>
  <si>
    <t>20230710 14:10:45</t>
  </si>
  <si>
    <t>14:10:45</t>
  </si>
  <si>
    <t>MPF-6199-20230710-14_09_06</t>
  </si>
  <si>
    <t>DARK-6200-20230710-14_09_13</t>
  </si>
  <si>
    <t>14:10:07</t>
  </si>
  <si>
    <t>20230710 14:13:40</t>
  </si>
  <si>
    <t>14:13:40</t>
  </si>
  <si>
    <t>MPF-6201-20230710-14_12_01</t>
  </si>
  <si>
    <t>DARK-6202-20230710-14_12_08</t>
  </si>
  <si>
    <t>14:12:04</t>
  </si>
  <si>
    <t>20230710 14:16:17</t>
  </si>
  <si>
    <t>14:16:17</t>
  </si>
  <si>
    <t>MPF-6203-20230710-14_14_38</t>
  </si>
  <si>
    <t>DARK-6204-20230710-14_14_45</t>
  </si>
  <si>
    <t>14:14:51</t>
  </si>
  <si>
    <t>20230710 14:18:05</t>
  </si>
  <si>
    <t>14:18:05</t>
  </si>
  <si>
    <t>MPF-6205-20230710-14_16_26</t>
  </si>
  <si>
    <t>DARK-6206-20230710-14_16_33</t>
  </si>
  <si>
    <t>14:17:34</t>
  </si>
  <si>
    <t>20230710 14:20:53</t>
  </si>
  <si>
    <t>14:20:53</t>
  </si>
  <si>
    <t>MPF-6207-20230710-14_19_14</t>
  </si>
  <si>
    <t>DARK-6208-20230710-14_19_21</t>
  </si>
  <si>
    <t>14:20:10</t>
  </si>
  <si>
    <t>20230710 14:22:59</t>
  </si>
  <si>
    <t>14:22:59</t>
  </si>
  <si>
    <t>MPF-6209-20230710-14_21_20</t>
  </si>
  <si>
    <t>DARK-6210-20230710-14_21_28</t>
  </si>
  <si>
    <t>14:22:27</t>
  </si>
  <si>
    <t>20230710 14:24:55</t>
  </si>
  <si>
    <t>14:24:55</t>
  </si>
  <si>
    <t>MPF-6211-20230710-14_23_16</t>
  </si>
  <si>
    <t>DARK-6212-20230710-14_23_23</t>
  </si>
  <si>
    <t>14:24:21</t>
  </si>
  <si>
    <t>20230710 14:27:00</t>
  </si>
  <si>
    <t>14:27:00</t>
  </si>
  <si>
    <t>MPF-6213-20230710-14_25_21</t>
  </si>
  <si>
    <t>DARK-6214-20230710-14_25_28</t>
  </si>
  <si>
    <t>14:26:23</t>
  </si>
  <si>
    <t>20230710 14:29:01</t>
  </si>
  <si>
    <t>14:29:01</t>
  </si>
  <si>
    <t>MPF-6215-20230710-14_27_22</t>
  </si>
  <si>
    <t>DARK-6216-20230710-14_27_30</t>
  </si>
  <si>
    <t>14:28:29</t>
  </si>
  <si>
    <t>20230710 14:56:41</t>
  </si>
  <si>
    <t>14:56:41</t>
  </si>
  <si>
    <t>MPF-6217-20230710-14_55_02</t>
  </si>
  <si>
    <t>DARK-6218-20230710-14_55_09</t>
  </si>
  <si>
    <t>14:56:07</t>
  </si>
  <si>
    <t>20230710 14:58:26</t>
  </si>
  <si>
    <t>14:58:26</t>
  </si>
  <si>
    <t>MPF-6219-20230710-14_56_47</t>
  </si>
  <si>
    <t>DARK-6220-20230710-14_56_54</t>
  </si>
  <si>
    <t>14:57:56</t>
  </si>
  <si>
    <t>20230710 15:00:36</t>
  </si>
  <si>
    <t>15:00:36</t>
  </si>
  <si>
    <t>MPF-6221-20230710-14_58_57</t>
  </si>
  <si>
    <t>DARK-6222-20230710-14_59_04</t>
  </si>
  <si>
    <t>15:01:03</t>
  </si>
  <si>
    <t>20230710 15:02:48</t>
  </si>
  <si>
    <t>15:02:48</t>
  </si>
  <si>
    <t>MPF-6223-20230710-15_01_09</t>
  </si>
  <si>
    <t>DARK-6224-20230710-15_01_16</t>
  </si>
  <si>
    <t>15:02:15</t>
  </si>
  <si>
    <t>20230710 15:04:40</t>
  </si>
  <si>
    <t>15:04:40</t>
  </si>
  <si>
    <t>MPF-6225-20230710-15_03_01</t>
  </si>
  <si>
    <t>DARK-6226-20230710-15_03_08</t>
  </si>
  <si>
    <t>15:04:08</t>
  </si>
  <si>
    <t>20230710 15:07:04</t>
  </si>
  <si>
    <t>15:07:04</t>
  </si>
  <si>
    <t>MPF-6227-20230710-15_05_25</t>
  </si>
  <si>
    <t>DARK-6228-20230710-15_05_32</t>
  </si>
  <si>
    <t>15:06:33</t>
  </si>
  <si>
    <t>20230710 15:08:45</t>
  </si>
  <si>
    <t>15:08:45</t>
  </si>
  <si>
    <t>MPF-6229-20230710-15_07_06</t>
  </si>
  <si>
    <t>DARK-6230-20230710-15_07_13</t>
  </si>
  <si>
    <t>15:08:12</t>
  </si>
  <si>
    <t>20230710 15:11:54</t>
  </si>
  <si>
    <t>15:11:54</t>
  </si>
  <si>
    <t>MPF-6231-20230710-15_10_15</t>
  </si>
  <si>
    <t>DARK-6232-20230710-15_10_22</t>
  </si>
  <si>
    <t>15:10:30</t>
  </si>
  <si>
    <t>20230710 15:14:01</t>
  </si>
  <si>
    <t>15:14:01</t>
  </si>
  <si>
    <t>MPF-6233-20230710-15_12_22</t>
  </si>
  <si>
    <t>DARK-6234-20230710-15_12_29</t>
  </si>
  <si>
    <t>15:13:16</t>
  </si>
  <si>
    <t>20230710 15:16:33</t>
  </si>
  <si>
    <t>15:16:33</t>
  </si>
  <si>
    <t>MPF-6235-20230710-15_14_54</t>
  </si>
  <si>
    <t>DARK-6236-20230710-15_15_02</t>
  </si>
  <si>
    <t>15:16:01</t>
  </si>
  <si>
    <t>20230710 15:18:22</t>
  </si>
  <si>
    <t>15:18:22</t>
  </si>
  <si>
    <t>MPF-6237-20230710-15_16_43</t>
  </si>
  <si>
    <t>DARK-6238-20230710-15_16_50</t>
  </si>
  <si>
    <t>15:17:49</t>
  </si>
  <si>
    <t>20230710 15:20:09</t>
  </si>
  <si>
    <t>15:20:09</t>
  </si>
  <si>
    <t>MPF-6239-20230710-15_18_30</t>
  </si>
  <si>
    <t>DARK-6240-20230710-15_18_37</t>
  </si>
  <si>
    <t>15:19:37</t>
  </si>
  <si>
    <t>20230710 15:22:09</t>
  </si>
  <si>
    <t>15:22:09</t>
  </si>
  <si>
    <t>MPF-6241-20230710-15_20_30</t>
  </si>
  <si>
    <t>DARK-6242-20230710-15_20_37</t>
  </si>
  <si>
    <t>15:21:32</t>
  </si>
  <si>
    <t>20230710 15:24:06</t>
  </si>
  <si>
    <t>15:24:06</t>
  </si>
  <si>
    <t>MPF-6243-20230710-15_22_27</t>
  </si>
  <si>
    <t>DARK-6244-20230710-15_22_34</t>
  </si>
  <si>
    <t>15:23:23</t>
  </si>
  <si>
    <t>20230710 15:25:58</t>
  </si>
  <si>
    <t>15:25:58</t>
  </si>
  <si>
    <t>MPF-6245-20230710-15_24_19</t>
  </si>
  <si>
    <t>DARK-6246-20230710-15_24_27</t>
  </si>
  <si>
    <t>15:25:21</t>
  </si>
  <si>
    <t>20230710 15:47:22</t>
  </si>
  <si>
    <t>15:47:22</t>
  </si>
  <si>
    <t>MPF-6247-20230710-15_45_43</t>
  </si>
  <si>
    <t>DARK-6248-20230710-15_45_51</t>
  </si>
  <si>
    <t>15:46:49</t>
  </si>
  <si>
    <t>20230710 15:50:32</t>
  </si>
  <si>
    <t>15:50:32</t>
  </si>
  <si>
    <t>MPF-6249-20230710-15_48_53</t>
  </si>
  <si>
    <t>DARK-6250-20230710-15_49_00</t>
  </si>
  <si>
    <t>15:48:36</t>
  </si>
  <si>
    <t>20230710 15:53:26</t>
  </si>
  <si>
    <t>15:53:26</t>
  </si>
  <si>
    <t>MPF-6251-20230710-15_51_47</t>
  </si>
  <si>
    <t>DARK-6252-20230710-15_51_55</t>
  </si>
  <si>
    <t>15:52:12</t>
  </si>
  <si>
    <t>20230710 15:55:32</t>
  </si>
  <si>
    <t>15:55:32</t>
  </si>
  <si>
    <t>MPF-6253-20230710-15_53_53</t>
  </si>
  <si>
    <t>DARK-6254-20230710-15_54_00</t>
  </si>
  <si>
    <t>15:54:56</t>
  </si>
  <si>
    <t>20230710 15:57:36</t>
  </si>
  <si>
    <t>15:57:36</t>
  </si>
  <si>
    <t>MPF-6255-20230710-15_55_57</t>
  </si>
  <si>
    <t>DARK-6256-20230710-15_56_04</t>
  </si>
  <si>
    <t>15:57:03</t>
  </si>
  <si>
    <t>20230710 15:59:31</t>
  </si>
  <si>
    <t>15:59:31</t>
  </si>
  <si>
    <t>MPF-6257-20230710-15_57_52</t>
  </si>
  <si>
    <t>DARK-6258-20230710-15_58_00</t>
  </si>
  <si>
    <t>15:59:00</t>
  </si>
  <si>
    <t>20230710 16:01:54</t>
  </si>
  <si>
    <t>16:01:54</t>
  </si>
  <si>
    <t>MPF-6259-20230710-16_00_15</t>
  </si>
  <si>
    <t>DARK-6260-20230710-16_00_23</t>
  </si>
  <si>
    <t>16:01:21</t>
  </si>
  <si>
    <t>20230710 16:04:34</t>
  </si>
  <si>
    <t>16:04:34</t>
  </si>
  <si>
    <t>MPF-6261-20230710-16_02_55</t>
  </si>
  <si>
    <t>DARK-6262-20230710-16_03_02</t>
  </si>
  <si>
    <t>16:03:41</t>
  </si>
  <si>
    <t>20230710 16:07:33</t>
  </si>
  <si>
    <t>16:07:33</t>
  </si>
  <si>
    <t>MPF-6263-20230710-16_05_54</t>
  </si>
  <si>
    <t>DARK-6264-20230710-16_06_01</t>
  </si>
  <si>
    <t>16:05:42</t>
  </si>
  <si>
    <t>20230710 16:09:14</t>
  </si>
  <si>
    <t>16:09:14</t>
  </si>
  <si>
    <t>MPF-6265-20230710-16_07_35</t>
  </si>
  <si>
    <t>DARK-6266-20230710-16_07_43</t>
  </si>
  <si>
    <t>16:08:39</t>
  </si>
  <si>
    <t>20230710 16:11:28</t>
  </si>
  <si>
    <t>16:11:28</t>
  </si>
  <si>
    <t>MPF-6267-20230710-16_09_49</t>
  </si>
  <si>
    <t>DARK-6268-20230710-16_09_56</t>
  </si>
  <si>
    <t>16:10:51</t>
  </si>
  <si>
    <t>20230710 16:13:14</t>
  </si>
  <si>
    <t>16:13:14</t>
  </si>
  <si>
    <t>MPF-6269-20230710-16_11_35</t>
  </si>
  <si>
    <t>DARK-6270-20230710-16_11_42</t>
  </si>
  <si>
    <t>16:12:39</t>
  </si>
  <si>
    <t>20230710 16:15:05</t>
  </si>
  <si>
    <t>16:15:05</t>
  </si>
  <si>
    <t>MPF-6271-20230710-16_13_26</t>
  </si>
  <si>
    <t>DARK-6272-20230710-16_13_34</t>
  </si>
  <si>
    <t>16:14:30</t>
  </si>
  <si>
    <t>20230710 16:17:21</t>
  </si>
  <si>
    <t>16:17:21</t>
  </si>
  <si>
    <t>MPF-6273-20230710-16_15_42</t>
  </si>
  <si>
    <t>DARK-6274-20230710-16_15_49</t>
  </si>
  <si>
    <t>16:16:48</t>
  </si>
  <si>
    <t>20230710 16:19:13</t>
  </si>
  <si>
    <t>16:19:13</t>
  </si>
  <si>
    <t>MPF-6275-20230710-16_17_34</t>
  </si>
  <si>
    <t>DARK-6276-20230710-16_17_41</t>
  </si>
  <si>
    <t>16:18:37</t>
  </si>
  <si>
    <t>20230710 16:54:40</t>
  </si>
  <si>
    <t>16:54:40</t>
  </si>
  <si>
    <t>MPF-6277-20230710-16_53_01</t>
  </si>
  <si>
    <t>DARK-6278-20230710-16_53_08</t>
  </si>
  <si>
    <t>16:54:05</t>
  </si>
  <si>
    <t>20230710 16:57:05</t>
  </si>
  <si>
    <t>16:57:05</t>
  </si>
  <si>
    <t>MPF-6279-20230710-16_55_26</t>
  </si>
  <si>
    <t>DARK-6280-20230710-16_55_33</t>
  </si>
  <si>
    <t>16:55:55</t>
  </si>
  <si>
    <t>20230710 16:59:10</t>
  </si>
  <si>
    <t>16:59:10</t>
  </si>
  <si>
    <t>MPF-6281-20230710-16_57_31</t>
  </si>
  <si>
    <t>DARK-6282-20230710-16_57_38</t>
  </si>
  <si>
    <t>16:58:24</t>
  </si>
  <si>
    <t>20230710 17:01:01</t>
  </si>
  <si>
    <t>17:01:01</t>
  </si>
  <si>
    <t>MPF-6283-20230710-16_59_22</t>
  </si>
  <si>
    <t>DARK-6284-20230710-16_59_29</t>
  </si>
  <si>
    <t>17:00:29</t>
  </si>
  <si>
    <t>20230710 17:03:34</t>
  </si>
  <si>
    <t>17:03:34</t>
  </si>
  <si>
    <t>MPF-6285-20230710-17_01_55</t>
  </si>
  <si>
    <t>DARK-6286-20230710-17_02_02</t>
  </si>
  <si>
    <t>17:03:03</t>
  </si>
  <si>
    <t>20230710 17:05:24</t>
  </si>
  <si>
    <t>17:05:24</t>
  </si>
  <si>
    <t>MPF-6287-20230710-17_03_45</t>
  </si>
  <si>
    <t>DARK-6288-20230710-17_03_52</t>
  </si>
  <si>
    <t>17:04:52</t>
  </si>
  <si>
    <t>20230710 17:07:14</t>
  </si>
  <si>
    <t>17:07:14</t>
  </si>
  <si>
    <t>MPF-6289-20230710-17_05_35</t>
  </si>
  <si>
    <t>DARK-6290-20230710-17_05_43</t>
  </si>
  <si>
    <t>17:06:42</t>
  </si>
  <si>
    <t>20230710 17:09:52</t>
  </si>
  <si>
    <t>17:09:52</t>
  </si>
  <si>
    <t>MPF-6291-20230710-17_08_13</t>
  </si>
  <si>
    <t>DARK-6292-20230710-17_08_20</t>
  </si>
  <si>
    <t>17:08:41</t>
  </si>
  <si>
    <t>20230710 17:12:38</t>
  </si>
  <si>
    <t>17:12:38</t>
  </si>
  <si>
    <t>MPF-6293-20230710-17_10_59</t>
  </si>
  <si>
    <t>DARK-6294-20230710-17_11_07</t>
  </si>
  <si>
    <t>17:11:05</t>
  </si>
  <si>
    <t>20230710 17:14:23</t>
  </si>
  <si>
    <t>17:14:23</t>
  </si>
  <si>
    <t>MPF-6295-20230710-17_12_44</t>
  </si>
  <si>
    <t>DARK-6296-20230710-17_12_51</t>
  </si>
  <si>
    <t>17:13:44</t>
  </si>
  <si>
    <t>20230710 17:16:17</t>
  </si>
  <si>
    <t>17:16:17</t>
  </si>
  <si>
    <t>MPF-6297-20230710-17_14_38</t>
  </si>
  <si>
    <t>DARK-6298-20230710-17_14_45</t>
  </si>
  <si>
    <t>17:15:41</t>
  </si>
  <si>
    <t>20230710 17:18:03</t>
  </si>
  <si>
    <t>17:18:03</t>
  </si>
  <si>
    <t>MPF-6299-20230710-17_16_24</t>
  </si>
  <si>
    <t>DARK-6300-20230710-17_16_32</t>
  </si>
  <si>
    <t>17:17:29</t>
  </si>
  <si>
    <t>20230710 17:19:56</t>
  </si>
  <si>
    <t>17:19:56</t>
  </si>
  <si>
    <t>MPF-6301-20230710-17_18_17</t>
  </si>
  <si>
    <t>DARK-6302-20230710-17_18_24</t>
  </si>
  <si>
    <t>17:19:24</t>
  </si>
  <si>
    <t>20230710 17:21:35</t>
  </si>
  <si>
    <t>17:21:35</t>
  </si>
  <si>
    <t>MPF-6303-20230710-17_19_56</t>
  </si>
  <si>
    <t>DARK-6304-20230710-17_20_04</t>
  </si>
  <si>
    <t>17:21:59</t>
  </si>
  <si>
    <t>20230710 17:23:43</t>
  </si>
  <si>
    <t>17:23:43</t>
  </si>
  <si>
    <t>MPF-6305-20230710-17_22_04</t>
  </si>
  <si>
    <t>DARK-6306-20230710-17_22_11</t>
  </si>
  <si>
    <t>17:23:06</t>
  </si>
  <si>
    <t>20230710 17:30:12</t>
  </si>
  <si>
    <t>17:30:12</t>
  </si>
  <si>
    <t>MPF-6307-20230710-17_28_33</t>
  </si>
  <si>
    <t>DARK-6308-20230710-17_28_41</t>
  </si>
  <si>
    <t>17:29:25</t>
  </si>
  <si>
    <t>20230710 17:32:56</t>
  </si>
  <si>
    <t>17:32:56</t>
  </si>
  <si>
    <t>MPF-6309-20230710-17_31_17</t>
  </si>
  <si>
    <t>DARK-6310-20230710-17_31_25</t>
  </si>
  <si>
    <t>17:31:29</t>
  </si>
  <si>
    <t>20230710 17:35:42</t>
  </si>
  <si>
    <t>17:35:42</t>
  </si>
  <si>
    <t>MPF-6311-20230710-17_34_03</t>
  </si>
  <si>
    <t>DARK-6312-20230710-17_34_10</t>
  </si>
  <si>
    <t>17:34:13</t>
  </si>
  <si>
    <t>20230710 17:37:51</t>
  </si>
  <si>
    <t>17:37:51</t>
  </si>
  <si>
    <t>MPF-6313-20230710-17_36_12</t>
  </si>
  <si>
    <t>DARK-6314-20230710-17_36_20</t>
  </si>
  <si>
    <t>17:37:19</t>
  </si>
  <si>
    <t>20230710 17:39:36</t>
  </si>
  <si>
    <t>17:39:36</t>
  </si>
  <si>
    <t>MPF-6315-20230710-17_37_57</t>
  </si>
  <si>
    <t>DARK-6316-20230710-17_38_04</t>
  </si>
  <si>
    <t>17:39:03</t>
  </si>
  <si>
    <t>20230710 17:41:30</t>
  </si>
  <si>
    <t>17:41:30</t>
  </si>
  <si>
    <t>MPF-6317-20230710-17_39_51</t>
  </si>
  <si>
    <t>DARK-6318-20230710-17_39_58</t>
  </si>
  <si>
    <t>17:40:58</t>
  </si>
  <si>
    <t>20230710 17:43:56</t>
  </si>
  <si>
    <t>17:43:56</t>
  </si>
  <si>
    <t>MPF-6319-20230710-17_42_17</t>
  </si>
  <si>
    <t>DARK-6320-20230710-17_42_25</t>
  </si>
  <si>
    <t>17:43:20</t>
  </si>
  <si>
    <t>20230710 17:46:34</t>
  </si>
  <si>
    <t>17:46:34</t>
  </si>
  <si>
    <t>MPF-6321-20230710-17_44_55</t>
  </si>
  <si>
    <t>DARK-6322-20230710-17_45_03</t>
  </si>
  <si>
    <t>17:45:24</t>
  </si>
  <si>
    <t>20230710 17:49:44</t>
  </si>
  <si>
    <t>17:49:44</t>
  </si>
  <si>
    <t>MPF-6323-20230710-17_48_05</t>
  </si>
  <si>
    <t>DARK-6324-20230710-17_48_12</t>
  </si>
  <si>
    <t>17:47:49</t>
  </si>
  <si>
    <t>20230710 17:51:42</t>
  </si>
  <si>
    <t>17:51:42</t>
  </si>
  <si>
    <t>MPF-6325-20230710-17_50_03</t>
  </si>
  <si>
    <t>DARK-6326-20230710-17_50_11</t>
  </si>
  <si>
    <t>17:51:06</t>
  </si>
  <si>
    <t>20230710 17:53:47</t>
  </si>
  <si>
    <t>17:53:47</t>
  </si>
  <si>
    <t>MPF-6327-20230710-17_52_08</t>
  </si>
  <si>
    <t>DARK-6328-20230710-17_52_16</t>
  </si>
  <si>
    <t>17:53:14</t>
  </si>
  <si>
    <t>20230710 17:55:38</t>
  </si>
  <si>
    <t>17:55:38</t>
  </si>
  <si>
    <t>MPF-6329-20230710-17_53_59</t>
  </si>
  <si>
    <t>DARK-6330-20230710-17_54_06</t>
  </si>
  <si>
    <t>17:55:03</t>
  </si>
  <si>
    <t>20230710 17:57:45</t>
  </si>
  <si>
    <t>17:57:45</t>
  </si>
  <si>
    <t>MPF-6331-20230710-17_56_06</t>
  </si>
  <si>
    <t>DARK-6332-20230710-17_56_14</t>
  </si>
  <si>
    <t>17:57:15</t>
  </si>
  <si>
    <t>20230710 17:59:43</t>
  </si>
  <si>
    <t>17:59:43</t>
  </si>
  <si>
    <t>MPF-6333-20230710-17_58_04</t>
  </si>
  <si>
    <t>DARK-6334-20230710-17_58_11</t>
  </si>
  <si>
    <t>17:59:11</t>
  </si>
  <si>
    <t>20230710 18:01:57</t>
  </si>
  <si>
    <t>18:01:57</t>
  </si>
  <si>
    <t>MPF-6335-20230710-18_00_18</t>
  </si>
  <si>
    <t>DARK-6336-20230710-18_00_26</t>
  </si>
  <si>
    <t>18:01:28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</si>
</sst>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V166"/>
  <sheetViews>
    <sheetView tabSelected="1" topLeftCell="A129" workbookViewId="0"/>
  </sheetViews>
  <sheetFormatPr defaultRowHeight="15" x14ac:dyDescent="0.25"/>
  <sheetData>
    <row r="2" spans="1:282" x14ac:dyDescent="0.25">
      <c r="A2" t="s">
        <v>29</v>
      </c>
      <c r="B2" t="s">
        <v>30</v>
      </c>
      <c r="C2" t="s">
        <v>32</v>
      </c>
    </row>
    <row r="3" spans="1:282" x14ac:dyDescent="0.25">
      <c r="B3" t="s">
        <v>31</v>
      </c>
      <c r="C3">
        <v>21</v>
      </c>
    </row>
    <row r="4" spans="1:282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2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2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2" x14ac:dyDescent="0.25">
      <c r="B7">
        <v>0</v>
      </c>
      <c r="C7">
        <v>1</v>
      </c>
      <c r="D7">
        <v>0</v>
      </c>
      <c r="E7">
        <v>0</v>
      </c>
    </row>
    <row r="8" spans="1:282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2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2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2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2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86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90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91</v>
      </c>
      <c r="CX14" t="s">
        <v>92</v>
      </c>
      <c r="CY14" t="s">
        <v>92</v>
      </c>
      <c r="CZ14" t="s">
        <v>92</v>
      </c>
      <c r="DA14" t="s">
        <v>92</v>
      </c>
      <c r="DB14" t="s">
        <v>93</v>
      </c>
      <c r="DC14" t="s">
        <v>93</v>
      </c>
      <c r="DD14" t="s">
        <v>93</v>
      </c>
      <c r="DE14" t="s">
        <v>93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97</v>
      </c>
      <c r="FA14" t="s">
        <v>97</v>
      </c>
      <c r="FB14" t="s">
        <v>97</v>
      </c>
      <c r="FC14" t="s">
        <v>97</v>
      </c>
      <c r="FD14" t="s">
        <v>97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101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103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104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  <c r="JV14" t="s">
        <v>105</v>
      </c>
    </row>
    <row r="15" spans="1:282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88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192</v>
      </c>
      <c r="CK15" t="s">
        <v>172</v>
      </c>
      <c r="CL15" t="s">
        <v>193</v>
      </c>
      <c r="CM15" t="s">
        <v>194</v>
      </c>
      <c r="CN15" t="s">
        <v>195</v>
      </c>
      <c r="CO15" t="s">
        <v>146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211</v>
      </c>
      <c r="DF15" t="s">
        <v>116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107</v>
      </c>
      <c r="FF15" t="s">
        <v>110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  <c r="JV15" t="s">
        <v>381</v>
      </c>
    </row>
    <row r="16" spans="1:282" x14ac:dyDescent="0.25">
      <c r="B16" t="s">
        <v>382</v>
      </c>
      <c r="C16" t="s">
        <v>382</v>
      </c>
      <c r="F16" t="s">
        <v>382</v>
      </c>
      <c r="K16" t="s">
        <v>382</v>
      </c>
      <c r="L16" t="s">
        <v>383</v>
      </c>
      <c r="M16" t="s">
        <v>384</v>
      </c>
      <c r="N16" t="s">
        <v>385</v>
      </c>
      <c r="O16" t="s">
        <v>386</v>
      </c>
      <c r="P16" t="s">
        <v>386</v>
      </c>
      <c r="Q16" t="s">
        <v>219</v>
      </c>
      <c r="R16" t="s">
        <v>219</v>
      </c>
      <c r="S16" t="s">
        <v>383</v>
      </c>
      <c r="T16" t="s">
        <v>383</v>
      </c>
      <c r="U16" t="s">
        <v>383</v>
      </c>
      <c r="V16" t="s">
        <v>383</v>
      </c>
      <c r="W16" t="s">
        <v>387</v>
      </c>
      <c r="X16" t="s">
        <v>388</v>
      </c>
      <c r="Y16" t="s">
        <v>388</v>
      </c>
      <c r="Z16" t="s">
        <v>389</v>
      </c>
      <c r="AA16" t="s">
        <v>390</v>
      </c>
      <c r="AB16" t="s">
        <v>389</v>
      </c>
      <c r="AC16" t="s">
        <v>389</v>
      </c>
      <c r="AD16" t="s">
        <v>389</v>
      </c>
      <c r="AE16" t="s">
        <v>387</v>
      </c>
      <c r="AF16" t="s">
        <v>387</v>
      </c>
      <c r="AG16" t="s">
        <v>387</v>
      </c>
      <c r="AH16" t="s">
        <v>387</v>
      </c>
      <c r="AI16" t="s">
        <v>391</v>
      </c>
      <c r="AJ16" t="s">
        <v>390</v>
      </c>
      <c r="AL16" t="s">
        <v>390</v>
      </c>
      <c r="AM16" t="s">
        <v>391</v>
      </c>
      <c r="AS16" t="s">
        <v>385</v>
      </c>
      <c r="AZ16" t="s">
        <v>385</v>
      </c>
      <c r="BA16" t="s">
        <v>385</v>
      </c>
      <c r="BB16" t="s">
        <v>385</v>
      </c>
      <c r="BC16" t="s">
        <v>392</v>
      </c>
      <c r="BQ16" t="s">
        <v>393</v>
      </c>
      <c r="BS16" t="s">
        <v>393</v>
      </c>
      <c r="BT16" t="s">
        <v>385</v>
      </c>
      <c r="BW16" t="s">
        <v>393</v>
      </c>
      <c r="BX16" t="s">
        <v>390</v>
      </c>
      <c r="CA16" t="s">
        <v>394</v>
      </c>
      <c r="CB16" t="s">
        <v>394</v>
      </c>
      <c r="CD16" t="s">
        <v>395</v>
      </c>
      <c r="CE16" t="s">
        <v>393</v>
      </c>
      <c r="CG16" t="s">
        <v>393</v>
      </c>
      <c r="CH16" t="s">
        <v>385</v>
      </c>
      <c r="CL16" t="s">
        <v>393</v>
      </c>
      <c r="CN16" t="s">
        <v>396</v>
      </c>
      <c r="CQ16" t="s">
        <v>393</v>
      </c>
      <c r="CR16" t="s">
        <v>393</v>
      </c>
      <c r="CT16" t="s">
        <v>393</v>
      </c>
      <c r="CV16" t="s">
        <v>393</v>
      </c>
      <c r="CX16" t="s">
        <v>385</v>
      </c>
      <c r="CY16" t="s">
        <v>385</v>
      </c>
      <c r="DA16" t="s">
        <v>397</v>
      </c>
      <c r="DB16" t="s">
        <v>398</v>
      </c>
      <c r="DE16" t="s">
        <v>383</v>
      </c>
      <c r="DF16" t="s">
        <v>382</v>
      </c>
      <c r="DG16" t="s">
        <v>386</v>
      </c>
      <c r="DH16" t="s">
        <v>386</v>
      </c>
      <c r="DI16" t="s">
        <v>399</v>
      </c>
      <c r="DJ16" t="s">
        <v>399</v>
      </c>
      <c r="DK16" t="s">
        <v>386</v>
      </c>
      <c r="DL16" t="s">
        <v>399</v>
      </c>
      <c r="DM16" t="s">
        <v>391</v>
      </c>
      <c r="DN16" t="s">
        <v>389</v>
      </c>
      <c r="DO16" t="s">
        <v>389</v>
      </c>
      <c r="DP16" t="s">
        <v>388</v>
      </c>
      <c r="DQ16" t="s">
        <v>388</v>
      </c>
      <c r="DR16" t="s">
        <v>388</v>
      </c>
      <c r="DS16" t="s">
        <v>388</v>
      </c>
      <c r="DT16" t="s">
        <v>388</v>
      </c>
      <c r="DU16" t="s">
        <v>400</v>
      </c>
      <c r="DV16" t="s">
        <v>385</v>
      </c>
      <c r="DW16" t="s">
        <v>385</v>
      </c>
      <c r="DX16" t="s">
        <v>386</v>
      </c>
      <c r="DY16" t="s">
        <v>386</v>
      </c>
      <c r="DZ16" t="s">
        <v>386</v>
      </c>
      <c r="EA16" t="s">
        <v>399</v>
      </c>
      <c r="EB16" t="s">
        <v>386</v>
      </c>
      <c r="EC16" t="s">
        <v>399</v>
      </c>
      <c r="ED16" t="s">
        <v>389</v>
      </c>
      <c r="EE16" t="s">
        <v>389</v>
      </c>
      <c r="EF16" t="s">
        <v>388</v>
      </c>
      <c r="EG16" t="s">
        <v>388</v>
      </c>
      <c r="EH16" t="s">
        <v>385</v>
      </c>
      <c r="EM16" t="s">
        <v>385</v>
      </c>
      <c r="EP16" t="s">
        <v>388</v>
      </c>
      <c r="EQ16" t="s">
        <v>388</v>
      </c>
      <c r="ER16" t="s">
        <v>388</v>
      </c>
      <c r="ES16" t="s">
        <v>388</v>
      </c>
      <c r="ET16" t="s">
        <v>388</v>
      </c>
      <c r="EU16" t="s">
        <v>385</v>
      </c>
      <c r="EV16" t="s">
        <v>385</v>
      </c>
      <c r="EW16" t="s">
        <v>385</v>
      </c>
      <c r="EX16" t="s">
        <v>382</v>
      </c>
      <c r="FA16" t="s">
        <v>401</v>
      </c>
      <c r="FB16" t="s">
        <v>401</v>
      </c>
      <c r="FD16" t="s">
        <v>382</v>
      </c>
      <c r="FE16" t="s">
        <v>402</v>
      </c>
      <c r="FG16" t="s">
        <v>382</v>
      </c>
      <c r="FH16" t="s">
        <v>382</v>
      </c>
      <c r="FJ16" t="s">
        <v>403</v>
      </c>
      <c r="FK16" t="s">
        <v>404</v>
      </c>
      <c r="FL16" t="s">
        <v>403</v>
      </c>
      <c r="FM16" t="s">
        <v>404</v>
      </c>
      <c r="FN16" t="s">
        <v>403</v>
      </c>
      <c r="FO16" t="s">
        <v>404</v>
      </c>
      <c r="FP16" t="s">
        <v>390</v>
      </c>
      <c r="FQ16" t="s">
        <v>390</v>
      </c>
      <c r="FR16" t="s">
        <v>385</v>
      </c>
      <c r="FS16" t="s">
        <v>405</v>
      </c>
      <c r="FT16" t="s">
        <v>385</v>
      </c>
      <c r="FV16" t="s">
        <v>383</v>
      </c>
      <c r="FW16" t="s">
        <v>406</v>
      </c>
      <c r="FX16" t="s">
        <v>383</v>
      </c>
      <c r="GC16" t="s">
        <v>407</v>
      </c>
      <c r="GD16" t="s">
        <v>407</v>
      </c>
      <c r="GQ16" t="s">
        <v>407</v>
      </c>
      <c r="GR16" t="s">
        <v>407</v>
      </c>
      <c r="GS16" t="s">
        <v>408</v>
      </c>
      <c r="GT16" t="s">
        <v>408</v>
      </c>
      <c r="GU16" t="s">
        <v>388</v>
      </c>
      <c r="GV16" t="s">
        <v>388</v>
      </c>
      <c r="GW16" t="s">
        <v>390</v>
      </c>
      <c r="GX16" t="s">
        <v>388</v>
      </c>
      <c r="GY16" t="s">
        <v>399</v>
      </c>
      <c r="GZ16" t="s">
        <v>390</v>
      </c>
      <c r="HA16" t="s">
        <v>390</v>
      </c>
      <c r="HC16" t="s">
        <v>407</v>
      </c>
      <c r="HD16" t="s">
        <v>407</v>
      </c>
      <c r="HE16" t="s">
        <v>407</v>
      </c>
      <c r="HF16" t="s">
        <v>407</v>
      </c>
      <c r="HG16" t="s">
        <v>407</v>
      </c>
      <c r="HH16" t="s">
        <v>407</v>
      </c>
      <c r="HI16" t="s">
        <v>407</v>
      </c>
      <c r="HJ16" t="s">
        <v>409</v>
      </c>
      <c r="HK16" t="s">
        <v>409</v>
      </c>
      <c r="HL16" t="s">
        <v>409</v>
      </c>
      <c r="HM16" t="s">
        <v>410</v>
      </c>
      <c r="HN16" t="s">
        <v>407</v>
      </c>
      <c r="HO16" t="s">
        <v>407</v>
      </c>
      <c r="HP16" t="s">
        <v>407</v>
      </c>
      <c r="HQ16" t="s">
        <v>407</v>
      </c>
      <c r="HR16" t="s">
        <v>407</v>
      </c>
      <c r="HS16" t="s">
        <v>407</v>
      </c>
      <c r="HT16" t="s">
        <v>407</v>
      </c>
      <c r="HU16" t="s">
        <v>407</v>
      </c>
      <c r="HV16" t="s">
        <v>407</v>
      </c>
      <c r="HW16" t="s">
        <v>407</v>
      </c>
      <c r="HX16" t="s">
        <v>407</v>
      </c>
      <c r="HY16" t="s">
        <v>407</v>
      </c>
      <c r="IF16" t="s">
        <v>407</v>
      </c>
      <c r="IG16" t="s">
        <v>390</v>
      </c>
      <c r="IH16" t="s">
        <v>390</v>
      </c>
      <c r="II16" t="s">
        <v>403</v>
      </c>
      <c r="IJ16" t="s">
        <v>404</v>
      </c>
      <c r="IK16" t="s">
        <v>404</v>
      </c>
      <c r="IO16" t="s">
        <v>404</v>
      </c>
      <c r="IS16" t="s">
        <v>386</v>
      </c>
      <c r="IT16" t="s">
        <v>386</v>
      </c>
      <c r="IU16" t="s">
        <v>399</v>
      </c>
      <c r="IV16" t="s">
        <v>399</v>
      </c>
      <c r="IW16" t="s">
        <v>411</v>
      </c>
      <c r="IX16" t="s">
        <v>411</v>
      </c>
      <c r="IY16" t="s">
        <v>407</v>
      </c>
      <c r="IZ16" t="s">
        <v>407</v>
      </c>
      <c r="JA16" t="s">
        <v>407</v>
      </c>
      <c r="JB16" t="s">
        <v>407</v>
      </c>
      <c r="JC16" t="s">
        <v>407</v>
      </c>
      <c r="JD16" t="s">
        <v>407</v>
      </c>
      <c r="JE16" t="s">
        <v>388</v>
      </c>
      <c r="JF16" t="s">
        <v>407</v>
      </c>
      <c r="JH16" t="s">
        <v>391</v>
      </c>
      <c r="JI16" t="s">
        <v>391</v>
      </c>
      <c r="JJ16" t="s">
        <v>388</v>
      </c>
      <c r="JK16" t="s">
        <v>388</v>
      </c>
      <c r="JL16" t="s">
        <v>388</v>
      </c>
      <c r="JM16" t="s">
        <v>388</v>
      </c>
      <c r="JN16" t="s">
        <v>388</v>
      </c>
      <c r="JO16" t="s">
        <v>390</v>
      </c>
      <c r="JP16" t="s">
        <v>390</v>
      </c>
      <c r="JQ16" t="s">
        <v>390</v>
      </c>
      <c r="JR16" t="s">
        <v>388</v>
      </c>
      <c r="JS16" t="s">
        <v>386</v>
      </c>
      <c r="JT16" t="s">
        <v>399</v>
      </c>
      <c r="JU16" t="s">
        <v>390</v>
      </c>
      <c r="JV16" t="s">
        <v>390</v>
      </c>
    </row>
    <row r="17" spans="1:282" x14ac:dyDescent="0.25">
      <c r="A17">
        <v>1</v>
      </c>
      <c r="B17">
        <v>1688999822.5999999</v>
      </c>
      <c r="C17">
        <v>0</v>
      </c>
      <c r="D17" t="s">
        <v>412</v>
      </c>
      <c r="E17" t="s">
        <v>413</v>
      </c>
      <c r="F17" t="s">
        <v>414</v>
      </c>
      <c r="G17" t="s">
        <v>415</v>
      </c>
      <c r="H17" t="s">
        <v>416</v>
      </c>
      <c r="I17" t="s">
        <v>417</v>
      </c>
      <c r="J17" t="s">
        <v>418</v>
      </c>
      <c r="K17">
        <v>1688999822.5999999</v>
      </c>
      <c r="L17">
        <f t="shared" ref="L17:L48" si="0">(M17)/1000</f>
        <v>4.6930426663117008E-3</v>
      </c>
      <c r="M17">
        <f t="shared" ref="M17:M48" si="1">1000*DM17*AK17*(DI17-DJ17)/(100*DB17*(1000-AK17*DI17))</f>
        <v>4.6930426663117011</v>
      </c>
      <c r="N17">
        <f t="shared" ref="N17:N48" si="2">DM17*AK17*(DH17-DG17*(1000-AK17*DJ17)/(1000-AK17*DI17))/(100*DB17)</f>
        <v>45.941838004527057</v>
      </c>
      <c r="O17">
        <f t="shared" ref="O17:O48" si="3">DG17 - IF(AK17&gt;1, N17*DB17*100/(AM17*DU17), 0)</f>
        <v>342.928</v>
      </c>
      <c r="P17">
        <f t="shared" ref="P17:P48" si="4">((V17-L17/2)*O17-N17)/(V17+L17/2)</f>
        <v>120.16551383333949</v>
      </c>
      <c r="Q17">
        <f t="shared" ref="Q17:Q48" si="5">P17*(DN17+DO17)/1000</f>
        <v>11.920055423521726</v>
      </c>
      <c r="R17">
        <f t="shared" ref="R17:R48" si="6">(DG17 - IF(AK17&gt;1, N17*DB17*100/(AM17*DU17), 0))*(DN17+DO17)/1000</f>
        <v>34.017420105628801</v>
      </c>
      <c r="S17">
        <f t="shared" ref="S17:S48" si="7">2/((1/U17-1/T17)+SIGN(U17)*SQRT((1/U17-1/T17)*(1/U17-1/T17) + 4*DC17/((DC17+1)*(DC17+1))*(2*1/U17*1/T17-1/T17*1/T17)))</f>
        <v>0.35736286840168247</v>
      </c>
      <c r="T17">
        <f t="shared" ref="T17:T48" si="8">IF(LEFT(DD17,1)&lt;&gt;"0",IF(LEFT(DD17,1)="1",3,DE17),$D$5+$E$5*(DU17*DN17/($K$5*1000))+$F$5*(DU17*DN17/($K$5*1000))*MAX(MIN(DB17,$J$5),$I$5)*MAX(MIN(DB17,$J$5),$I$5)+$G$5*MAX(MIN(DB17,$J$5),$I$5)*(DU17*DN17/($K$5*1000))+$H$5*(DU17*DN17/($K$5*1000))*(DU17*DN17/($K$5*1000)))</f>
        <v>2.9197855005613733</v>
      </c>
      <c r="U17">
        <f t="shared" ref="U17:U48" si="9">L17*(1000-(1000*0.61365*EXP(17.502*Y17/(240.97+Y17))/(DN17+DO17)+DI17)/2)/(1000*0.61365*EXP(17.502*Y17/(240.97+Y17))/(DN17+DO17)-DI17)</f>
        <v>0.33472049633018086</v>
      </c>
      <c r="V17">
        <f t="shared" ref="V17:V48" si="10">1/((DC17+1)/(S17/1.6)+1/(T17/1.37)) + DC17/((DC17+1)/(S17/1.6) + DC17/(T17/1.37))</f>
        <v>0.21111497552060252</v>
      </c>
      <c r="W17">
        <f t="shared" ref="W17:W48" si="11">(CX17*DA17)</f>
        <v>289.54470532653858</v>
      </c>
      <c r="X17">
        <f t="shared" ref="X17:X48" si="12">(DP17+(W17+2*0.95*0.0000000567*(((DP17+$B$7)+273)^4-(DP17+273)^4)-44100*L17)/(1.84*29.3*T17+8*0.95*0.0000000567*(DP17+273)^3))</f>
        <v>31.307816627735512</v>
      </c>
      <c r="Y17">
        <f t="shared" ref="Y17:Y48" si="13">($C$7*DQ17+$D$7*DR17+$E$7*X17)</f>
        <v>29.981100000000001</v>
      </c>
      <c r="Z17">
        <f t="shared" ref="Z17:Z48" si="14">0.61365*EXP(17.502*Y17/(240.97+Y17))</f>
        <v>4.2558268133249895</v>
      </c>
      <c r="AA17">
        <f t="shared" ref="AA17:AA48" si="15">(AB17/AC17*100)</f>
        <v>65.285441020543345</v>
      </c>
      <c r="AB17">
        <f t="shared" ref="AB17:AB48" si="16">DI17*(DN17+DO17)/1000</f>
        <v>2.91528004712448</v>
      </c>
      <c r="AC17">
        <f t="shared" ref="AC17:AC48" si="17">0.61365*EXP(17.502*DP17/(240.97+DP17))</f>
        <v>4.4654367061825164</v>
      </c>
      <c r="AD17">
        <f t="shared" ref="AD17:AD48" si="18">(Z17-DI17*(DN17+DO17)/1000)</f>
        <v>1.3405467662005095</v>
      </c>
      <c r="AE17">
        <f t="shared" ref="AE17:AE48" si="19">(-L17*44100)</f>
        <v>-206.96318158434602</v>
      </c>
      <c r="AF17">
        <f t="shared" ref="AF17:AF48" si="20">2*29.3*T17*0.92*(DP17-Y17)</f>
        <v>132.14693402330889</v>
      </c>
      <c r="AG17">
        <f t="shared" ref="AG17:AG48" si="21">2*0.95*0.0000000567*(((DP17+$B$7)+273)^4-(Y17+273)^4)</f>
        <v>10.103423614246704</v>
      </c>
      <c r="AH17">
        <f t="shared" ref="AH17:AH48" si="22">W17+AG17+AE17+AF17</f>
        <v>224.83188137974815</v>
      </c>
      <c r="AI17">
        <v>0</v>
      </c>
      <c r="AJ17">
        <v>0</v>
      </c>
      <c r="AK17">
        <f t="shared" ref="AK17:AK48" si="23">IF(AI17*$H$13&gt;=AM17,1,(AM17/(AM17-AI17*$H$13)))</f>
        <v>1</v>
      </c>
      <c r="AL17">
        <f t="shared" ref="AL17:AL48" si="24">(AK17-1)*100</f>
        <v>0</v>
      </c>
      <c r="AM17">
        <f t="shared" ref="AM17:AM48" si="25">MAX(0,($B$13+$C$13*DU17)/(1+$D$13*DU17)*DN17/(DP17+273)*$E$13)</f>
        <v>51914.671323260358</v>
      </c>
      <c r="AN17" t="s">
        <v>419</v>
      </c>
      <c r="AO17">
        <v>9967.0300000000007</v>
      </c>
      <c r="AP17">
        <v>178.94153846153841</v>
      </c>
      <c r="AQ17">
        <v>603.15</v>
      </c>
      <c r="AR17">
        <f t="shared" ref="AR17:AR48" si="26">1-AP17/AQ17</f>
        <v>0.7033216638290003</v>
      </c>
      <c r="AS17">
        <v>-3.2649104154664181</v>
      </c>
      <c r="AT17" t="s">
        <v>420</v>
      </c>
      <c r="AU17">
        <v>8044.63</v>
      </c>
      <c r="AV17">
        <v>648.97611538461547</v>
      </c>
      <c r="AW17">
        <v>1022.159875142431</v>
      </c>
      <c r="AX17">
        <f t="shared" ref="AX17:AX48" si="27">1-AV17/AW17</f>
        <v>0.36509333699467994</v>
      </c>
      <c r="AY17">
        <v>0.5</v>
      </c>
      <c r="AZ17">
        <f t="shared" ref="AZ17:AZ48" si="28">CY17</f>
        <v>1513.0673996510559</v>
      </c>
      <c r="BA17">
        <f t="shared" ref="BA17:BA48" si="29">N17</f>
        <v>45.941838004527057</v>
      </c>
      <c r="BB17">
        <f t="shared" ref="BB17:BB48" si="30">AX17*AY17*AZ17</f>
        <v>276.20541301823351</v>
      </c>
      <c r="BC17">
        <f t="shared" ref="BC17:BC48" si="31">(BA17-AS17)/AZ17</f>
        <v>3.2521187378263219E-2</v>
      </c>
      <c r="BD17">
        <f t="shared" ref="BD17:BD48" si="32">(AQ17-AW17)/AW17</f>
        <v>-0.40992596689832389</v>
      </c>
      <c r="BE17">
        <f t="shared" ref="BE17:BE48" si="33">AP17/(AR17+AP17/AW17)</f>
        <v>203.71679105694622</v>
      </c>
      <c r="BF17" t="s">
        <v>421</v>
      </c>
      <c r="BG17">
        <v>512.47</v>
      </c>
      <c r="BH17">
        <f t="shared" ref="BH17:BH48" si="34">IF(BG17&lt;&gt;0, BG17, BE17)</f>
        <v>512.47</v>
      </c>
      <c r="BI17">
        <f t="shared" ref="BI17:BI48" si="35">1-BH17/AW17</f>
        <v>0.49864007337541905</v>
      </c>
      <c r="BJ17">
        <f t="shared" ref="BJ17:BJ48" si="36">(AW17-AV17)/(AW17-BH17)</f>
        <v>0.73217809094899267</v>
      </c>
      <c r="BK17">
        <f t="shared" ref="BK17:BK48" si="37">(AQ17-AW17)/(AQ17-BH17)</f>
        <v>-4.6207529239350604</v>
      </c>
      <c r="BL17">
        <f t="shared" ref="BL17:BL48" si="38">(AW17-AV17)/(AW17-AP17)</f>
        <v>0.44257073586273671</v>
      </c>
      <c r="BM17">
        <f t="shared" ref="BM17:BM48" si="39">(AQ17-AW17)/(AQ17-AP17)</f>
        <v>-0.98774520815266864</v>
      </c>
      <c r="BN17">
        <f t="shared" ref="BN17:BN48" si="40">(BJ17*BH17/AV17)</f>
        <v>0.57817121057876952</v>
      </c>
      <c r="BO17">
        <f t="shared" ref="BO17:BO48" si="41">(1-BN17)</f>
        <v>0.42182878942123048</v>
      </c>
      <c r="BP17">
        <v>6037</v>
      </c>
      <c r="BQ17">
        <v>290.00000000000011</v>
      </c>
      <c r="BR17">
        <v>900.25</v>
      </c>
      <c r="BS17">
        <v>295</v>
      </c>
      <c r="BT17">
        <v>8044.63</v>
      </c>
      <c r="BU17">
        <v>903.23</v>
      </c>
      <c r="BV17">
        <v>-2.98</v>
      </c>
      <c r="BW17">
        <v>300.00000000000011</v>
      </c>
      <c r="BX17">
        <v>19.399999999999999</v>
      </c>
      <c r="BY17">
        <v>1022.159875142431</v>
      </c>
      <c r="BZ17">
        <v>5.6399032277150631</v>
      </c>
      <c r="CA17">
        <v>-95.676501756505502</v>
      </c>
      <c r="CB17">
        <v>4.1678772303650398</v>
      </c>
      <c r="CC17">
        <v>0.94954625401276782</v>
      </c>
      <c r="CD17">
        <v>-4.1528173526140227E-3</v>
      </c>
      <c r="CE17">
        <v>289.99999999999989</v>
      </c>
      <c r="CF17">
        <v>897.65</v>
      </c>
      <c r="CG17">
        <v>675</v>
      </c>
      <c r="CH17">
        <v>8034.04</v>
      </c>
      <c r="CI17">
        <v>903.07</v>
      </c>
      <c r="CJ17">
        <v>-5.42</v>
      </c>
      <c r="CX17">
        <f t="shared" ref="CX17:CX48" si="42">$B$11*DV17+$C$11*DW17+$F$11*EH17*(1-EK17)</f>
        <v>1799.86</v>
      </c>
      <c r="CY17">
        <f t="shared" ref="CY17:CY48" si="43">CX17*CZ17</f>
        <v>1513.0673996510559</v>
      </c>
      <c r="CZ17">
        <f t="shared" ref="CZ17:CZ48" si="44">($B$11*$D$9+$C$11*$D$9+$F$11*((EU17+EM17)/MAX(EU17+EM17+EV17, 0.1)*$I$9+EV17/MAX(EU17+EM17+EV17, 0.1)*$J$9))/($B$11+$C$11+$F$11)</f>
        <v>0.84065838434714701</v>
      </c>
      <c r="DA17">
        <f t="shared" ref="DA17:DA48" si="45">($B$11*$K$9+$C$11*$K$9+$F$11*((EU17+EM17)/MAX(EU17+EM17+EV17, 0.1)*$P$9+EV17/MAX(EU17+EM17+EV17, 0.1)*$Q$9))/($B$11+$C$11+$F$11)</f>
        <v>0.160870681789994</v>
      </c>
      <c r="DB17">
        <v>6</v>
      </c>
      <c r="DC17">
        <v>0.5</v>
      </c>
      <c r="DD17" t="s">
        <v>422</v>
      </c>
      <c r="DE17">
        <v>2</v>
      </c>
      <c r="DF17">
        <v>1688999822.5999999</v>
      </c>
      <c r="DG17">
        <v>342.928</v>
      </c>
      <c r="DH17">
        <v>399.98899999999998</v>
      </c>
      <c r="DI17">
        <v>29.3888</v>
      </c>
      <c r="DJ17">
        <v>23.922699999999999</v>
      </c>
      <c r="DK17">
        <v>343.71100000000001</v>
      </c>
      <c r="DL17">
        <v>29.345099999999999</v>
      </c>
      <c r="DM17">
        <v>500.00400000000002</v>
      </c>
      <c r="DN17">
        <v>99.0976</v>
      </c>
      <c r="DO17">
        <v>9.9374599999999993E-2</v>
      </c>
      <c r="DP17">
        <v>30.820599999999999</v>
      </c>
      <c r="DQ17">
        <v>29.981100000000001</v>
      </c>
      <c r="DR17">
        <v>999.9</v>
      </c>
      <c r="DS17">
        <v>0</v>
      </c>
      <c r="DT17">
        <v>0</v>
      </c>
      <c r="DU17">
        <v>10035</v>
      </c>
      <c r="DV17">
        <v>0</v>
      </c>
      <c r="DW17">
        <v>1196.0899999999999</v>
      </c>
      <c r="DX17">
        <v>-57.0608</v>
      </c>
      <c r="DY17">
        <v>353.31099999999998</v>
      </c>
      <c r="DZ17">
        <v>409.79199999999997</v>
      </c>
      <c r="EA17">
        <v>5.4660799999999998</v>
      </c>
      <c r="EB17">
        <v>399.98899999999998</v>
      </c>
      <c r="EC17">
        <v>23.922699999999999</v>
      </c>
      <c r="ED17">
        <v>2.9123600000000001</v>
      </c>
      <c r="EE17">
        <v>2.3706800000000001</v>
      </c>
      <c r="EF17">
        <v>23.5351</v>
      </c>
      <c r="EG17">
        <v>20.164899999999999</v>
      </c>
      <c r="EH17">
        <v>1799.86</v>
      </c>
      <c r="EI17">
        <v>0.97799400000000003</v>
      </c>
      <c r="EJ17">
        <v>2.2006299999999999E-2</v>
      </c>
      <c r="EK17">
        <v>0</v>
      </c>
      <c r="EL17">
        <v>649.28599999999994</v>
      </c>
      <c r="EM17">
        <v>5.0005300000000004</v>
      </c>
      <c r="EN17">
        <v>13781</v>
      </c>
      <c r="EO17">
        <v>16034</v>
      </c>
      <c r="EP17">
        <v>50.436999999999998</v>
      </c>
      <c r="EQ17">
        <v>50.875</v>
      </c>
      <c r="ER17">
        <v>50.75</v>
      </c>
      <c r="ES17">
        <v>51.5</v>
      </c>
      <c r="ET17">
        <v>51.75</v>
      </c>
      <c r="EU17">
        <v>1755.36</v>
      </c>
      <c r="EV17">
        <v>39.5</v>
      </c>
      <c r="EW17">
        <v>0</v>
      </c>
      <c r="EX17">
        <v>1688999847.4000001</v>
      </c>
      <c r="EY17">
        <v>0</v>
      </c>
      <c r="EZ17">
        <v>648.97611538461547</v>
      </c>
      <c r="FA17">
        <v>2.161128197236724</v>
      </c>
      <c r="FB17">
        <v>-86.882051000796665</v>
      </c>
      <c r="FC17">
        <v>13777.81923076923</v>
      </c>
      <c r="FD17">
        <v>15</v>
      </c>
      <c r="FE17">
        <v>1688999790.5999999</v>
      </c>
      <c r="FF17" t="s">
        <v>423</v>
      </c>
      <c r="FG17">
        <v>1688999783.0999999</v>
      </c>
      <c r="FH17">
        <v>1688999790.5999999</v>
      </c>
      <c r="FI17">
        <v>3</v>
      </c>
      <c r="FJ17">
        <v>0.14099999999999999</v>
      </c>
      <c r="FK17">
        <v>0</v>
      </c>
      <c r="FL17">
        <v>-0.78600000000000003</v>
      </c>
      <c r="FM17">
        <v>3.4000000000000002E-2</v>
      </c>
      <c r="FN17">
        <v>400</v>
      </c>
      <c r="FO17">
        <v>24</v>
      </c>
      <c r="FP17">
        <v>0.09</v>
      </c>
      <c r="FQ17">
        <v>0.02</v>
      </c>
      <c r="FR17">
        <v>45.983588330650569</v>
      </c>
      <c r="FS17">
        <v>-0.56714433282458021</v>
      </c>
      <c r="FT17">
        <v>4.9995616509498977E-2</v>
      </c>
      <c r="FU17">
        <v>1</v>
      </c>
      <c r="FV17">
        <v>0.36034734716367312</v>
      </c>
      <c r="FW17">
        <v>4.0085372797736538E-2</v>
      </c>
      <c r="FX17">
        <v>3.9565570382636833E-3</v>
      </c>
      <c r="FY17">
        <v>1</v>
      </c>
      <c r="FZ17">
        <v>2</v>
      </c>
      <c r="GA17">
        <v>2</v>
      </c>
      <c r="GB17" t="s">
        <v>424</v>
      </c>
      <c r="GC17">
        <v>3.1181199999999998</v>
      </c>
      <c r="GD17">
        <v>2.7669800000000002</v>
      </c>
      <c r="GE17">
        <v>7.9037099999999999E-2</v>
      </c>
      <c r="GF17">
        <v>8.9029700000000003E-2</v>
      </c>
      <c r="GG17">
        <v>0.123569</v>
      </c>
      <c r="GH17">
        <v>0.107352</v>
      </c>
      <c r="GI17">
        <v>22051.3</v>
      </c>
      <c r="GJ17">
        <v>22535.8</v>
      </c>
      <c r="GK17">
        <v>23800.2</v>
      </c>
      <c r="GL17">
        <v>25043.7</v>
      </c>
      <c r="GM17">
        <v>30052.1</v>
      </c>
      <c r="GN17">
        <v>31349.5</v>
      </c>
      <c r="GO17">
        <v>37923.599999999999</v>
      </c>
      <c r="GP17">
        <v>38955.300000000003</v>
      </c>
      <c r="GQ17">
        <v>2.1556500000000001</v>
      </c>
      <c r="GR17">
        <v>1.8161</v>
      </c>
      <c r="GS17">
        <v>4.7914699999999998E-2</v>
      </c>
      <c r="GT17">
        <v>0</v>
      </c>
      <c r="GU17">
        <v>29.200900000000001</v>
      </c>
      <c r="GV17">
        <v>999.9</v>
      </c>
      <c r="GW17">
        <v>61.2</v>
      </c>
      <c r="GX17">
        <v>34.4</v>
      </c>
      <c r="GY17">
        <v>33.740900000000003</v>
      </c>
      <c r="GZ17">
        <v>60.579799999999999</v>
      </c>
      <c r="HA17">
        <v>26.999199999999998</v>
      </c>
      <c r="HB17">
        <v>1</v>
      </c>
      <c r="HC17">
        <v>0.48319600000000001</v>
      </c>
      <c r="HD17">
        <v>1.59246</v>
      </c>
      <c r="HE17">
        <v>20.314800000000002</v>
      </c>
      <c r="HF17">
        <v>5.2487399999999997</v>
      </c>
      <c r="HG17">
        <v>12.0099</v>
      </c>
      <c r="HH17">
        <v>4.9782000000000002</v>
      </c>
      <c r="HI17">
        <v>3.2924799999999999</v>
      </c>
      <c r="HJ17">
        <v>9999</v>
      </c>
      <c r="HK17">
        <v>9999</v>
      </c>
      <c r="HL17">
        <v>9999</v>
      </c>
      <c r="HM17">
        <v>231.4</v>
      </c>
      <c r="HN17">
        <v>1.87575</v>
      </c>
      <c r="HO17">
        <v>1.8766799999999999</v>
      </c>
      <c r="HP17">
        <v>1.88283</v>
      </c>
      <c r="HQ17">
        <v>1.8859900000000001</v>
      </c>
      <c r="HR17">
        <v>1.87683</v>
      </c>
      <c r="HS17">
        <v>1.88337</v>
      </c>
      <c r="HT17">
        <v>1.8823099999999999</v>
      </c>
      <c r="HU17">
        <v>1.8857900000000001</v>
      </c>
      <c r="HV17">
        <v>0</v>
      </c>
      <c r="HW17">
        <v>0</v>
      </c>
      <c r="HX17">
        <v>0</v>
      </c>
      <c r="HY17">
        <v>0</v>
      </c>
      <c r="HZ17" t="s">
        <v>425</v>
      </c>
      <c r="IA17" t="s">
        <v>426</v>
      </c>
      <c r="IB17" t="s">
        <v>427</v>
      </c>
      <c r="IC17" t="s">
        <v>427</v>
      </c>
      <c r="ID17" t="s">
        <v>427</v>
      </c>
      <c r="IE17" t="s">
        <v>427</v>
      </c>
      <c r="IF17">
        <v>0</v>
      </c>
      <c r="IG17">
        <v>100</v>
      </c>
      <c r="IH17">
        <v>100</v>
      </c>
      <c r="II17">
        <v>-0.78300000000000003</v>
      </c>
      <c r="IJ17">
        <v>4.3700000000000003E-2</v>
      </c>
      <c r="IK17">
        <v>-0.70114350876062792</v>
      </c>
      <c r="IL17">
        <v>-4.2852564239613137E-4</v>
      </c>
      <c r="IM17">
        <v>6.4980710991155998E-7</v>
      </c>
      <c r="IN17">
        <v>-2.7237938963984961E-10</v>
      </c>
      <c r="IO17">
        <v>-1.7664091171223899E-2</v>
      </c>
      <c r="IP17">
        <v>6.6907473102813496E-3</v>
      </c>
      <c r="IQ17">
        <v>-3.3673306238274028E-4</v>
      </c>
      <c r="IR17">
        <v>6.1311374003140313E-6</v>
      </c>
      <c r="IS17">
        <v>3</v>
      </c>
      <c r="IT17">
        <v>2101</v>
      </c>
      <c r="IU17">
        <v>1</v>
      </c>
      <c r="IV17">
        <v>32</v>
      </c>
      <c r="IW17">
        <v>0.7</v>
      </c>
      <c r="IX17">
        <v>0.5</v>
      </c>
      <c r="IY17">
        <v>0.99975599999999998</v>
      </c>
      <c r="IZ17">
        <v>2.65259</v>
      </c>
      <c r="JA17">
        <v>1.6015600000000001</v>
      </c>
      <c r="JB17">
        <v>2.33887</v>
      </c>
      <c r="JC17">
        <v>1.5502899999999999</v>
      </c>
      <c r="JD17">
        <v>2.2839399999999999</v>
      </c>
      <c r="JE17">
        <v>40.989600000000003</v>
      </c>
      <c r="JF17">
        <v>23.982399999999998</v>
      </c>
      <c r="JG17">
        <v>18</v>
      </c>
      <c r="JH17">
        <v>594.66800000000001</v>
      </c>
      <c r="JI17">
        <v>429.96</v>
      </c>
      <c r="JJ17">
        <v>28.1843</v>
      </c>
      <c r="JK17">
        <v>33.167200000000001</v>
      </c>
      <c r="JL17">
        <v>30.000399999999999</v>
      </c>
      <c r="JM17">
        <v>33.143300000000004</v>
      </c>
      <c r="JN17">
        <v>33.124099999999999</v>
      </c>
      <c r="JO17">
        <v>20.001799999999999</v>
      </c>
      <c r="JP17">
        <v>40.409300000000002</v>
      </c>
      <c r="JQ17">
        <v>44.827399999999997</v>
      </c>
      <c r="JR17">
        <v>28.239799999999999</v>
      </c>
      <c r="JS17">
        <v>400</v>
      </c>
      <c r="JT17">
        <v>23.979199999999999</v>
      </c>
      <c r="JU17">
        <v>98.929400000000001</v>
      </c>
      <c r="JV17">
        <v>98.601699999999994</v>
      </c>
    </row>
    <row r="18" spans="1:282" x14ac:dyDescent="0.25">
      <c r="A18">
        <v>2</v>
      </c>
      <c r="B18">
        <v>1688999948.5999999</v>
      </c>
      <c r="C18">
        <v>126</v>
      </c>
      <c r="D18" t="s">
        <v>428</v>
      </c>
      <c r="E18" t="s">
        <v>429</v>
      </c>
      <c r="F18" t="s">
        <v>414</v>
      </c>
      <c r="G18" t="s">
        <v>415</v>
      </c>
      <c r="H18" t="s">
        <v>416</v>
      </c>
      <c r="I18" t="s">
        <v>417</v>
      </c>
      <c r="J18" t="s">
        <v>418</v>
      </c>
      <c r="K18">
        <v>1688999948.5999999</v>
      </c>
      <c r="L18">
        <f t="shared" si="0"/>
        <v>4.8678770358218607E-3</v>
      </c>
      <c r="M18">
        <f t="shared" si="1"/>
        <v>4.867877035821861</v>
      </c>
      <c r="N18">
        <f t="shared" si="2"/>
        <v>38.2690112666833</v>
      </c>
      <c r="O18">
        <f t="shared" si="3"/>
        <v>252.613</v>
      </c>
      <c r="P18">
        <f t="shared" si="4"/>
        <v>79.811160255798796</v>
      </c>
      <c r="Q18">
        <f t="shared" si="5"/>
        <v>7.9175383196411371</v>
      </c>
      <c r="R18">
        <f t="shared" si="6"/>
        <v>25.060068054757895</v>
      </c>
      <c r="S18">
        <f t="shared" si="7"/>
        <v>0.38439669050574238</v>
      </c>
      <c r="T18">
        <f t="shared" si="8"/>
        <v>2.917941669204505</v>
      </c>
      <c r="U18">
        <f t="shared" si="9"/>
        <v>0.35831774300972169</v>
      </c>
      <c r="V18">
        <f t="shared" si="10"/>
        <v>0.22614406937137627</v>
      </c>
      <c r="W18">
        <f t="shared" si="11"/>
        <v>289.53832132652366</v>
      </c>
      <c r="X18">
        <f t="shared" si="12"/>
        <v>31.288941120003535</v>
      </c>
      <c r="Y18">
        <f t="shared" si="13"/>
        <v>29.9285</v>
      </c>
      <c r="Z18">
        <f t="shared" si="14"/>
        <v>4.2429838066522949</v>
      </c>
      <c r="AA18">
        <f t="shared" si="15"/>
        <v>65.831306009416409</v>
      </c>
      <c r="AB18">
        <f t="shared" si="16"/>
        <v>2.9440890123685897</v>
      </c>
      <c r="AC18">
        <f t="shared" si="17"/>
        <v>4.4721716624419878</v>
      </c>
      <c r="AD18">
        <f t="shared" si="18"/>
        <v>1.2988947942837052</v>
      </c>
      <c r="AE18">
        <f t="shared" si="19"/>
        <v>-214.67337727974405</v>
      </c>
      <c r="AF18">
        <f t="shared" si="20"/>
        <v>144.49113746163604</v>
      </c>
      <c r="AG18">
        <f t="shared" si="21"/>
        <v>11.052764848836354</v>
      </c>
      <c r="AH18">
        <f t="shared" si="22"/>
        <v>230.40884635725203</v>
      </c>
      <c r="AI18">
        <v>0</v>
      </c>
      <c r="AJ18">
        <v>0</v>
      </c>
      <c r="AK18">
        <f t="shared" si="23"/>
        <v>1</v>
      </c>
      <c r="AL18">
        <f t="shared" si="24"/>
        <v>0</v>
      </c>
      <c r="AM18">
        <f t="shared" si="25"/>
        <v>51857.928336865865</v>
      </c>
      <c r="AN18" t="s">
        <v>419</v>
      </c>
      <c r="AO18">
        <v>9967.0300000000007</v>
      </c>
      <c r="AP18">
        <v>178.94153846153841</v>
      </c>
      <c r="AQ18">
        <v>603.15</v>
      </c>
      <c r="AR18">
        <f t="shared" si="26"/>
        <v>0.7033216638290003</v>
      </c>
      <c r="AS18">
        <v>-3.2649104154664181</v>
      </c>
      <c r="AT18" t="s">
        <v>430</v>
      </c>
      <c r="AU18">
        <v>8044.01</v>
      </c>
      <c r="AV18">
        <v>627.45873076923078</v>
      </c>
      <c r="AW18">
        <v>935.73966844063227</v>
      </c>
      <c r="AX18">
        <f t="shared" si="27"/>
        <v>0.32945160718166167</v>
      </c>
      <c r="AY18">
        <v>0.5</v>
      </c>
      <c r="AZ18">
        <f t="shared" si="28"/>
        <v>1513.0337996510482</v>
      </c>
      <c r="BA18">
        <f t="shared" si="29"/>
        <v>38.2690112666833</v>
      </c>
      <c r="BB18">
        <f t="shared" si="30"/>
        <v>249.23570850760706</v>
      </c>
      <c r="BC18">
        <f t="shared" si="31"/>
        <v>2.7450756018622128E-2</v>
      </c>
      <c r="BD18">
        <f t="shared" si="32"/>
        <v>-0.35542969872686697</v>
      </c>
      <c r="BE18">
        <f t="shared" si="33"/>
        <v>200.03487421694726</v>
      </c>
      <c r="BF18" t="s">
        <v>431</v>
      </c>
      <c r="BG18">
        <v>497.64</v>
      </c>
      <c r="BH18">
        <f t="shared" si="34"/>
        <v>497.64</v>
      </c>
      <c r="BI18">
        <f t="shared" si="35"/>
        <v>0.46818541867601438</v>
      </c>
      <c r="BJ18">
        <f t="shared" si="36"/>
        <v>0.70367763292013819</v>
      </c>
      <c r="BK18">
        <f t="shared" si="37"/>
        <v>-3.1522099179284648</v>
      </c>
      <c r="BL18">
        <f t="shared" si="38"/>
        <v>0.40734896858151276</v>
      </c>
      <c r="BM18">
        <f t="shared" si="39"/>
        <v>-0.7840241263327028</v>
      </c>
      <c r="BN18">
        <f t="shared" si="40"/>
        <v>0.55808951262352813</v>
      </c>
      <c r="BO18">
        <f t="shared" si="41"/>
        <v>0.44191048737647187</v>
      </c>
      <c r="BP18">
        <v>6039</v>
      </c>
      <c r="BQ18">
        <v>290.00000000000011</v>
      </c>
      <c r="BR18">
        <v>830.16</v>
      </c>
      <c r="BS18">
        <v>285</v>
      </c>
      <c r="BT18">
        <v>8044.01</v>
      </c>
      <c r="BU18">
        <v>832.34</v>
      </c>
      <c r="BV18">
        <v>-2.1800000000000002</v>
      </c>
      <c r="BW18">
        <v>300.00000000000011</v>
      </c>
      <c r="BX18">
        <v>19.399999999999999</v>
      </c>
      <c r="BY18">
        <v>935.73966844063227</v>
      </c>
      <c r="BZ18">
        <v>3.18377151962732</v>
      </c>
      <c r="CA18">
        <v>-83.172652268328889</v>
      </c>
      <c r="CB18">
        <v>2.352614972249397</v>
      </c>
      <c r="CC18">
        <v>0.97808826873527721</v>
      </c>
      <c r="CD18">
        <v>-4.1523401557285976E-3</v>
      </c>
      <c r="CE18">
        <v>289.99999999999989</v>
      </c>
      <c r="CF18">
        <v>828.17</v>
      </c>
      <c r="CG18">
        <v>695</v>
      </c>
      <c r="CH18">
        <v>8032.78</v>
      </c>
      <c r="CI18">
        <v>832.2</v>
      </c>
      <c r="CJ18">
        <v>-4.03</v>
      </c>
      <c r="CX18">
        <f t="shared" si="42"/>
        <v>1799.82</v>
      </c>
      <c r="CY18">
        <f t="shared" si="43"/>
        <v>1513.0337996510482</v>
      </c>
      <c r="CZ18">
        <f t="shared" si="44"/>
        <v>0.84065839897936923</v>
      </c>
      <c r="DA18">
        <f t="shared" si="45"/>
        <v>0.16087071003018283</v>
      </c>
      <c r="DB18">
        <v>6</v>
      </c>
      <c r="DC18">
        <v>0.5</v>
      </c>
      <c r="DD18" t="s">
        <v>422</v>
      </c>
      <c r="DE18">
        <v>2</v>
      </c>
      <c r="DF18">
        <v>1688999948.5999999</v>
      </c>
      <c r="DG18">
        <v>252.613</v>
      </c>
      <c r="DH18">
        <v>300.01400000000001</v>
      </c>
      <c r="DI18">
        <v>29.677299999999999</v>
      </c>
      <c r="DJ18">
        <v>24.008900000000001</v>
      </c>
      <c r="DK18">
        <v>253.101</v>
      </c>
      <c r="DL18">
        <v>29.636299999999999</v>
      </c>
      <c r="DM18">
        <v>499.97300000000001</v>
      </c>
      <c r="DN18">
        <v>99.103899999999996</v>
      </c>
      <c r="DO18">
        <v>9.9498299999999998E-2</v>
      </c>
      <c r="DP18">
        <v>30.847000000000001</v>
      </c>
      <c r="DQ18">
        <v>29.9285</v>
      </c>
      <c r="DR18">
        <v>999.9</v>
      </c>
      <c r="DS18">
        <v>0</v>
      </c>
      <c r="DT18">
        <v>0</v>
      </c>
      <c r="DU18">
        <v>10023.799999999999</v>
      </c>
      <c r="DV18">
        <v>0</v>
      </c>
      <c r="DW18">
        <v>1209.8800000000001</v>
      </c>
      <c r="DX18">
        <v>-47.400500000000001</v>
      </c>
      <c r="DY18">
        <v>260.33999999999997</v>
      </c>
      <c r="DZ18">
        <v>307.39400000000001</v>
      </c>
      <c r="EA18">
        <v>5.6683199999999996</v>
      </c>
      <c r="EB18">
        <v>300.01400000000001</v>
      </c>
      <c r="EC18">
        <v>24.008900000000001</v>
      </c>
      <c r="ED18">
        <v>2.9411299999999998</v>
      </c>
      <c r="EE18">
        <v>2.3793799999999998</v>
      </c>
      <c r="EF18">
        <v>23.6983</v>
      </c>
      <c r="EG18">
        <v>20.2241</v>
      </c>
      <c r="EH18">
        <v>1799.82</v>
      </c>
      <c r="EI18">
        <v>0.97799400000000003</v>
      </c>
      <c r="EJ18">
        <v>2.2006299999999999E-2</v>
      </c>
      <c r="EK18">
        <v>0</v>
      </c>
      <c r="EL18">
        <v>628.154</v>
      </c>
      <c r="EM18">
        <v>5.0005300000000004</v>
      </c>
      <c r="EN18">
        <v>13345.4</v>
      </c>
      <c r="EO18">
        <v>16033.6</v>
      </c>
      <c r="EP18">
        <v>50.5</v>
      </c>
      <c r="EQ18">
        <v>50.875</v>
      </c>
      <c r="ER18">
        <v>50.811999999999998</v>
      </c>
      <c r="ES18">
        <v>51.5</v>
      </c>
      <c r="ET18">
        <v>51.811999999999998</v>
      </c>
      <c r="EU18">
        <v>1755.32</v>
      </c>
      <c r="EV18">
        <v>39.5</v>
      </c>
      <c r="EW18">
        <v>0</v>
      </c>
      <c r="EX18">
        <v>123.7999999523163</v>
      </c>
      <c r="EY18">
        <v>0</v>
      </c>
      <c r="EZ18">
        <v>627.45873076923078</v>
      </c>
      <c r="FA18">
        <v>1.9162051303754519</v>
      </c>
      <c r="FB18">
        <v>5.3299148205525109</v>
      </c>
      <c r="FC18">
        <v>13364.542307692311</v>
      </c>
      <c r="FD18">
        <v>15</v>
      </c>
      <c r="FE18">
        <v>1688999915.0999999</v>
      </c>
      <c r="FF18" t="s">
        <v>432</v>
      </c>
      <c r="FG18">
        <v>1688999913.5999999</v>
      </c>
      <c r="FH18">
        <v>1688999915.0999999</v>
      </c>
      <c r="FI18">
        <v>4</v>
      </c>
      <c r="FJ18">
        <v>0.28499999999999998</v>
      </c>
      <c r="FK18">
        <v>-4.0000000000000001E-3</v>
      </c>
      <c r="FL18">
        <v>-0.49399999999999999</v>
      </c>
      <c r="FM18">
        <v>0.03</v>
      </c>
      <c r="FN18">
        <v>300</v>
      </c>
      <c r="FO18">
        <v>24</v>
      </c>
      <c r="FP18">
        <v>0.05</v>
      </c>
      <c r="FQ18">
        <v>0.02</v>
      </c>
      <c r="FR18">
        <v>38.244059201902317</v>
      </c>
      <c r="FS18">
        <v>0.52983796182911569</v>
      </c>
      <c r="FT18">
        <v>4.8035264596063679E-2</v>
      </c>
      <c r="FU18">
        <v>1</v>
      </c>
      <c r="FV18">
        <v>0.37788681780923261</v>
      </c>
      <c r="FW18">
        <v>3.9176296698682909E-2</v>
      </c>
      <c r="FX18">
        <v>2.8644106108231268E-3</v>
      </c>
      <c r="FY18">
        <v>1</v>
      </c>
      <c r="FZ18">
        <v>2</v>
      </c>
      <c r="GA18">
        <v>2</v>
      </c>
      <c r="GB18" t="s">
        <v>424</v>
      </c>
      <c r="GC18">
        <v>3.1181999999999999</v>
      </c>
      <c r="GD18">
        <v>2.76701</v>
      </c>
      <c r="GE18">
        <v>6.1476900000000001E-2</v>
      </c>
      <c r="GF18">
        <v>7.0911399999999999E-2</v>
      </c>
      <c r="GG18">
        <v>0.12439500000000001</v>
      </c>
      <c r="GH18">
        <v>0.10761</v>
      </c>
      <c r="GI18">
        <v>22469.1</v>
      </c>
      <c r="GJ18">
        <v>22984</v>
      </c>
      <c r="GK18">
        <v>23797.9</v>
      </c>
      <c r="GL18">
        <v>25044</v>
      </c>
      <c r="GM18">
        <v>30021.1</v>
      </c>
      <c r="GN18">
        <v>31341.7</v>
      </c>
      <c r="GO18">
        <v>37920.1</v>
      </c>
      <c r="GP18">
        <v>38956.800000000003</v>
      </c>
      <c r="GQ18">
        <v>2.1553800000000001</v>
      </c>
      <c r="GR18">
        <v>1.81165</v>
      </c>
      <c r="GS18">
        <v>5.4150799999999999E-2</v>
      </c>
      <c r="GT18">
        <v>0</v>
      </c>
      <c r="GU18">
        <v>29.046600000000002</v>
      </c>
      <c r="GV18">
        <v>999.9</v>
      </c>
      <c r="GW18">
        <v>59.3</v>
      </c>
      <c r="GX18">
        <v>34.799999999999997</v>
      </c>
      <c r="GY18">
        <v>33.424100000000003</v>
      </c>
      <c r="GZ18">
        <v>60.639899999999997</v>
      </c>
      <c r="HA18">
        <v>27.287700000000001</v>
      </c>
      <c r="HB18">
        <v>1</v>
      </c>
      <c r="HC18">
        <v>0.48713899999999999</v>
      </c>
      <c r="HD18">
        <v>1.0281199999999999</v>
      </c>
      <c r="HE18">
        <v>20.319800000000001</v>
      </c>
      <c r="HF18">
        <v>5.2487399999999997</v>
      </c>
      <c r="HG18">
        <v>12.0099</v>
      </c>
      <c r="HH18">
        <v>4.9781000000000004</v>
      </c>
      <c r="HI18">
        <v>3.2922500000000001</v>
      </c>
      <c r="HJ18">
        <v>9999</v>
      </c>
      <c r="HK18">
        <v>9999</v>
      </c>
      <c r="HL18">
        <v>9999</v>
      </c>
      <c r="HM18">
        <v>231.4</v>
      </c>
      <c r="HN18">
        <v>1.8757299999999999</v>
      </c>
      <c r="HO18">
        <v>1.8766799999999999</v>
      </c>
      <c r="HP18">
        <v>1.88279</v>
      </c>
      <c r="HQ18">
        <v>1.8859900000000001</v>
      </c>
      <c r="HR18">
        <v>1.87683</v>
      </c>
      <c r="HS18">
        <v>1.8833</v>
      </c>
      <c r="HT18">
        <v>1.88226</v>
      </c>
      <c r="HU18">
        <v>1.8856900000000001</v>
      </c>
      <c r="HV18">
        <v>0</v>
      </c>
      <c r="HW18">
        <v>0</v>
      </c>
      <c r="HX18">
        <v>0</v>
      </c>
      <c r="HY18">
        <v>0</v>
      </c>
      <c r="HZ18" t="s">
        <v>425</v>
      </c>
      <c r="IA18" t="s">
        <v>426</v>
      </c>
      <c r="IB18" t="s">
        <v>427</v>
      </c>
      <c r="IC18" t="s">
        <v>427</v>
      </c>
      <c r="ID18" t="s">
        <v>427</v>
      </c>
      <c r="IE18" t="s">
        <v>427</v>
      </c>
      <c r="IF18">
        <v>0</v>
      </c>
      <c r="IG18">
        <v>100</v>
      </c>
      <c r="IH18">
        <v>100</v>
      </c>
      <c r="II18">
        <v>-0.48799999999999999</v>
      </c>
      <c r="IJ18">
        <v>4.1000000000000002E-2</v>
      </c>
      <c r="IK18">
        <v>-0.41626850266394821</v>
      </c>
      <c r="IL18">
        <v>-4.2852564239613137E-4</v>
      </c>
      <c r="IM18">
        <v>6.4980710991155998E-7</v>
      </c>
      <c r="IN18">
        <v>-2.7237938963984961E-10</v>
      </c>
      <c r="IO18">
        <v>-2.1177212722615611E-2</v>
      </c>
      <c r="IP18">
        <v>6.6907473102813496E-3</v>
      </c>
      <c r="IQ18">
        <v>-3.3673306238274028E-4</v>
      </c>
      <c r="IR18">
        <v>6.1311374003140313E-6</v>
      </c>
      <c r="IS18">
        <v>3</v>
      </c>
      <c r="IT18">
        <v>2101</v>
      </c>
      <c r="IU18">
        <v>1</v>
      </c>
      <c r="IV18">
        <v>32</v>
      </c>
      <c r="IW18">
        <v>0.6</v>
      </c>
      <c r="IX18">
        <v>0.6</v>
      </c>
      <c r="IY18">
        <v>0.79589799999999999</v>
      </c>
      <c r="IZ18">
        <v>2.6428199999999999</v>
      </c>
      <c r="JA18">
        <v>1.6015600000000001</v>
      </c>
      <c r="JB18">
        <v>2.33521</v>
      </c>
      <c r="JC18">
        <v>1.5502899999999999</v>
      </c>
      <c r="JD18">
        <v>2.32666</v>
      </c>
      <c r="JE18">
        <v>41.3001</v>
      </c>
      <c r="JF18">
        <v>23.991199999999999</v>
      </c>
      <c r="JG18">
        <v>18</v>
      </c>
      <c r="JH18">
        <v>595.28899999999999</v>
      </c>
      <c r="JI18">
        <v>427.63499999999999</v>
      </c>
      <c r="JJ18">
        <v>28.5273</v>
      </c>
      <c r="JK18">
        <v>33.2273</v>
      </c>
      <c r="JL18">
        <v>29.9999</v>
      </c>
      <c r="JM18">
        <v>33.232799999999997</v>
      </c>
      <c r="JN18">
        <v>33.212400000000002</v>
      </c>
      <c r="JO18">
        <v>15.912100000000001</v>
      </c>
      <c r="JP18">
        <v>39.171300000000002</v>
      </c>
      <c r="JQ18">
        <v>41.205399999999997</v>
      </c>
      <c r="JR18">
        <v>28.5428</v>
      </c>
      <c r="JS18">
        <v>300</v>
      </c>
      <c r="JT18">
        <v>23.825600000000001</v>
      </c>
      <c r="JU18">
        <v>98.920100000000005</v>
      </c>
      <c r="JV18">
        <v>98.604500000000002</v>
      </c>
    </row>
    <row r="19" spans="1:282" x14ac:dyDescent="0.25">
      <c r="A19">
        <v>3</v>
      </c>
      <c r="B19">
        <v>1689000067.5999999</v>
      </c>
      <c r="C19">
        <v>245</v>
      </c>
      <c r="D19" t="s">
        <v>433</v>
      </c>
      <c r="E19" t="s">
        <v>434</v>
      </c>
      <c r="F19" t="s">
        <v>414</v>
      </c>
      <c r="G19" t="s">
        <v>415</v>
      </c>
      <c r="H19" t="s">
        <v>416</v>
      </c>
      <c r="I19" t="s">
        <v>417</v>
      </c>
      <c r="J19" t="s">
        <v>418</v>
      </c>
      <c r="K19">
        <v>1689000067.5999999</v>
      </c>
      <c r="L19">
        <f t="shared" si="0"/>
        <v>5.4490285420950068E-3</v>
      </c>
      <c r="M19">
        <f t="shared" si="1"/>
        <v>5.4490285420950064</v>
      </c>
      <c r="N19">
        <f t="shared" si="2"/>
        <v>27.940440599887733</v>
      </c>
      <c r="O19">
        <f t="shared" si="3"/>
        <v>165.327</v>
      </c>
      <c r="P19">
        <f t="shared" si="4"/>
        <v>52.051965058093337</v>
      </c>
      <c r="Q19">
        <f t="shared" si="5"/>
        <v>5.1638108160178868</v>
      </c>
      <c r="R19">
        <f t="shared" si="6"/>
        <v>16.401251130999299</v>
      </c>
      <c r="S19">
        <f t="shared" si="7"/>
        <v>0.43122861622992797</v>
      </c>
      <c r="T19">
        <f t="shared" si="8"/>
        <v>2.9153420418346552</v>
      </c>
      <c r="U19">
        <f t="shared" si="9"/>
        <v>0.39866959104764421</v>
      </c>
      <c r="V19">
        <f t="shared" si="10"/>
        <v>0.25188862406484441</v>
      </c>
      <c r="W19">
        <f t="shared" si="11"/>
        <v>289.55108932655355</v>
      </c>
      <c r="X19">
        <f t="shared" si="12"/>
        <v>31.297833129596576</v>
      </c>
      <c r="Y19">
        <f t="shared" si="13"/>
        <v>30.002199999999998</v>
      </c>
      <c r="Z19">
        <f t="shared" si="14"/>
        <v>4.2609881789030473</v>
      </c>
      <c r="AA19">
        <f t="shared" si="15"/>
        <v>65.461147882060772</v>
      </c>
      <c r="AB19">
        <f t="shared" si="16"/>
        <v>2.9543620774683594</v>
      </c>
      <c r="AC19">
        <f t="shared" si="17"/>
        <v>4.5131534857762308</v>
      </c>
      <c r="AD19">
        <f t="shared" si="18"/>
        <v>1.3066261014346878</v>
      </c>
      <c r="AE19">
        <f t="shared" si="19"/>
        <v>-240.3021587063898</v>
      </c>
      <c r="AF19">
        <f t="shared" si="20"/>
        <v>157.9106281841396</v>
      </c>
      <c r="AG19">
        <f t="shared" si="21"/>
        <v>12.104026387907085</v>
      </c>
      <c r="AH19">
        <f t="shared" si="22"/>
        <v>219.26358519221043</v>
      </c>
      <c r="AI19">
        <v>0</v>
      </c>
      <c r="AJ19">
        <v>0</v>
      </c>
      <c r="AK19">
        <f t="shared" si="23"/>
        <v>1</v>
      </c>
      <c r="AL19">
        <f t="shared" si="24"/>
        <v>0</v>
      </c>
      <c r="AM19">
        <f t="shared" si="25"/>
        <v>51756.915928972805</v>
      </c>
      <c r="AN19" t="s">
        <v>419</v>
      </c>
      <c r="AO19">
        <v>9967.0300000000007</v>
      </c>
      <c r="AP19">
        <v>178.94153846153841</v>
      </c>
      <c r="AQ19">
        <v>603.15</v>
      </c>
      <c r="AR19">
        <f t="shared" si="26"/>
        <v>0.7033216638290003</v>
      </c>
      <c r="AS19">
        <v>-3.2649104154664181</v>
      </c>
      <c r="AT19" t="s">
        <v>435</v>
      </c>
      <c r="AU19">
        <v>8044.03</v>
      </c>
      <c r="AV19">
        <v>619.41163999999992</v>
      </c>
      <c r="AW19">
        <v>836.93987843991715</v>
      </c>
      <c r="AX19">
        <f t="shared" si="27"/>
        <v>0.25990903772609908</v>
      </c>
      <c r="AY19">
        <v>0.5</v>
      </c>
      <c r="AZ19">
        <f t="shared" si="28"/>
        <v>1513.1009996510641</v>
      </c>
      <c r="BA19">
        <f t="shared" si="29"/>
        <v>27.940440599887733</v>
      </c>
      <c r="BB19">
        <f t="shared" si="30"/>
        <v>196.63431240085333</v>
      </c>
      <c r="BC19">
        <f t="shared" si="31"/>
        <v>2.0623442204155844E-2</v>
      </c>
      <c r="BD19">
        <f t="shared" si="32"/>
        <v>-0.27933891604700334</v>
      </c>
      <c r="BE19">
        <f t="shared" si="33"/>
        <v>195.11114109050678</v>
      </c>
      <c r="BF19" t="s">
        <v>436</v>
      </c>
      <c r="BG19">
        <v>491.87</v>
      </c>
      <c r="BH19">
        <f t="shared" si="34"/>
        <v>491.87</v>
      </c>
      <c r="BI19">
        <f t="shared" si="35"/>
        <v>0.4122994821123096</v>
      </c>
      <c r="BJ19">
        <f t="shared" si="36"/>
        <v>0.6303889502711052</v>
      </c>
      <c r="BK19">
        <f t="shared" si="37"/>
        <v>-2.1009155143774016</v>
      </c>
      <c r="BL19">
        <f t="shared" si="38"/>
        <v>0.33059086204847421</v>
      </c>
      <c r="BM19">
        <f t="shared" si="39"/>
        <v>-0.5511202619392358</v>
      </c>
      <c r="BN19">
        <f t="shared" si="40"/>
        <v>0.5005869973154663</v>
      </c>
      <c r="BO19">
        <f t="shared" si="41"/>
        <v>0.4994130026845337</v>
      </c>
      <c r="BP19">
        <v>6041</v>
      </c>
      <c r="BQ19">
        <v>290.00000000000011</v>
      </c>
      <c r="BR19">
        <v>771.57</v>
      </c>
      <c r="BS19">
        <v>295</v>
      </c>
      <c r="BT19">
        <v>8044.03</v>
      </c>
      <c r="BU19">
        <v>773.89</v>
      </c>
      <c r="BV19">
        <v>-2.3199999999999998</v>
      </c>
      <c r="BW19">
        <v>300.00000000000011</v>
      </c>
      <c r="BX19">
        <v>19.399999999999999</v>
      </c>
      <c r="BY19">
        <v>836.93987843991715</v>
      </c>
      <c r="BZ19">
        <v>3.4347410372994509</v>
      </c>
      <c r="CA19">
        <v>-50.717604257733427</v>
      </c>
      <c r="CB19">
        <v>2.5380771115513849</v>
      </c>
      <c r="CC19">
        <v>0.93447346981954404</v>
      </c>
      <c r="CD19">
        <v>-4.1522876529477212E-3</v>
      </c>
      <c r="CE19">
        <v>289.99999999999989</v>
      </c>
      <c r="CF19">
        <v>773.16</v>
      </c>
      <c r="CG19">
        <v>665</v>
      </c>
      <c r="CH19">
        <v>8033.77</v>
      </c>
      <c r="CI19">
        <v>773.81</v>
      </c>
      <c r="CJ19">
        <v>-0.65</v>
      </c>
      <c r="CX19">
        <f t="shared" si="42"/>
        <v>1799.9</v>
      </c>
      <c r="CY19">
        <f t="shared" si="43"/>
        <v>1513.1009996510641</v>
      </c>
      <c r="CZ19">
        <f t="shared" si="44"/>
        <v>0.84065836971557528</v>
      </c>
      <c r="DA19">
        <f t="shared" si="45"/>
        <v>0.16087065355106037</v>
      </c>
      <c r="DB19">
        <v>6</v>
      </c>
      <c r="DC19">
        <v>0.5</v>
      </c>
      <c r="DD19" t="s">
        <v>422</v>
      </c>
      <c r="DE19">
        <v>2</v>
      </c>
      <c r="DF19">
        <v>1689000067.5999999</v>
      </c>
      <c r="DG19">
        <v>165.327</v>
      </c>
      <c r="DH19">
        <v>199.93</v>
      </c>
      <c r="DI19">
        <v>29.7804</v>
      </c>
      <c r="DJ19">
        <v>23.4375</v>
      </c>
      <c r="DK19">
        <v>165.65299999999999</v>
      </c>
      <c r="DL19">
        <v>29.7364</v>
      </c>
      <c r="DM19">
        <v>500.09500000000003</v>
      </c>
      <c r="DN19">
        <v>99.105099999999993</v>
      </c>
      <c r="DO19">
        <v>9.9815899999999999E-2</v>
      </c>
      <c r="DP19">
        <v>31.006900000000002</v>
      </c>
      <c r="DQ19">
        <v>30.002199999999998</v>
      </c>
      <c r="DR19">
        <v>999.9</v>
      </c>
      <c r="DS19">
        <v>0</v>
      </c>
      <c r="DT19">
        <v>0</v>
      </c>
      <c r="DU19">
        <v>10008.799999999999</v>
      </c>
      <c r="DV19">
        <v>0</v>
      </c>
      <c r="DW19">
        <v>1223.51</v>
      </c>
      <c r="DX19">
        <v>-34.602899999999998</v>
      </c>
      <c r="DY19">
        <v>170.40199999999999</v>
      </c>
      <c r="DZ19">
        <v>204.72900000000001</v>
      </c>
      <c r="EA19">
        <v>6.3428800000000001</v>
      </c>
      <c r="EB19">
        <v>199.93</v>
      </c>
      <c r="EC19">
        <v>23.4375</v>
      </c>
      <c r="ED19">
        <v>2.95139</v>
      </c>
      <c r="EE19">
        <v>2.3227799999999998</v>
      </c>
      <c r="EF19">
        <v>23.7562</v>
      </c>
      <c r="EG19">
        <v>19.8352</v>
      </c>
      <c r="EH19">
        <v>1799.9</v>
      </c>
      <c r="EI19">
        <v>0.97799400000000003</v>
      </c>
      <c r="EJ19">
        <v>2.2006299999999999E-2</v>
      </c>
      <c r="EK19">
        <v>0</v>
      </c>
      <c r="EL19">
        <v>619.44399999999996</v>
      </c>
      <c r="EM19">
        <v>5.0005300000000004</v>
      </c>
      <c r="EN19">
        <v>13195.2</v>
      </c>
      <c r="EO19">
        <v>16034.4</v>
      </c>
      <c r="EP19">
        <v>50.5</v>
      </c>
      <c r="EQ19">
        <v>50.811999999999998</v>
      </c>
      <c r="ER19">
        <v>50.75</v>
      </c>
      <c r="ES19">
        <v>51.375</v>
      </c>
      <c r="ET19">
        <v>51.811999999999998</v>
      </c>
      <c r="EU19">
        <v>1755.4</v>
      </c>
      <c r="EV19">
        <v>39.5</v>
      </c>
      <c r="EW19">
        <v>0</v>
      </c>
      <c r="EX19">
        <v>117</v>
      </c>
      <c r="EY19">
        <v>0</v>
      </c>
      <c r="EZ19">
        <v>619.41163999999992</v>
      </c>
      <c r="FA19">
        <v>-0.14261540460818101</v>
      </c>
      <c r="FB19">
        <v>-21.61538454020199</v>
      </c>
      <c r="FC19">
        <v>13197.668</v>
      </c>
      <c r="FD19">
        <v>15</v>
      </c>
      <c r="FE19">
        <v>1689000028.0999999</v>
      </c>
      <c r="FF19" t="s">
        <v>437</v>
      </c>
      <c r="FG19">
        <v>1689000016.0999999</v>
      </c>
      <c r="FH19">
        <v>1689000028.0999999</v>
      </c>
      <c r="FI19">
        <v>5</v>
      </c>
      <c r="FJ19">
        <v>0.14499999999999999</v>
      </c>
      <c r="FK19">
        <v>3.0000000000000001E-3</v>
      </c>
      <c r="FL19">
        <v>-0.33300000000000002</v>
      </c>
      <c r="FM19">
        <v>3.2000000000000001E-2</v>
      </c>
      <c r="FN19">
        <v>200</v>
      </c>
      <c r="FO19">
        <v>23</v>
      </c>
      <c r="FP19">
        <v>0.02</v>
      </c>
      <c r="FQ19">
        <v>0.02</v>
      </c>
      <c r="FR19">
        <v>27.822261793875619</v>
      </c>
      <c r="FS19">
        <v>0.32521637719698693</v>
      </c>
      <c r="FT19">
        <v>4.4587892407625278E-2</v>
      </c>
      <c r="FU19">
        <v>1</v>
      </c>
      <c r="FV19">
        <v>0.42929482381464018</v>
      </c>
      <c r="FW19">
        <v>4.7490592895325673E-2</v>
      </c>
      <c r="FX19">
        <v>3.745911325290651E-3</v>
      </c>
      <c r="FY19">
        <v>1</v>
      </c>
      <c r="FZ19">
        <v>2</v>
      </c>
      <c r="GA19">
        <v>2</v>
      </c>
      <c r="GB19" t="s">
        <v>424</v>
      </c>
      <c r="GC19">
        <v>3.1185100000000001</v>
      </c>
      <c r="GD19">
        <v>2.7672099999999999</v>
      </c>
      <c r="GE19">
        <v>4.2333599999999999E-2</v>
      </c>
      <c r="GF19">
        <v>5.0206599999999997E-2</v>
      </c>
      <c r="GG19">
        <v>0.124677</v>
      </c>
      <c r="GH19">
        <v>0.105791</v>
      </c>
      <c r="GI19">
        <v>22928.9</v>
      </c>
      <c r="GJ19">
        <v>23499.9</v>
      </c>
      <c r="GK19">
        <v>23800</v>
      </c>
      <c r="GL19">
        <v>25048.3</v>
      </c>
      <c r="GM19">
        <v>30014.400000000001</v>
      </c>
      <c r="GN19">
        <v>31410.400000000001</v>
      </c>
      <c r="GO19">
        <v>37923.9</v>
      </c>
      <c r="GP19">
        <v>38962.800000000003</v>
      </c>
      <c r="GQ19">
        <v>2.1561499999999998</v>
      </c>
      <c r="GR19">
        <v>1.8084199999999999</v>
      </c>
      <c r="GS19">
        <v>6.3493800000000003E-2</v>
      </c>
      <c r="GT19">
        <v>0</v>
      </c>
      <c r="GU19">
        <v>28.9681</v>
      </c>
      <c r="GV19">
        <v>999.9</v>
      </c>
      <c r="GW19">
        <v>57.5</v>
      </c>
      <c r="GX19">
        <v>35.1</v>
      </c>
      <c r="GY19">
        <v>32.954799999999999</v>
      </c>
      <c r="GZ19">
        <v>60.739899999999999</v>
      </c>
      <c r="HA19">
        <v>26.706700000000001</v>
      </c>
      <c r="HB19">
        <v>1</v>
      </c>
      <c r="HC19">
        <v>0.486128</v>
      </c>
      <c r="HD19">
        <v>1.4861200000000001</v>
      </c>
      <c r="HE19">
        <v>20.316299999999998</v>
      </c>
      <c r="HF19">
        <v>5.2517300000000002</v>
      </c>
      <c r="HG19">
        <v>12.0099</v>
      </c>
      <c r="HH19">
        <v>4.9790999999999999</v>
      </c>
      <c r="HI19">
        <v>3.2930000000000001</v>
      </c>
      <c r="HJ19">
        <v>9999</v>
      </c>
      <c r="HK19">
        <v>9999</v>
      </c>
      <c r="HL19">
        <v>9999</v>
      </c>
      <c r="HM19">
        <v>231.5</v>
      </c>
      <c r="HN19">
        <v>1.8757600000000001</v>
      </c>
      <c r="HO19">
        <v>1.8766799999999999</v>
      </c>
      <c r="HP19">
        <v>1.8828499999999999</v>
      </c>
      <c r="HQ19">
        <v>1.8859900000000001</v>
      </c>
      <c r="HR19">
        <v>1.87683</v>
      </c>
      <c r="HS19">
        <v>1.88337</v>
      </c>
      <c r="HT19">
        <v>1.88229</v>
      </c>
      <c r="HU19">
        <v>1.88575</v>
      </c>
      <c r="HV19">
        <v>0</v>
      </c>
      <c r="HW19">
        <v>0</v>
      </c>
      <c r="HX19">
        <v>0</v>
      </c>
      <c r="HY19">
        <v>0</v>
      </c>
      <c r="HZ19" t="s">
        <v>425</v>
      </c>
      <c r="IA19" t="s">
        <v>426</v>
      </c>
      <c r="IB19" t="s">
        <v>427</v>
      </c>
      <c r="IC19" t="s">
        <v>427</v>
      </c>
      <c r="ID19" t="s">
        <v>427</v>
      </c>
      <c r="IE19" t="s">
        <v>427</v>
      </c>
      <c r="IF19">
        <v>0</v>
      </c>
      <c r="IG19">
        <v>100</v>
      </c>
      <c r="IH19">
        <v>100</v>
      </c>
      <c r="II19">
        <v>-0.32600000000000001</v>
      </c>
      <c r="IJ19">
        <v>4.3999999999999997E-2</v>
      </c>
      <c r="IK19">
        <v>-0.27123803087917558</v>
      </c>
      <c r="IL19">
        <v>-4.2852564239613137E-4</v>
      </c>
      <c r="IM19">
        <v>6.4980710991155998E-7</v>
      </c>
      <c r="IN19">
        <v>-2.7237938963984961E-10</v>
      </c>
      <c r="IO19">
        <v>-1.84851314332386E-2</v>
      </c>
      <c r="IP19">
        <v>6.6907473102813496E-3</v>
      </c>
      <c r="IQ19">
        <v>-3.3673306238274028E-4</v>
      </c>
      <c r="IR19">
        <v>6.1311374003140313E-6</v>
      </c>
      <c r="IS19">
        <v>3</v>
      </c>
      <c r="IT19">
        <v>2101</v>
      </c>
      <c r="IU19">
        <v>1</v>
      </c>
      <c r="IV19">
        <v>32</v>
      </c>
      <c r="IW19">
        <v>0.9</v>
      </c>
      <c r="IX19">
        <v>0.7</v>
      </c>
      <c r="IY19">
        <v>0.58349600000000001</v>
      </c>
      <c r="IZ19">
        <v>2.65137</v>
      </c>
      <c r="JA19">
        <v>1.6003400000000001</v>
      </c>
      <c r="JB19">
        <v>2.33521</v>
      </c>
      <c r="JC19">
        <v>1.5502899999999999</v>
      </c>
      <c r="JD19">
        <v>2.4352999999999998</v>
      </c>
      <c r="JE19">
        <v>41.534399999999998</v>
      </c>
      <c r="JF19">
        <v>23.982399999999998</v>
      </c>
      <c r="JG19">
        <v>18</v>
      </c>
      <c r="JH19">
        <v>596.10599999999999</v>
      </c>
      <c r="JI19">
        <v>425.726</v>
      </c>
      <c r="JJ19">
        <v>28.5322</v>
      </c>
      <c r="JK19">
        <v>33.225200000000001</v>
      </c>
      <c r="JL19">
        <v>30.0001</v>
      </c>
      <c r="JM19">
        <v>33.2624</v>
      </c>
      <c r="JN19">
        <v>33.244300000000003</v>
      </c>
      <c r="JO19">
        <v>11.6561</v>
      </c>
      <c r="JP19">
        <v>39.805599999999998</v>
      </c>
      <c r="JQ19">
        <v>37.927</v>
      </c>
      <c r="JR19">
        <v>28.521699999999999</v>
      </c>
      <c r="JS19">
        <v>200</v>
      </c>
      <c r="JT19">
        <v>23.349499999999999</v>
      </c>
      <c r="JU19">
        <v>98.929400000000001</v>
      </c>
      <c r="JV19">
        <v>98.620400000000004</v>
      </c>
    </row>
    <row r="20" spans="1:282" x14ac:dyDescent="0.25">
      <c r="A20">
        <v>4</v>
      </c>
      <c r="B20">
        <v>1689000199.0999999</v>
      </c>
      <c r="C20">
        <v>376.5</v>
      </c>
      <c r="D20" t="s">
        <v>438</v>
      </c>
      <c r="E20" t="s">
        <v>439</v>
      </c>
      <c r="F20" t="s">
        <v>414</v>
      </c>
      <c r="G20" t="s">
        <v>415</v>
      </c>
      <c r="H20" t="s">
        <v>416</v>
      </c>
      <c r="I20" t="s">
        <v>417</v>
      </c>
      <c r="J20" t="s">
        <v>418</v>
      </c>
      <c r="K20">
        <v>1689000199.0999999</v>
      </c>
      <c r="L20">
        <f t="shared" si="0"/>
        <v>5.9229741695621873E-3</v>
      </c>
      <c r="M20">
        <f t="shared" si="1"/>
        <v>5.9229741695621874</v>
      </c>
      <c r="N20">
        <f t="shared" si="2"/>
        <v>17.733802588836532</v>
      </c>
      <c r="O20">
        <f t="shared" si="3"/>
        <v>98.0124</v>
      </c>
      <c r="P20">
        <f t="shared" si="4"/>
        <v>31.899631434327116</v>
      </c>
      <c r="Q20">
        <f t="shared" si="5"/>
        <v>3.1645594955243341</v>
      </c>
      <c r="R20">
        <f t="shared" si="6"/>
        <v>9.7231866687136801</v>
      </c>
      <c r="S20">
        <f t="shared" si="7"/>
        <v>0.47205167357684646</v>
      </c>
      <c r="T20">
        <f t="shared" si="8"/>
        <v>2.9166141207351144</v>
      </c>
      <c r="U20">
        <f t="shared" si="9"/>
        <v>0.43334812451798993</v>
      </c>
      <c r="V20">
        <f t="shared" si="10"/>
        <v>0.27405500911807962</v>
      </c>
      <c r="W20">
        <f t="shared" si="11"/>
        <v>289.55906932657234</v>
      </c>
      <c r="X20">
        <f t="shared" si="12"/>
        <v>31.195639339450281</v>
      </c>
      <c r="Y20">
        <f t="shared" si="13"/>
        <v>29.995699999999999</v>
      </c>
      <c r="Z20">
        <f t="shared" si="14"/>
        <v>4.2593976036717143</v>
      </c>
      <c r="AA20">
        <f t="shared" si="15"/>
        <v>65.346614689194922</v>
      </c>
      <c r="AB20">
        <f t="shared" si="16"/>
        <v>2.9527764502953602</v>
      </c>
      <c r="AC20">
        <f t="shared" si="17"/>
        <v>4.5186372153163772</v>
      </c>
      <c r="AD20">
        <f t="shared" si="18"/>
        <v>1.3066211533763541</v>
      </c>
      <c r="AE20">
        <f t="shared" si="19"/>
        <v>-261.20316087769248</v>
      </c>
      <c r="AF20">
        <f t="shared" si="20"/>
        <v>162.35081674257617</v>
      </c>
      <c r="AG20">
        <f t="shared" si="21"/>
        <v>12.439855993348612</v>
      </c>
      <c r="AH20">
        <f t="shared" si="22"/>
        <v>203.14658118480463</v>
      </c>
      <c r="AI20">
        <v>0</v>
      </c>
      <c r="AJ20">
        <v>0</v>
      </c>
      <c r="AK20">
        <f t="shared" si="23"/>
        <v>1</v>
      </c>
      <c r="AL20">
        <f t="shared" si="24"/>
        <v>0</v>
      </c>
      <c r="AM20">
        <f t="shared" si="25"/>
        <v>51789.350537755417</v>
      </c>
      <c r="AN20" t="s">
        <v>419</v>
      </c>
      <c r="AO20">
        <v>9967.0300000000007</v>
      </c>
      <c r="AP20">
        <v>178.94153846153841</v>
      </c>
      <c r="AQ20">
        <v>603.15</v>
      </c>
      <c r="AR20">
        <f t="shared" si="26"/>
        <v>0.7033216638290003</v>
      </c>
      <c r="AS20">
        <v>-3.2649104154664181</v>
      </c>
      <c r="AT20" t="s">
        <v>440</v>
      </c>
      <c r="AU20">
        <v>8045.17</v>
      </c>
      <c r="AV20">
        <v>628.37126923076914</v>
      </c>
      <c r="AW20">
        <v>765.68906798226578</v>
      </c>
      <c r="AX20">
        <f t="shared" si="27"/>
        <v>0.17933885240565706</v>
      </c>
      <c r="AY20">
        <v>0.5</v>
      </c>
      <c r="AZ20">
        <f t="shared" si="28"/>
        <v>1513.1429996510738</v>
      </c>
      <c r="BA20">
        <f t="shared" si="29"/>
        <v>17.733802588836532</v>
      </c>
      <c r="BB20">
        <f t="shared" si="30"/>
        <v>135.68266454153854</v>
      </c>
      <c r="BC20">
        <f t="shared" si="31"/>
        <v>1.3877546939810177E-2</v>
      </c>
      <c r="BD20">
        <f t="shared" si="32"/>
        <v>-0.21227816195755114</v>
      </c>
      <c r="BE20">
        <f t="shared" si="33"/>
        <v>190.96841039271203</v>
      </c>
      <c r="BF20" t="s">
        <v>441</v>
      </c>
      <c r="BG20">
        <v>496.82</v>
      </c>
      <c r="BH20">
        <f t="shared" si="34"/>
        <v>496.82</v>
      </c>
      <c r="BI20">
        <f t="shared" si="35"/>
        <v>0.3511465413640894</v>
      </c>
      <c r="BJ20">
        <f t="shared" si="36"/>
        <v>0.51072367595871582</v>
      </c>
      <c r="BK20">
        <f t="shared" si="37"/>
        <v>-1.5286284960243188</v>
      </c>
      <c r="BL20">
        <f t="shared" si="38"/>
        <v>0.23403217200362456</v>
      </c>
      <c r="BM20">
        <f t="shared" si="39"/>
        <v>-0.38315847683186521</v>
      </c>
      <c r="BN20">
        <f t="shared" si="40"/>
        <v>0.40380225690526295</v>
      </c>
      <c r="BO20">
        <f t="shared" si="41"/>
        <v>0.59619774309473705</v>
      </c>
      <c r="BP20">
        <v>6043</v>
      </c>
      <c r="BQ20">
        <v>290.00000000000011</v>
      </c>
      <c r="BR20">
        <v>731.06</v>
      </c>
      <c r="BS20">
        <v>265</v>
      </c>
      <c r="BT20">
        <v>8045.17</v>
      </c>
      <c r="BU20">
        <v>732.4</v>
      </c>
      <c r="BV20">
        <v>-1.34</v>
      </c>
      <c r="BW20">
        <v>300.00000000000011</v>
      </c>
      <c r="BX20">
        <v>19.399999999999999</v>
      </c>
      <c r="BY20">
        <v>765.68906798226578</v>
      </c>
      <c r="BZ20">
        <v>2.8692934192840061</v>
      </c>
      <c r="CA20">
        <v>-26.777749550541149</v>
      </c>
      <c r="CB20">
        <v>2.1202039162734958</v>
      </c>
      <c r="CC20">
        <v>0.85067608463783251</v>
      </c>
      <c r="CD20">
        <v>-4.1520794215795364E-3</v>
      </c>
      <c r="CE20">
        <v>289.99999999999989</v>
      </c>
      <c r="CF20">
        <v>732.24</v>
      </c>
      <c r="CG20">
        <v>655</v>
      </c>
      <c r="CH20">
        <v>8033.92</v>
      </c>
      <c r="CI20">
        <v>732.36</v>
      </c>
      <c r="CJ20">
        <v>-0.12</v>
      </c>
      <c r="CX20">
        <f t="shared" si="42"/>
        <v>1799.95</v>
      </c>
      <c r="CY20">
        <f t="shared" si="43"/>
        <v>1513.1429996510738</v>
      </c>
      <c r="CZ20">
        <f t="shared" si="44"/>
        <v>0.84065835142702505</v>
      </c>
      <c r="DA20">
        <f t="shared" si="45"/>
        <v>0.16087061825415835</v>
      </c>
      <c r="DB20">
        <v>6</v>
      </c>
      <c r="DC20">
        <v>0.5</v>
      </c>
      <c r="DD20" t="s">
        <v>422</v>
      </c>
      <c r="DE20">
        <v>2</v>
      </c>
      <c r="DF20">
        <v>1689000199.0999999</v>
      </c>
      <c r="DG20">
        <v>98.0124</v>
      </c>
      <c r="DH20">
        <v>119.98699999999999</v>
      </c>
      <c r="DI20">
        <v>29.764800000000001</v>
      </c>
      <c r="DJ20">
        <v>22.869599999999998</v>
      </c>
      <c r="DK20">
        <v>98.271000000000001</v>
      </c>
      <c r="DL20">
        <v>29.721800000000002</v>
      </c>
      <c r="DM20">
        <v>500.05900000000003</v>
      </c>
      <c r="DN20">
        <v>99.103899999999996</v>
      </c>
      <c r="DO20">
        <v>9.9738199999999999E-2</v>
      </c>
      <c r="DP20">
        <v>31.028199999999998</v>
      </c>
      <c r="DQ20">
        <v>29.995699999999999</v>
      </c>
      <c r="DR20">
        <v>999.9</v>
      </c>
      <c r="DS20">
        <v>0</v>
      </c>
      <c r="DT20">
        <v>0</v>
      </c>
      <c r="DU20">
        <v>10016.200000000001</v>
      </c>
      <c r="DV20">
        <v>0</v>
      </c>
      <c r="DW20">
        <v>1238.76</v>
      </c>
      <c r="DX20">
        <v>-21.974499999999999</v>
      </c>
      <c r="DY20">
        <v>101.01900000000001</v>
      </c>
      <c r="DZ20">
        <v>122.795</v>
      </c>
      <c r="EA20">
        <v>6.8952</v>
      </c>
      <c r="EB20">
        <v>119.98699999999999</v>
      </c>
      <c r="EC20">
        <v>22.869599999999998</v>
      </c>
      <c r="ED20">
        <v>2.9498099999999998</v>
      </c>
      <c r="EE20">
        <v>2.26647</v>
      </c>
      <c r="EF20">
        <v>23.747299999999999</v>
      </c>
      <c r="EG20">
        <v>19.440100000000001</v>
      </c>
      <c r="EH20">
        <v>1799.95</v>
      </c>
      <c r="EI20">
        <v>0.97799400000000003</v>
      </c>
      <c r="EJ20">
        <v>2.2006299999999999E-2</v>
      </c>
      <c r="EK20">
        <v>0</v>
      </c>
      <c r="EL20">
        <v>628.22799999999995</v>
      </c>
      <c r="EM20">
        <v>5.0005300000000004</v>
      </c>
      <c r="EN20">
        <v>13368.6</v>
      </c>
      <c r="EO20">
        <v>16034.8</v>
      </c>
      <c r="EP20">
        <v>50.5</v>
      </c>
      <c r="EQ20">
        <v>50.75</v>
      </c>
      <c r="ER20">
        <v>50.811999999999998</v>
      </c>
      <c r="ES20">
        <v>51.311999999999998</v>
      </c>
      <c r="ET20">
        <v>51.75</v>
      </c>
      <c r="EU20">
        <v>1755.45</v>
      </c>
      <c r="EV20">
        <v>39.5</v>
      </c>
      <c r="EW20">
        <v>0</v>
      </c>
      <c r="EX20">
        <v>129.79999995231631</v>
      </c>
      <c r="EY20">
        <v>0</v>
      </c>
      <c r="EZ20">
        <v>628.37126923076914</v>
      </c>
      <c r="FA20">
        <v>-1.920581196724692</v>
      </c>
      <c r="FB20">
        <v>18.82051295611598</v>
      </c>
      <c r="FC20">
        <v>13368.48076923077</v>
      </c>
      <c r="FD20">
        <v>15</v>
      </c>
      <c r="FE20">
        <v>1689000165.0999999</v>
      </c>
      <c r="FF20" t="s">
        <v>442</v>
      </c>
      <c r="FG20">
        <v>1689000156.5999999</v>
      </c>
      <c r="FH20">
        <v>1689000165.0999999</v>
      </c>
      <c r="FI20">
        <v>6</v>
      </c>
      <c r="FJ20">
        <v>4.9000000000000002E-2</v>
      </c>
      <c r="FK20">
        <v>-1E-3</v>
      </c>
      <c r="FL20">
        <v>-0.26500000000000001</v>
      </c>
      <c r="FM20">
        <v>3.1E-2</v>
      </c>
      <c r="FN20">
        <v>120</v>
      </c>
      <c r="FO20">
        <v>23</v>
      </c>
      <c r="FP20">
        <v>7.0000000000000007E-2</v>
      </c>
      <c r="FQ20">
        <v>0.01</v>
      </c>
      <c r="FR20">
        <v>17.764391084150908</v>
      </c>
      <c r="FS20">
        <v>-0.69321604098336143</v>
      </c>
      <c r="FT20">
        <v>5.9947216626540963E-2</v>
      </c>
      <c r="FU20">
        <v>1</v>
      </c>
      <c r="FV20">
        <v>0.47266910724648731</v>
      </c>
      <c r="FW20">
        <v>3.4462112617770282E-2</v>
      </c>
      <c r="FX20">
        <v>4.3185412004338288E-3</v>
      </c>
      <c r="FY20">
        <v>1</v>
      </c>
      <c r="FZ20">
        <v>2</v>
      </c>
      <c r="GA20">
        <v>2</v>
      </c>
      <c r="GB20" t="s">
        <v>424</v>
      </c>
      <c r="GC20">
        <v>3.11836</v>
      </c>
      <c r="GD20">
        <v>2.7671800000000002</v>
      </c>
      <c r="GE20">
        <v>2.59367E-2</v>
      </c>
      <c r="GF20">
        <v>3.1435600000000001E-2</v>
      </c>
      <c r="GG20">
        <v>0.12463</v>
      </c>
      <c r="GH20">
        <v>0.10396900000000001</v>
      </c>
      <c r="GI20">
        <v>23321.9</v>
      </c>
      <c r="GJ20">
        <v>23967.1</v>
      </c>
      <c r="GK20">
        <v>23800.9</v>
      </c>
      <c r="GL20">
        <v>25051.599999999999</v>
      </c>
      <c r="GM20">
        <v>30017.200000000001</v>
      </c>
      <c r="GN20">
        <v>31478.799999999999</v>
      </c>
      <c r="GO20">
        <v>37925.300000000003</v>
      </c>
      <c r="GP20">
        <v>38968.1</v>
      </c>
      <c r="GQ20">
        <v>2.1568000000000001</v>
      </c>
      <c r="GR20">
        <v>1.8040799999999999</v>
      </c>
      <c r="GS20">
        <v>6.0558300000000002E-2</v>
      </c>
      <c r="GT20">
        <v>0</v>
      </c>
      <c r="GU20">
        <v>29.009399999999999</v>
      </c>
      <c r="GV20">
        <v>999.9</v>
      </c>
      <c r="GW20">
        <v>55.6</v>
      </c>
      <c r="GX20">
        <v>35.5</v>
      </c>
      <c r="GY20">
        <v>32.577300000000001</v>
      </c>
      <c r="GZ20">
        <v>60.619900000000001</v>
      </c>
      <c r="HA20">
        <v>27.331700000000001</v>
      </c>
      <c r="HB20">
        <v>1</v>
      </c>
      <c r="HC20">
        <v>0.48395100000000002</v>
      </c>
      <c r="HD20">
        <v>1.1266499999999999</v>
      </c>
      <c r="HE20">
        <v>20.3188</v>
      </c>
      <c r="HF20">
        <v>5.2488900000000003</v>
      </c>
      <c r="HG20">
        <v>12.0099</v>
      </c>
      <c r="HH20">
        <v>4.9782500000000001</v>
      </c>
      <c r="HI20">
        <v>3.29223</v>
      </c>
      <c r="HJ20">
        <v>9999</v>
      </c>
      <c r="HK20">
        <v>9999</v>
      </c>
      <c r="HL20">
        <v>9999</v>
      </c>
      <c r="HM20">
        <v>231.5</v>
      </c>
      <c r="HN20">
        <v>1.87574</v>
      </c>
      <c r="HO20">
        <v>1.8766799999999999</v>
      </c>
      <c r="HP20">
        <v>1.8828400000000001</v>
      </c>
      <c r="HQ20">
        <v>1.8859900000000001</v>
      </c>
      <c r="HR20">
        <v>1.87683</v>
      </c>
      <c r="HS20">
        <v>1.88334</v>
      </c>
      <c r="HT20">
        <v>1.88228</v>
      </c>
      <c r="HU20">
        <v>1.88571</v>
      </c>
      <c r="HV20">
        <v>0</v>
      </c>
      <c r="HW20">
        <v>0</v>
      </c>
      <c r="HX20">
        <v>0</v>
      </c>
      <c r="HY20">
        <v>0</v>
      </c>
      <c r="HZ20" t="s">
        <v>425</v>
      </c>
      <c r="IA20" t="s">
        <v>426</v>
      </c>
      <c r="IB20" t="s">
        <v>427</v>
      </c>
      <c r="IC20" t="s">
        <v>427</v>
      </c>
      <c r="ID20" t="s">
        <v>427</v>
      </c>
      <c r="IE20" t="s">
        <v>427</v>
      </c>
      <c r="IF20">
        <v>0</v>
      </c>
      <c r="IG20">
        <v>100</v>
      </c>
      <c r="IH20">
        <v>100</v>
      </c>
      <c r="II20">
        <v>-0.25900000000000001</v>
      </c>
      <c r="IJ20">
        <v>4.2999999999999997E-2</v>
      </c>
      <c r="IK20">
        <v>-0.2225</v>
      </c>
      <c r="IL20">
        <v>-4.2852599999999998E-4</v>
      </c>
      <c r="IM20">
        <v>6.4980699999999999E-7</v>
      </c>
      <c r="IN20">
        <v>-2.7237899999999999E-10</v>
      </c>
      <c r="IO20">
        <v>-1.9295070475130519E-2</v>
      </c>
      <c r="IP20">
        <v>6.6907473102813496E-3</v>
      </c>
      <c r="IQ20">
        <v>-3.3673306238274028E-4</v>
      </c>
      <c r="IR20">
        <v>6.1311374003140313E-6</v>
      </c>
      <c r="IS20">
        <v>3</v>
      </c>
      <c r="IT20">
        <v>2101</v>
      </c>
      <c r="IU20">
        <v>1</v>
      </c>
      <c r="IV20">
        <v>32</v>
      </c>
      <c r="IW20">
        <v>0.7</v>
      </c>
      <c r="IX20">
        <v>0.6</v>
      </c>
      <c r="IY20">
        <v>0.40649400000000002</v>
      </c>
      <c r="IZ20">
        <v>2.677</v>
      </c>
      <c r="JA20">
        <v>1.6015600000000001</v>
      </c>
      <c r="JB20">
        <v>2.33521</v>
      </c>
      <c r="JC20">
        <v>1.5502899999999999</v>
      </c>
      <c r="JD20">
        <v>2.2766099999999998</v>
      </c>
      <c r="JE20">
        <v>41.796100000000003</v>
      </c>
      <c r="JF20">
        <v>23.973700000000001</v>
      </c>
      <c r="JG20">
        <v>18</v>
      </c>
      <c r="JH20">
        <v>596.64499999999998</v>
      </c>
      <c r="JI20">
        <v>422.94</v>
      </c>
      <c r="JJ20">
        <v>28.8201</v>
      </c>
      <c r="JK20">
        <v>33.201300000000003</v>
      </c>
      <c r="JL20">
        <v>30.0001</v>
      </c>
      <c r="JM20">
        <v>33.2712</v>
      </c>
      <c r="JN20">
        <v>33.256100000000004</v>
      </c>
      <c r="JO20">
        <v>8.1363900000000005</v>
      </c>
      <c r="JP20">
        <v>40.128</v>
      </c>
      <c r="JQ20">
        <v>34.194200000000002</v>
      </c>
      <c r="JR20">
        <v>28.820599999999999</v>
      </c>
      <c r="JS20">
        <v>120</v>
      </c>
      <c r="JT20">
        <v>22.832100000000001</v>
      </c>
      <c r="JU20">
        <v>98.933199999999999</v>
      </c>
      <c r="JV20">
        <v>98.633600000000001</v>
      </c>
    </row>
    <row r="21" spans="1:282" x14ac:dyDescent="0.25">
      <c r="A21">
        <v>5</v>
      </c>
      <c r="B21">
        <v>1689000328.0999999</v>
      </c>
      <c r="C21">
        <v>505.5</v>
      </c>
      <c r="D21" t="s">
        <v>443</v>
      </c>
      <c r="E21" t="s">
        <v>444</v>
      </c>
      <c r="F21" t="s">
        <v>414</v>
      </c>
      <c r="G21" t="s">
        <v>415</v>
      </c>
      <c r="H21" t="s">
        <v>416</v>
      </c>
      <c r="I21" t="s">
        <v>417</v>
      </c>
      <c r="J21" t="s">
        <v>418</v>
      </c>
      <c r="K21">
        <v>1689000328.0999999</v>
      </c>
      <c r="L21">
        <f t="shared" si="0"/>
        <v>6.0949124416331095E-3</v>
      </c>
      <c r="M21">
        <f t="shared" si="1"/>
        <v>6.0949124416331095</v>
      </c>
      <c r="N21">
        <f t="shared" si="2"/>
        <v>10.609459956578608</v>
      </c>
      <c r="O21">
        <f t="shared" si="3"/>
        <v>56.907699999999998</v>
      </c>
      <c r="P21">
        <f t="shared" si="4"/>
        <v>18.712590044272861</v>
      </c>
      <c r="Q21">
        <f t="shared" si="5"/>
        <v>1.8563142093584997</v>
      </c>
      <c r="R21">
        <f t="shared" si="6"/>
        <v>5.6453207109211601</v>
      </c>
      <c r="S21">
        <f t="shared" si="7"/>
        <v>0.49027359592397923</v>
      </c>
      <c r="T21">
        <f t="shared" si="8"/>
        <v>2.9088148346967131</v>
      </c>
      <c r="U21">
        <f t="shared" si="9"/>
        <v>0.44856389618369263</v>
      </c>
      <c r="V21">
        <f t="shared" si="10"/>
        <v>0.28380359403229305</v>
      </c>
      <c r="W21">
        <f t="shared" si="11"/>
        <v>289.56704932659102</v>
      </c>
      <c r="X21">
        <f t="shared" si="12"/>
        <v>31.143218678275595</v>
      </c>
      <c r="Y21">
        <f t="shared" si="13"/>
        <v>30.01</v>
      </c>
      <c r="Z21">
        <f t="shared" si="14"/>
        <v>4.2628975524446222</v>
      </c>
      <c r="AA21">
        <f t="shared" si="15"/>
        <v>65.626841184254346</v>
      </c>
      <c r="AB21">
        <f t="shared" si="16"/>
        <v>2.9640867612286002</v>
      </c>
      <c r="AC21">
        <f t="shared" si="17"/>
        <v>4.516576918438922</v>
      </c>
      <c r="AD21">
        <f t="shared" si="18"/>
        <v>1.2988107912160221</v>
      </c>
      <c r="AE21">
        <f t="shared" si="19"/>
        <v>-268.78563867602014</v>
      </c>
      <c r="AF21">
        <f t="shared" si="20"/>
        <v>158.41958962692416</v>
      </c>
      <c r="AG21">
        <f t="shared" si="21"/>
        <v>12.171556654921728</v>
      </c>
      <c r="AH21">
        <f t="shared" si="22"/>
        <v>191.37255693241679</v>
      </c>
      <c r="AI21">
        <v>0</v>
      </c>
      <c r="AJ21">
        <v>0</v>
      </c>
      <c r="AK21">
        <f t="shared" si="23"/>
        <v>1</v>
      </c>
      <c r="AL21">
        <f t="shared" si="24"/>
        <v>0</v>
      </c>
      <c r="AM21">
        <f t="shared" si="25"/>
        <v>51569.560923550736</v>
      </c>
      <c r="AN21" t="s">
        <v>419</v>
      </c>
      <c r="AO21">
        <v>9967.0300000000007</v>
      </c>
      <c r="AP21">
        <v>178.94153846153841</v>
      </c>
      <c r="AQ21">
        <v>603.15</v>
      </c>
      <c r="AR21">
        <f t="shared" si="26"/>
        <v>0.7033216638290003</v>
      </c>
      <c r="AS21">
        <v>-3.2649104154664181</v>
      </c>
      <c r="AT21" t="s">
        <v>445</v>
      </c>
      <c r="AU21">
        <v>8043.86</v>
      </c>
      <c r="AV21">
        <v>640.19534615384623</v>
      </c>
      <c r="AW21">
        <v>735.1334291684675</v>
      </c>
      <c r="AX21">
        <f t="shared" si="27"/>
        <v>0.12914401555920085</v>
      </c>
      <c r="AY21">
        <v>0.5</v>
      </c>
      <c r="AZ21">
        <f t="shared" si="28"/>
        <v>1513.1849996510834</v>
      </c>
      <c r="BA21">
        <f t="shared" si="29"/>
        <v>10.609459956578608</v>
      </c>
      <c r="BB21">
        <f t="shared" si="30"/>
        <v>97.70939356944443</v>
      </c>
      <c r="BC21">
        <f t="shared" si="31"/>
        <v>9.168984873128028E-3</v>
      </c>
      <c r="BD21">
        <f t="shared" si="32"/>
        <v>-0.17953669896056573</v>
      </c>
      <c r="BE21">
        <f t="shared" si="33"/>
        <v>189.00903858397135</v>
      </c>
      <c r="BF21" t="s">
        <v>446</v>
      </c>
      <c r="BG21">
        <v>514.27</v>
      </c>
      <c r="BH21">
        <f t="shared" si="34"/>
        <v>514.27</v>
      </c>
      <c r="BI21">
        <f t="shared" si="35"/>
        <v>0.30043992070703829</v>
      </c>
      <c r="BJ21">
        <f t="shared" si="36"/>
        <v>0.42984971922266746</v>
      </c>
      <c r="BK21">
        <f t="shared" si="37"/>
        <v>-1.484962074352695</v>
      </c>
      <c r="BL21">
        <f t="shared" si="38"/>
        <v>0.17069303706307798</v>
      </c>
      <c r="BM21">
        <f t="shared" si="39"/>
        <v>-0.31112870471703458</v>
      </c>
      <c r="BN21">
        <f t="shared" si="40"/>
        <v>0.34529900355057913</v>
      </c>
      <c r="BO21">
        <f t="shared" si="41"/>
        <v>0.65470099644942081</v>
      </c>
      <c r="BP21">
        <v>6045</v>
      </c>
      <c r="BQ21">
        <v>290.00000000000011</v>
      </c>
      <c r="BR21">
        <v>705.89</v>
      </c>
      <c r="BS21">
        <v>285</v>
      </c>
      <c r="BT21">
        <v>8043.86</v>
      </c>
      <c r="BU21">
        <v>705.82</v>
      </c>
      <c r="BV21">
        <v>7.0000000000000007E-2</v>
      </c>
      <c r="BW21">
        <v>300.00000000000011</v>
      </c>
      <c r="BX21">
        <v>19.399999999999999</v>
      </c>
      <c r="BY21">
        <v>735.1334291684675</v>
      </c>
      <c r="BZ21">
        <v>2.183907794968071</v>
      </c>
      <c r="CA21">
        <v>-23.578798315916391</v>
      </c>
      <c r="CB21">
        <v>1.6137522199833381</v>
      </c>
      <c r="CC21">
        <v>0.88405130358981898</v>
      </c>
      <c r="CD21">
        <v>-4.1521027808676331E-3</v>
      </c>
      <c r="CE21">
        <v>289.99999999999989</v>
      </c>
      <c r="CF21">
        <v>704.61</v>
      </c>
      <c r="CG21">
        <v>655</v>
      </c>
      <c r="CH21">
        <v>8033.9</v>
      </c>
      <c r="CI21">
        <v>705.78</v>
      </c>
      <c r="CJ21">
        <v>-1.17</v>
      </c>
      <c r="CX21">
        <f t="shared" si="42"/>
        <v>1800</v>
      </c>
      <c r="CY21">
        <f t="shared" si="43"/>
        <v>1513.1849996510834</v>
      </c>
      <c r="CZ21">
        <f t="shared" si="44"/>
        <v>0.84065833313949079</v>
      </c>
      <c r="DA21">
        <f t="shared" si="45"/>
        <v>0.16087058295921725</v>
      </c>
      <c r="DB21">
        <v>6</v>
      </c>
      <c r="DC21">
        <v>0.5</v>
      </c>
      <c r="DD21" t="s">
        <v>422</v>
      </c>
      <c r="DE21">
        <v>2</v>
      </c>
      <c r="DF21">
        <v>1689000328.0999999</v>
      </c>
      <c r="DG21">
        <v>56.907699999999998</v>
      </c>
      <c r="DH21">
        <v>70.055899999999994</v>
      </c>
      <c r="DI21">
        <v>29.8795</v>
      </c>
      <c r="DJ21">
        <v>22.783799999999999</v>
      </c>
      <c r="DK21">
        <v>57.0946</v>
      </c>
      <c r="DL21">
        <v>29.8354</v>
      </c>
      <c r="DM21">
        <v>499.976</v>
      </c>
      <c r="DN21">
        <v>99.101399999999998</v>
      </c>
      <c r="DO21">
        <v>9.9950800000000006E-2</v>
      </c>
      <c r="DP21">
        <v>31.020199999999999</v>
      </c>
      <c r="DQ21">
        <v>30.01</v>
      </c>
      <c r="DR21">
        <v>999.9</v>
      </c>
      <c r="DS21">
        <v>0</v>
      </c>
      <c r="DT21">
        <v>0</v>
      </c>
      <c r="DU21">
        <v>9971.8799999999992</v>
      </c>
      <c r="DV21">
        <v>0</v>
      </c>
      <c r="DW21">
        <v>1253.1500000000001</v>
      </c>
      <c r="DX21">
        <v>-13.148199999999999</v>
      </c>
      <c r="DY21">
        <v>58.660400000000003</v>
      </c>
      <c r="DZ21">
        <v>71.689300000000003</v>
      </c>
      <c r="EA21">
        <v>7.0957299999999996</v>
      </c>
      <c r="EB21">
        <v>70.055899999999994</v>
      </c>
      <c r="EC21">
        <v>22.783799999999999</v>
      </c>
      <c r="ED21">
        <v>2.9611000000000001</v>
      </c>
      <c r="EE21">
        <v>2.2579099999999999</v>
      </c>
      <c r="EF21">
        <v>23.8108</v>
      </c>
      <c r="EG21">
        <v>19.379200000000001</v>
      </c>
      <c r="EH21">
        <v>1800</v>
      </c>
      <c r="EI21">
        <v>0.97799400000000003</v>
      </c>
      <c r="EJ21">
        <v>2.2006299999999999E-2</v>
      </c>
      <c r="EK21">
        <v>0</v>
      </c>
      <c r="EL21">
        <v>640.14700000000005</v>
      </c>
      <c r="EM21">
        <v>5.0005300000000004</v>
      </c>
      <c r="EN21">
        <v>13598.2</v>
      </c>
      <c r="EO21">
        <v>16035.2</v>
      </c>
      <c r="EP21">
        <v>50.561999999999998</v>
      </c>
      <c r="EQ21">
        <v>50.686999999999998</v>
      </c>
      <c r="ER21">
        <v>50.75</v>
      </c>
      <c r="ES21">
        <v>51.25</v>
      </c>
      <c r="ET21">
        <v>51.75</v>
      </c>
      <c r="EU21">
        <v>1755.5</v>
      </c>
      <c r="EV21">
        <v>39.5</v>
      </c>
      <c r="EW21">
        <v>0</v>
      </c>
      <c r="EX21">
        <v>127.2000000476837</v>
      </c>
      <c r="EY21">
        <v>0</v>
      </c>
      <c r="EZ21">
        <v>640.19534615384623</v>
      </c>
      <c r="FA21">
        <v>-1.4187692296900469</v>
      </c>
      <c r="FB21">
        <v>55.914530083233437</v>
      </c>
      <c r="FC21">
        <v>13590.065384615389</v>
      </c>
      <c r="FD21">
        <v>15</v>
      </c>
      <c r="FE21">
        <v>1689000296.0999999</v>
      </c>
      <c r="FF21" t="s">
        <v>447</v>
      </c>
      <c r="FG21">
        <v>1689000283.0999999</v>
      </c>
      <c r="FH21">
        <v>1689000296.0999999</v>
      </c>
      <c r="FI21">
        <v>7</v>
      </c>
      <c r="FJ21">
        <v>5.8000000000000003E-2</v>
      </c>
      <c r="FK21">
        <v>1E-3</v>
      </c>
      <c r="FL21">
        <v>-0.191</v>
      </c>
      <c r="FM21">
        <v>3.1E-2</v>
      </c>
      <c r="FN21">
        <v>70</v>
      </c>
      <c r="FO21">
        <v>23</v>
      </c>
      <c r="FP21">
        <v>0.12</v>
      </c>
      <c r="FQ21">
        <v>0.01</v>
      </c>
      <c r="FR21">
        <v>10.774100026450419</v>
      </c>
      <c r="FS21">
        <v>-0.69424673610059573</v>
      </c>
      <c r="FT21">
        <v>8.2346156659742653E-2</v>
      </c>
      <c r="FU21">
        <v>1</v>
      </c>
      <c r="FV21">
        <v>0.49099022723938351</v>
      </c>
      <c r="FW21">
        <v>4.9497608665116252E-2</v>
      </c>
      <c r="FX21">
        <v>4.6164384821216226E-3</v>
      </c>
      <c r="FY21">
        <v>1</v>
      </c>
      <c r="FZ21">
        <v>2</v>
      </c>
      <c r="GA21">
        <v>2</v>
      </c>
      <c r="GB21" t="s">
        <v>424</v>
      </c>
      <c r="GC21">
        <v>3.11808</v>
      </c>
      <c r="GD21">
        <v>2.76702</v>
      </c>
      <c r="GE21">
        <v>1.5274299999999999E-2</v>
      </c>
      <c r="GF21">
        <v>1.87066E-2</v>
      </c>
      <c r="GG21">
        <v>0.124956</v>
      </c>
      <c r="GH21">
        <v>0.10369</v>
      </c>
      <c r="GI21">
        <v>23578.6</v>
      </c>
      <c r="GJ21">
        <v>24285.3</v>
      </c>
      <c r="GK21">
        <v>23802.7</v>
      </c>
      <c r="GL21">
        <v>25055.3</v>
      </c>
      <c r="GM21">
        <v>30008.400000000001</v>
      </c>
      <c r="GN21">
        <v>31493.200000000001</v>
      </c>
      <c r="GO21">
        <v>37928.400000000001</v>
      </c>
      <c r="GP21">
        <v>38973.800000000003</v>
      </c>
      <c r="GQ21">
        <v>2.15665</v>
      </c>
      <c r="GR21">
        <v>1.80203</v>
      </c>
      <c r="GS21">
        <v>5.9142699999999999E-2</v>
      </c>
      <c r="GT21">
        <v>0</v>
      </c>
      <c r="GU21">
        <v>29.046800000000001</v>
      </c>
      <c r="GV21">
        <v>999.9</v>
      </c>
      <c r="GW21">
        <v>53.7</v>
      </c>
      <c r="GX21">
        <v>35.799999999999997</v>
      </c>
      <c r="GY21">
        <v>31.987300000000001</v>
      </c>
      <c r="GZ21">
        <v>61.249899999999997</v>
      </c>
      <c r="HA21">
        <v>26.902999999999999</v>
      </c>
      <c r="HB21">
        <v>1</v>
      </c>
      <c r="HC21">
        <v>0.482576</v>
      </c>
      <c r="HD21">
        <v>1.16865</v>
      </c>
      <c r="HE21">
        <v>20.3184</v>
      </c>
      <c r="HF21">
        <v>5.2509800000000002</v>
      </c>
      <c r="HG21">
        <v>12.0099</v>
      </c>
      <c r="HH21">
        <v>4.9789500000000002</v>
      </c>
      <c r="HI21">
        <v>3.2924799999999999</v>
      </c>
      <c r="HJ21">
        <v>9999</v>
      </c>
      <c r="HK21">
        <v>9999</v>
      </c>
      <c r="HL21">
        <v>9999</v>
      </c>
      <c r="HM21">
        <v>231.5</v>
      </c>
      <c r="HN21">
        <v>1.8757600000000001</v>
      </c>
      <c r="HO21">
        <v>1.8766799999999999</v>
      </c>
      <c r="HP21">
        <v>1.88289</v>
      </c>
      <c r="HQ21">
        <v>1.8859999999999999</v>
      </c>
      <c r="HR21">
        <v>1.87683</v>
      </c>
      <c r="HS21">
        <v>1.88337</v>
      </c>
      <c r="HT21">
        <v>1.8823099999999999</v>
      </c>
      <c r="HU21">
        <v>1.88578</v>
      </c>
      <c r="HV21">
        <v>0</v>
      </c>
      <c r="HW21">
        <v>0</v>
      </c>
      <c r="HX21">
        <v>0</v>
      </c>
      <c r="HY21">
        <v>0</v>
      </c>
      <c r="HZ21" t="s">
        <v>425</v>
      </c>
      <c r="IA21" t="s">
        <v>426</v>
      </c>
      <c r="IB21" t="s">
        <v>427</v>
      </c>
      <c r="IC21" t="s">
        <v>427</v>
      </c>
      <c r="ID21" t="s">
        <v>427</v>
      </c>
      <c r="IE21" t="s">
        <v>427</v>
      </c>
      <c r="IF21">
        <v>0</v>
      </c>
      <c r="IG21">
        <v>100</v>
      </c>
      <c r="IH21">
        <v>100</v>
      </c>
      <c r="II21">
        <v>-0.187</v>
      </c>
      <c r="IJ21">
        <v>4.41E-2</v>
      </c>
      <c r="IK21">
        <v>-0.164528075916511</v>
      </c>
      <c r="IL21">
        <v>-4.2852564239613137E-4</v>
      </c>
      <c r="IM21">
        <v>6.4980710991155998E-7</v>
      </c>
      <c r="IN21">
        <v>-2.7237938963984961E-10</v>
      </c>
      <c r="IO21">
        <v>-1.8597755882870191E-2</v>
      </c>
      <c r="IP21">
        <v>6.6907473102813496E-3</v>
      </c>
      <c r="IQ21">
        <v>-3.3673306238274028E-4</v>
      </c>
      <c r="IR21">
        <v>6.1311374003140313E-6</v>
      </c>
      <c r="IS21">
        <v>3</v>
      </c>
      <c r="IT21">
        <v>2101</v>
      </c>
      <c r="IU21">
        <v>1</v>
      </c>
      <c r="IV21">
        <v>32</v>
      </c>
      <c r="IW21">
        <v>0.8</v>
      </c>
      <c r="IX21">
        <v>0.5</v>
      </c>
      <c r="IY21">
        <v>0.29663099999999998</v>
      </c>
      <c r="IZ21">
        <v>2.6843300000000001</v>
      </c>
      <c r="JA21">
        <v>1.6003400000000001</v>
      </c>
      <c r="JB21">
        <v>2.33521</v>
      </c>
      <c r="JC21">
        <v>1.5502899999999999</v>
      </c>
      <c r="JD21">
        <v>2.4365199999999998</v>
      </c>
      <c r="JE21">
        <v>42.006500000000003</v>
      </c>
      <c r="JF21">
        <v>23.982399999999998</v>
      </c>
      <c r="JG21">
        <v>18</v>
      </c>
      <c r="JH21">
        <v>596.51199999999994</v>
      </c>
      <c r="JI21">
        <v>421.572</v>
      </c>
      <c r="JJ21">
        <v>28.820599999999999</v>
      </c>
      <c r="JK21">
        <v>33.178400000000003</v>
      </c>
      <c r="JL21">
        <v>30.0002</v>
      </c>
      <c r="JM21">
        <v>33.268300000000004</v>
      </c>
      <c r="JN21">
        <v>33.253100000000003</v>
      </c>
      <c r="JO21">
        <v>5.9275399999999996</v>
      </c>
      <c r="JP21">
        <v>38.998699999999999</v>
      </c>
      <c r="JQ21">
        <v>30.601800000000001</v>
      </c>
      <c r="JR21">
        <v>28.808199999999999</v>
      </c>
      <c r="JS21">
        <v>70</v>
      </c>
      <c r="JT21">
        <v>22.691199999999998</v>
      </c>
      <c r="JU21">
        <v>98.940899999999999</v>
      </c>
      <c r="JV21">
        <v>98.647999999999996</v>
      </c>
    </row>
    <row r="22" spans="1:282" x14ac:dyDescent="0.25">
      <c r="A22">
        <v>6</v>
      </c>
      <c r="B22">
        <v>1689000445.0999999</v>
      </c>
      <c r="C22">
        <v>622.5</v>
      </c>
      <c r="D22" t="s">
        <v>448</v>
      </c>
      <c r="E22" t="s">
        <v>449</v>
      </c>
      <c r="F22" t="s">
        <v>414</v>
      </c>
      <c r="G22" t="s">
        <v>415</v>
      </c>
      <c r="H22" t="s">
        <v>416</v>
      </c>
      <c r="I22" t="s">
        <v>417</v>
      </c>
      <c r="J22" t="s">
        <v>418</v>
      </c>
      <c r="K22">
        <v>1689000445.0999999</v>
      </c>
      <c r="L22">
        <f t="shared" si="0"/>
        <v>6.1139365076517942E-3</v>
      </c>
      <c r="M22">
        <f t="shared" si="1"/>
        <v>6.1139365076517942</v>
      </c>
      <c r="N22">
        <f t="shared" si="2"/>
        <v>4.5302018543879159</v>
      </c>
      <c r="O22">
        <f t="shared" si="3"/>
        <v>24.4605</v>
      </c>
      <c r="P22">
        <f t="shared" si="4"/>
        <v>8.3989848352396717</v>
      </c>
      <c r="Q22">
        <f t="shared" si="5"/>
        <v>0.83317695233900635</v>
      </c>
      <c r="R22">
        <f t="shared" si="6"/>
        <v>2.4264747755205001</v>
      </c>
      <c r="S22">
        <f t="shared" si="7"/>
        <v>0.49861913725088969</v>
      </c>
      <c r="T22">
        <f t="shared" si="8"/>
        <v>2.9132688804063074</v>
      </c>
      <c r="U22">
        <f t="shared" si="9"/>
        <v>0.45560390069983264</v>
      </c>
      <c r="V22">
        <f t="shared" si="10"/>
        <v>0.28830731153721861</v>
      </c>
      <c r="W22">
        <f t="shared" si="11"/>
        <v>289.57981732662097</v>
      </c>
      <c r="X22">
        <f t="shared" si="12"/>
        <v>31.100463367460666</v>
      </c>
      <c r="Y22">
        <f t="shared" si="13"/>
        <v>29.9635</v>
      </c>
      <c r="Z22">
        <f t="shared" si="14"/>
        <v>4.2515257672138489</v>
      </c>
      <c r="AA22">
        <f t="shared" si="15"/>
        <v>65.871971177219748</v>
      </c>
      <c r="AB22">
        <f t="shared" si="16"/>
        <v>2.9687698903111999</v>
      </c>
      <c r="AC22">
        <f t="shared" si="17"/>
        <v>4.5068787790244214</v>
      </c>
      <c r="AD22">
        <f t="shared" si="18"/>
        <v>1.282755876902649</v>
      </c>
      <c r="AE22">
        <f t="shared" si="19"/>
        <v>-269.62459998744413</v>
      </c>
      <c r="AF22">
        <f t="shared" si="20"/>
        <v>160.04429476619399</v>
      </c>
      <c r="AG22">
        <f t="shared" si="21"/>
        <v>12.272477177621585</v>
      </c>
      <c r="AH22">
        <f t="shared" si="22"/>
        <v>192.27198928299239</v>
      </c>
      <c r="AI22">
        <v>0</v>
      </c>
      <c r="AJ22">
        <v>0</v>
      </c>
      <c r="AK22">
        <f t="shared" si="23"/>
        <v>1</v>
      </c>
      <c r="AL22">
        <f t="shared" si="24"/>
        <v>0</v>
      </c>
      <c r="AM22">
        <f t="shared" si="25"/>
        <v>51702.153979848379</v>
      </c>
      <c r="AN22" t="s">
        <v>419</v>
      </c>
      <c r="AO22">
        <v>9967.0300000000007</v>
      </c>
      <c r="AP22">
        <v>178.94153846153841</v>
      </c>
      <c r="AQ22">
        <v>603.15</v>
      </c>
      <c r="AR22">
        <f t="shared" si="26"/>
        <v>0.7033216638290003</v>
      </c>
      <c r="AS22">
        <v>-3.2649104154664181</v>
      </c>
      <c r="AT22" t="s">
        <v>450</v>
      </c>
      <c r="AU22">
        <v>8049.98</v>
      </c>
      <c r="AV22">
        <v>655.77812000000006</v>
      </c>
      <c r="AW22">
        <v>727.09764845645236</v>
      </c>
      <c r="AX22">
        <f t="shared" si="27"/>
        <v>9.8087964674147599E-2</v>
      </c>
      <c r="AY22">
        <v>0.5</v>
      </c>
      <c r="AZ22">
        <f t="shared" si="28"/>
        <v>1513.2521996510989</v>
      </c>
      <c r="BA22">
        <f t="shared" si="29"/>
        <v>4.5302018543879159</v>
      </c>
      <c r="BB22">
        <f t="shared" si="30"/>
        <v>74.215914151226571</v>
      </c>
      <c r="BC22">
        <f t="shared" si="31"/>
        <v>5.1512314151280301E-3</v>
      </c>
      <c r="BD22">
        <f t="shared" si="32"/>
        <v>-0.17046905421792999</v>
      </c>
      <c r="BE22">
        <f t="shared" si="33"/>
        <v>188.4734861452468</v>
      </c>
      <c r="BF22" t="s">
        <v>451</v>
      </c>
      <c r="BG22">
        <v>536.1</v>
      </c>
      <c r="BH22">
        <f t="shared" si="34"/>
        <v>536.1</v>
      </c>
      <c r="BI22">
        <f t="shared" si="35"/>
        <v>0.2626850036744296</v>
      </c>
      <c r="BJ22">
        <f t="shared" si="36"/>
        <v>0.37340526981782829</v>
      </c>
      <c r="BK22">
        <f t="shared" si="37"/>
        <v>-1.8485853610209169</v>
      </c>
      <c r="BL22">
        <f t="shared" si="38"/>
        <v>0.13010806074407166</v>
      </c>
      <c r="BM22">
        <f t="shared" si="39"/>
        <v>-0.29218570512935055</v>
      </c>
      <c r="BN22">
        <f t="shared" si="40"/>
        <v>0.30525959778794959</v>
      </c>
      <c r="BO22">
        <f t="shared" si="41"/>
        <v>0.69474040221205047</v>
      </c>
      <c r="BP22">
        <v>6047</v>
      </c>
      <c r="BQ22">
        <v>290.00000000000011</v>
      </c>
      <c r="BR22">
        <v>701.25</v>
      </c>
      <c r="BS22">
        <v>205</v>
      </c>
      <c r="BT22">
        <v>8049.98</v>
      </c>
      <c r="BU22">
        <v>700.64</v>
      </c>
      <c r="BV22">
        <v>0.61</v>
      </c>
      <c r="BW22">
        <v>300.00000000000011</v>
      </c>
      <c r="BX22">
        <v>19.399999999999999</v>
      </c>
      <c r="BY22">
        <v>727.09764845645236</v>
      </c>
      <c r="BZ22">
        <v>1.9286071585071241</v>
      </c>
      <c r="CA22">
        <v>-21.295460062325489</v>
      </c>
      <c r="CB22">
        <v>1.425137076479611</v>
      </c>
      <c r="CC22">
        <v>0.88857301595085114</v>
      </c>
      <c r="CD22">
        <v>-4.1522289210233626E-3</v>
      </c>
      <c r="CE22">
        <v>289.99999999999989</v>
      </c>
      <c r="CF22">
        <v>699.48</v>
      </c>
      <c r="CG22">
        <v>645</v>
      </c>
      <c r="CH22">
        <v>8034.41</v>
      </c>
      <c r="CI22">
        <v>700.59</v>
      </c>
      <c r="CJ22">
        <v>-1.1100000000000001</v>
      </c>
      <c r="CX22">
        <f t="shared" si="42"/>
        <v>1800.08</v>
      </c>
      <c r="CY22">
        <f t="shared" si="43"/>
        <v>1513.2521996510989</v>
      </c>
      <c r="CZ22">
        <f t="shared" si="44"/>
        <v>0.84065830388154905</v>
      </c>
      <c r="DA22">
        <f t="shared" si="45"/>
        <v>0.1608705264913898</v>
      </c>
      <c r="DB22">
        <v>6</v>
      </c>
      <c r="DC22">
        <v>0.5</v>
      </c>
      <c r="DD22" t="s">
        <v>422</v>
      </c>
      <c r="DE22">
        <v>2</v>
      </c>
      <c r="DF22">
        <v>1689000445.0999999</v>
      </c>
      <c r="DG22">
        <v>24.4605</v>
      </c>
      <c r="DH22">
        <v>30.076000000000001</v>
      </c>
      <c r="DI22">
        <v>29.927199999999999</v>
      </c>
      <c r="DJ22">
        <v>22.810300000000002</v>
      </c>
      <c r="DK22">
        <v>24.611799999999999</v>
      </c>
      <c r="DL22">
        <v>29.883900000000001</v>
      </c>
      <c r="DM22">
        <v>500.01799999999997</v>
      </c>
      <c r="DN22">
        <v>99.099599999999995</v>
      </c>
      <c r="DO22">
        <v>0.100121</v>
      </c>
      <c r="DP22">
        <v>30.982500000000002</v>
      </c>
      <c r="DQ22">
        <v>29.9635</v>
      </c>
      <c r="DR22">
        <v>999.9</v>
      </c>
      <c r="DS22">
        <v>0</v>
      </c>
      <c r="DT22">
        <v>0</v>
      </c>
      <c r="DU22">
        <v>9997.5</v>
      </c>
      <c r="DV22">
        <v>0</v>
      </c>
      <c r="DW22">
        <v>1267.01</v>
      </c>
      <c r="DX22">
        <v>-5.6154799999999998</v>
      </c>
      <c r="DY22">
        <v>25.2151</v>
      </c>
      <c r="DZ22">
        <v>30.777999999999999</v>
      </c>
      <c r="EA22">
        <v>7.1168800000000001</v>
      </c>
      <c r="EB22">
        <v>30.076000000000001</v>
      </c>
      <c r="EC22">
        <v>22.810300000000002</v>
      </c>
      <c r="ED22">
        <v>2.96577</v>
      </c>
      <c r="EE22">
        <v>2.2604899999999999</v>
      </c>
      <c r="EF22">
        <v>23.837</v>
      </c>
      <c r="EG22">
        <v>19.397600000000001</v>
      </c>
      <c r="EH22">
        <v>1800.08</v>
      </c>
      <c r="EI22">
        <v>0.97799400000000003</v>
      </c>
      <c r="EJ22">
        <v>2.2006299999999999E-2</v>
      </c>
      <c r="EK22">
        <v>0</v>
      </c>
      <c r="EL22">
        <v>655.38300000000004</v>
      </c>
      <c r="EM22">
        <v>5.0005300000000004</v>
      </c>
      <c r="EN22">
        <v>13870.9</v>
      </c>
      <c r="EO22">
        <v>16036</v>
      </c>
      <c r="EP22">
        <v>50.5</v>
      </c>
      <c r="EQ22">
        <v>50.75</v>
      </c>
      <c r="ER22">
        <v>50.811999999999998</v>
      </c>
      <c r="ES22">
        <v>51.311999999999998</v>
      </c>
      <c r="ET22">
        <v>51.811999999999998</v>
      </c>
      <c r="EU22">
        <v>1755.58</v>
      </c>
      <c r="EV22">
        <v>39.5</v>
      </c>
      <c r="EW22">
        <v>0</v>
      </c>
      <c r="EX22">
        <v>115.2000000476837</v>
      </c>
      <c r="EY22">
        <v>0</v>
      </c>
      <c r="EZ22">
        <v>655.77812000000006</v>
      </c>
      <c r="FA22">
        <v>-1.2003845992986419</v>
      </c>
      <c r="FB22">
        <v>173.8230766820833</v>
      </c>
      <c r="FC22">
        <v>13835.464</v>
      </c>
      <c r="FD22">
        <v>15</v>
      </c>
      <c r="FE22">
        <v>1689000413.0999999</v>
      </c>
      <c r="FF22" t="s">
        <v>452</v>
      </c>
      <c r="FG22">
        <v>1689000403.5999999</v>
      </c>
      <c r="FH22">
        <v>1689000413.0999999</v>
      </c>
      <c r="FI22">
        <v>8</v>
      </c>
      <c r="FJ22">
        <v>2.3E-2</v>
      </c>
      <c r="FK22">
        <v>-1E-3</v>
      </c>
      <c r="FL22">
        <v>-0.153</v>
      </c>
      <c r="FM22">
        <v>0.03</v>
      </c>
      <c r="FN22">
        <v>30</v>
      </c>
      <c r="FO22">
        <v>23</v>
      </c>
      <c r="FP22">
        <v>0.4</v>
      </c>
      <c r="FQ22">
        <v>0.01</v>
      </c>
      <c r="FR22">
        <v>4.6533949035201072</v>
      </c>
      <c r="FS22">
        <v>-0.23292802429387091</v>
      </c>
      <c r="FT22">
        <v>2.834750954590369E-2</v>
      </c>
      <c r="FU22">
        <v>1</v>
      </c>
      <c r="FV22">
        <v>0.49334152788070329</v>
      </c>
      <c r="FW22">
        <v>4.6286140992856377E-2</v>
      </c>
      <c r="FX22">
        <v>3.6300541166685491E-3</v>
      </c>
      <c r="FY22">
        <v>1</v>
      </c>
      <c r="FZ22">
        <v>2</v>
      </c>
      <c r="GA22">
        <v>2</v>
      </c>
      <c r="GB22" t="s">
        <v>424</v>
      </c>
      <c r="GC22">
        <v>3.1181999999999999</v>
      </c>
      <c r="GD22">
        <v>2.7673999999999999</v>
      </c>
      <c r="GE22">
        <v>6.6225399999999997E-3</v>
      </c>
      <c r="GF22">
        <v>8.0975300000000004E-3</v>
      </c>
      <c r="GG22">
        <v>0.12509200000000001</v>
      </c>
      <c r="GH22">
        <v>0.103773</v>
      </c>
      <c r="GI22">
        <v>23786.9</v>
      </c>
      <c r="GJ22">
        <v>24549.4</v>
      </c>
      <c r="GK22">
        <v>23804.3</v>
      </c>
      <c r="GL22">
        <v>25057.4</v>
      </c>
      <c r="GM22">
        <v>30006.1</v>
      </c>
      <c r="GN22">
        <v>31493.200000000001</v>
      </c>
      <c r="GO22">
        <v>37931.300000000003</v>
      </c>
      <c r="GP22">
        <v>38977.4</v>
      </c>
      <c r="GQ22">
        <v>2.1568499999999999</v>
      </c>
      <c r="GR22">
        <v>1.7995000000000001</v>
      </c>
      <c r="GS22">
        <v>4.7072799999999998E-2</v>
      </c>
      <c r="GT22">
        <v>0</v>
      </c>
      <c r="GU22">
        <v>29.196999999999999</v>
      </c>
      <c r="GV22">
        <v>999.9</v>
      </c>
      <c r="GW22">
        <v>52.2</v>
      </c>
      <c r="GX22">
        <v>36.200000000000003</v>
      </c>
      <c r="GY22">
        <v>31.791799999999999</v>
      </c>
      <c r="GZ22">
        <v>60.709899999999998</v>
      </c>
      <c r="HA22">
        <v>27.447900000000001</v>
      </c>
      <c r="HB22">
        <v>1</v>
      </c>
      <c r="HC22">
        <v>0.48474800000000001</v>
      </c>
      <c r="HD22">
        <v>1.91734</v>
      </c>
      <c r="HE22">
        <v>20.311299999999999</v>
      </c>
      <c r="HF22">
        <v>5.2527799999999996</v>
      </c>
      <c r="HG22">
        <v>12.0099</v>
      </c>
      <c r="HH22">
        <v>4.9794999999999998</v>
      </c>
      <c r="HI22">
        <v>3.2930000000000001</v>
      </c>
      <c r="HJ22">
        <v>9999</v>
      </c>
      <c r="HK22">
        <v>9999</v>
      </c>
      <c r="HL22">
        <v>9999</v>
      </c>
      <c r="HM22">
        <v>231.6</v>
      </c>
      <c r="HN22">
        <v>1.87575</v>
      </c>
      <c r="HO22">
        <v>1.8766799999999999</v>
      </c>
      <c r="HP22">
        <v>1.88287</v>
      </c>
      <c r="HQ22">
        <v>1.8859900000000001</v>
      </c>
      <c r="HR22">
        <v>1.87683</v>
      </c>
      <c r="HS22">
        <v>1.88334</v>
      </c>
      <c r="HT22">
        <v>1.88229</v>
      </c>
      <c r="HU22">
        <v>1.88571</v>
      </c>
      <c r="HV22">
        <v>0</v>
      </c>
      <c r="HW22">
        <v>0</v>
      </c>
      <c r="HX22">
        <v>0</v>
      </c>
      <c r="HY22">
        <v>0</v>
      </c>
      <c r="HZ22" t="s">
        <v>425</v>
      </c>
      <c r="IA22" t="s">
        <v>426</v>
      </c>
      <c r="IB22" t="s">
        <v>427</v>
      </c>
      <c r="IC22" t="s">
        <v>427</v>
      </c>
      <c r="ID22" t="s">
        <v>427</v>
      </c>
      <c r="IE22" t="s">
        <v>427</v>
      </c>
      <c r="IF22">
        <v>0</v>
      </c>
      <c r="IG22">
        <v>100</v>
      </c>
      <c r="IH22">
        <v>100</v>
      </c>
      <c r="II22">
        <v>-0.151</v>
      </c>
      <c r="IJ22">
        <v>4.3299999999999998E-2</v>
      </c>
      <c r="IK22">
        <v>-0.1411571854361803</v>
      </c>
      <c r="IL22">
        <v>-4.2852564239613137E-4</v>
      </c>
      <c r="IM22">
        <v>6.4980710991155998E-7</v>
      </c>
      <c r="IN22">
        <v>-2.7237938963984961E-10</v>
      </c>
      <c r="IO22">
        <v>-1.950106735447759E-2</v>
      </c>
      <c r="IP22">
        <v>6.6907473102813496E-3</v>
      </c>
      <c r="IQ22">
        <v>-3.3673306238274028E-4</v>
      </c>
      <c r="IR22">
        <v>6.1311374003140313E-6</v>
      </c>
      <c r="IS22">
        <v>3</v>
      </c>
      <c r="IT22">
        <v>2101</v>
      </c>
      <c r="IU22">
        <v>1</v>
      </c>
      <c r="IV22">
        <v>32</v>
      </c>
      <c r="IW22">
        <v>0.7</v>
      </c>
      <c r="IX22">
        <v>0.5</v>
      </c>
      <c r="IY22">
        <v>0.20996100000000001</v>
      </c>
      <c r="IZ22">
        <v>2.7099600000000001</v>
      </c>
      <c r="JA22">
        <v>1.6003400000000001</v>
      </c>
      <c r="JB22">
        <v>2.3339799999999999</v>
      </c>
      <c r="JC22">
        <v>1.5502899999999999</v>
      </c>
      <c r="JD22">
        <v>2.3925800000000002</v>
      </c>
      <c r="JE22">
        <v>42.218000000000004</v>
      </c>
      <c r="JF22">
        <v>23.973700000000001</v>
      </c>
      <c r="JG22">
        <v>18</v>
      </c>
      <c r="JH22">
        <v>596.67999999999995</v>
      </c>
      <c r="JI22">
        <v>419.95800000000003</v>
      </c>
      <c r="JJ22">
        <v>28.0214</v>
      </c>
      <c r="JK22">
        <v>33.188299999999998</v>
      </c>
      <c r="JL22">
        <v>29.9999</v>
      </c>
      <c r="JM22">
        <v>33.2712</v>
      </c>
      <c r="JN22">
        <v>33.259</v>
      </c>
      <c r="JO22">
        <v>4.1968899999999998</v>
      </c>
      <c r="JP22">
        <v>37.8583</v>
      </c>
      <c r="JQ22">
        <v>27.752400000000002</v>
      </c>
      <c r="JR22">
        <v>28.575800000000001</v>
      </c>
      <c r="JS22">
        <v>30</v>
      </c>
      <c r="JT22">
        <v>22.648</v>
      </c>
      <c r="JU22">
        <v>98.948300000000003</v>
      </c>
      <c r="JV22">
        <v>98.656800000000004</v>
      </c>
    </row>
    <row r="23" spans="1:282" x14ac:dyDescent="0.25">
      <c r="A23">
        <v>7</v>
      </c>
      <c r="B23">
        <v>1689000581.5999999</v>
      </c>
      <c r="C23">
        <v>759</v>
      </c>
      <c r="D23" t="s">
        <v>453</v>
      </c>
      <c r="E23" t="s">
        <v>454</v>
      </c>
      <c r="F23" t="s">
        <v>414</v>
      </c>
      <c r="G23" t="s">
        <v>415</v>
      </c>
      <c r="H23" t="s">
        <v>416</v>
      </c>
      <c r="I23" t="s">
        <v>417</v>
      </c>
      <c r="J23" t="s">
        <v>418</v>
      </c>
      <c r="K23">
        <v>1689000581.5999999</v>
      </c>
      <c r="L23">
        <f t="shared" si="0"/>
        <v>6.2011450320894378E-3</v>
      </c>
      <c r="M23">
        <f t="shared" si="1"/>
        <v>6.2011450320894381</v>
      </c>
      <c r="N23">
        <f t="shared" si="2"/>
        <v>1.445839256383519</v>
      </c>
      <c r="O23">
        <f t="shared" si="3"/>
        <v>8.3609299999999998</v>
      </c>
      <c r="P23">
        <f t="shared" si="4"/>
        <v>3.2355036926575793</v>
      </c>
      <c r="Q23">
        <f t="shared" si="5"/>
        <v>0.32097494456404391</v>
      </c>
      <c r="R23">
        <f t="shared" si="6"/>
        <v>0.82943779336241608</v>
      </c>
      <c r="S23">
        <f t="shared" si="7"/>
        <v>0.50006674004702933</v>
      </c>
      <c r="T23">
        <f t="shared" si="8"/>
        <v>2.9166194183537115</v>
      </c>
      <c r="U23">
        <f t="shared" si="9"/>
        <v>0.45685806213053926</v>
      </c>
      <c r="V23">
        <f t="shared" si="10"/>
        <v>0.28910665203641023</v>
      </c>
      <c r="W23">
        <f t="shared" si="11"/>
        <v>289.58300932662837</v>
      </c>
      <c r="X23">
        <f t="shared" si="12"/>
        <v>31.138841883755362</v>
      </c>
      <c r="Y23">
        <f t="shared" si="13"/>
        <v>30.000299999999999</v>
      </c>
      <c r="Z23">
        <f t="shared" si="14"/>
        <v>4.2605231879961432</v>
      </c>
      <c r="AA23">
        <f t="shared" si="15"/>
        <v>65.515080120994611</v>
      </c>
      <c r="AB23">
        <f t="shared" si="16"/>
        <v>2.9630055657193601</v>
      </c>
      <c r="AC23">
        <f t="shared" si="17"/>
        <v>4.5226313701322196</v>
      </c>
      <c r="AD23">
        <f t="shared" si="18"/>
        <v>1.297517622276783</v>
      </c>
      <c r="AE23">
        <f t="shared" si="19"/>
        <v>-273.47049591514423</v>
      </c>
      <c r="AF23">
        <f t="shared" si="20"/>
        <v>164.06503619825676</v>
      </c>
      <c r="AG23">
        <f t="shared" si="21"/>
        <v>12.572431913973585</v>
      </c>
      <c r="AH23">
        <f t="shared" si="22"/>
        <v>192.74998152371447</v>
      </c>
      <c r="AI23">
        <v>0</v>
      </c>
      <c r="AJ23">
        <v>0</v>
      </c>
      <c r="AK23">
        <f t="shared" si="23"/>
        <v>1</v>
      </c>
      <c r="AL23">
        <f t="shared" si="24"/>
        <v>0</v>
      </c>
      <c r="AM23">
        <f t="shared" si="25"/>
        <v>51786.867106746271</v>
      </c>
      <c r="AN23" t="s">
        <v>419</v>
      </c>
      <c r="AO23">
        <v>9967.0300000000007</v>
      </c>
      <c r="AP23">
        <v>178.94153846153841</v>
      </c>
      <c r="AQ23">
        <v>603.15</v>
      </c>
      <c r="AR23">
        <f t="shared" si="26"/>
        <v>0.7033216638290003</v>
      </c>
      <c r="AS23">
        <v>-3.2649104154664181</v>
      </c>
      <c r="AT23" t="s">
        <v>455</v>
      </c>
      <c r="AU23">
        <v>8058.99</v>
      </c>
      <c r="AV23">
        <v>663.14583999999991</v>
      </c>
      <c r="AW23">
        <v>720.27261247316983</v>
      </c>
      <c r="AX23">
        <f t="shared" si="27"/>
        <v>7.931270949899949E-2</v>
      </c>
      <c r="AY23">
        <v>0.5</v>
      </c>
      <c r="AZ23">
        <f t="shared" si="28"/>
        <v>1513.2689996511028</v>
      </c>
      <c r="BA23">
        <f t="shared" si="29"/>
        <v>1.445839256383519</v>
      </c>
      <c r="BB23">
        <f t="shared" si="30"/>
        <v>60.010732281584737</v>
      </c>
      <c r="BC23">
        <f t="shared" si="31"/>
        <v>3.1129625155448511E-3</v>
      </c>
      <c r="BD23">
        <f t="shared" si="32"/>
        <v>-0.16260872681388072</v>
      </c>
      <c r="BE23">
        <f t="shared" si="33"/>
        <v>188.01168987559316</v>
      </c>
      <c r="BF23" t="s">
        <v>456</v>
      </c>
      <c r="BG23">
        <v>548.16</v>
      </c>
      <c r="BH23">
        <f t="shared" si="34"/>
        <v>548.16</v>
      </c>
      <c r="BI23">
        <f t="shared" si="35"/>
        <v>0.23895482001209789</v>
      </c>
      <c r="BJ23">
        <f t="shared" si="36"/>
        <v>0.33191508543323778</v>
      </c>
      <c r="BK23">
        <f t="shared" si="37"/>
        <v>-2.1298892975662818</v>
      </c>
      <c r="BL23">
        <f t="shared" si="38"/>
        <v>0.10553019254893624</v>
      </c>
      <c r="BM23">
        <f t="shared" si="39"/>
        <v>-0.27609683231778426</v>
      </c>
      <c r="BN23">
        <f t="shared" si="40"/>
        <v>0.27436283582972282</v>
      </c>
      <c r="BO23">
        <f t="shared" si="41"/>
        <v>0.72563716417027724</v>
      </c>
      <c r="BP23">
        <v>6049</v>
      </c>
      <c r="BQ23">
        <v>290.00000000000011</v>
      </c>
      <c r="BR23">
        <v>700.14</v>
      </c>
      <c r="BS23">
        <v>115</v>
      </c>
      <c r="BT23">
        <v>8058.99</v>
      </c>
      <c r="BU23">
        <v>698.65</v>
      </c>
      <c r="BV23">
        <v>1.49</v>
      </c>
      <c r="BW23">
        <v>300.00000000000011</v>
      </c>
      <c r="BX23">
        <v>19.399999999999999</v>
      </c>
      <c r="BY23">
        <v>720.27261247316983</v>
      </c>
      <c r="BZ23">
        <v>2.4038057771815979</v>
      </c>
      <c r="CA23">
        <v>-17.426330722887538</v>
      </c>
      <c r="CB23">
        <v>1.776289954239457</v>
      </c>
      <c r="CC23">
        <v>0.77464123342011282</v>
      </c>
      <c r="CD23">
        <v>-4.1521648498331464E-3</v>
      </c>
      <c r="CE23">
        <v>289.99999999999989</v>
      </c>
      <c r="CF23">
        <v>697.06</v>
      </c>
      <c r="CG23">
        <v>635</v>
      </c>
      <c r="CH23">
        <v>8034.78</v>
      </c>
      <c r="CI23">
        <v>698.58</v>
      </c>
      <c r="CJ23">
        <v>-1.52</v>
      </c>
      <c r="CX23">
        <f t="shared" si="42"/>
        <v>1800.1</v>
      </c>
      <c r="CY23">
        <f t="shared" si="43"/>
        <v>1513.2689996511028</v>
      </c>
      <c r="CZ23">
        <f t="shared" si="44"/>
        <v>0.84065829656747004</v>
      </c>
      <c r="DA23">
        <f t="shared" si="45"/>
        <v>0.16087051237521716</v>
      </c>
      <c r="DB23">
        <v>6</v>
      </c>
      <c r="DC23">
        <v>0.5</v>
      </c>
      <c r="DD23" t="s">
        <v>422</v>
      </c>
      <c r="DE23">
        <v>2</v>
      </c>
      <c r="DF23">
        <v>1689000581.5999999</v>
      </c>
      <c r="DG23">
        <v>8.3609299999999998</v>
      </c>
      <c r="DH23">
        <v>10.158099999999999</v>
      </c>
      <c r="DI23">
        <v>29.867799999999999</v>
      </c>
      <c r="DJ23">
        <v>22.648900000000001</v>
      </c>
      <c r="DK23">
        <v>8.5064299999999999</v>
      </c>
      <c r="DL23">
        <v>29.824999999999999</v>
      </c>
      <c r="DM23">
        <v>500.01499999999999</v>
      </c>
      <c r="DN23">
        <v>99.104200000000006</v>
      </c>
      <c r="DO23">
        <v>9.9811200000000003E-2</v>
      </c>
      <c r="DP23">
        <v>31.043700000000001</v>
      </c>
      <c r="DQ23">
        <v>30.000299999999999</v>
      </c>
      <c r="DR23">
        <v>999.9</v>
      </c>
      <c r="DS23">
        <v>0</v>
      </c>
      <c r="DT23">
        <v>0</v>
      </c>
      <c r="DU23">
        <v>10016.200000000001</v>
      </c>
      <c r="DV23">
        <v>0</v>
      </c>
      <c r="DW23">
        <v>1282.3699999999999</v>
      </c>
      <c r="DX23">
        <v>-1.79722</v>
      </c>
      <c r="DY23">
        <v>8.6183399999999999</v>
      </c>
      <c r="DZ23">
        <v>10.3935</v>
      </c>
      <c r="EA23">
        <v>7.2188999999999997</v>
      </c>
      <c r="EB23">
        <v>10.158099999999999</v>
      </c>
      <c r="EC23">
        <v>22.648900000000001</v>
      </c>
      <c r="ED23">
        <v>2.9600300000000002</v>
      </c>
      <c r="EE23">
        <v>2.2446000000000002</v>
      </c>
      <c r="EF23">
        <v>23.8047</v>
      </c>
      <c r="EG23">
        <v>19.284199999999998</v>
      </c>
      <c r="EH23">
        <v>1800.1</v>
      </c>
      <c r="EI23">
        <v>0.97799400000000003</v>
      </c>
      <c r="EJ23">
        <v>2.2006299999999999E-2</v>
      </c>
      <c r="EK23">
        <v>0</v>
      </c>
      <c r="EL23">
        <v>663.24199999999996</v>
      </c>
      <c r="EM23">
        <v>5.0005300000000004</v>
      </c>
      <c r="EN23">
        <v>14009.5</v>
      </c>
      <c r="EO23">
        <v>16036.1</v>
      </c>
      <c r="EP23">
        <v>50.561999999999998</v>
      </c>
      <c r="EQ23">
        <v>50.811999999999998</v>
      </c>
      <c r="ER23">
        <v>50.811999999999998</v>
      </c>
      <c r="ES23">
        <v>51.311999999999998</v>
      </c>
      <c r="ET23">
        <v>51.811999999999998</v>
      </c>
      <c r="EU23">
        <v>1755.6</v>
      </c>
      <c r="EV23">
        <v>39.5</v>
      </c>
      <c r="EW23">
        <v>0</v>
      </c>
      <c r="EX23">
        <v>134.4000000953674</v>
      </c>
      <c r="EY23">
        <v>0</v>
      </c>
      <c r="EZ23">
        <v>663.14583999999991</v>
      </c>
      <c r="FA23">
        <v>-1.0462307665293411</v>
      </c>
      <c r="FB23">
        <v>25.761538545314771</v>
      </c>
      <c r="FC23">
        <v>14014.472</v>
      </c>
      <c r="FD23">
        <v>15</v>
      </c>
      <c r="FE23">
        <v>1689000551.5999999</v>
      </c>
      <c r="FF23" t="s">
        <v>457</v>
      </c>
      <c r="FG23">
        <v>1689000540.5999999</v>
      </c>
      <c r="FH23">
        <v>1689000551.5999999</v>
      </c>
      <c r="FI23">
        <v>9</v>
      </c>
      <c r="FJ23">
        <v>-1E-3</v>
      </c>
      <c r="FK23">
        <v>0</v>
      </c>
      <c r="FL23">
        <v>-0.14599999999999999</v>
      </c>
      <c r="FM23">
        <v>0.03</v>
      </c>
      <c r="FN23">
        <v>10</v>
      </c>
      <c r="FO23">
        <v>22</v>
      </c>
      <c r="FP23">
        <v>0.22</v>
      </c>
      <c r="FQ23">
        <v>0.01</v>
      </c>
      <c r="FR23">
        <v>1.546164533625157</v>
      </c>
      <c r="FS23">
        <v>-0.32996689222394249</v>
      </c>
      <c r="FT23">
        <v>3.3709944506901013E-2</v>
      </c>
      <c r="FU23">
        <v>1</v>
      </c>
      <c r="FV23">
        <v>0.49819923918828651</v>
      </c>
      <c r="FW23">
        <v>4.2338812821974582E-2</v>
      </c>
      <c r="FX23">
        <v>3.6674170347235071E-3</v>
      </c>
      <c r="FY23">
        <v>1</v>
      </c>
      <c r="FZ23">
        <v>2</v>
      </c>
      <c r="GA23">
        <v>2</v>
      </c>
      <c r="GB23" t="s">
        <v>424</v>
      </c>
      <c r="GC23">
        <v>3.1182400000000001</v>
      </c>
      <c r="GD23">
        <v>2.7672500000000002</v>
      </c>
      <c r="GE23">
        <v>2.2911199999999998E-3</v>
      </c>
      <c r="GF23">
        <v>2.7382000000000001E-3</v>
      </c>
      <c r="GG23">
        <v>0.12492300000000001</v>
      </c>
      <c r="GH23">
        <v>0.103252</v>
      </c>
      <c r="GI23">
        <v>23889.4</v>
      </c>
      <c r="GJ23">
        <v>24682.799999999999</v>
      </c>
      <c r="GK23">
        <v>23803.4</v>
      </c>
      <c r="GL23">
        <v>25058.5</v>
      </c>
      <c r="GM23">
        <v>30011</v>
      </c>
      <c r="GN23">
        <v>31513</v>
      </c>
      <c r="GO23">
        <v>37930.199999999997</v>
      </c>
      <c r="GP23">
        <v>38979.300000000003</v>
      </c>
      <c r="GQ23">
        <v>2.1568800000000001</v>
      </c>
      <c r="GR23">
        <v>1.7957000000000001</v>
      </c>
      <c r="GS23">
        <v>5.3308899999999999E-2</v>
      </c>
      <c r="GT23">
        <v>0</v>
      </c>
      <c r="GU23">
        <v>29.132200000000001</v>
      </c>
      <c r="GV23">
        <v>999.9</v>
      </c>
      <c r="GW23">
        <v>50.5</v>
      </c>
      <c r="GX23">
        <v>36.5</v>
      </c>
      <c r="GY23">
        <v>31.260899999999999</v>
      </c>
      <c r="GZ23">
        <v>60.729799999999997</v>
      </c>
      <c r="HA23">
        <v>27.527999999999999</v>
      </c>
      <c r="HB23">
        <v>1</v>
      </c>
      <c r="HC23">
        <v>0.48579800000000001</v>
      </c>
      <c r="HD23">
        <v>1.5108699999999999</v>
      </c>
      <c r="HE23">
        <v>20.315899999999999</v>
      </c>
      <c r="HF23">
        <v>5.2526299999999999</v>
      </c>
      <c r="HG23">
        <v>12.0099</v>
      </c>
      <c r="HH23">
        <v>4.9794499999999999</v>
      </c>
      <c r="HI23">
        <v>3.2930000000000001</v>
      </c>
      <c r="HJ23">
        <v>9999</v>
      </c>
      <c r="HK23">
        <v>9999</v>
      </c>
      <c r="HL23">
        <v>9999</v>
      </c>
      <c r="HM23">
        <v>231.6</v>
      </c>
      <c r="HN23">
        <v>1.8757600000000001</v>
      </c>
      <c r="HO23">
        <v>1.8767</v>
      </c>
      <c r="HP23">
        <v>1.88286</v>
      </c>
      <c r="HQ23">
        <v>1.8859900000000001</v>
      </c>
      <c r="HR23">
        <v>1.87683</v>
      </c>
      <c r="HS23">
        <v>1.8833200000000001</v>
      </c>
      <c r="HT23">
        <v>1.88226</v>
      </c>
      <c r="HU23">
        <v>1.88574</v>
      </c>
      <c r="HV23">
        <v>0</v>
      </c>
      <c r="HW23">
        <v>0</v>
      </c>
      <c r="HX23">
        <v>0</v>
      </c>
      <c r="HY23">
        <v>0</v>
      </c>
      <c r="HZ23" t="s">
        <v>425</v>
      </c>
      <c r="IA23" t="s">
        <v>426</v>
      </c>
      <c r="IB23" t="s">
        <v>427</v>
      </c>
      <c r="IC23" t="s">
        <v>427</v>
      </c>
      <c r="ID23" t="s">
        <v>427</v>
      </c>
      <c r="IE23" t="s">
        <v>427</v>
      </c>
      <c r="IF23">
        <v>0</v>
      </c>
      <c r="IG23">
        <v>100</v>
      </c>
      <c r="IH23">
        <v>100</v>
      </c>
      <c r="II23">
        <v>-0.14599999999999999</v>
      </c>
      <c r="IJ23">
        <v>4.2799999999999998E-2</v>
      </c>
      <c r="IK23">
        <v>-0.1419067973239567</v>
      </c>
      <c r="IL23">
        <v>-4.2852564239613137E-4</v>
      </c>
      <c r="IM23">
        <v>6.4980710991155998E-7</v>
      </c>
      <c r="IN23">
        <v>-2.7237938963984961E-10</v>
      </c>
      <c r="IO23">
        <v>-1.9877315042672889E-2</v>
      </c>
      <c r="IP23">
        <v>6.6907473102813496E-3</v>
      </c>
      <c r="IQ23">
        <v>-3.3673306238274028E-4</v>
      </c>
      <c r="IR23">
        <v>6.1311374003140313E-6</v>
      </c>
      <c r="IS23">
        <v>3</v>
      </c>
      <c r="IT23">
        <v>2101</v>
      </c>
      <c r="IU23">
        <v>1</v>
      </c>
      <c r="IV23">
        <v>32</v>
      </c>
      <c r="IW23">
        <v>0.7</v>
      </c>
      <c r="IX23">
        <v>0.5</v>
      </c>
      <c r="IY23">
        <v>0.168457</v>
      </c>
      <c r="IZ23">
        <v>2.7355999999999998</v>
      </c>
      <c r="JA23">
        <v>1.6015600000000001</v>
      </c>
      <c r="JB23">
        <v>2.3327599999999999</v>
      </c>
      <c r="JC23">
        <v>1.5502899999999999</v>
      </c>
      <c r="JD23">
        <v>2.36938</v>
      </c>
      <c r="JE23">
        <v>42.483699999999999</v>
      </c>
      <c r="JF23">
        <v>23.973700000000001</v>
      </c>
      <c r="JG23">
        <v>18</v>
      </c>
      <c r="JH23">
        <v>596.88599999999997</v>
      </c>
      <c r="JI23">
        <v>417.59899999999999</v>
      </c>
      <c r="JJ23">
        <v>28.499600000000001</v>
      </c>
      <c r="JK23">
        <v>33.2104</v>
      </c>
      <c r="JL23">
        <v>30.0001</v>
      </c>
      <c r="JM23">
        <v>33.291899999999998</v>
      </c>
      <c r="JN23">
        <v>33.276699999999998</v>
      </c>
      <c r="JO23">
        <v>3.3516400000000002</v>
      </c>
      <c r="JP23">
        <v>35.953000000000003</v>
      </c>
      <c r="JQ23">
        <v>24.5626</v>
      </c>
      <c r="JR23">
        <v>28.499600000000001</v>
      </c>
      <c r="JS23">
        <v>10</v>
      </c>
      <c r="JT23">
        <v>22.548500000000001</v>
      </c>
      <c r="JU23">
        <v>98.944999999999993</v>
      </c>
      <c r="JV23">
        <v>98.661500000000004</v>
      </c>
    </row>
    <row r="24" spans="1:282" x14ac:dyDescent="0.25">
      <c r="A24">
        <v>8</v>
      </c>
      <c r="B24">
        <v>1689000771.0999999</v>
      </c>
      <c r="C24">
        <v>948.5</v>
      </c>
      <c r="D24" t="s">
        <v>458</v>
      </c>
      <c r="E24" t="s">
        <v>459</v>
      </c>
      <c r="F24" t="s">
        <v>414</v>
      </c>
      <c r="G24" t="s">
        <v>415</v>
      </c>
      <c r="H24" t="s">
        <v>416</v>
      </c>
      <c r="I24" t="s">
        <v>417</v>
      </c>
      <c r="J24" t="s">
        <v>418</v>
      </c>
      <c r="K24">
        <v>1689000771.0999999</v>
      </c>
      <c r="L24">
        <f t="shared" si="0"/>
        <v>5.8776534928417657E-3</v>
      </c>
      <c r="M24">
        <f t="shared" si="1"/>
        <v>5.8776534928417661</v>
      </c>
      <c r="N24">
        <f t="shared" si="2"/>
        <v>44.597056950721885</v>
      </c>
      <c r="O24">
        <f t="shared" si="3"/>
        <v>344.04500000000002</v>
      </c>
      <c r="P24">
        <f t="shared" si="4"/>
        <v>171.64330989279622</v>
      </c>
      <c r="Q24">
        <f t="shared" si="5"/>
        <v>17.026811673882673</v>
      </c>
      <c r="R24">
        <f t="shared" si="6"/>
        <v>34.128853760742011</v>
      </c>
      <c r="S24">
        <f t="shared" si="7"/>
        <v>0.45983412097665466</v>
      </c>
      <c r="T24">
        <f t="shared" si="8"/>
        <v>2.9198102388823379</v>
      </c>
      <c r="U24">
        <f t="shared" si="9"/>
        <v>0.42306129144113153</v>
      </c>
      <c r="V24">
        <f t="shared" si="10"/>
        <v>0.26747171399524816</v>
      </c>
      <c r="W24">
        <f t="shared" si="11"/>
        <v>289.57981732662097</v>
      </c>
      <c r="X24">
        <f t="shared" si="12"/>
        <v>31.243976737679841</v>
      </c>
      <c r="Y24">
        <f t="shared" si="13"/>
        <v>30.023800000000001</v>
      </c>
      <c r="Z24">
        <f t="shared" si="14"/>
        <v>4.2662775015427838</v>
      </c>
      <c r="AA24">
        <f t="shared" si="15"/>
        <v>64.887191250088861</v>
      </c>
      <c r="AB24">
        <f t="shared" si="16"/>
        <v>2.9381397226621204</v>
      </c>
      <c r="AC24">
        <f t="shared" si="17"/>
        <v>4.5280735166019328</v>
      </c>
      <c r="AD24">
        <f t="shared" si="18"/>
        <v>1.3281377788806634</v>
      </c>
      <c r="AE24">
        <f t="shared" si="19"/>
        <v>-259.20451903432189</v>
      </c>
      <c r="AF24">
        <f t="shared" si="20"/>
        <v>163.86673479216827</v>
      </c>
      <c r="AG24">
        <f t="shared" si="21"/>
        <v>12.546277924379272</v>
      </c>
      <c r="AH24">
        <f t="shared" si="22"/>
        <v>206.78831100884665</v>
      </c>
      <c r="AI24">
        <v>0</v>
      </c>
      <c r="AJ24">
        <v>0</v>
      </c>
      <c r="AK24">
        <f t="shared" si="23"/>
        <v>1</v>
      </c>
      <c r="AL24">
        <f t="shared" si="24"/>
        <v>0</v>
      </c>
      <c r="AM24">
        <f t="shared" si="25"/>
        <v>51873.710536370185</v>
      </c>
      <c r="AN24" t="s">
        <v>419</v>
      </c>
      <c r="AO24">
        <v>9967.0300000000007</v>
      </c>
      <c r="AP24">
        <v>178.94153846153841</v>
      </c>
      <c r="AQ24">
        <v>603.15</v>
      </c>
      <c r="AR24">
        <f t="shared" si="26"/>
        <v>0.7033216638290003</v>
      </c>
      <c r="AS24">
        <v>-3.2649104154664181</v>
      </c>
      <c r="AT24" t="s">
        <v>460</v>
      </c>
      <c r="AU24">
        <v>8045.21</v>
      </c>
      <c r="AV24">
        <v>634.15055999999993</v>
      </c>
      <c r="AW24">
        <v>1045.7377003857821</v>
      </c>
      <c r="AX24">
        <f t="shared" si="27"/>
        <v>0.39358544712880095</v>
      </c>
      <c r="AY24">
        <v>0.5</v>
      </c>
      <c r="AZ24">
        <f t="shared" si="28"/>
        <v>1513.2521996510989</v>
      </c>
      <c r="BA24">
        <f t="shared" si="29"/>
        <v>44.597056950721885</v>
      </c>
      <c r="BB24">
        <f t="shared" si="30"/>
        <v>297.79702180915967</v>
      </c>
      <c r="BC24">
        <f t="shared" si="31"/>
        <v>3.162854637001257E-2</v>
      </c>
      <c r="BD24">
        <f t="shared" si="32"/>
        <v>-0.42323012761470447</v>
      </c>
      <c r="BE24">
        <f t="shared" si="33"/>
        <v>204.63633337926566</v>
      </c>
      <c r="BF24" t="s">
        <v>461</v>
      </c>
      <c r="BG24">
        <v>507.89</v>
      </c>
      <c r="BH24">
        <f t="shared" si="34"/>
        <v>507.89</v>
      </c>
      <c r="BI24">
        <f t="shared" si="35"/>
        <v>0.51432371634623597</v>
      </c>
      <c r="BJ24">
        <f t="shared" si="36"/>
        <v>0.76524848965713343</v>
      </c>
      <c r="BK24">
        <f t="shared" si="37"/>
        <v>-4.6461022505330902</v>
      </c>
      <c r="BL24">
        <f t="shared" si="38"/>
        <v>0.47483728985610585</v>
      </c>
      <c r="BM24">
        <f t="shared" si="39"/>
        <v>-1.0433259600260334</v>
      </c>
      <c r="BN24">
        <f t="shared" si="40"/>
        <v>0.61288608719664539</v>
      </c>
      <c r="BO24">
        <f t="shared" si="41"/>
        <v>0.38711391280335461</v>
      </c>
      <c r="BP24">
        <v>6051</v>
      </c>
      <c r="BQ24">
        <v>290.00000000000011</v>
      </c>
      <c r="BR24">
        <v>867.52</v>
      </c>
      <c r="BS24">
        <v>285</v>
      </c>
      <c r="BT24">
        <v>8045.21</v>
      </c>
      <c r="BU24">
        <v>871.48</v>
      </c>
      <c r="BV24">
        <v>-3.96</v>
      </c>
      <c r="BW24">
        <v>300.00000000000011</v>
      </c>
      <c r="BX24">
        <v>19.399999999999999</v>
      </c>
      <c r="BY24">
        <v>1045.7377003857821</v>
      </c>
      <c r="BZ24">
        <v>5.2076155850193606</v>
      </c>
      <c r="CA24">
        <v>-140.191332863973</v>
      </c>
      <c r="CB24">
        <v>3.848675196471933</v>
      </c>
      <c r="CC24">
        <v>0.97933341136425489</v>
      </c>
      <c r="CD24">
        <v>-4.1532945494994417E-3</v>
      </c>
      <c r="CE24">
        <v>289.99999999999989</v>
      </c>
      <c r="CF24">
        <v>851.89</v>
      </c>
      <c r="CG24">
        <v>625</v>
      </c>
      <c r="CH24">
        <v>8036.21</v>
      </c>
      <c r="CI24">
        <v>871.29</v>
      </c>
      <c r="CJ24">
        <v>-19.399999999999999</v>
      </c>
      <c r="CX24">
        <f t="shared" si="42"/>
        <v>1800.08</v>
      </c>
      <c r="CY24">
        <f t="shared" si="43"/>
        <v>1513.2521996510989</v>
      </c>
      <c r="CZ24">
        <f t="shared" si="44"/>
        <v>0.84065830388154905</v>
      </c>
      <c r="DA24">
        <f t="shared" si="45"/>
        <v>0.1608705264913898</v>
      </c>
      <c r="DB24">
        <v>6</v>
      </c>
      <c r="DC24">
        <v>0.5</v>
      </c>
      <c r="DD24" t="s">
        <v>422</v>
      </c>
      <c r="DE24">
        <v>2</v>
      </c>
      <c r="DF24">
        <v>1689000771.0999999</v>
      </c>
      <c r="DG24">
        <v>344.04500000000002</v>
      </c>
      <c r="DH24">
        <v>399.976</v>
      </c>
      <c r="DI24">
        <v>29.6187</v>
      </c>
      <c r="DJ24">
        <v>22.7759</v>
      </c>
      <c r="DK24">
        <v>344.69400000000002</v>
      </c>
      <c r="DL24">
        <v>29.571300000000001</v>
      </c>
      <c r="DM24">
        <v>500.108</v>
      </c>
      <c r="DN24">
        <v>99.099000000000004</v>
      </c>
      <c r="DO24">
        <v>9.9807599999999996E-2</v>
      </c>
      <c r="DP24">
        <v>31.064800000000002</v>
      </c>
      <c r="DQ24">
        <v>30.023800000000001</v>
      </c>
      <c r="DR24">
        <v>999.9</v>
      </c>
      <c r="DS24">
        <v>0</v>
      </c>
      <c r="DT24">
        <v>0</v>
      </c>
      <c r="DU24">
        <v>10035</v>
      </c>
      <c r="DV24">
        <v>0</v>
      </c>
      <c r="DW24">
        <v>1302.3800000000001</v>
      </c>
      <c r="DX24">
        <v>-55.930999999999997</v>
      </c>
      <c r="DY24">
        <v>354.54599999999999</v>
      </c>
      <c r="DZ24">
        <v>409.298</v>
      </c>
      <c r="EA24">
        <v>6.8428199999999997</v>
      </c>
      <c r="EB24">
        <v>399.976</v>
      </c>
      <c r="EC24">
        <v>22.7759</v>
      </c>
      <c r="ED24">
        <v>2.9351799999999999</v>
      </c>
      <c r="EE24">
        <v>2.2570700000000001</v>
      </c>
      <c r="EF24">
        <v>23.6647</v>
      </c>
      <c r="EG24">
        <v>19.373200000000001</v>
      </c>
      <c r="EH24">
        <v>1800.08</v>
      </c>
      <c r="EI24">
        <v>0.97799400000000003</v>
      </c>
      <c r="EJ24">
        <v>2.2006299999999999E-2</v>
      </c>
      <c r="EK24">
        <v>0</v>
      </c>
      <c r="EL24">
        <v>634.60900000000004</v>
      </c>
      <c r="EM24">
        <v>5.0005300000000004</v>
      </c>
      <c r="EN24">
        <v>13517.7</v>
      </c>
      <c r="EO24">
        <v>16035.9</v>
      </c>
      <c r="EP24">
        <v>50.561999999999998</v>
      </c>
      <c r="EQ24">
        <v>50.75</v>
      </c>
      <c r="ER24">
        <v>50.811999999999998</v>
      </c>
      <c r="ES24">
        <v>51.311999999999998</v>
      </c>
      <c r="ET24">
        <v>51.811999999999998</v>
      </c>
      <c r="EU24">
        <v>1755.58</v>
      </c>
      <c r="EV24">
        <v>39.5</v>
      </c>
      <c r="EW24">
        <v>0</v>
      </c>
      <c r="EX24">
        <v>187.4000000953674</v>
      </c>
      <c r="EY24">
        <v>0</v>
      </c>
      <c r="EZ24">
        <v>634.15055999999993</v>
      </c>
      <c r="FA24">
        <v>3.607999983902638</v>
      </c>
      <c r="FB24">
        <v>84.330769239340313</v>
      </c>
      <c r="FC24">
        <v>13505.924000000001</v>
      </c>
      <c r="FD24">
        <v>15</v>
      </c>
      <c r="FE24">
        <v>1689000691.5999999</v>
      </c>
      <c r="FF24" t="s">
        <v>462</v>
      </c>
      <c r="FG24">
        <v>1689000679.5999999</v>
      </c>
      <c r="FH24">
        <v>1689000691.5999999</v>
      </c>
      <c r="FI24">
        <v>10</v>
      </c>
      <c r="FJ24">
        <v>-0.42499999999999999</v>
      </c>
      <c r="FK24">
        <v>5.0000000000000001E-3</v>
      </c>
      <c r="FL24">
        <v>-0.65200000000000002</v>
      </c>
      <c r="FM24">
        <v>3.5000000000000003E-2</v>
      </c>
      <c r="FN24">
        <v>400</v>
      </c>
      <c r="FO24">
        <v>22</v>
      </c>
      <c r="FP24">
        <v>0.04</v>
      </c>
      <c r="FQ24">
        <v>0.01</v>
      </c>
      <c r="FR24">
        <v>44.103222327013633</v>
      </c>
      <c r="FS24">
        <v>3.2331188799065389</v>
      </c>
      <c r="FT24">
        <v>0.2351818047796729</v>
      </c>
      <c r="FU24">
        <v>0</v>
      </c>
      <c r="FV24">
        <v>0.45995179544782411</v>
      </c>
      <c r="FW24">
        <v>5.1711935939589412E-3</v>
      </c>
      <c r="FX24">
        <v>7.4650561672567244E-4</v>
      </c>
      <c r="FY24">
        <v>1</v>
      </c>
      <c r="FZ24">
        <v>1</v>
      </c>
      <c r="GA24">
        <v>2</v>
      </c>
      <c r="GB24" t="s">
        <v>463</v>
      </c>
      <c r="GC24">
        <v>3.1184799999999999</v>
      </c>
      <c r="GD24">
        <v>2.7674099999999999</v>
      </c>
      <c r="GE24">
        <v>7.9185599999999995E-2</v>
      </c>
      <c r="GF24">
        <v>8.8981099999999994E-2</v>
      </c>
      <c r="GG24">
        <v>0.12418</v>
      </c>
      <c r="GH24">
        <v>0.103653</v>
      </c>
      <c r="GI24">
        <v>22050.3</v>
      </c>
      <c r="GJ24">
        <v>22550.7</v>
      </c>
      <c r="GK24">
        <v>23803.200000000001</v>
      </c>
      <c r="GL24">
        <v>25059.1</v>
      </c>
      <c r="GM24">
        <v>30036.6</v>
      </c>
      <c r="GN24">
        <v>31500.9</v>
      </c>
      <c r="GO24">
        <v>37930.5</v>
      </c>
      <c r="GP24">
        <v>38981.9</v>
      </c>
      <c r="GQ24">
        <v>2.1569500000000001</v>
      </c>
      <c r="GR24">
        <v>1.7941199999999999</v>
      </c>
      <c r="GS24">
        <v>5.1569200000000003E-2</v>
      </c>
      <c r="GT24">
        <v>0</v>
      </c>
      <c r="GU24">
        <v>29.184000000000001</v>
      </c>
      <c r="GV24">
        <v>999.9</v>
      </c>
      <c r="GW24">
        <v>48.4</v>
      </c>
      <c r="GX24">
        <v>37</v>
      </c>
      <c r="GY24">
        <v>30.7912</v>
      </c>
      <c r="GZ24">
        <v>60.5398</v>
      </c>
      <c r="HA24">
        <v>26.9712</v>
      </c>
      <c r="HB24">
        <v>1</v>
      </c>
      <c r="HC24">
        <v>0.48624499999999998</v>
      </c>
      <c r="HD24">
        <v>1.1293500000000001</v>
      </c>
      <c r="HE24">
        <v>20.318999999999999</v>
      </c>
      <c r="HF24">
        <v>5.2526299999999999</v>
      </c>
      <c r="HG24">
        <v>12.0099</v>
      </c>
      <c r="HH24">
        <v>4.9794499999999999</v>
      </c>
      <c r="HI24">
        <v>3.2930000000000001</v>
      </c>
      <c r="HJ24">
        <v>9999</v>
      </c>
      <c r="HK24">
        <v>9999</v>
      </c>
      <c r="HL24">
        <v>9999</v>
      </c>
      <c r="HM24">
        <v>231.7</v>
      </c>
      <c r="HN24">
        <v>1.87574</v>
      </c>
      <c r="HO24">
        <v>1.87669</v>
      </c>
      <c r="HP24">
        <v>1.8828199999999999</v>
      </c>
      <c r="HQ24">
        <v>1.8859900000000001</v>
      </c>
      <c r="HR24">
        <v>1.87683</v>
      </c>
      <c r="HS24">
        <v>1.8832800000000001</v>
      </c>
      <c r="HT24">
        <v>1.8822700000000001</v>
      </c>
      <c r="HU24">
        <v>1.8857600000000001</v>
      </c>
      <c r="HV24">
        <v>0</v>
      </c>
      <c r="HW24">
        <v>0</v>
      </c>
      <c r="HX24">
        <v>0</v>
      </c>
      <c r="HY24">
        <v>0</v>
      </c>
      <c r="HZ24" t="s">
        <v>425</v>
      </c>
      <c r="IA24" t="s">
        <v>426</v>
      </c>
      <c r="IB24" t="s">
        <v>427</v>
      </c>
      <c r="IC24" t="s">
        <v>427</v>
      </c>
      <c r="ID24" t="s">
        <v>427</v>
      </c>
      <c r="IE24" t="s">
        <v>427</v>
      </c>
      <c r="IF24">
        <v>0</v>
      </c>
      <c r="IG24">
        <v>100</v>
      </c>
      <c r="IH24">
        <v>100</v>
      </c>
      <c r="II24">
        <v>-0.64900000000000002</v>
      </c>
      <c r="IJ24">
        <v>4.7399999999999998E-2</v>
      </c>
      <c r="IK24">
        <v>-0.56734622781633604</v>
      </c>
      <c r="IL24">
        <v>-4.2852564239613137E-4</v>
      </c>
      <c r="IM24">
        <v>6.4980710991155998E-7</v>
      </c>
      <c r="IN24">
        <v>-2.7237938963984961E-10</v>
      </c>
      <c r="IO24">
        <v>-1.459407468236364E-2</v>
      </c>
      <c r="IP24">
        <v>6.6907473102813496E-3</v>
      </c>
      <c r="IQ24">
        <v>-3.3673306238274028E-4</v>
      </c>
      <c r="IR24">
        <v>6.1311374003140313E-6</v>
      </c>
      <c r="IS24">
        <v>3</v>
      </c>
      <c r="IT24">
        <v>2101</v>
      </c>
      <c r="IU24">
        <v>1</v>
      </c>
      <c r="IV24">
        <v>32</v>
      </c>
      <c r="IW24">
        <v>1.5</v>
      </c>
      <c r="IX24">
        <v>1.3</v>
      </c>
      <c r="IY24">
        <v>1.00464</v>
      </c>
      <c r="IZ24">
        <v>2.67456</v>
      </c>
      <c r="JA24">
        <v>1.6003400000000001</v>
      </c>
      <c r="JB24">
        <v>2.3327599999999999</v>
      </c>
      <c r="JC24">
        <v>1.5502899999999999</v>
      </c>
      <c r="JD24">
        <v>2.4475099999999999</v>
      </c>
      <c r="JE24">
        <v>42.804600000000001</v>
      </c>
      <c r="JF24">
        <v>23.982399999999998</v>
      </c>
      <c r="JG24">
        <v>18</v>
      </c>
      <c r="JH24">
        <v>597.07299999999998</v>
      </c>
      <c r="JI24">
        <v>416.69600000000003</v>
      </c>
      <c r="JJ24">
        <v>28.840299999999999</v>
      </c>
      <c r="JK24">
        <v>33.216299999999997</v>
      </c>
      <c r="JL24">
        <v>30.0002</v>
      </c>
      <c r="JM24">
        <v>33.306600000000003</v>
      </c>
      <c r="JN24">
        <v>33.294400000000003</v>
      </c>
      <c r="JO24">
        <v>20.094999999999999</v>
      </c>
      <c r="JP24">
        <v>33.095399999999998</v>
      </c>
      <c r="JQ24">
        <v>20.2395</v>
      </c>
      <c r="JR24">
        <v>28.8261</v>
      </c>
      <c r="JS24">
        <v>400</v>
      </c>
      <c r="JT24">
        <v>22.8474</v>
      </c>
      <c r="JU24">
        <v>98.945300000000003</v>
      </c>
      <c r="JV24">
        <v>98.666399999999996</v>
      </c>
    </row>
    <row r="25" spans="1:282" x14ac:dyDescent="0.25">
      <c r="A25">
        <v>9</v>
      </c>
      <c r="B25">
        <v>1689000871.5999999</v>
      </c>
      <c r="C25">
        <v>1049</v>
      </c>
      <c r="D25" t="s">
        <v>464</v>
      </c>
      <c r="E25" t="s">
        <v>465</v>
      </c>
      <c r="F25" t="s">
        <v>414</v>
      </c>
      <c r="G25" t="s">
        <v>415</v>
      </c>
      <c r="H25" t="s">
        <v>416</v>
      </c>
      <c r="I25" t="s">
        <v>417</v>
      </c>
      <c r="J25" t="s">
        <v>418</v>
      </c>
      <c r="K25">
        <v>1689000871.5999999</v>
      </c>
      <c r="L25">
        <f t="shared" si="0"/>
        <v>5.7354418359500305E-3</v>
      </c>
      <c r="M25">
        <f t="shared" si="1"/>
        <v>5.7354418359500308</v>
      </c>
      <c r="N25">
        <f t="shared" si="2"/>
        <v>48.254242462102482</v>
      </c>
      <c r="O25">
        <f t="shared" si="3"/>
        <v>339.99700000000001</v>
      </c>
      <c r="P25">
        <f t="shared" si="4"/>
        <v>154.018859257542</v>
      </c>
      <c r="Q25">
        <f t="shared" si="5"/>
        <v>15.278533915582287</v>
      </c>
      <c r="R25">
        <f t="shared" si="6"/>
        <v>33.727400142667001</v>
      </c>
      <c r="S25">
        <f t="shared" si="7"/>
        <v>0.45920162947250254</v>
      </c>
      <c r="T25">
        <f t="shared" si="8"/>
        <v>2.911944157619947</v>
      </c>
      <c r="U25">
        <f t="shared" si="9"/>
        <v>0.42243499134295082</v>
      </c>
      <c r="V25">
        <f t="shared" si="10"/>
        <v>0.26707946362519513</v>
      </c>
      <c r="W25">
        <f t="shared" si="11"/>
        <v>289.57183732660224</v>
      </c>
      <c r="X25">
        <f t="shared" si="12"/>
        <v>31.130889018816038</v>
      </c>
      <c r="Y25">
        <f t="shared" si="13"/>
        <v>29.949000000000002</v>
      </c>
      <c r="Z25">
        <f t="shared" si="14"/>
        <v>4.247985138371873</v>
      </c>
      <c r="AA25">
        <f t="shared" si="15"/>
        <v>65.711284511303731</v>
      </c>
      <c r="AB25">
        <f t="shared" si="16"/>
        <v>2.9500129226512999</v>
      </c>
      <c r="AC25">
        <f t="shared" si="17"/>
        <v>4.489355130691191</v>
      </c>
      <c r="AD25">
        <f t="shared" si="18"/>
        <v>1.2979722157205731</v>
      </c>
      <c r="AE25">
        <f t="shared" si="19"/>
        <v>-252.93298496539634</v>
      </c>
      <c r="AF25">
        <f t="shared" si="20"/>
        <v>151.5255255023954</v>
      </c>
      <c r="AG25">
        <f t="shared" si="21"/>
        <v>11.619768732939971</v>
      </c>
      <c r="AH25">
        <f t="shared" si="22"/>
        <v>199.78414659654126</v>
      </c>
      <c r="AI25">
        <v>0</v>
      </c>
      <c r="AJ25">
        <v>0</v>
      </c>
      <c r="AK25">
        <f t="shared" si="23"/>
        <v>1</v>
      </c>
      <c r="AL25">
        <f t="shared" si="24"/>
        <v>0</v>
      </c>
      <c r="AM25">
        <f t="shared" si="25"/>
        <v>51676.192433966426</v>
      </c>
      <c r="AN25" t="s">
        <v>419</v>
      </c>
      <c r="AO25">
        <v>9967.0300000000007</v>
      </c>
      <c r="AP25">
        <v>178.94153846153841</v>
      </c>
      <c r="AQ25">
        <v>603.15</v>
      </c>
      <c r="AR25">
        <f t="shared" si="26"/>
        <v>0.7033216638290003</v>
      </c>
      <c r="AS25">
        <v>-3.2649104154664181</v>
      </c>
      <c r="AT25" t="s">
        <v>466</v>
      </c>
      <c r="AU25">
        <v>8044.93</v>
      </c>
      <c r="AV25">
        <v>646.3384615384615</v>
      </c>
      <c r="AW25">
        <v>1039.450297503344</v>
      </c>
      <c r="AX25">
        <f t="shared" si="27"/>
        <v>0.37819204718984445</v>
      </c>
      <c r="AY25">
        <v>0.5</v>
      </c>
      <c r="AZ25">
        <f t="shared" si="28"/>
        <v>1513.2101996510892</v>
      </c>
      <c r="BA25">
        <f t="shared" si="29"/>
        <v>48.254242462102482</v>
      </c>
      <c r="BB25">
        <f t="shared" si="30"/>
        <v>286.14203161729932</v>
      </c>
      <c r="BC25">
        <f t="shared" si="31"/>
        <v>3.4046263294714781E-2</v>
      </c>
      <c r="BD25">
        <f t="shared" si="32"/>
        <v>-0.41974137537051442</v>
      </c>
      <c r="BE25">
        <f t="shared" si="33"/>
        <v>204.39439958627526</v>
      </c>
      <c r="BF25" t="s">
        <v>467</v>
      </c>
      <c r="BG25">
        <v>513.29</v>
      </c>
      <c r="BH25">
        <f t="shared" si="34"/>
        <v>513.29</v>
      </c>
      <c r="BI25">
        <f t="shared" si="35"/>
        <v>0.50619091530122096</v>
      </c>
      <c r="BJ25">
        <f t="shared" si="36"/>
        <v>0.74713321744384198</v>
      </c>
      <c r="BK25">
        <f t="shared" si="37"/>
        <v>-4.8553338248758511</v>
      </c>
      <c r="BL25">
        <f t="shared" si="38"/>
        <v>0.45683653052250239</v>
      </c>
      <c r="BM25">
        <f t="shared" si="39"/>
        <v>-1.0285044666978811</v>
      </c>
      <c r="BN25">
        <f t="shared" si="40"/>
        <v>0.59333620386588892</v>
      </c>
      <c r="BO25">
        <f t="shared" si="41"/>
        <v>0.40666379613411108</v>
      </c>
      <c r="BP25">
        <v>6053</v>
      </c>
      <c r="BQ25">
        <v>290.00000000000011</v>
      </c>
      <c r="BR25">
        <v>891.95</v>
      </c>
      <c r="BS25">
        <v>295</v>
      </c>
      <c r="BT25">
        <v>8044.93</v>
      </c>
      <c r="BU25">
        <v>895.04</v>
      </c>
      <c r="BV25">
        <v>-3.09</v>
      </c>
      <c r="BW25">
        <v>300.00000000000011</v>
      </c>
      <c r="BX25">
        <v>19.399999999999999</v>
      </c>
      <c r="BY25">
        <v>1039.450297503344</v>
      </c>
      <c r="BZ25">
        <v>4.6820115333310603</v>
      </c>
      <c r="CA25">
        <v>-116.17382215342251</v>
      </c>
      <c r="CB25">
        <v>3.4600984723100749</v>
      </c>
      <c r="CC25">
        <v>0.97576387802018738</v>
      </c>
      <c r="CD25">
        <v>-4.1531570634037824E-3</v>
      </c>
      <c r="CE25">
        <v>289.99999999999989</v>
      </c>
      <c r="CF25">
        <v>885.17</v>
      </c>
      <c r="CG25">
        <v>675</v>
      </c>
      <c r="CH25">
        <v>8034.21</v>
      </c>
      <c r="CI25">
        <v>894.85</v>
      </c>
      <c r="CJ25">
        <v>-9.68</v>
      </c>
      <c r="CX25">
        <f t="shared" si="42"/>
        <v>1800.03</v>
      </c>
      <c r="CY25">
        <f t="shared" si="43"/>
        <v>1513.2101996510892</v>
      </c>
      <c r="CZ25">
        <f t="shared" si="44"/>
        <v>0.84065832216745784</v>
      </c>
      <c r="DA25">
        <f t="shared" si="45"/>
        <v>0.16087056178319376</v>
      </c>
      <c r="DB25">
        <v>6</v>
      </c>
      <c r="DC25">
        <v>0.5</v>
      </c>
      <c r="DD25" t="s">
        <v>422</v>
      </c>
      <c r="DE25">
        <v>2</v>
      </c>
      <c r="DF25">
        <v>1689000871.5999999</v>
      </c>
      <c r="DG25">
        <v>339.99700000000001</v>
      </c>
      <c r="DH25">
        <v>400.22899999999998</v>
      </c>
      <c r="DI25">
        <v>29.738299999999999</v>
      </c>
      <c r="DJ25">
        <v>23.061900000000001</v>
      </c>
      <c r="DK25">
        <v>340.66</v>
      </c>
      <c r="DL25">
        <v>29.6922</v>
      </c>
      <c r="DM25">
        <v>500.10899999999998</v>
      </c>
      <c r="DN25">
        <v>99.0989</v>
      </c>
      <c r="DO25">
        <v>0.10021099999999999</v>
      </c>
      <c r="DP25">
        <v>30.914200000000001</v>
      </c>
      <c r="DQ25">
        <v>29.949000000000002</v>
      </c>
      <c r="DR25">
        <v>999.9</v>
      </c>
      <c r="DS25">
        <v>0</v>
      </c>
      <c r="DT25">
        <v>0</v>
      </c>
      <c r="DU25">
        <v>9990</v>
      </c>
      <c r="DV25">
        <v>0</v>
      </c>
      <c r="DW25">
        <v>1314.65</v>
      </c>
      <c r="DX25">
        <v>-60.2318</v>
      </c>
      <c r="DY25">
        <v>350.41800000000001</v>
      </c>
      <c r="DZ25">
        <v>409.67700000000002</v>
      </c>
      <c r="EA25">
        <v>6.67645</v>
      </c>
      <c r="EB25">
        <v>400.22899999999998</v>
      </c>
      <c r="EC25">
        <v>23.061900000000001</v>
      </c>
      <c r="ED25">
        <v>2.9470399999999999</v>
      </c>
      <c r="EE25">
        <v>2.2854100000000002</v>
      </c>
      <c r="EF25">
        <v>23.7317</v>
      </c>
      <c r="EG25">
        <v>19.573899999999998</v>
      </c>
      <c r="EH25">
        <v>1800.03</v>
      </c>
      <c r="EI25">
        <v>0.97799400000000003</v>
      </c>
      <c r="EJ25">
        <v>2.2006299999999999E-2</v>
      </c>
      <c r="EK25">
        <v>0</v>
      </c>
      <c r="EL25">
        <v>646.577</v>
      </c>
      <c r="EM25">
        <v>5.0005300000000004</v>
      </c>
      <c r="EN25">
        <v>13755.2</v>
      </c>
      <c r="EO25">
        <v>16035.5</v>
      </c>
      <c r="EP25">
        <v>50.625</v>
      </c>
      <c r="EQ25">
        <v>50.875</v>
      </c>
      <c r="ER25">
        <v>50.936999999999998</v>
      </c>
      <c r="ES25">
        <v>51.375</v>
      </c>
      <c r="ET25">
        <v>51.936999999999998</v>
      </c>
      <c r="EU25">
        <v>1755.53</v>
      </c>
      <c r="EV25">
        <v>39.5</v>
      </c>
      <c r="EW25">
        <v>0</v>
      </c>
      <c r="EX25">
        <v>98.600000143051147</v>
      </c>
      <c r="EY25">
        <v>0</v>
      </c>
      <c r="EZ25">
        <v>646.3384615384615</v>
      </c>
      <c r="FA25">
        <v>3.915555538889429</v>
      </c>
      <c r="FB25">
        <v>39.880341915241907</v>
      </c>
      <c r="FC25">
        <v>13756.288461538459</v>
      </c>
      <c r="FD25">
        <v>15</v>
      </c>
      <c r="FE25">
        <v>1689000840.5999999</v>
      </c>
      <c r="FF25" t="s">
        <v>468</v>
      </c>
      <c r="FG25">
        <v>1689000833.5999999</v>
      </c>
      <c r="FH25">
        <v>1689000840.5999999</v>
      </c>
      <c r="FI25">
        <v>11</v>
      </c>
      <c r="FJ25">
        <v>-1.4E-2</v>
      </c>
      <c r="FK25">
        <v>-2E-3</v>
      </c>
      <c r="FL25">
        <v>-0.66700000000000004</v>
      </c>
      <c r="FM25">
        <v>3.4000000000000002E-2</v>
      </c>
      <c r="FN25">
        <v>400</v>
      </c>
      <c r="FO25">
        <v>23</v>
      </c>
      <c r="FP25">
        <v>0.02</v>
      </c>
      <c r="FQ25">
        <v>0.01</v>
      </c>
      <c r="FR25">
        <v>48.21470725013841</v>
      </c>
      <c r="FS25">
        <v>-0.10329404177832779</v>
      </c>
      <c r="FT25">
        <v>3.2308921307453303E-2</v>
      </c>
      <c r="FU25">
        <v>1</v>
      </c>
      <c r="FV25">
        <v>0.45951104448175911</v>
      </c>
      <c r="FW25">
        <v>2.0755857603529139E-2</v>
      </c>
      <c r="FX25">
        <v>3.1226762766777549E-3</v>
      </c>
      <c r="FY25">
        <v>1</v>
      </c>
      <c r="FZ25">
        <v>2</v>
      </c>
      <c r="GA25">
        <v>2</v>
      </c>
      <c r="GB25" t="s">
        <v>424</v>
      </c>
      <c r="GC25">
        <v>3.1185</v>
      </c>
      <c r="GD25">
        <v>2.7674300000000001</v>
      </c>
      <c r="GE25">
        <v>7.8446100000000005E-2</v>
      </c>
      <c r="GF25">
        <v>8.9023199999999997E-2</v>
      </c>
      <c r="GG25">
        <v>0.124525</v>
      </c>
      <c r="GH25">
        <v>0.10456799999999999</v>
      </c>
      <c r="GI25">
        <v>22068.400000000001</v>
      </c>
      <c r="GJ25">
        <v>22549.9</v>
      </c>
      <c r="GK25">
        <v>23803.7</v>
      </c>
      <c r="GL25">
        <v>25059.4</v>
      </c>
      <c r="GM25">
        <v>30025.3</v>
      </c>
      <c r="GN25">
        <v>31469.3</v>
      </c>
      <c r="GO25">
        <v>37931.199999999997</v>
      </c>
      <c r="GP25">
        <v>38982.6</v>
      </c>
      <c r="GQ25">
        <v>2.1565699999999999</v>
      </c>
      <c r="GR25">
        <v>1.79183</v>
      </c>
      <c r="GS25">
        <v>3.9324199999999997E-2</v>
      </c>
      <c r="GT25">
        <v>0</v>
      </c>
      <c r="GU25">
        <v>29.308700000000002</v>
      </c>
      <c r="GV25">
        <v>999.9</v>
      </c>
      <c r="GW25">
        <v>47.5</v>
      </c>
      <c r="GX25">
        <v>37.200000000000003</v>
      </c>
      <c r="GY25">
        <v>30.5532</v>
      </c>
      <c r="GZ25">
        <v>61.069800000000001</v>
      </c>
      <c r="HA25">
        <v>27.151399999999999</v>
      </c>
      <c r="HB25">
        <v>1</v>
      </c>
      <c r="HC25">
        <v>0.48685499999999998</v>
      </c>
      <c r="HD25">
        <v>0.67964899999999995</v>
      </c>
      <c r="HE25">
        <v>20.3217</v>
      </c>
      <c r="HF25">
        <v>5.2527799999999996</v>
      </c>
      <c r="HG25">
        <v>12.0099</v>
      </c>
      <c r="HH25">
        <v>4.9794999999999998</v>
      </c>
      <c r="HI25">
        <v>3.2930000000000001</v>
      </c>
      <c r="HJ25">
        <v>9999</v>
      </c>
      <c r="HK25">
        <v>9999</v>
      </c>
      <c r="HL25">
        <v>9999</v>
      </c>
      <c r="HM25">
        <v>231.7</v>
      </c>
      <c r="HN25">
        <v>1.8757600000000001</v>
      </c>
      <c r="HO25">
        <v>1.87669</v>
      </c>
      <c r="HP25">
        <v>1.88287</v>
      </c>
      <c r="HQ25">
        <v>1.8859900000000001</v>
      </c>
      <c r="HR25">
        <v>1.87683</v>
      </c>
      <c r="HS25">
        <v>1.8832899999999999</v>
      </c>
      <c r="HT25">
        <v>1.88228</v>
      </c>
      <c r="HU25">
        <v>1.8857600000000001</v>
      </c>
      <c r="HV25">
        <v>0</v>
      </c>
      <c r="HW25">
        <v>0</v>
      </c>
      <c r="HX25">
        <v>0</v>
      </c>
      <c r="HY25">
        <v>0</v>
      </c>
      <c r="HZ25" t="s">
        <v>425</v>
      </c>
      <c r="IA25" t="s">
        <v>426</v>
      </c>
      <c r="IB25" t="s">
        <v>427</v>
      </c>
      <c r="IC25" t="s">
        <v>427</v>
      </c>
      <c r="ID25" t="s">
        <v>427</v>
      </c>
      <c r="IE25" t="s">
        <v>427</v>
      </c>
      <c r="IF25">
        <v>0</v>
      </c>
      <c r="IG25">
        <v>100</v>
      </c>
      <c r="IH25">
        <v>100</v>
      </c>
      <c r="II25">
        <v>-0.66300000000000003</v>
      </c>
      <c r="IJ25">
        <v>4.6100000000000002E-2</v>
      </c>
      <c r="IK25">
        <v>-0.58169742496483412</v>
      </c>
      <c r="IL25">
        <v>-4.2852564239613137E-4</v>
      </c>
      <c r="IM25">
        <v>6.4980710991155998E-7</v>
      </c>
      <c r="IN25">
        <v>-2.7237938963984961E-10</v>
      </c>
      <c r="IO25">
        <v>-1.614644727012203E-2</v>
      </c>
      <c r="IP25">
        <v>6.6907473102813496E-3</v>
      </c>
      <c r="IQ25">
        <v>-3.3673306238274028E-4</v>
      </c>
      <c r="IR25">
        <v>6.1311374003140313E-6</v>
      </c>
      <c r="IS25">
        <v>3</v>
      </c>
      <c r="IT25">
        <v>2101</v>
      </c>
      <c r="IU25">
        <v>1</v>
      </c>
      <c r="IV25">
        <v>32</v>
      </c>
      <c r="IW25">
        <v>0.6</v>
      </c>
      <c r="IX25">
        <v>0.5</v>
      </c>
      <c r="IY25">
        <v>1.00464</v>
      </c>
      <c r="IZ25">
        <v>2.67944</v>
      </c>
      <c r="JA25">
        <v>1.6015600000000001</v>
      </c>
      <c r="JB25">
        <v>2.3327599999999999</v>
      </c>
      <c r="JC25">
        <v>1.5502899999999999</v>
      </c>
      <c r="JD25">
        <v>2.3107899999999999</v>
      </c>
      <c r="JE25">
        <v>42.992899999999999</v>
      </c>
      <c r="JF25">
        <v>23.973700000000001</v>
      </c>
      <c r="JG25">
        <v>18</v>
      </c>
      <c r="JH25">
        <v>596.94299999999998</v>
      </c>
      <c r="JI25">
        <v>415.303</v>
      </c>
      <c r="JJ25">
        <v>28.5289</v>
      </c>
      <c r="JK25">
        <v>33.225200000000001</v>
      </c>
      <c r="JL25">
        <v>29.9986</v>
      </c>
      <c r="JM25">
        <v>33.321399999999997</v>
      </c>
      <c r="JN25">
        <v>33.309199999999997</v>
      </c>
      <c r="JO25">
        <v>20.091100000000001</v>
      </c>
      <c r="JP25">
        <v>32.241999999999997</v>
      </c>
      <c r="JQ25">
        <v>18.749700000000001</v>
      </c>
      <c r="JR25">
        <v>28.5505</v>
      </c>
      <c r="JS25">
        <v>400</v>
      </c>
      <c r="JT25">
        <v>22.9664</v>
      </c>
      <c r="JU25">
        <v>98.947100000000006</v>
      </c>
      <c r="JV25">
        <v>98.668099999999995</v>
      </c>
    </row>
    <row r="26" spans="1:282" x14ac:dyDescent="0.25">
      <c r="A26">
        <v>10</v>
      </c>
      <c r="B26">
        <v>1689000974.5999999</v>
      </c>
      <c r="C26">
        <v>1152</v>
      </c>
      <c r="D26" t="s">
        <v>469</v>
      </c>
      <c r="E26" t="s">
        <v>470</v>
      </c>
      <c r="F26" t="s">
        <v>414</v>
      </c>
      <c r="G26" t="s">
        <v>415</v>
      </c>
      <c r="H26" t="s">
        <v>416</v>
      </c>
      <c r="I26" t="s">
        <v>417</v>
      </c>
      <c r="J26" t="s">
        <v>418</v>
      </c>
      <c r="K26">
        <v>1689000974.5999999</v>
      </c>
      <c r="L26">
        <f t="shared" si="0"/>
        <v>5.5961283238989915E-3</v>
      </c>
      <c r="M26">
        <f t="shared" si="1"/>
        <v>5.5961283238989914</v>
      </c>
      <c r="N26">
        <f t="shared" si="2"/>
        <v>48.701337436183145</v>
      </c>
      <c r="O26">
        <f t="shared" si="3"/>
        <v>339.34300000000002</v>
      </c>
      <c r="P26">
        <f t="shared" si="4"/>
        <v>143.97459030366952</v>
      </c>
      <c r="Q26">
        <f t="shared" si="5"/>
        <v>14.282161745281197</v>
      </c>
      <c r="R26">
        <f t="shared" si="6"/>
        <v>33.662548390703307</v>
      </c>
      <c r="S26">
        <f t="shared" si="7"/>
        <v>0.4390878862069571</v>
      </c>
      <c r="T26">
        <f t="shared" si="8"/>
        <v>2.9198208409477133</v>
      </c>
      <c r="U26">
        <f t="shared" si="9"/>
        <v>0.40542839595581942</v>
      </c>
      <c r="V26">
        <f t="shared" si="10"/>
        <v>0.25620155859512922</v>
      </c>
      <c r="W26">
        <f t="shared" si="11"/>
        <v>289.55428132656112</v>
      </c>
      <c r="X26">
        <f t="shared" si="12"/>
        <v>31.252971351995019</v>
      </c>
      <c r="Y26">
        <f t="shared" si="13"/>
        <v>30.020399999999999</v>
      </c>
      <c r="Z26">
        <f t="shared" si="14"/>
        <v>4.265444543713917</v>
      </c>
      <c r="AA26">
        <f t="shared" si="15"/>
        <v>65.298229501457513</v>
      </c>
      <c r="AB26">
        <f t="shared" si="16"/>
        <v>2.9459677401122502</v>
      </c>
      <c r="AC26">
        <f t="shared" si="17"/>
        <v>4.5115583724157382</v>
      </c>
      <c r="AD26">
        <f t="shared" si="18"/>
        <v>1.3194768036016669</v>
      </c>
      <c r="AE26">
        <f t="shared" si="19"/>
        <v>-246.78925908394552</v>
      </c>
      <c r="AF26">
        <f t="shared" si="20"/>
        <v>154.31233756798278</v>
      </c>
      <c r="AG26">
        <f t="shared" si="21"/>
        <v>11.810768622367867</v>
      </c>
      <c r="AH26">
        <f t="shared" si="22"/>
        <v>208.88812843296623</v>
      </c>
      <c r="AI26">
        <v>0</v>
      </c>
      <c r="AJ26">
        <v>0</v>
      </c>
      <c r="AK26">
        <f t="shared" si="23"/>
        <v>1</v>
      </c>
      <c r="AL26">
        <f t="shared" si="24"/>
        <v>0</v>
      </c>
      <c r="AM26">
        <f t="shared" si="25"/>
        <v>51884.962494346546</v>
      </c>
      <c r="AN26" t="s">
        <v>419</v>
      </c>
      <c r="AO26">
        <v>9967.0300000000007</v>
      </c>
      <c r="AP26">
        <v>178.94153846153841</v>
      </c>
      <c r="AQ26">
        <v>603.15</v>
      </c>
      <c r="AR26">
        <f t="shared" si="26"/>
        <v>0.7033216638290003</v>
      </c>
      <c r="AS26">
        <v>-3.2649104154664181</v>
      </c>
      <c r="AT26" t="s">
        <v>471</v>
      </c>
      <c r="AU26">
        <v>8044.56</v>
      </c>
      <c r="AV26">
        <v>648.65159999999992</v>
      </c>
      <c r="AW26">
        <v>1035.440887158989</v>
      </c>
      <c r="AX26">
        <f t="shared" si="27"/>
        <v>0.37355033199456678</v>
      </c>
      <c r="AY26">
        <v>0.5</v>
      </c>
      <c r="AZ26">
        <f t="shared" si="28"/>
        <v>1513.117799651068</v>
      </c>
      <c r="BA26">
        <f t="shared" si="29"/>
        <v>48.701337436183145</v>
      </c>
      <c r="BB26">
        <f t="shared" si="30"/>
        <v>282.61282820327244</v>
      </c>
      <c r="BC26">
        <f t="shared" si="31"/>
        <v>3.434382165329971E-2</v>
      </c>
      <c r="BD26">
        <f t="shared" si="32"/>
        <v>-0.41749451129469639</v>
      </c>
      <c r="BE26">
        <f t="shared" si="33"/>
        <v>204.23888937890396</v>
      </c>
      <c r="BF26" t="s">
        <v>472</v>
      </c>
      <c r="BG26">
        <v>513.97</v>
      </c>
      <c r="BH26">
        <f t="shared" si="34"/>
        <v>513.97</v>
      </c>
      <c r="BI26">
        <f t="shared" si="35"/>
        <v>0.5036220740614028</v>
      </c>
      <c r="BJ26">
        <f t="shared" si="36"/>
        <v>0.74172748025540802</v>
      </c>
      <c r="BK26">
        <f t="shared" si="37"/>
        <v>-4.8473972545300432</v>
      </c>
      <c r="BL26">
        <f t="shared" si="38"/>
        <v>0.451593206401396</v>
      </c>
      <c r="BM26">
        <f t="shared" si="39"/>
        <v>-1.0190529571032487</v>
      </c>
      <c r="BN26">
        <f t="shared" si="40"/>
        <v>0.58772023845600951</v>
      </c>
      <c r="BO26">
        <f t="shared" si="41"/>
        <v>0.41227976154399049</v>
      </c>
      <c r="BP26">
        <v>6055</v>
      </c>
      <c r="BQ26">
        <v>290.00000000000011</v>
      </c>
      <c r="BR26">
        <v>901.78</v>
      </c>
      <c r="BS26">
        <v>285</v>
      </c>
      <c r="BT26">
        <v>8044.56</v>
      </c>
      <c r="BU26">
        <v>904.76</v>
      </c>
      <c r="BV26">
        <v>-2.98</v>
      </c>
      <c r="BW26">
        <v>300.00000000000011</v>
      </c>
      <c r="BX26">
        <v>19.399999999999999</v>
      </c>
      <c r="BY26">
        <v>1035.440887158989</v>
      </c>
      <c r="BZ26">
        <v>5.4499441867353511</v>
      </c>
      <c r="CA26">
        <v>-105.12393917515899</v>
      </c>
      <c r="CB26">
        <v>4.0274254383411412</v>
      </c>
      <c r="CC26">
        <v>0.9605253203488715</v>
      </c>
      <c r="CD26">
        <v>-4.1529924360400594E-3</v>
      </c>
      <c r="CE26">
        <v>289.99999999999989</v>
      </c>
      <c r="CF26">
        <v>897.19</v>
      </c>
      <c r="CG26">
        <v>635</v>
      </c>
      <c r="CH26">
        <v>8035.17</v>
      </c>
      <c r="CI26">
        <v>904.61</v>
      </c>
      <c r="CJ26">
        <v>-7.42</v>
      </c>
      <c r="CX26">
        <f t="shared" si="42"/>
        <v>1799.92</v>
      </c>
      <c r="CY26">
        <f t="shared" si="43"/>
        <v>1513.117799651068</v>
      </c>
      <c r="CZ26">
        <f t="shared" si="44"/>
        <v>0.84065836240003333</v>
      </c>
      <c r="DA26">
        <f t="shared" si="45"/>
        <v>0.16087063943206426</v>
      </c>
      <c r="DB26">
        <v>6</v>
      </c>
      <c r="DC26">
        <v>0.5</v>
      </c>
      <c r="DD26" t="s">
        <v>422</v>
      </c>
      <c r="DE26">
        <v>2</v>
      </c>
      <c r="DF26">
        <v>1689000974.5999999</v>
      </c>
      <c r="DG26">
        <v>339.34300000000002</v>
      </c>
      <c r="DH26">
        <v>400.05200000000002</v>
      </c>
      <c r="DI26">
        <v>29.697500000000002</v>
      </c>
      <c r="DJ26">
        <v>23.1828</v>
      </c>
      <c r="DK26">
        <v>339.988</v>
      </c>
      <c r="DL26">
        <v>29.650600000000001</v>
      </c>
      <c r="DM26">
        <v>500.09399999999999</v>
      </c>
      <c r="DN26">
        <v>99.099599999999995</v>
      </c>
      <c r="DO26">
        <v>9.9583099999999994E-2</v>
      </c>
      <c r="DP26">
        <v>31.000699999999998</v>
      </c>
      <c r="DQ26">
        <v>30.020399999999999</v>
      </c>
      <c r="DR26">
        <v>999.9</v>
      </c>
      <c r="DS26">
        <v>0</v>
      </c>
      <c r="DT26">
        <v>0</v>
      </c>
      <c r="DU26">
        <v>10035</v>
      </c>
      <c r="DV26">
        <v>0</v>
      </c>
      <c r="DW26">
        <v>1325.93</v>
      </c>
      <c r="DX26">
        <v>-60.709299999999999</v>
      </c>
      <c r="DY26">
        <v>349.72899999999998</v>
      </c>
      <c r="DZ26">
        <v>409.54700000000003</v>
      </c>
      <c r="EA26">
        <v>6.5147700000000004</v>
      </c>
      <c r="EB26">
        <v>400.05200000000002</v>
      </c>
      <c r="EC26">
        <v>23.1828</v>
      </c>
      <c r="ED26">
        <v>2.9430200000000002</v>
      </c>
      <c r="EE26">
        <v>2.2974000000000001</v>
      </c>
      <c r="EF26">
        <v>23.709</v>
      </c>
      <c r="EG26">
        <v>19.658200000000001</v>
      </c>
      <c r="EH26">
        <v>1799.92</v>
      </c>
      <c r="EI26">
        <v>0.97799400000000003</v>
      </c>
      <c r="EJ26">
        <v>2.2006299999999999E-2</v>
      </c>
      <c r="EK26">
        <v>0</v>
      </c>
      <c r="EL26">
        <v>648.47199999999998</v>
      </c>
      <c r="EM26">
        <v>5.0005300000000004</v>
      </c>
      <c r="EN26">
        <v>13807.1</v>
      </c>
      <c r="EO26">
        <v>16034.5</v>
      </c>
      <c r="EP26">
        <v>50.75</v>
      </c>
      <c r="EQ26">
        <v>50.936999999999998</v>
      </c>
      <c r="ER26">
        <v>51</v>
      </c>
      <c r="ES26">
        <v>51.436999999999998</v>
      </c>
      <c r="ET26">
        <v>52</v>
      </c>
      <c r="EU26">
        <v>1755.42</v>
      </c>
      <c r="EV26">
        <v>39.5</v>
      </c>
      <c r="EW26">
        <v>0</v>
      </c>
      <c r="EX26">
        <v>101</v>
      </c>
      <c r="EY26">
        <v>0</v>
      </c>
      <c r="EZ26">
        <v>648.65159999999992</v>
      </c>
      <c r="FA26">
        <v>0.31115384456804818</v>
      </c>
      <c r="FB26">
        <v>-38.815384638627137</v>
      </c>
      <c r="FC26">
        <v>13813.572</v>
      </c>
      <c r="FD26">
        <v>15</v>
      </c>
      <c r="FE26">
        <v>1689000942.0999999</v>
      </c>
      <c r="FF26" t="s">
        <v>473</v>
      </c>
      <c r="FG26">
        <v>1689000934.5999999</v>
      </c>
      <c r="FH26">
        <v>1689000942.0999999</v>
      </c>
      <c r="FI26">
        <v>12</v>
      </c>
      <c r="FJ26">
        <v>1.7999999999999999E-2</v>
      </c>
      <c r="FK26">
        <v>1E-3</v>
      </c>
      <c r="FL26">
        <v>-0.64900000000000002</v>
      </c>
      <c r="FM26">
        <v>3.5000000000000003E-2</v>
      </c>
      <c r="FN26">
        <v>400</v>
      </c>
      <c r="FO26">
        <v>23</v>
      </c>
      <c r="FP26">
        <v>0.03</v>
      </c>
      <c r="FQ26">
        <v>0.01</v>
      </c>
      <c r="FR26">
        <v>48.827212767211293</v>
      </c>
      <c r="FS26">
        <v>-0.382309470732068</v>
      </c>
      <c r="FT26">
        <v>6.085834794233734E-2</v>
      </c>
      <c r="FU26">
        <v>1</v>
      </c>
      <c r="FV26">
        <v>0.44664487594888042</v>
      </c>
      <c r="FW26">
        <v>-3.0675555328024001E-2</v>
      </c>
      <c r="FX26">
        <v>3.2182906606196861E-3</v>
      </c>
      <c r="FY26">
        <v>1</v>
      </c>
      <c r="FZ26">
        <v>2</v>
      </c>
      <c r="GA26">
        <v>2</v>
      </c>
      <c r="GB26" t="s">
        <v>424</v>
      </c>
      <c r="GC26">
        <v>3.1185</v>
      </c>
      <c r="GD26">
        <v>2.7671899999999998</v>
      </c>
      <c r="GE26">
        <v>7.8320200000000006E-2</v>
      </c>
      <c r="GF26">
        <v>8.8991500000000001E-2</v>
      </c>
      <c r="GG26">
        <v>0.124402</v>
      </c>
      <c r="GH26">
        <v>0.104953</v>
      </c>
      <c r="GI26">
        <v>22070.2</v>
      </c>
      <c r="GJ26">
        <v>22550.9</v>
      </c>
      <c r="GK26">
        <v>23802.400000000001</v>
      </c>
      <c r="GL26">
        <v>25059.7</v>
      </c>
      <c r="GM26">
        <v>30028.1</v>
      </c>
      <c r="GN26">
        <v>31456.400000000001</v>
      </c>
      <c r="GO26">
        <v>37929.4</v>
      </c>
      <c r="GP26">
        <v>38983.5</v>
      </c>
      <c r="GQ26">
        <v>2.1558700000000002</v>
      </c>
      <c r="GR26">
        <v>1.79013</v>
      </c>
      <c r="GS26">
        <v>4.4964299999999999E-2</v>
      </c>
      <c r="GT26">
        <v>0</v>
      </c>
      <c r="GU26">
        <v>29.2882</v>
      </c>
      <c r="GV26">
        <v>999.9</v>
      </c>
      <c r="GW26">
        <v>46.8</v>
      </c>
      <c r="GX26">
        <v>37.5</v>
      </c>
      <c r="GY26">
        <v>30.5991</v>
      </c>
      <c r="GZ26">
        <v>60.759799999999998</v>
      </c>
      <c r="HA26">
        <v>27.067299999999999</v>
      </c>
      <c r="HB26">
        <v>1</v>
      </c>
      <c r="HC26">
        <v>0.49099599999999999</v>
      </c>
      <c r="HD26">
        <v>1.5100499999999999</v>
      </c>
      <c r="HE26">
        <v>20.314599999999999</v>
      </c>
      <c r="HF26">
        <v>5.2494899999999998</v>
      </c>
      <c r="HG26">
        <v>12.0099</v>
      </c>
      <c r="HH26">
        <v>4.9785000000000004</v>
      </c>
      <c r="HI26">
        <v>3.2923300000000002</v>
      </c>
      <c r="HJ26">
        <v>9999</v>
      </c>
      <c r="HK26">
        <v>9999</v>
      </c>
      <c r="HL26">
        <v>9999</v>
      </c>
      <c r="HM26">
        <v>231.7</v>
      </c>
      <c r="HN26">
        <v>1.87575</v>
      </c>
      <c r="HO26">
        <v>1.8767100000000001</v>
      </c>
      <c r="HP26">
        <v>1.88279</v>
      </c>
      <c r="HQ26">
        <v>1.88601</v>
      </c>
      <c r="HR26">
        <v>1.87683</v>
      </c>
      <c r="HS26">
        <v>1.8833299999999999</v>
      </c>
      <c r="HT26">
        <v>1.88226</v>
      </c>
      <c r="HU26">
        <v>1.88574</v>
      </c>
      <c r="HV26">
        <v>0</v>
      </c>
      <c r="HW26">
        <v>0</v>
      </c>
      <c r="HX26">
        <v>0</v>
      </c>
      <c r="HY26">
        <v>0</v>
      </c>
      <c r="HZ26" t="s">
        <v>425</v>
      </c>
      <c r="IA26" t="s">
        <v>426</v>
      </c>
      <c r="IB26" t="s">
        <v>427</v>
      </c>
      <c r="IC26" t="s">
        <v>427</v>
      </c>
      <c r="ID26" t="s">
        <v>427</v>
      </c>
      <c r="IE26" t="s">
        <v>427</v>
      </c>
      <c r="IF26">
        <v>0</v>
      </c>
      <c r="IG26">
        <v>100</v>
      </c>
      <c r="IH26">
        <v>100</v>
      </c>
      <c r="II26">
        <v>-0.64500000000000002</v>
      </c>
      <c r="IJ26">
        <v>4.6899999999999997E-2</v>
      </c>
      <c r="IK26">
        <v>-0.5637672138484261</v>
      </c>
      <c r="IL26">
        <v>-4.2852564239613137E-4</v>
      </c>
      <c r="IM26">
        <v>6.4980710991155998E-7</v>
      </c>
      <c r="IN26">
        <v>-2.7237938963984961E-10</v>
      </c>
      <c r="IO26">
        <v>-1.518955165846326E-2</v>
      </c>
      <c r="IP26">
        <v>6.6907473102813496E-3</v>
      </c>
      <c r="IQ26">
        <v>-3.3673306238274028E-4</v>
      </c>
      <c r="IR26">
        <v>6.1311374003140313E-6</v>
      </c>
      <c r="IS26">
        <v>3</v>
      </c>
      <c r="IT26">
        <v>2101</v>
      </c>
      <c r="IU26">
        <v>1</v>
      </c>
      <c r="IV26">
        <v>32</v>
      </c>
      <c r="IW26">
        <v>0.7</v>
      </c>
      <c r="IX26">
        <v>0.5</v>
      </c>
      <c r="IY26">
        <v>1.00464</v>
      </c>
      <c r="IZ26">
        <v>2.67578</v>
      </c>
      <c r="JA26">
        <v>1.6015600000000001</v>
      </c>
      <c r="JB26">
        <v>2.3327599999999999</v>
      </c>
      <c r="JC26">
        <v>1.5502899999999999</v>
      </c>
      <c r="JD26">
        <v>2.4218799999999998</v>
      </c>
      <c r="JE26">
        <v>43.209099999999999</v>
      </c>
      <c r="JF26">
        <v>23.973700000000001</v>
      </c>
      <c r="JG26">
        <v>18</v>
      </c>
      <c r="JH26">
        <v>596.58799999999997</v>
      </c>
      <c r="JI26">
        <v>414.303</v>
      </c>
      <c r="JJ26">
        <v>28.483499999999999</v>
      </c>
      <c r="JK26">
        <v>33.24</v>
      </c>
      <c r="JL26">
        <v>30.0001</v>
      </c>
      <c r="JM26">
        <v>33.336599999999997</v>
      </c>
      <c r="JN26">
        <v>33.323999999999998</v>
      </c>
      <c r="JO26">
        <v>20.105599999999999</v>
      </c>
      <c r="JP26">
        <v>31.752700000000001</v>
      </c>
      <c r="JQ26">
        <v>17.2515</v>
      </c>
      <c r="JR26">
        <v>28.462900000000001</v>
      </c>
      <c r="JS26">
        <v>400</v>
      </c>
      <c r="JT26">
        <v>23.098700000000001</v>
      </c>
      <c r="JU26">
        <v>98.942099999999996</v>
      </c>
      <c r="JV26">
        <v>98.669799999999995</v>
      </c>
    </row>
    <row r="27" spans="1:282" x14ac:dyDescent="0.25">
      <c r="A27">
        <v>11</v>
      </c>
      <c r="B27">
        <v>1689001083.0999999</v>
      </c>
      <c r="C27">
        <v>1260.5</v>
      </c>
      <c r="D27" t="s">
        <v>474</v>
      </c>
      <c r="E27" t="s">
        <v>475</v>
      </c>
      <c r="F27" t="s">
        <v>414</v>
      </c>
      <c r="G27" t="s">
        <v>415</v>
      </c>
      <c r="H27" t="s">
        <v>416</v>
      </c>
      <c r="I27" t="s">
        <v>417</v>
      </c>
      <c r="J27" t="s">
        <v>418</v>
      </c>
      <c r="K27">
        <v>1689001083.0999999</v>
      </c>
      <c r="L27">
        <f t="shared" si="0"/>
        <v>5.5701666854255944E-3</v>
      </c>
      <c r="M27">
        <f t="shared" si="1"/>
        <v>5.570166685425594</v>
      </c>
      <c r="N27">
        <f t="shared" si="2"/>
        <v>51.701538534337161</v>
      </c>
      <c r="O27">
        <f t="shared" si="3"/>
        <v>435.14499999999998</v>
      </c>
      <c r="P27">
        <f t="shared" si="4"/>
        <v>225.94991406477391</v>
      </c>
      <c r="Q27">
        <f t="shared" si="5"/>
        <v>22.41490299837017</v>
      </c>
      <c r="R27">
        <f t="shared" si="6"/>
        <v>43.167677250939995</v>
      </c>
      <c r="S27">
        <f t="shared" si="7"/>
        <v>0.43872168486938357</v>
      </c>
      <c r="T27">
        <f t="shared" si="8"/>
        <v>2.9102585667902452</v>
      </c>
      <c r="U27">
        <f t="shared" si="9"/>
        <v>0.40501468277164077</v>
      </c>
      <c r="V27">
        <f t="shared" si="10"/>
        <v>0.25594646608491456</v>
      </c>
      <c r="W27">
        <f t="shared" si="11"/>
        <v>289.57241632643172</v>
      </c>
      <c r="X27">
        <f t="shared" si="12"/>
        <v>31.294116443239265</v>
      </c>
      <c r="Y27">
        <f t="shared" si="13"/>
        <v>30.040700000000001</v>
      </c>
      <c r="Z27">
        <f t="shared" si="14"/>
        <v>4.2704198957553858</v>
      </c>
      <c r="AA27">
        <f t="shared" si="15"/>
        <v>65.390547409070294</v>
      </c>
      <c r="AB27">
        <f t="shared" si="16"/>
        <v>2.9557723913343996</v>
      </c>
      <c r="AC27">
        <f t="shared" si="17"/>
        <v>4.520182975138094</v>
      </c>
      <c r="AD27">
        <f t="shared" si="18"/>
        <v>1.3146475044209862</v>
      </c>
      <c r="AE27">
        <f t="shared" si="19"/>
        <v>-245.64435082726871</v>
      </c>
      <c r="AF27">
        <f t="shared" si="20"/>
        <v>155.87802376375211</v>
      </c>
      <c r="AG27">
        <f t="shared" si="21"/>
        <v>11.972987517939494</v>
      </c>
      <c r="AH27">
        <f t="shared" si="22"/>
        <v>211.77907678085461</v>
      </c>
      <c r="AI27">
        <v>0</v>
      </c>
      <c r="AJ27">
        <v>0</v>
      </c>
      <c r="AK27">
        <f t="shared" si="23"/>
        <v>1</v>
      </c>
      <c r="AL27">
        <f t="shared" si="24"/>
        <v>0</v>
      </c>
      <c r="AM27">
        <f t="shared" si="25"/>
        <v>51608.109244958046</v>
      </c>
      <c r="AN27" t="s">
        <v>419</v>
      </c>
      <c r="AO27">
        <v>9967.0300000000007</v>
      </c>
      <c r="AP27">
        <v>178.94153846153841</v>
      </c>
      <c r="AQ27">
        <v>603.15</v>
      </c>
      <c r="AR27">
        <f t="shared" si="26"/>
        <v>0.7033216638290003</v>
      </c>
      <c r="AS27">
        <v>-3.2649104154664181</v>
      </c>
      <c r="AT27" t="s">
        <v>476</v>
      </c>
      <c r="AU27">
        <v>8045.88</v>
      </c>
      <c r="AV27">
        <v>661.21323999999993</v>
      </c>
      <c r="AW27">
        <v>1084.314943900114</v>
      </c>
      <c r="AX27">
        <f t="shared" si="27"/>
        <v>0.39020185627828974</v>
      </c>
      <c r="AY27">
        <v>0.5</v>
      </c>
      <c r="AZ27">
        <f t="shared" si="28"/>
        <v>1513.2104996510006</v>
      </c>
      <c r="BA27">
        <f t="shared" si="29"/>
        <v>51.701538534337161</v>
      </c>
      <c r="BB27">
        <f t="shared" si="30"/>
        <v>295.22877295180939</v>
      </c>
      <c r="BC27">
        <f t="shared" si="31"/>
        <v>3.6324390402049662E-2</v>
      </c>
      <c r="BD27">
        <f t="shared" si="32"/>
        <v>-0.44375017296122266</v>
      </c>
      <c r="BE27">
        <f t="shared" si="33"/>
        <v>206.07100536983998</v>
      </c>
      <c r="BF27" t="s">
        <v>477</v>
      </c>
      <c r="BG27">
        <v>515.59</v>
      </c>
      <c r="BH27">
        <f t="shared" si="34"/>
        <v>515.59</v>
      </c>
      <c r="BI27">
        <f t="shared" si="35"/>
        <v>0.52450161929383532</v>
      </c>
      <c r="BJ27">
        <f t="shared" si="36"/>
        <v>0.74394785816608056</v>
      </c>
      <c r="BK27">
        <f t="shared" si="37"/>
        <v>-5.495259752171247</v>
      </c>
      <c r="BL27">
        <f t="shared" si="38"/>
        <v>0.46732287623928787</v>
      </c>
      <c r="BM27">
        <f t="shared" si="39"/>
        <v>-1.1342653141691008</v>
      </c>
      <c r="BN27">
        <f t="shared" si="40"/>
        <v>0.58010344165499395</v>
      </c>
      <c r="BO27">
        <f t="shared" si="41"/>
        <v>0.41989655834500605</v>
      </c>
      <c r="BP27">
        <v>6057</v>
      </c>
      <c r="BQ27">
        <v>290.00000000000011</v>
      </c>
      <c r="BR27">
        <v>941.35</v>
      </c>
      <c r="BS27">
        <v>285</v>
      </c>
      <c r="BT27">
        <v>8045.88</v>
      </c>
      <c r="BU27">
        <v>944.67</v>
      </c>
      <c r="BV27">
        <v>-3.32</v>
      </c>
      <c r="BW27">
        <v>300.00000000000011</v>
      </c>
      <c r="BX27">
        <v>19.399999999999999</v>
      </c>
      <c r="BY27">
        <v>1084.314943900114</v>
      </c>
      <c r="BZ27">
        <v>5.1037091097049538</v>
      </c>
      <c r="CA27">
        <v>-112.3554269301077</v>
      </c>
      <c r="CB27">
        <v>3.7722160153290658</v>
      </c>
      <c r="CC27">
        <v>0.96940378234408209</v>
      </c>
      <c r="CD27">
        <v>-4.1534731924360406E-3</v>
      </c>
      <c r="CE27">
        <v>289.99999999999989</v>
      </c>
      <c r="CF27">
        <v>937.84</v>
      </c>
      <c r="CG27">
        <v>665</v>
      </c>
      <c r="CH27">
        <v>8035.56</v>
      </c>
      <c r="CI27">
        <v>944.49</v>
      </c>
      <c r="CJ27">
        <v>-6.65</v>
      </c>
      <c r="CX27">
        <f t="shared" si="42"/>
        <v>1800.03</v>
      </c>
      <c r="CY27">
        <f t="shared" si="43"/>
        <v>1513.2104996510006</v>
      </c>
      <c r="CZ27">
        <f t="shared" si="44"/>
        <v>0.84065848883129768</v>
      </c>
      <c r="DA27">
        <f t="shared" si="45"/>
        <v>0.16087088344440467</v>
      </c>
      <c r="DB27">
        <v>6</v>
      </c>
      <c r="DC27">
        <v>0.5</v>
      </c>
      <c r="DD27" t="s">
        <v>422</v>
      </c>
      <c r="DE27">
        <v>2</v>
      </c>
      <c r="DF27">
        <v>1689001083.0999999</v>
      </c>
      <c r="DG27">
        <v>435.14499999999998</v>
      </c>
      <c r="DH27">
        <v>500.08699999999999</v>
      </c>
      <c r="DI27">
        <v>29.795200000000001</v>
      </c>
      <c r="DJ27">
        <v>23.311</v>
      </c>
      <c r="DK27">
        <v>435.78399999999999</v>
      </c>
      <c r="DL27">
        <v>29.749500000000001</v>
      </c>
      <c r="DM27">
        <v>500.065</v>
      </c>
      <c r="DN27">
        <v>99.102599999999995</v>
      </c>
      <c r="DO27">
        <v>0.100372</v>
      </c>
      <c r="DP27">
        <v>31.034199999999998</v>
      </c>
      <c r="DQ27">
        <v>30.040700000000001</v>
      </c>
      <c r="DR27">
        <v>999.9</v>
      </c>
      <c r="DS27">
        <v>0</v>
      </c>
      <c r="DT27">
        <v>0</v>
      </c>
      <c r="DU27">
        <v>9980</v>
      </c>
      <c r="DV27">
        <v>0</v>
      </c>
      <c r="DW27">
        <v>1336.62</v>
      </c>
      <c r="DX27">
        <v>-64.941999999999993</v>
      </c>
      <c r="DY27">
        <v>448.50799999999998</v>
      </c>
      <c r="DZ27">
        <v>512.02300000000002</v>
      </c>
      <c r="EA27">
        <v>6.4842199999999997</v>
      </c>
      <c r="EB27">
        <v>500.08699999999999</v>
      </c>
      <c r="EC27">
        <v>23.311</v>
      </c>
      <c r="ED27">
        <v>2.9527800000000002</v>
      </c>
      <c r="EE27">
        <v>2.3101799999999999</v>
      </c>
      <c r="EF27">
        <v>23.763999999999999</v>
      </c>
      <c r="EG27">
        <v>19.747499999999999</v>
      </c>
      <c r="EH27">
        <v>1800.03</v>
      </c>
      <c r="EI27">
        <v>0.97799000000000003</v>
      </c>
      <c r="EJ27">
        <v>2.2009899999999999E-2</v>
      </c>
      <c r="EK27">
        <v>0</v>
      </c>
      <c r="EL27">
        <v>661.50099999999998</v>
      </c>
      <c r="EM27">
        <v>5.0005300000000004</v>
      </c>
      <c r="EN27">
        <v>14048</v>
      </c>
      <c r="EO27">
        <v>16035.5</v>
      </c>
      <c r="EP27">
        <v>50.561999999999998</v>
      </c>
      <c r="EQ27">
        <v>50.75</v>
      </c>
      <c r="ER27">
        <v>50.811999999999998</v>
      </c>
      <c r="ES27">
        <v>51.125</v>
      </c>
      <c r="ET27">
        <v>51.686999999999998</v>
      </c>
      <c r="EU27">
        <v>1755.52</v>
      </c>
      <c r="EV27">
        <v>39.51</v>
      </c>
      <c r="EW27">
        <v>0</v>
      </c>
      <c r="EX27">
        <v>106.4000000953674</v>
      </c>
      <c r="EY27">
        <v>0</v>
      </c>
      <c r="EZ27">
        <v>661.21323999999993</v>
      </c>
      <c r="FA27">
        <v>2.0687692321571212</v>
      </c>
      <c r="FB27">
        <v>9.1538461905184221</v>
      </c>
      <c r="FC27">
        <v>14046.004000000001</v>
      </c>
      <c r="FD27">
        <v>15</v>
      </c>
      <c r="FE27">
        <v>1689001053.5999999</v>
      </c>
      <c r="FF27" t="s">
        <v>478</v>
      </c>
      <c r="FG27">
        <v>1689001053.5999999</v>
      </c>
      <c r="FH27">
        <v>1689001049.5999999</v>
      </c>
      <c r="FI27">
        <v>13</v>
      </c>
      <c r="FJ27">
        <v>1.0999999999999999E-2</v>
      </c>
      <c r="FK27">
        <v>-2E-3</v>
      </c>
      <c r="FL27">
        <v>-0.63900000000000001</v>
      </c>
      <c r="FM27">
        <v>3.4000000000000002E-2</v>
      </c>
      <c r="FN27">
        <v>500</v>
      </c>
      <c r="FO27">
        <v>23</v>
      </c>
      <c r="FP27">
        <v>0.06</v>
      </c>
      <c r="FQ27">
        <v>0.02</v>
      </c>
      <c r="FR27">
        <v>51.777716809042062</v>
      </c>
      <c r="FS27">
        <v>-0.56565149092527611</v>
      </c>
      <c r="FT27">
        <v>6.9473626697116569E-2</v>
      </c>
      <c r="FU27">
        <v>1</v>
      </c>
      <c r="FV27">
        <v>0.43887263140939359</v>
      </c>
      <c r="FW27">
        <v>4.7549308344456212E-2</v>
      </c>
      <c r="FX27">
        <v>4.5283947246169227E-3</v>
      </c>
      <c r="FY27">
        <v>1</v>
      </c>
      <c r="FZ27">
        <v>2</v>
      </c>
      <c r="GA27">
        <v>2</v>
      </c>
      <c r="GB27" t="s">
        <v>424</v>
      </c>
      <c r="GC27">
        <v>3.1185</v>
      </c>
      <c r="GD27">
        <v>2.7675000000000001</v>
      </c>
      <c r="GE27">
        <v>9.4917399999999999E-2</v>
      </c>
      <c r="GF27">
        <v>0.105128</v>
      </c>
      <c r="GG27">
        <v>0.124685</v>
      </c>
      <c r="GH27">
        <v>0.105361</v>
      </c>
      <c r="GI27">
        <v>21672.5</v>
      </c>
      <c r="GJ27">
        <v>22151.1</v>
      </c>
      <c r="GK27">
        <v>23802.2</v>
      </c>
      <c r="GL27">
        <v>25059.5</v>
      </c>
      <c r="GM27">
        <v>30018.400000000001</v>
      </c>
      <c r="GN27">
        <v>31441.7</v>
      </c>
      <c r="GO27">
        <v>37929.5</v>
      </c>
      <c r="GP27">
        <v>38983.1</v>
      </c>
      <c r="GQ27">
        <v>2.1555499999999999</v>
      </c>
      <c r="GR27">
        <v>1.7877799999999999</v>
      </c>
      <c r="GS27">
        <v>4.0288999999999998E-2</v>
      </c>
      <c r="GT27">
        <v>0</v>
      </c>
      <c r="GU27">
        <v>29.384799999999998</v>
      </c>
      <c r="GV27">
        <v>999.9</v>
      </c>
      <c r="GW27">
        <v>46.1</v>
      </c>
      <c r="GX27">
        <v>37.799999999999997</v>
      </c>
      <c r="GY27">
        <v>30.632200000000001</v>
      </c>
      <c r="GZ27">
        <v>61.199800000000003</v>
      </c>
      <c r="HA27">
        <v>27.267600000000002</v>
      </c>
      <c r="HB27">
        <v>1</v>
      </c>
      <c r="HC27">
        <v>0.49565300000000001</v>
      </c>
      <c r="HD27">
        <v>2.2492200000000002</v>
      </c>
      <c r="HE27">
        <v>20.306100000000001</v>
      </c>
      <c r="HF27">
        <v>5.2526299999999999</v>
      </c>
      <c r="HG27">
        <v>12.0099</v>
      </c>
      <c r="HH27">
        <v>4.9793500000000002</v>
      </c>
      <c r="HI27">
        <v>3.2930000000000001</v>
      </c>
      <c r="HJ27">
        <v>9999</v>
      </c>
      <c r="HK27">
        <v>9999</v>
      </c>
      <c r="HL27">
        <v>9999</v>
      </c>
      <c r="HM27">
        <v>231.8</v>
      </c>
      <c r="HN27">
        <v>1.8757600000000001</v>
      </c>
      <c r="HO27">
        <v>1.8767199999999999</v>
      </c>
      <c r="HP27">
        <v>1.88286</v>
      </c>
      <c r="HQ27">
        <v>1.8859999999999999</v>
      </c>
      <c r="HR27">
        <v>1.87683</v>
      </c>
      <c r="HS27">
        <v>1.8833</v>
      </c>
      <c r="HT27">
        <v>1.88228</v>
      </c>
      <c r="HU27">
        <v>1.88575</v>
      </c>
      <c r="HV27">
        <v>0</v>
      </c>
      <c r="HW27">
        <v>0</v>
      </c>
      <c r="HX27">
        <v>0</v>
      </c>
      <c r="HY27">
        <v>0</v>
      </c>
      <c r="HZ27" t="s">
        <v>425</v>
      </c>
      <c r="IA27" t="s">
        <v>426</v>
      </c>
      <c r="IB27" t="s">
        <v>427</v>
      </c>
      <c r="IC27" t="s">
        <v>427</v>
      </c>
      <c r="ID27" t="s">
        <v>427</v>
      </c>
      <c r="IE27" t="s">
        <v>427</v>
      </c>
      <c r="IF27">
        <v>0</v>
      </c>
      <c r="IG27">
        <v>100</v>
      </c>
      <c r="IH27">
        <v>100</v>
      </c>
      <c r="II27">
        <v>-0.63900000000000001</v>
      </c>
      <c r="IJ27">
        <v>4.5699999999999998E-2</v>
      </c>
      <c r="IK27">
        <v>-0.55300996377849765</v>
      </c>
      <c r="IL27">
        <v>-4.2852564239613137E-4</v>
      </c>
      <c r="IM27">
        <v>6.4980710991155998E-7</v>
      </c>
      <c r="IN27">
        <v>-2.7237938963984961E-10</v>
      </c>
      <c r="IO27">
        <v>-1.6728407103748739E-2</v>
      </c>
      <c r="IP27">
        <v>6.6907473102813496E-3</v>
      </c>
      <c r="IQ27">
        <v>-3.3673306238274028E-4</v>
      </c>
      <c r="IR27">
        <v>6.1311374003140313E-6</v>
      </c>
      <c r="IS27">
        <v>3</v>
      </c>
      <c r="IT27">
        <v>2101</v>
      </c>
      <c r="IU27">
        <v>1</v>
      </c>
      <c r="IV27">
        <v>32</v>
      </c>
      <c r="IW27">
        <v>0.5</v>
      </c>
      <c r="IX27">
        <v>0.6</v>
      </c>
      <c r="IY27">
        <v>1.2036100000000001</v>
      </c>
      <c r="IZ27">
        <v>2.67578</v>
      </c>
      <c r="JA27">
        <v>1.6015600000000001</v>
      </c>
      <c r="JB27">
        <v>2.3327599999999999</v>
      </c>
      <c r="JC27">
        <v>1.5502899999999999</v>
      </c>
      <c r="JD27">
        <v>2.3144499999999999</v>
      </c>
      <c r="JE27">
        <v>43.426400000000001</v>
      </c>
      <c r="JF27">
        <v>23.9649</v>
      </c>
      <c r="JG27">
        <v>18</v>
      </c>
      <c r="JH27">
        <v>596.54200000000003</v>
      </c>
      <c r="JI27">
        <v>412.92399999999998</v>
      </c>
      <c r="JJ27">
        <v>28.002700000000001</v>
      </c>
      <c r="JK27">
        <v>33.2667</v>
      </c>
      <c r="JL27">
        <v>30.000399999999999</v>
      </c>
      <c r="JM27">
        <v>33.3568</v>
      </c>
      <c r="JN27">
        <v>33.3446</v>
      </c>
      <c r="JO27">
        <v>24.076799999999999</v>
      </c>
      <c r="JP27">
        <v>30.9359</v>
      </c>
      <c r="JQ27">
        <v>16.0167</v>
      </c>
      <c r="JR27">
        <v>27.946999999999999</v>
      </c>
      <c r="JS27">
        <v>500</v>
      </c>
      <c r="JT27">
        <v>23.262</v>
      </c>
      <c r="JU27">
        <v>98.941999999999993</v>
      </c>
      <c r="JV27">
        <v>98.668800000000005</v>
      </c>
    </row>
    <row r="28" spans="1:282" x14ac:dyDescent="0.25">
      <c r="A28">
        <v>12</v>
      </c>
      <c r="B28">
        <v>1689001202.5</v>
      </c>
      <c r="C28">
        <v>1379.900000095367</v>
      </c>
      <c r="D28" t="s">
        <v>479</v>
      </c>
      <c r="E28" t="s">
        <v>480</v>
      </c>
      <c r="F28" t="s">
        <v>414</v>
      </c>
      <c r="G28" t="s">
        <v>415</v>
      </c>
      <c r="H28" t="s">
        <v>416</v>
      </c>
      <c r="I28" t="s">
        <v>417</v>
      </c>
      <c r="J28" t="s">
        <v>418</v>
      </c>
      <c r="K28">
        <v>1689001202.5</v>
      </c>
      <c r="L28">
        <f t="shared" si="0"/>
        <v>5.5282516541892961E-3</v>
      </c>
      <c r="M28">
        <f t="shared" si="1"/>
        <v>5.5282516541892965</v>
      </c>
      <c r="N28">
        <f t="shared" si="2"/>
        <v>53.075142299139905</v>
      </c>
      <c r="O28">
        <f t="shared" si="3"/>
        <v>632.19899999999996</v>
      </c>
      <c r="P28">
        <f t="shared" si="4"/>
        <v>409.67168864983637</v>
      </c>
      <c r="Q28">
        <f t="shared" si="5"/>
        <v>40.640476709443021</v>
      </c>
      <c r="R28">
        <f t="shared" si="6"/>
        <v>62.715753729308695</v>
      </c>
      <c r="S28">
        <f t="shared" si="7"/>
        <v>0.43043018778666597</v>
      </c>
      <c r="T28">
        <f t="shared" si="8"/>
        <v>2.9152979056469377</v>
      </c>
      <c r="U28">
        <f t="shared" si="9"/>
        <v>0.39798630795285644</v>
      </c>
      <c r="V28">
        <f t="shared" si="10"/>
        <v>0.25145229877010633</v>
      </c>
      <c r="W28">
        <f t="shared" si="11"/>
        <v>289.54253032670539</v>
      </c>
      <c r="X28">
        <f t="shared" si="12"/>
        <v>31.173867150412171</v>
      </c>
      <c r="Y28">
        <f t="shared" si="13"/>
        <v>29.979800000000001</v>
      </c>
      <c r="Z28">
        <f t="shared" si="14"/>
        <v>4.2555089927669734</v>
      </c>
      <c r="AA28">
        <f t="shared" si="15"/>
        <v>65.247426734376489</v>
      </c>
      <c r="AB28">
        <f t="shared" si="16"/>
        <v>2.9274176875873499</v>
      </c>
      <c r="AC28">
        <f t="shared" si="17"/>
        <v>4.4866408287715664</v>
      </c>
      <c r="AD28">
        <f t="shared" si="18"/>
        <v>1.3280913051796235</v>
      </c>
      <c r="AE28">
        <f t="shared" si="19"/>
        <v>-243.79589794974797</v>
      </c>
      <c r="AF28">
        <f t="shared" si="20"/>
        <v>145.19322168871781</v>
      </c>
      <c r="AG28">
        <f t="shared" si="21"/>
        <v>11.122474116503463</v>
      </c>
      <c r="AH28">
        <f t="shared" si="22"/>
        <v>202.06232818217867</v>
      </c>
      <c r="AI28">
        <v>0</v>
      </c>
      <c r="AJ28">
        <v>0</v>
      </c>
      <c r="AK28">
        <f t="shared" si="23"/>
        <v>1</v>
      </c>
      <c r="AL28">
        <f t="shared" si="24"/>
        <v>0</v>
      </c>
      <c r="AM28">
        <f t="shared" si="25"/>
        <v>51773.202593387818</v>
      </c>
      <c r="AN28" t="s">
        <v>419</v>
      </c>
      <c r="AO28">
        <v>9967.0300000000007</v>
      </c>
      <c r="AP28">
        <v>178.94153846153841</v>
      </c>
      <c r="AQ28">
        <v>603.15</v>
      </c>
      <c r="AR28">
        <f t="shared" si="26"/>
        <v>0.7033216638290003</v>
      </c>
      <c r="AS28">
        <v>-3.2649104154664181</v>
      </c>
      <c r="AT28" t="s">
        <v>481</v>
      </c>
      <c r="AU28">
        <v>8049.72</v>
      </c>
      <c r="AV28">
        <v>666.08876923076923</v>
      </c>
      <c r="AW28">
        <v>1118.645099921092</v>
      </c>
      <c r="AX28">
        <f t="shared" si="27"/>
        <v>0.40455755871298738</v>
      </c>
      <c r="AY28">
        <v>0.5</v>
      </c>
      <c r="AZ28">
        <f t="shared" si="28"/>
        <v>1513.0586996511427</v>
      </c>
      <c r="BA28">
        <f t="shared" si="29"/>
        <v>53.075142299139905</v>
      </c>
      <c r="BB28">
        <f t="shared" si="30"/>
        <v>306.05966686015671</v>
      </c>
      <c r="BC28">
        <f t="shared" si="31"/>
        <v>3.723586713958707E-2</v>
      </c>
      <c r="BD28">
        <f t="shared" si="32"/>
        <v>-0.46082095202263385</v>
      </c>
      <c r="BE28">
        <f t="shared" si="33"/>
        <v>207.27993819494711</v>
      </c>
      <c r="BF28" t="s">
        <v>482</v>
      </c>
      <c r="BG28">
        <v>518.85</v>
      </c>
      <c r="BH28">
        <f t="shared" si="34"/>
        <v>518.85</v>
      </c>
      <c r="BI28">
        <f t="shared" si="35"/>
        <v>0.53617997340121626</v>
      </c>
      <c r="BJ28">
        <f t="shared" si="36"/>
        <v>0.75451821922163131</v>
      </c>
      <c r="BK28">
        <f t="shared" si="37"/>
        <v>-6.1150071165016877</v>
      </c>
      <c r="BL28">
        <f t="shared" si="38"/>
        <v>0.48159478079173113</v>
      </c>
      <c r="BM28">
        <f t="shared" si="39"/>
        <v>-1.2151928748699743</v>
      </c>
      <c r="BN28">
        <f t="shared" si="40"/>
        <v>0.58773214041012145</v>
      </c>
      <c r="BO28">
        <f t="shared" si="41"/>
        <v>0.41226785958987855</v>
      </c>
      <c r="BP28">
        <v>6059</v>
      </c>
      <c r="BQ28">
        <v>290.00000000000011</v>
      </c>
      <c r="BR28">
        <v>958.39</v>
      </c>
      <c r="BS28">
        <v>295</v>
      </c>
      <c r="BT28">
        <v>8049.72</v>
      </c>
      <c r="BU28">
        <v>962.96</v>
      </c>
      <c r="BV28">
        <v>-4.57</v>
      </c>
      <c r="BW28">
        <v>300.00000000000011</v>
      </c>
      <c r="BX28">
        <v>19.399999999999999</v>
      </c>
      <c r="BY28">
        <v>1118.645099921092</v>
      </c>
      <c r="BZ28">
        <v>5.0905696493715178</v>
      </c>
      <c r="CA28">
        <v>-125.32418636672421</v>
      </c>
      <c r="CB28">
        <v>3.7643424846500468</v>
      </c>
      <c r="CC28">
        <v>0.97536051243579958</v>
      </c>
      <c r="CD28">
        <v>-4.1550836484983292E-3</v>
      </c>
      <c r="CE28">
        <v>289.99999999999989</v>
      </c>
      <c r="CF28">
        <v>954.74</v>
      </c>
      <c r="CG28">
        <v>655</v>
      </c>
      <c r="CH28">
        <v>8039.9</v>
      </c>
      <c r="CI28">
        <v>962.77</v>
      </c>
      <c r="CJ28">
        <v>-8.0299999999999994</v>
      </c>
      <c r="CX28">
        <f t="shared" si="42"/>
        <v>1799.85</v>
      </c>
      <c r="CY28">
        <f t="shared" si="43"/>
        <v>1513.0586996511427</v>
      </c>
      <c r="CZ28">
        <f t="shared" si="44"/>
        <v>0.84065822132463408</v>
      </c>
      <c r="DA28">
        <f t="shared" si="45"/>
        <v>0.16087036715654382</v>
      </c>
      <c r="DB28">
        <v>6</v>
      </c>
      <c r="DC28">
        <v>0.5</v>
      </c>
      <c r="DD28" t="s">
        <v>422</v>
      </c>
      <c r="DE28">
        <v>2</v>
      </c>
      <c r="DF28">
        <v>1689001202.5</v>
      </c>
      <c r="DG28">
        <v>632.19899999999996</v>
      </c>
      <c r="DH28">
        <v>700.06899999999996</v>
      </c>
      <c r="DI28">
        <v>29.509499999999999</v>
      </c>
      <c r="DJ28">
        <v>23.072700000000001</v>
      </c>
      <c r="DK28">
        <v>633.01199999999994</v>
      </c>
      <c r="DL28">
        <v>29.464300000000001</v>
      </c>
      <c r="DM28">
        <v>500.10399999999998</v>
      </c>
      <c r="DN28">
        <v>99.102599999999995</v>
      </c>
      <c r="DO28">
        <v>9.9951300000000007E-2</v>
      </c>
      <c r="DP28">
        <v>30.903600000000001</v>
      </c>
      <c r="DQ28">
        <v>29.979800000000001</v>
      </c>
      <c r="DR28">
        <v>999.9</v>
      </c>
      <c r="DS28">
        <v>0</v>
      </c>
      <c r="DT28">
        <v>0</v>
      </c>
      <c r="DU28">
        <v>10008.799999999999</v>
      </c>
      <c r="DV28">
        <v>0</v>
      </c>
      <c r="DW28">
        <v>1347.98</v>
      </c>
      <c r="DX28">
        <v>-67.87</v>
      </c>
      <c r="DY28">
        <v>651.42200000000003</v>
      </c>
      <c r="DZ28">
        <v>716.60299999999995</v>
      </c>
      <c r="EA28">
        <v>6.4367900000000002</v>
      </c>
      <c r="EB28">
        <v>700.06899999999996</v>
      </c>
      <c r="EC28">
        <v>23.072700000000001</v>
      </c>
      <c r="ED28">
        <v>2.9244599999999998</v>
      </c>
      <c r="EE28">
        <v>2.2865600000000001</v>
      </c>
      <c r="EF28">
        <v>23.603999999999999</v>
      </c>
      <c r="EG28">
        <v>19.582000000000001</v>
      </c>
      <c r="EH28">
        <v>1799.85</v>
      </c>
      <c r="EI28">
        <v>0.97799999999999998</v>
      </c>
      <c r="EJ28">
        <v>2.2000200000000001E-2</v>
      </c>
      <c r="EK28">
        <v>0</v>
      </c>
      <c r="EL28">
        <v>666.06500000000005</v>
      </c>
      <c r="EM28">
        <v>5.0005300000000004</v>
      </c>
      <c r="EN28">
        <v>14098.1</v>
      </c>
      <c r="EO28">
        <v>16034</v>
      </c>
      <c r="EP28">
        <v>49.811999999999998</v>
      </c>
      <c r="EQ28">
        <v>50.25</v>
      </c>
      <c r="ER28">
        <v>50.125</v>
      </c>
      <c r="ES28">
        <v>50.311999999999998</v>
      </c>
      <c r="ET28">
        <v>51</v>
      </c>
      <c r="EU28">
        <v>1755.36</v>
      </c>
      <c r="EV28">
        <v>39.49</v>
      </c>
      <c r="EW28">
        <v>0</v>
      </c>
      <c r="EX28">
        <v>117.7999999523163</v>
      </c>
      <c r="EY28">
        <v>0</v>
      </c>
      <c r="EZ28">
        <v>666.08876923076923</v>
      </c>
      <c r="FA28">
        <v>0.84629061148204021</v>
      </c>
      <c r="FB28">
        <v>-30.864957230764389</v>
      </c>
      <c r="FC28">
        <v>14104.4</v>
      </c>
      <c r="FD28">
        <v>15</v>
      </c>
      <c r="FE28">
        <v>1689001171.0999999</v>
      </c>
      <c r="FF28" t="s">
        <v>483</v>
      </c>
      <c r="FG28">
        <v>1689001167.0999999</v>
      </c>
      <c r="FH28">
        <v>1689001171.0999999</v>
      </c>
      <c r="FI28">
        <v>14</v>
      </c>
      <c r="FJ28">
        <v>-0.18</v>
      </c>
      <c r="FK28">
        <v>0</v>
      </c>
      <c r="FL28">
        <v>-0.80700000000000005</v>
      </c>
      <c r="FM28">
        <v>3.4000000000000002E-2</v>
      </c>
      <c r="FN28">
        <v>700</v>
      </c>
      <c r="FO28">
        <v>23</v>
      </c>
      <c r="FP28">
        <v>0.04</v>
      </c>
      <c r="FQ28">
        <v>0.01</v>
      </c>
      <c r="FR28">
        <v>53.13358803869717</v>
      </c>
      <c r="FS28">
        <v>-0.23434399773250961</v>
      </c>
      <c r="FT28">
        <v>7.7466537875690203E-2</v>
      </c>
      <c r="FU28">
        <v>1</v>
      </c>
      <c r="FV28">
        <v>0.43627108290555461</v>
      </c>
      <c r="FW28">
        <v>-1.8877974021349411E-2</v>
      </c>
      <c r="FX28">
        <v>2.7377919159462432E-3</v>
      </c>
      <c r="FY28">
        <v>1</v>
      </c>
      <c r="FZ28">
        <v>2</v>
      </c>
      <c r="GA28">
        <v>2</v>
      </c>
      <c r="GB28" t="s">
        <v>424</v>
      </c>
      <c r="GC28">
        <v>3.1187999999999998</v>
      </c>
      <c r="GD28">
        <v>2.7673299999999998</v>
      </c>
      <c r="GE28">
        <v>0.12431499999999999</v>
      </c>
      <c r="GF28">
        <v>0.133156</v>
      </c>
      <c r="GG28">
        <v>0.123846</v>
      </c>
      <c r="GH28">
        <v>0.104585</v>
      </c>
      <c r="GI28">
        <v>20965.900000000001</v>
      </c>
      <c r="GJ28">
        <v>21455.200000000001</v>
      </c>
      <c r="GK28">
        <v>23799.7</v>
      </c>
      <c r="GL28">
        <v>25058</v>
      </c>
      <c r="GM28">
        <v>30044.1</v>
      </c>
      <c r="GN28">
        <v>31467.200000000001</v>
      </c>
      <c r="GO28">
        <v>37925.800000000003</v>
      </c>
      <c r="GP28">
        <v>38981.1</v>
      </c>
      <c r="GQ28">
        <v>2.15523</v>
      </c>
      <c r="GR28">
        <v>1.7847500000000001</v>
      </c>
      <c r="GS28">
        <v>3.6247099999999997E-2</v>
      </c>
      <c r="GT28">
        <v>0</v>
      </c>
      <c r="GU28">
        <v>29.389600000000002</v>
      </c>
      <c r="GV28">
        <v>999.9</v>
      </c>
      <c r="GW28">
        <v>45.3</v>
      </c>
      <c r="GX28">
        <v>38.1</v>
      </c>
      <c r="GY28">
        <v>30.595700000000001</v>
      </c>
      <c r="GZ28">
        <v>60.669800000000002</v>
      </c>
      <c r="HA28">
        <v>27.355799999999999</v>
      </c>
      <c r="HB28">
        <v>1</v>
      </c>
      <c r="HC28">
        <v>0.49815599999999999</v>
      </c>
      <c r="HD28">
        <v>1.22289</v>
      </c>
      <c r="HE28">
        <v>20.317</v>
      </c>
      <c r="HF28">
        <v>5.2515799999999997</v>
      </c>
      <c r="HG28">
        <v>12.0099</v>
      </c>
      <c r="HH28">
        <v>4.9793500000000002</v>
      </c>
      <c r="HI28">
        <v>3.2928500000000001</v>
      </c>
      <c r="HJ28">
        <v>9999</v>
      </c>
      <c r="HK28">
        <v>9999</v>
      </c>
      <c r="HL28">
        <v>9999</v>
      </c>
      <c r="HM28">
        <v>231.8</v>
      </c>
      <c r="HN28">
        <v>1.8757600000000001</v>
      </c>
      <c r="HO28">
        <v>1.8767499999999999</v>
      </c>
      <c r="HP28">
        <v>1.8828199999999999</v>
      </c>
      <c r="HQ28">
        <v>1.8859900000000001</v>
      </c>
      <c r="HR28">
        <v>1.87683</v>
      </c>
      <c r="HS28">
        <v>1.8833200000000001</v>
      </c>
      <c r="HT28">
        <v>1.8822399999999999</v>
      </c>
      <c r="HU28">
        <v>1.8857900000000001</v>
      </c>
      <c r="HV28">
        <v>0</v>
      </c>
      <c r="HW28">
        <v>0</v>
      </c>
      <c r="HX28">
        <v>0</v>
      </c>
      <c r="HY28">
        <v>0</v>
      </c>
      <c r="HZ28" t="s">
        <v>425</v>
      </c>
      <c r="IA28" t="s">
        <v>426</v>
      </c>
      <c r="IB28" t="s">
        <v>427</v>
      </c>
      <c r="IC28" t="s">
        <v>427</v>
      </c>
      <c r="ID28" t="s">
        <v>427</v>
      </c>
      <c r="IE28" t="s">
        <v>427</v>
      </c>
      <c r="IF28">
        <v>0</v>
      </c>
      <c r="IG28">
        <v>100</v>
      </c>
      <c r="IH28">
        <v>100</v>
      </c>
      <c r="II28">
        <v>-0.81299999999999994</v>
      </c>
      <c r="IJ28">
        <v>4.5199999999999997E-2</v>
      </c>
      <c r="IK28">
        <v>-0.73255192284221271</v>
      </c>
      <c r="IL28">
        <v>-4.2852564239613137E-4</v>
      </c>
      <c r="IM28">
        <v>6.4980710991155998E-7</v>
      </c>
      <c r="IN28">
        <v>-2.7237938963984961E-10</v>
      </c>
      <c r="IO28">
        <v>-1.6445822105062069E-2</v>
      </c>
      <c r="IP28">
        <v>6.6907473102813496E-3</v>
      </c>
      <c r="IQ28">
        <v>-3.3673306238274028E-4</v>
      </c>
      <c r="IR28">
        <v>6.1311374003140313E-6</v>
      </c>
      <c r="IS28">
        <v>3</v>
      </c>
      <c r="IT28">
        <v>2101</v>
      </c>
      <c r="IU28">
        <v>1</v>
      </c>
      <c r="IV28">
        <v>32</v>
      </c>
      <c r="IW28">
        <v>0.6</v>
      </c>
      <c r="IX28">
        <v>0.5</v>
      </c>
      <c r="IY28">
        <v>1.58081</v>
      </c>
      <c r="IZ28">
        <v>2.6709000000000001</v>
      </c>
      <c r="JA28">
        <v>1.6015600000000001</v>
      </c>
      <c r="JB28">
        <v>2.3327599999999999</v>
      </c>
      <c r="JC28">
        <v>1.5502899999999999</v>
      </c>
      <c r="JD28">
        <v>2.2790499999999998</v>
      </c>
      <c r="JE28">
        <v>43.6721</v>
      </c>
      <c r="JF28">
        <v>23.9649</v>
      </c>
      <c r="JG28">
        <v>18</v>
      </c>
      <c r="JH28">
        <v>596.79899999999998</v>
      </c>
      <c r="JI28">
        <v>411.34100000000001</v>
      </c>
      <c r="JJ28">
        <v>28.5944</v>
      </c>
      <c r="JK28">
        <v>33.3386</v>
      </c>
      <c r="JL28">
        <v>30.000399999999999</v>
      </c>
      <c r="JM28">
        <v>33.410400000000003</v>
      </c>
      <c r="JN28">
        <v>33.398800000000001</v>
      </c>
      <c r="JO28">
        <v>31.644600000000001</v>
      </c>
      <c r="JP28">
        <v>31.801300000000001</v>
      </c>
      <c r="JQ28">
        <v>13.931699999999999</v>
      </c>
      <c r="JR28">
        <v>28.603100000000001</v>
      </c>
      <c r="JS28">
        <v>700</v>
      </c>
      <c r="JT28">
        <v>22.983899999999998</v>
      </c>
      <c r="JU28">
        <v>98.932000000000002</v>
      </c>
      <c r="JV28">
        <v>98.663399999999996</v>
      </c>
    </row>
    <row r="29" spans="1:282" x14ac:dyDescent="0.25">
      <c r="A29">
        <v>13</v>
      </c>
      <c r="B29">
        <v>1689001319.5</v>
      </c>
      <c r="C29">
        <v>1496.900000095367</v>
      </c>
      <c r="D29" t="s">
        <v>484</v>
      </c>
      <c r="E29" t="s">
        <v>485</v>
      </c>
      <c r="F29" t="s">
        <v>414</v>
      </c>
      <c r="G29" t="s">
        <v>415</v>
      </c>
      <c r="H29" t="s">
        <v>416</v>
      </c>
      <c r="I29" t="s">
        <v>417</v>
      </c>
      <c r="J29" t="s">
        <v>418</v>
      </c>
      <c r="K29">
        <v>1689001319.5</v>
      </c>
      <c r="L29">
        <f t="shared" si="0"/>
        <v>5.2829039681744723E-3</v>
      </c>
      <c r="M29">
        <f t="shared" si="1"/>
        <v>5.2829039681744723</v>
      </c>
      <c r="N29">
        <f t="shared" si="2"/>
        <v>53.036711181653303</v>
      </c>
      <c r="O29">
        <f t="shared" si="3"/>
        <v>831.2</v>
      </c>
      <c r="P29">
        <f t="shared" si="4"/>
        <v>596.6904478519815</v>
      </c>
      <c r="Q29">
        <f t="shared" si="5"/>
        <v>59.194112006682602</v>
      </c>
      <c r="R29">
        <f t="shared" si="6"/>
        <v>82.458410516000001</v>
      </c>
      <c r="S29">
        <f t="shared" si="7"/>
        <v>0.41365127465752205</v>
      </c>
      <c r="T29">
        <f t="shared" si="8"/>
        <v>2.9113794622464386</v>
      </c>
      <c r="U29">
        <f t="shared" si="9"/>
        <v>0.38355559674089007</v>
      </c>
      <c r="V29">
        <f t="shared" si="10"/>
        <v>0.24224350231300856</v>
      </c>
      <c r="W29">
        <f t="shared" si="11"/>
        <v>289.56864532659478</v>
      </c>
      <c r="X29">
        <f t="shared" si="12"/>
        <v>31.190873103270413</v>
      </c>
      <c r="Y29">
        <f t="shared" si="13"/>
        <v>29.974499999999999</v>
      </c>
      <c r="Z29">
        <f t="shared" si="14"/>
        <v>4.2542134768596336</v>
      </c>
      <c r="AA29">
        <f t="shared" si="15"/>
        <v>65.646571366844398</v>
      </c>
      <c r="AB29">
        <f t="shared" si="16"/>
        <v>2.937352705306</v>
      </c>
      <c r="AC29">
        <f t="shared" si="17"/>
        <v>4.4744952312765349</v>
      </c>
      <c r="AD29">
        <f t="shared" si="18"/>
        <v>1.3168607715536336</v>
      </c>
      <c r="AE29">
        <f t="shared" si="19"/>
        <v>-232.97606499649422</v>
      </c>
      <c r="AF29">
        <f t="shared" si="20"/>
        <v>138.3744280837046</v>
      </c>
      <c r="AG29">
        <f t="shared" si="21"/>
        <v>10.611617308362741</v>
      </c>
      <c r="AH29">
        <f t="shared" si="22"/>
        <v>205.57862572216789</v>
      </c>
      <c r="AI29">
        <v>0</v>
      </c>
      <c r="AJ29">
        <v>0</v>
      </c>
      <c r="AK29">
        <f t="shared" si="23"/>
        <v>1</v>
      </c>
      <c r="AL29">
        <f t="shared" si="24"/>
        <v>0</v>
      </c>
      <c r="AM29">
        <f t="shared" si="25"/>
        <v>51670.170148239915</v>
      </c>
      <c r="AN29" t="s">
        <v>419</v>
      </c>
      <c r="AO29">
        <v>9967.0300000000007</v>
      </c>
      <c r="AP29">
        <v>178.94153846153841</v>
      </c>
      <c r="AQ29">
        <v>603.15</v>
      </c>
      <c r="AR29">
        <f t="shared" si="26"/>
        <v>0.7033216638290003</v>
      </c>
      <c r="AS29">
        <v>-3.2649104154664181</v>
      </c>
      <c r="AT29" t="s">
        <v>486</v>
      </c>
      <c r="AU29">
        <v>8052.35</v>
      </c>
      <c r="AV29">
        <v>666.40736000000004</v>
      </c>
      <c r="AW29">
        <v>1124.509107361115</v>
      </c>
      <c r="AX29">
        <f t="shared" si="27"/>
        <v>0.40737931277065609</v>
      </c>
      <c r="AY29">
        <v>0.5</v>
      </c>
      <c r="AZ29">
        <f t="shared" si="28"/>
        <v>1513.1933996510854</v>
      </c>
      <c r="BA29">
        <f t="shared" si="29"/>
        <v>53.036711181653303</v>
      </c>
      <c r="BB29">
        <f t="shared" si="30"/>
        <v>308.22184361947598</v>
      </c>
      <c r="BC29">
        <f t="shared" si="31"/>
        <v>3.7207155152871957E-2</v>
      </c>
      <c r="BD29">
        <f t="shared" si="32"/>
        <v>-0.46363262329158739</v>
      </c>
      <c r="BE29">
        <f t="shared" si="33"/>
        <v>207.48041936973124</v>
      </c>
      <c r="BF29" t="s">
        <v>487</v>
      </c>
      <c r="BG29">
        <v>520.13</v>
      </c>
      <c r="BH29">
        <f t="shared" si="34"/>
        <v>520.13</v>
      </c>
      <c r="BI29">
        <f t="shared" si="35"/>
        <v>0.53746039352176633</v>
      </c>
      <c r="BJ29">
        <f t="shared" si="36"/>
        <v>0.75797085270090303</v>
      </c>
      <c r="BK29">
        <f t="shared" si="37"/>
        <v>-6.2799217942798737</v>
      </c>
      <c r="BL29">
        <f t="shared" si="38"/>
        <v>0.48447277849666537</v>
      </c>
      <c r="BM29">
        <f t="shared" si="39"/>
        <v>-1.2290162847537758</v>
      </c>
      <c r="BN29">
        <f t="shared" si="40"/>
        <v>0.59159517628274794</v>
      </c>
      <c r="BO29">
        <f t="shared" si="41"/>
        <v>0.40840482371725206</v>
      </c>
      <c r="BP29">
        <v>6061</v>
      </c>
      <c r="BQ29">
        <v>290.00000000000011</v>
      </c>
      <c r="BR29">
        <v>965.81</v>
      </c>
      <c r="BS29">
        <v>295</v>
      </c>
      <c r="BT29">
        <v>8052.35</v>
      </c>
      <c r="BU29">
        <v>969.12</v>
      </c>
      <c r="BV29">
        <v>-3.31</v>
      </c>
      <c r="BW29">
        <v>300.00000000000011</v>
      </c>
      <c r="BX29">
        <v>19.3</v>
      </c>
      <c r="BY29">
        <v>1124.509107361115</v>
      </c>
      <c r="BZ29">
        <v>5.6334407647130913</v>
      </c>
      <c r="CA29">
        <v>-125.12486198331619</v>
      </c>
      <c r="CB29">
        <v>4.1671916247302896</v>
      </c>
      <c r="CC29">
        <v>0.96987860167464068</v>
      </c>
      <c r="CD29">
        <v>-4.156123248053388E-3</v>
      </c>
      <c r="CE29">
        <v>289.99999999999989</v>
      </c>
      <c r="CF29">
        <v>960.89</v>
      </c>
      <c r="CG29">
        <v>675</v>
      </c>
      <c r="CH29">
        <v>8042.04</v>
      </c>
      <c r="CI29">
        <v>968.92</v>
      </c>
      <c r="CJ29">
        <v>-8.0299999999999994</v>
      </c>
      <c r="CX29">
        <f t="shared" si="42"/>
        <v>1800.01</v>
      </c>
      <c r="CY29">
        <f t="shared" si="43"/>
        <v>1513.1933996510854</v>
      </c>
      <c r="CZ29">
        <f t="shared" si="44"/>
        <v>0.84065832948210584</v>
      </c>
      <c r="DA29">
        <f t="shared" si="45"/>
        <v>0.16087057590046433</v>
      </c>
      <c r="DB29">
        <v>6</v>
      </c>
      <c r="DC29">
        <v>0.5</v>
      </c>
      <c r="DD29" t="s">
        <v>422</v>
      </c>
      <c r="DE29">
        <v>2</v>
      </c>
      <c r="DF29">
        <v>1689001319.5</v>
      </c>
      <c r="DG29">
        <v>831.2</v>
      </c>
      <c r="DH29">
        <v>900.09799999999996</v>
      </c>
      <c r="DI29">
        <v>29.609200000000001</v>
      </c>
      <c r="DJ29">
        <v>23.4588</v>
      </c>
      <c r="DK29">
        <v>832.08100000000002</v>
      </c>
      <c r="DL29">
        <v>29.566099999999999</v>
      </c>
      <c r="DM29">
        <v>500.11200000000002</v>
      </c>
      <c r="DN29">
        <v>99.104100000000003</v>
      </c>
      <c r="DO29">
        <v>9.9955000000000002E-2</v>
      </c>
      <c r="DP29">
        <v>30.856100000000001</v>
      </c>
      <c r="DQ29">
        <v>29.974499999999999</v>
      </c>
      <c r="DR29">
        <v>999.9</v>
      </c>
      <c r="DS29">
        <v>0</v>
      </c>
      <c r="DT29">
        <v>0</v>
      </c>
      <c r="DU29">
        <v>9986.25</v>
      </c>
      <c r="DV29">
        <v>0</v>
      </c>
      <c r="DW29">
        <v>1361.66</v>
      </c>
      <c r="DX29">
        <v>-68.898099999999999</v>
      </c>
      <c r="DY29">
        <v>856.56200000000001</v>
      </c>
      <c r="DZ29">
        <v>921.72</v>
      </c>
      <c r="EA29">
        <v>6.1504099999999999</v>
      </c>
      <c r="EB29">
        <v>900.09799999999996</v>
      </c>
      <c r="EC29">
        <v>23.4588</v>
      </c>
      <c r="ED29">
        <v>2.9343900000000001</v>
      </c>
      <c r="EE29">
        <v>2.3248600000000001</v>
      </c>
      <c r="EF29">
        <v>23.6602</v>
      </c>
      <c r="EG29">
        <v>19.849699999999999</v>
      </c>
      <c r="EH29">
        <v>1800.01</v>
      </c>
      <c r="EI29">
        <v>0.97799599999999998</v>
      </c>
      <c r="EJ29">
        <v>2.20038E-2</v>
      </c>
      <c r="EK29">
        <v>0</v>
      </c>
      <c r="EL29">
        <v>666.53800000000001</v>
      </c>
      <c r="EM29">
        <v>5.0005300000000004</v>
      </c>
      <c r="EN29">
        <v>14078.4</v>
      </c>
      <c r="EO29">
        <v>16035.3</v>
      </c>
      <c r="EP29">
        <v>49.25</v>
      </c>
      <c r="EQ29">
        <v>49.811999999999998</v>
      </c>
      <c r="ER29">
        <v>49.561999999999998</v>
      </c>
      <c r="ES29">
        <v>49.936999999999998</v>
      </c>
      <c r="ET29">
        <v>50.5</v>
      </c>
      <c r="EU29">
        <v>1755.51</v>
      </c>
      <c r="EV29">
        <v>39.5</v>
      </c>
      <c r="EW29">
        <v>0</v>
      </c>
      <c r="EX29">
        <v>115.2000000476837</v>
      </c>
      <c r="EY29">
        <v>0</v>
      </c>
      <c r="EZ29">
        <v>666.40736000000004</v>
      </c>
      <c r="FA29">
        <v>-0.15176923182403559</v>
      </c>
      <c r="FB29">
        <v>0.95384614843323146</v>
      </c>
      <c r="FC29">
        <v>14080.044</v>
      </c>
      <c r="FD29">
        <v>15</v>
      </c>
      <c r="FE29">
        <v>1689001289.5</v>
      </c>
      <c r="FF29" t="s">
        <v>488</v>
      </c>
      <c r="FG29">
        <v>1689001289.5</v>
      </c>
      <c r="FH29">
        <v>1689001278.5</v>
      </c>
      <c r="FI29">
        <v>15</v>
      </c>
      <c r="FJ29">
        <v>-8.5000000000000006E-2</v>
      </c>
      <c r="FK29">
        <v>-2E-3</v>
      </c>
      <c r="FL29">
        <v>-0.875</v>
      </c>
      <c r="FM29">
        <v>3.2000000000000001E-2</v>
      </c>
      <c r="FN29">
        <v>900</v>
      </c>
      <c r="FO29">
        <v>23</v>
      </c>
      <c r="FP29">
        <v>0.03</v>
      </c>
      <c r="FQ29">
        <v>0.01</v>
      </c>
      <c r="FR29">
        <v>53.205040456931563</v>
      </c>
      <c r="FS29">
        <v>-0.68771212120260139</v>
      </c>
      <c r="FT29">
        <v>0.1439555268357135</v>
      </c>
      <c r="FU29">
        <v>1</v>
      </c>
      <c r="FV29">
        <v>0.41530757829497578</v>
      </c>
      <c r="FW29">
        <v>2.585576080519026E-2</v>
      </c>
      <c r="FX29">
        <v>4.2261889865464822E-3</v>
      </c>
      <c r="FY29">
        <v>1</v>
      </c>
      <c r="FZ29">
        <v>2</v>
      </c>
      <c r="GA29">
        <v>2</v>
      </c>
      <c r="GB29" t="s">
        <v>424</v>
      </c>
      <c r="GC29">
        <v>3.1189800000000001</v>
      </c>
      <c r="GD29">
        <v>2.7671399999999999</v>
      </c>
      <c r="GE29">
        <v>0.149562</v>
      </c>
      <c r="GF29">
        <v>0.15731200000000001</v>
      </c>
      <c r="GG29">
        <v>0.124127</v>
      </c>
      <c r="GH29">
        <v>0.105807</v>
      </c>
      <c r="GI29">
        <v>20358.8</v>
      </c>
      <c r="GJ29">
        <v>20854.400000000001</v>
      </c>
      <c r="GK29">
        <v>23797.599999999999</v>
      </c>
      <c r="GL29">
        <v>25055.9</v>
      </c>
      <c r="GM29">
        <v>30032.400000000001</v>
      </c>
      <c r="GN29">
        <v>31422.400000000001</v>
      </c>
      <c r="GO29">
        <v>37923.199999999997</v>
      </c>
      <c r="GP29">
        <v>38978.800000000003</v>
      </c>
      <c r="GQ29">
        <v>2.1541000000000001</v>
      </c>
      <c r="GR29">
        <v>1.7829299999999999</v>
      </c>
      <c r="GS29">
        <v>3.2886899999999997E-2</v>
      </c>
      <c r="GT29">
        <v>0</v>
      </c>
      <c r="GU29">
        <v>29.4391</v>
      </c>
      <c r="GV29">
        <v>999.9</v>
      </c>
      <c r="GW29">
        <v>44.6</v>
      </c>
      <c r="GX29">
        <v>38.4</v>
      </c>
      <c r="GY29">
        <v>30.617599999999999</v>
      </c>
      <c r="GZ29">
        <v>60.939799999999998</v>
      </c>
      <c r="HA29">
        <v>27.1995</v>
      </c>
      <c r="HB29">
        <v>1</v>
      </c>
      <c r="HC29">
        <v>0.50641800000000003</v>
      </c>
      <c r="HD29">
        <v>2.1296300000000001</v>
      </c>
      <c r="HE29">
        <v>20.306999999999999</v>
      </c>
      <c r="HF29">
        <v>5.2491899999999996</v>
      </c>
      <c r="HG29">
        <v>12.0099</v>
      </c>
      <c r="HH29">
        <v>4.9782999999999999</v>
      </c>
      <c r="HI29">
        <v>3.2922500000000001</v>
      </c>
      <c r="HJ29">
        <v>9999</v>
      </c>
      <c r="HK29">
        <v>9999</v>
      </c>
      <c r="HL29">
        <v>9999</v>
      </c>
      <c r="HM29">
        <v>231.8</v>
      </c>
      <c r="HN29">
        <v>1.87575</v>
      </c>
      <c r="HO29">
        <v>1.87676</v>
      </c>
      <c r="HP29">
        <v>1.8828400000000001</v>
      </c>
      <c r="HQ29">
        <v>1.88601</v>
      </c>
      <c r="HR29">
        <v>1.87683</v>
      </c>
      <c r="HS29">
        <v>1.8832899999999999</v>
      </c>
      <c r="HT29">
        <v>1.88226</v>
      </c>
      <c r="HU29">
        <v>1.88578</v>
      </c>
      <c r="HV29">
        <v>0</v>
      </c>
      <c r="HW29">
        <v>0</v>
      </c>
      <c r="HX29">
        <v>0</v>
      </c>
      <c r="HY29">
        <v>0</v>
      </c>
      <c r="HZ29" t="s">
        <v>425</v>
      </c>
      <c r="IA29" t="s">
        <v>426</v>
      </c>
      <c r="IB29" t="s">
        <v>427</v>
      </c>
      <c r="IC29" t="s">
        <v>427</v>
      </c>
      <c r="ID29" t="s">
        <v>427</v>
      </c>
      <c r="IE29" t="s">
        <v>427</v>
      </c>
      <c r="IF29">
        <v>0</v>
      </c>
      <c r="IG29">
        <v>100</v>
      </c>
      <c r="IH29">
        <v>100</v>
      </c>
      <c r="II29">
        <v>-0.88100000000000001</v>
      </c>
      <c r="IJ29">
        <v>4.3099999999999999E-2</v>
      </c>
      <c r="IK29">
        <v>-0.81726873510445963</v>
      </c>
      <c r="IL29">
        <v>-4.2852564239613137E-4</v>
      </c>
      <c r="IM29">
        <v>6.4980710991155998E-7</v>
      </c>
      <c r="IN29">
        <v>-2.7237938963984961E-10</v>
      </c>
      <c r="IO29">
        <v>-1.8863407482651771E-2</v>
      </c>
      <c r="IP29">
        <v>6.6907473102813496E-3</v>
      </c>
      <c r="IQ29">
        <v>-3.3673306238274028E-4</v>
      </c>
      <c r="IR29">
        <v>6.1311374003140313E-6</v>
      </c>
      <c r="IS29">
        <v>3</v>
      </c>
      <c r="IT29">
        <v>2101</v>
      </c>
      <c r="IU29">
        <v>1</v>
      </c>
      <c r="IV29">
        <v>32</v>
      </c>
      <c r="IW29">
        <v>0.5</v>
      </c>
      <c r="IX29">
        <v>0.7</v>
      </c>
      <c r="IY29">
        <v>1.94336</v>
      </c>
      <c r="IZ29">
        <v>2.67456</v>
      </c>
      <c r="JA29">
        <v>1.6015600000000001</v>
      </c>
      <c r="JB29">
        <v>2.3327599999999999</v>
      </c>
      <c r="JC29">
        <v>1.5502899999999999</v>
      </c>
      <c r="JD29">
        <v>2.36206</v>
      </c>
      <c r="JE29">
        <v>43.864100000000001</v>
      </c>
      <c r="JF29">
        <v>23.973700000000001</v>
      </c>
      <c r="JG29">
        <v>18</v>
      </c>
      <c r="JH29">
        <v>596.48800000000006</v>
      </c>
      <c r="JI29">
        <v>410.524</v>
      </c>
      <c r="JJ29">
        <v>27.867699999999999</v>
      </c>
      <c r="JK29">
        <v>33.398000000000003</v>
      </c>
      <c r="JL29">
        <v>30.0002</v>
      </c>
      <c r="JM29">
        <v>33.4634</v>
      </c>
      <c r="JN29">
        <v>33.451300000000003</v>
      </c>
      <c r="JO29">
        <v>38.881700000000002</v>
      </c>
      <c r="JP29">
        <v>30.303999999999998</v>
      </c>
      <c r="JQ29">
        <v>12.9168</v>
      </c>
      <c r="JR29">
        <v>27.873899999999999</v>
      </c>
      <c r="JS29">
        <v>900</v>
      </c>
      <c r="JT29">
        <v>23.314</v>
      </c>
      <c r="JU29">
        <v>98.924499999999995</v>
      </c>
      <c r="JV29">
        <v>98.656700000000001</v>
      </c>
    </row>
    <row r="30" spans="1:282" x14ac:dyDescent="0.25">
      <c r="A30">
        <v>14</v>
      </c>
      <c r="B30">
        <v>1689001441.5</v>
      </c>
      <c r="C30">
        <v>1618.900000095367</v>
      </c>
      <c r="D30" t="s">
        <v>489</v>
      </c>
      <c r="E30" t="s">
        <v>490</v>
      </c>
      <c r="F30" t="s">
        <v>414</v>
      </c>
      <c r="G30" t="s">
        <v>415</v>
      </c>
      <c r="H30" t="s">
        <v>416</v>
      </c>
      <c r="I30" t="s">
        <v>417</v>
      </c>
      <c r="J30" t="s">
        <v>418</v>
      </c>
      <c r="K30">
        <v>1689001441.5</v>
      </c>
      <c r="L30">
        <f t="shared" si="0"/>
        <v>5.0842690736438954E-3</v>
      </c>
      <c r="M30">
        <f t="shared" si="1"/>
        <v>5.0842690736438954</v>
      </c>
      <c r="N30">
        <f t="shared" si="2"/>
        <v>52.574637333610355</v>
      </c>
      <c r="O30">
        <f t="shared" si="3"/>
        <v>1130.21</v>
      </c>
      <c r="P30">
        <f t="shared" si="4"/>
        <v>876.78531464195726</v>
      </c>
      <c r="Q30">
        <f t="shared" si="5"/>
        <v>86.977922305323105</v>
      </c>
      <c r="R30">
        <f t="shared" si="6"/>
        <v>112.11788784218201</v>
      </c>
      <c r="S30">
        <f t="shared" si="7"/>
        <v>0.38701589486751192</v>
      </c>
      <c r="T30">
        <f t="shared" si="8"/>
        <v>2.9167918023810384</v>
      </c>
      <c r="U30">
        <f t="shared" si="9"/>
        <v>0.36058378511293271</v>
      </c>
      <c r="V30">
        <f t="shared" si="10"/>
        <v>0.22758907387697802</v>
      </c>
      <c r="W30">
        <f t="shared" si="11"/>
        <v>289.57024132659848</v>
      </c>
      <c r="X30">
        <f t="shared" si="12"/>
        <v>31.230338114191088</v>
      </c>
      <c r="Y30">
        <f t="shared" si="13"/>
        <v>30.0091</v>
      </c>
      <c r="Z30">
        <f t="shared" si="14"/>
        <v>4.2626772020649577</v>
      </c>
      <c r="AA30">
        <f t="shared" si="15"/>
        <v>65.180099884901423</v>
      </c>
      <c r="AB30">
        <f t="shared" si="16"/>
        <v>2.9145333668894198</v>
      </c>
      <c r="AC30">
        <f t="shared" si="17"/>
        <v>4.4715079787175256</v>
      </c>
      <c r="AD30">
        <f t="shared" si="18"/>
        <v>1.3481438351755379</v>
      </c>
      <c r="AE30">
        <f t="shared" si="19"/>
        <v>-224.21626614769579</v>
      </c>
      <c r="AF30">
        <f t="shared" si="20"/>
        <v>131.3509915316171</v>
      </c>
      <c r="AG30">
        <f t="shared" si="21"/>
        <v>10.055450942901395</v>
      </c>
      <c r="AH30">
        <f t="shared" si="22"/>
        <v>206.7604176534212</v>
      </c>
      <c r="AI30">
        <v>0</v>
      </c>
      <c r="AJ30">
        <v>0</v>
      </c>
      <c r="AK30">
        <f t="shared" si="23"/>
        <v>1</v>
      </c>
      <c r="AL30">
        <f t="shared" si="24"/>
        <v>0</v>
      </c>
      <c r="AM30">
        <f t="shared" si="25"/>
        <v>51825.662553570379</v>
      </c>
      <c r="AN30" t="s">
        <v>419</v>
      </c>
      <c r="AO30">
        <v>9967.0300000000007</v>
      </c>
      <c r="AP30">
        <v>178.94153846153841</v>
      </c>
      <c r="AQ30">
        <v>603.15</v>
      </c>
      <c r="AR30">
        <f t="shared" si="26"/>
        <v>0.7033216638290003</v>
      </c>
      <c r="AS30">
        <v>-3.2649104154664181</v>
      </c>
      <c r="AT30" t="s">
        <v>491</v>
      </c>
      <c r="AU30">
        <v>8054.35</v>
      </c>
      <c r="AV30">
        <v>666.66011538461544</v>
      </c>
      <c r="AW30">
        <v>1138.8279753956569</v>
      </c>
      <c r="AX30">
        <f t="shared" si="27"/>
        <v>0.41460858901626363</v>
      </c>
      <c r="AY30">
        <v>0.5</v>
      </c>
      <c r="AZ30">
        <f t="shared" si="28"/>
        <v>1513.2017996510872</v>
      </c>
      <c r="BA30">
        <f t="shared" si="29"/>
        <v>52.574637333610355</v>
      </c>
      <c r="BB30">
        <f t="shared" si="30"/>
        <v>313.69323152510407</v>
      </c>
      <c r="BC30">
        <f t="shared" si="31"/>
        <v>3.6901586927766149E-2</v>
      </c>
      <c r="BD30">
        <f t="shared" si="32"/>
        <v>-0.47037655112884735</v>
      </c>
      <c r="BE30">
        <f t="shared" si="33"/>
        <v>207.96286735407861</v>
      </c>
      <c r="BF30" t="s">
        <v>492</v>
      </c>
      <c r="BG30">
        <v>525.92999999999995</v>
      </c>
      <c r="BH30">
        <f t="shared" si="34"/>
        <v>525.92999999999995</v>
      </c>
      <c r="BI30">
        <f t="shared" si="35"/>
        <v>0.53818310459287866</v>
      </c>
      <c r="BJ30">
        <f t="shared" si="36"/>
        <v>0.77038573949641942</v>
      </c>
      <c r="BK30">
        <f t="shared" si="37"/>
        <v>-6.9370367184104733</v>
      </c>
      <c r="BL30">
        <f t="shared" si="38"/>
        <v>0.49189971005231375</v>
      </c>
      <c r="BM30">
        <f t="shared" si="39"/>
        <v>-1.2627706044639773</v>
      </c>
      <c r="BN30">
        <f t="shared" si="40"/>
        <v>0.60775943036519908</v>
      </c>
      <c r="BO30">
        <f t="shared" si="41"/>
        <v>0.39224056963480092</v>
      </c>
      <c r="BP30">
        <v>6063</v>
      </c>
      <c r="BQ30">
        <v>290.00000000000011</v>
      </c>
      <c r="BR30">
        <v>971.41</v>
      </c>
      <c r="BS30">
        <v>285</v>
      </c>
      <c r="BT30">
        <v>8054.35</v>
      </c>
      <c r="BU30">
        <v>975.18</v>
      </c>
      <c r="BV30">
        <v>-3.77</v>
      </c>
      <c r="BW30">
        <v>300.00000000000011</v>
      </c>
      <c r="BX30">
        <v>19.3</v>
      </c>
      <c r="BY30">
        <v>1138.8279753956569</v>
      </c>
      <c r="BZ30">
        <v>5.3137676380220071</v>
      </c>
      <c r="CA30">
        <v>-131.80589391901151</v>
      </c>
      <c r="CB30">
        <v>3.9317441258327972</v>
      </c>
      <c r="CC30">
        <v>0.97569077782687097</v>
      </c>
      <c r="CD30">
        <v>-4.1570507230255854E-3</v>
      </c>
      <c r="CE30">
        <v>289.99999999999989</v>
      </c>
      <c r="CF30">
        <v>965.36</v>
      </c>
      <c r="CG30">
        <v>655</v>
      </c>
      <c r="CH30">
        <v>8044.84</v>
      </c>
      <c r="CI30">
        <v>974.99</v>
      </c>
      <c r="CJ30">
        <v>-9.6300000000000008</v>
      </c>
      <c r="CX30">
        <f t="shared" si="42"/>
        <v>1800.02</v>
      </c>
      <c r="CY30">
        <f t="shared" si="43"/>
        <v>1513.2017996510872</v>
      </c>
      <c r="CZ30">
        <f t="shared" si="44"/>
        <v>0.84065832582476152</v>
      </c>
      <c r="DA30">
        <f t="shared" si="45"/>
        <v>0.1608705688417898</v>
      </c>
      <c r="DB30">
        <v>6</v>
      </c>
      <c r="DC30">
        <v>0.5</v>
      </c>
      <c r="DD30" t="s">
        <v>422</v>
      </c>
      <c r="DE30">
        <v>2</v>
      </c>
      <c r="DF30">
        <v>1689001441.5</v>
      </c>
      <c r="DG30">
        <v>1130.21</v>
      </c>
      <c r="DH30">
        <v>1200.1600000000001</v>
      </c>
      <c r="DI30">
        <v>29.380099999999999</v>
      </c>
      <c r="DJ30">
        <v>23.461200000000002</v>
      </c>
      <c r="DK30">
        <v>1130.98</v>
      </c>
      <c r="DL30">
        <v>29.335699999999999</v>
      </c>
      <c r="DM30">
        <v>500.25099999999998</v>
      </c>
      <c r="DN30">
        <v>99.101100000000002</v>
      </c>
      <c r="DO30">
        <v>9.9834199999999998E-2</v>
      </c>
      <c r="DP30">
        <v>30.8444</v>
      </c>
      <c r="DQ30">
        <v>30.0091</v>
      </c>
      <c r="DR30">
        <v>999.9</v>
      </c>
      <c r="DS30">
        <v>0</v>
      </c>
      <c r="DT30">
        <v>0</v>
      </c>
      <c r="DU30">
        <v>10017.5</v>
      </c>
      <c r="DV30">
        <v>0</v>
      </c>
      <c r="DW30">
        <v>1374.07</v>
      </c>
      <c r="DX30">
        <v>-69.950299999999999</v>
      </c>
      <c r="DY30">
        <v>1164.43</v>
      </c>
      <c r="DZ30">
        <v>1229</v>
      </c>
      <c r="EA30">
        <v>5.9189499999999997</v>
      </c>
      <c r="EB30">
        <v>1200.1600000000001</v>
      </c>
      <c r="EC30">
        <v>23.461200000000002</v>
      </c>
      <c r="ED30">
        <v>2.9116</v>
      </c>
      <c r="EE30">
        <v>2.3250299999999999</v>
      </c>
      <c r="EF30">
        <v>23.530799999999999</v>
      </c>
      <c r="EG30">
        <v>19.8508</v>
      </c>
      <c r="EH30">
        <v>1800.02</v>
      </c>
      <c r="EI30">
        <v>0.977993</v>
      </c>
      <c r="EJ30">
        <v>2.20073E-2</v>
      </c>
      <c r="EK30">
        <v>0</v>
      </c>
      <c r="EL30">
        <v>666.51499999999999</v>
      </c>
      <c r="EM30">
        <v>5.0005300000000004</v>
      </c>
      <c r="EN30">
        <v>14067.4</v>
      </c>
      <c r="EO30">
        <v>16035.4</v>
      </c>
      <c r="EP30">
        <v>48.875</v>
      </c>
      <c r="EQ30">
        <v>49.5</v>
      </c>
      <c r="ER30">
        <v>49.186999999999998</v>
      </c>
      <c r="ES30">
        <v>49.561999999999998</v>
      </c>
      <c r="ET30">
        <v>50.125</v>
      </c>
      <c r="EU30">
        <v>1755.52</v>
      </c>
      <c r="EV30">
        <v>39.5</v>
      </c>
      <c r="EW30">
        <v>0</v>
      </c>
      <c r="EX30">
        <v>120.2000000476837</v>
      </c>
      <c r="EY30">
        <v>0</v>
      </c>
      <c r="EZ30">
        <v>666.66011538461544</v>
      </c>
      <c r="FA30">
        <v>-0.40707691204238411</v>
      </c>
      <c r="FB30">
        <v>-4.8068375904801348</v>
      </c>
      <c r="FC30">
        <v>14066.4</v>
      </c>
      <c r="FD30">
        <v>15</v>
      </c>
      <c r="FE30">
        <v>1689001404</v>
      </c>
      <c r="FF30" t="s">
        <v>493</v>
      </c>
      <c r="FG30">
        <v>1689001400.5</v>
      </c>
      <c r="FH30">
        <v>1689001404</v>
      </c>
      <c r="FI30">
        <v>16</v>
      </c>
      <c r="FJ30">
        <v>0.105</v>
      </c>
      <c r="FK30">
        <v>2E-3</v>
      </c>
      <c r="FL30">
        <v>-0.76300000000000001</v>
      </c>
      <c r="FM30">
        <v>3.3000000000000002E-2</v>
      </c>
      <c r="FN30">
        <v>1200</v>
      </c>
      <c r="FO30">
        <v>23</v>
      </c>
      <c r="FP30">
        <v>0.04</v>
      </c>
      <c r="FQ30">
        <v>0.01</v>
      </c>
      <c r="FR30">
        <v>52.41556365648556</v>
      </c>
      <c r="FS30">
        <v>-0.31233662074451191</v>
      </c>
      <c r="FT30">
        <v>7.344201632383239E-2</v>
      </c>
      <c r="FU30">
        <v>1</v>
      </c>
      <c r="FV30">
        <v>0.39235423950686849</v>
      </c>
      <c r="FW30">
        <v>-2.1107003076166361E-2</v>
      </c>
      <c r="FX30">
        <v>1.618540401852526E-3</v>
      </c>
      <c r="FY30">
        <v>1</v>
      </c>
      <c r="FZ30">
        <v>2</v>
      </c>
      <c r="GA30">
        <v>2</v>
      </c>
      <c r="GB30" t="s">
        <v>424</v>
      </c>
      <c r="GC30">
        <v>3.1194299999999999</v>
      </c>
      <c r="GD30">
        <v>2.7673000000000001</v>
      </c>
      <c r="GE30">
        <v>0.18208199999999999</v>
      </c>
      <c r="GF30">
        <v>0.18871099999999999</v>
      </c>
      <c r="GG30">
        <v>0.123444</v>
      </c>
      <c r="GH30">
        <v>0.10580000000000001</v>
      </c>
      <c r="GI30">
        <v>19577.2</v>
      </c>
      <c r="GJ30">
        <v>20075.099999999999</v>
      </c>
      <c r="GK30">
        <v>23795.8</v>
      </c>
      <c r="GL30">
        <v>25055.4</v>
      </c>
      <c r="GM30">
        <v>30053.7</v>
      </c>
      <c r="GN30">
        <v>31421.7</v>
      </c>
      <c r="GO30">
        <v>37920.699999999997</v>
      </c>
      <c r="GP30">
        <v>38977.800000000003</v>
      </c>
      <c r="GQ30">
        <v>2.15408</v>
      </c>
      <c r="GR30">
        <v>1.7809299999999999</v>
      </c>
      <c r="GS30">
        <v>3.6016100000000002E-2</v>
      </c>
      <c r="GT30">
        <v>0</v>
      </c>
      <c r="GU30">
        <v>29.422699999999999</v>
      </c>
      <c r="GV30">
        <v>999.9</v>
      </c>
      <c r="GW30">
        <v>44</v>
      </c>
      <c r="GX30">
        <v>38.700000000000003</v>
      </c>
      <c r="GY30">
        <v>30.696899999999999</v>
      </c>
      <c r="GZ30">
        <v>60.769799999999996</v>
      </c>
      <c r="HA30">
        <v>27.103400000000001</v>
      </c>
      <c r="HB30">
        <v>1</v>
      </c>
      <c r="HC30">
        <v>0.50869399999999998</v>
      </c>
      <c r="HD30">
        <v>1.64534</v>
      </c>
      <c r="HE30">
        <v>20.313600000000001</v>
      </c>
      <c r="HF30">
        <v>5.2502399999999998</v>
      </c>
      <c r="HG30">
        <v>12.0099</v>
      </c>
      <c r="HH30">
        <v>4.9786000000000001</v>
      </c>
      <c r="HI30">
        <v>3.2930000000000001</v>
      </c>
      <c r="HJ30">
        <v>9999</v>
      </c>
      <c r="HK30">
        <v>9999</v>
      </c>
      <c r="HL30">
        <v>9999</v>
      </c>
      <c r="HM30">
        <v>231.9</v>
      </c>
      <c r="HN30">
        <v>1.87568</v>
      </c>
      <c r="HO30">
        <v>1.8767</v>
      </c>
      <c r="HP30">
        <v>1.8827799999999999</v>
      </c>
      <c r="HQ30">
        <v>1.8859900000000001</v>
      </c>
      <c r="HR30">
        <v>1.87683</v>
      </c>
      <c r="HS30">
        <v>1.88324</v>
      </c>
      <c r="HT30">
        <v>1.8822000000000001</v>
      </c>
      <c r="HU30">
        <v>1.8856900000000001</v>
      </c>
      <c r="HV30">
        <v>0</v>
      </c>
      <c r="HW30">
        <v>0</v>
      </c>
      <c r="HX30">
        <v>0</v>
      </c>
      <c r="HY30">
        <v>0</v>
      </c>
      <c r="HZ30" t="s">
        <v>425</v>
      </c>
      <c r="IA30" t="s">
        <v>426</v>
      </c>
      <c r="IB30" t="s">
        <v>427</v>
      </c>
      <c r="IC30" t="s">
        <v>427</v>
      </c>
      <c r="ID30" t="s">
        <v>427</v>
      </c>
      <c r="IE30" t="s">
        <v>427</v>
      </c>
      <c r="IF30">
        <v>0</v>
      </c>
      <c r="IG30">
        <v>100</v>
      </c>
      <c r="IH30">
        <v>100</v>
      </c>
      <c r="II30">
        <v>-0.77</v>
      </c>
      <c r="IJ30">
        <v>4.4400000000000002E-2</v>
      </c>
      <c r="IK30">
        <v>-0.71412227199544354</v>
      </c>
      <c r="IL30">
        <v>-4.2852564239613137E-4</v>
      </c>
      <c r="IM30">
        <v>6.4980710991155998E-7</v>
      </c>
      <c r="IN30">
        <v>-2.7237938963984961E-10</v>
      </c>
      <c r="IO30">
        <v>-1.6901225595429489E-2</v>
      </c>
      <c r="IP30">
        <v>6.6907473102813496E-3</v>
      </c>
      <c r="IQ30">
        <v>-3.3673306238274028E-4</v>
      </c>
      <c r="IR30">
        <v>6.1311374003140313E-6</v>
      </c>
      <c r="IS30">
        <v>3</v>
      </c>
      <c r="IT30">
        <v>2101</v>
      </c>
      <c r="IU30">
        <v>1</v>
      </c>
      <c r="IV30">
        <v>32</v>
      </c>
      <c r="IW30">
        <v>0.7</v>
      </c>
      <c r="IX30">
        <v>0.6</v>
      </c>
      <c r="IY30">
        <v>2.4597199999999999</v>
      </c>
      <c r="IZ30">
        <v>2.66479</v>
      </c>
      <c r="JA30">
        <v>1.6015600000000001</v>
      </c>
      <c r="JB30">
        <v>2.3315399999999999</v>
      </c>
      <c r="JC30">
        <v>1.5502899999999999</v>
      </c>
      <c r="JD30">
        <v>2.36206</v>
      </c>
      <c r="JE30">
        <v>43.8367</v>
      </c>
      <c r="JF30">
        <v>23.991199999999999</v>
      </c>
      <c r="JG30">
        <v>18</v>
      </c>
      <c r="JH30">
        <v>596.89599999999996</v>
      </c>
      <c r="JI30">
        <v>409.55900000000003</v>
      </c>
      <c r="JJ30">
        <v>28.251999999999999</v>
      </c>
      <c r="JK30">
        <v>33.440100000000001</v>
      </c>
      <c r="JL30">
        <v>30.0001</v>
      </c>
      <c r="JM30">
        <v>33.510399999999997</v>
      </c>
      <c r="JN30">
        <v>33.498800000000003</v>
      </c>
      <c r="JO30">
        <v>49.2455</v>
      </c>
      <c r="JP30">
        <v>30.1843</v>
      </c>
      <c r="JQ30">
        <v>11.246600000000001</v>
      </c>
      <c r="JR30">
        <v>28.255199999999999</v>
      </c>
      <c r="JS30">
        <v>1200</v>
      </c>
      <c r="JT30">
        <v>23.460100000000001</v>
      </c>
      <c r="JU30">
        <v>98.917699999999996</v>
      </c>
      <c r="JV30">
        <v>98.654399999999995</v>
      </c>
    </row>
    <row r="31" spans="1:282" x14ac:dyDescent="0.25">
      <c r="A31">
        <v>15</v>
      </c>
      <c r="B31">
        <v>1689001553.5</v>
      </c>
      <c r="C31">
        <v>1730.900000095367</v>
      </c>
      <c r="D31" t="s">
        <v>494</v>
      </c>
      <c r="E31" t="s">
        <v>495</v>
      </c>
      <c r="F31" t="s">
        <v>414</v>
      </c>
      <c r="G31" t="s">
        <v>415</v>
      </c>
      <c r="H31" t="s">
        <v>416</v>
      </c>
      <c r="I31" t="s">
        <v>417</v>
      </c>
      <c r="J31" t="s">
        <v>418</v>
      </c>
      <c r="K31">
        <v>1689001553.5</v>
      </c>
      <c r="L31">
        <f t="shared" si="0"/>
        <v>4.8884998732291862E-3</v>
      </c>
      <c r="M31">
        <f t="shared" si="1"/>
        <v>4.8884998732291862</v>
      </c>
      <c r="N31">
        <f t="shared" si="2"/>
        <v>51.946582852856487</v>
      </c>
      <c r="O31">
        <f t="shared" si="3"/>
        <v>1429.27</v>
      </c>
      <c r="P31">
        <f t="shared" si="4"/>
        <v>1162.6298710516458</v>
      </c>
      <c r="Q31">
        <f t="shared" si="5"/>
        <v>115.33560678505918</v>
      </c>
      <c r="R31">
        <f t="shared" si="6"/>
        <v>141.786932207902</v>
      </c>
      <c r="S31">
        <f t="shared" si="7"/>
        <v>0.37078229918874578</v>
      </c>
      <c r="T31">
        <f t="shared" si="8"/>
        <v>2.9159463809427963</v>
      </c>
      <c r="U31">
        <f t="shared" si="9"/>
        <v>0.34643978721036844</v>
      </c>
      <c r="V31">
        <f t="shared" si="10"/>
        <v>0.21857862947431467</v>
      </c>
      <c r="W31">
        <f t="shared" si="11"/>
        <v>289.56850432710996</v>
      </c>
      <c r="X31">
        <f t="shared" si="12"/>
        <v>31.259335673554943</v>
      </c>
      <c r="Y31">
        <f t="shared" si="13"/>
        <v>30.0017</v>
      </c>
      <c r="Z31">
        <f t="shared" si="14"/>
        <v>4.2608658085871269</v>
      </c>
      <c r="AA31">
        <f t="shared" si="15"/>
        <v>65.198004241892249</v>
      </c>
      <c r="AB31">
        <f t="shared" si="16"/>
        <v>2.9116581969498196</v>
      </c>
      <c r="AC31">
        <f t="shared" si="17"/>
        <v>4.4658701302377688</v>
      </c>
      <c r="AD31">
        <f t="shared" si="18"/>
        <v>1.3492076116373073</v>
      </c>
      <c r="AE31">
        <f t="shared" si="19"/>
        <v>-215.5828444094071</v>
      </c>
      <c r="AF31">
        <f t="shared" si="20"/>
        <v>129.00201375807166</v>
      </c>
      <c r="AG31">
        <f t="shared" si="21"/>
        <v>9.8770492122206317</v>
      </c>
      <c r="AH31">
        <f t="shared" si="22"/>
        <v>212.86472288799516</v>
      </c>
      <c r="AI31">
        <v>0</v>
      </c>
      <c r="AJ31">
        <v>0</v>
      </c>
      <c r="AK31">
        <f t="shared" si="23"/>
        <v>1</v>
      </c>
      <c r="AL31">
        <f t="shared" si="24"/>
        <v>0</v>
      </c>
      <c r="AM31">
        <f t="shared" si="25"/>
        <v>51805.465727957417</v>
      </c>
      <c r="AN31" t="s">
        <v>419</v>
      </c>
      <c r="AO31">
        <v>9967.0300000000007</v>
      </c>
      <c r="AP31">
        <v>178.94153846153841</v>
      </c>
      <c r="AQ31">
        <v>603.15</v>
      </c>
      <c r="AR31">
        <f t="shared" si="26"/>
        <v>0.7033216638290003</v>
      </c>
      <c r="AS31">
        <v>-3.2649104154664181</v>
      </c>
      <c r="AT31" t="s">
        <v>496</v>
      </c>
      <c r="AU31">
        <v>8057.32</v>
      </c>
      <c r="AV31">
        <v>667.63547999999992</v>
      </c>
      <c r="AW31">
        <v>1147.4459202614159</v>
      </c>
      <c r="AX31">
        <f t="shared" si="27"/>
        <v>0.41815516687017684</v>
      </c>
      <c r="AY31">
        <v>0.5</v>
      </c>
      <c r="AZ31">
        <f t="shared" si="28"/>
        <v>1513.2008996513523</v>
      </c>
      <c r="BA31">
        <f t="shared" si="29"/>
        <v>51.946582852856487</v>
      </c>
      <c r="BB31">
        <f t="shared" si="30"/>
        <v>316.3763873509065</v>
      </c>
      <c r="BC31">
        <f t="shared" si="31"/>
        <v>3.648655857992409E-2</v>
      </c>
      <c r="BD31">
        <f t="shared" si="32"/>
        <v>-0.47435431217308455</v>
      </c>
      <c r="BE31">
        <f t="shared" si="33"/>
        <v>208.24848234607975</v>
      </c>
      <c r="BF31" t="s">
        <v>497</v>
      </c>
      <c r="BG31">
        <v>525.41</v>
      </c>
      <c r="BH31">
        <f t="shared" si="34"/>
        <v>525.41</v>
      </c>
      <c r="BI31">
        <f t="shared" si="35"/>
        <v>0.54210478182684296</v>
      </c>
      <c r="BJ31">
        <f t="shared" si="36"/>
        <v>0.77135487619392062</v>
      </c>
      <c r="BK31">
        <f t="shared" si="37"/>
        <v>-7.0014911276230496</v>
      </c>
      <c r="BL31">
        <f t="shared" si="38"/>
        <v>0.49541380429248222</v>
      </c>
      <c r="BM31">
        <f t="shared" si="39"/>
        <v>-1.2830859579920626</v>
      </c>
      <c r="BN31">
        <f t="shared" si="40"/>
        <v>0.60703419402013792</v>
      </c>
      <c r="BO31">
        <f t="shared" si="41"/>
        <v>0.39296580597986208</v>
      </c>
      <c r="BP31">
        <v>6065</v>
      </c>
      <c r="BQ31">
        <v>290.00000000000011</v>
      </c>
      <c r="BR31">
        <v>975.37</v>
      </c>
      <c r="BS31">
        <v>265</v>
      </c>
      <c r="BT31">
        <v>8057.32</v>
      </c>
      <c r="BU31">
        <v>980.03</v>
      </c>
      <c r="BV31">
        <v>-4.66</v>
      </c>
      <c r="BW31">
        <v>300.00000000000011</v>
      </c>
      <c r="BX31">
        <v>19.3</v>
      </c>
      <c r="BY31">
        <v>1147.4459202614159</v>
      </c>
      <c r="BZ31">
        <v>5.5758287816111389</v>
      </c>
      <c r="CA31">
        <v>-134.89232101085759</v>
      </c>
      <c r="CB31">
        <v>4.1265400617912062</v>
      </c>
      <c r="CC31">
        <v>0.97446579690672552</v>
      </c>
      <c r="CD31">
        <v>-4.1577461624026767E-3</v>
      </c>
      <c r="CE31">
        <v>289.99999999999989</v>
      </c>
      <c r="CF31">
        <v>971.31</v>
      </c>
      <c r="CG31">
        <v>635</v>
      </c>
      <c r="CH31">
        <v>8047.29</v>
      </c>
      <c r="CI31">
        <v>979.82</v>
      </c>
      <c r="CJ31">
        <v>-8.51</v>
      </c>
      <c r="CX31">
        <f t="shared" si="42"/>
        <v>1800.02</v>
      </c>
      <c r="CY31">
        <f t="shared" si="43"/>
        <v>1513.2008996513523</v>
      </c>
      <c r="CZ31">
        <f t="shared" si="44"/>
        <v>0.84065782583046422</v>
      </c>
      <c r="DA31">
        <f t="shared" si="45"/>
        <v>0.16086960385279606</v>
      </c>
      <c r="DB31">
        <v>6</v>
      </c>
      <c r="DC31">
        <v>0.5</v>
      </c>
      <c r="DD31" t="s">
        <v>422</v>
      </c>
      <c r="DE31">
        <v>2</v>
      </c>
      <c r="DF31">
        <v>1689001553.5</v>
      </c>
      <c r="DG31">
        <v>1429.27</v>
      </c>
      <c r="DH31">
        <v>1499.99</v>
      </c>
      <c r="DI31">
        <v>29.3507</v>
      </c>
      <c r="DJ31">
        <v>23.656700000000001</v>
      </c>
      <c r="DK31">
        <v>1430</v>
      </c>
      <c r="DL31">
        <v>29.3049</v>
      </c>
      <c r="DM31">
        <v>500.00200000000001</v>
      </c>
      <c r="DN31">
        <v>99.102699999999999</v>
      </c>
      <c r="DO31">
        <v>9.9642599999999998E-2</v>
      </c>
      <c r="DP31">
        <v>30.822299999999998</v>
      </c>
      <c r="DQ31">
        <v>30.0017</v>
      </c>
      <c r="DR31">
        <v>999.9</v>
      </c>
      <c r="DS31">
        <v>0</v>
      </c>
      <c r="DT31">
        <v>0</v>
      </c>
      <c r="DU31">
        <v>10012.5</v>
      </c>
      <c r="DV31">
        <v>0</v>
      </c>
      <c r="DW31">
        <v>1384.83</v>
      </c>
      <c r="DX31">
        <v>-70.721299999999999</v>
      </c>
      <c r="DY31">
        <v>1472.48</v>
      </c>
      <c r="DZ31">
        <v>1536.33</v>
      </c>
      <c r="EA31">
        <v>5.6939200000000003</v>
      </c>
      <c r="EB31">
        <v>1499.99</v>
      </c>
      <c r="EC31">
        <v>23.656700000000001</v>
      </c>
      <c r="ED31">
        <v>2.9087299999999998</v>
      </c>
      <c r="EE31">
        <v>2.3444500000000001</v>
      </c>
      <c r="EF31">
        <v>23.514500000000002</v>
      </c>
      <c r="EG31">
        <v>19.985099999999999</v>
      </c>
      <c r="EH31">
        <v>1800.02</v>
      </c>
      <c r="EI31">
        <v>0.97800900000000002</v>
      </c>
      <c r="EJ31">
        <v>2.19905E-2</v>
      </c>
      <c r="EK31">
        <v>0</v>
      </c>
      <c r="EL31">
        <v>667.64499999999998</v>
      </c>
      <c r="EM31">
        <v>5.0005300000000004</v>
      </c>
      <c r="EN31">
        <v>14073.4</v>
      </c>
      <c r="EO31">
        <v>16035.5</v>
      </c>
      <c r="EP31">
        <v>48.561999999999998</v>
      </c>
      <c r="EQ31">
        <v>49.186999999999998</v>
      </c>
      <c r="ER31">
        <v>48.811999999999998</v>
      </c>
      <c r="ES31">
        <v>49.375</v>
      </c>
      <c r="ET31">
        <v>49.875</v>
      </c>
      <c r="EU31">
        <v>1755.55</v>
      </c>
      <c r="EV31">
        <v>39.47</v>
      </c>
      <c r="EW31">
        <v>0</v>
      </c>
      <c r="EX31">
        <v>109.7999999523163</v>
      </c>
      <c r="EY31">
        <v>0</v>
      </c>
      <c r="EZ31">
        <v>667.63547999999992</v>
      </c>
      <c r="FA31">
        <v>1.546230764587879</v>
      </c>
      <c r="FB31">
        <v>41.776923280413769</v>
      </c>
      <c r="FC31">
        <v>14068.592000000001</v>
      </c>
      <c r="FD31">
        <v>15</v>
      </c>
      <c r="FE31">
        <v>1689001521.5</v>
      </c>
      <c r="FF31" t="s">
        <v>498</v>
      </c>
      <c r="FG31">
        <v>1689001515</v>
      </c>
      <c r="FH31">
        <v>1689001521.5</v>
      </c>
      <c r="FI31">
        <v>17</v>
      </c>
      <c r="FJ31">
        <v>6.2E-2</v>
      </c>
      <c r="FK31">
        <v>2E-3</v>
      </c>
      <c r="FL31">
        <v>-0.754</v>
      </c>
      <c r="FM31">
        <v>3.5000000000000003E-2</v>
      </c>
      <c r="FN31">
        <v>1500</v>
      </c>
      <c r="FO31">
        <v>23</v>
      </c>
      <c r="FP31">
        <v>0.05</v>
      </c>
      <c r="FQ31">
        <v>0.01</v>
      </c>
      <c r="FR31">
        <v>52.019470088190197</v>
      </c>
      <c r="FS31">
        <v>-8.3321488473733635E-2</v>
      </c>
      <c r="FT31">
        <v>8.3994326919768381E-2</v>
      </c>
      <c r="FU31">
        <v>1</v>
      </c>
      <c r="FV31">
        <v>0.37518353677162242</v>
      </c>
      <c r="FW31">
        <v>-6.5473963561118774E-3</v>
      </c>
      <c r="FX31">
        <v>2.5005595124784849E-3</v>
      </c>
      <c r="FY31">
        <v>1</v>
      </c>
      <c r="FZ31">
        <v>2</v>
      </c>
      <c r="GA31">
        <v>2</v>
      </c>
      <c r="GB31" t="s">
        <v>424</v>
      </c>
      <c r="GC31">
        <v>3.1189200000000001</v>
      </c>
      <c r="GD31">
        <v>2.7670499999999998</v>
      </c>
      <c r="GE31">
        <v>0.210201</v>
      </c>
      <c r="GF31">
        <v>0.21601799999999999</v>
      </c>
      <c r="GG31">
        <v>0.123346</v>
      </c>
      <c r="GH31">
        <v>0.10641399999999999</v>
      </c>
      <c r="GI31">
        <v>18900.5</v>
      </c>
      <c r="GJ31">
        <v>19396.5</v>
      </c>
      <c r="GK31">
        <v>23793.9</v>
      </c>
      <c r="GL31">
        <v>25054.5</v>
      </c>
      <c r="GM31">
        <v>30055.4</v>
      </c>
      <c r="GN31">
        <v>31399.4</v>
      </c>
      <c r="GO31">
        <v>37918.6</v>
      </c>
      <c r="GP31">
        <v>38977.1</v>
      </c>
      <c r="GQ31">
        <v>2.1528499999999999</v>
      </c>
      <c r="GR31">
        <v>1.7801</v>
      </c>
      <c r="GS31">
        <v>3.9018700000000003E-2</v>
      </c>
      <c r="GT31">
        <v>0</v>
      </c>
      <c r="GU31">
        <v>29.366399999999999</v>
      </c>
      <c r="GV31">
        <v>999.9</v>
      </c>
      <c r="GW31">
        <v>43.4</v>
      </c>
      <c r="GX31">
        <v>38.9</v>
      </c>
      <c r="GY31">
        <v>30.609100000000002</v>
      </c>
      <c r="GZ31">
        <v>60.729799999999997</v>
      </c>
      <c r="HA31">
        <v>27.7364</v>
      </c>
      <c r="HB31">
        <v>1</v>
      </c>
      <c r="HC31">
        <v>0.51154699999999997</v>
      </c>
      <c r="HD31">
        <v>1.5746100000000001</v>
      </c>
      <c r="HE31">
        <v>20.313500000000001</v>
      </c>
      <c r="HF31">
        <v>5.2496400000000003</v>
      </c>
      <c r="HG31">
        <v>12.0099</v>
      </c>
      <c r="HH31">
        <v>4.9780499999999996</v>
      </c>
      <c r="HI31">
        <v>3.2924799999999999</v>
      </c>
      <c r="HJ31">
        <v>9999</v>
      </c>
      <c r="HK31">
        <v>9999</v>
      </c>
      <c r="HL31">
        <v>9999</v>
      </c>
      <c r="HM31">
        <v>231.9</v>
      </c>
      <c r="HN31">
        <v>1.87575</v>
      </c>
      <c r="HO31">
        <v>1.8767400000000001</v>
      </c>
      <c r="HP31">
        <v>1.8828</v>
      </c>
      <c r="HQ31">
        <v>1.88601</v>
      </c>
      <c r="HR31">
        <v>1.87683</v>
      </c>
      <c r="HS31">
        <v>1.8832599999999999</v>
      </c>
      <c r="HT31">
        <v>1.88222</v>
      </c>
      <c r="HU31">
        <v>1.8856999999999999</v>
      </c>
      <c r="HV31">
        <v>0</v>
      </c>
      <c r="HW31">
        <v>0</v>
      </c>
      <c r="HX31">
        <v>0</v>
      </c>
      <c r="HY31">
        <v>0</v>
      </c>
      <c r="HZ31" t="s">
        <v>425</v>
      </c>
      <c r="IA31" t="s">
        <v>426</v>
      </c>
      <c r="IB31" t="s">
        <v>427</v>
      </c>
      <c r="IC31" t="s">
        <v>427</v>
      </c>
      <c r="ID31" t="s">
        <v>427</v>
      </c>
      <c r="IE31" t="s">
        <v>427</v>
      </c>
      <c r="IF31">
        <v>0</v>
      </c>
      <c r="IG31">
        <v>100</v>
      </c>
      <c r="IH31">
        <v>100</v>
      </c>
      <c r="II31">
        <v>-0.73</v>
      </c>
      <c r="IJ31">
        <v>4.58E-2</v>
      </c>
      <c r="IK31">
        <v>-0.65325071640019361</v>
      </c>
      <c r="IL31">
        <v>-4.2852564239613137E-4</v>
      </c>
      <c r="IM31">
        <v>6.4980710991155998E-7</v>
      </c>
      <c r="IN31">
        <v>-2.7237938963984961E-10</v>
      </c>
      <c r="IO31">
        <v>-1.5393265129939569E-2</v>
      </c>
      <c r="IP31">
        <v>6.6907473102813496E-3</v>
      </c>
      <c r="IQ31">
        <v>-3.3673306238274028E-4</v>
      </c>
      <c r="IR31">
        <v>6.1311374003140313E-6</v>
      </c>
      <c r="IS31">
        <v>3</v>
      </c>
      <c r="IT31">
        <v>2101</v>
      </c>
      <c r="IU31">
        <v>1</v>
      </c>
      <c r="IV31">
        <v>32</v>
      </c>
      <c r="IW31">
        <v>0.6</v>
      </c>
      <c r="IX31">
        <v>0.5</v>
      </c>
      <c r="IY31">
        <v>2.9528799999999999</v>
      </c>
      <c r="IZ31">
        <v>2.66113</v>
      </c>
      <c r="JA31">
        <v>1.6015600000000001</v>
      </c>
      <c r="JB31">
        <v>2.3315399999999999</v>
      </c>
      <c r="JC31">
        <v>1.5502899999999999</v>
      </c>
      <c r="JD31">
        <v>2.4377399999999998</v>
      </c>
      <c r="JE31">
        <v>43.919199999999996</v>
      </c>
      <c r="JF31">
        <v>23.9649</v>
      </c>
      <c r="JG31">
        <v>18</v>
      </c>
      <c r="JH31">
        <v>596.38900000000001</v>
      </c>
      <c r="JI31">
        <v>409.29199999999997</v>
      </c>
      <c r="JJ31">
        <v>28.389900000000001</v>
      </c>
      <c r="JK31">
        <v>33.481900000000003</v>
      </c>
      <c r="JL31">
        <v>30.000399999999999</v>
      </c>
      <c r="JM31">
        <v>33.549700000000001</v>
      </c>
      <c r="JN31">
        <v>33.537500000000001</v>
      </c>
      <c r="JO31">
        <v>59.096899999999998</v>
      </c>
      <c r="JP31">
        <v>29.410399999999999</v>
      </c>
      <c r="JQ31">
        <v>10.0061</v>
      </c>
      <c r="JR31">
        <v>28.385000000000002</v>
      </c>
      <c r="JS31">
        <v>1500</v>
      </c>
      <c r="JT31">
        <v>23.614799999999999</v>
      </c>
      <c r="JU31">
        <v>98.911199999999994</v>
      </c>
      <c r="JV31">
        <v>98.651799999999994</v>
      </c>
    </row>
    <row r="32" spans="1:282" x14ac:dyDescent="0.25">
      <c r="A32">
        <v>16</v>
      </c>
      <c r="B32">
        <v>1689002647.5</v>
      </c>
      <c r="C32">
        <v>2824.900000095367</v>
      </c>
      <c r="D32" t="s">
        <v>499</v>
      </c>
      <c r="E32" t="s">
        <v>500</v>
      </c>
      <c r="F32" t="s">
        <v>414</v>
      </c>
      <c r="G32" t="s">
        <v>415</v>
      </c>
      <c r="H32" t="s">
        <v>418</v>
      </c>
      <c r="I32" t="s">
        <v>501</v>
      </c>
      <c r="J32" t="s">
        <v>416</v>
      </c>
      <c r="K32">
        <v>1689002647.5</v>
      </c>
      <c r="L32">
        <f t="shared" si="0"/>
        <v>4.4133776952826574E-3</v>
      </c>
      <c r="M32">
        <f t="shared" si="1"/>
        <v>4.4133776952826578</v>
      </c>
      <c r="N32">
        <f t="shared" si="2"/>
        <v>44.641961985806347</v>
      </c>
      <c r="O32">
        <f t="shared" si="3"/>
        <v>344.60899999999998</v>
      </c>
      <c r="P32">
        <f t="shared" si="4"/>
        <v>102.8069937587159</v>
      </c>
      <c r="Q32">
        <f t="shared" si="5"/>
        <v>10.197990419463048</v>
      </c>
      <c r="R32">
        <f t="shared" si="6"/>
        <v>34.183659612776097</v>
      </c>
      <c r="S32">
        <f t="shared" si="7"/>
        <v>0.31750291005411957</v>
      </c>
      <c r="T32">
        <f t="shared" si="8"/>
        <v>2.9162631776022461</v>
      </c>
      <c r="U32">
        <f t="shared" si="9"/>
        <v>0.29947286339888718</v>
      </c>
      <c r="V32">
        <f t="shared" si="10"/>
        <v>0.18870509214865044</v>
      </c>
      <c r="W32">
        <f t="shared" si="11"/>
        <v>289.57067932694321</v>
      </c>
      <c r="X32">
        <f t="shared" si="12"/>
        <v>31.040896502461127</v>
      </c>
      <c r="Y32">
        <f t="shared" si="13"/>
        <v>30.041399999999999</v>
      </c>
      <c r="Z32">
        <f t="shared" si="14"/>
        <v>4.270591549786821</v>
      </c>
      <c r="AA32">
        <f t="shared" si="15"/>
        <v>65.336046511724689</v>
      </c>
      <c r="AB32">
        <f t="shared" si="16"/>
        <v>2.8612840731512099</v>
      </c>
      <c r="AC32">
        <f t="shared" si="17"/>
        <v>4.3793345724365897</v>
      </c>
      <c r="AD32">
        <f t="shared" si="18"/>
        <v>1.4093074766356111</v>
      </c>
      <c r="AE32">
        <f t="shared" si="19"/>
        <v>-194.62995636196518</v>
      </c>
      <c r="AF32">
        <f t="shared" si="20"/>
        <v>68.957385176989519</v>
      </c>
      <c r="AG32">
        <f t="shared" si="21"/>
        <v>5.271253530661383</v>
      </c>
      <c r="AH32">
        <f t="shared" si="22"/>
        <v>169.16936167262895</v>
      </c>
      <c r="AI32">
        <v>0</v>
      </c>
      <c r="AJ32">
        <v>0</v>
      </c>
      <c r="AK32">
        <f t="shared" si="23"/>
        <v>1</v>
      </c>
      <c r="AL32">
        <f t="shared" si="24"/>
        <v>0</v>
      </c>
      <c r="AM32">
        <f t="shared" si="25"/>
        <v>51872.7545682493</v>
      </c>
      <c r="AN32" t="s">
        <v>419</v>
      </c>
      <c r="AO32">
        <v>9967.0300000000007</v>
      </c>
      <c r="AP32">
        <v>178.94153846153841</v>
      </c>
      <c r="AQ32">
        <v>603.15</v>
      </c>
      <c r="AR32">
        <f t="shared" si="26"/>
        <v>0.7033216638290003</v>
      </c>
      <c r="AS32">
        <v>-3.2649104154664181</v>
      </c>
      <c r="AT32" t="s">
        <v>502</v>
      </c>
      <c r="AU32">
        <v>8058.15</v>
      </c>
      <c r="AV32">
        <v>717.35528000000011</v>
      </c>
      <c r="AW32">
        <v>1085.2826221705529</v>
      </c>
      <c r="AX32">
        <f t="shared" si="27"/>
        <v>0.33901523405461176</v>
      </c>
      <c r="AY32">
        <v>0.5</v>
      </c>
      <c r="AZ32">
        <f t="shared" si="28"/>
        <v>1513.2095996512658</v>
      </c>
      <c r="BA32">
        <f t="shared" si="29"/>
        <v>44.641961985806347</v>
      </c>
      <c r="BB32">
        <f t="shared" si="30"/>
        <v>256.50055329972963</v>
      </c>
      <c r="BC32">
        <f t="shared" si="31"/>
        <v>3.1659112136424049E-2</v>
      </c>
      <c r="BD32">
        <f t="shared" si="32"/>
        <v>-0.4442461459543996</v>
      </c>
      <c r="BE32">
        <f t="shared" si="33"/>
        <v>206.10593066421259</v>
      </c>
      <c r="BF32" t="s">
        <v>503</v>
      </c>
      <c r="BG32">
        <v>544.16999999999996</v>
      </c>
      <c r="BH32">
        <f t="shared" si="34"/>
        <v>544.16999999999996</v>
      </c>
      <c r="BI32">
        <f t="shared" si="35"/>
        <v>0.49859143702894082</v>
      </c>
      <c r="BJ32">
        <f t="shared" si="36"/>
        <v>0.67994596151665088</v>
      </c>
      <c r="BK32">
        <f t="shared" si="37"/>
        <v>-8.174510379290485</v>
      </c>
      <c r="BL32">
        <f t="shared" si="38"/>
        <v>0.40594799108618779</v>
      </c>
      <c r="BM32">
        <f t="shared" si="39"/>
        <v>-1.1365464527086988</v>
      </c>
      <c r="BN32">
        <f t="shared" si="40"/>
        <v>0.51579211054042262</v>
      </c>
      <c r="BO32">
        <f t="shared" si="41"/>
        <v>0.48420788945957738</v>
      </c>
      <c r="BP32">
        <v>6067</v>
      </c>
      <c r="BQ32">
        <v>290.00000000000011</v>
      </c>
      <c r="BR32">
        <v>974.45</v>
      </c>
      <c r="BS32">
        <v>285</v>
      </c>
      <c r="BT32">
        <v>8058.15</v>
      </c>
      <c r="BU32">
        <v>977.29</v>
      </c>
      <c r="BV32">
        <v>-2.84</v>
      </c>
      <c r="BW32">
        <v>300.00000000000011</v>
      </c>
      <c r="BX32">
        <v>19.3</v>
      </c>
      <c r="BY32">
        <v>1085.2826221705529</v>
      </c>
      <c r="BZ32">
        <v>4.5842057991720244</v>
      </c>
      <c r="CA32">
        <v>-87.022326199758908</v>
      </c>
      <c r="CB32">
        <v>3.3936084364065171</v>
      </c>
      <c r="CC32">
        <v>0.95915770514053278</v>
      </c>
      <c r="CD32">
        <v>-4.1582542825361517E-3</v>
      </c>
      <c r="CE32">
        <v>289.99999999999989</v>
      </c>
      <c r="CF32">
        <v>974.05</v>
      </c>
      <c r="CG32">
        <v>685</v>
      </c>
      <c r="CH32">
        <v>8048.1</v>
      </c>
      <c r="CI32">
        <v>977.15</v>
      </c>
      <c r="CJ32">
        <v>-3.1</v>
      </c>
      <c r="CX32">
        <f t="shared" si="42"/>
        <v>1800.03</v>
      </c>
      <c r="CY32">
        <f t="shared" si="43"/>
        <v>1513.2095996512658</v>
      </c>
      <c r="CZ32">
        <f t="shared" si="44"/>
        <v>0.84065798883977816</v>
      </c>
      <c r="DA32">
        <f t="shared" si="45"/>
        <v>0.16086991846077189</v>
      </c>
      <c r="DB32">
        <v>6</v>
      </c>
      <c r="DC32">
        <v>0.5</v>
      </c>
      <c r="DD32" t="s">
        <v>422</v>
      </c>
      <c r="DE32">
        <v>2</v>
      </c>
      <c r="DF32">
        <v>1689002647.5</v>
      </c>
      <c r="DG32">
        <v>344.60899999999998</v>
      </c>
      <c r="DH32">
        <v>399.99700000000001</v>
      </c>
      <c r="DI32">
        <v>28.844899999999999</v>
      </c>
      <c r="DJ32">
        <v>23.702300000000001</v>
      </c>
      <c r="DK32">
        <v>345.17500000000001</v>
      </c>
      <c r="DL32">
        <v>28.8003</v>
      </c>
      <c r="DM32">
        <v>500.06700000000001</v>
      </c>
      <c r="DN32">
        <v>99.0959</v>
      </c>
      <c r="DO32">
        <v>9.9592899999999998E-2</v>
      </c>
      <c r="DP32">
        <v>30.48</v>
      </c>
      <c r="DQ32">
        <v>30.041399999999999</v>
      </c>
      <c r="DR32">
        <v>999.9</v>
      </c>
      <c r="DS32">
        <v>0</v>
      </c>
      <c r="DT32">
        <v>0</v>
      </c>
      <c r="DU32">
        <v>10015</v>
      </c>
      <c r="DV32">
        <v>0</v>
      </c>
      <c r="DW32">
        <v>1924.39</v>
      </c>
      <c r="DX32">
        <v>-55.387700000000002</v>
      </c>
      <c r="DY32">
        <v>354.84500000000003</v>
      </c>
      <c r="DZ32">
        <v>409.70800000000003</v>
      </c>
      <c r="EA32">
        <v>5.1425799999999997</v>
      </c>
      <c r="EB32">
        <v>399.99700000000001</v>
      </c>
      <c r="EC32">
        <v>23.702300000000001</v>
      </c>
      <c r="ED32">
        <v>2.8584100000000001</v>
      </c>
      <c r="EE32">
        <v>2.3488000000000002</v>
      </c>
      <c r="EF32">
        <v>23.2254</v>
      </c>
      <c r="EG32">
        <v>20.0151</v>
      </c>
      <c r="EH32">
        <v>1800.03</v>
      </c>
      <c r="EI32">
        <v>0.97800600000000004</v>
      </c>
      <c r="EJ32">
        <v>2.1994099999999999E-2</v>
      </c>
      <c r="EK32">
        <v>0</v>
      </c>
      <c r="EL32">
        <v>717.68499999999995</v>
      </c>
      <c r="EM32">
        <v>5.0005300000000004</v>
      </c>
      <c r="EN32">
        <v>15521.8</v>
      </c>
      <c r="EO32">
        <v>16035.5</v>
      </c>
      <c r="EP32">
        <v>47.686999999999998</v>
      </c>
      <c r="EQ32">
        <v>49.375</v>
      </c>
      <c r="ER32">
        <v>48.25</v>
      </c>
      <c r="ES32">
        <v>48.686999999999998</v>
      </c>
      <c r="ET32">
        <v>49.125</v>
      </c>
      <c r="EU32">
        <v>1755.55</v>
      </c>
      <c r="EV32">
        <v>39.479999999999997</v>
      </c>
      <c r="EW32">
        <v>0</v>
      </c>
      <c r="EX32">
        <v>1092</v>
      </c>
      <c r="EY32">
        <v>0</v>
      </c>
      <c r="EZ32">
        <v>717.35528000000011</v>
      </c>
      <c r="FA32">
        <v>-0.39869231745577499</v>
      </c>
      <c r="FB32">
        <v>21.153846236858811</v>
      </c>
      <c r="FC32">
        <v>15521.34</v>
      </c>
      <c r="FD32">
        <v>15</v>
      </c>
      <c r="FE32">
        <v>1689002615</v>
      </c>
      <c r="FF32" t="s">
        <v>504</v>
      </c>
      <c r="FG32">
        <v>1689002615</v>
      </c>
      <c r="FH32">
        <v>1689002614.5</v>
      </c>
      <c r="FI32">
        <v>19</v>
      </c>
      <c r="FJ32">
        <v>-0.112</v>
      </c>
      <c r="FK32">
        <v>8.9999999999999993E-3</v>
      </c>
      <c r="FL32">
        <v>-0.56899999999999995</v>
      </c>
      <c r="FM32">
        <v>3.5999999999999997E-2</v>
      </c>
      <c r="FN32">
        <v>400</v>
      </c>
      <c r="FO32">
        <v>23</v>
      </c>
      <c r="FP32">
        <v>0.05</v>
      </c>
      <c r="FQ32">
        <v>0.03</v>
      </c>
      <c r="FR32">
        <v>44.739422750729823</v>
      </c>
      <c r="FS32">
        <v>-0.66771280415807133</v>
      </c>
      <c r="FT32">
        <v>6.3336386583778909E-2</v>
      </c>
      <c r="FU32">
        <v>1</v>
      </c>
      <c r="FV32">
        <v>0.31990167865031482</v>
      </c>
      <c r="FW32">
        <v>1.0446404547077209E-2</v>
      </c>
      <c r="FX32">
        <v>1.755261239724063E-3</v>
      </c>
      <c r="FY32">
        <v>1</v>
      </c>
      <c r="FZ32">
        <v>2</v>
      </c>
      <c r="GA32">
        <v>2</v>
      </c>
      <c r="GB32" t="s">
        <v>424</v>
      </c>
      <c r="GC32">
        <v>3.11531</v>
      </c>
      <c r="GD32">
        <v>2.7670300000000001</v>
      </c>
      <c r="GE32">
        <v>7.9455899999999996E-2</v>
      </c>
      <c r="GF32">
        <v>8.9191999999999994E-2</v>
      </c>
      <c r="GG32">
        <v>0.12218999999999999</v>
      </c>
      <c r="GH32">
        <v>0.106834</v>
      </c>
      <c r="GI32">
        <v>22118.3</v>
      </c>
      <c r="GJ32">
        <v>22649.8</v>
      </c>
      <c r="GK32">
        <v>23879.5</v>
      </c>
      <c r="GL32">
        <v>25170.1</v>
      </c>
      <c r="GM32">
        <v>30198.9</v>
      </c>
      <c r="GN32">
        <v>31528.1</v>
      </c>
      <c r="GO32">
        <v>38048.1</v>
      </c>
      <c r="GP32">
        <v>39153.300000000003</v>
      </c>
      <c r="GQ32">
        <v>2.15957</v>
      </c>
      <c r="GR32">
        <v>1.7916000000000001</v>
      </c>
      <c r="GS32">
        <v>5.4825100000000002E-2</v>
      </c>
      <c r="GT32">
        <v>0</v>
      </c>
      <c r="GU32">
        <v>29.148599999999998</v>
      </c>
      <c r="GV32">
        <v>999.9</v>
      </c>
      <c r="GW32">
        <v>36.6</v>
      </c>
      <c r="GX32">
        <v>40.6</v>
      </c>
      <c r="GY32">
        <v>28.270499999999998</v>
      </c>
      <c r="GZ32">
        <v>60.829799999999999</v>
      </c>
      <c r="HA32">
        <v>27.6723</v>
      </c>
      <c r="HB32">
        <v>1</v>
      </c>
      <c r="HC32">
        <v>0.36712099999999998</v>
      </c>
      <c r="HD32">
        <v>1.5087200000000001</v>
      </c>
      <c r="HE32">
        <v>20.314599999999999</v>
      </c>
      <c r="HF32">
        <v>5.2500900000000001</v>
      </c>
      <c r="HG32">
        <v>12.0099</v>
      </c>
      <c r="HH32">
        <v>4.97865</v>
      </c>
      <c r="HI32">
        <v>3.29223</v>
      </c>
      <c r="HJ32">
        <v>9999</v>
      </c>
      <c r="HK32">
        <v>9999</v>
      </c>
      <c r="HL32">
        <v>9999</v>
      </c>
      <c r="HM32">
        <v>232.2</v>
      </c>
      <c r="HN32">
        <v>1.87575</v>
      </c>
      <c r="HO32">
        <v>1.8768199999999999</v>
      </c>
      <c r="HP32">
        <v>1.8827799999999999</v>
      </c>
      <c r="HQ32">
        <v>1.8859900000000001</v>
      </c>
      <c r="HR32">
        <v>1.87683</v>
      </c>
      <c r="HS32">
        <v>1.88324</v>
      </c>
      <c r="HT32">
        <v>1.88218</v>
      </c>
      <c r="HU32">
        <v>1.88568</v>
      </c>
      <c r="HV32">
        <v>0</v>
      </c>
      <c r="HW32">
        <v>0</v>
      </c>
      <c r="HX32">
        <v>0</v>
      </c>
      <c r="HY32">
        <v>0</v>
      </c>
      <c r="HZ32" t="s">
        <v>425</v>
      </c>
      <c r="IA32" t="s">
        <v>426</v>
      </c>
      <c r="IB32" t="s">
        <v>427</v>
      </c>
      <c r="IC32" t="s">
        <v>427</v>
      </c>
      <c r="ID32" t="s">
        <v>427</v>
      </c>
      <c r="IE32" t="s">
        <v>427</v>
      </c>
      <c r="IF32">
        <v>0</v>
      </c>
      <c r="IG32">
        <v>100</v>
      </c>
      <c r="IH32">
        <v>100</v>
      </c>
      <c r="II32">
        <v>-0.56599999999999995</v>
      </c>
      <c r="IJ32">
        <v>4.4600000000000001E-2</v>
      </c>
      <c r="IK32">
        <v>-0.48405424375559591</v>
      </c>
      <c r="IL32">
        <v>-4.2852564239613137E-4</v>
      </c>
      <c r="IM32">
        <v>6.4980710991155998E-7</v>
      </c>
      <c r="IN32">
        <v>-2.7237938963984961E-10</v>
      </c>
      <c r="IO32">
        <v>-1.5221016014348091E-2</v>
      </c>
      <c r="IP32">
        <v>6.6907473102813496E-3</v>
      </c>
      <c r="IQ32">
        <v>-3.3673306238274028E-4</v>
      </c>
      <c r="IR32">
        <v>6.1311374003140313E-6</v>
      </c>
      <c r="IS32">
        <v>3</v>
      </c>
      <c r="IT32">
        <v>2101</v>
      </c>
      <c r="IU32">
        <v>1</v>
      </c>
      <c r="IV32">
        <v>32</v>
      </c>
      <c r="IW32">
        <v>0.5</v>
      </c>
      <c r="IX32">
        <v>0.6</v>
      </c>
      <c r="IY32">
        <v>1.01318</v>
      </c>
      <c r="IZ32">
        <v>2.67456</v>
      </c>
      <c r="JA32">
        <v>1.6003400000000001</v>
      </c>
      <c r="JB32">
        <v>2.3303199999999999</v>
      </c>
      <c r="JC32">
        <v>1.5502899999999999</v>
      </c>
      <c r="JD32">
        <v>2.4645999999999999</v>
      </c>
      <c r="JE32">
        <v>46.298200000000001</v>
      </c>
      <c r="JF32">
        <v>23.9649</v>
      </c>
      <c r="JG32">
        <v>18</v>
      </c>
      <c r="JH32">
        <v>590.46400000000006</v>
      </c>
      <c r="JI32">
        <v>408.79199999999997</v>
      </c>
      <c r="JJ32">
        <v>28.0426</v>
      </c>
      <c r="JK32">
        <v>32.125100000000003</v>
      </c>
      <c r="JL32">
        <v>29.9998</v>
      </c>
      <c r="JM32">
        <v>32.381599999999999</v>
      </c>
      <c r="JN32">
        <v>32.387300000000003</v>
      </c>
      <c r="JO32">
        <v>20.271799999999999</v>
      </c>
      <c r="JP32">
        <v>18.5318</v>
      </c>
      <c r="JQ32">
        <v>7.1547900000000002</v>
      </c>
      <c r="JR32">
        <v>28.017199999999999</v>
      </c>
      <c r="JS32">
        <v>400</v>
      </c>
      <c r="JT32">
        <v>23.620899999999999</v>
      </c>
      <c r="JU32">
        <v>99.256</v>
      </c>
      <c r="JV32">
        <v>99.101500000000001</v>
      </c>
    </row>
    <row r="33" spans="1:282" x14ac:dyDescent="0.25">
      <c r="A33">
        <v>17</v>
      </c>
      <c r="B33">
        <v>1689002814.5</v>
      </c>
      <c r="C33">
        <v>2991.900000095367</v>
      </c>
      <c r="D33" t="s">
        <v>505</v>
      </c>
      <c r="E33" t="s">
        <v>506</v>
      </c>
      <c r="F33" t="s">
        <v>414</v>
      </c>
      <c r="G33" t="s">
        <v>415</v>
      </c>
      <c r="H33" t="s">
        <v>418</v>
      </c>
      <c r="I33" t="s">
        <v>501</v>
      </c>
      <c r="J33" t="s">
        <v>416</v>
      </c>
      <c r="K33">
        <v>1689002814.5</v>
      </c>
      <c r="L33">
        <f t="shared" si="0"/>
        <v>4.9593067877751022E-3</v>
      </c>
      <c r="M33">
        <f t="shared" si="1"/>
        <v>4.9593067877751018</v>
      </c>
      <c r="N33">
        <f t="shared" si="2"/>
        <v>38.0220580012776</v>
      </c>
      <c r="O33">
        <f t="shared" si="3"/>
        <v>252.79599999999999</v>
      </c>
      <c r="P33">
        <f t="shared" si="4"/>
        <v>68.493003731654753</v>
      </c>
      <c r="Q33">
        <f t="shared" si="5"/>
        <v>6.7942626145378933</v>
      </c>
      <c r="R33">
        <f t="shared" si="6"/>
        <v>25.076465015812001</v>
      </c>
      <c r="S33">
        <f t="shared" si="7"/>
        <v>0.35654521160237446</v>
      </c>
      <c r="T33">
        <f t="shared" si="8"/>
        <v>2.9112436204706134</v>
      </c>
      <c r="U33">
        <f t="shared" si="9"/>
        <v>0.33394118475574591</v>
      </c>
      <c r="V33">
        <f t="shared" si="10"/>
        <v>0.21062459187195981</v>
      </c>
      <c r="W33">
        <f t="shared" si="11"/>
        <v>289.56124432640553</v>
      </c>
      <c r="X33">
        <f t="shared" si="12"/>
        <v>30.930767250702544</v>
      </c>
      <c r="Y33">
        <f t="shared" si="13"/>
        <v>30.0123</v>
      </c>
      <c r="Z33">
        <f t="shared" si="14"/>
        <v>4.2634607151818038</v>
      </c>
      <c r="AA33">
        <f t="shared" si="15"/>
        <v>64.80342042091695</v>
      </c>
      <c r="AB33">
        <f t="shared" si="16"/>
        <v>2.8430792871117001</v>
      </c>
      <c r="AC33">
        <f t="shared" si="17"/>
        <v>4.387236458577461</v>
      </c>
      <c r="AD33">
        <f t="shared" si="18"/>
        <v>1.4203814280701037</v>
      </c>
      <c r="AE33">
        <f t="shared" si="19"/>
        <v>-218.70542934088201</v>
      </c>
      <c r="AF33">
        <f t="shared" si="20"/>
        <v>78.349922260552688</v>
      </c>
      <c r="AG33">
        <f t="shared" si="21"/>
        <v>5.9996384097938673</v>
      </c>
      <c r="AH33">
        <f t="shared" si="22"/>
        <v>155.20537565587009</v>
      </c>
      <c r="AI33">
        <v>0</v>
      </c>
      <c r="AJ33">
        <v>0</v>
      </c>
      <c r="AK33">
        <f t="shared" si="23"/>
        <v>1</v>
      </c>
      <c r="AL33">
        <f t="shared" si="24"/>
        <v>0</v>
      </c>
      <c r="AM33">
        <f t="shared" si="25"/>
        <v>51724.81614735991</v>
      </c>
      <c r="AN33" t="s">
        <v>419</v>
      </c>
      <c r="AO33">
        <v>9967.0300000000007</v>
      </c>
      <c r="AP33">
        <v>178.94153846153841</v>
      </c>
      <c r="AQ33">
        <v>603.15</v>
      </c>
      <c r="AR33">
        <f t="shared" si="26"/>
        <v>0.7033216638290003</v>
      </c>
      <c r="AS33">
        <v>-3.2649104154664181</v>
      </c>
      <c r="AT33" t="s">
        <v>507</v>
      </c>
      <c r="AU33">
        <v>8055.59</v>
      </c>
      <c r="AV33">
        <v>704.03430769230772</v>
      </c>
      <c r="AW33">
        <v>1000.903203591494</v>
      </c>
      <c r="AX33">
        <f t="shared" si="27"/>
        <v>0.29660100480640439</v>
      </c>
      <c r="AY33">
        <v>0.5</v>
      </c>
      <c r="AZ33">
        <f t="shared" si="28"/>
        <v>1513.1516996509872</v>
      </c>
      <c r="BA33">
        <f t="shared" si="29"/>
        <v>38.0220580012776</v>
      </c>
      <c r="BB33">
        <f t="shared" si="30"/>
        <v>224.4011572705007</v>
      </c>
      <c r="BC33">
        <f t="shared" si="31"/>
        <v>2.7285412577117665E-2</v>
      </c>
      <c r="BD33">
        <f t="shared" si="32"/>
        <v>-0.39739427565448376</v>
      </c>
      <c r="BE33">
        <f t="shared" si="33"/>
        <v>202.85816576927999</v>
      </c>
      <c r="BF33" t="s">
        <v>508</v>
      </c>
      <c r="BG33">
        <v>535.37</v>
      </c>
      <c r="BH33">
        <f t="shared" si="34"/>
        <v>535.37</v>
      </c>
      <c r="BI33">
        <f t="shared" si="35"/>
        <v>0.46511311175850278</v>
      </c>
      <c r="BJ33">
        <f t="shared" si="36"/>
        <v>0.63769650286790103</v>
      </c>
      <c r="BK33">
        <f t="shared" si="37"/>
        <v>-5.8682974858585757</v>
      </c>
      <c r="BL33">
        <f t="shared" si="38"/>
        <v>0.361171218188442</v>
      </c>
      <c r="BM33">
        <f t="shared" si="39"/>
        <v>-0.93763618516466374</v>
      </c>
      <c r="BN33">
        <f t="shared" si="40"/>
        <v>0.4849246308172751</v>
      </c>
      <c r="BO33">
        <f t="shared" si="41"/>
        <v>0.5150753691827249</v>
      </c>
      <c r="BP33">
        <v>6069</v>
      </c>
      <c r="BQ33">
        <v>290.00000000000011</v>
      </c>
      <c r="BR33">
        <v>911.38</v>
      </c>
      <c r="BS33">
        <v>295</v>
      </c>
      <c r="BT33">
        <v>8055.59</v>
      </c>
      <c r="BU33">
        <v>912.31</v>
      </c>
      <c r="BV33">
        <v>-0.93</v>
      </c>
      <c r="BW33">
        <v>300.00000000000011</v>
      </c>
      <c r="BX33">
        <v>19.3</v>
      </c>
      <c r="BY33">
        <v>1000.903203591494</v>
      </c>
      <c r="BZ33">
        <v>2.4503801739201472</v>
      </c>
      <c r="CA33">
        <v>-71.367831380047789</v>
      </c>
      <c r="CB33">
        <v>1.813389040867023</v>
      </c>
      <c r="CC33">
        <v>0.98224362842212354</v>
      </c>
      <c r="CD33">
        <v>-4.1570507230255854E-3</v>
      </c>
      <c r="CE33">
        <v>289.99999999999989</v>
      </c>
      <c r="CF33">
        <v>909.67</v>
      </c>
      <c r="CG33">
        <v>735</v>
      </c>
      <c r="CH33">
        <v>8044.04</v>
      </c>
      <c r="CI33">
        <v>912.18</v>
      </c>
      <c r="CJ33">
        <v>-2.5099999999999998</v>
      </c>
      <c r="CX33">
        <f t="shared" si="42"/>
        <v>1799.96</v>
      </c>
      <c r="CY33">
        <f t="shared" si="43"/>
        <v>1513.1516996509872</v>
      </c>
      <c r="CZ33">
        <f t="shared" si="44"/>
        <v>0.84065851443975825</v>
      </c>
      <c r="DA33">
        <f t="shared" si="45"/>
        <v>0.1608709328687335</v>
      </c>
      <c r="DB33">
        <v>6</v>
      </c>
      <c r="DC33">
        <v>0.5</v>
      </c>
      <c r="DD33" t="s">
        <v>422</v>
      </c>
      <c r="DE33">
        <v>2</v>
      </c>
      <c r="DF33">
        <v>1689002814.5</v>
      </c>
      <c r="DG33">
        <v>252.79599999999999</v>
      </c>
      <c r="DH33">
        <v>299.92200000000003</v>
      </c>
      <c r="DI33">
        <v>28.661100000000001</v>
      </c>
      <c r="DJ33">
        <v>22.8811</v>
      </c>
      <c r="DK33">
        <v>253.102</v>
      </c>
      <c r="DL33">
        <v>28.616</v>
      </c>
      <c r="DM33">
        <v>500.05200000000002</v>
      </c>
      <c r="DN33">
        <v>99.096400000000003</v>
      </c>
      <c r="DO33">
        <v>0.100047</v>
      </c>
      <c r="DP33">
        <v>30.511500000000002</v>
      </c>
      <c r="DQ33">
        <v>30.0123</v>
      </c>
      <c r="DR33">
        <v>999.9</v>
      </c>
      <c r="DS33">
        <v>0</v>
      </c>
      <c r="DT33">
        <v>0</v>
      </c>
      <c r="DU33">
        <v>9986.25</v>
      </c>
      <c r="DV33">
        <v>0</v>
      </c>
      <c r="DW33">
        <v>1937.76</v>
      </c>
      <c r="DX33">
        <v>-47.125399999999999</v>
      </c>
      <c r="DY33">
        <v>260.255</v>
      </c>
      <c r="DZ33">
        <v>306.94499999999999</v>
      </c>
      <c r="EA33">
        <v>5.78003</v>
      </c>
      <c r="EB33">
        <v>299.92200000000003</v>
      </c>
      <c r="EC33">
        <v>22.8811</v>
      </c>
      <c r="ED33">
        <v>2.8402099999999999</v>
      </c>
      <c r="EE33">
        <v>2.2674300000000001</v>
      </c>
      <c r="EF33">
        <v>23.119700000000002</v>
      </c>
      <c r="EG33">
        <v>19.446899999999999</v>
      </c>
      <c r="EH33">
        <v>1799.96</v>
      </c>
      <c r="EI33">
        <v>0.977989</v>
      </c>
      <c r="EJ33">
        <v>2.20109E-2</v>
      </c>
      <c r="EK33">
        <v>0</v>
      </c>
      <c r="EL33">
        <v>703.77599999999995</v>
      </c>
      <c r="EM33">
        <v>5.0005300000000004</v>
      </c>
      <c r="EN33">
        <v>15295</v>
      </c>
      <c r="EO33">
        <v>16034.8</v>
      </c>
      <c r="EP33">
        <v>48.061999999999998</v>
      </c>
      <c r="EQ33">
        <v>49.75</v>
      </c>
      <c r="ER33">
        <v>48.686999999999998</v>
      </c>
      <c r="ES33">
        <v>49.061999999999998</v>
      </c>
      <c r="ET33">
        <v>49.5</v>
      </c>
      <c r="EU33">
        <v>1755.45</v>
      </c>
      <c r="EV33">
        <v>39.51</v>
      </c>
      <c r="EW33">
        <v>0</v>
      </c>
      <c r="EX33">
        <v>165.20000004768369</v>
      </c>
      <c r="EY33">
        <v>0</v>
      </c>
      <c r="EZ33">
        <v>704.03430769230772</v>
      </c>
      <c r="FA33">
        <v>-0.17921366438993139</v>
      </c>
      <c r="FB33">
        <v>20.827350271867449</v>
      </c>
      <c r="FC33">
        <v>15290.73846153846</v>
      </c>
      <c r="FD33">
        <v>15</v>
      </c>
      <c r="FE33">
        <v>1689002727</v>
      </c>
      <c r="FF33" t="s">
        <v>509</v>
      </c>
      <c r="FG33">
        <v>1689002716</v>
      </c>
      <c r="FH33">
        <v>1689002727</v>
      </c>
      <c r="FI33">
        <v>20</v>
      </c>
      <c r="FJ33">
        <v>0.249</v>
      </c>
      <c r="FK33">
        <v>1E-3</v>
      </c>
      <c r="FL33">
        <v>-0.312</v>
      </c>
      <c r="FM33">
        <v>3.6999999999999998E-2</v>
      </c>
      <c r="FN33">
        <v>300</v>
      </c>
      <c r="FO33">
        <v>24</v>
      </c>
      <c r="FP33">
        <v>0.05</v>
      </c>
      <c r="FQ33">
        <v>0.03</v>
      </c>
      <c r="FR33">
        <v>37.970691969146607</v>
      </c>
      <c r="FS33">
        <v>0.63384701370830976</v>
      </c>
      <c r="FT33">
        <v>5.1213087770790998E-2</v>
      </c>
      <c r="FU33">
        <v>1</v>
      </c>
      <c r="FV33">
        <v>0.35697996269809218</v>
      </c>
      <c r="FW33">
        <v>1.1721938326509021E-2</v>
      </c>
      <c r="FX33">
        <v>1.487580192451499E-3</v>
      </c>
      <c r="FY33">
        <v>1</v>
      </c>
      <c r="FZ33">
        <v>2</v>
      </c>
      <c r="GA33">
        <v>2</v>
      </c>
      <c r="GB33" t="s">
        <v>424</v>
      </c>
      <c r="GC33">
        <v>3.11503</v>
      </c>
      <c r="GD33">
        <v>2.7672300000000001</v>
      </c>
      <c r="GE33">
        <v>6.1635099999999998E-2</v>
      </c>
      <c r="GF33">
        <v>7.1062500000000001E-2</v>
      </c>
      <c r="GG33">
        <v>0.121685</v>
      </c>
      <c r="GH33">
        <v>0.104238</v>
      </c>
      <c r="GI33">
        <v>22550.5</v>
      </c>
      <c r="GJ33">
        <v>23106.6</v>
      </c>
      <c r="GK33">
        <v>23883.7</v>
      </c>
      <c r="GL33">
        <v>25176.2</v>
      </c>
      <c r="GM33">
        <v>30221.7</v>
      </c>
      <c r="GN33">
        <v>31627.3</v>
      </c>
      <c r="GO33">
        <v>38054.800000000003</v>
      </c>
      <c r="GP33">
        <v>39162.5</v>
      </c>
      <c r="GQ33">
        <v>2.1617799999999998</v>
      </c>
      <c r="GR33">
        <v>1.7887</v>
      </c>
      <c r="GS33">
        <v>5.49182E-2</v>
      </c>
      <c r="GT33">
        <v>0</v>
      </c>
      <c r="GU33">
        <v>29.117999999999999</v>
      </c>
      <c r="GV33">
        <v>999.9</v>
      </c>
      <c r="GW33">
        <v>36.1</v>
      </c>
      <c r="GX33">
        <v>40.9</v>
      </c>
      <c r="GY33">
        <v>28.333500000000001</v>
      </c>
      <c r="GZ33">
        <v>61.1098</v>
      </c>
      <c r="HA33">
        <v>28.333300000000001</v>
      </c>
      <c r="HB33">
        <v>1</v>
      </c>
      <c r="HC33">
        <v>0.35968</v>
      </c>
      <c r="HD33">
        <v>0.57229300000000005</v>
      </c>
      <c r="HE33">
        <v>20.321100000000001</v>
      </c>
      <c r="HF33">
        <v>5.2496400000000003</v>
      </c>
      <c r="HG33">
        <v>12.0099</v>
      </c>
      <c r="HH33">
        <v>4.9785000000000004</v>
      </c>
      <c r="HI33">
        <v>3.2922500000000001</v>
      </c>
      <c r="HJ33">
        <v>9999</v>
      </c>
      <c r="HK33">
        <v>9999</v>
      </c>
      <c r="HL33">
        <v>9999</v>
      </c>
      <c r="HM33">
        <v>232.2</v>
      </c>
      <c r="HN33">
        <v>1.87568</v>
      </c>
      <c r="HO33">
        <v>1.87676</v>
      </c>
      <c r="HP33">
        <v>1.8827799999999999</v>
      </c>
      <c r="HQ33">
        <v>1.8859900000000001</v>
      </c>
      <c r="HR33">
        <v>1.87683</v>
      </c>
      <c r="HS33">
        <v>1.88323</v>
      </c>
      <c r="HT33">
        <v>1.8821699999999999</v>
      </c>
      <c r="HU33">
        <v>1.88568</v>
      </c>
      <c r="HV33">
        <v>0</v>
      </c>
      <c r="HW33">
        <v>0</v>
      </c>
      <c r="HX33">
        <v>0</v>
      </c>
      <c r="HY33">
        <v>0</v>
      </c>
      <c r="HZ33" t="s">
        <v>425</v>
      </c>
      <c r="IA33" t="s">
        <v>426</v>
      </c>
      <c r="IB33" t="s">
        <v>427</v>
      </c>
      <c r="IC33" t="s">
        <v>427</v>
      </c>
      <c r="ID33" t="s">
        <v>427</v>
      </c>
      <c r="IE33" t="s">
        <v>427</v>
      </c>
      <c r="IF33">
        <v>0</v>
      </c>
      <c r="IG33">
        <v>100</v>
      </c>
      <c r="IH33">
        <v>100</v>
      </c>
      <c r="II33">
        <v>-0.30599999999999999</v>
      </c>
      <c r="IJ33">
        <v>4.5100000000000001E-2</v>
      </c>
      <c r="IK33">
        <v>-0.23490296630048871</v>
      </c>
      <c r="IL33">
        <v>-4.2852564239613137E-4</v>
      </c>
      <c r="IM33">
        <v>6.4980710991155998E-7</v>
      </c>
      <c r="IN33">
        <v>-2.7237938963984961E-10</v>
      </c>
      <c r="IO33">
        <v>-1.4272366212864949E-2</v>
      </c>
      <c r="IP33">
        <v>6.6907473102813496E-3</v>
      </c>
      <c r="IQ33">
        <v>-3.3673306238274028E-4</v>
      </c>
      <c r="IR33">
        <v>6.1311374003140313E-6</v>
      </c>
      <c r="IS33">
        <v>3</v>
      </c>
      <c r="IT33">
        <v>2101</v>
      </c>
      <c r="IU33">
        <v>1</v>
      </c>
      <c r="IV33">
        <v>32</v>
      </c>
      <c r="IW33">
        <v>1.6</v>
      </c>
      <c r="IX33">
        <v>1.5</v>
      </c>
      <c r="IY33">
        <v>0.80566400000000005</v>
      </c>
      <c r="IZ33">
        <v>2.6904300000000001</v>
      </c>
      <c r="JA33">
        <v>1.6015600000000001</v>
      </c>
      <c r="JB33">
        <v>2.3303199999999999</v>
      </c>
      <c r="JC33">
        <v>1.5502899999999999</v>
      </c>
      <c r="JD33">
        <v>2.36816</v>
      </c>
      <c r="JE33">
        <v>46.620199999999997</v>
      </c>
      <c r="JF33">
        <v>23.991199999999999</v>
      </c>
      <c r="JG33">
        <v>18</v>
      </c>
      <c r="JH33">
        <v>590.84900000000005</v>
      </c>
      <c r="JI33">
        <v>406.07400000000001</v>
      </c>
      <c r="JJ33">
        <v>28.7685</v>
      </c>
      <c r="JK33">
        <v>32.035299999999999</v>
      </c>
      <c r="JL33">
        <v>29.9998</v>
      </c>
      <c r="JM33">
        <v>32.256500000000003</v>
      </c>
      <c r="JN33">
        <v>32.2605</v>
      </c>
      <c r="JO33">
        <v>16.109100000000002</v>
      </c>
      <c r="JP33">
        <v>22.765799999999999</v>
      </c>
      <c r="JQ33">
        <v>7.1693600000000002</v>
      </c>
      <c r="JR33">
        <v>28.761900000000001</v>
      </c>
      <c r="JS33">
        <v>300</v>
      </c>
      <c r="JT33">
        <v>22.8903</v>
      </c>
      <c r="JU33">
        <v>99.273499999999999</v>
      </c>
      <c r="JV33">
        <v>99.125</v>
      </c>
    </row>
    <row r="34" spans="1:282" x14ac:dyDescent="0.25">
      <c r="A34">
        <v>18</v>
      </c>
      <c r="B34">
        <v>1689002967.5</v>
      </c>
      <c r="C34">
        <v>3144.900000095367</v>
      </c>
      <c r="D34" t="s">
        <v>510</v>
      </c>
      <c r="E34" t="s">
        <v>511</v>
      </c>
      <c r="F34" t="s">
        <v>414</v>
      </c>
      <c r="G34" t="s">
        <v>415</v>
      </c>
      <c r="H34" t="s">
        <v>418</v>
      </c>
      <c r="I34" t="s">
        <v>501</v>
      </c>
      <c r="J34" t="s">
        <v>416</v>
      </c>
      <c r="K34">
        <v>1689002967.5</v>
      </c>
      <c r="L34">
        <f t="shared" si="0"/>
        <v>5.4838910737395122E-3</v>
      </c>
      <c r="M34">
        <f t="shared" si="1"/>
        <v>5.4838910737395121</v>
      </c>
      <c r="N34">
        <f t="shared" si="2"/>
        <v>27.7841917333723</v>
      </c>
      <c r="O34">
        <f t="shared" si="3"/>
        <v>165.51599999999999</v>
      </c>
      <c r="P34">
        <f t="shared" si="4"/>
        <v>45.717102611502426</v>
      </c>
      <c r="Q34">
        <f t="shared" si="5"/>
        <v>4.5349898774504709</v>
      </c>
      <c r="R34">
        <f t="shared" si="6"/>
        <v>16.418656075707599</v>
      </c>
      <c r="S34">
        <f t="shared" si="7"/>
        <v>0.40362113559378893</v>
      </c>
      <c r="T34">
        <f t="shared" si="8"/>
        <v>2.917156116355077</v>
      </c>
      <c r="U34">
        <f t="shared" si="9"/>
        <v>0.37496551578655651</v>
      </c>
      <c r="V34">
        <f t="shared" si="10"/>
        <v>0.2367582842130595</v>
      </c>
      <c r="W34">
        <f t="shared" si="11"/>
        <v>289.54310932653493</v>
      </c>
      <c r="X34">
        <f t="shared" si="12"/>
        <v>30.72615260039419</v>
      </c>
      <c r="Y34">
        <f t="shared" si="13"/>
        <v>29.9465</v>
      </c>
      <c r="Z34">
        <f t="shared" si="14"/>
        <v>4.2473749449228304</v>
      </c>
      <c r="AA34">
        <f t="shared" si="15"/>
        <v>65.17693655665569</v>
      </c>
      <c r="AB34">
        <f t="shared" si="16"/>
        <v>2.8485052941902698</v>
      </c>
      <c r="AC34">
        <f t="shared" si="17"/>
        <v>4.3704191155320391</v>
      </c>
      <c r="AD34">
        <f t="shared" si="18"/>
        <v>1.3988696507325606</v>
      </c>
      <c r="AE34">
        <f t="shared" si="19"/>
        <v>-241.83959635191249</v>
      </c>
      <c r="AF34">
        <f t="shared" si="20"/>
        <v>78.304593859323305</v>
      </c>
      <c r="AG34">
        <f t="shared" si="21"/>
        <v>5.9800815865659018</v>
      </c>
      <c r="AH34">
        <f t="shared" si="22"/>
        <v>131.98818842051168</v>
      </c>
      <c r="AI34">
        <v>0</v>
      </c>
      <c r="AJ34">
        <v>0</v>
      </c>
      <c r="AK34">
        <f t="shared" si="23"/>
        <v>1</v>
      </c>
      <c r="AL34">
        <f t="shared" si="24"/>
        <v>0</v>
      </c>
      <c r="AM34">
        <f t="shared" si="25"/>
        <v>51904.247197536228</v>
      </c>
      <c r="AN34" t="s">
        <v>419</v>
      </c>
      <c r="AO34">
        <v>9967.0300000000007</v>
      </c>
      <c r="AP34">
        <v>178.94153846153841</v>
      </c>
      <c r="AQ34">
        <v>603.15</v>
      </c>
      <c r="AR34">
        <f t="shared" si="26"/>
        <v>0.7033216638290003</v>
      </c>
      <c r="AS34">
        <v>-3.2649104154664181</v>
      </c>
      <c r="AT34" t="s">
        <v>512</v>
      </c>
      <c r="AU34">
        <v>8052.97</v>
      </c>
      <c r="AV34">
        <v>705.60896153846159</v>
      </c>
      <c r="AW34">
        <v>909.42330677525081</v>
      </c>
      <c r="AX34">
        <f t="shared" si="27"/>
        <v>0.22411383534857943</v>
      </c>
      <c r="AY34">
        <v>0.5</v>
      </c>
      <c r="AZ34">
        <f t="shared" si="28"/>
        <v>1513.0589996510541</v>
      </c>
      <c r="BA34">
        <f t="shared" si="29"/>
        <v>27.7841917333723</v>
      </c>
      <c r="BB34">
        <f t="shared" si="30"/>
        <v>169.54872776024132</v>
      </c>
      <c r="BC34">
        <f t="shared" si="31"/>
        <v>2.0520747806925803E-2</v>
      </c>
      <c r="BD34">
        <f t="shared" si="32"/>
        <v>-0.33677749898589449</v>
      </c>
      <c r="BE34">
        <f t="shared" si="33"/>
        <v>198.80506459453775</v>
      </c>
      <c r="BF34" t="s">
        <v>513</v>
      </c>
      <c r="BG34">
        <v>529.6</v>
      </c>
      <c r="BH34">
        <f t="shared" si="34"/>
        <v>529.6</v>
      </c>
      <c r="BI34">
        <f t="shared" si="35"/>
        <v>0.41765292790007413</v>
      </c>
      <c r="BJ34">
        <f t="shared" si="36"/>
        <v>0.53660305094808292</v>
      </c>
      <c r="BK34">
        <f t="shared" si="37"/>
        <v>-4.1641510098606531</v>
      </c>
      <c r="BL34">
        <f t="shared" si="38"/>
        <v>0.27901359633832667</v>
      </c>
      <c r="BM34">
        <f t="shared" si="39"/>
        <v>-0.72198773608734834</v>
      </c>
      <c r="BN34">
        <f t="shared" si="40"/>
        <v>0.40275136977071158</v>
      </c>
      <c r="BO34">
        <f t="shared" si="41"/>
        <v>0.59724863022928842</v>
      </c>
      <c r="BP34">
        <v>6071</v>
      </c>
      <c r="BQ34">
        <v>290.00000000000011</v>
      </c>
      <c r="BR34">
        <v>849.47</v>
      </c>
      <c r="BS34">
        <v>295</v>
      </c>
      <c r="BT34">
        <v>8052.97</v>
      </c>
      <c r="BU34">
        <v>850.82</v>
      </c>
      <c r="BV34">
        <v>-1.35</v>
      </c>
      <c r="BW34">
        <v>300.00000000000011</v>
      </c>
      <c r="BX34">
        <v>19.3</v>
      </c>
      <c r="BY34">
        <v>909.42330677525081</v>
      </c>
      <c r="BZ34">
        <v>2.1271053463419412</v>
      </c>
      <c r="CA34">
        <v>-47.194275936866859</v>
      </c>
      <c r="CB34">
        <v>1.5736311501805129</v>
      </c>
      <c r="CC34">
        <v>0.96980940611442734</v>
      </c>
      <c r="CD34">
        <v>-4.1557677419354882E-3</v>
      </c>
      <c r="CE34">
        <v>289.99999999999989</v>
      </c>
      <c r="CF34">
        <v>850.76</v>
      </c>
      <c r="CG34">
        <v>665</v>
      </c>
      <c r="CH34">
        <v>8043.32</v>
      </c>
      <c r="CI34">
        <v>850.75</v>
      </c>
      <c r="CJ34">
        <v>0.01</v>
      </c>
      <c r="CX34">
        <f t="shared" si="42"/>
        <v>1799.85</v>
      </c>
      <c r="CY34">
        <f t="shared" si="43"/>
        <v>1513.0589996510541</v>
      </c>
      <c r="CZ34">
        <f t="shared" si="44"/>
        <v>0.8406583880051417</v>
      </c>
      <c r="DA34">
        <f t="shared" si="45"/>
        <v>0.16087068884992356</v>
      </c>
      <c r="DB34">
        <v>6</v>
      </c>
      <c r="DC34">
        <v>0.5</v>
      </c>
      <c r="DD34" t="s">
        <v>422</v>
      </c>
      <c r="DE34">
        <v>2</v>
      </c>
      <c r="DF34">
        <v>1689002967.5</v>
      </c>
      <c r="DG34">
        <v>165.51599999999999</v>
      </c>
      <c r="DH34">
        <v>199.94300000000001</v>
      </c>
      <c r="DI34">
        <v>28.715699999999998</v>
      </c>
      <c r="DJ34">
        <v>22.3246</v>
      </c>
      <c r="DK34">
        <v>165.73500000000001</v>
      </c>
      <c r="DL34">
        <v>28.672699999999999</v>
      </c>
      <c r="DM34">
        <v>500.04700000000003</v>
      </c>
      <c r="DN34">
        <v>99.096999999999994</v>
      </c>
      <c r="DO34">
        <v>9.9791099999999994E-2</v>
      </c>
      <c r="DP34">
        <v>30.444400000000002</v>
      </c>
      <c r="DQ34">
        <v>29.9465</v>
      </c>
      <c r="DR34">
        <v>999.9</v>
      </c>
      <c r="DS34">
        <v>0</v>
      </c>
      <c r="DT34">
        <v>0</v>
      </c>
      <c r="DU34">
        <v>10020</v>
      </c>
      <c r="DV34">
        <v>0</v>
      </c>
      <c r="DW34">
        <v>1938.75</v>
      </c>
      <c r="DX34">
        <v>-34.426600000000001</v>
      </c>
      <c r="DY34">
        <v>170.40899999999999</v>
      </c>
      <c r="DZ34">
        <v>204.50800000000001</v>
      </c>
      <c r="EA34">
        <v>6.3910999999999998</v>
      </c>
      <c r="EB34">
        <v>199.94300000000001</v>
      </c>
      <c r="EC34">
        <v>22.3246</v>
      </c>
      <c r="ED34">
        <v>2.8456399999999999</v>
      </c>
      <c r="EE34">
        <v>2.2122999999999999</v>
      </c>
      <c r="EF34">
        <v>23.151299999999999</v>
      </c>
      <c r="EG34">
        <v>19.0517</v>
      </c>
      <c r="EH34">
        <v>1799.85</v>
      </c>
      <c r="EI34">
        <v>0.977993</v>
      </c>
      <c r="EJ34">
        <v>2.20073E-2</v>
      </c>
      <c r="EK34">
        <v>0</v>
      </c>
      <c r="EL34">
        <v>705.62099999999998</v>
      </c>
      <c r="EM34">
        <v>5.0005300000000004</v>
      </c>
      <c r="EN34">
        <v>15319.5</v>
      </c>
      <c r="EO34">
        <v>16033.9</v>
      </c>
      <c r="EP34">
        <v>48.5</v>
      </c>
      <c r="EQ34">
        <v>50.186999999999998</v>
      </c>
      <c r="ER34">
        <v>49.125</v>
      </c>
      <c r="ES34">
        <v>49.375</v>
      </c>
      <c r="ET34">
        <v>49.875</v>
      </c>
      <c r="EU34">
        <v>1755.35</v>
      </c>
      <c r="EV34">
        <v>39.5</v>
      </c>
      <c r="EW34">
        <v>0</v>
      </c>
      <c r="EX34">
        <v>151.20000004768369</v>
      </c>
      <c r="EY34">
        <v>0</v>
      </c>
      <c r="EZ34">
        <v>705.60896153846159</v>
      </c>
      <c r="FA34">
        <v>-2.8597948689729802</v>
      </c>
      <c r="FB34">
        <v>1.8495725489539661</v>
      </c>
      <c r="FC34">
        <v>15322.13461538461</v>
      </c>
      <c r="FD34">
        <v>15</v>
      </c>
      <c r="FE34">
        <v>1689002893</v>
      </c>
      <c r="FF34" t="s">
        <v>514</v>
      </c>
      <c r="FG34">
        <v>1689002892</v>
      </c>
      <c r="FH34">
        <v>1689002893</v>
      </c>
      <c r="FI34">
        <v>21</v>
      </c>
      <c r="FJ34">
        <v>7.0000000000000007E-2</v>
      </c>
      <c r="FK34">
        <v>-2E-3</v>
      </c>
      <c r="FL34">
        <v>-0.22700000000000001</v>
      </c>
      <c r="FM34">
        <v>3.4000000000000002E-2</v>
      </c>
      <c r="FN34">
        <v>200</v>
      </c>
      <c r="FO34">
        <v>23</v>
      </c>
      <c r="FP34">
        <v>0.06</v>
      </c>
      <c r="FQ34">
        <v>0.01</v>
      </c>
      <c r="FR34">
        <v>27.676345840802931</v>
      </c>
      <c r="FS34">
        <v>0.68429672037882638</v>
      </c>
      <c r="FT34">
        <v>5.1825826426067353E-2</v>
      </c>
      <c r="FU34">
        <v>1</v>
      </c>
      <c r="FV34">
        <v>0.4023611741497477</v>
      </c>
      <c r="FW34">
        <v>-1.084354287966862E-3</v>
      </c>
      <c r="FX34">
        <v>5.1425513143565059E-4</v>
      </c>
      <c r="FY34">
        <v>1</v>
      </c>
      <c r="FZ34">
        <v>2</v>
      </c>
      <c r="GA34">
        <v>2</v>
      </c>
      <c r="GB34" t="s">
        <v>424</v>
      </c>
      <c r="GC34">
        <v>3.11496</v>
      </c>
      <c r="GD34">
        <v>2.7672699999999999</v>
      </c>
      <c r="GE34">
        <v>4.2482600000000002E-2</v>
      </c>
      <c r="GF34">
        <v>5.0354599999999999E-2</v>
      </c>
      <c r="GG34">
        <v>0.12186900000000001</v>
      </c>
      <c r="GH34">
        <v>0.102451</v>
      </c>
      <c r="GI34">
        <v>23012.5</v>
      </c>
      <c r="GJ34">
        <v>23624.3</v>
      </c>
      <c r="GK34">
        <v>23885.8</v>
      </c>
      <c r="GL34">
        <v>25179.200000000001</v>
      </c>
      <c r="GM34">
        <v>30218.1</v>
      </c>
      <c r="GN34">
        <v>31693.599999999999</v>
      </c>
      <c r="GO34">
        <v>38058.199999999997</v>
      </c>
      <c r="GP34">
        <v>39166.400000000001</v>
      </c>
      <c r="GQ34">
        <v>2.16275</v>
      </c>
      <c r="GR34">
        <v>1.7857499999999999</v>
      </c>
      <c r="GS34">
        <v>3.9506699999999999E-2</v>
      </c>
      <c r="GT34">
        <v>0</v>
      </c>
      <c r="GU34">
        <v>29.3032</v>
      </c>
      <c r="GV34">
        <v>999.9</v>
      </c>
      <c r="GW34">
        <v>35.6</v>
      </c>
      <c r="GX34">
        <v>41.2</v>
      </c>
      <c r="GY34">
        <v>28.390799999999999</v>
      </c>
      <c r="GZ34">
        <v>60.029800000000002</v>
      </c>
      <c r="HA34">
        <v>28.273199999999999</v>
      </c>
      <c r="HB34">
        <v>1</v>
      </c>
      <c r="HC34">
        <v>0.35790899999999998</v>
      </c>
      <c r="HD34">
        <v>0.83302799999999999</v>
      </c>
      <c r="HE34">
        <v>20.3203</v>
      </c>
      <c r="HF34">
        <v>5.2527799999999996</v>
      </c>
      <c r="HG34">
        <v>12.0099</v>
      </c>
      <c r="HH34">
        <v>4.9797000000000002</v>
      </c>
      <c r="HI34">
        <v>3.2930000000000001</v>
      </c>
      <c r="HJ34">
        <v>9999</v>
      </c>
      <c r="HK34">
        <v>9999</v>
      </c>
      <c r="HL34">
        <v>9999</v>
      </c>
      <c r="HM34">
        <v>232.3</v>
      </c>
      <c r="HN34">
        <v>1.87565</v>
      </c>
      <c r="HO34">
        <v>1.8767400000000001</v>
      </c>
      <c r="HP34">
        <v>1.8827799999999999</v>
      </c>
      <c r="HQ34">
        <v>1.8859900000000001</v>
      </c>
      <c r="HR34">
        <v>1.87683</v>
      </c>
      <c r="HS34">
        <v>1.88323</v>
      </c>
      <c r="HT34">
        <v>1.8821699999999999</v>
      </c>
      <c r="HU34">
        <v>1.88568</v>
      </c>
      <c r="HV34">
        <v>0</v>
      </c>
      <c r="HW34">
        <v>0</v>
      </c>
      <c r="HX34">
        <v>0</v>
      </c>
      <c r="HY34">
        <v>0</v>
      </c>
      <c r="HZ34" t="s">
        <v>425</v>
      </c>
      <c r="IA34" t="s">
        <v>426</v>
      </c>
      <c r="IB34" t="s">
        <v>427</v>
      </c>
      <c r="IC34" t="s">
        <v>427</v>
      </c>
      <c r="ID34" t="s">
        <v>427</v>
      </c>
      <c r="IE34" t="s">
        <v>427</v>
      </c>
      <c r="IF34">
        <v>0</v>
      </c>
      <c r="IG34">
        <v>100</v>
      </c>
      <c r="IH34">
        <v>100</v>
      </c>
      <c r="II34">
        <v>-0.219</v>
      </c>
      <c r="IJ34">
        <v>4.2999999999999997E-2</v>
      </c>
      <c r="IK34">
        <v>-0.16466018140847899</v>
      </c>
      <c r="IL34">
        <v>-4.2852564239613137E-4</v>
      </c>
      <c r="IM34">
        <v>6.4980710991155998E-7</v>
      </c>
      <c r="IN34">
        <v>-2.7237938963984961E-10</v>
      </c>
      <c r="IO34">
        <v>-1.6457133822318792E-2</v>
      </c>
      <c r="IP34">
        <v>6.6907473102813496E-3</v>
      </c>
      <c r="IQ34">
        <v>-3.3673306238274028E-4</v>
      </c>
      <c r="IR34">
        <v>6.1311374003140313E-6</v>
      </c>
      <c r="IS34">
        <v>3</v>
      </c>
      <c r="IT34">
        <v>2101</v>
      </c>
      <c r="IU34">
        <v>1</v>
      </c>
      <c r="IV34">
        <v>32</v>
      </c>
      <c r="IW34">
        <v>1.3</v>
      </c>
      <c r="IX34">
        <v>1.2</v>
      </c>
      <c r="IY34">
        <v>0.59082000000000001</v>
      </c>
      <c r="IZ34">
        <v>2.6940900000000001</v>
      </c>
      <c r="JA34">
        <v>1.6015600000000001</v>
      </c>
      <c r="JB34">
        <v>2.3315399999999999</v>
      </c>
      <c r="JC34">
        <v>1.5502899999999999</v>
      </c>
      <c r="JD34">
        <v>2.4414099999999999</v>
      </c>
      <c r="JE34">
        <v>46.8855</v>
      </c>
      <c r="JF34">
        <v>23.9999</v>
      </c>
      <c r="JG34">
        <v>18</v>
      </c>
      <c r="JH34">
        <v>590.94000000000005</v>
      </c>
      <c r="JI34">
        <v>403.76499999999999</v>
      </c>
      <c r="JJ34">
        <v>28.372800000000002</v>
      </c>
      <c r="JK34">
        <v>32.01</v>
      </c>
      <c r="JL34">
        <v>30.0002</v>
      </c>
      <c r="JM34">
        <v>32.192399999999999</v>
      </c>
      <c r="JN34">
        <v>32.196300000000001</v>
      </c>
      <c r="JO34">
        <v>11.795400000000001</v>
      </c>
      <c r="JP34">
        <v>25.550899999999999</v>
      </c>
      <c r="JQ34">
        <v>6.2766400000000004</v>
      </c>
      <c r="JR34">
        <v>28.407900000000001</v>
      </c>
      <c r="JS34">
        <v>200</v>
      </c>
      <c r="JT34">
        <v>22.206600000000002</v>
      </c>
      <c r="JU34">
        <v>99.282200000000003</v>
      </c>
      <c r="JV34">
        <v>99.1357</v>
      </c>
    </row>
    <row r="35" spans="1:282" x14ac:dyDescent="0.25">
      <c r="A35">
        <v>19</v>
      </c>
      <c r="B35">
        <v>1689003110.5</v>
      </c>
      <c r="C35">
        <v>3287.900000095367</v>
      </c>
      <c r="D35" t="s">
        <v>515</v>
      </c>
      <c r="E35" t="s">
        <v>516</v>
      </c>
      <c r="F35" t="s">
        <v>414</v>
      </c>
      <c r="G35" t="s">
        <v>415</v>
      </c>
      <c r="H35" t="s">
        <v>418</v>
      </c>
      <c r="I35" t="s">
        <v>501</v>
      </c>
      <c r="J35" t="s">
        <v>416</v>
      </c>
      <c r="K35">
        <v>1689003110.5</v>
      </c>
      <c r="L35">
        <f t="shared" si="0"/>
        <v>5.875897982848011E-3</v>
      </c>
      <c r="M35">
        <f t="shared" si="1"/>
        <v>5.8758979828480111</v>
      </c>
      <c r="N35">
        <f t="shared" si="2"/>
        <v>17.941393002101936</v>
      </c>
      <c r="O35">
        <f t="shared" si="3"/>
        <v>97.886499999999998</v>
      </c>
      <c r="P35">
        <f t="shared" si="4"/>
        <v>27.471626856727823</v>
      </c>
      <c r="Q35">
        <f t="shared" si="5"/>
        <v>2.7251416411159561</v>
      </c>
      <c r="R35">
        <f t="shared" si="6"/>
        <v>9.7101849353260494</v>
      </c>
      <c r="S35">
        <f t="shared" si="7"/>
        <v>0.44609198982807469</v>
      </c>
      <c r="T35">
        <f t="shared" si="8"/>
        <v>2.9217603523384366</v>
      </c>
      <c r="U35">
        <f t="shared" si="9"/>
        <v>0.41141665596425858</v>
      </c>
      <c r="V35">
        <f t="shared" si="10"/>
        <v>0.2600258719093762</v>
      </c>
      <c r="W35">
        <f t="shared" si="11"/>
        <v>289.58881432681386</v>
      </c>
      <c r="X35">
        <f t="shared" si="12"/>
        <v>30.635252073165063</v>
      </c>
      <c r="Y35">
        <f t="shared" si="13"/>
        <v>29.9361</v>
      </c>
      <c r="Z35">
        <f t="shared" si="14"/>
        <v>4.2448373599699742</v>
      </c>
      <c r="AA35">
        <f t="shared" si="15"/>
        <v>65.831232193540686</v>
      </c>
      <c r="AB35">
        <f t="shared" si="16"/>
        <v>2.8789461081101697</v>
      </c>
      <c r="AC35">
        <f t="shared" si="17"/>
        <v>4.3732222718332316</v>
      </c>
      <c r="AD35">
        <f t="shared" si="18"/>
        <v>1.3658912518598045</v>
      </c>
      <c r="AE35">
        <f t="shared" si="19"/>
        <v>-259.12710104359729</v>
      </c>
      <c r="AF35">
        <f t="shared" si="20"/>
        <v>81.83057196788279</v>
      </c>
      <c r="AG35">
        <f t="shared" si="21"/>
        <v>6.2395357813630907</v>
      </c>
      <c r="AH35">
        <f t="shared" si="22"/>
        <v>118.53182103246245</v>
      </c>
      <c r="AI35">
        <v>0</v>
      </c>
      <c r="AJ35">
        <v>0</v>
      </c>
      <c r="AK35">
        <f t="shared" si="23"/>
        <v>1</v>
      </c>
      <c r="AL35">
        <f t="shared" si="24"/>
        <v>0</v>
      </c>
      <c r="AM35">
        <f t="shared" si="25"/>
        <v>52033.32736771911</v>
      </c>
      <c r="AN35" t="s">
        <v>419</v>
      </c>
      <c r="AO35">
        <v>9967.0300000000007</v>
      </c>
      <c r="AP35">
        <v>178.94153846153841</v>
      </c>
      <c r="AQ35">
        <v>603.15</v>
      </c>
      <c r="AR35">
        <f t="shared" si="26"/>
        <v>0.7033216638290003</v>
      </c>
      <c r="AS35">
        <v>-3.2649104154664181</v>
      </c>
      <c r="AT35" t="s">
        <v>517</v>
      </c>
      <c r="AU35">
        <v>8051.55</v>
      </c>
      <c r="AV35">
        <v>723.6691538461539</v>
      </c>
      <c r="AW35">
        <v>860.04637376808307</v>
      </c>
      <c r="AX35">
        <f t="shared" si="27"/>
        <v>0.15856961215291876</v>
      </c>
      <c r="AY35">
        <v>0.5</v>
      </c>
      <c r="AZ35">
        <f t="shared" si="28"/>
        <v>1513.3022996511988</v>
      </c>
      <c r="BA35">
        <f t="shared" si="29"/>
        <v>17.941393002101936</v>
      </c>
      <c r="BB35">
        <f t="shared" si="30"/>
        <v>119.98187936290532</v>
      </c>
      <c r="BC35">
        <f t="shared" si="31"/>
        <v>1.4013263194311008E-2</v>
      </c>
      <c r="BD35">
        <f t="shared" si="32"/>
        <v>-0.29870060685513317</v>
      </c>
      <c r="BE35">
        <f t="shared" si="33"/>
        <v>196.3408738333716</v>
      </c>
      <c r="BF35" t="s">
        <v>518</v>
      </c>
      <c r="BG35">
        <v>538.86</v>
      </c>
      <c r="BH35">
        <f t="shared" si="34"/>
        <v>538.86</v>
      </c>
      <c r="BI35">
        <f t="shared" si="35"/>
        <v>0.37345238996925645</v>
      </c>
      <c r="BJ35">
        <f t="shared" si="36"/>
        <v>0.42460462541415961</v>
      </c>
      <c r="BK35">
        <f t="shared" si="37"/>
        <v>-3.9958994208754586</v>
      </c>
      <c r="BL35">
        <f t="shared" si="38"/>
        <v>0.20022941088143931</v>
      </c>
      <c r="BM35">
        <f t="shared" si="39"/>
        <v>-0.60558993292214458</v>
      </c>
      <c r="BN35">
        <f t="shared" si="40"/>
        <v>0.31616996141763914</v>
      </c>
      <c r="BO35">
        <f t="shared" si="41"/>
        <v>0.6838300385823608</v>
      </c>
      <c r="BP35">
        <v>6073</v>
      </c>
      <c r="BQ35">
        <v>290.00000000000011</v>
      </c>
      <c r="BR35">
        <v>822.6</v>
      </c>
      <c r="BS35">
        <v>275</v>
      </c>
      <c r="BT35">
        <v>8051.55</v>
      </c>
      <c r="BU35">
        <v>824.03</v>
      </c>
      <c r="BV35">
        <v>-1.43</v>
      </c>
      <c r="BW35">
        <v>300.00000000000011</v>
      </c>
      <c r="BX35">
        <v>19.3</v>
      </c>
      <c r="BY35">
        <v>860.04637376808307</v>
      </c>
      <c r="BZ35">
        <v>3.1451417085519071</v>
      </c>
      <c r="CA35">
        <v>-28.996826351554379</v>
      </c>
      <c r="CB35">
        <v>2.326167740234975</v>
      </c>
      <c r="CC35">
        <v>0.84731867168472208</v>
      </c>
      <c r="CD35">
        <v>-4.1548351501668477E-3</v>
      </c>
      <c r="CE35">
        <v>289.99999999999989</v>
      </c>
      <c r="CF35">
        <v>823.54</v>
      </c>
      <c r="CG35">
        <v>685</v>
      </c>
      <c r="CH35">
        <v>8040.55</v>
      </c>
      <c r="CI35">
        <v>823.98</v>
      </c>
      <c r="CJ35">
        <v>-0.44</v>
      </c>
      <c r="CX35">
        <f t="shared" si="42"/>
        <v>1800.14</v>
      </c>
      <c r="CY35">
        <f t="shared" si="43"/>
        <v>1513.3022996511988</v>
      </c>
      <c r="CZ35">
        <f t="shared" si="44"/>
        <v>0.84065811528614376</v>
      </c>
      <c r="DA35">
        <f t="shared" si="45"/>
        <v>0.16087016250225752</v>
      </c>
      <c r="DB35">
        <v>6</v>
      </c>
      <c r="DC35">
        <v>0.5</v>
      </c>
      <c r="DD35" t="s">
        <v>422</v>
      </c>
      <c r="DE35">
        <v>2</v>
      </c>
      <c r="DF35">
        <v>1689003110.5</v>
      </c>
      <c r="DG35">
        <v>97.886499999999998</v>
      </c>
      <c r="DH35">
        <v>120.10299999999999</v>
      </c>
      <c r="DI35">
        <v>29.022099999999998</v>
      </c>
      <c r="DJ35">
        <v>22.1767</v>
      </c>
      <c r="DK35">
        <v>98.093400000000003</v>
      </c>
      <c r="DL35">
        <v>28.98</v>
      </c>
      <c r="DM35">
        <v>500.07600000000002</v>
      </c>
      <c r="DN35">
        <v>99.098799999999997</v>
      </c>
      <c r="DO35">
        <v>9.9607699999999993E-2</v>
      </c>
      <c r="DP35">
        <v>30.4556</v>
      </c>
      <c r="DQ35">
        <v>29.9361</v>
      </c>
      <c r="DR35">
        <v>999.9</v>
      </c>
      <c r="DS35">
        <v>0</v>
      </c>
      <c r="DT35">
        <v>0</v>
      </c>
      <c r="DU35">
        <v>10046.200000000001</v>
      </c>
      <c r="DV35">
        <v>0</v>
      </c>
      <c r="DW35">
        <v>1941.99</v>
      </c>
      <c r="DX35">
        <v>-22.2166</v>
      </c>
      <c r="DY35">
        <v>100.812</v>
      </c>
      <c r="DZ35">
        <v>122.827</v>
      </c>
      <c r="EA35">
        <v>6.8453999999999997</v>
      </c>
      <c r="EB35">
        <v>120.10299999999999</v>
      </c>
      <c r="EC35">
        <v>22.1767</v>
      </c>
      <c r="ED35">
        <v>2.8760500000000002</v>
      </c>
      <c r="EE35">
        <v>2.1976800000000001</v>
      </c>
      <c r="EF35">
        <v>23.327200000000001</v>
      </c>
      <c r="EG35">
        <v>18.945399999999999</v>
      </c>
      <c r="EH35">
        <v>1800.14</v>
      </c>
      <c r="EI35">
        <v>0.97799999999999998</v>
      </c>
      <c r="EJ35">
        <v>2.2000200000000001E-2</v>
      </c>
      <c r="EK35">
        <v>0</v>
      </c>
      <c r="EL35">
        <v>723.71500000000003</v>
      </c>
      <c r="EM35">
        <v>5.0005300000000004</v>
      </c>
      <c r="EN35">
        <v>15671.5</v>
      </c>
      <c r="EO35">
        <v>16036.5</v>
      </c>
      <c r="EP35">
        <v>48.875</v>
      </c>
      <c r="EQ35">
        <v>50.561999999999998</v>
      </c>
      <c r="ER35">
        <v>49.561999999999998</v>
      </c>
      <c r="ES35">
        <v>49.75</v>
      </c>
      <c r="ET35">
        <v>50.25</v>
      </c>
      <c r="EU35">
        <v>1755.65</v>
      </c>
      <c r="EV35">
        <v>39.49</v>
      </c>
      <c r="EW35">
        <v>0</v>
      </c>
      <c r="EX35">
        <v>141</v>
      </c>
      <c r="EY35">
        <v>0</v>
      </c>
      <c r="EZ35">
        <v>723.6691538461539</v>
      </c>
      <c r="FA35">
        <v>-1.448547013933265</v>
      </c>
      <c r="FB35">
        <v>-1.27521400964612</v>
      </c>
      <c r="FC35">
        <v>15672.780769230771</v>
      </c>
      <c r="FD35">
        <v>15</v>
      </c>
      <c r="FE35">
        <v>1689003078</v>
      </c>
      <c r="FF35" t="s">
        <v>519</v>
      </c>
      <c r="FG35">
        <v>1689003075</v>
      </c>
      <c r="FH35">
        <v>1689003078</v>
      </c>
      <c r="FI35">
        <v>22</v>
      </c>
      <c r="FJ35">
        <v>-6.0000000000000001E-3</v>
      </c>
      <c r="FK35">
        <v>-2E-3</v>
      </c>
      <c r="FL35">
        <v>-0.21299999999999999</v>
      </c>
      <c r="FM35">
        <v>3.2000000000000001E-2</v>
      </c>
      <c r="FN35">
        <v>120</v>
      </c>
      <c r="FO35">
        <v>22</v>
      </c>
      <c r="FP35">
        <v>0.05</v>
      </c>
      <c r="FQ35">
        <v>0.02</v>
      </c>
      <c r="FR35">
        <v>17.817646814881702</v>
      </c>
      <c r="FS35">
        <v>0.15415882618206461</v>
      </c>
      <c r="FT35">
        <v>4.1732674393420863E-2</v>
      </c>
      <c r="FU35">
        <v>1</v>
      </c>
      <c r="FV35">
        <v>0.44795720614666718</v>
      </c>
      <c r="FW35">
        <v>2.3166702579625002E-2</v>
      </c>
      <c r="FX35">
        <v>2.945012939090485E-3</v>
      </c>
      <c r="FY35">
        <v>1</v>
      </c>
      <c r="FZ35">
        <v>2</v>
      </c>
      <c r="GA35">
        <v>2</v>
      </c>
      <c r="GB35" t="s">
        <v>424</v>
      </c>
      <c r="GC35">
        <v>3.1150600000000002</v>
      </c>
      <c r="GD35">
        <v>2.7673199999999998</v>
      </c>
      <c r="GE35">
        <v>2.59794E-2</v>
      </c>
      <c r="GF35">
        <v>3.1567699999999997E-2</v>
      </c>
      <c r="GG35">
        <v>0.122776</v>
      </c>
      <c r="GH35">
        <v>0.101976</v>
      </c>
      <c r="GI35">
        <v>23408</v>
      </c>
      <c r="GJ35">
        <v>24091.4</v>
      </c>
      <c r="GK35">
        <v>23885.1</v>
      </c>
      <c r="GL35">
        <v>25179.4</v>
      </c>
      <c r="GM35">
        <v>30186</v>
      </c>
      <c r="GN35">
        <v>31710.6</v>
      </c>
      <c r="GO35">
        <v>38057.1</v>
      </c>
      <c r="GP35">
        <v>39166.6</v>
      </c>
      <c r="GQ35">
        <v>2.1624300000000001</v>
      </c>
      <c r="GR35">
        <v>1.7835300000000001</v>
      </c>
      <c r="GS35">
        <v>3.2994900000000001E-2</v>
      </c>
      <c r="GT35">
        <v>0</v>
      </c>
      <c r="GU35">
        <v>29.398800000000001</v>
      </c>
      <c r="GV35">
        <v>999.9</v>
      </c>
      <c r="GW35">
        <v>35</v>
      </c>
      <c r="GX35">
        <v>41.5</v>
      </c>
      <c r="GY35">
        <v>28.356999999999999</v>
      </c>
      <c r="GZ35">
        <v>60.849800000000002</v>
      </c>
      <c r="HA35">
        <v>28.0809</v>
      </c>
      <c r="HB35">
        <v>1</v>
      </c>
      <c r="HC35">
        <v>0.35997699999999999</v>
      </c>
      <c r="HD35">
        <v>1.1731</v>
      </c>
      <c r="HE35">
        <v>20.3171</v>
      </c>
      <c r="HF35">
        <v>5.2493400000000001</v>
      </c>
      <c r="HG35">
        <v>12.0099</v>
      </c>
      <c r="HH35">
        <v>4.9786999999999999</v>
      </c>
      <c r="HI35">
        <v>3.2922500000000001</v>
      </c>
      <c r="HJ35">
        <v>9999</v>
      </c>
      <c r="HK35">
        <v>9999</v>
      </c>
      <c r="HL35">
        <v>9999</v>
      </c>
      <c r="HM35">
        <v>232.3</v>
      </c>
      <c r="HN35">
        <v>1.8756299999999999</v>
      </c>
      <c r="HO35">
        <v>1.8767</v>
      </c>
      <c r="HP35">
        <v>1.8827799999999999</v>
      </c>
      <c r="HQ35">
        <v>1.8859900000000001</v>
      </c>
      <c r="HR35">
        <v>1.8768100000000001</v>
      </c>
      <c r="HS35">
        <v>1.8831800000000001</v>
      </c>
      <c r="HT35">
        <v>1.8821699999999999</v>
      </c>
      <c r="HU35">
        <v>1.88568</v>
      </c>
      <c r="HV35">
        <v>0</v>
      </c>
      <c r="HW35">
        <v>0</v>
      </c>
      <c r="HX35">
        <v>0</v>
      </c>
      <c r="HY35">
        <v>0</v>
      </c>
      <c r="HZ35" t="s">
        <v>425</v>
      </c>
      <c r="IA35" t="s">
        <v>426</v>
      </c>
      <c r="IB35" t="s">
        <v>427</v>
      </c>
      <c r="IC35" t="s">
        <v>427</v>
      </c>
      <c r="ID35" t="s">
        <v>427</v>
      </c>
      <c r="IE35" t="s">
        <v>427</v>
      </c>
      <c r="IF35">
        <v>0</v>
      </c>
      <c r="IG35">
        <v>100</v>
      </c>
      <c r="IH35">
        <v>100</v>
      </c>
      <c r="II35">
        <v>-0.20699999999999999</v>
      </c>
      <c r="IJ35">
        <v>4.2099999999999999E-2</v>
      </c>
      <c r="IK35">
        <v>-0.17085777871975419</v>
      </c>
      <c r="IL35">
        <v>-4.2852564239613137E-4</v>
      </c>
      <c r="IM35">
        <v>6.4980710991155998E-7</v>
      </c>
      <c r="IN35">
        <v>-2.7237938963984961E-10</v>
      </c>
      <c r="IO35">
        <v>-1.8238865046238319E-2</v>
      </c>
      <c r="IP35">
        <v>6.6907473102813496E-3</v>
      </c>
      <c r="IQ35">
        <v>-3.3673306238274028E-4</v>
      </c>
      <c r="IR35">
        <v>6.1311374003140313E-6</v>
      </c>
      <c r="IS35">
        <v>3</v>
      </c>
      <c r="IT35">
        <v>2101</v>
      </c>
      <c r="IU35">
        <v>1</v>
      </c>
      <c r="IV35">
        <v>32</v>
      </c>
      <c r="IW35">
        <v>0.6</v>
      </c>
      <c r="IX35">
        <v>0.5</v>
      </c>
      <c r="IY35">
        <v>0.41259800000000002</v>
      </c>
      <c r="IZ35">
        <v>2.7160600000000001</v>
      </c>
      <c r="JA35">
        <v>1.6015600000000001</v>
      </c>
      <c r="JB35">
        <v>2.3315399999999999</v>
      </c>
      <c r="JC35">
        <v>1.5502899999999999</v>
      </c>
      <c r="JD35">
        <v>2.2936999999999999</v>
      </c>
      <c r="JE35">
        <v>47.093200000000003</v>
      </c>
      <c r="JF35">
        <v>24.026199999999999</v>
      </c>
      <c r="JG35">
        <v>18</v>
      </c>
      <c r="JH35">
        <v>590.55200000000002</v>
      </c>
      <c r="JI35">
        <v>402.209</v>
      </c>
      <c r="JJ35">
        <v>28.121700000000001</v>
      </c>
      <c r="JK35">
        <v>32.0184</v>
      </c>
      <c r="JL35">
        <v>30.0002</v>
      </c>
      <c r="JM35">
        <v>32.174900000000001</v>
      </c>
      <c r="JN35">
        <v>32.1738</v>
      </c>
      <c r="JO35">
        <v>8.2388300000000001</v>
      </c>
      <c r="JP35">
        <v>25.466699999999999</v>
      </c>
      <c r="JQ35">
        <v>5.4189100000000003</v>
      </c>
      <c r="JR35">
        <v>28.1585</v>
      </c>
      <c r="JS35">
        <v>120</v>
      </c>
      <c r="JT35">
        <v>22.023199999999999</v>
      </c>
      <c r="JU35">
        <v>99.279399999999995</v>
      </c>
      <c r="JV35">
        <v>99.136399999999995</v>
      </c>
    </row>
    <row r="36" spans="1:282" x14ac:dyDescent="0.25">
      <c r="A36">
        <v>20</v>
      </c>
      <c r="B36">
        <v>1689003226.0999999</v>
      </c>
      <c r="C36">
        <v>3403.5</v>
      </c>
      <c r="D36" t="s">
        <v>520</v>
      </c>
      <c r="E36" t="s">
        <v>521</v>
      </c>
      <c r="F36" t="s">
        <v>414</v>
      </c>
      <c r="G36" t="s">
        <v>415</v>
      </c>
      <c r="H36" t="s">
        <v>418</v>
      </c>
      <c r="I36" t="s">
        <v>501</v>
      </c>
      <c r="J36" t="s">
        <v>416</v>
      </c>
      <c r="K36">
        <v>1689003226.0999999</v>
      </c>
      <c r="L36">
        <f t="shared" si="0"/>
        <v>6.0568592614291547E-3</v>
      </c>
      <c r="M36">
        <f t="shared" si="1"/>
        <v>6.056859261429155</v>
      </c>
      <c r="N36">
        <f t="shared" si="2"/>
        <v>10.928807477878749</v>
      </c>
      <c r="O36">
        <f t="shared" si="3"/>
        <v>56.559800000000003</v>
      </c>
      <c r="P36">
        <f t="shared" si="4"/>
        <v>14.70597822962557</v>
      </c>
      <c r="Q36">
        <f t="shared" si="5"/>
        <v>1.4588246226769179</v>
      </c>
      <c r="R36">
        <f t="shared" si="6"/>
        <v>5.6106997851704801</v>
      </c>
      <c r="S36">
        <f t="shared" si="7"/>
        <v>0.45770104718984672</v>
      </c>
      <c r="T36">
        <f t="shared" si="8"/>
        <v>2.9132688804063074</v>
      </c>
      <c r="U36">
        <f t="shared" si="9"/>
        <v>0.42117926708680725</v>
      </c>
      <c r="V36">
        <f t="shared" si="10"/>
        <v>0.26627510704921653</v>
      </c>
      <c r="W36">
        <f t="shared" si="11"/>
        <v>289.56647032676153</v>
      </c>
      <c r="X36">
        <f t="shared" si="12"/>
        <v>30.762797121650458</v>
      </c>
      <c r="Y36">
        <f t="shared" si="13"/>
        <v>30.0215</v>
      </c>
      <c r="Z36">
        <f t="shared" si="14"/>
        <v>4.2657140145596344</v>
      </c>
      <c r="AA36">
        <f t="shared" si="15"/>
        <v>65.441779243195811</v>
      </c>
      <c r="AB36">
        <f t="shared" si="16"/>
        <v>2.8906118006074397</v>
      </c>
      <c r="AC36">
        <f t="shared" si="17"/>
        <v>4.4170739763436151</v>
      </c>
      <c r="AD36">
        <f t="shared" si="18"/>
        <v>1.3751022139521947</v>
      </c>
      <c r="AE36">
        <f t="shared" si="19"/>
        <v>-267.10749342902574</v>
      </c>
      <c r="AF36">
        <f t="shared" si="20"/>
        <v>95.571102419262758</v>
      </c>
      <c r="AG36">
        <f t="shared" si="21"/>
        <v>7.3178838322216881</v>
      </c>
      <c r="AH36">
        <f t="shared" si="22"/>
        <v>125.34796314922025</v>
      </c>
      <c r="AI36">
        <v>0</v>
      </c>
      <c r="AJ36">
        <v>0</v>
      </c>
      <c r="AK36">
        <f t="shared" si="23"/>
        <v>1</v>
      </c>
      <c r="AL36">
        <f t="shared" si="24"/>
        <v>0</v>
      </c>
      <c r="AM36">
        <f t="shared" si="25"/>
        <v>51762.177723476801</v>
      </c>
      <c r="AN36" t="s">
        <v>419</v>
      </c>
      <c r="AO36">
        <v>9967.0300000000007</v>
      </c>
      <c r="AP36">
        <v>178.94153846153841</v>
      </c>
      <c r="AQ36">
        <v>603.15</v>
      </c>
      <c r="AR36">
        <f t="shared" si="26"/>
        <v>0.7033216638290003</v>
      </c>
      <c r="AS36">
        <v>-3.2649104154664181</v>
      </c>
      <c r="AT36" t="s">
        <v>522</v>
      </c>
      <c r="AU36">
        <v>8050.58</v>
      </c>
      <c r="AV36">
        <v>738.27069230769234</v>
      </c>
      <c r="AW36">
        <v>837.58258965011646</v>
      </c>
      <c r="AX36">
        <f t="shared" si="27"/>
        <v>0.11856967727076284</v>
      </c>
      <c r="AY36">
        <v>0.5</v>
      </c>
      <c r="AZ36">
        <f t="shared" si="28"/>
        <v>1513.1846996511717</v>
      </c>
      <c r="BA36">
        <f t="shared" si="29"/>
        <v>10.928807477878749</v>
      </c>
      <c r="BB36">
        <f t="shared" si="30"/>
        <v>89.708910744347818</v>
      </c>
      <c r="BC36">
        <f t="shared" si="31"/>
        <v>9.3800300099632153E-3</v>
      </c>
      <c r="BD36">
        <f t="shared" si="32"/>
        <v>-0.27989190862723884</v>
      </c>
      <c r="BE36">
        <f t="shared" si="33"/>
        <v>195.14604996170749</v>
      </c>
      <c r="BF36" t="s">
        <v>523</v>
      </c>
      <c r="BG36">
        <v>562.33000000000004</v>
      </c>
      <c r="BH36">
        <f t="shared" si="34"/>
        <v>562.33000000000004</v>
      </c>
      <c r="BI36">
        <f t="shared" si="35"/>
        <v>0.32862740110810773</v>
      </c>
      <c r="BJ36">
        <f t="shared" si="36"/>
        <v>0.36080277198722482</v>
      </c>
      <c r="BK36">
        <f t="shared" si="37"/>
        <v>-5.7430815690866446</v>
      </c>
      <c r="BL36">
        <f t="shared" si="38"/>
        <v>0.15078303601515075</v>
      </c>
      <c r="BM36">
        <f t="shared" si="39"/>
        <v>-0.55263534536748338</v>
      </c>
      <c r="BN36">
        <f t="shared" si="40"/>
        <v>0.27481819999840479</v>
      </c>
      <c r="BO36">
        <f t="shared" si="41"/>
        <v>0.72518180000159527</v>
      </c>
      <c r="BP36">
        <v>6075</v>
      </c>
      <c r="BQ36">
        <v>290.00000000000011</v>
      </c>
      <c r="BR36">
        <v>811.06</v>
      </c>
      <c r="BS36">
        <v>275</v>
      </c>
      <c r="BT36">
        <v>8050.58</v>
      </c>
      <c r="BU36">
        <v>812.68</v>
      </c>
      <c r="BV36">
        <v>-1.62</v>
      </c>
      <c r="BW36">
        <v>300.00000000000011</v>
      </c>
      <c r="BX36">
        <v>19.3</v>
      </c>
      <c r="BY36">
        <v>837.58258965011646</v>
      </c>
      <c r="BZ36">
        <v>3.3375024652573959</v>
      </c>
      <c r="CA36">
        <v>-20.047947588422488</v>
      </c>
      <c r="CB36">
        <v>2.4681320944113159</v>
      </c>
      <c r="CC36">
        <v>0.7020598025684881</v>
      </c>
      <c r="CD36">
        <v>-4.1543664071190256E-3</v>
      </c>
      <c r="CE36">
        <v>289.99999999999989</v>
      </c>
      <c r="CF36">
        <v>810.93</v>
      </c>
      <c r="CG36">
        <v>675</v>
      </c>
      <c r="CH36">
        <v>8039.85</v>
      </c>
      <c r="CI36">
        <v>812.65</v>
      </c>
      <c r="CJ36">
        <v>-1.72</v>
      </c>
      <c r="CX36">
        <f t="shared" si="42"/>
        <v>1800</v>
      </c>
      <c r="CY36">
        <f t="shared" si="43"/>
        <v>1513.1846996511717</v>
      </c>
      <c r="CZ36">
        <f t="shared" si="44"/>
        <v>0.84065816647287317</v>
      </c>
      <c r="DA36">
        <f t="shared" si="45"/>
        <v>0.16087026129264528</v>
      </c>
      <c r="DB36">
        <v>6</v>
      </c>
      <c r="DC36">
        <v>0.5</v>
      </c>
      <c r="DD36" t="s">
        <v>422</v>
      </c>
      <c r="DE36">
        <v>2</v>
      </c>
      <c r="DF36">
        <v>1689003226.0999999</v>
      </c>
      <c r="DG36">
        <v>56.559800000000003</v>
      </c>
      <c r="DH36">
        <v>70.082700000000003</v>
      </c>
      <c r="DI36">
        <v>29.139399999999998</v>
      </c>
      <c r="DJ36">
        <v>22.084399999999999</v>
      </c>
      <c r="DK36">
        <v>56.645099999999999</v>
      </c>
      <c r="DL36">
        <v>29.0945</v>
      </c>
      <c r="DM36">
        <v>500.10199999999998</v>
      </c>
      <c r="DN36">
        <v>99.099599999999995</v>
      </c>
      <c r="DO36">
        <v>9.9827600000000002E-2</v>
      </c>
      <c r="DP36">
        <v>30.63</v>
      </c>
      <c r="DQ36">
        <v>30.0215</v>
      </c>
      <c r="DR36">
        <v>999.9</v>
      </c>
      <c r="DS36">
        <v>0</v>
      </c>
      <c r="DT36">
        <v>0</v>
      </c>
      <c r="DU36">
        <v>9997.5</v>
      </c>
      <c r="DV36">
        <v>0</v>
      </c>
      <c r="DW36">
        <v>1956.72</v>
      </c>
      <c r="DX36">
        <v>-13.5229</v>
      </c>
      <c r="DY36">
        <v>58.257399999999997</v>
      </c>
      <c r="DZ36">
        <v>71.665400000000005</v>
      </c>
      <c r="EA36">
        <v>7.05497</v>
      </c>
      <c r="EB36">
        <v>70.082700000000003</v>
      </c>
      <c r="EC36">
        <v>22.084399999999999</v>
      </c>
      <c r="ED36">
        <v>2.8877000000000002</v>
      </c>
      <c r="EE36">
        <v>2.1885599999999998</v>
      </c>
      <c r="EF36">
        <v>23.394200000000001</v>
      </c>
      <c r="EG36">
        <v>18.878799999999998</v>
      </c>
      <c r="EH36">
        <v>1800</v>
      </c>
      <c r="EI36">
        <v>0.97799999999999998</v>
      </c>
      <c r="EJ36">
        <v>2.2000200000000001E-2</v>
      </c>
      <c r="EK36">
        <v>0</v>
      </c>
      <c r="EL36">
        <v>737.95299999999997</v>
      </c>
      <c r="EM36">
        <v>5.0005300000000004</v>
      </c>
      <c r="EN36">
        <v>15958.8</v>
      </c>
      <c r="EO36">
        <v>16035.3</v>
      </c>
      <c r="EP36">
        <v>49.061999999999998</v>
      </c>
      <c r="EQ36">
        <v>50.686999999999998</v>
      </c>
      <c r="ER36">
        <v>49.75</v>
      </c>
      <c r="ES36">
        <v>49.875</v>
      </c>
      <c r="ET36">
        <v>50.436999999999998</v>
      </c>
      <c r="EU36">
        <v>1755.51</v>
      </c>
      <c r="EV36">
        <v>39.49</v>
      </c>
      <c r="EW36">
        <v>0</v>
      </c>
      <c r="EX36">
        <v>113.6000001430511</v>
      </c>
      <c r="EY36">
        <v>0</v>
      </c>
      <c r="EZ36">
        <v>738.27069230769234</v>
      </c>
      <c r="FA36">
        <v>-2.0293333349230158</v>
      </c>
      <c r="FB36">
        <v>-28.16410267615354</v>
      </c>
      <c r="FC36">
        <v>15956.76153846154</v>
      </c>
      <c r="FD36">
        <v>15</v>
      </c>
      <c r="FE36">
        <v>1689003194.0999999</v>
      </c>
      <c r="FF36" t="s">
        <v>524</v>
      </c>
      <c r="FG36">
        <v>1689003184.5999999</v>
      </c>
      <c r="FH36">
        <v>1689003194.0999999</v>
      </c>
      <c r="FI36">
        <v>23</v>
      </c>
      <c r="FJ36">
        <v>0.108</v>
      </c>
      <c r="FK36">
        <v>2E-3</v>
      </c>
      <c r="FL36">
        <v>-0.09</v>
      </c>
      <c r="FM36">
        <v>3.4000000000000002E-2</v>
      </c>
      <c r="FN36">
        <v>70</v>
      </c>
      <c r="FO36">
        <v>22</v>
      </c>
      <c r="FP36">
        <v>0.14000000000000001</v>
      </c>
      <c r="FQ36">
        <v>0.01</v>
      </c>
      <c r="FR36">
        <v>10.941399446180739</v>
      </c>
      <c r="FS36">
        <v>-0.37752032057807422</v>
      </c>
      <c r="FT36">
        <v>3.334891502135813E-2</v>
      </c>
      <c r="FU36">
        <v>1</v>
      </c>
      <c r="FV36">
        <v>0.4572720570568457</v>
      </c>
      <c r="FW36">
        <v>4.5137904524140363E-2</v>
      </c>
      <c r="FX36">
        <v>4.4670472512987336E-3</v>
      </c>
      <c r="FY36">
        <v>1</v>
      </c>
      <c r="FZ36">
        <v>2</v>
      </c>
      <c r="GA36">
        <v>2</v>
      </c>
      <c r="GB36" t="s">
        <v>424</v>
      </c>
      <c r="GC36">
        <v>3.1151</v>
      </c>
      <c r="GD36">
        <v>2.7671100000000002</v>
      </c>
      <c r="GE36">
        <v>1.52096E-2</v>
      </c>
      <c r="GF36">
        <v>1.8779000000000001E-2</v>
      </c>
      <c r="GG36">
        <v>0.123116</v>
      </c>
      <c r="GH36">
        <v>0.10167900000000001</v>
      </c>
      <c r="GI36">
        <v>23666.6</v>
      </c>
      <c r="GJ36">
        <v>24410.2</v>
      </c>
      <c r="GK36">
        <v>23885.3</v>
      </c>
      <c r="GL36">
        <v>25180.5</v>
      </c>
      <c r="GM36">
        <v>30174.5</v>
      </c>
      <c r="GN36">
        <v>31722.9</v>
      </c>
      <c r="GO36">
        <v>38057.300000000003</v>
      </c>
      <c r="GP36">
        <v>39168.9</v>
      </c>
      <c r="GQ36">
        <v>2.1626799999999999</v>
      </c>
      <c r="GR36">
        <v>1.7819499999999999</v>
      </c>
      <c r="GS36">
        <v>4.1611500000000003E-2</v>
      </c>
      <c r="GT36">
        <v>0</v>
      </c>
      <c r="GU36">
        <v>29.344000000000001</v>
      </c>
      <c r="GV36">
        <v>999.9</v>
      </c>
      <c r="GW36">
        <v>34.6</v>
      </c>
      <c r="GX36">
        <v>41.6</v>
      </c>
      <c r="GY36">
        <v>28.179200000000002</v>
      </c>
      <c r="GZ36">
        <v>60.728900000000003</v>
      </c>
      <c r="HA36">
        <v>28.020800000000001</v>
      </c>
      <c r="HB36">
        <v>1</v>
      </c>
      <c r="HC36">
        <v>0.36111500000000002</v>
      </c>
      <c r="HD36">
        <v>1.56904</v>
      </c>
      <c r="HE36">
        <v>20.313300000000002</v>
      </c>
      <c r="HF36">
        <v>5.2499399999999996</v>
      </c>
      <c r="HG36">
        <v>12.0099</v>
      </c>
      <c r="HH36">
        <v>4.9785500000000003</v>
      </c>
      <c r="HI36">
        <v>3.2923800000000001</v>
      </c>
      <c r="HJ36">
        <v>9999</v>
      </c>
      <c r="HK36">
        <v>9999</v>
      </c>
      <c r="HL36">
        <v>9999</v>
      </c>
      <c r="HM36">
        <v>232.3</v>
      </c>
      <c r="HN36">
        <v>1.87561</v>
      </c>
      <c r="HO36">
        <v>1.8767199999999999</v>
      </c>
      <c r="HP36">
        <v>1.8827799999999999</v>
      </c>
      <c r="HQ36">
        <v>1.8859900000000001</v>
      </c>
      <c r="HR36">
        <v>1.8768</v>
      </c>
      <c r="HS36">
        <v>1.8832</v>
      </c>
      <c r="HT36">
        <v>1.8821699999999999</v>
      </c>
      <c r="HU36">
        <v>1.88568</v>
      </c>
      <c r="HV36">
        <v>0</v>
      </c>
      <c r="HW36">
        <v>0</v>
      </c>
      <c r="HX36">
        <v>0</v>
      </c>
      <c r="HY36">
        <v>0</v>
      </c>
      <c r="HZ36" t="s">
        <v>425</v>
      </c>
      <c r="IA36" t="s">
        <v>426</v>
      </c>
      <c r="IB36" t="s">
        <v>427</v>
      </c>
      <c r="IC36" t="s">
        <v>427</v>
      </c>
      <c r="ID36" t="s">
        <v>427</v>
      </c>
      <c r="IE36" t="s">
        <v>427</v>
      </c>
      <c r="IF36">
        <v>0</v>
      </c>
      <c r="IG36">
        <v>100</v>
      </c>
      <c r="IH36">
        <v>100</v>
      </c>
      <c r="II36">
        <v>-8.5000000000000006E-2</v>
      </c>
      <c r="IJ36">
        <v>4.4900000000000002E-2</v>
      </c>
      <c r="IK36">
        <v>-6.3068135816901266E-2</v>
      </c>
      <c r="IL36">
        <v>-4.2852564239613137E-4</v>
      </c>
      <c r="IM36">
        <v>6.4980710991155998E-7</v>
      </c>
      <c r="IN36">
        <v>-2.7237938963984961E-10</v>
      </c>
      <c r="IO36">
        <v>-1.5780101601563332E-2</v>
      </c>
      <c r="IP36">
        <v>6.6907473102813496E-3</v>
      </c>
      <c r="IQ36">
        <v>-3.3673306238274028E-4</v>
      </c>
      <c r="IR36">
        <v>6.1311374003140313E-6</v>
      </c>
      <c r="IS36">
        <v>3</v>
      </c>
      <c r="IT36">
        <v>2101</v>
      </c>
      <c r="IU36">
        <v>1</v>
      </c>
      <c r="IV36">
        <v>32</v>
      </c>
      <c r="IW36">
        <v>0.7</v>
      </c>
      <c r="IX36">
        <v>0.5</v>
      </c>
      <c r="IY36">
        <v>0.301514</v>
      </c>
      <c r="IZ36">
        <v>2.7209500000000002</v>
      </c>
      <c r="JA36">
        <v>1.6003400000000001</v>
      </c>
      <c r="JB36">
        <v>2.3303199999999999</v>
      </c>
      <c r="JC36">
        <v>1.5502899999999999</v>
      </c>
      <c r="JD36">
        <v>2.4597199999999999</v>
      </c>
      <c r="JE36">
        <v>47.212299999999999</v>
      </c>
      <c r="JF36">
        <v>24.035</v>
      </c>
      <c r="JG36">
        <v>18</v>
      </c>
      <c r="JH36">
        <v>590.62300000000005</v>
      </c>
      <c r="JI36">
        <v>401.12099999999998</v>
      </c>
      <c r="JJ36">
        <v>28.069299999999998</v>
      </c>
      <c r="JK36">
        <v>32.012799999999999</v>
      </c>
      <c r="JL36">
        <v>30</v>
      </c>
      <c r="JM36">
        <v>32.163600000000002</v>
      </c>
      <c r="JN36">
        <v>32.159500000000001</v>
      </c>
      <c r="JO36">
        <v>6.0107900000000001</v>
      </c>
      <c r="JP36">
        <v>25.271799999999999</v>
      </c>
      <c r="JQ36">
        <v>4.5290499999999998</v>
      </c>
      <c r="JR36">
        <v>28.0487</v>
      </c>
      <c r="JS36">
        <v>70</v>
      </c>
      <c r="JT36">
        <v>21.977599999999999</v>
      </c>
      <c r="JU36">
        <v>99.279899999999998</v>
      </c>
      <c r="JV36">
        <v>99.141499999999994</v>
      </c>
    </row>
    <row r="37" spans="1:282" x14ac:dyDescent="0.25">
      <c r="A37">
        <v>21</v>
      </c>
      <c r="B37">
        <v>1689003333.0999999</v>
      </c>
      <c r="C37">
        <v>3510.5</v>
      </c>
      <c r="D37" t="s">
        <v>525</v>
      </c>
      <c r="E37" t="s">
        <v>526</v>
      </c>
      <c r="F37" t="s">
        <v>414</v>
      </c>
      <c r="G37" t="s">
        <v>415</v>
      </c>
      <c r="H37" t="s">
        <v>418</v>
      </c>
      <c r="I37" t="s">
        <v>501</v>
      </c>
      <c r="J37" t="s">
        <v>416</v>
      </c>
      <c r="K37">
        <v>1689003333.0999999</v>
      </c>
      <c r="L37">
        <f t="shared" si="0"/>
        <v>6.3030001832413583E-3</v>
      </c>
      <c r="M37">
        <f t="shared" si="1"/>
        <v>6.303000183241358</v>
      </c>
      <c r="N37">
        <f t="shared" si="2"/>
        <v>4.8120181998757454</v>
      </c>
      <c r="O37">
        <f t="shared" si="3"/>
        <v>24.144400000000001</v>
      </c>
      <c r="P37">
        <f t="shared" si="4"/>
        <v>6.7595211314790058</v>
      </c>
      <c r="Q37">
        <f t="shared" si="5"/>
        <v>0.67054132805516309</v>
      </c>
      <c r="R37">
        <f t="shared" si="6"/>
        <v>2.3951131635197203</v>
      </c>
      <c r="S37">
        <f t="shared" si="7"/>
        <v>0.48755048687045854</v>
      </c>
      <c r="T37">
        <f t="shared" si="8"/>
        <v>2.9163320468395257</v>
      </c>
      <c r="U37">
        <f t="shared" si="9"/>
        <v>0.44637872426842357</v>
      </c>
      <c r="V37">
        <f t="shared" si="10"/>
        <v>0.28239552011159363</v>
      </c>
      <c r="W37">
        <f t="shared" si="11"/>
        <v>289.5600863267465</v>
      </c>
      <c r="X37">
        <f t="shared" si="12"/>
        <v>30.624312893784733</v>
      </c>
      <c r="Y37">
        <f t="shared" si="13"/>
        <v>29.924299999999999</v>
      </c>
      <c r="Z37">
        <f t="shared" si="14"/>
        <v>4.2419597772142765</v>
      </c>
      <c r="AA37">
        <f t="shared" si="15"/>
        <v>65.742461598753749</v>
      </c>
      <c r="AB37">
        <f t="shared" si="16"/>
        <v>2.8915968977230899</v>
      </c>
      <c r="AC37">
        <f t="shared" si="17"/>
        <v>4.3983702882489943</v>
      </c>
      <c r="AD37">
        <f t="shared" si="18"/>
        <v>1.3503628794911866</v>
      </c>
      <c r="AE37">
        <f t="shared" si="19"/>
        <v>-277.9623080809439</v>
      </c>
      <c r="AF37">
        <f t="shared" si="20"/>
        <v>99.287772724768118</v>
      </c>
      <c r="AG37">
        <f t="shared" si="21"/>
        <v>7.5880495061479438</v>
      </c>
      <c r="AH37">
        <f t="shared" si="22"/>
        <v>118.47360047671869</v>
      </c>
      <c r="AI37">
        <v>0</v>
      </c>
      <c r="AJ37">
        <v>0</v>
      </c>
      <c r="AK37">
        <f t="shared" si="23"/>
        <v>1</v>
      </c>
      <c r="AL37">
        <f t="shared" si="24"/>
        <v>0</v>
      </c>
      <c r="AM37">
        <f t="shared" si="25"/>
        <v>51861.842564522376</v>
      </c>
      <c r="AN37" t="s">
        <v>419</v>
      </c>
      <c r="AO37">
        <v>9967.0300000000007</v>
      </c>
      <c r="AP37">
        <v>178.94153846153841</v>
      </c>
      <c r="AQ37">
        <v>603.15</v>
      </c>
      <c r="AR37">
        <f t="shared" si="26"/>
        <v>0.7033216638290003</v>
      </c>
      <c r="AS37">
        <v>-3.2649104154664181</v>
      </c>
      <c r="AT37" t="s">
        <v>527</v>
      </c>
      <c r="AU37">
        <v>8052.06</v>
      </c>
      <c r="AV37">
        <v>750.15103999999997</v>
      </c>
      <c r="AW37">
        <v>820.8812232284879</v>
      </c>
      <c r="AX37">
        <f t="shared" si="27"/>
        <v>8.616372408947226E-2</v>
      </c>
      <c r="AY37">
        <v>0.5</v>
      </c>
      <c r="AZ37">
        <f t="shared" si="28"/>
        <v>1513.151099651164</v>
      </c>
      <c r="BA37">
        <f t="shared" si="29"/>
        <v>4.8120181998757454</v>
      </c>
      <c r="BB37">
        <f t="shared" si="30"/>
        <v>65.18936692801222</v>
      </c>
      <c r="BC37">
        <f t="shared" si="31"/>
        <v>5.3378202726774527E-3</v>
      </c>
      <c r="BD37">
        <f t="shared" si="32"/>
        <v>-0.26524083761126988</v>
      </c>
      <c r="BE37">
        <f t="shared" si="33"/>
        <v>194.22536773661494</v>
      </c>
      <c r="BF37" t="s">
        <v>528</v>
      </c>
      <c r="BG37">
        <v>594.51</v>
      </c>
      <c r="BH37">
        <f t="shared" si="34"/>
        <v>594.51</v>
      </c>
      <c r="BI37">
        <f t="shared" si="35"/>
        <v>0.27576611185986244</v>
      </c>
      <c r="BJ37">
        <f t="shared" si="36"/>
        <v>0.31245218460076257</v>
      </c>
      <c r="BK37">
        <f t="shared" si="37"/>
        <v>-25.200373058852808</v>
      </c>
      <c r="BL37">
        <f t="shared" si="38"/>
        <v>0.11018197644871557</v>
      </c>
      <c r="BM37">
        <f t="shared" si="39"/>
        <v>-0.51326468698632255</v>
      </c>
      <c r="BN37">
        <f t="shared" si="40"/>
        <v>0.24762472937050031</v>
      </c>
      <c r="BO37">
        <f t="shared" si="41"/>
        <v>0.75237527062949972</v>
      </c>
      <c r="BP37">
        <v>6077</v>
      </c>
      <c r="BQ37">
        <v>290.00000000000011</v>
      </c>
      <c r="BR37">
        <v>798.2</v>
      </c>
      <c r="BS37">
        <v>245</v>
      </c>
      <c r="BT37">
        <v>8052.06</v>
      </c>
      <c r="BU37">
        <v>798.41</v>
      </c>
      <c r="BV37">
        <v>-0.21</v>
      </c>
      <c r="BW37">
        <v>300.00000000000011</v>
      </c>
      <c r="BX37">
        <v>19.3</v>
      </c>
      <c r="BY37">
        <v>820.8812232284879</v>
      </c>
      <c r="BZ37">
        <v>2.184490492458679</v>
      </c>
      <c r="CA37">
        <v>-18.09114636007779</v>
      </c>
      <c r="CB37">
        <v>1.6153447984900009</v>
      </c>
      <c r="CC37">
        <v>0.81750644982224663</v>
      </c>
      <c r="CD37">
        <v>-4.1541844271412694E-3</v>
      </c>
      <c r="CE37">
        <v>289.99999999999989</v>
      </c>
      <c r="CF37">
        <v>797.2</v>
      </c>
      <c r="CG37">
        <v>755</v>
      </c>
      <c r="CH37">
        <v>8036.96</v>
      </c>
      <c r="CI37">
        <v>798.37</v>
      </c>
      <c r="CJ37">
        <v>-1.17</v>
      </c>
      <c r="CX37">
        <f t="shared" si="42"/>
        <v>1799.96</v>
      </c>
      <c r="CY37">
        <f t="shared" si="43"/>
        <v>1513.151099651164</v>
      </c>
      <c r="CZ37">
        <f t="shared" si="44"/>
        <v>0.8406581810991155</v>
      </c>
      <c r="DA37">
        <f t="shared" si="45"/>
        <v>0.16087028952129298</v>
      </c>
      <c r="DB37">
        <v>6</v>
      </c>
      <c r="DC37">
        <v>0.5</v>
      </c>
      <c r="DD37" t="s">
        <v>422</v>
      </c>
      <c r="DE37">
        <v>2</v>
      </c>
      <c r="DF37">
        <v>1689003333.0999999</v>
      </c>
      <c r="DG37">
        <v>24.144400000000001</v>
      </c>
      <c r="DH37">
        <v>30.101500000000001</v>
      </c>
      <c r="DI37">
        <v>29.1493</v>
      </c>
      <c r="DJ37">
        <v>21.806100000000001</v>
      </c>
      <c r="DK37">
        <v>24.1693</v>
      </c>
      <c r="DL37">
        <v>29.105699999999999</v>
      </c>
      <c r="DM37">
        <v>499.995</v>
      </c>
      <c r="DN37">
        <v>99.099800000000002</v>
      </c>
      <c r="DO37">
        <v>9.9731299999999995E-2</v>
      </c>
      <c r="DP37">
        <v>30.555800000000001</v>
      </c>
      <c r="DQ37">
        <v>29.924299999999999</v>
      </c>
      <c r="DR37">
        <v>999.9</v>
      </c>
      <c r="DS37">
        <v>0</v>
      </c>
      <c r="DT37">
        <v>0</v>
      </c>
      <c r="DU37">
        <v>10015</v>
      </c>
      <c r="DV37">
        <v>0</v>
      </c>
      <c r="DW37">
        <v>1955.69</v>
      </c>
      <c r="DX37">
        <v>-5.9570999999999996</v>
      </c>
      <c r="DY37">
        <v>24.869299999999999</v>
      </c>
      <c r="DZ37">
        <v>30.772500000000001</v>
      </c>
      <c r="EA37">
        <v>7.34321</v>
      </c>
      <c r="EB37">
        <v>30.101500000000001</v>
      </c>
      <c r="EC37">
        <v>21.806100000000001</v>
      </c>
      <c r="ED37">
        <v>2.88869</v>
      </c>
      <c r="EE37">
        <v>2.1609799999999999</v>
      </c>
      <c r="EF37">
        <v>23.399899999999999</v>
      </c>
      <c r="EG37">
        <v>18.675899999999999</v>
      </c>
      <c r="EH37">
        <v>1799.96</v>
      </c>
      <c r="EI37">
        <v>0.97799999999999998</v>
      </c>
      <c r="EJ37">
        <v>2.2000200000000001E-2</v>
      </c>
      <c r="EK37">
        <v>0</v>
      </c>
      <c r="EL37">
        <v>749.803</v>
      </c>
      <c r="EM37">
        <v>5.0005300000000004</v>
      </c>
      <c r="EN37">
        <v>16171.3</v>
      </c>
      <c r="EO37">
        <v>16034.9</v>
      </c>
      <c r="EP37">
        <v>49.25</v>
      </c>
      <c r="EQ37">
        <v>50.811999999999998</v>
      </c>
      <c r="ER37">
        <v>49.875</v>
      </c>
      <c r="ES37">
        <v>50</v>
      </c>
      <c r="ET37">
        <v>50.561999999999998</v>
      </c>
      <c r="EU37">
        <v>1755.47</v>
      </c>
      <c r="EV37">
        <v>39.49</v>
      </c>
      <c r="EW37">
        <v>0</v>
      </c>
      <c r="EX37">
        <v>105.19999980926509</v>
      </c>
      <c r="EY37">
        <v>0</v>
      </c>
      <c r="EZ37">
        <v>750.15103999999997</v>
      </c>
      <c r="FA37">
        <v>-2.205230762473612</v>
      </c>
      <c r="FB37">
        <v>-33.538461471015466</v>
      </c>
      <c r="FC37">
        <v>16174.776</v>
      </c>
      <c r="FD37">
        <v>15</v>
      </c>
      <c r="FE37">
        <v>1689003301.0999999</v>
      </c>
      <c r="FF37" t="s">
        <v>529</v>
      </c>
      <c r="FG37">
        <v>1689003289.0999999</v>
      </c>
      <c r="FH37">
        <v>1689003301.0999999</v>
      </c>
      <c r="FI37">
        <v>24</v>
      </c>
      <c r="FJ37">
        <v>4.8000000000000001E-2</v>
      </c>
      <c r="FK37">
        <v>-1E-3</v>
      </c>
      <c r="FL37">
        <v>-2.7E-2</v>
      </c>
      <c r="FM37">
        <v>3.2000000000000001E-2</v>
      </c>
      <c r="FN37">
        <v>30</v>
      </c>
      <c r="FO37">
        <v>22</v>
      </c>
      <c r="FP37">
        <v>0.2</v>
      </c>
      <c r="FQ37">
        <v>0.01</v>
      </c>
      <c r="FR37">
        <v>4.8166126278319634</v>
      </c>
      <c r="FS37">
        <v>-0.36654692832764002</v>
      </c>
      <c r="FT37">
        <v>4.1117308676426018E-2</v>
      </c>
      <c r="FU37">
        <v>1</v>
      </c>
      <c r="FV37">
        <v>0.48731676674691249</v>
      </c>
      <c r="FW37">
        <v>3.5171537683276563E-2</v>
      </c>
      <c r="FX37">
        <v>3.4852978189891062E-3</v>
      </c>
      <c r="FY37">
        <v>1</v>
      </c>
      <c r="FZ37">
        <v>2</v>
      </c>
      <c r="GA37">
        <v>2</v>
      </c>
      <c r="GB37" t="s">
        <v>424</v>
      </c>
      <c r="GC37">
        <v>3.1147900000000002</v>
      </c>
      <c r="GD37">
        <v>2.7671600000000001</v>
      </c>
      <c r="GE37">
        <v>6.5277699999999996E-3</v>
      </c>
      <c r="GF37">
        <v>8.1340600000000002E-3</v>
      </c>
      <c r="GG37">
        <v>0.123154</v>
      </c>
      <c r="GH37">
        <v>0.100771</v>
      </c>
      <c r="GI37">
        <v>23877.200000000001</v>
      </c>
      <c r="GJ37">
        <v>24678</v>
      </c>
      <c r="GK37">
        <v>23887.5</v>
      </c>
      <c r="GL37">
        <v>25183.8</v>
      </c>
      <c r="GM37">
        <v>30176.2</v>
      </c>
      <c r="GN37">
        <v>31759.200000000001</v>
      </c>
      <c r="GO37">
        <v>38061</v>
      </c>
      <c r="GP37">
        <v>39174</v>
      </c>
      <c r="GQ37">
        <v>2.1630699999999998</v>
      </c>
      <c r="GR37">
        <v>1.7807999999999999</v>
      </c>
      <c r="GS37">
        <v>3.92273E-2</v>
      </c>
      <c r="GT37">
        <v>0</v>
      </c>
      <c r="GU37">
        <v>29.285499999999999</v>
      </c>
      <c r="GV37">
        <v>999.9</v>
      </c>
      <c r="GW37">
        <v>34.1</v>
      </c>
      <c r="GX37">
        <v>41.8</v>
      </c>
      <c r="GY37">
        <v>28.068300000000001</v>
      </c>
      <c r="GZ37">
        <v>60.7089</v>
      </c>
      <c r="HA37">
        <v>28.569700000000001</v>
      </c>
      <c r="HB37">
        <v>1</v>
      </c>
      <c r="HC37">
        <v>0.356771</v>
      </c>
      <c r="HD37">
        <v>0.90184600000000004</v>
      </c>
      <c r="HE37">
        <v>20.318999999999999</v>
      </c>
      <c r="HF37">
        <v>5.25068</v>
      </c>
      <c r="HG37">
        <v>12.0099</v>
      </c>
      <c r="HH37">
        <v>4.9790000000000001</v>
      </c>
      <c r="HI37">
        <v>3.2925499999999999</v>
      </c>
      <c r="HJ37">
        <v>9999</v>
      </c>
      <c r="HK37">
        <v>9999</v>
      </c>
      <c r="HL37">
        <v>9999</v>
      </c>
      <c r="HM37">
        <v>232.4</v>
      </c>
      <c r="HN37">
        <v>1.87561</v>
      </c>
      <c r="HO37">
        <v>1.8767400000000001</v>
      </c>
      <c r="HP37">
        <v>1.8827700000000001</v>
      </c>
      <c r="HQ37">
        <v>1.8859900000000001</v>
      </c>
      <c r="HR37">
        <v>1.8768</v>
      </c>
      <c r="HS37">
        <v>1.8831899999999999</v>
      </c>
      <c r="HT37">
        <v>1.8821699999999999</v>
      </c>
      <c r="HU37">
        <v>1.88568</v>
      </c>
      <c r="HV37">
        <v>0</v>
      </c>
      <c r="HW37">
        <v>0</v>
      </c>
      <c r="HX37">
        <v>0</v>
      </c>
      <c r="HY37">
        <v>0</v>
      </c>
      <c r="HZ37" t="s">
        <v>425</v>
      </c>
      <c r="IA37" t="s">
        <v>426</v>
      </c>
      <c r="IB37" t="s">
        <v>427</v>
      </c>
      <c r="IC37" t="s">
        <v>427</v>
      </c>
      <c r="ID37" t="s">
        <v>427</v>
      </c>
      <c r="IE37" t="s">
        <v>427</v>
      </c>
      <c r="IF37">
        <v>0</v>
      </c>
      <c r="IG37">
        <v>100</v>
      </c>
      <c r="IH37">
        <v>100</v>
      </c>
      <c r="II37">
        <v>-2.5000000000000001E-2</v>
      </c>
      <c r="IJ37">
        <v>4.36E-2</v>
      </c>
      <c r="IK37">
        <v>-1.4917951606584131E-2</v>
      </c>
      <c r="IL37">
        <v>-4.2852564239613137E-4</v>
      </c>
      <c r="IM37">
        <v>6.4980710991155998E-7</v>
      </c>
      <c r="IN37">
        <v>-2.7237938963984961E-10</v>
      </c>
      <c r="IO37">
        <v>-1.703399471516644E-2</v>
      </c>
      <c r="IP37">
        <v>6.6907473102813496E-3</v>
      </c>
      <c r="IQ37">
        <v>-3.3673306238274028E-4</v>
      </c>
      <c r="IR37">
        <v>6.1311374003140313E-6</v>
      </c>
      <c r="IS37">
        <v>3</v>
      </c>
      <c r="IT37">
        <v>2101</v>
      </c>
      <c r="IU37">
        <v>1</v>
      </c>
      <c r="IV37">
        <v>32</v>
      </c>
      <c r="IW37">
        <v>0.7</v>
      </c>
      <c r="IX37">
        <v>0.5</v>
      </c>
      <c r="IY37">
        <v>0.21240200000000001</v>
      </c>
      <c r="IZ37">
        <v>2.7453599999999998</v>
      </c>
      <c r="JA37">
        <v>1.6015600000000001</v>
      </c>
      <c r="JB37">
        <v>2.3315399999999999</v>
      </c>
      <c r="JC37">
        <v>1.5502899999999999</v>
      </c>
      <c r="JD37">
        <v>2.4011200000000001</v>
      </c>
      <c r="JE37">
        <v>47.271999999999998</v>
      </c>
      <c r="JF37">
        <v>24.043700000000001</v>
      </c>
      <c r="JG37">
        <v>18</v>
      </c>
      <c r="JH37">
        <v>590.70500000000004</v>
      </c>
      <c r="JI37">
        <v>400.24799999999999</v>
      </c>
      <c r="JJ37">
        <v>28.362500000000001</v>
      </c>
      <c r="JK37">
        <v>31.992999999999999</v>
      </c>
      <c r="JL37">
        <v>30</v>
      </c>
      <c r="JM37">
        <v>32.142200000000003</v>
      </c>
      <c r="JN37">
        <v>32.1372</v>
      </c>
      <c r="JO37">
        <v>4.2477600000000004</v>
      </c>
      <c r="JP37">
        <v>26.037199999999999</v>
      </c>
      <c r="JQ37">
        <v>3.8361800000000001</v>
      </c>
      <c r="JR37">
        <v>28.4162</v>
      </c>
      <c r="JS37">
        <v>30</v>
      </c>
      <c r="JT37">
        <v>21.678899999999999</v>
      </c>
      <c r="JU37">
        <v>99.289500000000004</v>
      </c>
      <c r="JV37">
        <v>99.154499999999999</v>
      </c>
    </row>
    <row r="38" spans="1:282" x14ac:dyDescent="0.25">
      <c r="A38">
        <v>22</v>
      </c>
      <c r="B38">
        <v>1689003444.5999999</v>
      </c>
      <c r="C38">
        <v>3622</v>
      </c>
      <c r="D38" t="s">
        <v>530</v>
      </c>
      <c r="E38" t="s">
        <v>531</v>
      </c>
      <c r="F38" t="s">
        <v>414</v>
      </c>
      <c r="G38" t="s">
        <v>415</v>
      </c>
      <c r="H38" t="s">
        <v>418</v>
      </c>
      <c r="I38" t="s">
        <v>501</v>
      </c>
      <c r="J38" t="s">
        <v>416</v>
      </c>
      <c r="K38">
        <v>1689003444.5999999</v>
      </c>
      <c r="L38">
        <f t="shared" si="0"/>
        <v>6.3698311914265476E-3</v>
      </c>
      <c r="M38">
        <f t="shared" si="1"/>
        <v>6.369831191426548</v>
      </c>
      <c r="N38">
        <f t="shared" si="2"/>
        <v>1.5867029926510312</v>
      </c>
      <c r="O38">
        <f t="shared" si="3"/>
        <v>8.0968499999999999</v>
      </c>
      <c r="P38">
        <f t="shared" si="4"/>
        <v>2.4146266104736771</v>
      </c>
      <c r="Q38">
        <f t="shared" si="5"/>
        <v>0.23952743223097353</v>
      </c>
      <c r="R38">
        <f t="shared" si="6"/>
        <v>0.80319569131183488</v>
      </c>
      <c r="S38">
        <f t="shared" si="7"/>
        <v>0.49268320594609982</v>
      </c>
      <c r="T38">
        <f t="shared" si="8"/>
        <v>2.9137970144851191</v>
      </c>
      <c r="U38">
        <f t="shared" si="9"/>
        <v>0.45064676129422593</v>
      </c>
      <c r="V38">
        <f t="shared" si="10"/>
        <v>0.28513154928545748</v>
      </c>
      <c r="W38">
        <f t="shared" si="11"/>
        <v>289.55529832673534</v>
      </c>
      <c r="X38">
        <f t="shared" si="12"/>
        <v>30.755609907239133</v>
      </c>
      <c r="Y38">
        <f t="shared" si="13"/>
        <v>30.005500000000001</v>
      </c>
      <c r="Z38">
        <f t="shared" si="14"/>
        <v>4.2617958998064047</v>
      </c>
      <c r="AA38">
        <f t="shared" si="15"/>
        <v>65.608137143760686</v>
      </c>
      <c r="AB38">
        <f t="shared" si="16"/>
        <v>2.9103264195314398</v>
      </c>
      <c r="AC38">
        <f t="shared" si="17"/>
        <v>4.4359229605229098</v>
      </c>
      <c r="AD38">
        <f t="shared" si="18"/>
        <v>1.3514694802749649</v>
      </c>
      <c r="AE38">
        <f t="shared" si="19"/>
        <v>-280.90955554191078</v>
      </c>
      <c r="AF38">
        <f t="shared" si="20"/>
        <v>109.80494862679998</v>
      </c>
      <c r="AG38">
        <f t="shared" si="21"/>
        <v>8.4086809806981346</v>
      </c>
      <c r="AH38">
        <f t="shared" si="22"/>
        <v>126.85937239232268</v>
      </c>
      <c r="AI38">
        <v>0</v>
      </c>
      <c r="AJ38">
        <v>0</v>
      </c>
      <c r="AK38">
        <f t="shared" si="23"/>
        <v>1</v>
      </c>
      <c r="AL38">
        <f t="shared" si="24"/>
        <v>0</v>
      </c>
      <c r="AM38">
        <f t="shared" si="25"/>
        <v>51764.453122647668</v>
      </c>
      <c r="AN38" t="s">
        <v>419</v>
      </c>
      <c r="AO38">
        <v>9967.0300000000007</v>
      </c>
      <c r="AP38">
        <v>178.94153846153841</v>
      </c>
      <c r="AQ38">
        <v>603.15</v>
      </c>
      <c r="AR38">
        <f t="shared" si="26"/>
        <v>0.7033216638290003</v>
      </c>
      <c r="AS38">
        <v>-3.2649104154664181</v>
      </c>
      <c r="AT38" t="s">
        <v>532</v>
      </c>
      <c r="AU38">
        <v>8049.11</v>
      </c>
      <c r="AV38">
        <v>754.53208000000018</v>
      </c>
      <c r="AW38">
        <v>815.68963368195739</v>
      </c>
      <c r="AX38">
        <f t="shared" si="27"/>
        <v>7.4976499831065579E-2</v>
      </c>
      <c r="AY38">
        <v>0.5</v>
      </c>
      <c r="AZ38">
        <f t="shared" si="28"/>
        <v>1513.1258996511581</v>
      </c>
      <c r="BA38">
        <f t="shared" si="29"/>
        <v>1.5867029926510312</v>
      </c>
      <c r="BB38">
        <f t="shared" si="30"/>
        <v>56.724441879788003</v>
      </c>
      <c r="BC38">
        <f t="shared" si="31"/>
        <v>3.206351440574746E-3</v>
      </c>
      <c r="BD38">
        <f t="shared" si="32"/>
        <v>-0.26056434323257316</v>
      </c>
      <c r="BE38">
        <f t="shared" si="33"/>
        <v>193.9333202521793</v>
      </c>
      <c r="BF38" t="s">
        <v>533</v>
      </c>
      <c r="BG38">
        <v>605.66999999999996</v>
      </c>
      <c r="BH38">
        <f t="shared" si="34"/>
        <v>605.66999999999996</v>
      </c>
      <c r="BI38">
        <f t="shared" si="35"/>
        <v>0.25747493287850887</v>
      </c>
      <c r="BJ38">
        <f t="shared" si="36"/>
        <v>0.29119922080509369</v>
      </c>
      <c r="BK38">
        <f t="shared" si="37"/>
        <v>84.341124476967835</v>
      </c>
      <c r="BL38">
        <f t="shared" si="38"/>
        <v>9.6046700635652002E-2</v>
      </c>
      <c r="BM38">
        <f t="shared" si="39"/>
        <v>-0.50102638903323038</v>
      </c>
      <c r="BN38">
        <f t="shared" si="40"/>
        <v>0.23374835443049824</v>
      </c>
      <c r="BO38">
        <f t="shared" si="41"/>
        <v>0.76625164556950176</v>
      </c>
      <c r="BP38">
        <v>6079</v>
      </c>
      <c r="BQ38">
        <v>290.00000000000011</v>
      </c>
      <c r="BR38">
        <v>792.64</v>
      </c>
      <c r="BS38">
        <v>285</v>
      </c>
      <c r="BT38">
        <v>8049.11</v>
      </c>
      <c r="BU38">
        <v>792.01</v>
      </c>
      <c r="BV38">
        <v>0.63</v>
      </c>
      <c r="BW38">
        <v>300.00000000000011</v>
      </c>
      <c r="BX38">
        <v>19.3</v>
      </c>
      <c r="BY38">
        <v>815.68963368195739</v>
      </c>
      <c r="BZ38">
        <v>2.165871426058998</v>
      </c>
      <c r="CA38">
        <v>-19.059180843360291</v>
      </c>
      <c r="CB38">
        <v>1.601520267520917</v>
      </c>
      <c r="CC38">
        <v>0.83493115432969711</v>
      </c>
      <c r="CD38">
        <v>-4.1540364849833216E-3</v>
      </c>
      <c r="CE38">
        <v>289.99999999999989</v>
      </c>
      <c r="CF38">
        <v>791.18</v>
      </c>
      <c r="CG38">
        <v>685</v>
      </c>
      <c r="CH38">
        <v>8038.59</v>
      </c>
      <c r="CI38">
        <v>791.98</v>
      </c>
      <c r="CJ38">
        <v>-0.8</v>
      </c>
      <c r="CX38">
        <f t="shared" si="42"/>
        <v>1799.93</v>
      </c>
      <c r="CY38">
        <f t="shared" si="43"/>
        <v>1513.1258996511581</v>
      </c>
      <c r="CZ38">
        <f t="shared" si="44"/>
        <v>0.84065819206922388</v>
      </c>
      <c r="DA38">
        <f t="shared" si="45"/>
        <v>0.16087031069360216</v>
      </c>
      <c r="DB38">
        <v>6</v>
      </c>
      <c r="DC38">
        <v>0.5</v>
      </c>
      <c r="DD38" t="s">
        <v>422</v>
      </c>
      <c r="DE38">
        <v>2</v>
      </c>
      <c r="DF38">
        <v>1689003444.5999999</v>
      </c>
      <c r="DG38">
        <v>8.0968499999999999</v>
      </c>
      <c r="DH38">
        <v>10.062799999999999</v>
      </c>
      <c r="DI38">
        <v>29.3384</v>
      </c>
      <c r="DJ38">
        <v>21.918800000000001</v>
      </c>
      <c r="DK38">
        <v>8.1399500000000007</v>
      </c>
      <c r="DL38">
        <v>29.298100000000002</v>
      </c>
      <c r="DM38">
        <v>499.99599999999998</v>
      </c>
      <c r="DN38">
        <v>99.098799999999997</v>
      </c>
      <c r="DO38">
        <v>9.9739099999999997E-2</v>
      </c>
      <c r="DP38">
        <v>30.704499999999999</v>
      </c>
      <c r="DQ38">
        <v>30.005500000000001</v>
      </c>
      <c r="DR38">
        <v>999.9</v>
      </c>
      <c r="DS38">
        <v>0</v>
      </c>
      <c r="DT38">
        <v>0</v>
      </c>
      <c r="DU38">
        <v>10000.6</v>
      </c>
      <c r="DV38">
        <v>0</v>
      </c>
      <c r="DW38">
        <v>1958.22</v>
      </c>
      <c r="DX38">
        <v>-1.9659500000000001</v>
      </c>
      <c r="DY38">
        <v>8.3415700000000008</v>
      </c>
      <c r="DZ38">
        <v>10.2883</v>
      </c>
      <c r="EA38">
        <v>7.4196</v>
      </c>
      <c r="EB38">
        <v>10.062799999999999</v>
      </c>
      <c r="EC38">
        <v>21.918800000000001</v>
      </c>
      <c r="ED38">
        <v>2.9074</v>
      </c>
      <c r="EE38">
        <v>2.1721200000000001</v>
      </c>
      <c r="EF38">
        <v>23.506900000000002</v>
      </c>
      <c r="EG38">
        <v>18.758199999999999</v>
      </c>
      <c r="EH38">
        <v>1799.93</v>
      </c>
      <c r="EI38">
        <v>0.97799999999999998</v>
      </c>
      <c r="EJ38">
        <v>2.2000200000000001E-2</v>
      </c>
      <c r="EK38">
        <v>0</v>
      </c>
      <c r="EL38">
        <v>754.68600000000004</v>
      </c>
      <c r="EM38">
        <v>5.0005300000000004</v>
      </c>
      <c r="EN38">
        <v>16264.3</v>
      </c>
      <c r="EO38">
        <v>16034.7</v>
      </c>
      <c r="EP38">
        <v>49.311999999999998</v>
      </c>
      <c r="EQ38">
        <v>50.875</v>
      </c>
      <c r="ER38">
        <v>49.936999999999998</v>
      </c>
      <c r="ES38">
        <v>50.061999999999998</v>
      </c>
      <c r="ET38">
        <v>50.625</v>
      </c>
      <c r="EU38">
        <v>1755.44</v>
      </c>
      <c r="EV38">
        <v>39.49</v>
      </c>
      <c r="EW38">
        <v>0</v>
      </c>
      <c r="EX38">
        <v>109.7999999523163</v>
      </c>
      <c r="EY38">
        <v>0</v>
      </c>
      <c r="EZ38">
        <v>754.53208000000018</v>
      </c>
      <c r="FA38">
        <v>-0.76338462832569098</v>
      </c>
      <c r="FB38">
        <v>14.553846270647741</v>
      </c>
      <c r="FC38">
        <v>16266.352000000001</v>
      </c>
      <c r="FD38">
        <v>15</v>
      </c>
      <c r="FE38">
        <v>1689003411.5999999</v>
      </c>
      <c r="FF38" t="s">
        <v>534</v>
      </c>
      <c r="FG38">
        <v>1689003400.5999999</v>
      </c>
      <c r="FH38">
        <v>1689003411.5999999</v>
      </c>
      <c r="FI38">
        <v>25</v>
      </c>
      <c r="FJ38">
        <v>-2.5000000000000001E-2</v>
      </c>
      <c r="FK38">
        <v>-4.0000000000000001E-3</v>
      </c>
      <c r="FL38">
        <v>-4.3999999999999997E-2</v>
      </c>
      <c r="FM38">
        <v>2.8000000000000001E-2</v>
      </c>
      <c r="FN38">
        <v>10</v>
      </c>
      <c r="FO38">
        <v>21</v>
      </c>
      <c r="FP38">
        <v>0.25</v>
      </c>
      <c r="FQ38">
        <v>0.01</v>
      </c>
      <c r="FR38">
        <v>1.573711188677386</v>
      </c>
      <c r="FS38">
        <v>-0.26869022283638178</v>
      </c>
      <c r="FT38">
        <v>2.7241481279785491E-2</v>
      </c>
      <c r="FU38">
        <v>1</v>
      </c>
      <c r="FV38">
        <v>0.49245684511948767</v>
      </c>
      <c r="FW38">
        <v>4.1278263079196013E-2</v>
      </c>
      <c r="FX38">
        <v>3.6627264145434259E-3</v>
      </c>
      <c r="FY38">
        <v>1</v>
      </c>
      <c r="FZ38">
        <v>2</v>
      </c>
      <c r="GA38">
        <v>2</v>
      </c>
      <c r="GB38" t="s">
        <v>424</v>
      </c>
      <c r="GC38">
        <v>3.11463</v>
      </c>
      <c r="GD38">
        <v>2.7670499999999998</v>
      </c>
      <c r="GE38">
        <v>2.2008700000000002E-3</v>
      </c>
      <c r="GF38">
        <v>2.7228600000000001E-3</v>
      </c>
      <c r="GG38">
        <v>0.123725</v>
      </c>
      <c r="GH38">
        <v>0.10115</v>
      </c>
      <c r="GI38">
        <v>23983.8</v>
      </c>
      <c r="GJ38">
        <v>24816.799999999999</v>
      </c>
      <c r="GK38">
        <v>23890</v>
      </c>
      <c r="GL38">
        <v>25187.9</v>
      </c>
      <c r="GM38">
        <v>30159.599999999999</v>
      </c>
      <c r="GN38">
        <v>31750.7</v>
      </c>
      <c r="GO38">
        <v>38064.800000000003</v>
      </c>
      <c r="GP38">
        <v>39180</v>
      </c>
      <c r="GQ38">
        <v>2.1635300000000002</v>
      </c>
      <c r="GR38">
        <v>1.7810999999999999</v>
      </c>
      <c r="GS38">
        <v>4.59701E-2</v>
      </c>
      <c r="GT38">
        <v>0</v>
      </c>
      <c r="GU38">
        <v>29.256900000000002</v>
      </c>
      <c r="GV38">
        <v>999.9</v>
      </c>
      <c r="GW38">
        <v>33.700000000000003</v>
      </c>
      <c r="GX38">
        <v>41.9</v>
      </c>
      <c r="GY38">
        <v>27.886800000000001</v>
      </c>
      <c r="GZ38">
        <v>60.918900000000001</v>
      </c>
      <c r="HA38">
        <v>28.5457</v>
      </c>
      <c r="HB38">
        <v>1</v>
      </c>
      <c r="HC38">
        <v>0.35372199999999998</v>
      </c>
      <c r="HD38">
        <v>1.4426600000000001</v>
      </c>
      <c r="HE38">
        <v>20.314499999999999</v>
      </c>
      <c r="HF38">
        <v>5.2493400000000001</v>
      </c>
      <c r="HG38">
        <v>12.0099</v>
      </c>
      <c r="HH38">
        <v>4.9785500000000003</v>
      </c>
      <c r="HI38">
        <v>3.2922500000000001</v>
      </c>
      <c r="HJ38">
        <v>9999</v>
      </c>
      <c r="HK38">
        <v>9999</v>
      </c>
      <c r="HL38">
        <v>9999</v>
      </c>
      <c r="HM38">
        <v>232.4</v>
      </c>
      <c r="HN38">
        <v>1.87561</v>
      </c>
      <c r="HO38">
        <v>1.8766799999999999</v>
      </c>
      <c r="HP38">
        <v>1.88276</v>
      </c>
      <c r="HQ38">
        <v>1.88598</v>
      </c>
      <c r="HR38">
        <v>1.87677</v>
      </c>
      <c r="HS38">
        <v>1.88317</v>
      </c>
      <c r="HT38">
        <v>1.8821600000000001</v>
      </c>
      <c r="HU38">
        <v>1.88568</v>
      </c>
      <c r="HV38">
        <v>0</v>
      </c>
      <c r="HW38">
        <v>0</v>
      </c>
      <c r="HX38">
        <v>0</v>
      </c>
      <c r="HY38">
        <v>0</v>
      </c>
      <c r="HZ38" t="s">
        <v>425</v>
      </c>
      <c r="IA38" t="s">
        <v>426</v>
      </c>
      <c r="IB38" t="s">
        <v>427</v>
      </c>
      <c r="IC38" t="s">
        <v>427</v>
      </c>
      <c r="ID38" t="s">
        <v>427</v>
      </c>
      <c r="IE38" t="s">
        <v>427</v>
      </c>
      <c r="IF38">
        <v>0</v>
      </c>
      <c r="IG38">
        <v>100</v>
      </c>
      <c r="IH38">
        <v>100</v>
      </c>
      <c r="II38">
        <v>-4.2999999999999997E-2</v>
      </c>
      <c r="IJ38">
        <v>4.0300000000000002E-2</v>
      </c>
      <c r="IK38">
        <v>-3.9656410710908599E-2</v>
      </c>
      <c r="IL38">
        <v>-4.2852564239613137E-4</v>
      </c>
      <c r="IM38">
        <v>6.4980710991155998E-7</v>
      </c>
      <c r="IN38">
        <v>-2.7237938963984961E-10</v>
      </c>
      <c r="IO38">
        <v>-2.0932721090483709E-2</v>
      </c>
      <c r="IP38">
        <v>6.6907473102813496E-3</v>
      </c>
      <c r="IQ38">
        <v>-3.3673306238274028E-4</v>
      </c>
      <c r="IR38">
        <v>6.1311374003140313E-6</v>
      </c>
      <c r="IS38">
        <v>3</v>
      </c>
      <c r="IT38">
        <v>2101</v>
      </c>
      <c r="IU38">
        <v>1</v>
      </c>
      <c r="IV38">
        <v>32</v>
      </c>
      <c r="IW38">
        <v>0.7</v>
      </c>
      <c r="IX38">
        <v>0.6</v>
      </c>
      <c r="IY38">
        <v>0.169678</v>
      </c>
      <c r="IZ38">
        <v>2.7587899999999999</v>
      </c>
      <c r="JA38">
        <v>1.6015600000000001</v>
      </c>
      <c r="JB38">
        <v>2.3315399999999999</v>
      </c>
      <c r="JC38">
        <v>1.5502899999999999</v>
      </c>
      <c r="JD38">
        <v>2.4072300000000002</v>
      </c>
      <c r="JE38">
        <v>47.301900000000003</v>
      </c>
      <c r="JF38">
        <v>24.052499999999998</v>
      </c>
      <c r="JG38">
        <v>18</v>
      </c>
      <c r="JH38">
        <v>590.62800000000004</v>
      </c>
      <c r="JI38">
        <v>400.15</v>
      </c>
      <c r="JJ38">
        <v>28.180700000000002</v>
      </c>
      <c r="JK38">
        <v>31.935300000000002</v>
      </c>
      <c r="JL38">
        <v>30</v>
      </c>
      <c r="JM38">
        <v>32.099699999999999</v>
      </c>
      <c r="JN38">
        <v>32.095100000000002</v>
      </c>
      <c r="JO38">
        <v>3.3941699999999999</v>
      </c>
      <c r="JP38">
        <v>24.570399999999999</v>
      </c>
      <c r="JQ38">
        <v>2.9025799999999999</v>
      </c>
      <c r="JR38">
        <v>28.187899999999999</v>
      </c>
      <c r="JS38">
        <v>10</v>
      </c>
      <c r="JT38">
        <v>21.8231</v>
      </c>
      <c r="JU38">
        <v>99.299599999999998</v>
      </c>
      <c r="JV38">
        <v>99.170100000000005</v>
      </c>
    </row>
    <row r="39" spans="1:282" x14ac:dyDescent="0.25">
      <c r="A39">
        <v>23</v>
      </c>
      <c r="B39">
        <v>1689003634.0999999</v>
      </c>
      <c r="C39">
        <v>3811.5</v>
      </c>
      <c r="D39" t="s">
        <v>535</v>
      </c>
      <c r="E39" t="s">
        <v>536</v>
      </c>
      <c r="F39" t="s">
        <v>414</v>
      </c>
      <c r="G39" t="s">
        <v>415</v>
      </c>
      <c r="H39" t="s">
        <v>418</v>
      </c>
      <c r="I39" t="s">
        <v>501</v>
      </c>
      <c r="J39" t="s">
        <v>416</v>
      </c>
      <c r="K39">
        <v>1689003634.0999999</v>
      </c>
      <c r="L39">
        <f t="shared" si="0"/>
        <v>5.9153981572180837E-3</v>
      </c>
      <c r="M39">
        <f t="shared" si="1"/>
        <v>5.9153981572180836</v>
      </c>
      <c r="N39">
        <f t="shared" si="2"/>
        <v>45.005994958031778</v>
      </c>
      <c r="O39">
        <f t="shared" si="3"/>
        <v>343.59199999999998</v>
      </c>
      <c r="P39">
        <f t="shared" si="4"/>
        <v>164.6486385804611</v>
      </c>
      <c r="Q39">
        <f t="shared" si="5"/>
        <v>16.332004442527158</v>
      </c>
      <c r="R39">
        <f t="shared" si="6"/>
        <v>34.081946372575196</v>
      </c>
      <c r="S39">
        <f t="shared" si="7"/>
        <v>0.4459522104249839</v>
      </c>
      <c r="T39">
        <f t="shared" si="8"/>
        <v>2.9151337124621128</v>
      </c>
      <c r="U39">
        <f t="shared" si="9"/>
        <v>0.41122549368128014</v>
      </c>
      <c r="V39">
        <f t="shared" si="10"/>
        <v>0.25991027248801041</v>
      </c>
      <c r="W39">
        <f t="shared" si="11"/>
        <v>289.57923832679143</v>
      </c>
      <c r="X39">
        <f t="shared" si="12"/>
        <v>30.916944825523895</v>
      </c>
      <c r="Y39">
        <f t="shared" si="13"/>
        <v>30.0258</v>
      </c>
      <c r="Z39">
        <f t="shared" si="14"/>
        <v>4.2667675429518424</v>
      </c>
      <c r="AA39">
        <f t="shared" si="15"/>
        <v>65.021807755992043</v>
      </c>
      <c r="AB39">
        <f t="shared" si="16"/>
        <v>2.8913788877919</v>
      </c>
      <c r="AC39">
        <f t="shared" si="17"/>
        <v>4.4467832986778912</v>
      </c>
      <c r="AD39">
        <f t="shared" si="18"/>
        <v>1.3753886551599424</v>
      </c>
      <c r="AE39">
        <f t="shared" si="19"/>
        <v>-260.8690587333175</v>
      </c>
      <c r="AF39">
        <f t="shared" si="20"/>
        <v>113.39143690156457</v>
      </c>
      <c r="AG39">
        <f t="shared" si="21"/>
        <v>8.6820557593155261</v>
      </c>
      <c r="AH39">
        <f t="shared" si="22"/>
        <v>150.78367225435403</v>
      </c>
      <c r="AI39">
        <v>0</v>
      </c>
      <c r="AJ39">
        <v>0</v>
      </c>
      <c r="AK39">
        <f t="shared" si="23"/>
        <v>1</v>
      </c>
      <c r="AL39">
        <f t="shared" si="24"/>
        <v>0</v>
      </c>
      <c r="AM39">
        <f t="shared" si="25"/>
        <v>51794.98265024861</v>
      </c>
      <c r="AN39" t="s">
        <v>419</v>
      </c>
      <c r="AO39">
        <v>9967.0300000000007</v>
      </c>
      <c r="AP39">
        <v>178.94153846153841</v>
      </c>
      <c r="AQ39">
        <v>603.15</v>
      </c>
      <c r="AR39">
        <f t="shared" si="26"/>
        <v>0.7033216638290003</v>
      </c>
      <c r="AS39">
        <v>-3.2649104154664181</v>
      </c>
      <c r="AT39" t="s">
        <v>537</v>
      </c>
      <c r="AU39">
        <v>8049.83</v>
      </c>
      <c r="AV39">
        <v>700.76907692307702</v>
      </c>
      <c r="AW39">
        <v>1135.1857777912171</v>
      </c>
      <c r="AX39">
        <f t="shared" si="27"/>
        <v>0.38268335400871967</v>
      </c>
      <c r="AY39">
        <v>0.5</v>
      </c>
      <c r="AZ39">
        <f t="shared" si="28"/>
        <v>1513.2518996511872</v>
      </c>
      <c r="BA39">
        <f t="shared" si="29"/>
        <v>45.005994958031778</v>
      </c>
      <c r="BB39">
        <f t="shared" si="30"/>
        <v>289.54815620929139</v>
      </c>
      <c r="BC39">
        <f t="shared" si="31"/>
        <v>3.1898790534890392E-2</v>
      </c>
      <c r="BD39">
        <f t="shared" si="32"/>
        <v>-0.46867727573756562</v>
      </c>
      <c r="BE39">
        <f t="shared" si="33"/>
        <v>207.84109305166379</v>
      </c>
      <c r="BF39" t="s">
        <v>538</v>
      </c>
      <c r="BG39">
        <v>547.83000000000004</v>
      </c>
      <c r="BH39">
        <f t="shared" si="34"/>
        <v>547.83000000000004</v>
      </c>
      <c r="BI39">
        <f t="shared" si="35"/>
        <v>0.51740938732870845</v>
      </c>
      <c r="BJ39">
        <f t="shared" si="36"/>
        <v>0.73961424624405225</v>
      </c>
      <c r="BK39">
        <f t="shared" si="37"/>
        <v>-9.6174218689663373</v>
      </c>
      <c r="BL39">
        <f t="shared" si="38"/>
        <v>0.4542947115400805</v>
      </c>
      <c r="BM39">
        <f t="shared" si="39"/>
        <v>-1.2541847370552255</v>
      </c>
      <c r="BN39">
        <f t="shared" si="40"/>
        <v>0.57819742032417887</v>
      </c>
      <c r="BO39">
        <f t="shared" si="41"/>
        <v>0.42180257967582113</v>
      </c>
      <c r="BP39">
        <v>6081</v>
      </c>
      <c r="BQ39">
        <v>290.00000000000011</v>
      </c>
      <c r="BR39">
        <v>956.79</v>
      </c>
      <c r="BS39">
        <v>295</v>
      </c>
      <c r="BT39">
        <v>8049.83</v>
      </c>
      <c r="BU39">
        <v>960.98</v>
      </c>
      <c r="BV39">
        <v>-4.1900000000000004</v>
      </c>
      <c r="BW39">
        <v>300.00000000000011</v>
      </c>
      <c r="BX39">
        <v>19.3</v>
      </c>
      <c r="BY39">
        <v>1135.1857777912171</v>
      </c>
      <c r="BZ39">
        <v>5.7424483848541463</v>
      </c>
      <c r="CA39">
        <v>-140.2319301583517</v>
      </c>
      <c r="CB39">
        <v>4.2464906186246996</v>
      </c>
      <c r="CC39">
        <v>0.97496691217788622</v>
      </c>
      <c r="CD39">
        <v>-4.1549319243604074E-3</v>
      </c>
      <c r="CE39">
        <v>289.99999999999989</v>
      </c>
      <c r="CF39">
        <v>941.69</v>
      </c>
      <c r="CG39">
        <v>615</v>
      </c>
      <c r="CH39">
        <v>8041.5</v>
      </c>
      <c r="CI39">
        <v>960.8</v>
      </c>
      <c r="CJ39">
        <v>-19.11</v>
      </c>
      <c r="CX39">
        <f t="shared" si="42"/>
        <v>1800.08</v>
      </c>
      <c r="CY39">
        <f t="shared" si="43"/>
        <v>1513.2518996511872</v>
      </c>
      <c r="CZ39">
        <f t="shared" si="44"/>
        <v>0.84065813722233862</v>
      </c>
      <c r="DA39">
        <f t="shared" si="45"/>
        <v>0.16087020483911352</v>
      </c>
      <c r="DB39">
        <v>6</v>
      </c>
      <c r="DC39">
        <v>0.5</v>
      </c>
      <c r="DD39" t="s">
        <v>422</v>
      </c>
      <c r="DE39">
        <v>2</v>
      </c>
      <c r="DF39">
        <v>1689003634.0999999</v>
      </c>
      <c r="DG39">
        <v>343.59199999999998</v>
      </c>
      <c r="DH39">
        <v>400.02699999999999</v>
      </c>
      <c r="DI39">
        <v>29.149000000000001</v>
      </c>
      <c r="DJ39">
        <v>22.258800000000001</v>
      </c>
      <c r="DK39">
        <v>344.08699999999999</v>
      </c>
      <c r="DL39">
        <v>29.1038</v>
      </c>
      <c r="DM39">
        <v>500.09899999999999</v>
      </c>
      <c r="DN39">
        <v>99.093299999999999</v>
      </c>
      <c r="DO39">
        <v>9.9773100000000003E-2</v>
      </c>
      <c r="DP39">
        <v>30.747299999999999</v>
      </c>
      <c r="DQ39">
        <v>30.0258</v>
      </c>
      <c r="DR39">
        <v>999.9</v>
      </c>
      <c r="DS39">
        <v>0</v>
      </c>
      <c r="DT39">
        <v>0</v>
      </c>
      <c r="DU39">
        <v>10008.799999999999</v>
      </c>
      <c r="DV39">
        <v>0</v>
      </c>
      <c r="DW39">
        <v>1997.67</v>
      </c>
      <c r="DX39">
        <v>-56.435499999999998</v>
      </c>
      <c r="DY39">
        <v>353.90800000000002</v>
      </c>
      <c r="DZ39">
        <v>409.13400000000001</v>
      </c>
      <c r="EA39">
        <v>6.8902799999999997</v>
      </c>
      <c r="EB39">
        <v>400.02699999999999</v>
      </c>
      <c r="EC39">
        <v>22.258800000000001</v>
      </c>
      <c r="ED39">
        <v>2.8884699999999999</v>
      </c>
      <c r="EE39">
        <v>2.2056900000000002</v>
      </c>
      <c r="EF39">
        <v>23.398599999999998</v>
      </c>
      <c r="EG39">
        <v>19.003699999999998</v>
      </c>
      <c r="EH39">
        <v>1800.08</v>
      </c>
      <c r="EI39">
        <v>0.97800299999999996</v>
      </c>
      <c r="EJ39">
        <v>2.1996700000000001E-2</v>
      </c>
      <c r="EK39">
        <v>0</v>
      </c>
      <c r="EL39">
        <v>700.505</v>
      </c>
      <c r="EM39">
        <v>5.0005300000000004</v>
      </c>
      <c r="EN39">
        <v>15358</v>
      </c>
      <c r="EO39">
        <v>16036</v>
      </c>
      <c r="EP39">
        <v>49.375</v>
      </c>
      <c r="EQ39">
        <v>50.936999999999998</v>
      </c>
      <c r="ER39">
        <v>50</v>
      </c>
      <c r="ES39">
        <v>50.125</v>
      </c>
      <c r="ET39">
        <v>50.686999999999998</v>
      </c>
      <c r="EU39">
        <v>1755.59</v>
      </c>
      <c r="EV39">
        <v>39.49</v>
      </c>
      <c r="EW39">
        <v>0</v>
      </c>
      <c r="EX39">
        <v>187.79999995231631</v>
      </c>
      <c r="EY39">
        <v>0</v>
      </c>
      <c r="EZ39">
        <v>700.76907692307702</v>
      </c>
      <c r="FA39">
        <v>0.56553845176503659</v>
      </c>
      <c r="FB39">
        <v>74.591452971219127</v>
      </c>
      <c r="FC39">
        <v>15336.176923076921</v>
      </c>
      <c r="FD39">
        <v>15</v>
      </c>
      <c r="FE39">
        <v>1689003537.5999999</v>
      </c>
      <c r="FF39" t="s">
        <v>539</v>
      </c>
      <c r="FG39">
        <v>1689003534.0999999</v>
      </c>
      <c r="FH39">
        <v>1689003537.5999999</v>
      </c>
      <c r="FI39">
        <v>26</v>
      </c>
      <c r="FJ39">
        <v>-0.374</v>
      </c>
      <c r="FK39">
        <v>6.0000000000000001E-3</v>
      </c>
      <c r="FL39">
        <v>-0.498</v>
      </c>
      <c r="FM39">
        <v>3.4000000000000002E-2</v>
      </c>
      <c r="FN39">
        <v>400</v>
      </c>
      <c r="FO39">
        <v>22</v>
      </c>
      <c r="FP39">
        <v>7.0000000000000007E-2</v>
      </c>
      <c r="FQ39">
        <v>0.02</v>
      </c>
      <c r="FR39">
        <v>44.568872634031337</v>
      </c>
      <c r="FS39">
        <v>2.7084267341288548</v>
      </c>
      <c r="FT39">
        <v>0.20336065103831019</v>
      </c>
      <c r="FU39">
        <v>0</v>
      </c>
      <c r="FV39">
        <v>0.44807892864865728</v>
      </c>
      <c r="FW39">
        <v>-1.148980464340426E-2</v>
      </c>
      <c r="FX39">
        <v>9.4573728686743832E-4</v>
      </c>
      <c r="FY39">
        <v>1</v>
      </c>
      <c r="FZ39">
        <v>1</v>
      </c>
      <c r="GA39">
        <v>2</v>
      </c>
      <c r="GB39" t="s">
        <v>463</v>
      </c>
      <c r="GC39">
        <v>3.1147399999999998</v>
      </c>
      <c r="GD39">
        <v>2.76715</v>
      </c>
      <c r="GE39">
        <v>7.9326400000000005E-2</v>
      </c>
      <c r="GF39">
        <v>8.9258699999999996E-2</v>
      </c>
      <c r="GG39">
        <v>0.123167</v>
      </c>
      <c r="GH39">
        <v>0.102268</v>
      </c>
      <c r="GI39">
        <v>22134.6</v>
      </c>
      <c r="GJ39">
        <v>22667.200000000001</v>
      </c>
      <c r="GK39">
        <v>23892.9</v>
      </c>
      <c r="GL39">
        <v>25190.1</v>
      </c>
      <c r="GM39">
        <v>30182.5</v>
      </c>
      <c r="GN39">
        <v>31714.6</v>
      </c>
      <c r="GO39">
        <v>38069.599999999999</v>
      </c>
      <c r="GP39">
        <v>39184.300000000003</v>
      </c>
      <c r="GQ39">
        <v>2.16445</v>
      </c>
      <c r="GR39">
        <v>1.78163</v>
      </c>
      <c r="GS39">
        <v>4.5828500000000001E-2</v>
      </c>
      <c r="GT39">
        <v>0</v>
      </c>
      <c r="GU39">
        <v>29.279599999999999</v>
      </c>
      <c r="GV39">
        <v>999.9</v>
      </c>
      <c r="GW39">
        <v>33.299999999999997</v>
      </c>
      <c r="GX39">
        <v>42.2</v>
      </c>
      <c r="GY39">
        <v>27.9955</v>
      </c>
      <c r="GZ39">
        <v>60.998899999999999</v>
      </c>
      <c r="HA39">
        <v>27.828499999999998</v>
      </c>
      <c r="HB39">
        <v>1</v>
      </c>
      <c r="HC39">
        <v>0.34963899999999998</v>
      </c>
      <c r="HD39">
        <v>1.2919</v>
      </c>
      <c r="HE39">
        <v>20.316299999999998</v>
      </c>
      <c r="HF39">
        <v>5.2515799999999997</v>
      </c>
      <c r="HG39">
        <v>12.0099</v>
      </c>
      <c r="HH39">
        <v>4.9791499999999997</v>
      </c>
      <c r="HI39">
        <v>3.2930000000000001</v>
      </c>
      <c r="HJ39">
        <v>9999</v>
      </c>
      <c r="HK39">
        <v>9999</v>
      </c>
      <c r="HL39">
        <v>9999</v>
      </c>
      <c r="HM39">
        <v>232.5</v>
      </c>
      <c r="HN39">
        <v>1.87561</v>
      </c>
      <c r="HO39">
        <v>1.8767</v>
      </c>
      <c r="HP39">
        <v>1.8827700000000001</v>
      </c>
      <c r="HQ39">
        <v>1.8859900000000001</v>
      </c>
      <c r="HR39">
        <v>1.87677</v>
      </c>
      <c r="HS39">
        <v>1.8831800000000001</v>
      </c>
      <c r="HT39">
        <v>1.8821699999999999</v>
      </c>
      <c r="HU39">
        <v>1.8856599999999999</v>
      </c>
      <c r="HV39">
        <v>0</v>
      </c>
      <c r="HW39">
        <v>0</v>
      </c>
      <c r="HX39">
        <v>0</v>
      </c>
      <c r="HY39">
        <v>0</v>
      </c>
      <c r="HZ39" t="s">
        <v>425</v>
      </c>
      <c r="IA39" t="s">
        <v>426</v>
      </c>
      <c r="IB39" t="s">
        <v>427</v>
      </c>
      <c r="IC39" t="s">
        <v>427</v>
      </c>
      <c r="ID39" t="s">
        <v>427</v>
      </c>
      <c r="IE39" t="s">
        <v>427</v>
      </c>
      <c r="IF39">
        <v>0</v>
      </c>
      <c r="IG39">
        <v>100</v>
      </c>
      <c r="IH39">
        <v>100</v>
      </c>
      <c r="II39">
        <v>-0.495</v>
      </c>
      <c r="IJ39">
        <v>4.5199999999999997E-2</v>
      </c>
      <c r="IK39">
        <v>-0.41315041757922472</v>
      </c>
      <c r="IL39">
        <v>-4.2852564239613137E-4</v>
      </c>
      <c r="IM39">
        <v>6.4980710991155998E-7</v>
      </c>
      <c r="IN39">
        <v>-2.7237938963984961E-10</v>
      </c>
      <c r="IO39">
        <v>-1.5413890633595559E-2</v>
      </c>
      <c r="IP39">
        <v>6.6907473102813496E-3</v>
      </c>
      <c r="IQ39">
        <v>-3.3673306238274028E-4</v>
      </c>
      <c r="IR39">
        <v>6.1311374003140313E-6</v>
      </c>
      <c r="IS39">
        <v>3</v>
      </c>
      <c r="IT39">
        <v>2101</v>
      </c>
      <c r="IU39">
        <v>1</v>
      </c>
      <c r="IV39">
        <v>32</v>
      </c>
      <c r="IW39">
        <v>1.7</v>
      </c>
      <c r="IX39">
        <v>1.6</v>
      </c>
      <c r="IY39">
        <v>1.01562</v>
      </c>
      <c r="IZ39">
        <v>2.7075200000000001</v>
      </c>
      <c r="JA39">
        <v>1.6015600000000001</v>
      </c>
      <c r="JB39">
        <v>2.3315399999999999</v>
      </c>
      <c r="JC39">
        <v>1.5502899999999999</v>
      </c>
      <c r="JD39">
        <v>2.47437</v>
      </c>
      <c r="JE39">
        <v>47.361699999999999</v>
      </c>
      <c r="JF39">
        <v>24.07</v>
      </c>
      <c r="JG39">
        <v>18</v>
      </c>
      <c r="JH39">
        <v>590.77499999999998</v>
      </c>
      <c r="JI39">
        <v>400.15100000000001</v>
      </c>
      <c r="JJ39">
        <v>28.383299999999998</v>
      </c>
      <c r="JK39">
        <v>31.883400000000002</v>
      </c>
      <c r="JL39">
        <v>30.0002</v>
      </c>
      <c r="JM39">
        <v>32.0458</v>
      </c>
      <c r="JN39">
        <v>32.046599999999998</v>
      </c>
      <c r="JO39">
        <v>20.306100000000001</v>
      </c>
      <c r="JP39">
        <v>23.026299999999999</v>
      </c>
      <c r="JQ39">
        <v>1.5303</v>
      </c>
      <c r="JR39">
        <v>28.356000000000002</v>
      </c>
      <c r="JS39">
        <v>400</v>
      </c>
      <c r="JT39">
        <v>22.3599</v>
      </c>
      <c r="JU39">
        <v>99.311899999999994</v>
      </c>
      <c r="JV39">
        <v>99.180099999999996</v>
      </c>
    </row>
    <row r="40" spans="1:282" x14ac:dyDescent="0.25">
      <c r="A40">
        <v>24</v>
      </c>
      <c r="B40">
        <v>1689003740.0999999</v>
      </c>
      <c r="C40">
        <v>3917.5</v>
      </c>
      <c r="D40" t="s">
        <v>540</v>
      </c>
      <c r="E40" t="s">
        <v>541</v>
      </c>
      <c r="F40" t="s">
        <v>414</v>
      </c>
      <c r="G40" t="s">
        <v>415</v>
      </c>
      <c r="H40" t="s">
        <v>418</v>
      </c>
      <c r="I40" t="s">
        <v>501</v>
      </c>
      <c r="J40" t="s">
        <v>416</v>
      </c>
      <c r="K40">
        <v>1689003740.0999999</v>
      </c>
      <c r="L40">
        <f t="shared" si="0"/>
        <v>5.5087799033131744E-3</v>
      </c>
      <c r="M40">
        <f t="shared" si="1"/>
        <v>5.5087799033131741</v>
      </c>
      <c r="N40">
        <f t="shared" si="2"/>
        <v>48.079941487411112</v>
      </c>
      <c r="O40">
        <f t="shared" si="3"/>
        <v>340.113</v>
      </c>
      <c r="P40">
        <f t="shared" si="4"/>
        <v>137.34267670730605</v>
      </c>
      <c r="Q40">
        <f t="shared" si="5"/>
        <v>13.623668634717101</v>
      </c>
      <c r="R40">
        <f t="shared" si="6"/>
        <v>33.737414483586001</v>
      </c>
      <c r="S40">
        <f t="shared" si="7"/>
        <v>0.41613310467112158</v>
      </c>
      <c r="T40">
        <f t="shared" si="8"/>
        <v>2.9105552767787186</v>
      </c>
      <c r="U40">
        <f t="shared" si="9"/>
        <v>0.38568150271318397</v>
      </c>
      <c r="V40">
        <f t="shared" si="10"/>
        <v>0.24360093628886015</v>
      </c>
      <c r="W40">
        <f t="shared" si="11"/>
        <v>289.57069202619459</v>
      </c>
      <c r="X40">
        <f t="shared" si="12"/>
        <v>30.882581325727646</v>
      </c>
      <c r="Y40">
        <f t="shared" si="13"/>
        <v>29.980499999999999</v>
      </c>
      <c r="Z40">
        <f t="shared" si="14"/>
        <v>4.2556801243431917</v>
      </c>
      <c r="AA40">
        <f t="shared" si="15"/>
        <v>65.513020712270745</v>
      </c>
      <c r="AB40">
        <f t="shared" si="16"/>
        <v>2.8898894333870002</v>
      </c>
      <c r="AC40">
        <f t="shared" si="17"/>
        <v>4.4111680425777058</v>
      </c>
      <c r="AD40">
        <f t="shared" si="18"/>
        <v>1.3657906909561914</v>
      </c>
      <c r="AE40">
        <f t="shared" si="19"/>
        <v>-242.937193736111</v>
      </c>
      <c r="AF40">
        <f t="shared" si="20"/>
        <v>98.243765292748947</v>
      </c>
      <c r="AG40">
        <f t="shared" si="21"/>
        <v>7.527146020345616</v>
      </c>
      <c r="AH40">
        <f t="shared" si="22"/>
        <v>152.40440960317818</v>
      </c>
      <c r="AI40">
        <v>0</v>
      </c>
      <c r="AJ40">
        <v>0</v>
      </c>
      <c r="AK40">
        <f t="shared" si="23"/>
        <v>1</v>
      </c>
      <c r="AL40">
        <f t="shared" si="24"/>
        <v>0</v>
      </c>
      <c r="AM40">
        <f t="shared" si="25"/>
        <v>51689.044017253109</v>
      </c>
      <c r="AN40" t="s">
        <v>419</v>
      </c>
      <c r="AO40">
        <v>9967.0300000000007</v>
      </c>
      <c r="AP40">
        <v>178.94153846153841</v>
      </c>
      <c r="AQ40">
        <v>603.15</v>
      </c>
      <c r="AR40">
        <f t="shared" si="26"/>
        <v>0.7033216638290003</v>
      </c>
      <c r="AS40">
        <v>-3.2649104154664181</v>
      </c>
      <c r="AT40" t="s">
        <v>542</v>
      </c>
      <c r="AU40">
        <v>8049.69</v>
      </c>
      <c r="AV40">
        <v>708.79291999999998</v>
      </c>
      <c r="AW40">
        <v>1116.643494352478</v>
      </c>
      <c r="AX40">
        <f t="shared" si="27"/>
        <v>0.36524689967318835</v>
      </c>
      <c r="AY40">
        <v>0.5</v>
      </c>
      <c r="AZ40">
        <f t="shared" si="28"/>
        <v>1513.2096062311887</v>
      </c>
      <c r="BA40">
        <f t="shared" si="29"/>
        <v>48.079941487411112</v>
      </c>
      <c r="BB40">
        <f t="shared" si="30"/>
        <v>276.34755861581391</v>
      </c>
      <c r="BC40">
        <f t="shared" si="31"/>
        <v>3.393109037336698E-2</v>
      </c>
      <c r="BD40">
        <f t="shared" si="32"/>
        <v>-0.45985446290558823</v>
      </c>
      <c r="BE40">
        <f t="shared" si="33"/>
        <v>207.21111387136986</v>
      </c>
      <c r="BF40" t="s">
        <v>543</v>
      </c>
      <c r="BG40">
        <v>550.67999999999995</v>
      </c>
      <c r="BH40">
        <f t="shared" si="34"/>
        <v>550.67999999999995</v>
      </c>
      <c r="BI40">
        <f t="shared" si="35"/>
        <v>0.50684349769186654</v>
      </c>
      <c r="BJ40">
        <f t="shared" si="36"/>
        <v>0.72063053257366383</v>
      </c>
      <c r="BK40">
        <f t="shared" si="37"/>
        <v>-9.7864207042591538</v>
      </c>
      <c r="BL40">
        <f t="shared" si="38"/>
        <v>0.43494691654446488</v>
      </c>
      <c r="BM40">
        <f t="shared" si="39"/>
        <v>-1.2104744268660028</v>
      </c>
      <c r="BN40">
        <f t="shared" si="40"/>
        <v>0.55987695486245148</v>
      </c>
      <c r="BO40">
        <f t="shared" si="41"/>
        <v>0.44012304513754852</v>
      </c>
      <c r="BP40">
        <v>6083</v>
      </c>
      <c r="BQ40">
        <v>290.00000000000011</v>
      </c>
      <c r="BR40">
        <v>974.65</v>
      </c>
      <c r="BS40">
        <v>285</v>
      </c>
      <c r="BT40">
        <v>8049.69</v>
      </c>
      <c r="BU40">
        <v>977.21</v>
      </c>
      <c r="BV40">
        <v>-2.56</v>
      </c>
      <c r="BW40">
        <v>300.00000000000011</v>
      </c>
      <c r="BX40">
        <v>19.3</v>
      </c>
      <c r="BY40">
        <v>1116.643494352478</v>
      </c>
      <c r="BZ40">
        <v>4.3723423105893211</v>
      </c>
      <c r="CA40">
        <v>-112.23798689966399</v>
      </c>
      <c r="CB40">
        <v>3.2332525276885771</v>
      </c>
      <c r="CC40">
        <v>0.97729184650308953</v>
      </c>
      <c r="CD40">
        <v>-4.1547136818687351E-3</v>
      </c>
      <c r="CE40">
        <v>289.99999999999989</v>
      </c>
      <c r="CF40">
        <v>968.28</v>
      </c>
      <c r="CG40">
        <v>665</v>
      </c>
      <c r="CH40">
        <v>8039.73</v>
      </c>
      <c r="CI40">
        <v>977.04</v>
      </c>
      <c r="CJ40">
        <v>-8.76</v>
      </c>
      <c r="CX40">
        <f t="shared" si="42"/>
        <v>1800.03</v>
      </c>
      <c r="CY40">
        <f t="shared" si="43"/>
        <v>1513.2096062311887</v>
      </c>
      <c r="CZ40">
        <f t="shared" si="44"/>
        <v>0.84065799249522988</v>
      </c>
      <c r="DA40">
        <f t="shared" si="45"/>
        <v>0.16086992551579396</v>
      </c>
      <c r="DB40">
        <v>6</v>
      </c>
      <c r="DC40">
        <v>0.5</v>
      </c>
      <c r="DD40" t="s">
        <v>422</v>
      </c>
      <c r="DE40">
        <v>2</v>
      </c>
      <c r="DF40">
        <v>1689003740.0999999</v>
      </c>
      <c r="DG40">
        <v>340.113</v>
      </c>
      <c r="DH40">
        <v>400.04</v>
      </c>
      <c r="DI40">
        <v>29.133500000000002</v>
      </c>
      <c r="DJ40">
        <v>22.717400000000001</v>
      </c>
      <c r="DK40">
        <v>340.63799999999998</v>
      </c>
      <c r="DL40">
        <v>29.087399999999999</v>
      </c>
      <c r="DM40">
        <v>500.14400000000001</v>
      </c>
      <c r="DN40">
        <v>99.0946</v>
      </c>
      <c r="DO40">
        <v>0.100122</v>
      </c>
      <c r="DP40">
        <v>30.6066</v>
      </c>
      <c r="DQ40">
        <v>29.980499999999999</v>
      </c>
      <c r="DR40">
        <v>999.9</v>
      </c>
      <c r="DS40">
        <v>0</v>
      </c>
      <c r="DT40">
        <v>0</v>
      </c>
      <c r="DU40">
        <v>9982.5</v>
      </c>
      <c r="DV40">
        <v>0</v>
      </c>
      <c r="DW40">
        <v>2088.15</v>
      </c>
      <c r="DX40">
        <v>-59.927399999999999</v>
      </c>
      <c r="DY40">
        <v>350.31900000000002</v>
      </c>
      <c r="DZ40">
        <v>409.339</v>
      </c>
      <c r="EA40">
        <v>6.4160599999999999</v>
      </c>
      <c r="EB40">
        <v>400.04</v>
      </c>
      <c r="EC40">
        <v>22.717400000000001</v>
      </c>
      <c r="ED40">
        <v>2.8869699999999998</v>
      </c>
      <c r="EE40">
        <v>2.2511700000000001</v>
      </c>
      <c r="EF40">
        <v>23.39</v>
      </c>
      <c r="EG40">
        <v>19.331199999999999</v>
      </c>
      <c r="EH40">
        <v>1800.03</v>
      </c>
      <c r="EI40">
        <v>0.97800299999999996</v>
      </c>
      <c r="EJ40">
        <v>2.1996700000000001E-2</v>
      </c>
      <c r="EK40">
        <v>0</v>
      </c>
      <c r="EL40">
        <v>709.577</v>
      </c>
      <c r="EM40">
        <v>5.0005300000000004</v>
      </c>
      <c r="EN40">
        <v>15607</v>
      </c>
      <c r="EO40">
        <v>16035.6</v>
      </c>
      <c r="EP40">
        <v>49.436999999999998</v>
      </c>
      <c r="EQ40">
        <v>51.061999999999998</v>
      </c>
      <c r="ER40">
        <v>50.125</v>
      </c>
      <c r="ES40">
        <v>50.25</v>
      </c>
      <c r="ET40">
        <v>50.811999999999998</v>
      </c>
      <c r="EU40">
        <v>1755.54</v>
      </c>
      <c r="EV40">
        <v>39.479999999999997</v>
      </c>
      <c r="EW40">
        <v>0</v>
      </c>
      <c r="EX40">
        <v>103.7999999523163</v>
      </c>
      <c r="EY40">
        <v>0</v>
      </c>
      <c r="EZ40">
        <v>708.79291999999998</v>
      </c>
      <c r="FA40">
        <v>5.3801538495220163</v>
      </c>
      <c r="FB40">
        <v>216.22307691510949</v>
      </c>
      <c r="FC40">
        <v>15583.464</v>
      </c>
      <c r="FD40">
        <v>15</v>
      </c>
      <c r="FE40">
        <v>1689003701.5999999</v>
      </c>
      <c r="FF40" t="s">
        <v>544</v>
      </c>
      <c r="FG40">
        <v>1689003700.0999999</v>
      </c>
      <c r="FH40">
        <v>1689003701.5999999</v>
      </c>
      <c r="FI40">
        <v>27</v>
      </c>
      <c r="FJ40">
        <v>-3.1E-2</v>
      </c>
      <c r="FK40">
        <v>1E-3</v>
      </c>
      <c r="FL40">
        <v>-0.52900000000000003</v>
      </c>
      <c r="FM40">
        <v>3.5000000000000003E-2</v>
      </c>
      <c r="FN40">
        <v>400</v>
      </c>
      <c r="FO40">
        <v>22</v>
      </c>
      <c r="FP40">
        <v>0.02</v>
      </c>
      <c r="FQ40">
        <v>0.01</v>
      </c>
      <c r="FR40">
        <v>48.131942703082828</v>
      </c>
      <c r="FS40">
        <v>0.42081004900591878</v>
      </c>
      <c r="FT40">
        <v>5.3095076027921878E-2</v>
      </c>
      <c r="FU40">
        <v>1</v>
      </c>
      <c r="FV40">
        <v>0.41902983846000019</v>
      </c>
      <c r="FW40">
        <v>8.3233720173064314E-3</v>
      </c>
      <c r="FX40">
        <v>1.2195941623202331E-3</v>
      </c>
      <c r="FY40">
        <v>1</v>
      </c>
      <c r="FZ40">
        <v>2</v>
      </c>
      <c r="GA40">
        <v>2</v>
      </c>
      <c r="GB40" t="s">
        <v>424</v>
      </c>
      <c r="GC40">
        <v>3.1148500000000001</v>
      </c>
      <c r="GD40">
        <v>2.76728</v>
      </c>
      <c r="GE40">
        <v>7.8696600000000005E-2</v>
      </c>
      <c r="GF40">
        <v>8.9267600000000003E-2</v>
      </c>
      <c r="GG40">
        <v>0.123122</v>
      </c>
      <c r="GH40">
        <v>0.10376100000000001</v>
      </c>
      <c r="GI40">
        <v>22150</v>
      </c>
      <c r="GJ40">
        <v>22667.1</v>
      </c>
      <c r="GK40">
        <v>23893.1</v>
      </c>
      <c r="GL40">
        <v>25190.3</v>
      </c>
      <c r="GM40">
        <v>30184.3</v>
      </c>
      <c r="GN40">
        <v>31662.1</v>
      </c>
      <c r="GO40">
        <v>38070</v>
      </c>
      <c r="GP40">
        <v>39184.699999999997</v>
      </c>
      <c r="GQ40">
        <v>2.1638000000000002</v>
      </c>
      <c r="GR40">
        <v>1.78135</v>
      </c>
      <c r="GS40">
        <v>4.1261300000000001E-2</v>
      </c>
      <c r="GT40">
        <v>0</v>
      </c>
      <c r="GU40">
        <v>29.308700000000002</v>
      </c>
      <c r="GV40">
        <v>999.9</v>
      </c>
      <c r="GW40">
        <v>33.1</v>
      </c>
      <c r="GX40">
        <v>42.3</v>
      </c>
      <c r="GY40">
        <v>27.9742</v>
      </c>
      <c r="GZ40">
        <v>61.378900000000002</v>
      </c>
      <c r="HA40">
        <v>27.892600000000002</v>
      </c>
      <c r="HB40">
        <v>1</v>
      </c>
      <c r="HC40">
        <v>0.35130299999999998</v>
      </c>
      <c r="HD40">
        <v>1.7599899999999999</v>
      </c>
      <c r="HE40">
        <v>20.311900000000001</v>
      </c>
      <c r="HF40">
        <v>5.2527799999999996</v>
      </c>
      <c r="HG40">
        <v>12.0099</v>
      </c>
      <c r="HH40">
        <v>4.9795999999999996</v>
      </c>
      <c r="HI40">
        <v>3.2930000000000001</v>
      </c>
      <c r="HJ40">
        <v>9999</v>
      </c>
      <c r="HK40">
        <v>9999</v>
      </c>
      <c r="HL40">
        <v>9999</v>
      </c>
      <c r="HM40">
        <v>232.5</v>
      </c>
      <c r="HN40">
        <v>1.87561</v>
      </c>
      <c r="HO40">
        <v>1.87669</v>
      </c>
      <c r="HP40">
        <v>1.8827499999999999</v>
      </c>
      <c r="HQ40">
        <v>1.8859699999999999</v>
      </c>
      <c r="HR40">
        <v>1.87673</v>
      </c>
      <c r="HS40">
        <v>1.8831100000000001</v>
      </c>
      <c r="HT40">
        <v>1.88212</v>
      </c>
      <c r="HU40">
        <v>1.88564</v>
      </c>
      <c r="HV40">
        <v>0</v>
      </c>
      <c r="HW40">
        <v>0</v>
      </c>
      <c r="HX40">
        <v>0</v>
      </c>
      <c r="HY40">
        <v>0</v>
      </c>
      <c r="HZ40" t="s">
        <v>425</v>
      </c>
      <c r="IA40" t="s">
        <v>426</v>
      </c>
      <c r="IB40" t="s">
        <v>427</v>
      </c>
      <c r="IC40" t="s">
        <v>427</v>
      </c>
      <c r="ID40" t="s">
        <v>427</v>
      </c>
      <c r="IE40" t="s">
        <v>427</v>
      </c>
      <c r="IF40">
        <v>0</v>
      </c>
      <c r="IG40">
        <v>100</v>
      </c>
      <c r="IH40">
        <v>100</v>
      </c>
      <c r="II40">
        <v>-0.52500000000000002</v>
      </c>
      <c r="IJ40">
        <v>4.6100000000000002E-2</v>
      </c>
      <c r="IK40">
        <v>-0.44415191999061931</v>
      </c>
      <c r="IL40">
        <v>-4.2852564239613137E-4</v>
      </c>
      <c r="IM40">
        <v>6.4980710991155998E-7</v>
      </c>
      <c r="IN40">
        <v>-2.7237938963984961E-10</v>
      </c>
      <c r="IO40">
        <v>-1.4549912018016061E-2</v>
      </c>
      <c r="IP40">
        <v>6.6907473102813496E-3</v>
      </c>
      <c r="IQ40">
        <v>-3.3673306238274028E-4</v>
      </c>
      <c r="IR40">
        <v>6.1311374003140313E-6</v>
      </c>
      <c r="IS40">
        <v>3</v>
      </c>
      <c r="IT40">
        <v>2101</v>
      </c>
      <c r="IU40">
        <v>1</v>
      </c>
      <c r="IV40">
        <v>32</v>
      </c>
      <c r="IW40">
        <v>0.7</v>
      </c>
      <c r="IX40">
        <v>0.6</v>
      </c>
      <c r="IY40">
        <v>1.01562</v>
      </c>
      <c r="IZ40">
        <v>2.7111800000000001</v>
      </c>
      <c r="JA40">
        <v>1.6003400000000001</v>
      </c>
      <c r="JB40">
        <v>2.3315399999999999</v>
      </c>
      <c r="JC40">
        <v>1.5502899999999999</v>
      </c>
      <c r="JD40">
        <v>2.4572799999999999</v>
      </c>
      <c r="JE40">
        <v>47.3917</v>
      </c>
      <c r="JF40">
        <v>24.078700000000001</v>
      </c>
      <c r="JG40">
        <v>18</v>
      </c>
      <c r="JH40">
        <v>590.27099999999996</v>
      </c>
      <c r="JI40">
        <v>399.92700000000002</v>
      </c>
      <c r="JJ40">
        <v>27.770199999999999</v>
      </c>
      <c r="JK40">
        <v>31.886199999999999</v>
      </c>
      <c r="JL40">
        <v>30</v>
      </c>
      <c r="JM40">
        <v>32.040199999999999</v>
      </c>
      <c r="JN40">
        <v>32.039099999999998</v>
      </c>
      <c r="JO40">
        <v>20.318300000000001</v>
      </c>
      <c r="JP40">
        <v>21.446100000000001</v>
      </c>
      <c r="JQ40">
        <v>1.4111199999999999</v>
      </c>
      <c r="JR40">
        <v>27.789400000000001</v>
      </c>
      <c r="JS40">
        <v>400</v>
      </c>
      <c r="JT40">
        <v>22.654</v>
      </c>
      <c r="JU40">
        <v>99.313000000000002</v>
      </c>
      <c r="JV40">
        <v>99.180899999999994</v>
      </c>
    </row>
    <row r="41" spans="1:282" x14ac:dyDescent="0.25">
      <c r="A41">
        <v>25</v>
      </c>
      <c r="B41">
        <v>1689003877.5999999</v>
      </c>
      <c r="C41">
        <v>4055</v>
      </c>
      <c r="D41" t="s">
        <v>545</v>
      </c>
      <c r="E41" t="s">
        <v>546</v>
      </c>
      <c r="F41" t="s">
        <v>414</v>
      </c>
      <c r="G41" t="s">
        <v>415</v>
      </c>
      <c r="H41" t="s">
        <v>418</v>
      </c>
      <c r="I41" t="s">
        <v>501</v>
      </c>
      <c r="J41" t="s">
        <v>416</v>
      </c>
      <c r="K41">
        <v>1689003877.5999999</v>
      </c>
      <c r="L41">
        <f t="shared" si="0"/>
        <v>5.0716552026093091E-3</v>
      </c>
      <c r="M41">
        <f t="shared" si="1"/>
        <v>5.0716552026093087</v>
      </c>
      <c r="N41">
        <f t="shared" si="2"/>
        <v>47.313320242109604</v>
      </c>
      <c r="O41">
        <f t="shared" si="3"/>
        <v>341.25</v>
      </c>
      <c r="P41">
        <f t="shared" si="4"/>
        <v>119.6916468200405</v>
      </c>
      <c r="Q41">
        <f t="shared" si="5"/>
        <v>11.872940844715204</v>
      </c>
      <c r="R41">
        <f t="shared" si="6"/>
        <v>33.850658512125001</v>
      </c>
      <c r="S41">
        <f t="shared" si="7"/>
        <v>0.37120768937635529</v>
      </c>
      <c r="T41">
        <f t="shared" si="8"/>
        <v>2.9179157338231549</v>
      </c>
      <c r="U41">
        <f t="shared" si="9"/>
        <v>0.34682656656796002</v>
      </c>
      <c r="V41">
        <f t="shared" si="10"/>
        <v>0.2188235654257969</v>
      </c>
      <c r="W41">
        <f t="shared" si="11"/>
        <v>289.57706332695813</v>
      </c>
      <c r="X41">
        <f t="shared" si="12"/>
        <v>30.950501698290129</v>
      </c>
      <c r="Y41">
        <f t="shared" si="13"/>
        <v>29.987200000000001</v>
      </c>
      <c r="Z41">
        <f t="shared" si="14"/>
        <v>4.2573184014574643</v>
      </c>
      <c r="AA41">
        <f t="shared" si="15"/>
        <v>64.976377006640661</v>
      </c>
      <c r="AB41">
        <f t="shared" si="16"/>
        <v>2.8588009468773303</v>
      </c>
      <c r="AC41">
        <f t="shared" si="17"/>
        <v>4.3997543085314801</v>
      </c>
      <c r="AD41">
        <f t="shared" si="18"/>
        <v>1.398517454580134</v>
      </c>
      <c r="AE41">
        <f t="shared" si="19"/>
        <v>-223.65999443507053</v>
      </c>
      <c r="AF41">
        <f t="shared" si="20"/>
        <v>90.312057393339487</v>
      </c>
      <c r="AG41">
        <f t="shared" si="21"/>
        <v>6.9006690460016848</v>
      </c>
      <c r="AH41">
        <f t="shared" si="22"/>
        <v>163.12979533122876</v>
      </c>
      <c r="AI41">
        <v>0</v>
      </c>
      <c r="AJ41">
        <v>0</v>
      </c>
      <c r="AK41">
        <f t="shared" si="23"/>
        <v>1</v>
      </c>
      <c r="AL41">
        <f t="shared" si="24"/>
        <v>0</v>
      </c>
      <c r="AM41">
        <f t="shared" si="25"/>
        <v>51905.837148309693</v>
      </c>
      <c r="AN41" t="s">
        <v>419</v>
      </c>
      <c r="AO41">
        <v>9967.0300000000007</v>
      </c>
      <c r="AP41">
        <v>178.94153846153841</v>
      </c>
      <c r="AQ41">
        <v>603.15</v>
      </c>
      <c r="AR41">
        <f t="shared" si="26"/>
        <v>0.7033216638290003</v>
      </c>
      <c r="AS41">
        <v>-3.2649104154664181</v>
      </c>
      <c r="AT41" t="s">
        <v>547</v>
      </c>
      <c r="AU41">
        <v>8048.44</v>
      </c>
      <c r="AV41">
        <v>708.90899999999999</v>
      </c>
      <c r="AW41">
        <v>1114.8431088674799</v>
      </c>
      <c r="AX41">
        <f t="shared" si="27"/>
        <v>0.3641177001846031</v>
      </c>
      <c r="AY41">
        <v>0.5</v>
      </c>
      <c r="AZ41">
        <f t="shared" si="28"/>
        <v>1513.2431996512735</v>
      </c>
      <c r="BA41">
        <f t="shared" si="29"/>
        <v>47.313320242109604</v>
      </c>
      <c r="BB41">
        <f t="shared" si="30"/>
        <v>275.49931683850593</v>
      </c>
      <c r="BC41">
        <f t="shared" si="31"/>
        <v>3.3423729027318119E-2</v>
      </c>
      <c r="BD41">
        <f t="shared" si="32"/>
        <v>-0.45898216959629995</v>
      </c>
      <c r="BE41">
        <f t="shared" si="33"/>
        <v>207.14903652094591</v>
      </c>
      <c r="BF41" t="s">
        <v>548</v>
      </c>
      <c r="BG41">
        <v>550.39</v>
      </c>
      <c r="BH41">
        <f t="shared" si="34"/>
        <v>550.39</v>
      </c>
      <c r="BI41">
        <f t="shared" si="35"/>
        <v>0.50630721433160497</v>
      </c>
      <c r="BJ41">
        <f t="shared" si="36"/>
        <v>0.71916356290772687</v>
      </c>
      <c r="BK41">
        <f t="shared" si="37"/>
        <v>-9.6985047169727068</v>
      </c>
      <c r="BL41">
        <f t="shared" si="38"/>
        <v>0.43373589884180719</v>
      </c>
      <c r="BM41">
        <f t="shared" si="39"/>
        <v>-1.2062303213182994</v>
      </c>
      <c r="BN41">
        <f t="shared" si="40"/>
        <v>0.55835154214262173</v>
      </c>
      <c r="BO41">
        <f t="shared" si="41"/>
        <v>0.44164845785737827</v>
      </c>
      <c r="BP41">
        <v>6085</v>
      </c>
      <c r="BQ41">
        <v>290.00000000000011</v>
      </c>
      <c r="BR41">
        <v>973.17</v>
      </c>
      <c r="BS41">
        <v>295</v>
      </c>
      <c r="BT41">
        <v>8048.44</v>
      </c>
      <c r="BU41">
        <v>976.19</v>
      </c>
      <c r="BV41">
        <v>-3.02</v>
      </c>
      <c r="BW41">
        <v>300.00000000000011</v>
      </c>
      <c r="BX41">
        <v>19.3</v>
      </c>
      <c r="BY41">
        <v>1114.8431088674799</v>
      </c>
      <c r="BZ41">
        <v>4.0226722657556024</v>
      </c>
      <c r="CA41">
        <v>-111.59714190065171</v>
      </c>
      <c r="CB41">
        <v>2.9742187960743118</v>
      </c>
      <c r="CC41">
        <v>0.98049952885806513</v>
      </c>
      <c r="CD41">
        <v>-4.1542576195773111E-3</v>
      </c>
      <c r="CE41">
        <v>289.99999999999989</v>
      </c>
      <c r="CF41">
        <v>966.26</v>
      </c>
      <c r="CG41">
        <v>635</v>
      </c>
      <c r="CH41">
        <v>8039.43</v>
      </c>
      <c r="CI41">
        <v>976.03</v>
      </c>
      <c r="CJ41">
        <v>-9.77</v>
      </c>
      <c r="CX41">
        <f t="shared" si="42"/>
        <v>1800.07</v>
      </c>
      <c r="CY41">
        <f t="shared" si="43"/>
        <v>1513.2431996512735</v>
      </c>
      <c r="CZ41">
        <f t="shared" si="44"/>
        <v>0.84065797421837685</v>
      </c>
      <c r="DA41">
        <f t="shared" si="45"/>
        <v>0.16086989024146736</v>
      </c>
      <c r="DB41">
        <v>6</v>
      </c>
      <c r="DC41">
        <v>0.5</v>
      </c>
      <c r="DD41" t="s">
        <v>422</v>
      </c>
      <c r="DE41">
        <v>2</v>
      </c>
      <c r="DF41">
        <v>1689003877.5999999</v>
      </c>
      <c r="DG41">
        <v>341.25</v>
      </c>
      <c r="DH41">
        <v>400.08600000000001</v>
      </c>
      <c r="DI41">
        <v>28.819700000000001</v>
      </c>
      <c r="DJ41">
        <v>22.910799999999998</v>
      </c>
      <c r="DK41">
        <v>341.79700000000003</v>
      </c>
      <c r="DL41">
        <v>28.769100000000002</v>
      </c>
      <c r="DM41">
        <v>500.14299999999997</v>
      </c>
      <c r="DN41">
        <v>99.096500000000006</v>
      </c>
      <c r="DO41">
        <v>9.9568900000000002E-2</v>
      </c>
      <c r="DP41">
        <v>30.561299999999999</v>
      </c>
      <c r="DQ41">
        <v>29.987200000000001</v>
      </c>
      <c r="DR41">
        <v>999.9</v>
      </c>
      <c r="DS41">
        <v>0</v>
      </c>
      <c r="DT41">
        <v>0</v>
      </c>
      <c r="DU41">
        <v>10024.4</v>
      </c>
      <c r="DV41">
        <v>0</v>
      </c>
      <c r="DW41">
        <v>2027.84</v>
      </c>
      <c r="DX41">
        <v>-58.836799999999997</v>
      </c>
      <c r="DY41">
        <v>351.37599999999998</v>
      </c>
      <c r="DZ41">
        <v>409.46800000000002</v>
      </c>
      <c r="EA41">
        <v>5.9088500000000002</v>
      </c>
      <c r="EB41">
        <v>400.08600000000001</v>
      </c>
      <c r="EC41">
        <v>22.910799999999998</v>
      </c>
      <c r="ED41">
        <v>2.8559299999999999</v>
      </c>
      <c r="EE41">
        <v>2.2703799999999998</v>
      </c>
      <c r="EF41">
        <v>23.210999999999999</v>
      </c>
      <c r="EG41">
        <v>19.4678</v>
      </c>
      <c r="EH41">
        <v>1800.07</v>
      </c>
      <c r="EI41">
        <v>0.97800699999999996</v>
      </c>
      <c r="EJ41">
        <v>2.1993100000000002E-2</v>
      </c>
      <c r="EK41">
        <v>0</v>
      </c>
      <c r="EL41">
        <v>708.803</v>
      </c>
      <c r="EM41">
        <v>5.0005300000000004</v>
      </c>
      <c r="EN41">
        <v>15567.3</v>
      </c>
      <c r="EO41">
        <v>16035.9</v>
      </c>
      <c r="EP41">
        <v>49.561999999999998</v>
      </c>
      <c r="EQ41">
        <v>51.061999999999998</v>
      </c>
      <c r="ER41">
        <v>50.186999999999998</v>
      </c>
      <c r="ES41">
        <v>50.311999999999998</v>
      </c>
      <c r="ET41">
        <v>50.875</v>
      </c>
      <c r="EU41">
        <v>1755.59</v>
      </c>
      <c r="EV41">
        <v>39.479999999999997</v>
      </c>
      <c r="EW41">
        <v>0</v>
      </c>
      <c r="EX41">
        <v>135.79999995231631</v>
      </c>
      <c r="EY41">
        <v>0</v>
      </c>
      <c r="EZ41">
        <v>708.90899999999999</v>
      </c>
      <c r="FA41">
        <v>-2.1997692370714552</v>
      </c>
      <c r="FB41">
        <v>-51.769230717213993</v>
      </c>
      <c r="FC41">
        <v>15573.688</v>
      </c>
      <c r="FD41">
        <v>15</v>
      </c>
      <c r="FE41">
        <v>1689003819.5999999</v>
      </c>
      <c r="FF41" t="s">
        <v>549</v>
      </c>
      <c r="FG41">
        <v>1689003809.5999999</v>
      </c>
      <c r="FH41">
        <v>1689003819.5999999</v>
      </c>
      <c r="FI41">
        <v>28</v>
      </c>
      <c r="FJ41">
        <v>-2.1999999999999999E-2</v>
      </c>
      <c r="FK41">
        <v>5.0000000000000001E-3</v>
      </c>
      <c r="FL41">
        <v>-0.55100000000000005</v>
      </c>
      <c r="FM41">
        <v>4.1000000000000002E-2</v>
      </c>
      <c r="FN41">
        <v>400</v>
      </c>
      <c r="FO41">
        <v>23</v>
      </c>
      <c r="FP41">
        <v>0.03</v>
      </c>
      <c r="FQ41">
        <v>0.02</v>
      </c>
      <c r="FR41">
        <v>47.382705668297348</v>
      </c>
      <c r="FS41">
        <v>-0.67485898190638671</v>
      </c>
      <c r="FT41">
        <v>5.4973311192954073E-2</v>
      </c>
      <c r="FU41">
        <v>1</v>
      </c>
      <c r="FV41">
        <v>0.37481094068264031</v>
      </c>
      <c r="FW41">
        <v>-1.5022729222089659E-2</v>
      </c>
      <c r="FX41">
        <v>1.334660745138788E-3</v>
      </c>
      <c r="FY41">
        <v>1</v>
      </c>
      <c r="FZ41">
        <v>2</v>
      </c>
      <c r="GA41">
        <v>2</v>
      </c>
      <c r="GB41" t="s">
        <v>424</v>
      </c>
      <c r="GC41">
        <v>3.1148899999999999</v>
      </c>
      <c r="GD41">
        <v>2.76709</v>
      </c>
      <c r="GE41">
        <v>7.8908599999999995E-2</v>
      </c>
      <c r="GF41">
        <v>8.9278800000000005E-2</v>
      </c>
      <c r="GG41">
        <v>0.122194</v>
      </c>
      <c r="GH41">
        <v>0.10438699999999999</v>
      </c>
      <c r="GI41">
        <v>22143.7</v>
      </c>
      <c r="GJ41">
        <v>22667.599999999999</v>
      </c>
      <c r="GK41">
        <v>23892</v>
      </c>
      <c r="GL41">
        <v>25191.200000000001</v>
      </c>
      <c r="GM41">
        <v>30215.3</v>
      </c>
      <c r="GN41">
        <v>31640.6</v>
      </c>
      <c r="GO41">
        <v>38068.699999999997</v>
      </c>
      <c r="GP41">
        <v>39185.4</v>
      </c>
      <c r="GQ41">
        <v>2.16357</v>
      </c>
      <c r="GR41">
        <v>1.7798</v>
      </c>
      <c r="GS41">
        <v>4.6826899999999998E-2</v>
      </c>
      <c r="GT41">
        <v>0</v>
      </c>
      <c r="GU41">
        <v>29.224699999999999</v>
      </c>
      <c r="GV41">
        <v>999.9</v>
      </c>
      <c r="GW41">
        <v>32.9</v>
      </c>
      <c r="GX41">
        <v>42.5</v>
      </c>
      <c r="GY41">
        <v>28.095400000000001</v>
      </c>
      <c r="GZ41">
        <v>60.998899999999999</v>
      </c>
      <c r="HA41">
        <v>27.7804</v>
      </c>
      <c r="HB41">
        <v>1</v>
      </c>
      <c r="HC41">
        <v>0.35147400000000001</v>
      </c>
      <c r="HD41">
        <v>1.20183</v>
      </c>
      <c r="HE41">
        <v>20.317</v>
      </c>
      <c r="HF41">
        <v>5.2527799999999996</v>
      </c>
      <c r="HG41">
        <v>12.0099</v>
      </c>
      <c r="HH41">
        <v>4.9795999999999996</v>
      </c>
      <c r="HI41">
        <v>3.2930000000000001</v>
      </c>
      <c r="HJ41">
        <v>9999</v>
      </c>
      <c r="HK41">
        <v>9999</v>
      </c>
      <c r="HL41">
        <v>9999</v>
      </c>
      <c r="HM41">
        <v>232.5</v>
      </c>
      <c r="HN41">
        <v>1.87561</v>
      </c>
      <c r="HO41">
        <v>1.8766799999999999</v>
      </c>
      <c r="HP41">
        <v>1.88273</v>
      </c>
      <c r="HQ41">
        <v>1.8859699999999999</v>
      </c>
      <c r="HR41">
        <v>1.8767400000000001</v>
      </c>
      <c r="HS41">
        <v>1.8830899999999999</v>
      </c>
      <c r="HT41">
        <v>1.8821099999999999</v>
      </c>
      <c r="HU41">
        <v>1.8856200000000001</v>
      </c>
      <c r="HV41">
        <v>0</v>
      </c>
      <c r="HW41">
        <v>0</v>
      </c>
      <c r="HX41">
        <v>0</v>
      </c>
      <c r="HY41">
        <v>0</v>
      </c>
      <c r="HZ41" t="s">
        <v>425</v>
      </c>
      <c r="IA41" t="s">
        <v>426</v>
      </c>
      <c r="IB41" t="s">
        <v>427</v>
      </c>
      <c r="IC41" t="s">
        <v>427</v>
      </c>
      <c r="ID41" t="s">
        <v>427</v>
      </c>
      <c r="IE41" t="s">
        <v>427</v>
      </c>
      <c r="IF41">
        <v>0</v>
      </c>
      <c r="IG41">
        <v>100</v>
      </c>
      <c r="IH41">
        <v>100</v>
      </c>
      <c r="II41">
        <v>-0.54700000000000004</v>
      </c>
      <c r="IJ41">
        <v>5.0599999999999999E-2</v>
      </c>
      <c r="IK41">
        <v>-0.46580843017302059</v>
      </c>
      <c r="IL41">
        <v>-4.2852564239613137E-4</v>
      </c>
      <c r="IM41">
        <v>6.4980710991155998E-7</v>
      </c>
      <c r="IN41">
        <v>-2.7237938963984961E-10</v>
      </c>
      <c r="IO41">
        <v>-9.1814073026894229E-3</v>
      </c>
      <c r="IP41">
        <v>6.6907473102813496E-3</v>
      </c>
      <c r="IQ41">
        <v>-3.3673306238274028E-4</v>
      </c>
      <c r="IR41">
        <v>6.1311374003140313E-6</v>
      </c>
      <c r="IS41">
        <v>3</v>
      </c>
      <c r="IT41">
        <v>2101</v>
      </c>
      <c r="IU41">
        <v>1</v>
      </c>
      <c r="IV41">
        <v>32</v>
      </c>
      <c r="IW41">
        <v>1.1000000000000001</v>
      </c>
      <c r="IX41">
        <v>1</v>
      </c>
      <c r="IY41">
        <v>1.01562</v>
      </c>
      <c r="IZ41">
        <v>2.7099600000000001</v>
      </c>
      <c r="JA41">
        <v>1.6015600000000001</v>
      </c>
      <c r="JB41">
        <v>2.3303199999999999</v>
      </c>
      <c r="JC41">
        <v>1.5502899999999999</v>
      </c>
      <c r="JD41">
        <v>2.4621599999999999</v>
      </c>
      <c r="JE41">
        <v>47.4816</v>
      </c>
      <c r="JF41">
        <v>24.078700000000001</v>
      </c>
      <c r="JG41">
        <v>18</v>
      </c>
      <c r="JH41">
        <v>590.11500000000001</v>
      </c>
      <c r="JI41">
        <v>398.95699999999999</v>
      </c>
      <c r="JJ41">
        <v>28.1309</v>
      </c>
      <c r="JK41">
        <v>31.900200000000002</v>
      </c>
      <c r="JL41">
        <v>30.0002</v>
      </c>
      <c r="JM41">
        <v>32.040199999999999</v>
      </c>
      <c r="JN41">
        <v>32.039099999999998</v>
      </c>
      <c r="JO41">
        <v>20.318000000000001</v>
      </c>
      <c r="JP41">
        <v>20.388100000000001</v>
      </c>
      <c r="JQ41">
        <v>1.2782100000000001</v>
      </c>
      <c r="JR41">
        <v>28.130199999999999</v>
      </c>
      <c r="JS41">
        <v>400</v>
      </c>
      <c r="JT41">
        <v>22.9114</v>
      </c>
      <c r="JU41">
        <v>99.308999999999997</v>
      </c>
      <c r="JV41">
        <v>99.183499999999995</v>
      </c>
    </row>
    <row r="42" spans="1:282" x14ac:dyDescent="0.25">
      <c r="A42">
        <v>26</v>
      </c>
      <c r="B42">
        <v>1689003980.5999999</v>
      </c>
      <c r="C42">
        <v>4158</v>
      </c>
      <c r="D42" t="s">
        <v>550</v>
      </c>
      <c r="E42" t="s">
        <v>551</v>
      </c>
      <c r="F42" t="s">
        <v>414</v>
      </c>
      <c r="G42" t="s">
        <v>415</v>
      </c>
      <c r="H42" t="s">
        <v>418</v>
      </c>
      <c r="I42" t="s">
        <v>501</v>
      </c>
      <c r="J42" t="s">
        <v>416</v>
      </c>
      <c r="K42">
        <v>1689003980.5999999</v>
      </c>
      <c r="L42">
        <f t="shared" si="0"/>
        <v>4.8199524497757711E-3</v>
      </c>
      <c r="M42">
        <f t="shared" si="1"/>
        <v>4.8199524497757711</v>
      </c>
      <c r="N42">
        <f t="shared" si="2"/>
        <v>50.106037838705831</v>
      </c>
      <c r="O42">
        <f t="shared" si="3"/>
        <v>437.40499999999997</v>
      </c>
      <c r="P42">
        <f t="shared" si="4"/>
        <v>189.46966893159475</v>
      </c>
      <c r="Q42">
        <f t="shared" si="5"/>
        <v>18.794323818528206</v>
      </c>
      <c r="R42">
        <f t="shared" si="6"/>
        <v>43.388111966413497</v>
      </c>
      <c r="S42">
        <f t="shared" si="7"/>
        <v>0.35214222911928111</v>
      </c>
      <c r="T42">
        <f t="shared" si="8"/>
        <v>2.9171119615658303</v>
      </c>
      <c r="U42">
        <f t="shared" si="9"/>
        <v>0.33011591130421442</v>
      </c>
      <c r="V42">
        <f t="shared" si="10"/>
        <v>0.20818650841083397</v>
      </c>
      <c r="W42">
        <f t="shared" si="11"/>
        <v>289.55631532690956</v>
      </c>
      <c r="X42">
        <f t="shared" si="12"/>
        <v>31.065519242237141</v>
      </c>
      <c r="Y42">
        <f t="shared" si="13"/>
        <v>30.0441</v>
      </c>
      <c r="Z42">
        <f t="shared" si="14"/>
        <v>4.2712537002357696</v>
      </c>
      <c r="AA42">
        <f t="shared" si="15"/>
        <v>65.162301629186103</v>
      </c>
      <c r="AB42">
        <f t="shared" si="16"/>
        <v>2.8751090410528199</v>
      </c>
      <c r="AC42">
        <f t="shared" si="17"/>
        <v>4.4122275751000526</v>
      </c>
      <c r="AD42">
        <f t="shared" si="18"/>
        <v>1.3961446591829496</v>
      </c>
      <c r="AE42">
        <f t="shared" si="19"/>
        <v>-212.55990303511152</v>
      </c>
      <c r="AF42">
        <f t="shared" si="20"/>
        <v>89.123401618766863</v>
      </c>
      <c r="AG42">
        <f t="shared" si="21"/>
        <v>6.8153063949120378</v>
      </c>
      <c r="AH42">
        <f t="shared" si="22"/>
        <v>172.93512030547697</v>
      </c>
      <c r="AI42">
        <v>0</v>
      </c>
      <c r="AJ42">
        <v>0</v>
      </c>
      <c r="AK42">
        <f t="shared" si="23"/>
        <v>1</v>
      </c>
      <c r="AL42">
        <f t="shared" si="24"/>
        <v>0</v>
      </c>
      <c r="AM42">
        <f t="shared" si="25"/>
        <v>51874.491319167333</v>
      </c>
      <c r="AN42" t="s">
        <v>419</v>
      </c>
      <c r="AO42">
        <v>9967.0300000000007</v>
      </c>
      <c r="AP42">
        <v>178.94153846153841</v>
      </c>
      <c r="AQ42">
        <v>603.15</v>
      </c>
      <c r="AR42">
        <f t="shared" si="26"/>
        <v>0.7033216638290003</v>
      </c>
      <c r="AS42">
        <v>-3.2649104154664181</v>
      </c>
      <c r="AT42" t="s">
        <v>552</v>
      </c>
      <c r="AU42">
        <v>8047.95</v>
      </c>
      <c r="AV42">
        <v>719.68239999999992</v>
      </c>
      <c r="AW42">
        <v>1156.1203795172721</v>
      </c>
      <c r="AX42">
        <f t="shared" si="27"/>
        <v>0.37750219375901239</v>
      </c>
      <c r="AY42">
        <v>0.5</v>
      </c>
      <c r="AZ42">
        <f t="shared" si="28"/>
        <v>1513.1339996512484</v>
      </c>
      <c r="BA42">
        <f t="shared" si="29"/>
        <v>50.106037838705831</v>
      </c>
      <c r="BB42">
        <f t="shared" si="30"/>
        <v>285.60570215984745</v>
      </c>
      <c r="BC42">
        <f t="shared" si="31"/>
        <v>3.527179236371223E-2</v>
      </c>
      <c r="BD42">
        <f t="shared" si="32"/>
        <v>-0.47829827180121159</v>
      </c>
      <c r="BE42">
        <f t="shared" si="33"/>
        <v>208.53244590513737</v>
      </c>
      <c r="BF42" t="s">
        <v>553</v>
      </c>
      <c r="BG42">
        <v>552.67999999999995</v>
      </c>
      <c r="BH42">
        <f t="shared" si="34"/>
        <v>552.67999999999995</v>
      </c>
      <c r="BI42">
        <f t="shared" si="35"/>
        <v>0.52195289539765177</v>
      </c>
      <c r="BJ42">
        <f t="shared" si="36"/>
        <v>0.72324954433179445</v>
      </c>
      <c r="BK42">
        <f t="shared" si="37"/>
        <v>-10.956417268025993</v>
      </c>
      <c r="BL42">
        <f t="shared" si="38"/>
        <v>0.44663060760274875</v>
      </c>
      <c r="BM42">
        <f t="shared" si="39"/>
        <v>-1.3035345346762635</v>
      </c>
      <c r="BN42">
        <f t="shared" si="40"/>
        <v>0.55541938799850621</v>
      </c>
      <c r="BO42">
        <f t="shared" si="41"/>
        <v>0.44458061200149379</v>
      </c>
      <c r="BP42">
        <v>6087</v>
      </c>
      <c r="BQ42">
        <v>290.00000000000011</v>
      </c>
      <c r="BR42">
        <v>1011.91</v>
      </c>
      <c r="BS42">
        <v>295</v>
      </c>
      <c r="BT42">
        <v>8047.95</v>
      </c>
      <c r="BU42">
        <v>1014.3</v>
      </c>
      <c r="BV42">
        <v>-2.39</v>
      </c>
      <c r="BW42">
        <v>300.00000000000011</v>
      </c>
      <c r="BX42">
        <v>19.399999999999999</v>
      </c>
      <c r="BY42">
        <v>1156.1203795172721</v>
      </c>
      <c r="BZ42">
        <v>3.8876163236176291</v>
      </c>
      <c r="CA42">
        <v>-114.13424346302919</v>
      </c>
      <c r="CB42">
        <v>2.8741728976694039</v>
      </c>
      <c r="CC42">
        <v>0.98255350890672399</v>
      </c>
      <c r="CD42">
        <v>-4.1540493882091262E-3</v>
      </c>
      <c r="CE42">
        <v>289.99999999999989</v>
      </c>
      <c r="CF42">
        <v>1005.14</v>
      </c>
      <c r="CG42">
        <v>635</v>
      </c>
      <c r="CH42">
        <v>8038.89</v>
      </c>
      <c r="CI42">
        <v>1014.14</v>
      </c>
      <c r="CJ42">
        <v>-9</v>
      </c>
      <c r="CX42">
        <f t="shared" si="42"/>
        <v>1799.94</v>
      </c>
      <c r="CY42">
        <f t="shared" si="43"/>
        <v>1513.1339996512484</v>
      </c>
      <c r="CZ42">
        <f t="shared" si="44"/>
        <v>0.84065802174030713</v>
      </c>
      <c r="DA42">
        <f t="shared" si="45"/>
        <v>0.16086998195879282</v>
      </c>
      <c r="DB42">
        <v>6</v>
      </c>
      <c r="DC42">
        <v>0.5</v>
      </c>
      <c r="DD42" t="s">
        <v>422</v>
      </c>
      <c r="DE42">
        <v>2</v>
      </c>
      <c r="DF42">
        <v>1689003980.5999999</v>
      </c>
      <c r="DG42">
        <v>437.40499999999997</v>
      </c>
      <c r="DH42">
        <v>500.041</v>
      </c>
      <c r="DI42">
        <v>28.9846</v>
      </c>
      <c r="DJ42">
        <v>23.370200000000001</v>
      </c>
      <c r="DK42">
        <v>437.83</v>
      </c>
      <c r="DL42">
        <v>28.9404</v>
      </c>
      <c r="DM42">
        <v>500.16899999999998</v>
      </c>
      <c r="DN42">
        <v>99.094499999999996</v>
      </c>
      <c r="DO42">
        <v>9.9866700000000003E-2</v>
      </c>
      <c r="DP42">
        <v>30.610800000000001</v>
      </c>
      <c r="DQ42">
        <v>30.0441</v>
      </c>
      <c r="DR42">
        <v>999.9</v>
      </c>
      <c r="DS42">
        <v>0</v>
      </c>
      <c r="DT42">
        <v>0</v>
      </c>
      <c r="DU42">
        <v>10020</v>
      </c>
      <c r="DV42">
        <v>0</v>
      </c>
      <c r="DW42">
        <v>2004.89</v>
      </c>
      <c r="DX42">
        <v>-62.636400000000002</v>
      </c>
      <c r="DY42">
        <v>450.46100000000001</v>
      </c>
      <c r="DZ42">
        <v>512.00699999999995</v>
      </c>
      <c r="EA42">
        <v>5.6144299999999996</v>
      </c>
      <c r="EB42">
        <v>500.041</v>
      </c>
      <c r="EC42">
        <v>23.370200000000001</v>
      </c>
      <c r="ED42">
        <v>2.8722099999999999</v>
      </c>
      <c r="EE42">
        <v>2.3158500000000002</v>
      </c>
      <c r="EF42">
        <v>23.305099999999999</v>
      </c>
      <c r="EG42">
        <v>19.787099999999999</v>
      </c>
      <c r="EH42">
        <v>1799.94</v>
      </c>
      <c r="EI42">
        <v>0.97800699999999996</v>
      </c>
      <c r="EJ42">
        <v>2.1993100000000002E-2</v>
      </c>
      <c r="EK42">
        <v>0</v>
      </c>
      <c r="EL42">
        <v>720.31600000000003</v>
      </c>
      <c r="EM42">
        <v>5.0005300000000004</v>
      </c>
      <c r="EN42">
        <v>15741.9</v>
      </c>
      <c r="EO42">
        <v>16034.8</v>
      </c>
      <c r="EP42">
        <v>49.686999999999998</v>
      </c>
      <c r="EQ42">
        <v>51.061999999999998</v>
      </c>
      <c r="ER42">
        <v>50.311999999999998</v>
      </c>
      <c r="ES42">
        <v>50.375</v>
      </c>
      <c r="ET42">
        <v>50.936999999999998</v>
      </c>
      <c r="EU42">
        <v>1755.46</v>
      </c>
      <c r="EV42">
        <v>39.479999999999997</v>
      </c>
      <c r="EW42">
        <v>0</v>
      </c>
      <c r="EX42">
        <v>100.7999999523163</v>
      </c>
      <c r="EY42">
        <v>0</v>
      </c>
      <c r="EZ42">
        <v>719.68239999999992</v>
      </c>
      <c r="FA42">
        <v>1.228461560499801</v>
      </c>
      <c r="FB42">
        <v>29.576923079975991</v>
      </c>
      <c r="FC42">
        <v>15736.755999999999</v>
      </c>
      <c r="FD42">
        <v>15</v>
      </c>
      <c r="FE42">
        <v>1689003949.0999999</v>
      </c>
      <c r="FF42" t="s">
        <v>554</v>
      </c>
      <c r="FG42">
        <v>1689003945.5999999</v>
      </c>
      <c r="FH42">
        <v>1689003949.0999999</v>
      </c>
      <c r="FI42">
        <v>29</v>
      </c>
      <c r="FJ42">
        <v>0.126</v>
      </c>
      <c r="FK42">
        <v>-7.0000000000000001E-3</v>
      </c>
      <c r="FL42">
        <v>-0.42499999999999999</v>
      </c>
      <c r="FM42">
        <v>3.4000000000000002E-2</v>
      </c>
      <c r="FN42">
        <v>500</v>
      </c>
      <c r="FO42">
        <v>23</v>
      </c>
      <c r="FP42">
        <v>0.04</v>
      </c>
      <c r="FQ42">
        <v>0.02</v>
      </c>
      <c r="FR42">
        <v>50.065721015810439</v>
      </c>
      <c r="FS42">
        <v>-0.29800044997821318</v>
      </c>
      <c r="FT42">
        <v>3.3901516863411113E-2</v>
      </c>
      <c r="FU42">
        <v>1</v>
      </c>
      <c r="FV42">
        <v>0.34915311668001497</v>
      </c>
      <c r="FW42">
        <v>3.8419300183006523E-2</v>
      </c>
      <c r="FX42">
        <v>3.2590865919056001E-3</v>
      </c>
      <c r="FY42">
        <v>1</v>
      </c>
      <c r="FZ42">
        <v>2</v>
      </c>
      <c r="GA42">
        <v>2</v>
      </c>
      <c r="GB42" t="s">
        <v>424</v>
      </c>
      <c r="GC42">
        <v>3.1149</v>
      </c>
      <c r="GD42">
        <v>2.7673399999999999</v>
      </c>
      <c r="GE42">
        <v>9.5548300000000003E-2</v>
      </c>
      <c r="GF42">
        <v>0.105444</v>
      </c>
      <c r="GG42">
        <v>0.122695</v>
      </c>
      <c r="GH42">
        <v>0.105863</v>
      </c>
      <c r="GI42">
        <v>21744.1</v>
      </c>
      <c r="GJ42">
        <v>22266</v>
      </c>
      <c r="GK42">
        <v>23892.3</v>
      </c>
      <c r="GL42">
        <v>25192</v>
      </c>
      <c r="GM42">
        <v>30198.2</v>
      </c>
      <c r="GN42">
        <v>31590.5</v>
      </c>
      <c r="GO42">
        <v>38068.9</v>
      </c>
      <c r="GP42">
        <v>39188</v>
      </c>
      <c r="GQ42">
        <v>2.1629</v>
      </c>
      <c r="GR42">
        <v>1.7802</v>
      </c>
      <c r="GS42">
        <v>5.7496100000000001E-2</v>
      </c>
      <c r="GT42">
        <v>0</v>
      </c>
      <c r="GU42">
        <v>29.107800000000001</v>
      </c>
      <c r="GV42">
        <v>999.9</v>
      </c>
      <c r="GW42">
        <v>32.700000000000003</v>
      </c>
      <c r="GX42">
        <v>42.6</v>
      </c>
      <c r="GY42">
        <v>28.071899999999999</v>
      </c>
      <c r="GZ42">
        <v>60.628900000000002</v>
      </c>
      <c r="HA42">
        <v>27.9407</v>
      </c>
      <c r="HB42">
        <v>1</v>
      </c>
      <c r="HC42">
        <v>0.35114299999999998</v>
      </c>
      <c r="HD42">
        <v>1.3563700000000001</v>
      </c>
      <c r="HE42">
        <v>20.3156</v>
      </c>
      <c r="HF42">
        <v>5.2518799999999999</v>
      </c>
      <c r="HG42">
        <v>12.0099</v>
      </c>
      <c r="HH42">
        <v>4.9794999999999998</v>
      </c>
      <c r="HI42">
        <v>3.2928500000000001</v>
      </c>
      <c r="HJ42">
        <v>9999</v>
      </c>
      <c r="HK42">
        <v>9999</v>
      </c>
      <c r="HL42">
        <v>9999</v>
      </c>
      <c r="HM42">
        <v>232.6</v>
      </c>
      <c r="HN42">
        <v>1.87561</v>
      </c>
      <c r="HO42">
        <v>1.8766799999999999</v>
      </c>
      <c r="HP42">
        <v>1.8827499999999999</v>
      </c>
      <c r="HQ42">
        <v>1.8859699999999999</v>
      </c>
      <c r="HR42">
        <v>1.8767400000000001</v>
      </c>
      <c r="HS42">
        <v>1.8831100000000001</v>
      </c>
      <c r="HT42">
        <v>1.8821300000000001</v>
      </c>
      <c r="HU42">
        <v>1.88561</v>
      </c>
      <c r="HV42">
        <v>0</v>
      </c>
      <c r="HW42">
        <v>0</v>
      </c>
      <c r="HX42">
        <v>0</v>
      </c>
      <c r="HY42">
        <v>0</v>
      </c>
      <c r="HZ42" t="s">
        <v>425</v>
      </c>
      <c r="IA42" t="s">
        <v>426</v>
      </c>
      <c r="IB42" t="s">
        <v>427</v>
      </c>
      <c r="IC42" t="s">
        <v>427</v>
      </c>
      <c r="ID42" t="s">
        <v>427</v>
      </c>
      <c r="IE42" t="s">
        <v>427</v>
      </c>
      <c r="IF42">
        <v>0</v>
      </c>
      <c r="IG42">
        <v>100</v>
      </c>
      <c r="IH42">
        <v>100</v>
      </c>
      <c r="II42">
        <v>-0.42499999999999999</v>
      </c>
      <c r="IJ42">
        <v>4.4200000000000003E-2</v>
      </c>
      <c r="IK42">
        <v>-0.33943613813454759</v>
      </c>
      <c r="IL42">
        <v>-4.2852564239613137E-4</v>
      </c>
      <c r="IM42">
        <v>6.4980710991155998E-7</v>
      </c>
      <c r="IN42">
        <v>-2.7237938963984961E-10</v>
      </c>
      <c r="IO42">
        <v>-1.6004309399754661E-2</v>
      </c>
      <c r="IP42">
        <v>6.6907473102813496E-3</v>
      </c>
      <c r="IQ42">
        <v>-3.3673306238274028E-4</v>
      </c>
      <c r="IR42">
        <v>6.1311374003140313E-6</v>
      </c>
      <c r="IS42">
        <v>3</v>
      </c>
      <c r="IT42">
        <v>2101</v>
      </c>
      <c r="IU42">
        <v>1</v>
      </c>
      <c r="IV42">
        <v>32</v>
      </c>
      <c r="IW42">
        <v>0.6</v>
      </c>
      <c r="IX42">
        <v>0.5</v>
      </c>
      <c r="IY42">
        <v>1.2170399999999999</v>
      </c>
      <c r="IZ42">
        <v>2.7038600000000002</v>
      </c>
      <c r="JA42">
        <v>1.6003400000000001</v>
      </c>
      <c r="JB42">
        <v>2.3303199999999999</v>
      </c>
      <c r="JC42">
        <v>1.5490699999999999</v>
      </c>
      <c r="JD42">
        <v>2.4633799999999999</v>
      </c>
      <c r="JE42">
        <v>47.4816</v>
      </c>
      <c r="JF42">
        <v>24.096299999999999</v>
      </c>
      <c r="JG42">
        <v>18</v>
      </c>
      <c r="JH42">
        <v>589.55799999999999</v>
      </c>
      <c r="JI42">
        <v>399.11200000000002</v>
      </c>
      <c r="JJ42">
        <v>28.2121</v>
      </c>
      <c r="JK42">
        <v>31.887</v>
      </c>
      <c r="JL42">
        <v>30.000299999999999</v>
      </c>
      <c r="JM42">
        <v>32.030700000000003</v>
      </c>
      <c r="JN42">
        <v>32.025100000000002</v>
      </c>
      <c r="JO42">
        <v>24.345500000000001</v>
      </c>
      <c r="JP42">
        <v>18.015899999999998</v>
      </c>
      <c r="JQ42">
        <v>1.3560000000000001</v>
      </c>
      <c r="JR42">
        <v>28.149000000000001</v>
      </c>
      <c r="JS42">
        <v>500</v>
      </c>
      <c r="JT42">
        <v>23.249199999999998</v>
      </c>
      <c r="JU42">
        <v>99.309899999999999</v>
      </c>
      <c r="JV42">
        <v>99.188800000000001</v>
      </c>
    </row>
    <row r="43" spans="1:282" x14ac:dyDescent="0.25">
      <c r="A43">
        <v>27</v>
      </c>
      <c r="B43">
        <v>1689004106.5999999</v>
      </c>
      <c r="C43">
        <v>4284</v>
      </c>
      <c r="D43" t="s">
        <v>555</v>
      </c>
      <c r="E43" t="s">
        <v>556</v>
      </c>
      <c r="F43" t="s">
        <v>414</v>
      </c>
      <c r="G43" t="s">
        <v>415</v>
      </c>
      <c r="H43" t="s">
        <v>418</v>
      </c>
      <c r="I43" t="s">
        <v>501</v>
      </c>
      <c r="J43" t="s">
        <v>416</v>
      </c>
      <c r="K43">
        <v>1689004106.5999999</v>
      </c>
      <c r="L43">
        <f t="shared" si="0"/>
        <v>4.7011207606924765E-3</v>
      </c>
      <c r="M43">
        <f t="shared" si="1"/>
        <v>4.7011207606924765</v>
      </c>
      <c r="N43">
        <f t="shared" si="2"/>
        <v>51.413994786546667</v>
      </c>
      <c r="O43">
        <f t="shared" si="3"/>
        <v>634.755</v>
      </c>
      <c r="P43">
        <f t="shared" si="4"/>
        <v>369.41196923764301</v>
      </c>
      <c r="Q43">
        <f t="shared" si="5"/>
        <v>36.643183052881064</v>
      </c>
      <c r="R43">
        <f t="shared" si="6"/>
        <v>62.963427272624997</v>
      </c>
      <c r="S43">
        <f t="shared" si="7"/>
        <v>0.34229028852876675</v>
      </c>
      <c r="T43">
        <f t="shared" si="8"/>
        <v>2.9150060510899962</v>
      </c>
      <c r="U43">
        <f t="shared" si="9"/>
        <v>0.32142597348944901</v>
      </c>
      <c r="V43">
        <f t="shared" si="10"/>
        <v>0.20265974095942879</v>
      </c>
      <c r="W43">
        <f t="shared" si="11"/>
        <v>289.56429532692823</v>
      </c>
      <c r="X43">
        <f t="shared" si="12"/>
        <v>30.958488407449423</v>
      </c>
      <c r="Y43">
        <f t="shared" si="13"/>
        <v>29.9802</v>
      </c>
      <c r="Z43">
        <f t="shared" si="14"/>
        <v>4.2556067815047038</v>
      </c>
      <c r="AA43">
        <f t="shared" si="15"/>
        <v>65.262854967105369</v>
      </c>
      <c r="AB43">
        <f t="shared" si="16"/>
        <v>2.8568357552924999</v>
      </c>
      <c r="AC43">
        <f t="shared" si="17"/>
        <v>4.377429943468516</v>
      </c>
      <c r="AD43">
        <f t="shared" si="18"/>
        <v>1.3987710262122039</v>
      </c>
      <c r="AE43">
        <f t="shared" si="19"/>
        <v>-207.31942554653821</v>
      </c>
      <c r="AF43">
        <f t="shared" si="20"/>
        <v>77.351103424616369</v>
      </c>
      <c r="AG43">
        <f t="shared" si="21"/>
        <v>5.9134257289256054</v>
      </c>
      <c r="AH43">
        <f t="shared" si="22"/>
        <v>165.509398933932</v>
      </c>
      <c r="AI43">
        <v>0</v>
      </c>
      <c r="AJ43">
        <v>0</v>
      </c>
      <c r="AK43">
        <f t="shared" si="23"/>
        <v>1</v>
      </c>
      <c r="AL43">
        <f t="shared" si="24"/>
        <v>0</v>
      </c>
      <c r="AM43">
        <f t="shared" si="25"/>
        <v>51838.267300071493</v>
      </c>
      <c r="AN43" t="s">
        <v>419</v>
      </c>
      <c r="AO43">
        <v>9967.0300000000007</v>
      </c>
      <c r="AP43">
        <v>178.94153846153841</v>
      </c>
      <c r="AQ43">
        <v>603.15</v>
      </c>
      <c r="AR43">
        <f t="shared" si="26"/>
        <v>0.7033216638290003</v>
      </c>
      <c r="AS43">
        <v>-3.2649104154664181</v>
      </c>
      <c r="AT43" t="s">
        <v>557</v>
      </c>
      <c r="AU43">
        <v>8048.1</v>
      </c>
      <c r="AV43">
        <v>724.4083461538462</v>
      </c>
      <c r="AW43">
        <v>1180.5179176550989</v>
      </c>
      <c r="AX43">
        <f t="shared" si="27"/>
        <v>0.3863639549048421</v>
      </c>
      <c r="AY43">
        <v>0.5</v>
      </c>
      <c r="AZ43">
        <f t="shared" si="28"/>
        <v>1513.1759996512581</v>
      </c>
      <c r="BA43">
        <f t="shared" si="29"/>
        <v>51.413994786546667</v>
      </c>
      <c r="BB43">
        <f t="shared" si="30"/>
        <v>292.31833184617403</v>
      </c>
      <c r="BC43">
        <f t="shared" si="31"/>
        <v>3.6135191950318363E-2</v>
      </c>
      <c r="BD43">
        <f t="shared" si="32"/>
        <v>-0.4890801816900362</v>
      </c>
      <c r="BE43">
        <f t="shared" si="33"/>
        <v>209.31270635876433</v>
      </c>
      <c r="BF43" t="s">
        <v>558</v>
      </c>
      <c r="BG43">
        <v>555.19000000000005</v>
      </c>
      <c r="BH43">
        <f t="shared" si="34"/>
        <v>555.19000000000005</v>
      </c>
      <c r="BI43">
        <f t="shared" si="35"/>
        <v>0.52970641809249963</v>
      </c>
      <c r="BJ43">
        <f t="shared" si="36"/>
        <v>0.72939262525109438</v>
      </c>
      <c r="BK43">
        <f t="shared" si="37"/>
        <v>-12.038530393142199</v>
      </c>
      <c r="BL43">
        <f t="shared" si="38"/>
        <v>0.45539170149809099</v>
      </c>
      <c r="BM43">
        <f t="shared" si="39"/>
        <v>-1.3610476216367291</v>
      </c>
      <c r="BN43">
        <f t="shared" si="40"/>
        <v>0.55900997519312623</v>
      </c>
      <c r="BO43">
        <f t="shared" si="41"/>
        <v>0.44099002480687377</v>
      </c>
      <c r="BP43">
        <v>6089</v>
      </c>
      <c r="BQ43">
        <v>290.00000000000011</v>
      </c>
      <c r="BR43">
        <v>1027.1500000000001</v>
      </c>
      <c r="BS43">
        <v>285</v>
      </c>
      <c r="BT43">
        <v>8048.1</v>
      </c>
      <c r="BU43">
        <v>1030.6400000000001</v>
      </c>
      <c r="BV43">
        <v>-3.49</v>
      </c>
      <c r="BW43">
        <v>300.00000000000011</v>
      </c>
      <c r="BX43">
        <v>19.399999999999999</v>
      </c>
      <c r="BY43">
        <v>1180.5179176550989</v>
      </c>
      <c r="BZ43">
        <v>4.8061141706903969</v>
      </c>
      <c r="CA43">
        <v>-120.6203622669055</v>
      </c>
      <c r="CB43">
        <v>3.5533052125886502</v>
      </c>
      <c r="CC43">
        <v>0.97627778661032327</v>
      </c>
      <c r="CD43">
        <v>-4.1541630700778721E-3</v>
      </c>
      <c r="CE43">
        <v>289.99999999999989</v>
      </c>
      <c r="CF43">
        <v>1020.31</v>
      </c>
      <c r="CG43">
        <v>635</v>
      </c>
      <c r="CH43">
        <v>8039.04</v>
      </c>
      <c r="CI43">
        <v>1030.47</v>
      </c>
      <c r="CJ43">
        <v>-10.16</v>
      </c>
      <c r="CX43">
        <f t="shared" si="42"/>
        <v>1799.99</v>
      </c>
      <c r="CY43">
        <f t="shared" si="43"/>
        <v>1513.1759996512581</v>
      </c>
      <c r="CZ43">
        <f t="shared" si="44"/>
        <v>0.84065800346182928</v>
      </c>
      <c r="DA43">
        <f t="shared" si="45"/>
        <v>0.16086994668133059</v>
      </c>
      <c r="DB43">
        <v>6</v>
      </c>
      <c r="DC43">
        <v>0.5</v>
      </c>
      <c r="DD43" t="s">
        <v>422</v>
      </c>
      <c r="DE43">
        <v>2</v>
      </c>
      <c r="DF43">
        <v>1689004106.5999999</v>
      </c>
      <c r="DG43">
        <v>634.755</v>
      </c>
      <c r="DH43">
        <v>700.00800000000004</v>
      </c>
      <c r="DI43">
        <v>28.800699999999999</v>
      </c>
      <c r="DJ43">
        <v>23.323899999999998</v>
      </c>
      <c r="DK43">
        <v>635.38499999999999</v>
      </c>
      <c r="DL43">
        <v>28.757000000000001</v>
      </c>
      <c r="DM43">
        <v>500.18900000000002</v>
      </c>
      <c r="DN43">
        <v>99.093000000000004</v>
      </c>
      <c r="DO43">
        <v>0.100275</v>
      </c>
      <c r="DP43">
        <v>30.4724</v>
      </c>
      <c r="DQ43">
        <v>29.9802</v>
      </c>
      <c r="DR43">
        <v>999.9</v>
      </c>
      <c r="DS43">
        <v>0</v>
      </c>
      <c r="DT43">
        <v>0</v>
      </c>
      <c r="DU43">
        <v>10008.1</v>
      </c>
      <c r="DV43">
        <v>0</v>
      </c>
      <c r="DW43">
        <v>2001.95</v>
      </c>
      <c r="DX43">
        <v>-65.252700000000004</v>
      </c>
      <c r="DY43">
        <v>653.57899999999995</v>
      </c>
      <c r="DZ43">
        <v>716.72500000000002</v>
      </c>
      <c r="EA43">
        <v>5.4767999999999999</v>
      </c>
      <c r="EB43">
        <v>700.00800000000004</v>
      </c>
      <c r="EC43">
        <v>23.323899999999998</v>
      </c>
      <c r="ED43">
        <v>2.8539400000000001</v>
      </c>
      <c r="EE43">
        <v>2.3112300000000001</v>
      </c>
      <c r="EF43">
        <v>23.1995</v>
      </c>
      <c r="EG43">
        <v>19.754899999999999</v>
      </c>
      <c r="EH43">
        <v>1799.99</v>
      </c>
      <c r="EI43">
        <v>0.97800699999999996</v>
      </c>
      <c r="EJ43">
        <v>2.1993100000000002E-2</v>
      </c>
      <c r="EK43">
        <v>0</v>
      </c>
      <c r="EL43">
        <v>724.20399999999995</v>
      </c>
      <c r="EM43">
        <v>5.0005300000000004</v>
      </c>
      <c r="EN43">
        <v>15830.4</v>
      </c>
      <c r="EO43">
        <v>16035.2</v>
      </c>
      <c r="EP43">
        <v>49.686999999999998</v>
      </c>
      <c r="EQ43">
        <v>51.186999999999998</v>
      </c>
      <c r="ER43">
        <v>50.375</v>
      </c>
      <c r="ES43">
        <v>50.436999999999998</v>
      </c>
      <c r="ET43">
        <v>51</v>
      </c>
      <c r="EU43">
        <v>1755.51</v>
      </c>
      <c r="EV43">
        <v>39.479999999999997</v>
      </c>
      <c r="EW43">
        <v>0</v>
      </c>
      <c r="EX43">
        <v>124.19999980926509</v>
      </c>
      <c r="EY43">
        <v>0</v>
      </c>
      <c r="EZ43">
        <v>724.4083461538462</v>
      </c>
      <c r="FA43">
        <v>-3.4149401748826582</v>
      </c>
      <c r="FB43">
        <v>-21.189743560119311</v>
      </c>
      <c r="FC43">
        <v>15832.876923076919</v>
      </c>
      <c r="FD43">
        <v>15</v>
      </c>
      <c r="FE43">
        <v>1689004070.0999999</v>
      </c>
      <c r="FF43" t="s">
        <v>559</v>
      </c>
      <c r="FG43">
        <v>1689004067.0999999</v>
      </c>
      <c r="FH43">
        <v>1689004070.0999999</v>
      </c>
      <c r="FI43">
        <v>30</v>
      </c>
      <c r="FJ43">
        <v>-0.21</v>
      </c>
      <c r="FK43">
        <v>0</v>
      </c>
      <c r="FL43">
        <v>-0.625</v>
      </c>
      <c r="FM43">
        <v>3.5000000000000003E-2</v>
      </c>
      <c r="FN43">
        <v>700</v>
      </c>
      <c r="FO43">
        <v>23</v>
      </c>
      <c r="FP43">
        <v>0.02</v>
      </c>
      <c r="FQ43">
        <v>0.02</v>
      </c>
      <c r="FR43">
        <v>51.407433989195212</v>
      </c>
      <c r="FS43">
        <v>-0.59280932155486488</v>
      </c>
      <c r="FT43">
        <v>0.1098994158936983</v>
      </c>
      <c r="FU43">
        <v>1</v>
      </c>
      <c r="FV43">
        <v>0.3479937553731271</v>
      </c>
      <c r="FW43">
        <v>-2.4329902814823851E-2</v>
      </c>
      <c r="FX43">
        <v>2.0224329390030808E-3</v>
      </c>
      <c r="FY43">
        <v>1</v>
      </c>
      <c r="FZ43">
        <v>2</v>
      </c>
      <c r="GA43">
        <v>2</v>
      </c>
      <c r="GB43" t="s">
        <v>424</v>
      </c>
      <c r="GC43">
        <v>3.1149300000000002</v>
      </c>
      <c r="GD43">
        <v>2.7676500000000002</v>
      </c>
      <c r="GE43">
        <v>0.12501000000000001</v>
      </c>
      <c r="GF43">
        <v>0.133549</v>
      </c>
      <c r="GG43">
        <v>0.122159</v>
      </c>
      <c r="GH43">
        <v>0.105715</v>
      </c>
      <c r="GI43">
        <v>21036.6</v>
      </c>
      <c r="GJ43">
        <v>21567.3</v>
      </c>
      <c r="GK43">
        <v>23893.4</v>
      </c>
      <c r="GL43">
        <v>25193.5</v>
      </c>
      <c r="GM43">
        <v>30218.5</v>
      </c>
      <c r="GN43">
        <v>31597.3</v>
      </c>
      <c r="GO43">
        <v>38071.4</v>
      </c>
      <c r="GP43">
        <v>39190</v>
      </c>
      <c r="GQ43">
        <v>2.1633300000000002</v>
      </c>
      <c r="GR43">
        <v>1.7805500000000001</v>
      </c>
      <c r="GS43">
        <v>4.9021099999999998E-2</v>
      </c>
      <c r="GT43">
        <v>0</v>
      </c>
      <c r="GU43">
        <v>29.181899999999999</v>
      </c>
      <c r="GV43">
        <v>999.9</v>
      </c>
      <c r="GW43">
        <v>32.4</v>
      </c>
      <c r="GX43">
        <v>42.7</v>
      </c>
      <c r="GY43">
        <v>27.962399999999999</v>
      </c>
      <c r="GZ43">
        <v>60.838900000000002</v>
      </c>
      <c r="HA43">
        <v>28.120999999999999</v>
      </c>
      <c r="HB43">
        <v>1</v>
      </c>
      <c r="HC43">
        <v>0.349634</v>
      </c>
      <c r="HD43">
        <v>1.1184099999999999</v>
      </c>
      <c r="HE43">
        <v>20.317499999999999</v>
      </c>
      <c r="HF43">
        <v>5.2533799999999999</v>
      </c>
      <c r="HG43">
        <v>12.0099</v>
      </c>
      <c r="HH43">
        <v>4.9797500000000001</v>
      </c>
      <c r="HI43">
        <v>3.2930000000000001</v>
      </c>
      <c r="HJ43">
        <v>9999</v>
      </c>
      <c r="HK43">
        <v>9999</v>
      </c>
      <c r="HL43">
        <v>9999</v>
      </c>
      <c r="HM43">
        <v>232.6</v>
      </c>
      <c r="HN43">
        <v>1.87561</v>
      </c>
      <c r="HO43">
        <v>1.8766799999999999</v>
      </c>
      <c r="HP43">
        <v>1.8827499999999999</v>
      </c>
      <c r="HQ43">
        <v>1.8859699999999999</v>
      </c>
      <c r="HR43">
        <v>1.8767100000000001</v>
      </c>
      <c r="HS43">
        <v>1.8830899999999999</v>
      </c>
      <c r="HT43">
        <v>1.88208</v>
      </c>
      <c r="HU43">
        <v>1.88561</v>
      </c>
      <c r="HV43">
        <v>0</v>
      </c>
      <c r="HW43">
        <v>0</v>
      </c>
      <c r="HX43">
        <v>0</v>
      </c>
      <c r="HY43">
        <v>0</v>
      </c>
      <c r="HZ43" t="s">
        <v>425</v>
      </c>
      <c r="IA43" t="s">
        <v>426</v>
      </c>
      <c r="IB43" t="s">
        <v>427</v>
      </c>
      <c r="IC43" t="s">
        <v>427</v>
      </c>
      <c r="ID43" t="s">
        <v>427</v>
      </c>
      <c r="IE43" t="s">
        <v>427</v>
      </c>
      <c r="IF43">
        <v>0</v>
      </c>
      <c r="IG43">
        <v>100</v>
      </c>
      <c r="IH43">
        <v>100</v>
      </c>
      <c r="II43">
        <v>-0.63</v>
      </c>
      <c r="IJ43">
        <v>4.3700000000000003E-2</v>
      </c>
      <c r="IK43">
        <v>-0.54960583830336474</v>
      </c>
      <c r="IL43">
        <v>-4.2852564239613137E-4</v>
      </c>
      <c r="IM43">
        <v>6.4980710991155998E-7</v>
      </c>
      <c r="IN43">
        <v>-2.7237938963984961E-10</v>
      </c>
      <c r="IO43">
        <v>-1.6045934846005579E-2</v>
      </c>
      <c r="IP43">
        <v>6.6907473102813496E-3</v>
      </c>
      <c r="IQ43">
        <v>-3.3673306238274028E-4</v>
      </c>
      <c r="IR43">
        <v>6.1311374003140313E-6</v>
      </c>
      <c r="IS43">
        <v>3</v>
      </c>
      <c r="IT43">
        <v>2101</v>
      </c>
      <c r="IU43">
        <v>1</v>
      </c>
      <c r="IV43">
        <v>32</v>
      </c>
      <c r="IW43">
        <v>0.7</v>
      </c>
      <c r="IX43">
        <v>0.6</v>
      </c>
      <c r="IY43">
        <v>1.5991200000000001</v>
      </c>
      <c r="IZ43">
        <v>2.7099600000000001</v>
      </c>
      <c r="JA43">
        <v>1.6015600000000001</v>
      </c>
      <c r="JB43">
        <v>2.3303199999999999</v>
      </c>
      <c r="JC43">
        <v>1.5502899999999999</v>
      </c>
      <c r="JD43">
        <v>2.3767100000000001</v>
      </c>
      <c r="JE43">
        <v>47.451599999999999</v>
      </c>
      <c r="JF43">
        <v>24.105</v>
      </c>
      <c r="JG43">
        <v>18</v>
      </c>
      <c r="JH43">
        <v>589.76099999999997</v>
      </c>
      <c r="JI43">
        <v>399.274</v>
      </c>
      <c r="JJ43">
        <v>28.093499999999999</v>
      </c>
      <c r="JK43">
        <v>31.880600000000001</v>
      </c>
      <c r="JL43">
        <v>30.0001</v>
      </c>
      <c r="JM43">
        <v>32.020699999999998</v>
      </c>
      <c r="JN43">
        <v>32.0167</v>
      </c>
      <c r="JO43">
        <v>31.998100000000001</v>
      </c>
      <c r="JP43">
        <v>18.063300000000002</v>
      </c>
      <c r="JQ43">
        <v>1.8355900000000001</v>
      </c>
      <c r="JR43">
        <v>28.102499999999999</v>
      </c>
      <c r="JS43">
        <v>700</v>
      </c>
      <c r="JT43">
        <v>23.3018</v>
      </c>
      <c r="JU43">
        <v>99.315600000000003</v>
      </c>
      <c r="JV43">
        <v>99.194100000000006</v>
      </c>
    </row>
    <row r="44" spans="1:282" x14ac:dyDescent="0.25">
      <c r="A44">
        <v>28</v>
      </c>
      <c r="B44">
        <v>1689004227.5999999</v>
      </c>
      <c r="C44">
        <v>4405</v>
      </c>
      <c r="D44" t="s">
        <v>560</v>
      </c>
      <c r="E44" t="s">
        <v>561</v>
      </c>
      <c r="F44" t="s">
        <v>414</v>
      </c>
      <c r="G44" t="s">
        <v>415</v>
      </c>
      <c r="H44" t="s">
        <v>418</v>
      </c>
      <c r="I44" t="s">
        <v>501</v>
      </c>
      <c r="J44" t="s">
        <v>416</v>
      </c>
      <c r="K44">
        <v>1689004227.5999999</v>
      </c>
      <c r="L44">
        <f t="shared" si="0"/>
        <v>4.3565657619504417E-3</v>
      </c>
      <c r="M44">
        <f t="shared" si="1"/>
        <v>4.3565657619504421</v>
      </c>
      <c r="N44">
        <f t="shared" si="2"/>
        <v>50.817267911735883</v>
      </c>
      <c r="O44">
        <f t="shared" si="3"/>
        <v>834.66600000000005</v>
      </c>
      <c r="P44">
        <f t="shared" si="4"/>
        <v>545.47874197920237</v>
      </c>
      <c r="Q44">
        <f t="shared" si="5"/>
        <v>54.107264725948269</v>
      </c>
      <c r="R44">
        <f t="shared" si="6"/>
        <v>82.792400040898812</v>
      </c>
      <c r="S44">
        <f t="shared" si="7"/>
        <v>0.31294349021941359</v>
      </c>
      <c r="T44">
        <f t="shared" si="8"/>
        <v>2.9144517238949001</v>
      </c>
      <c r="U44">
        <f t="shared" si="9"/>
        <v>0.29540196934787516</v>
      </c>
      <c r="V44">
        <f t="shared" si="10"/>
        <v>0.18612028048824425</v>
      </c>
      <c r="W44">
        <f t="shared" si="11"/>
        <v>289.5531233269021</v>
      </c>
      <c r="X44">
        <f t="shared" si="12"/>
        <v>30.927078889725948</v>
      </c>
      <c r="Y44">
        <f t="shared" si="13"/>
        <v>29.974299999999999</v>
      </c>
      <c r="Z44">
        <f t="shared" si="14"/>
        <v>4.2541645961977057</v>
      </c>
      <c r="AA44">
        <f t="shared" si="15"/>
        <v>65.413837489304754</v>
      </c>
      <c r="AB44">
        <f t="shared" si="16"/>
        <v>2.8436236361520395</v>
      </c>
      <c r="AC44">
        <f t="shared" si="17"/>
        <v>4.3471285973964999</v>
      </c>
      <c r="AD44">
        <f t="shared" si="18"/>
        <v>1.4105409600456662</v>
      </c>
      <c r="AE44">
        <f t="shared" si="19"/>
        <v>-192.12455010201447</v>
      </c>
      <c r="AF44">
        <f t="shared" si="20"/>
        <v>59.204293560392621</v>
      </c>
      <c r="AG44">
        <f t="shared" si="21"/>
        <v>4.5241293340553987</v>
      </c>
      <c r="AH44">
        <f t="shared" si="22"/>
        <v>161.15699611933562</v>
      </c>
      <c r="AI44">
        <v>0</v>
      </c>
      <c r="AJ44">
        <v>0</v>
      </c>
      <c r="AK44">
        <f t="shared" si="23"/>
        <v>1</v>
      </c>
      <c r="AL44">
        <f t="shared" si="24"/>
        <v>0</v>
      </c>
      <c r="AM44">
        <f t="shared" si="25"/>
        <v>51843.225176360975</v>
      </c>
      <c r="AN44" t="s">
        <v>419</v>
      </c>
      <c r="AO44">
        <v>9967.0300000000007</v>
      </c>
      <c r="AP44">
        <v>178.94153846153841</v>
      </c>
      <c r="AQ44">
        <v>603.15</v>
      </c>
      <c r="AR44">
        <f t="shared" si="26"/>
        <v>0.7033216638290003</v>
      </c>
      <c r="AS44">
        <v>-3.2649104154664181</v>
      </c>
      <c r="AT44" t="s">
        <v>562</v>
      </c>
      <c r="AU44">
        <v>8047.62</v>
      </c>
      <c r="AV44">
        <v>722.70446153846149</v>
      </c>
      <c r="AW44">
        <v>1185.147534489133</v>
      </c>
      <c r="AX44">
        <f t="shared" si="27"/>
        <v>0.3901987385477802</v>
      </c>
      <c r="AY44">
        <v>0.5</v>
      </c>
      <c r="AZ44">
        <f t="shared" si="28"/>
        <v>1513.1171996512446</v>
      </c>
      <c r="BA44">
        <f t="shared" si="29"/>
        <v>50.817267911735883</v>
      </c>
      <c r="BB44">
        <f t="shared" si="30"/>
        <v>295.20821128943265</v>
      </c>
      <c r="BC44">
        <f t="shared" si="31"/>
        <v>3.5742226933688677E-2</v>
      </c>
      <c r="BD44">
        <f t="shared" si="32"/>
        <v>-0.49107602011761986</v>
      </c>
      <c r="BE44">
        <f t="shared" si="33"/>
        <v>209.45778121198558</v>
      </c>
      <c r="BF44" t="s">
        <v>563</v>
      </c>
      <c r="BG44">
        <v>554.89</v>
      </c>
      <c r="BH44">
        <f t="shared" si="34"/>
        <v>554.89</v>
      </c>
      <c r="BI44">
        <f t="shared" si="35"/>
        <v>0.53179668872264951</v>
      </c>
      <c r="BJ44">
        <f t="shared" si="36"/>
        <v>0.73373668325205088</v>
      </c>
      <c r="BK44">
        <f t="shared" si="37"/>
        <v>-12.059625662849838</v>
      </c>
      <c r="BL44">
        <f t="shared" si="38"/>
        <v>0.45959085393682081</v>
      </c>
      <c r="BM44">
        <f t="shared" si="39"/>
        <v>-1.3719611635713806</v>
      </c>
      <c r="BN44">
        <f t="shared" si="40"/>
        <v>0.56336050188900466</v>
      </c>
      <c r="BO44">
        <f t="shared" si="41"/>
        <v>0.43663949811099534</v>
      </c>
      <c r="BP44">
        <v>6091</v>
      </c>
      <c r="BQ44">
        <v>290.00000000000011</v>
      </c>
      <c r="BR44">
        <v>1027.03</v>
      </c>
      <c r="BS44">
        <v>295</v>
      </c>
      <c r="BT44">
        <v>8047.62</v>
      </c>
      <c r="BU44">
        <v>1030.02</v>
      </c>
      <c r="BV44">
        <v>-2.99</v>
      </c>
      <c r="BW44">
        <v>300.00000000000011</v>
      </c>
      <c r="BX44">
        <v>19.399999999999999</v>
      </c>
      <c r="BY44">
        <v>1185.147534489133</v>
      </c>
      <c r="BZ44">
        <v>6.0492268064973764</v>
      </c>
      <c r="CA44">
        <v>-124.83734557778</v>
      </c>
      <c r="CB44">
        <v>4.4720939551870158</v>
      </c>
      <c r="CC44">
        <v>0.96531359883012025</v>
      </c>
      <c r="CD44">
        <v>-4.153856284760846E-3</v>
      </c>
      <c r="CE44">
        <v>289.99999999999989</v>
      </c>
      <c r="CF44">
        <v>1019.29</v>
      </c>
      <c r="CG44">
        <v>625</v>
      </c>
      <c r="CH44">
        <v>8038.89</v>
      </c>
      <c r="CI44">
        <v>1029.8599999999999</v>
      </c>
      <c r="CJ44">
        <v>-10.57</v>
      </c>
      <c r="CX44">
        <f t="shared" si="42"/>
        <v>1799.92</v>
      </c>
      <c r="CY44">
        <f t="shared" si="43"/>
        <v>1513.1171996512446</v>
      </c>
      <c r="CZ44">
        <f t="shared" si="44"/>
        <v>0.84065802905198261</v>
      </c>
      <c r="DA44">
        <f t="shared" si="45"/>
        <v>0.16086999607032651</v>
      </c>
      <c r="DB44">
        <v>6</v>
      </c>
      <c r="DC44">
        <v>0.5</v>
      </c>
      <c r="DD44" t="s">
        <v>422</v>
      </c>
      <c r="DE44">
        <v>2</v>
      </c>
      <c r="DF44">
        <v>1689004227.5999999</v>
      </c>
      <c r="DG44">
        <v>834.66600000000005</v>
      </c>
      <c r="DH44">
        <v>899.98699999999997</v>
      </c>
      <c r="DI44">
        <v>28.6678</v>
      </c>
      <c r="DJ44">
        <v>23.5916</v>
      </c>
      <c r="DK44">
        <v>835.20500000000004</v>
      </c>
      <c r="DL44">
        <v>28.627700000000001</v>
      </c>
      <c r="DM44">
        <v>500.178</v>
      </c>
      <c r="DN44">
        <v>99.092299999999994</v>
      </c>
      <c r="DO44">
        <v>9.9951799999999993E-2</v>
      </c>
      <c r="DP44">
        <v>30.351099999999999</v>
      </c>
      <c r="DQ44">
        <v>29.974299999999999</v>
      </c>
      <c r="DR44">
        <v>999.9</v>
      </c>
      <c r="DS44">
        <v>0</v>
      </c>
      <c r="DT44">
        <v>0</v>
      </c>
      <c r="DU44">
        <v>10005</v>
      </c>
      <c r="DV44">
        <v>0</v>
      </c>
      <c r="DW44">
        <v>2080.38</v>
      </c>
      <c r="DX44">
        <v>-65.321200000000005</v>
      </c>
      <c r="DY44">
        <v>859.3</v>
      </c>
      <c r="DZ44">
        <v>921.73199999999997</v>
      </c>
      <c r="EA44">
        <v>5.0762400000000003</v>
      </c>
      <c r="EB44">
        <v>899.98699999999997</v>
      </c>
      <c r="EC44">
        <v>23.5916</v>
      </c>
      <c r="ED44">
        <v>2.84076</v>
      </c>
      <c r="EE44">
        <v>2.3377400000000002</v>
      </c>
      <c r="EF44">
        <v>23.122900000000001</v>
      </c>
      <c r="EG44">
        <v>19.9389</v>
      </c>
      <c r="EH44">
        <v>1799.92</v>
      </c>
      <c r="EI44">
        <v>0.97800699999999996</v>
      </c>
      <c r="EJ44">
        <v>2.1993100000000002E-2</v>
      </c>
      <c r="EK44">
        <v>0</v>
      </c>
      <c r="EL44">
        <v>722.43</v>
      </c>
      <c r="EM44">
        <v>5.0005300000000004</v>
      </c>
      <c r="EN44">
        <v>15905</v>
      </c>
      <c r="EO44">
        <v>16034.5</v>
      </c>
      <c r="EP44">
        <v>49.811999999999998</v>
      </c>
      <c r="EQ44">
        <v>51.311999999999998</v>
      </c>
      <c r="ER44">
        <v>50.5</v>
      </c>
      <c r="ES44">
        <v>50.436999999999998</v>
      </c>
      <c r="ET44">
        <v>51.061999999999998</v>
      </c>
      <c r="EU44">
        <v>1755.44</v>
      </c>
      <c r="EV44">
        <v>39.479999999999997</v>
      </c>
      <c r="EW44">
        <v>0</v>
      </c>
      <c r="EX44">
        <v>118.7999999523163</v>
      </c>
      <c r="EY44">
        <v>0</v>
      </c>
      <c r="EZ44">
        <v>722.70446153846149</v>
      </c>
      <c r="FA44">
        <v>-2.183521377385377</v>
      </c>
      <c r="FB44">
        <v>27.617094019592411</v>
      </c>
      <c r="FC44">
        <v>15902.384615384621</v>
      </c>
      <c r="FD44">
        <v>15</v>
      </c>
      <c r="FE44">
        <v>1689004179.5999999</v>
      </c>
      <c r="FF44" t="s">
        <v>564</v>
      </c>
      <c r="FG44">
        <v>1689004179.5999999</v>
      </c>
      <c r="FH44">
        <v>1689004175.0999999</v>
      </c>
      <c r="FI44">
        <v>31</v>
      </c>
      <c r="FJ44">
        <v>7.3999999999999996E-2</v>
      </c>
      <c r="FK44">
        <v>-3.0000000000000001E-3</v>
      </c>
      <c r="FL44">
        <v>-0.53400000000000003</v>
      </c>
      <c r="FM44">
        <v>3.1E-2</v>
      </c>
      <c r="FN44">
        <v>900</v>
      </c>
      <c r="FO44">
        <v>23</v>
      </c>
      <c r="FP44">
        <v>0.05</v>
      </c>
      <c r="FQ44">
        <v>0.02</v>
      </c>
      <c r="FR44">
        <v>50.838423818180082</v>
      </c>
      <c r="FS44">
        <v>-0.68128876676638572</v>
      </c>
      <c r="FT44">
        <v>6.0539120927132928E-2</v>
      </c>
      <c r="FU44">
        <v>1</v>
      </c>
      <c r="FV44">
        <v>0.31485821570093331</v>
      </c>
      <c r="FW44">
        <v>-2.306892132182161E-2</v>
      </c>
      <c r="FX44">
        <v>1.7273086693710619E-3</v>
      </c>
      <c r="FY44">
        <v>1</v>
      </c>
      <c r="FZ44">
        <v>2</v>
      </c>
      <c r="GA44">
        <v>2</v>
      </c>
      <c r="GB44" t="s">
        <v>424</v>
      </c>
      <c r="GC44">
        <v>3.1149200000000001</v>
      </c>
      <c r="GD44">
        <v>2.7673000000000001</v>
      </c>
      <c r="GE44">
        <v>0.15036099999999999</v>
      </c>
      <c r="GF44">
        <v>0.15776200000000001</v>
      </c>
      <c r="GG44">
        <v>0.121778</v>
      </c>
      <c r="GH44">
        <v>0.106568</v>
      </c>
      <c r="GI44">
        <v>20427</v>
      </c>
      <c r="GJ44">
        <v>20964.2</v>
      </c>
      <c r="GK44">
        <v>23893.9</v>
      </c>
      <c r="GL44">
        <v>25193.9</v>
      </c>
      <c r="GM44">
        <v>30231.9</v>
      </c>
      <c r="GN44">
        <v>31567.4</v>
      </c>
      <c r="GO44">
        <v>38071.9</v>
      </c>
      <c r="GP44">
        <v>39190.400000000001</v>
      </c>
      <c r="GQ44">
        <v>2.1631499999999999</v>
      </c>
      <c r="GR44">
        <v>1.7811300000000001</v>
      </c>
      <c r="GS44">
        <v>4.1492300000000003E-2</v>
      </c>
      <c r="GT44">
        <v>0</v>
      </c>
      <c r="GU44">
        <v>29.2987</v>
      </c>
      <c r="GV44">
        <v>999.9</v>
      </c>
      <c r="GW44">
        <v>32.299999999999997</v>
      </c>
      <c r="GX44">
        <v>42.8</v>
      </c>
      <c r="GY44">
        <v>28.024000000000001</v>
      </c>
      <c r="GZ44">
        <v>61.158900000000003</v>
      </c>
      <c r="HA44">
        <v>27.892600000000002</v>
      </c>
      <c r="HB44">
        <v>1</v>
      </c>
      <c r="HC44">
        <v>0.34933199999999998</v>
      </c>
      <c r="HD44">
        <v>0.76531899999999997</v>
      </c>
      <c r="HE44">
        <v>20.319900000000001</v>
      </c>
      <c r="HF44">
        <v>5.2530799999999997</v>
      </c>
      <c r="HG44">
        <v>12.0099</v>
      </c>
      <c r="HH44">
        <v>4.9794499999999999</v>
      </c>
      <c r="HI44">
        <v>3.2930000000000001</v>
      </c>
      <c r="HJ44">
        <v>9999</v>
      </c>
      <c r="HK44">
        <v>9999</v>
      </c>
      <c r="HL44">
        <v>9999</v>
      </c>
      <c r="HM44">
        <v>232.6</v>
      </c>
      <c r="HN44">
        <v>1.87561</v>
      </c>
      <c r="HO44">
        <v>1.8766799999999999</v>
      </c>
      <c r="HP44">
        <v>1.88273</v>
      </c>
      <c r="HQ44">
        <v>1.8859399999999999</v>
      </c>
      <c r="HR44">
        <v>1.8767</v>
      </c>
      <c r="HS44">
        <v>1.8830899999999999</v>
      </c>
      <c r="HT44">
        <v>1.8820699999999999</v>
      </c>
      <c r="HU44">
        <v>1.88558</v>
      </c>
      <c r="HV44">
        <v>0</v>
      </c>
      <c r="HW44">
        <v>0</v>
      </c>
      <c r="HX44">
        <v>0</v>
      </c>
      <c r="HY44">
        <v>0</v>
      </c>
      <c r="HZ44" t="s">
        <v>425</v>
      </c>
      <c r="IA44" t="s">
        <v>426</v>
      </c>
      <c r="IB44" t="s">
        <v>427</v>
      </c>
      <c r="IC44" t="s">
        <v>427</v>
      </c>
      <c r="ID44" t="s">
        <v>427</v>
      </c>
      <c r="IE44" t="s">
        <v>427</v>
      </c>
      <c r="IF44">
        <v>0</v>
      </c>
      <c r="IG44">
        <v>100</v>
      </c>
      <c r="IH44">
        <v>100</v>
      </c>
      <c r="II44">
        <v>-0.53900000000000003</v>
      </c>
      <c r="IJ44">
        <v>4.0099999999999997E-2</v>
      </c>
      <c r="IK44">
        <v>-0.47608269385529461</v>
      </c>
      <c r="IL44">
        <v>-4.2852564239613137E-4</v>
      </c>
      <c r="IM44">
        <v>6.4980710991155998E-7</v>
      </c>
      <c r="IN44">
        <v>-2.7237938963984961E-10</v>
      </c>
      <c r="IO44">
        <v>-1.9284914738146839E-2</v>
      </c>
      <c r="IP44">
        <v>6.6907473102813496E-3</v>
      </c>
      <c r="IQ44">
        <v>-3.3673306238274028E-4</v>
      </c>
      <c r="IR44">
        <v>6.1311374003140313E-6</v>
      </c>
      <c r="IS44">
        <v>3</v>
      </c>
      <c r="IT44">
        <v>2101</v>
      </c>
      <c r="IU44">
        <v>1</v>
      </c>
      <c r="IV44">
        <v>32</v>
      </c>
      <c r="IW44">
        <v>0.8</v>
      </c>
      <c r="IX44">
        <v>0.9</v>
      </c>
      <c r="IY44">
        <v>1.96533</v>
      </c>
      <c r="IZ44">
        <v>2.6904300000000001</v>
      </c>
      <c r="JA44">
        <v>1.6015600000000001</v>
      </c>
      <c r="JB44">
        <v>2.3315399999999999</v>
      </c>
      <c r="JC44">
        <v>1.5502899999999999</v>
      </c>
      <c r="JD44">
        <v>2.4658199999999999</v>
      </c>
      <c r="JE44">
        <v>47.4816</v>
      </c>
      <c r="JF44">
        <v>24.113800000000001</v>
      </c>
      <c r="JG44">
        <v>18</v>
      </c>
      <c r="JH44">
        <v>589.66399999999999</v>
      </c>
      <c r="JI44">
        <v>399.67200000000003</v>
      </c>
      <c r="JJ44">
        <v>27.718800000000002</v>
      </c>
      <c r="JK44">
        <v>31.894600000000001</v>
      </c>
      <c r="JL44">
        <v>29.998699999999999</v>
      </c>
      <c r="JM44">
        <v>32.023400000000002</v>
      </c>
      <c r="JN44">
        <v>32.022300000000001</v>
      </c>
      <c r="JO44">
        <v>39.317300000000003</v>
      </c>
      <c r="JP44">
        <v>16.7303</v>
      </c>
      <c r="JQ44">
        <v>2.3648400000000001</v>
      </c>
      <c r="JR44">
        <v>27.730899999999998</v>
      </c>
      <c r="JS44">
        <v>900</v>
      </c>
      <c r="JT44">
        <v>23.576899999999998</v>
      </c>
      <c r="JU44">
        <v>99.3172</v>
      </c>
      <c r="JV44">
        <v>99.195300000000003</v>
      </c>
    </row>
    <row r="45" spans="1:282" x14ac:dyDescent="0.25">
      <c r="A45">
        <v>29</v>
      </c>
      <c r="B45">
        <v>1689004395.5999999</v>
      </c>
      <c r="C45">
        <v>4573</v>
      </c>
      <c r="D45" t="s">
        <v>565</v>
      </c>
      <c r="E45" t="s">
        <v>566</v>
      </c>
      <c r="F45" t="s">
        <v>414</v>
      </c>
      <c r="G45" t="s">
        <v>415</v>
      </c>
      <c r="H45" t="s">
        <v>418</v>
      </c>
      <c r="I45" t="s">
        <v>501</v>
      </c>
      <c r="J45" t="s">
        <v>416</v>
      </c>
      <c r="K45">
        <v>1689004395.5999999</v>
      </c>
      <c r="L45">
        <f t="shared" si="0"/>
        <v>4.0878851937938528E-3</v>
      </c>
      <c r="M45">
        <f t="shared" si="1"/>
        <v>4.087885193793853</v>
      </c>
      <c r="N45">
        <f t="shared" si="2"/>
        <v>49.791301005194441</v>
      </c>
      <c r="O45">
        <f t="shared" si="3"/>
        <v>1134.74</v>
      </c>
      <c r="P45">
        <f t="shared" si="4"/>
        <v>819.68144650755244</v>
      </c>
      <c r="Q45">
        <f t="shared" si="5"/>
        <v>81.309605199498051</v>
      </c>
      <c r="R45">
        <f t="shared" si="6"/>
        <v>112.56233967134</v>
      </c>
      <c r="S45">
        <f t="shared" si="7"/>
        <v>0.28586071404398367</v>
      </c>
      <c r="T45">
        <f t="shared" si="8"/>
        <v>2.9112418562452431</v>
      </c>
      <c r="U45">
        <f t="shared" si="9"/>
        <v>0.27113200721265596</v>
      </c>
      <c r="V45">
        <f t="shared" si="10"/>
        <v>0.17071755600912275</v>
      </c>
      <c r="W45">
        <f t="shared" si="11"/>
        <v>289.57488832712488</v>
      </c>
      <c r="X45">
        <f t="shared" si="12"/>
        <v>30.857181263802179</v>
      </c>
      <c r="Y45">
        <f t="shared" si="13"/>
        <v>29.983699999999999</v>
      </c>
      <c r="Z45">
        <f t="shared" si="14"/>
        <v>4.2564625165007284</v>
      </c>
      <c r="AA45">
        <f t="shared" si="15"/>
        <v>65.26082142087094</v>
      </c>
      <c r="AB45">
        <f t="shared" si="16"/>
        <v>2.8141676080335998</v>
      </c>
      <c r="AC45">
        <f t="shared" si="17"/>
        <v>4.3121853920361568</v>
      </c>
      <c r="AD45">
        <f t="shared" si="18"/>
        <v>1.4422949084671286</v>
      </c>
      <c r="AE45">
        <f t="shared" si="19"/>
        <v>-180.2757370463089</v>
      </c>
      <c r="AF45">
        <f t="shared" si="20"/>
        <v>35.565067358152469</v>
      </c>
      <c r="AG45">
        <f t="shared" si="21"/>
        <v>2.718951938421224</v>
      </c>
      <c r="AH45">
        <f t="shared" si="22"/>
        <v>147.58317057738969</v>
      </c>
      <c r="AI45">
        <v>0</v>
      </c>
      <c r="AJ45">
        <v>0</v>
      </c>
      <c r="AK45">
        <f t="shared" si="23"/>
        <v>1</v>
      </c>
      <c r="AL45">
        <f t="shared" si="24"/>
        <v>0</v>
      </c>
      <c r="AM45">
        <f t="shared" si="25"/>
        <v>51776.145776982274</v>
      </c>
      <c r="AN45" t="s">
        <v>419</v>
      </c>
      <c r="AO45">
        <v>9967.0300000000007</v>
      </c>
      <c r="AP45">
        <v>178.94153846153841</v>
      </c>
      <c r="AQ45">
        <v>603.15</v>
      </c>
      <c r="AR45">
        <f t="shared" si="26"/>
        <v>0.7033216638290003</v>
      </c>
      <c r="AS45">
        <v>-3.2649104154664181</v>
      </c>
      <c r="AT45" t="s">
        <v>567</v>
      </c>
      <c r="AU45">
        <v>8046.86</v>
      </c>
      <c r="AV45">
        <v>719.65035999999998</v>
      </c>
      <c r="AW45">
        <v>1183.432961430191</v>
      </c>
      <c r="AX45">
        <f t="shared" si="27"/>
        <v>0.39189596415305594</v>
      </c>
      <c r="AY45">
        <v>0.5</v>
      </c>
      <c r="AZ45">
        <f t="shared" si="28"/>
        <v>1513.2344996513598</v>
      </c>
      <c r="BA45">
        <f t="shared" si="29"/>
        <v>49.791301005194441</v>
      </c>
      <c r="BB45">
        <f t="shared" si="30"/>
        <v>296.51524661526844</v>
      </c>
      <c r="BC45">
        <f t="shared" si="31"/>
        <v>3.5061460357191626E-2</v>
      </c>
      <c r="BD45">
        <f t="shared" si="32"/>
        <v>-0.49033868443964335</v>
      </c>
      <c r="BE45">
        <f t="shared" si="33"/>
        <v>209.404161839831</v>
      </c>
      <c r="BF45" t="s">
        <v>568</v>
      </c>
      <c r="BG45">
        <v>554.13</v>
      </c>
      <c r="BH45">
        <f t="shared" si="34"/>
        <v>554.13</v>
      </c>
      <c r="BI45">
        <f t="shared" si="35"/>
        <v>0.53176054913129334</v>
      </c>
      <c r="BJ45">
        <f t="shared" si="36"/>
        <v>0.73697825984510124</v>
      </c>
      <c r="BK45">
        <f t="shared" si="37"/>
        <v>-11.837677711754207</v>
      </c>
      <c r="BL45">
        <f t="shared" si="38"/>
        <v>0.4617088715994585</v>
      </c>
      <c r="BM45">
        <f t="shared" si="39"/>
        <v>-1.3679193463649915</v>
      </c>
      <c r="BN45">
        <f t="shared" si="40"/>
        <v>0.56747246416713526</v>
      </c>
      <c r="BO45">
        <f t="shared" si="41"/>
        <v>0.43252753583286474</v>
      </c>
      <c r="BP45">
        <v>6093</v>
      </c>
      <c r="BQ45">
        <v>290.00000000000011</v>
      </c>
      <c r="BR45">
        <v>1022.74</v>
      </c>
      <c r="BS45">
        <v>295</v>
      </c>
      <c r="BT45">
        <v>8046.86</v>
      </c>
      <c r="BU45">
        <v>1027.01</v>
      </c>
      <c r="BV45">
        <v>-4.2699999999999996</v>
      </c>
      <c r="BW45">
        <v>300.00000000000011</v>
      </c>
      <c r="BX45">
        <v>19.399999999999999</v>
      </c>
      <c r="BY45">
        <v>1183.432961430191</v>
      </c>
      <c r="BZ45">
        <v>4.7438392750337428</v>
      </c>
      <c r="CA45">
        <v>-125.86903560712371</v>
      </c>
      <c r="CB45">
        <v>3.5066925815308689</v>
      </c>
      <c r="CC45">
        <v>0.97872947167476965</v>
      </c>
      <c r="CD45">
        <v>-4.1536852057842072E-3</v>
      </c>
      <c r="CE45">
        <v>289.99999999999989</v>
      </c>
      <c r="CF45">
        <v>1017.45</v>
      </c>
      <c r="CG45">
        <v>625</v>
      </c>
      <c r="CH45">
        <v>8038.07</v>
      </c>
      <c r="CI45">
        <v>1026.8399999999999</v>
      </c>
      <c r="CJ45">
        <v>-9.39</v>
      </c>
      <c r="CX45">
        <f t="shared" si="42"/>
        <v>1800.06</v>
      </c>
      <c r="CY45">
        <f t="shared" si="43"/>
        <v>1513.2344996513598</v>
      </c>
      <c r="CZ45">
        <f t="shared" si="44"/>
        <v>0.84065781121260397</v>
      </c>
      <c r="DA45">
        <f t="shared" si="45"/>
        <v>0.16086957564032581</v>
      </c>
      <c r="DB45">
        <v>6</v>
      </c>
      <c r="DC45">
        <v>0.5</v>
      </c>
      <c r="DD45" t="s">
        <v>422</v>
      </c>
      <c r="DE45">
        <v>2</v>
      </c>
      <c r="DF45">
        <v>1689004395.5999999</v>
      </c>
      <c r="DG45">
        <v>1134.74</v>
      </c>
      <c r="DH45">
        <v>1200.03</v>
      </c>
      <c r="DI45">
        <v>28.369599999999998</v>
      </c>
      <c r="DJ45">
        <v>23.6052</v>
      </c>
      <c r="DK45">
        <v>1135.3</v>
      </c>
      <c r="DL45">
        <v>28.325500000000002</v>
      </c>
      <c r="DM45">
        <v>500.19900000000001</v>
      </c>
      <c r="DN45">
        <v>99.096299999999999</v>
      </c>
      <c r="DO45">
        <v>0.10029100000000001</v>
      </c>
      <c r="DP45">
        <v>30.2103</v>
      </c>
      <c r="DQ45">
        <v>29.983699999999999</v>
      </c>
      <c r="DR45">
        <v>999.9</v>
      </c>
      <c r="DS45">
        <v>0</v>
      </c>
      <c r="DT45">
        <v>0</v>
      </c>
      <c r="DU45">
        <v>9986.25</v>
      </c>
      <c r="DV45">
        <v>0</v>
      </c>
      <c r="DW45">
        <v>2129.6</v>
      </c>
      <c r="DX45">
        <v>-65.293599999999998</v>
      </c>
      <c r="DY45">
        <v>1167.8699999999999</v>
      </c>
      <c r="DZ45">
        <v>1229.04</v>
      </c>
      <c r="EA45">
        <v>4.7643899999999997</v>
      </c>
      <c r="EB45">
        <v>1200.03</v>
      </c>
      <c r="EC45">
        <v>23.6052</v>
      </c>
      <c r="ED45">
        <v>2.8113199999999998</v>
      </c>
      <c r="EE45">
        <v>2.3391799999999998</v>
      </c>
      <c r="EF45">
        <v>22.950700000000001</v>
      </c>
      <c r="EG45">
        <v>19.948799999999999</v>
      </c>
      <c r="EH45">
        <v>1800.06</v>
      </c>
      <c r="EI45">
        <v>0.97801000000000005</v>
      </c>
      <c r="EJ45">
        <v>2.19899E-2</v>
      </c>
      <c r="EK45">
        <v>0</v>
      </c>
      <c r="EL45">
        <v>719.58199999999999</v>
      </c>
      <c r="EM45">
        <v>5.0005300000000004</v>
      </c>
      <c r="EN45">
        <v>15913.3</v>
      </c>
      <c r="EO45">
        <v>16035.8</v>
      </c>
      <c r="EP45">
        <v>49.936999999999998</v>
      </c>
      <c r="EQ45">
        <v>51.625</v>
      </c>
      <c r="ER45">
        <v>50.686999999999998</v>
      </c>
      <c r="ES45">
        <v>50.686999999999998</v>
      </c>
      <c r="ET45">
        <v>51.186999999999998</v>
      </c>
      <c r="EU45">
        <v>1755.59</v>
      </c>
      <c r="EV45">
        <v>39.47</v>
      </c>
      <c r="EW45">
        <v>0</v>
      </c>
      <c r="EX45">
        <v>166.20000004768369</v>
      </c>
      <c r="EY45">
        <v>0</v>
      </c>
      <c r="EZ45">
        <v>719.65035999999998</v>
      </c>
      <c r="FA45">
        <v>-1.062846143142939</v>
      </c>
      <c r="FB45">
        <v>-66.230769371990462</v>
      </c>
      <c r="FC45">
        <v>15921.428</v>
      </c>
      <c r="FD45">
        <v>15</v>
      </c>
      <c r="FE45">
        <v>1689004359.0999999</v>
      </c>
      <c r="FF45" t="s">
        <v>569</v>
      </c>
      <c r="FG45">
        <v>1689004359.0999999</v>
      </c>
      <c r="FH45">
        <v>1689004356.0999999</v>
      </c>
      <c r="FI45">
        <v>32</v>
      </c>
      <c r="FJ45">
        <v>-4.2000000000000003E-2</v>
      </c>
      <c r="FK45">
        <v>5.0000000000000001E-3</v>
      </c>
      <c r="FL45">
        <v>-0.56699999999999995</v>
      </c>
      <c r="FM45">
        <v>3.6999999999999998E-2</v>
      </c>
      <c r="FN45">
        <v>1200</v>
      </c>
      <c r="FO45">
        <v>24</v>
      </c>
      <c r="FP45">
        <v>0.04</v>
      </c>
      <c r="FQ45">
        <v>0.02</v>
      </c>
      <c r="FR45">
        <v>49.706857500255218</v>
      </c>
      <c r="FS45">
        <v>-0.6248533419365464</v>
      </c>
      <c r="FT45">
        <v>7.2589270538448658E-2</v>
      </c>
      <c r="FU45">
        <v>1</v>
      </c>
      <c r="FV45">
        <v>0.29056411015117578</v>
      </c>
      <c r="FW45">
        <v>-2.2971294691356042E-2</v>
      </c>
      <c r="FX45">
        <v>1.732698415625225E-3</v>
      </c>
      <c r="FY45">
        <v>1</v>
      </c>
      <c r="FZ45">
        <v>2</v>
      </c>
      <c r="GA45">
        <v>2</v>
      </c>
      <c r="GB45" t="s">
        <v>424</v>
      </c>
      <c r="GC45">
        <v>3.11524</v>
      </c>
      <c r="GD45">
        <v>2.7674799999999999</v>
      </c>
      <c r="GE45">
        <v>0.18301000000000001</v>
      </c>
      <c r="GF45">
        <v>0.18923200000000001</v>
      </c>
      <c r="GG45">
        <v>0.120875</v>
      </c>
      <c r="GH45">
        <v>0.106599</v>
      </c>
      <c r="GI45">
        <v>19636.3</v>
      </c>
      <c r="GJ45">
        <v>20174.400000000001</v>
      </c>
      <c r="GK45">
        <v>23888.7</v>
      </c>
      <c r="GL45">
        <v>25187.9</v>
      </c>
      <c r="GM45">
        <v>30257.1</v>
      </c>
      <c r="GN45">
        <v>31559.3</v>
      </c>
      <c r="GO45">
        <v>38064.6</v>
      </c>
      <c r="GP45">
        <v>39181.9</v>
      </c>
      <c r="GQ45">
        <v>2.1621999999999999</v>
      </c>
      <c r="GR45">
        <v>1.7787299999999999</v>
      </c>
      <c r="GS45">
        <v>4.02555E-2</v>
      </c>
      <c r="GT45">
        <v>0</v>
      </c>
      <c r="GU45">
        <v>29.328199999999999</v>
      </c>
      <c r="GV45">
        <v>999.9</v>
      </c>
      <c r="GW45">
        <v>32.200000000000003</v>
      </c>
      <c r="GX45">
        <v>43</v>
      </c>
      <c r="GY45">
        <v>28.229900000000001</v>
      </c>
      <c r="GZ45">
        <v>61.2789</v>
      </c>
      <c r="HA45">
        <v>28.072900000000001</v>
      </c>
      <c r="HB45">
        <v>1</v>
      </c>
      <c r="HC45">
        <v>0.360765</v>
      </c>
      <c r="HD45">
        <v>1.72763</v>
      </c>
      <c r="HE45">
        <v>20.311699999999998</v>
      </c>
      <c r="HF45">
        <v>5.2521800000000001</v>
      </c>
      <c r="HG45">
        <v>12.0099</v>
      </c>
      <c r="HH45">
        <v>4.9795499999999997</v>
      </c>
      <c r="HI45">
        <v>3.2930000000000001</v>
      </c>
      <c r="HJ45">
        <v>9999</v>
      </c>
      <c r="HK45">
        <v>9999</v>
      </c>
      <c r="HL45">
        <v>9999</v>
      </c>
      <c r="HM45">
        <v>232.7</v>
      </c>
      <c r="HN45">
        <v>1.87561</v>
      </c>
      <c r="HO45">
        <v>1.87669</v>
      </c>
      <c r="HP45">
        <v>1.88273</v>
      </c>
      <c r="HQ45">
        <v>1.8859699999999999</v>
      </c>
      <c r="HR45">
        <v>1.8767199999999999</v>
      </c>
      <c r="HS45">
        <v>1.8831</v>
      </c>
      <c r="HT45">
        <v>1.8820600000000001</v>
      </c>
      <c r="HU45">
        <v>1.8856200000000001</v>
      </c>
      <c r="HV45">
        <v>0</v>
      </c>
      <c r="HW45">
        <v>0</v>
      </c>
      <c r="HX45">
        <v>0</v>
      </c>
      <c r="HY45">
        <v>0</v>
      </c>
      <c r="HZ45" t="s">
        <v>425</v>
      </c>
      <c r="IA45" t="s">
        <v>426</v>
      </c>
      <c r="IB45" t="s">
        <v>427</v>
      </c>
      <c r="IC45" t="s">
        <v>427</v>
      </c>
      <c r="ID45" t="s">
        <v>427</v>
      </c>
      <c r="IE45" t="s">
        <v>427</v>
      </c>
      <c r="IF45">
        <v>0</v>
      </c>
      <c r="IG45">
        <v>100</v>
      </c>
      <c r="IH45">
        <v>100</v>
      </c>
      <c r="II45">
        <v>-0.56000000000000005</v>
      </c>
      <c r="IJ45">
        <v>4.41E-2</v>
      </c>
      <c r="IK45">
        <v>-0.5182982303133068</v>
      </c>
      <c r="IL45">
        <v>-4.2852564239613137E-4</v>
      </c>
      <c r="IM45">
        <v>6.4980710991155998E-7</v>
      </c>
      <c r="IN45">
        <v>-2.7237938963984961E-10</v>
      </c>
      <c r="IO45">
        <v>-1.462988457321379E-2</v>
      </c>
      <c r="IP45">
        <v>6.6907473102813496E-3</v>
      </c>
      <c r="IQ45">
        <v>-3.3673306238274028E-4</v>
      </c>
      <c r="IR45">
        <v>6.1311374003140313E-6</v>
      </c>
      <c r="IS45">
        <v>3</v>
      </c>
      <c r="IT45">
        <v>2101</v>
      </c>
      <c r="IU45">
        <v>1</v>
      </c>
      <c r="IV45">
        <v>32</v>
      </c>
      <c r="IW45">
        <v>0.6</v>
      </c>
      <c r="IX45">
        <v>0.7</v>
      </c>
      <c r="IY45">
        <v>2.4877899999999999</v>
      </c>
      <c r="IZ45">
        <v>2.6989700000000001</v>
      </c>
      <c r="JA45">
        <v>1.6015600000000001</v>
      </c>
      <c r="JB45">
        <v>2.3303199999999999</v>
      </c>
      <c r="JC45">
        <v>1.5502899999999999</v>
      </c>
      <c r="JD45">
        <v>2.3742700000000001</v>
      </c>
      <c r="JE45">
        <v>47.601900000000001</v>
      </c>
      <c r="JF45">
        <v>24.105</v>
      </c>
      <c r="JG45">
        <v>18</v>
      </c>
      <c r="JH45">
        <v>589.62099999999998</v>
      </c>
      <c r="JI45">
        <v>398.61200000000002</v>
      </c>
      <c r="JJ45">
        <v>27.442599999999999</v>
      </c>
      <c r="JK45">
        <v>31.988700000000001</v>
      </c>
      <c r="JL45">
        <v>30.000299999999999</v>
      </c>
      <c r="JM45">
        <v>32.090600000000002</v>
      </c>
      <c r="JN45">
        <v>32.087600000000002</v>
      </c>
      <c r="JO45">
        <v>49.7834</v>
      </c>
      <c r="JP45">
        <v>17.699300000000001</v>
      </c>
      <c r="JQ45">
        <v>3.1989399999999999</v>
      </c>
      <c r="JR45">
        <v>27.459499999999998</v>
      </c>
      <c r="JS45">
        <v>1200</v>
      </c>
      <c r="JT45">
        <v>23.557099999999998</v>
      </c>
      <c r="JU45">
        <v>99.2971</v>
      </c>
      <c r="JV45">
        <v>99.172899999999998</v>
      </c>
    </row>
    <row r="46" spans="1:282" x14ac:dyDescent="0.25">
      <c r="A46">
        <v>30</v>
      </c>
      <c r="B46">
        <v>1689004511.0999999</v>
      </c>
      <c r="C46">
        <v>4688.5</v>
      </c>
      <c r="D46" t="s">
        <v>570</v>
      </c>
      <c r="E46" t="s">
        <v>571</v>
      </c>
      <c r="F46" t="s">
        <v>414</v>
      </c>
      <c r="G46" t="s">
        <v>415</v>
      </c>
      <c r="H46" t="s">
        <v>418</v>
      </c>
      <c r="I46" t="s">
        <v>501</v>
      </c>
      <c r="J46" t="s">
        <v>416</v>
      </c>
      <c r="K46">
        <v>1689004511.0999999</v>
      </c>
      <c r="L46">
        <f t="shared" si="0"/>
        <v>3.5797596331447706E-3</v>
      </c>
      <c r="M46">
        <f t="shared" si="1"/>
        <v>3.5797596331447705</v>
      </c>
      <c r="N46">
        <f t="shared" si="2"/>
        <v>49.147722423715706</v>
      </c>
      <c r="O46">
        <f t="shared" si="3"/>
        <v>1434.85</v>
      </c>
      <c r="P46">
        <f t="shared" si="4"/>
        <v>1077.1818514875863</v>
      </c>
      <c r="Q46">
        <f t="shared" si="5"/>
        <v>106.85757070851263</v>
      </c>
      <c r="R46">
        <f t="shared" si="6"/>
        <v>142.33862659249999</v>
      </c>
      <c r="S46">
        <f t="shared" si="7"/>
        <v>0.24973612544685153</v>
      </c>
      <c r="T46">
        <f t="shared" si="8"/>
        <v>2.9104492682330889</v>
      </c>
      <c r="U46">
        <f t="shared" si="9"/>
        <v>0.23841264878732954</v>
      </c>
      <c r="V46">
        <f t="shared" si="10"/>
        <v>0.1499824844800752</v>
      </c>
      <c r="W46">
        <f t="shared" si="11"/>
        <v>289.55964832640183</v>
      </c>
      <c r="X46">
        <f t="shared" si="12"/>
        <v>30.877072699906581</v>
      </c>
      <c r="Y46">
        <f t="shared" si="13"/>
        <v>29.8857</v>
      </c>
      <c r="Z46">
        <f t="shared" si="14"/>
        <v>4.2325585410109241</v>
      </c>
      <c r="AA46">
        <f t="shared" si="15"/>
        <v>65.256741380256173</v>
      </c>
      <c r="AB46">
        <f t="shared" si="16"/>
        <v>2.7958228725699996</v>
      </c>
      <c r="AC46">
        <f t="shared" si="17"/>
        <v>4.284343369642869</v>
      </c>
      <c r="AD46">
        <f t="shared" si="18"/>
        <v>1.4367356684409245</v>
      </c>
      <c r="AE46">
        <f t="shared" si="19"/>
        <v>-157.86739982168439</v>
      </c>
      <c r="AF46">
        <f t="shared" si="20"/>
        <v>33.217453438899618</v>
      </c>
      <c r="AG46">
        <f t="shared" si="21"/>
        <v>2.5375178892113763</v>
      </c>
      <c r="AH46">
        <f t="shared" si="22"/>
        <v>167.44721983282841</v>
      </c>
      <c r="AI46">
        <v>0</v>
      </c>
      <c r="AJ46">
        <v>0</v>
      </c>
      <c r="AK46">
        <f t="shared" si="23"/>
        <v>1</v>
      </c>
      <c r="AL46">
        <f t="shared" si="24"/>
        <v>0</v>
      </c>
      <c r="AM46">
        <f t="shared" si="25"/>
        <v>51773.003334495312</v>
      </c>
      <c r="AN46" t="s">
        <v>419</v>
      </c>
      <c r="AO46">
        <v>9967.0300000000007</v>
      </c>
      <c r="AP46">
        <v>178.94153846153841</v>
      </c>
      <c r="AQ46">
        <v>603.15</v>
      </c>
      <c r="AR46">
        <f t="shared" si="26"/>
        <v>0.7033216638290003</v>
      </c>
      <c r="AS46">
        <v>-3.2649104154664181</v>
      </c>
      <c r="AT46" t="s">
        <v>572</v>
      </c>
      <c r="AU46">
        <v>8046.14</v>
      </c>
      <c r="AV46">
        <v>718.47076923076929</v>
      </c>
      <c r="AW46">
        <v>1166.5258876012831</v>
      </c>
      <c r="AX46">
        <f t="shared" si="27"/>
        <v>0.38409359203493165</v>
      </c>
      <c r="AY46">
        <v>0.5</v>
      </c>
      <c r="AZ46">
        <f t="shared" si="28"/>
        <v>1513.1432996509852</v>
      </c>
      <c r="BA46">
        <f t="shared" si="29"/>
        <v>49.147722423715706</v>
      </c>
      <c r="BB46">
        <f t="shared" si="30"/>
        <v>290.59432261326793</v>
      </c>
      <c r="BC46">
        <f t="shared" si="31"/>
        <v>3.4638247977750281E-2</v>
      </c>
      <c r="BD46">
        <f t="shared" si="32"/>
        <v>-0.48295189467226313</v>
      </c>
      <c r="BE46">
        <f t="shared" si="33"/>
        <v>208.86850251606094</v>
      </c>
      <c r="BF46" t="s">
        <v>573</v>
      </c>
      <c r="BG46">
        <v>554.66999999999996</v>
      </c>
      <c r="BH46">
        <f t="shared" si="34"/>
        <v>554.66999999999996</v>
      </c>
      <c r="BI46">
        <f t="shared" si="35"/>
        <v>0.52451119525468659</v>
      </c>
      <c r="BJ46">
        <f t="shared" si="36"/>
        <v>0.73228864418885786</v>
      </c>
      <c r="BK46">
        <f t="shared" si="37"/>
        <v>-11.620789760752535</v>
      </c>
      <c r="BL46">
        <f t="shared" si="38"/>
        <v>0.4536879495516522</v>
      </c>
      <c r="BM46">
        <f t="shared" si="39"/>
        <v>-1.3280637674178117</v>
      </c>
      <c r="BN46">
        <f t="shared" si="40"/>
        <v>0.56533760267952005</v>
      </c>
      <c r="BO46">
        <f t="shared" si="41"/>
        <v>0.43466239732047995</v>
      </c>
      <c r="BP46">
        <v>6095</v>
      </c>
      <c r="BQ46">
        <v>290.00000000000011</v>
      </c>
      <c r="BR46">
        <v>1019.36</v>
      </c>
      <c r="BS46">
        <v>285</v>
      </c>
      <c r="BT46">
        <v>8046.14</v>
      </c>
      <c r="BU46">
        <v>1023.02</v>
      </c>
      <c r="BV46">
        <v>-3.66</v>
      </c>
      <c r="BW46">
        <v>300.00000000000011</v>
      </c>
      <c r="BX46">
        <v>19.399999999999999</v>
      </c>
      <c r="BY46">
        <v>1166.5258876012831</v>
      </c>
      <c r="BZ46">
        <v>5.8671896814681643</v>
      </c>
      <c r="CA46">
        <v>-115.4680814021994</v>
      </c>
      <c r="CB46">
        <v>4.3367069973306487</v>
      </c>
      <c r="CC46">
        <v>0.96200456455621741</v>
      </c>
      <c r="CD46">
        <v>-4.1532849833147987E-3</v>
      </c>
      <c r="CE46">
        <v>289.99999999999989</v>
      </c>
      <c r="CF46">
        <v>1015.25</v>
      </c>
      <c r="CG46">
        <v>635</v>
      </c>
      <c r="CH46">
        <v>8037</v>
      </c>
      <c r="CI46">
        <v>1022.86</v>
      </c>
      <c r="CJ46">
        <v>-7.61</v>
      </c>
      <c r="CX46">
        <f t="shared" si="42"/>
        <v>1799.95</v>
      </c>
      <c r="CY46">
        <f t="shared" si="43"/>
        <v>1513.1432996509852</v>
      </c>
      <c r="CZ46">
        <f t="shared" si="44"/>
        <v>0.8406585180982723</v>
      </c>
      <c r="DA46">
        <f t="shared" si="45"/>
        <v>0.16087093992966572</v>
      </c>
      <c r="DB46">
        <v>6</v>
      </c>
      <c r="DC46">
        <v>0.5</v>
      </c>
      <c r="DD46" t="s">
        <v>422</v>
      </c>
      <c r="DE46">
        <v>2</v>
      </c>
      <c r="DF46">
        <v>1689004511.0999999</v>
      </c>
      <c r="DG46">
        <v>1434.85</v>
      </c>
      <c r="DH46">
        <v>1499.97</v>
      </c>
      <c r="DI46">
        <v>28.183399999999999</v>
      </c>
      <c r="DJ46">
        <v>24.010100000000001</v>
      </c>
      <c r="DK46">
        <v>1435.32</v>
      </c>
      <c r="DL46">
        <v>28.140699999999999</v>
      </c>
      <c r="DM46">
        <v>500.161</v>
      </c>
      <c r="DN46">
        <v>99.100999999999999</v>
      </c>
      <c r="DO46">
        <v>0.10005</v>
      </c>
      <c r="DP46">
        <v>30.0974</v>
      </c>
      <c r="DQ46">
        <v>29.8857</v>
      </c>
      <c r="DR46">
        <v>999.9</v>
      </c>
      <c r="DS46">
        <v>0</v>
      </c>
      <c r="DT46">
        <v>0</v>
      </c>
      <c r="DU46">
        <v>9981.25</v>
      </c>
      <c r="DV46">
        <v>0</v>
      </c>
      <c r="DW46">
        <v>2103.34</v>
      </c>
      <c r="DX46">
        <v>-65.118399999999994</v>
      </c>
      <c r="DY46">
        <v>1476.46</v>
      </c>
      <c r="DZ46">
        <v>1536.87</v>
      </c>
      <c r="EA46">
        <v>4.17333</v>
      </c>
      <c r="EB46">
        <v>1499.97</v>
      </c>
      <c r="EC46">
        <v>24.010100000000001</v>
      </c>
      <c r="ED46">
        <v>2.7930100000000002</v>
      </c>
      <c r="EE46">
        <v>2.3794300000000002</v>
      </c>
      <c r="EF46">
        <v>22.8428</v>
      </c>
      <c r="EG46">
        <v>20.224399999999999</v>
      </c>
      <c r="EH46">
        <v>1799.95</v>
      </c>
      <c r="EI46">
        <v>0.97799000000000003</v>
      </c>
      <c r="EJ46">
        <v>2.2009899999999999E-2</v>
      </c>
      <c r="EK46">
        <v>0</v>
      </c>
      <c r="EL46">
        <v>718.78899999999999</v>
      </c>
      <c r="EM46">
        <v>5.0005300000000004</v>
      </c>
      <c r="EN46">
        <v>15953.1</v>
      </c>
      <c r="EO46">
        <v>16034.8</v>
      </c>
      <c r="EP46">
        <v>50</v>
      </c>
      <c r="EQ46">
        <v>51.625</v>
      </c>
      <c r="ER46">
        <v>50.686999999999998</v>
      </c>
      <c r="ES46">
        <v>50.811999999999998</v>
      </c>
      <c r="ET46">
        <v>51.25</v>
      </c>
      <c r="EU46">
        <v>1755.44</v>
      </c>
      <c r="EV46">
        <v>39.51</v>
      </c>
      <c r="EW46">
        <v>0</v>
      </c>
      <c r="EX46">
        <v>113.3999998569489</v>
      </c>
      <c r="EY46">
        <v>0</v>
      </c>
      <c r="EZ46">
        <v>718.47076923076929</v>
      </c>
      <c r="FA46">
        <v>-0.47083760735612468</v>
      </c>
      <c r="FB46">
        <v>3422.3965842382481</v>
      </c>
      <c r="FC46">
        <v>15618.35</v>
      </c>
      <c r="FD46">
        <v>15</v>
      </c>
      <c r="FE46">
        <v>1689004473.0999999</v>
      </c>
      <c r="FF46" t="s">
        <v>574</v>
      </c>
      <c r="FG46">
        <v>1689004473.0999999</v>
      </c>
      <c r="FH46">
        <v>1689004467.0999999</v>
      </c>
      <c r="FI46">
        <v>33</v>
      </c>
      <c r="FJ46">
        <v>0.129</v>
      </c>
      <c r="FK46">
        <v>-1E-3</v>
      </c>
      <c r="FL46">
        <v>-0.49</v>
      </c>
      <c r="FM46">
        <v>3.5000000000000003E-2</v>
      </c>
      <c r="FN46">
        <v>1500</v>
      </c>
      <c r="FO46">
        <v>24</v>
      </c>
      <c r="FP46">
        <v>0.11</v>
      </c>
      <c r="FQ46">
        <v>0.02</v>
      </c>
      <c r="FR46">
        <v>49.042966265246903</v>
      </c>
      <c r="FS46">
        <v>-0.46212238949676382</v>
      </c>
      <c r="FT46">
        <v>6.5883699854723921E-2</v>
      </c>
      <c r="FU46">
        <v>1</v>
      </c>
      <c r="FV46">
        <v>0.25455364208388592</v>
      </c>
      <c r="FW46">
        <v>-3.1854484478990037E-2</v>
      </c>
      <c r="FX46">
        <v>2.4987716008452042E-3</v>
      </c>
      <c r="FY46">
        <v>1</v>
      </c>
      <c r="FZ46">
        <v>2</v>
      </c>
      <c r="GA46">
        <v>2</v>
      </c>
      <c r="GB46" t="s">
        <v>424</v>
      </c>
      <c r="GC46">
        <v>3.1152899999999999</v>
      </c>
      <c r="GD46">
        <v>2.7671899999999998</v>
      </c>
      <c r="GE46">
        <v>0.211206</v>
      </c>
      <c r="GF46">
        <v>0.216613</v>
      </c>
      <c r="GG46">
        <v>0.12032</v>
      </c>
      <c r="GH46">
        <v>0.107876</v>
      </c>
      <c r="GI46">
        <v>18953.900000000001</v>
      </c>
      <c r="GJ46">
        <v>19489.5</v>
      </c>
      <c r="GK46">
        <v>23885</v>
      </c>
      <c r="GL46">
        <v>25185.7</v>
      </c>
      <c r="GM46">
        <v>30272.1</v>
      </c>
      <c r="GN46">
        <v>31512.2</v>
      </c>
      <c r="GO46">
        <v>38059.5</v>
      </c>
      <c r="GP46">
        <v>39179.599999999999</v>
      </c>
      <c r="GQ46">
        <v>2.16073</v>
      </c>
      <c r="GR46">
        <v>1.7786999999999999</v>
      </c>
      <c r="GS46">
        <v>4.4979199999999997E-2</v>
      </c>
      <c r="GT46">
        <v>0</v>
      </c>
      <c r="GU46">
        <v>29.153099999999998</v>
      </c>
      <c r="GV46">
        <v>999.9</v>
      </c>
      <c r="GW46">
        <v>32.1</v>
      </c>
      <c r="GX46">
        <v>43.1</v>
      </c>
      <c r="GY46">
        <v>28.2879</v>
      </c>
      <c r="GZ46">
        <v>61.018900000000002</v>
      </c>
      <c r="HA46">
        <v>28.3614</v>
      </c>
      <c r="HB46">
        <v>1</v>
      </c>
      <c r="HC46">
        <v>0.365396</v>
      </c>
      <c r="HD46">
        <v>1.2444599999999999</v>
      </c>
      <c r="HE46">
        <v>20.316299999999998</v>
      </c>
      <c r="HF46">
        <v>5.2530799999999997</v>
      </c>
      <c r="HG46">
        <v>12.0099</v>
      </c>
      <c r="HH46">
        <v>4.9796500000000004</v>
      </c>
      <c r="HI46">
        <v>3.2930000000000001</v>
      </c>
      <c r="HJ46">
        <v>9999</v>
      </c>
      <c r="HK46">
        <v>9999</v>
      </c>
      <c r="HL46">
        <v>9999</v>
      </c>
      <c r="HM46">
        <v>232.7</v>
      </c>
      <c r="HN46">
        <v>1.87561</v>
      </c>
      <c r="HO46">
        <v>1.8766799999999999</v>
      </c>
      <c r="HP46">
        <v>1.8826499999999999</v>
      </c>
      <c r="HQ46">
        <v>1.8859399999999999</v>
      </c>
      <c r="HR46">
        <v>1.8767100000000001</v>
      </c>
      <c r="HS46">
        <v>1.8830899999999999</v>
      </c>
      <c r="HT46">
        <v>1.88208</v>
      </c>
      <c r="HU46">
        <v>1.8856299999999999</v>
      </c>
      <c r="HV46">
        <v>0</v>
      </c>
      <c r="HW46">
        <v>0</v>
      </c>
      <c r="HX46">
        <v>0</v>
      </c>
      <c r="HY46">
        <v>0</v>
      </c>
      <c r="HZ46" t="s">
        <v>425</v>
      </c>
      <c r="IA46" t="s">
        <v>426</v>
      </c>
      <c r="IB46" t="s">
        <v>427</v>
      </c>
      <c r="IC46" t="s">
        <v>427</v>
      </c>
      <c r="ID46" t="s">
        <v>427</v>
      </c>
      <c r="IE46" t="s">
        <v>427</v>
      </c>
      <c r="IF46">
        <v>0</v>
      </c>
      <c r="IG46">
        <v>100</v>
      </c>
      <c r="IH46">
        <v>100</v>
      </c>
      <c r="II46">
        <v>-0.47</v>
      </c>
      <c r="IJ46">
        <v>4.2700000000000002E-2</v>
      </c>
      <c r="IK46">
        <v>-0.39027046476455551</v>
      </c>
      <c r="IL46">
        <v>-4.2852564239613137E-4</v>
      </c>
      <c r="IM46">
        <v>6.4980710991155998E-7</v>
      </c>
      <c r="IN46">
        <v>-2.7237938963984961E-10</v>
      </c>
      <c r="IO46">
        <v>-1.549326355976371E-2</v>
      </c>
      <c r="IP46">
        <v>6.6907473102813496E-3</v>
      </c>
      <c r="IQ46">
        <v>-3.3673306238274028E-4</v>
      </c>
      <c r="IR46">
        <v>6.1311374003140313E-6</v>
      </c>
      <c r="IS46">
        <v>3</v>
      </c>
      <c r="IT46">
        <v>2101</v>
      </c>
      <c r="IU46">
        <v>1</v>
      </c>
      <c r="IV46">
        <v>32</v>
      </c>
      <c r="IW46">
        <v>0.6</v>
      </c>
      <c r="IX46">
        <v>0.7</v>
      </c>
      <c r="IY46">
        <v>2.9846200000000001</v>
      </c>
      <c r="IZ46">
        <v>2.6904300000000001</v>
      </c>
      <c r="JA46">
        <v>1.6015600000000001</v>
      </c>
      <c r="JB46">
        <v>2.3303199999999999</v>
      </c>
      <c r="JC46">
        <v>1.5502899999999999</v>
      </c>
      <c r="JD46">
        <v>2.4072300000000002</v>
      </c>
      <c r="JE46">
        <v>47.692399999999999</v>
      </c>
      <c r="JF46">
        <v>24.105</v>
      </c>
      <c r="JG46">
        <v>18</v>
      </c>
      <c r="JH46">
        <v>589.11099999999999</v>
      </c>
      <c r="JI46">
        <v>398.95100000000002</v>
      </c>
      <c r="JJ46">
        <v>27.538799999999998</v>
      </c>
      <c r="JK46">
        <v>32.043900000000001</v>
      </c>
      <c r="JL46">
        <v>30.0001</v>
      </c>
      <c r="JM46">
        <v>32.146700000000003</v>
      </c>
      <c r="JN46">
        <v>32.14</v>
      </c>
      <c r="JO46">
        <v>59.741799999999998</v>
      </c>
      <c r="JP46">
        <v>15.8081</v>
      </c>
      <c r="JQ46">
        <v>3.7286800000000002</v>
      </c>
      <c r="JR46">
        <v>27.579799999999999</v>
      </c>
      <c r="JS46">
        <v>1500</v>
      </c>
      <c r="JT46">
        <v>23.976299999999998</v>
      </c>
      <c r="JU46">
        <v>99.283100000000005</v>
      </c>
      <c r="JV46">
        <v>99.165999999999997</v>
      </c>
    </row>
    <row r="47" spans="1:282" x14ac:dyDescent="0.25">
      <c r="A47">
        <v>31</v>
      </c>
      <c r="B47">
        <v>1689005661.5</v>
      </c>
      <c r="C47">
        <v>5838.9000000953674</v>
      </c>
      <c r="D47" t="s">
        <v>575</v>
      </c>
      <c r="E47" t="s">
        <v>576</v>
      </c>
      <c r="F47" t="s">
        <v>414</v>
      </c>
      <c r="G47" t="s">
        <v>415</v>
      </c>
      <c r="H47" t="s">
        <v>577</v>
      </c>
      <c r="I47" t="s">
        <v>578</v>
      </c>
      <c r="J47" t="s">
        <v>416</v>
      </c>
      <c r="K47">
        <v>1689005661.5</v>
      </c>
      <c r="L47">
        <f t="shared" si="0"/>
        <v>4.4870739720392801E-3</v>
      </c>
      <c r="M47">
        <f t="shared" si="1"/>
        <v>4.4870739720392798</v>
      </c>
      <c r="N47">
        <f t="shared" si="2"/>
        <v>43.99775282813345</v>
      </c>
      <c r="O47">
        <f t="shared" si="3"/>
        <v>345.41699999999997</v>
      </c>
      <c r="P47">
        <f t="shared" si="4"/>
        <v>105.96933747472967</v>
      </c>
      <c r="Q47">
        <f t="shared" si="5"/>
        <v>10.511289858772578</v>
      </c>
      <c r="R47">
        <f t="shared" si="6"/>
        <v>34.262535707684997</v>
      </c>
      <c r="S47">
        <f t="shared" si="7"/>
        <v>0.31624939929182988</v>
      </c>
      <c r="T47">
        <f t="shared" si="8"/>
        <v>2.9098473734495425</v>
      </c>
      <c r="U47">
        <f t="shared" si="9"/>
        <v>0.29832008274817934</v>
      </c>
      <c r="V47">
        <f t="shared" si="10"/>
        <v>0.187976171061982</v>
      </c>
      <c r="W47">
        <f t="shared" si="11"/>
        <v>289.5584903267428</v>
      </c>
      <c r="X47">
        <f t="shared" si="12"/>
        <v>30.798718645423953</v>
      </c>
      <c r="Y47">
        <f t="shared" si="13"/>
        <v>30.0244</v>
      </c>
      <c r="Z47">
        <f t="shared" si="14"/>
        <v>4.2664245088151089</v>
      </c>
      <c r="AA47">
        <f t="shared" si="15"/>
        <v>65.40616695084644</v>
      </c>
      <c r="AB47">
        <f t="shared" si="16"/>
        <v>2.8278194920230004</v>
      </c>
      <c r="AC47">
        <f t="shared" si="17"/>
        <v>4.3234753293953805</v>
      </c>
      <c r="AD47">
        <f t="shared" si="18"/>
        <v>1.4386050167921085</v>
      </c>
      <c r="AE47">
        <f t="shared" si="19"/>
        <v>-197.87996216693224</v>
      </c>
      <c r="AF47">
        <f t="shared" si="20"/>
        <v>36.316722604800901</v>
      </c>
      <c r="AG47">
        <f t="shared" si="21"/>
        <v>2.7789331106509878</v>
      </c>
      <c r="AH47">
        <f t="shared" si="22"/>
        <v>130.77418387526245</v>
      </c>
      <c r="AI47">
        <v>0</v>
      </c>
      <c r="AJ47">
        <v>0</v>
      </c>
      <c r="AK47">
        <f t="shared" si="23"/>
        <v>1</v>
      </c>
      <c r="AL47">
        <f t="shared" si="24"/>
        <v>0</v>
      </c>
      <c r="AM47">
        <f t="shared" si="25"/>
        <v>51728.651392285021</v>
      </c>
      <c r="AN47" t="s">
        <v>419</v>
      </c>
      <c r="AO47">
        <v>9967.0300000000007</v>
      </c>
      <c r="AP47">
        <v>178.94153846153841</v>
      </c>
      <c r="AQ47">
        <v>603.15</v>
      </c>
      <c r="AR47">
        <f t="shared" si="26"/>
        <v>0.7033216638290003</v>
      </c>
      <c r="AS47">
        <v>-3.2649104154664181</v>
      </c>
      <c r="AT47" t="s">
        <v>579</v>
      </c>
      <c r="AU47">
        <v>8044.38</v>
      </c>
      <c r="AV47">
        <v>704.23561538461524</v>
      </c>
      <c r="AW47">
        <v>1062.3041981620879</v>
      </c>
      <c r="AX47">
        <f t="shared" si="27"/>
        <v>0.33706784120497102</v>
      </c>
      <c r="AY47">
        <v>0.5</v>
      </c>
      <c r="AZ47">
        <f t="shared" si="28"/>
        <v>1513.142699651162</v>
      </c>
      <c r="BA47">
        <f t="shared" si="29"/>
        <v>43.99775282813345</v>
      </c>
      <c r="BB47">
        <f t="shared" si="30"/>
        <v>255.01587160323953</v>
      </c>
      <c r="BC47">
        <f t="shared" si="31"/>
        <v>3.1234769367420364E-2</v>
      </c>
      <c r="BD47">
        <f t="shared" si="32"/>
        <v>-0.43222477982905377</v>
      </c>
      <c r="BE47">
        <f t="shared" si="33"/>
        <v>205.26273359332347</v>
      </c>
      <c r="BF47" t="s">
        <v>580</v>
      </c>
      <c r="BG47">
        <v>533.15</v>
      </c>
      <c r="BH47">
        <f t="shared" si="34"/>
        <v>533.15</v>
      </c>
      <c r="BI47">
        <f t="shared" si="35"/>
        <v>0.49811927607702899</v>
      </c>
      <c r="BJ47">
        <f t="shared" si="36"/>
        <v>0.6766809826344623</v>
      </c>
      <c r="BK47">
        <f t="shared" si="37"/>
        <v>-6.5593456880298273</v>
      </c>
      <c r="BL47">
        <f t="shared" si="38"/>
        <v>0.4053472023583769</v>
      </c>
      <c r="BM47">
        <f t="shared" si="39"/>
        <v>-1.0823786882913413</v>
      </c>
      <c r="BN47">
        <f t="shared" si="40"/>
        <v>0.51228943553860062</v>
      </c>
      <c r="BO47">
        <f t="shared" si="41"/>
        <v>0.48771056446139938</v>
      </c>
      <c r="BP47">
        <v>6097</v>
      </c>
      <c r="BQ47">
        <v>290.00000000000011</v>
      </c>
      <c r="BR47">
        <v>947.25</v>
      </c>
      <c r="BS47">
        <v>275</v>
      </c>
      <c r="BT47">
        <v>8044.38</v>
      </c>
      <c r="BU47">
        <v>950.56</v>
      </c>
      <c r="BV47">
        <v>-3.31</v>
      </c>
      <c r="BW47">
        <v>300.00000000000011</v>
      </c>
      <c r="BX47">
        <v>19.399999999999999</v>
      </c>
      <c r="BY47">
        <v>1062.3041981620879</v>
      </c>
      <c r="BZ47">
        <v>2.8496872598144671</v>
      </c>
      <c r="CA47">
        <v>-89.893961018554293</v>
      </c>
      <c r="CB47">
        <v>2.1057113113091992</v>
      </c>
      <c r="CC47">
        <v>0.98486881150503747</v>
      </c>
      <c r="CD47">
        <v>-4.1518258064516143E-3</v>
      </c>
      <c r="CE47">
        <v>289.99999999999989</v>
      </c>
      <c r="CF47">
        <v>947.65</v>
      </c>
      <c r="CG47">
        <v>665</v>
      </c>
      <c r="CH47">
        <v>8033.66</v>
      </c>
      <c r="CI47">
        <v>950.41</v>
      </c>
      <c r="CJ47">
        <v>-2.76</v>
      </c>
      <c r="CX47">
        <f t="shared" si="42"/>
        <v>1799.95</v>
      </c>
      <c r="CY47">
        <f t="shared" si="43"/>
        <v>1513.142699651162</v>
      </c>
      <c r="CZ47">
        <f t="shared" si="44"/>
        <v>0.84065818475577769</v>
      </c>
      <c r="DA47">
        <f t="shared" si="45"/>
        <v>0.16087029657865096</v>
      </c>
      <c r="DB47">
        <v>6</v>
      </c>
      <c r="DC47">
        <v>0.5</v>
      </c>
      <c r="DD47" t="s">
        <v>422</v>
      </c>
      <c r="DE47">
        <v>2</v>
      </c>
      <c r="DF47">
        <v>1689005661.5</v>
      </c>
      <c r="DG47">
        <v>345.41699999999997</v>
      </c>
      <c r="DH47">
        <v>400.06599999999997</v>
      </c>
      <c r="DI47">
        <v>28.508600000000001</v>
      </c>
      <c r="DJ47">
        <v>23.278400000000001</v>
      </c>
      <c r="DK47">
        <v>346.02</v>
      </c>
      <c r="DL47">
        <v>28.464600000000001</v>
      </c>
      <c r="DM47">
        <v>500.07499999999999</v>
      </c>
      <c r="DN47">
        <v>99.091700000000003</v>
      </c>
      <c r="DO47">
        <v>0.100105</v>
      </c>
      <c r="DP47">
        <v>30.2559</v>
      </c>
      <c r="DQ47">
        <v>30.0244</v>
      </c>
      <c r="DR47">
        <v>999.9</v>
      </c>
      <c r="DS47">
        <v>0</v>
      </c>
      <c r="DT47">
        <v>0</v>
      </c>
      <c r="DU47">
        <v>9978.75</v>
      </c>
      <c r="DV47">
        <v>0</v>
      </c>
      <c r="DW47">
        <v>2171.4299999999998</v>
      </c>
      <c r="DX47">
        <v>-54.649700000000003</v>
      </c>
      <c r="DY47">
        <v>355.553</v>
      </c>
      <c r="DZ47">
        <v>409.601</v>
      </c>
      <c r="EA47">
        <v>5.2301500000000001</v>
      </c>
      <c r="EB47">
        <v>400.06599999999997</v>
      </c>
      <c r="EC47">
        <v>23.278400000000001</v>
      </c>
      <c r="ED47">
        <v>2.8249599999999999</v>
      </c>
      <c r="EE47">
        <v>2.3067000000000002</v>
      </c>
      <c r="EF47">
        <v>23.0307</v>
      </c>
      <c r="EG47">
        <v>19.723199999999999</v>
      </c>
      <c r="EH47">
        <v>1799.95</v>
      </c>
      <c r="EI47">
        <v>0.97799700000000001</v>
      </c>
      <c r="EJ47">
        <v>2.2002799999999999E-2</v>
      </c>
      <c r="EK47">
        <v>0</v>
      </c>
      <c r="EL47">
        <v>704.02800000000002</v>
      </c>
      <c r="EM47">
        <v>5.0005300000000004</v>
      </c>
      <c r="EN47">
        <v>15366.4</v>
      </c>
      <c r="EO47">
        <v>16034.8</v>
      </c>
      <c r="EP47">
        <v>49.75</v>
      </c>
      <c r="EQ47">
        <v>51.311999999999998</v>
      </c>
      <c r="ER47">
        <v>50.375</v>
      </c>
      <c r="ES47">
        <v>50.625</v>
      </c>
      <c r="ET47">
        <v>51</v>
      </c>
      <c r="EU47">
        <v>1755.46</v>
      </c>
      <c r="EV47">
        <v>39.49</v>
      </c>
      <c r="EW47">
        <v>0</v>
      </c>
      <c r="EX47">
        <v>1148.6000001430509</v>
      </c>
      <c r="EY47">
        <v>0</v>
      </c>
      <c r="EZ47">
        <v>704.23561538461524</v>
      </c>
      <c r="FA47">
        <v>-2.707693004341967E-2</v>
      </c>
      <c r="FB47">
        <v>-2.300854561250155</v>
      </c>
      <c r="FC47">
        <v>15361.05769230769</v>
      </c>
      <c r="FD47">
        <v>15</v>
      </c>
      <c r="FE47">
        <v>1689005627.5</v>
      </c>
      <c r="FF47" t="s">
        <v>581</v>
      </c>
      <c r="FG47">
        <v>1689005622.5</v>
      </c>
      <c r="FH47">
        <v>1689005627.5</v>
      </c>
      <c r="FI47">
        <v>35</v>
      </c>
      <c r="FJ47">
        <v>-4.2000000000000003E-2</v>
      </c>
      <c r="FK47">
        <v>7.0000000000000001E-3</v>
      </c>
      <c r="FL47">
        <v>-0.60599999999999998</v>
      </c>
      <c r="FM47">
        <v>3.5999999999999997E-2</v>
      </c>
      <c r="FN47">
        <v>400</v>
      </c>
      <c r="FO47">
        <v>23</v>
      </c>
      <c r="FP47">
        <v>0.03</v>
      </c>
      <c r="FQ47">
        <v>0.01</v>
      </c>
      <c r="FR47">
        <v>43.9299569133548</v>
      </c>
      <c r="FS47">
        <v>-0.46118272217855882</v>
      </c>
      <c r="FT47">
        <v>5.9878633303141672E-2</v>
      </c>
      <c r="FU47">
        <v>1</v>
      </c>
      <c r="FV47">
        <v>0.3196879055753355</v>
      </c>
      <c r="FW47">
        <v>-1.399669196399401E-2</v>
      </c>
      <c r="FX47">
        <v>1.683564067740911E-3</v>
      </c>
      <c r="FY47">
        <v>1</v>
      </c>
      <c r="FZ47">
        <v>2</v>
      </c>
      <c r="GA47">
        <v>2</v>
      </c>
      <c r="GB47" t="s">
        <v>424</v>
      </c>
      <c r="GC47">
        <v>3.1155300000000001</v>
      </c>
      <c r="GD47">
        <v>2.76722</v>
      </c>
      <c r="GE47">
        <v>7.9622200000000004E-2</v>
      </c>
      <c r="GF47">
        <v>8.9217099999999994E-2</v>
      </c>
      <c r="GG47">
        <v>0.121223</v>
      </c>
      <c r="GH47">
        <v>0.105501</v>
      </c>
      <c r="GI47">
        <v>22101.1</v>
      </c>
      <c r="GJ47">
        <v>22659.599999999999</v>
      </c>
      <c r="GK47">
        <v>23865.599999999999</v>
      </c>
      <c r="GL47">
        <v>25182</v>
      </c>
      <c r="GM47">
        <v>30215.1</v>
      </c>
      <c r="GN47">
        <v>31584.799999999999</v>
      </c>
      <c r="GO47">
        <v>38026.699999999997</v>
      </c>
      <c r="GP47">
        <v>39165.300000000003</v>
      </c>
      <c r="GQ47">
        <v>2.1646700000000001</v>
      </c>
      <c r="GR47">
        <v>1.76593</v>
      </c>
      <c r="GS47">
        <v>4.4677399999999999E-2</v>
      </c>
      <c r="GT47">
        <v>0</v>
      </c>
      <c r="GU47">
        <v>29.297000000000001</v>
      </c>
      <c r="GV47">
        <v>999.9</v>
      </c>
      <c r="GW47">
        <v>31.9</v>
      </c>
      <c r="GX47">
        <v>43.5</v>
      </c>
      <c r="GY47">
        <v>28.706900000000001</v>
      </c>
      <c r="GZ47">
        <v>61.009</v>
      </c>
      <c r="HA47">
        <v>28.3293</v>
      </c>
      <c r="HB47">
        <v>1</v>
      </c>
      <c r="HC47">
        <v>0.38760899999999998</v>
      </c>
      <c r="HD47">
        <v>2.4369000000000001</v>
      </c>
      <c r="HE47">
        <v>20.302700000000002</v>
      </c>
      <c r="HF47">
        <v>5.2488900000000003</v>
      </c>
      <c r="HG47">
        <v>12.0099</v>
      </c>
      <c r="HH47">
        <v>4.9788500000000004</v>
      </c>
      <c r="HI47">
        <v>3.2923300000000002</v>
      </c>
      <c r="HJ47">
        <v>9999</v>
      </c>
      <c r="HK47">
        <v>9999</v>
      </c>
      <c r="HL47">
        <v>9999</v>
      </c>
      <c r="HM47">
        <v>233</v>
      </c>
      <c r="HN47">
        <v>1.87561</v>
      </c>
      <c r="HO47">
        <v>1.8766799999999999</v>
      </c>
      <c r="HP47">
        <v>1.8826799999999999</v>
      </c>
      <c r="HQ47">
        <v>1.8859600000000001</v>
      </c>
      <c r="HR47">
        <v>1.8767400000000001</v>
      </c>
      <c r="HS47">
        <v>1.8830899999999999</v>
      </c>
      <c r="HT47">
        <v>1.88212</v>
      </c>
      <c r="HU47">
        <v>1.8856200000000001</v>
      </c>
      <c r="HV47">
        <v>0</v>
      </c>
      <c r="HW47">
        <v>0</v>
      </c>
      <c r="HX47">
        <v>0</v>
      </c>
      <c r="HY47">
        <v>0</v>
      </c>
      <c r="HZ47" t="s">
        <v>425</v>
      </c>
      <c r="IA47" t="s">
        <v>426</v>
      </c>
      <c r="IB47" t="s">
        <v>427</v>
      </c>
      <c r="IC47" t="s">
        <v>427</v>
      </c>
      <c r="ID47" t="s">
        <v>427</v>
      </c>
      <c r="IE47" t="s">
        <v>427</v>
      </c>
      <c r="IF47">
        <v>0</v>
      </c>
      <c r="IG47">
        <v>100</v>
      </c>
      <c r="IH47">
        <v>100</v>
      </c>
      <c r="II47">
        <v>-0.60299999999999998</v>
      </c>
      <c r="IJ47">
        <v>4.3999999999999997E-2</v>
      </c>
      <c r="IK47">
        <v>-0.52160312316209789</v>
      </c>
      <c r="IL47">
        <v>-4.2852564239613137E-4</v>
      </c>
      <c r="IM47">
        <v>6.4980710991155998E-7</v>
      </c>
      <c r="IN47">
        <v>-2.7237938963984961E-10</v>
      </c>
      <c r="IO47">
        <v>-1.5022085770781049E-2</v>
      </c>
      <c r="IP47">
        <v>6.6907473102813496E-3</v>
      </c>
      <c r="IQ47">
        <v>-3.3673306238274028E-4</v>
      </c>
      <c r="IR47">
        <v>6.1311374003140313E-6</v>
      </c>
      <c r="IS47">
        <v>3</v>
      </c>
      <c r="IT47">
        <v>2101</v>
      </c>
      <c r="IU47">
        <v>1</v>
      </c>
      <c r="IV47">
        <v>32</v>
      </c>
      <c r="IW47">
        <v>0.7</v>
      </c>
      <c r="IX47">
        <v>0.6</v>
      </c>
      <c r="IY47">
        <v>1.01807</v>
      </c>
      <c r="IZ47">
        <v>2.7026400000000002</v>
      </c>
      <c r="JA47">
        <v>1.6015600000000001</v>
      </c>
      <c r="JB47">
        <v>2.3278799999999999</v>
      </c>
      <c r="JC47">
        <v>1.5502899999999999</v>
      </c>
      <c r="JD47">
        <v>2.2936999999999999</v>
      </c>
      <c r="JE47">
        <v>47.421599999999998</v>
      </c>
      <c r="JF47">
        <v>24.105</v>
      </c>
      <c r="JG47">
        <v>18</v>
      </c>
      <c r="JH47">
        <v>593.23400000000004</v>
      </c>
      <c r="JI47">
        <v>392.04599999999999</v>
      </c>
      <c r="JJ47">
        <v>27.084299999999999</v>
      </c>
      <c r="JK47">
        <v>32.202100000000002</v>
      </c>
      <c r="JL47">
        <v>30.000699999999998</v>
      </c>
      <c r="JM47">
        <v>32.2958</v>
      </c>
      <c r="JN47">
        <v>32.295200000000001</v>
      </c>
      <c r="JO47">
        <v>20.369199999999999</v>
      </c>
      <c r="JP47">
        <v>22.126300000000001</v>
      </c>
      <c r="JQ47">
        <v>11.197699999999999</v>
      </c>
      <c r="JR47">
        <v>27.066099999999999</v>
      </c>
      <c r="JS47">
        <v>400</v>
      </c>
      <c r="JT47">
        <v>23.162600000000001</v>
      </c>
      <c r="JU47">
        <v>99.199299999999994</v>
      </c>
      <c r="JV47">
        <v>99.138400000000004</v>
      </c>
    </row>
    <row r="48" spans="1:282" x14ac:dyDescent="0.25">
      <c r="A48">
        <v>32</v>
      </c>
      <c r="B48">
        <v>1689005826</v>
      </c>
      <c r="C48">
        <v>6003.4000000953674</v>
      </c>
      <c r="D48" t="s">
        <v>582</v>
      </c>
      <c r="E48" t="s">
        <v>583</v>
      </c>
      <c r="F48" t="s">
        <v>414</v>
      </c>
      <c r="G48" t="s">
        <v>415</v>
      </c>
      <c r="H48" t="s">
        <v>577</v>
      </c>
      <c r="I48" t="s">
        <v>578</v>
      </c>
      <c r="J48" t="s">
        <v>416</v>
      </c>
      <c r="K48">
        <v>1689005826</v>
      </c>
      <c r="L48">
        <f t="shared" si="0"/>
        <v>4.9219667296998082E-3</v>
      </c>
      <c r="M48">
        <f t="shared" si="1"/>
        <v>4.9219667296998084</v>
      </c>
      <c r="N48">
        <f t="shared" si="2"/>
        <v>37.278649241105768</v>
      </c>
      <c r="O48">
        <f t="shared" si="3"/>
        <v>253.74299999999999</v>
      </c>
      <c r="P48">
        <f t="shared" si="4"/>
        <v>69.642678378798578</v>
      </c>
      <c r="Q48">
        <f t="shared" si="5"/>
        <v>6.9074548033546801</v>
      </c>
      <c r="R48">
        <f t="shared" si="6"/>
        <v>25.167301789202998</v>
      </c>
      <c r="S48">
        <f t="shared" si="7"/>
        <v>0.34973573178368095</v>
      </c>
      <c r="T48">
        <f t="shared" si="8"/>
        <v>2.9102579512892053</v>
      </c>
      <c r="U48">
        <f t="shared" si="9"/>
        <v>0.32795169705307281</v>
      </c>
      <c r="V48">
        <f t="shared" si="10"/>
        <v>0.20681384845360284</v>
      </c>
      <c r="W48">
        <f t="shared" si="11"/>
        <v>289.54253032670539</v>
      </c>
      <c r="X48">
        <f t="shared" si="12"/>
        <v>30.690610791819537</v>
      </c>
      <c r="Y48">
        <f t="shared" si="13"/>
        <v>29.9648</v>
      </c>
      <c r="Z48">
        <f t="shared" si="14"/>
        <v>4.2518433284950206</v>
      </c>
      <c r="AA48">
        <f t="shared" si="15"/>
        <v>65.118960246787324</v>
      </c>
      <c r="AB48">
        <f t="shared" si="16"/>
        <v>2.8163062000286998</v>
      </c>
      <c r="AC48">
        <f t="shared" si="17"/>
        <v>4.3248635871265213</v>
      </c>
      <c r="AD48">
        <f t="shared" si="18"/>
        <v>1.4355371284663208</v>
      </c>
      <c r="AE48">
        <f t="shared" si="19"/>
        <v>-217.05873277976156</v>
      </c>
      <c r="AF48">
        <f t="shared" si="20"/>
        <v>46.551585172960614</v>
      </c>
      <c r="AG48">
        <f t="shared" si="21"/>
        <v>3.5606446622065229</v>
      </c>
      <c r="AH48">
        <f t="shared" si="22"/>
        <v>122.59602738211098</v>
      </c>
      <c r="AI48">
        <v>0</v>
      </c>
      <c r="AJ48">
        <v>0</v>
      </c>
      <c r="AK48">
        <f t="shared" si="23"/>
        <v>1</v>
      </c>
      <c r="AL48">
        <f t="shared" si="24"/>
        <v>0</v>
      </c>
      <c r="AM48">
        <f t="shared" si="25"/>
        <v>51739.192884624776</v>
      </c>
      <c r="AN48" t="s">
        <v>419</v>
      </c>
      <c r="AO48">
        <v>9967.0300000000007</v>
      </c>
      <c r="AP48">
        <v>178.94153846153841</v>
      </c>
      <c r="AQ48">
        <v>603.15</v>
      </c>
      <c r="AR48">
        <f t="shared" si="26"/>
        <v>0.7033216638290003</v>
      </c>
      <c r="AS48">
        <v>-3.2649104154664181</v>
      </c>
      <c r="AT48" t="s">
        <v>584</v>
      </c>
      <c r="AU48">
        <v>8042.66</v>
      </c>
      <c r="AV48">
        <v>694.64567999999997</v>
      </c>
      <c r="AW48">
        <v>983.44345122461641</v>
      </c>
      <c r="AX48">
        <f t="shared" si="27"/>
        <v>0.29365976342106492</v>
      </c>
      <c r="AY48">
        <v>0.5</v>
      </c>
      <c r="AZ48">
        <f t="shared" si="28"/>
        <v>1513.0586996511427</v>
      </c>
      <c r="BA48">
        <f t="shared" si="29"/>
        <v>37.278649241105768</v>
      </c>
      <c r="BB48">
        <f t="shared" si="30"/>
        <v>222.16222989086933</v>
      </c>
      <c r="BC48">
        <f t="shared" si="31"/>
        <v>2.679576123908483E-2</v>
      </c>
      <c r="BD48">
        <f t="shared" si="32"/>
        <v>-0.38669579908337631</v>
      </c>
      <c r="BE48">
        <f t="shared" si="33"/>
        <v>202.13085216837266</v>
      </c>
      <c r="BF48" t="s">
        <v>585</v>
      </c>
      <c r="BG48">
        <v>524.17999999999995</v>
      </c>
      <c r="BH48">
        <f t="shared" si="34"/>
        <v>524.17999999999995</v>
      </c>
      <c r="BI48">
        <f t="shared" si="35"/>
        <v>0.46699528137863577</v>
      </c>
      <c r="BJ48">
        <f t="shared" si="36"/>
        <v>0.62882811696542185</v>
      </c>
      <c r="BK48">
        <f t="shared" si="37"/>
        <v>-4.8156698901432984</v>
      </c>
      <c r="BL48">
        <f t="shared" si="38"/>
        <v>0.35897710949217593</v>
      </c>
      <c r="BM48">
        <f t="shared" si="39"/>
        <v>-0.8964777596501019</v>
      </c>
      <c r="BN48">
        <f t="shared" si="40"/>
        <v>0.47451403188879659</v>
      </c>
      <c r="BO48">
        <f t="shared" si="41"/>
        <v>0.52548596811120341</v>
      </c>
      <c r="BP48">
        <v>6099</v>
      </c>
      <c r="BQ48">
        <v>290.00000000000011</v>
      </c>
      <c r="BR48">
        <v>893.81</v>
      </c>
      <c r="BS48">
        <v>295</v>
      </c>
      <c r="BT48">
        <v>8042.66</v>
      </c>
      <c r="BU48">
        <v>895.43</v>
      </c>
      <c r="BV48">
        <v>-1.62</v>
      </c>
      <c r="BW48">
        <v>300.00000000000011</v>
      </c>
      <c r="BX48">
        <v>19.399999999999999</v>
      </c>
      <c r="BY48">
        <v>983.44345122461641</v>
      </c>
      <c r="BZ48">
        <v>3.221363627160299</v>
      </c>
      <c r="CA48">
        <v>-70.784273042136519</v>
      </c>
      <c r="CB48">
        <v>2.3800355743741179</v>
      </c>
      <c r="CC48">
        <v>0.96931567241224981</v>
      </c>
      <c r="CD48">
        <v>-4.1513078976640706E-3</v>
      </c>
      <c r="CE48">
        <v>289.99999999999989</v>
      </c>
      <c r="CF48">
        <v>894.8</v>
      </c>
      <c r="CG48">
        <v>665</v>
      </c>
      <c r="CH48">
        <v>8032.61</v>
      </c>
      <c r="CI48">
        <v>895.32</v>
      </c>
      <c r="CJ48">
        <v>-0.52</v>
      </c>
      <c r="CX48">
        <f t="shared" si="42"/>
        <v>1799.85</v>
      </c>
      <c r="CY48">
        <f t="shared" si="43"/>
        <v>1513.0586996511427</v>
      </c>
      <c r="CZ48">
        <f t="shared" si="44"/>
        <v>0.84065822132463408</v>
      </c>
      <c r="DA48">
        <f t="shared" si="45"/>
        <v>0.16087036715654382</v>
      </c>
      <c r="DB48">
        <v>6</v>
      </c>
      <c r="DC48">
        <v>0.5</v>
      </c>
      <c r="DD48" t="s">
        <v>422</v>
      </c>
      <c r="DE48">
        <v>2</v>
      </c>
      <c r="DF48">
        <v>1689005826</v>
      </c>
      <c r="DG48">
        <v>253.74299999999999</v>
      </c>
      <c r="DH48">
        <v>299.96600000000001</v>
      </c>
      <c r="DI48">
        <v>28.3947</v>
      </c>
      <c r="DJ48">
        <v>22.657299999999999</v>
      </c>
      <c r="DK48">
        <v>254.11</v>
      </c>
      <c r="DL48">
        <v>28.349499999999999</v>
      </c>
      <c r="DM48">
        <v>500.10899999999998</v>
      </c>
      <c r="DN48">
        <v>99.0839</v>
      </c>
      <c r="DO48">
        <v>0.10032099999999999</v>
      </c>
      <c r="DP48">
        <v>30.261500000000002</v>
      </c>
      <c r="DQ48">
        <v>29.9648</v>
      </c>
      <c r="DR48">
        <v>999.9</v>
      </c>
      <c r="DS48">
        <v>0</v>
      </c>
      <c r="DT48">
        <v>0</v>
      </c>
      <c r="DU48">
        <v>9981.8799999999992</v>
      </c>
      <c r="DV48">
        <v>0</v>
      </c>
      <c r="DW48">
        <v>2162.27</v>
      </c>
      <c r="DX48">
        <v>-46.223799999999997</v>
      </c>
      <c r="DY48">
        <v>261.15800000000002</v>
      </c>
      <c r="DZ48">
        <v>306.92</v>
      </c>
      <c r="EA48">
        <v>5.7374000000000001</v>
      </c>
      <c r="EB48">
        <v>299.96600000000001</v>
      </c>
      <c r="EC48">
        <v>22.657299999999999</v>
      </c>
      <c r="ED48">
        <v>2.8134600000000001</v>
      </c>
      <c r="EE48">
        <v>2.2449699999999999</v>
      </c>
      <c r="EF48">
        <v>22.9633</v>
      </c>
      <c r="EG48">
        <v>19.286899999999999</v>
      </c>
      <c r="EH48">
        <v>1799.85</v>
      </c>
      <c r="EI48">
        <v>0.97799700000000001</v>
      </c>
      <c r="EJ48">
        <v>2.2002799999999999E-2</v>
      </c>
      <c r="EK48">
        <v>0</v>
      </c>
      <c r="EL48">
        <v>694.41600000000005</v>
      </c>
      <c r="EM48">
        <v>5.0005300000000004</v>
      </c>
      <c r="EN48">
        <v>15243</v>
      </c>
      <c r="EO48">
        <v>16033.9</v>
      </c>
      <c r="EP48">
        <v>49.936999999999998</v>
      </c>
      <c r="EQ48">
        <v>51.625</v>
      </c>
      <c r="ER48">
        <v>50.561999999999998</v>
      </c>
      <c r="ES48">
        <v>50.936999999999998</v>
      </c>
      <c r="ET48">
        <v>51.186999999999998</v>
      </c>
      <c r="EU48">
        <v>1755.36</v>
      </c>
      <c r="EV48">
        <v>39.49</v>
      </c>
      <c r="EW48">
        <v>0</v>
      </c>
      <c r="EX48">
        <v>162.79999995231631</v>
      </c>
      <c r="EY48">
        <v>0</v>
      </c>
      <c r="EZ48">
        <v>694.64567999999997</v>
      </c>
      <c r="FA48">
        <v>-0.37307691849245977</v>
      </c>
      <c r="FB48">
        <v>67.453846118451281</v>
      </c>
      <c r="FC48">
        <v>15224.304</v>
      </c>
      <c r="FD48">
        <v>15</v>
      </c>
      <c r="FE48">
        <v>1689005744.5</v>
      </c>
      <c r="FF48" t="s">
        <v>586</v>
      </c>
      <c r="FG48">
        <v>1689005737.5</v>
      </c>
      <c r="FH48">
        <v>1689005744.5</v>
      </c>
      <c r="FI48">
        <v>36</v>
      </c>
      <c r="FJ48">
        <v>0.22600000000000001</v>
      </c>
      <c r="FK48">
        <v>2E-3</v>
      </c>
      <c r="FL48">
        <v>-0.373</v>
      </c>
      <c r="FM48">
        <v>3.6999999999999998E-2</v>
      </c>
      <c r="FN48">
        <v>300</v>
      </c>
      <c r="FO48">
        <v>23</v>
      </c>
      <c r="FP48">
        <v>0.06</v>
      </c>
      <c r="FQ48">
        <v>0.03</v>
      </c>
      <c r="FR48">
        <v>37.199819152744027</v>
      </c>
      <c r="FS48">
        <v>0.63343877137057081</v>
      </c>
      <c r="FT48">
        <v>4.972730684292357E-2</v>
      </c>
      <c r="FU48">
        <v>1</v>
      </c>
      <c r="FV48">
        <v>0.34886082030126953</v>
      </c>
      <c r="FW48">
        <v>8.0318933908174826E-3</v>
      </c>
      <c r="FX48">
        <v>7.3144737340625869E-4</v>
      </c>
      <c r="FY48">
        <v>1</v>
      </c>
      <c r="FZ48">
        <v>2</v>
      </c>
      <c r="GA48">
        <v>2</v>
      </c>
      <c r="GB48" t="s">
        <v>424</v>
      </c>
      <c r="GC48">
        <v>3.1162299999999998</v>
      </c>
      <c r="GD48">
        <v>2.7674699999999999</v>
      </c>
      <c r="GE48">
        <v>6.1795500000000003E-2</v>
      </c>
      <c r="GF48">
        <v>7.1020299999999995E-2</v>
      </c>
      <c r="GG48">
        <v>0.120825</v>
      </c>
      <c r="GH48">
        <v>0.10345</v>
      </c>
      <c r="GI48">
        <v>22517.599999999999</v>
      </c>
      <c r="GJ48">
        <v>23102.1</v>
      </c>
      <c r="GK48">
        <v>23854.3</v>
      </c>
      <c r="GL48">
        <v>25172</v>
      </c>
      <c r="GM48">
        <v>30215.200000000001</v>
      </c>
      <c r="GN48">
        <v>31645</v>
      </c>
      <c r="GO48">
        <v>38009.699999999997</v>
      </c>
      <c r="GP48">
        <v>39150.5</v>
      </c>
      <c r="GQ48">
        <v>2.1638799999999998</v>
      </c>
      <c r="GR48">
        <v>1.7598</v>
      </c>
      <c r="GS48">
        <v>4.6074400000000001E-2</v>
      </c>
      <c r="GT48">
        <v>0</v>
      </c>
      <c r="GU48">
        <v>29.214500000000001</v>
      </c>
      <c r="GV48">
        <v>999.9</v>
      </c>
      <c r="GW48">
        <v>31.6</v>
      </c>
      <c r="GX48">
        <v>43.7</v>
      </c>
      <c r="GY48">
        <v>28.735600000000002</v>
      </c>
      <c r="GZ48">
        <v>60.859000000000002</v>
      </c>
      <c r="HA48">
        <v>28.249199999999998</v>
      </c>
      <c r="HB48">
        <v>1</v>
      </c>
      <c r="HC48">
        <v>0.40390799999999999</v>
      </c>
      <c r="HD48">
        <v>1.5446299999999999</v>
      </c>
      <c r="HE48">
        <v>20.312999999999999</v>
      </c>
      <c r="HF48">
        <v>5.2515799999999997</v>
      </c>
      <c r="HG48">
        <v>12.0099</v>
      </c>
      <c r="HH48">
        <v>4.9794999999999998</v>
      </c>
      <c r="HI48">
        <v>3.2930000000000001</v>
      </c>
      <c r="HJ48">
        <v>9999</v>
      </c>
      <c r="HK48">
        <v>9999</v>
      </c>
      <c r="HL48">
        <v>9999</v>
      </c>
      <c r="HM48">
        <v>233.1</v>
      </c>
      <c r="HN48">
        <v>1.87561</v>
      </c>
      <c r="HO48">
        <v>1.8766799999999999</v>
      </c>
      <c r="HP48">
        <v>1.8826499999999999</v>
      </c>
      <c r="HQ48">
        <v>1.8859600000000001</v>
      </c>
      <c r="HR48">
        <v>1.8767100000000001</v>
      </c>
      <c r="HS48">
        <v>1.8830899999999999</v>
      </c>
      <c r="HT48">
        <v>1.88209</v>
      </c>
      <c r="HU48">
        <v>1.8855599999999999</v>
      </c>
      <c r="HV48">
        <v>0</v>
      </c>
      <c r="HW48">
        <v>0</v>
      </c>
      <c r="HX48">
        <v>0</v>
      </c>
      <c r="HY48">
        <v>0</v>
      </c>
      <c r="HZ48" t="s">
        <v>425</v>
      </c>
      <c r="IA48" t="s">
        <v>426</v>
      </c>
      <c r="IB48" t="s">
        <v>427</v>
      </c>
      <c r="IC48" t="s">
        <v>427</v>
      </c>
      <c r="ID48" t="s">
        <v>427</v>
      </c>
      <c r="IE48" t="s">
        <v>427</v>
      </c>
      <c r="IF48">
        <v>0</v>
      </c>
      <c r="IG48">
        <v>100</v>
      </c>
      <c r="IH48">
        <v>100</v>
      </c>
      <c r="II48">
        <v>-0.36699999999999999</v>
      </c>
      <c r="IJ48">
        <v>4.5199999999999997E-2</v>
      </c>
      <c r="IK48">
        <v>-0.29543771088924398</v>
      </c>
      <c r="IL48">
        <v>-4.2852564239613137E-4</v>
      </c>
      <c r="IM48">
        <v>6.4980710991155998E-7</v>
      </c>
      <c r="IN48">
        <v>-2.7237938963984961E-10</v>
      </c>
      <c r="IO48">
        <v>-1.3517494596067801E-2</v>
      </c>
      <c r="IP48">
        <v>6.6907473102813496E-3</v>
      </c>
      <c r="IQ48">
        <v>-3.3673306238274028E-4</v>
      </c>
      <c r="IR48">
        <v>6.1311374003140313E-6</v>
      </c>
      <c r="IS48">
        <v>3</v>
      </c>
      <c r="IT48">
        <v>2101</v>
      </c>
      <c r="IU48">
        <v>1</v>
      </c>
      <c r="IV48">
        <v>32</v>
      </c>
      <c r="IW48">
        <v>1.5</v>
      </c>
      <c r="IX48">
        <v>1.4</v>
      </c>
      <c r="IY48">
        <v>0.80932599999999999</v>
      </c>
      <c r="IZ48">
        <v>2.7026400000000002</v>
      </c>
      <c r="JA48">
        <v>1.6015600000000001</v>
      </c>
      <c r="JB48">
        <v>2.3278799999999999</v>
      </c>
      <c r="JC48">
        <v>1.5502899999999999</v>
      </c>
      <c r="JD48">
        <v>2.3278799999999999</v>
      </c>
      <c r="JE48">
        <v>47.843699999999998</v>
      </c>
      <c r="JF48">
        <v>24.105</v>
      </c>
      <c r="JG48">
        <v>18</v>
      </c>
      <c r="JH48">
        <v>594.37900000000002</v>
      </c>
      <c r="JI48">
        <v>389.46499999999997</v>
      </c>
      <c r="JJ48">
        <v>27.704799999999999</v>
      </c>
      <c r="JK48">
        <v>32.4221</v>
      </c>
      <c r="JL48">
        <v>30.000499999999999</v>
      </c>
      <c r="JM48">
        <v>32.480899999999998</v>
      </c>
      <c r="JN48">
        <v>32.476900000000001</v>
      </c>
      <c r="JO48">
        <v>16.177099999999999</v>
      </c>
      <c r="JP48">
        <v>25.423400000000001</v>
      </c>
      <c r="JQ48">
        <v>10.1267</v>
      </c>
      <c r="JR48">
        <v>27.718299999999999</v>
      </c>
      <c r="JS48">
        <v>300</v>
      </c>
      <c r="JT48">
        <v>22.552900000000001</v>
      </c>
      <c r="JU48">
        <v>99.1541</v>
      </c>
      <c r="JV48">
        <v>99.1</v>
      </c>
    </row>
    <row r="49" spans="1:282" x14ac:dyDescent="0.25">
      <c r="A49">
        <v>33</v>
      </c>
      <c r="B49">
        <v>1689005959.5</v>
      </c>
      <c r="C49">
        <v>6136.9000000953674</v>
      </c>
      <c r="D49" t="s">
        <v>587</v>
      </c>
      <c r="E49" t="s">
        <v>588</v>
      </c>
      <c r="F49" t="s">
        <v>414</v>
      </c>
      <c r="G49" t="s">
        <v>415</v>
      </c>
      <c r="H49" t="s">
        <v>577</v>
      </c>
      <c r="I49" t="s">
        <v>578</v>
      </c>
      <c r="J49" t="s">
        <v>416</v>
      </c>
      <c r="K49">
        <v>1689005959.5</v>
      </c>
      <c r="L49">
        <f t="shared" ref="L49:L80" si="46">(M49)/1000</f>
        <v>5.3016997692279348E-3</v>
      </c>
      <c r="M49">
        <f t="shared" ref="M49:M80" si="47">1000*DM49*AK49*(DI49-DJ49)/(100*DB49*(1000-AK49*DI49))</f>
        <v>5.3016997692279348</v>
      </c>
      <c r="N49">
        <f t="shared" ref="N49:N80" si="48">DM49*AK49*(DH49-DG49*(1000-AK49*DJ49)/(1000-AK49*DI49))/(100*DB49)</f>
        <v>26.465214564280245</v>
      </c>
      <c r="O49">
        <f t="shared" ref="O49:O80" si="49">DG49 - IF(AK49&gt;1, N49*DB49*100/(AM49*DU49), 0)</f>
        <v>167.179</v>
      </c>
      <c r="P49">
        <f t="shared" ref="P49:P80" si="50">((V49-L49/2)*O49-N49)/(V49+L49/2)</f>
        <v>47.276409011552794</v>
      </c>
      <c r="Q49">
        <f t="shared" ref="Q49:Q80" si="51">P49*(DN49+DO49)/1000</f>
        <v>4.6888997986648775</v>
      </c>
      <c r="R49">
        <f t="shared" ref="R49:R80" si="52">(DG49 - IF(AK49&gt;1, N49*DB49*100/(AM49*DU49), 0))*(DN49+DO49)/1000</f>
        <v>16.580903580249501</v>
      </c>
      <c r="S49">
        <f t="shared" ref="S49:S80" si="53">2/((1/U49-1/T49)+SIGN(U49)*SQRT((1/U49-1/T49)*(1/U49-1/T49) + 4*DC49/((DC49+1)*(DC49+1))*(2*1/U49*1/T49-1/T49*1/T49)))</f>
        <v>0.38321331615320403</v>
      </c>
      <c r="T49">
        <f t="shared" ref="T49:T80" si="54">IF(LEFT(DD49,1)&lt;&gt;"0",IF(LEFT(DD49,1)="1",3,DE49),$D$5+$E$5*(DU49*DN49/($K$5*1000))+$F$5*(DU49*DN49/($K$5*1000))*MAX(MIN(DB49,$J$5),$I$5)*MAX(MIN(DB49,$J$5),$I$5)+$G$5*MAX(MIN(DB49,$J$5),$I$5)*(DU49*DN49/($K$5*1000))+$H$5*(DU49*DN49/($K$5*1000))*(DU49*DN49/($K$5*1000)))</f>
        <v>2.9124961824431894</v>
      </c>
      <c r="U49">
        <f t="shared" ref="U49:U80" si="55">L49*(1000-(1000*0.61365*EXP(17.502*Y49/(240.97+Y49))/(DN49+DO49)+DI49)/2)/(1000*0.61365*EXP(17.502*Y49/(240.97+Y49))/(DN49+DO49)-DI49)</f>
        <v>0.35724393641011137</v>
      </c>
      <c r="V49">
        <f t="shared" ref="V49:V80" si="56">1/((DC49+1)/(S49/1.6)+1/(T49/1.37)) + DC49/((DC49+1)/(S49/1.6) + DC49/(T49/1.37))</f>
        <v>0.22546388228689823</v>
      </c>
      <c r="W49">
        <f t="shared" ref="W49:W80" si="57">(CX49*DA49)</f>
        <v>289.56647032676153</v>
      </c>
      <c r="X49">
        <f t="shared" ref="X49:X80" si="58">(DP49+(W49+2*0.95*0.0000000567*(((DP49+$B$7)+273)^4-(DP49+273)^4)-44100*L49)/(1.84*29.3*T49+8*0.95*0.0000000567*(DP49+273)^3))</f>
        <v>30.614472292111966</v>
      </c>
      <c r="Y49">
        <f t="shared" ref="Y49:Y80" si="59">($C$7*DQ49+$D$7*DR49+$E$7*X49)</f>
        <v>29.972999999999999</v>
      </c>
      <c r="Z49">
        <f t="shared" ref="Z49:Z80" si="60">0.61365*EXP(17.502*Y49/(240.97+Y49))</f>
        <v>4.2538468838259158</v>
      </c>
      <c r="AA49">
        <f t="shared" ref="AA49:AA80" si="61">(AB49/AC49*100)</f>
        <v>65.454067621051934</v>
      </c>
      <c r="AB49">
        <f t="shared" ref="AB49:AB80" si="62">DI49*(DN49+DO49)/1000</f>
        <v>2.83455009332785</v>
      </c>
      <c r="AC49">
        <f t="shared" ref="AC49:AC80" si="63">0.61365*EXP(17.502*DP49/(240.97+DP49))</f>
        <v>4.3305942569353411</v>
      </c>
      <c r="AD49">
        <f t="shared" ref="AD49:AD80" si="64">(Z49-DI49*(DN49+DO49)/1000)</f>
        <v>1.4192967904980658</v>
      </c>
      <c r="AE49">
        <f t="shared" ref="AE49:AE80" si="65">(-L49*44100)</f>
        <v>-233.80495982295193</v>
      </c>
      <c r="AF49">
        <f t="shared" ref="AF49:AF80" si="66">2*29.3*T49*0.92*(DP49-Y49)</f>
        <v>48.926962788942873</v>
      </c>
      <c r="AG49">
        <f t="shared" ref="AG49:AG80" si="67">2*0.95*0.0000000567*(((DP49+$B$7)+273)^4-(Y49+273)^4)</f>
        <v>3.740036285366815</v>
      </c>
      <c r="AH49">
        <f t="shared" ref="AH49:AH80" si="68">W49+AG49+AE49+AF49</f>
        <v>108.42850957811932</v>
      </c>
      <c r="AI49">
        <v>0</v>
      </c>
      <c r="AJ49">
        <v>0</v>
      </c>
      <c r="AK49">
        <f t="shared" ref="AK49:AK80" si="69">IF(AI49*$H$13&gt;=AM49,1,(AM49/(AM49-AI49*$H$13)))</f>
        <v>1</v>
      </c>
      <c r="AL49">
        <f t="shared" ref="AL49:AL80" si="70">(AK49-1)*100</f>
        <v>0</v>
      </c>
      <c r="AM49">
        <f t="shared" ref="AM49:AM80" si="71">MAX(0,($B$13+$C$13*DU49)/(1+$D$13*DU49)*DN49/(DP49+273)*$E$13)</f>
        <v>51798.764623728021</v>
      </c>
      <c r="AN49" t="s">
        <v>419</v>
      </c>
      <c r="AO49">
        <v>9967.0300000000007</v>
      </c>
      <c r="AP49">
        <v>178.94153846153841</v>
      </c>
      <c r="AQ49">
        <v>603.15</v>
      </c>
      <c r="AR49">
        <f t="shared" ref="AR49:AR80" si="72">1-AP49/AQ49</f>
        <v>0.7033216638290003</v>
      </c>
      <c r="AS49">
        <v>-3.2649104154664181</v>
      </c>
      <c r="AT49" t="s">
        <v>589</v>
      </c>
      <c r="AU49">
        <v>8041.64</v>
      </c>
      <c r="AV49">
        <v>698.731576923077</v>
      </c>
      <c r="AW49">
        <v>904.5412103842732</v>
      </c>
      <c r="AX49">
        <f t="shared" ref="AX49:AX80" si="73">1-AV49/AW49</f>
        <v>0.22752930557333351</v>
      </c>
      <c r="AY49">
        <v>0.5</v>
      </c>
      <c r="AZ49">
        <f t="shared" ref="AZ49:AZ80" si="74">CY49</f>
        <v>1513.1846996511717</v>
      </c>
      <c r="BA49">
        <f t="shared" ref="BA49:BA80" si="75">N49</f>
        <v>26.465214564280245</v>
      </c>
      <c r="BB49">
        <f t="shared" ref="BB49:BB80" si="76">AX49*AY49*AZ49</f>
        <v>172.14693195791216</v>
      </c>
      <c r="BC49">
        <f t="shared" ref="BC49:BC80" si="77">(BA49-AS49)/AZ49</f>
        <v>1.964738672456854E-2</v>
      </c>
      <c r="BD49">
        <f t="shared" ref="BD49:BD80" si="78">(AQ49-AW49)/AW49</f>
        <v>-0.33319787636456522</v>
      </c>
      <c r="BE49">
        <f t="shared" ref="BE49:BE80" si="79">AP49/(AR49+AP49/AW49)</f>
        <v>198.57077409166226</v>
      </c>
      <c r="BF49" t="s">
        <v>590</v>
      </c>
      <c r="BG49">
        <v>521.32000000000005</v>
      </c>
      <c r="BH49">
        <f t="shared" ref="BH49:BH80" si="80">IF(BG49&lt;&gt;0, BG49, BE49)</f>
        <v>521.32000000000005</v>
      </c>
      <c r="BI49">
        <f t="shared" ref="BI49:BI80" si="81">1-BH49/AW49</f>
        <v>0.42366362746642638</v>
      </c>
      <c r="BJ49">
        <f t="shared" ref="BJ49:BJ80" si="82">(AW49-AV49)/(AW49-BH49)</f>
        <v>0.53705178075822479</v>
      </c>
      <c r="BK49">
        <f t="shared" ref="BK49:BK80" si="83">(AQ49-AW49)/(AQ49-BH49)</f>
        <v>-3.683138340269748</v>
      </c>
      <c r="BL49">
        <f t="shared" ref="BL49:BL80" si="84">(AW49-AV49)/(AW49-AP49)</f>
        <v>0.28364074768092196</v>
      </c>
      <c r="BM49">
        <f t="shared" ref="BM49:BM80" si="85">(AQ49-AW49)/(AQ49-AP49)</f>
        <v>-0.71047901612152797</v>
      </c>
      <c r="BN49">
        <f t="shared" ref="BN49:BN80" si="86">(BJ49*BH49/AV49)</f>
        <v>0.40069154392273898</v>
      </c>
      <c r="BO49">
        <f t="shared" ref="BO49:BO80" si="87">(1-BN49)</f>
        <v>0.59930845607726102</v>
      </c>
      <c r="BP49">
        <v>6101</v>
      </c>
      <c r="BQ49">
        <v>290.00000000000011</v>
      </c>
      <c r="BR49">
        <v>843.43</v>
      </c>
      <c r="BS49">
        <v>295</v>
      </c>
      <c r="BT49">
        <v>8041.64</v>
      </c>
      <c r="BU49">
        <v>845.14</v>
      </c>
      <c r="BV49">
        <v>-1.71</v>
      </c>
      <c r="BW49">
        <v>300.00000000000011</v>
      </c>
      <c r="BX49">
        <v>19.399999999999999</v>
      </c>
      <c r="BY49">
        <v>904.5412103842732</v>
      </c>
      <c r="BZ49">
        <v>3.9196863552029102</v>
      </c>
      <c r="CA49">
        <v>-47.769841405025311</v>
      </c>
      <c r="CB49">
        <v>2.8956010575474829</v>
      </c>
      <c r="CC49">
        <v>0.90671755712476054</v>
      </c>
      <c r="CD49">
        <v>-4.1506091212458306E-3</v>
      </c>
      <c r="CE49">
        <v>289.99999999999989</v>
      </c>
      <c r="CF49">
        <v>844.07</v>
      </c>
      <c r="CG49">
        <v>635</v>
      </c>
      <c r="CH49">
        <v>8032.53</v>
      </c>
      <c r="CI49">
        <v>845.07</v>
      </c>
      <c r="CJ49">
        <v>-1</v>
      </c>
      <c r="CX49">
        <f t="shared" ref="CX49:CX80" si="88">$B$11*DV49+$C$11*DW49+$F$11*EH49*(1-EK49)</f>
        <v>1800</v>
      </c>
      <c r="CY49">
        <f t="shared" ref="CY49:CY80" si="89">CX49*CZ49</f>
        <v>1513.1846996511717</v>
      </c>
      <c r="CZ49">
        <f t="shared" ref="CZ49:CZ80" si="90">($B$11*$D$9+$C$11*$D$9+$F$11*((EU49+EM49)/MAX(EU49+EM49+EV49, 0.1)*$I$9+EV49/MAX(EU49+EM49+EV49, 0.1)*$J$9))/($B$11+$C$11+$F$11)</f>
        <v>0.84065816647287317</v>
      </c>
      <c r="DA49">
        <f t="shared" ref="DA49:DA80" si="91">($B$11*$K$9+$C$11*$K$9+$F$11*((EU49+EM49)/MAX(EU49+EM49+EV49, 0.1)*$P$9+EV49/MAX(EU49+EM49+EV49, 0.1)*$Q$9))/($B$11+$C$11+$F$11)</f>
        <v>0.16087026129264528</v>
      </c>
      <c r="DB49">
        <v>6</v>
      </c>
      <c r="DC49">
        <v>0.5</v>
      </c>
      <c r="DD49" t="s">
        <v>422</v>
      </c>
      <c r="DE49">
        <v>2</v>
      </c>
      <c r="DF49">
        <v>1689005959.5</v>
      </c>
      <c r="DG49">
        <v>167.179</v>
      </c>
      <c r="DH49">
        <v>199.99600000000001</v>
      </c>
      <c r="DI49">
        <v>28.579699999999999</v>
      </c>
      <c r="DJ49">
        <v>22.400400000000001</v>
      </c>
      <c r="DK49">
        <v>167.441</v>
      </c>
      <c r="DL49">
        <v>28.535</v>
      </c>
      <c r="DM49">
        <v>500.07400000000001</v>
      </c>
      <c r="DN49">
        <v>99.080600000000004</v>
      </c>
      <c r="DO49">
        <v>9.9940500000000002E-2</v>
      </c>
      <c r="DP49">
        <v>30.284600000000001</v>
      </c>
      <c r="DQ49">
        <v>29.972999999999999</v>
      </c>
      <c r="DR49">
        <v>999.9</v>
      </c>
      <c r="DS49">
        <v>0</v>
      </c>
      <c r="DT49">
        <v>0</v>
      </c>
      <c r="DU49">
        <v>9995</v>
      </c>
      <c r="DV49">
        <v>0</v>
      </c>
      <c r="DW49">
        <v>2205.39</v>
      </c>
      <c r="DX49">
        <v>-32.817900000000002</v>
      </c>
      <c r="DY49">
        <v>172.09700000000001</v>
      </c>
      <c r="DZ49">
        <v>204.57900000000001</v>
      </c>
      <c r="EA49">
        <v>6.1793199999999997</v>
      </c>
      <c r="EB49">
        <v>199.99600000000001</v>
      </c>
      <c r="EC49">
        <v>22.400400000000001</v>
      </c>
      <c r="ED49">
        <v>2.83169</v>
      </c>
      <c r="EE49">
        <v>2.2194400000000001</v>
      </c>
      <c r="EF49">
        <v>23.07</v>
      </c>
      <c r="EG49">
        <v>19.103300000000001</v>
      </c>
      <c r="EH49">
        <v>1800</v>
      </c>
      <c r="EI49">
        <v>0.97800100000000001</v>
      </c>
      <c r="EJ49">
        <v>2.19992E-2</v>
      </c>
      <c r="EK49">
        <v>0</v>
      </c>
      <c r="EL49">
        <v>698.71</v>
      </c>
      <c r="EM49">
        <v>5.0005300000000004</v>
      </c>
      <c r="EN49">
        <v>15345.1</v>
      </c>
      <c r="EO49">
        <v>16035.3</v>
      </c>
      <c r="EP49">
        <v>50.061999999999998</v>
      </c>
      <c r="EQ49">
        <v>51.625</v>
      </c>
      <c r="ER49">
        <v>50.625</v>
      </c>
      <c r="ES49">
        <v>51</v>
      </c>
      <c r="ET49">
        <v>51.311999999999998</v>
      </c>
      <c r="EU49">
        <v>1755.51</v>
      </c>
      <c r="EV49">
        <v>39.49</v>
      </c>
      <c r="EW49">
        <v>0</v>
      </c>
      <c r="EX49">
        <v>131.39999985694891</v>
      </c>
      <c r="EY49">
        <v>0</v>
      </c>
      <c r="EZ49">
        <v>698.731576923077</v>
      </c>
      <c r="FA49">
        <v>-2.7568888870958741</v>
      </c>
      <c r="FB49">
        <v>-127.6478637390593</v>
      </c>
      <c r="FC49">
        <v>15342.926923076921</v>
      </c>
      <c r="FD49">
        <v>15</v>
      </c>
      <c r="FE49">
        <v>1689005900.5</v>
      </c>
      <c r="FF49" t="s">
        <v>591</v>
      </c>
      <c r="FG49">
        <v>1689005894.5</v>
      </c>
      <c r="FH49">
        <v>1689005900.5</v>
      </c>
      <c r="FI49">
        <v>37</v>
      </c>
      <c r="FJ49">
        <v>8.7999999999999995E-2</v>
      </c>
      <c r="FK49">
        <v>-1E-3</v>
      </c>
      <c r="FL49">
        <v>-0.26900000000000002</v>
      </c>
      <c r="FM49">
        <v>3.5999999999999997E-2</v>
      </c>
      <c r="FN49">
        <v>200</v>
      </c>
      <c r="FO49">
        <v>23</v>
      </c>
      <c r="FP49">
        <v>7.0000000000000007E-2</v>
      </c>
      <c r="FQ49">
        <v>0.01</v>
      </c>
      <c r="FR49">
        <v>26.408441173452701</v>
      </c>
      <c r="FS49">
        <v>0.36826280959867952</v>
      </c>
      <c r="FT49">
        <v>3.614231578847011E-2</v>
      </c>
      <c r="FU49">
        <v>1</v>
      </c>
      <c r="FV49">
        <v>0.38227840513929923</v>
      </c>
      <c r="FW49">
        <v>4.9233575094132231E-2</v>
      </c>
      <c r="FX49">
        <v>4.2622486097424186E-3</v>
      </c>
      <c r="FY49">
        <v>1</v>
      </c>
      <c r="FZ49">
        <v>2</v>
      </c>
      <c r="GA49">
        <v>2</v>
      </c>
      <c r="GB49" t="s">
        <v>424</v>
      </c>
      <c r="GC49">
        <v>3.1165099999999999</v>
      </c>
      <c r="GD49">
        <v>2.7671999999999999</v>
      </c>
      <c r="GE49">
        <v>4.2818700000000001E-2</v>
      </c>
      <c r="GF49">
        <v>5.0298299999999997E-2</v>
      </c>
      <c r="GG49">
        <v>0.12132900000000001</v>
      </c>
      <c r="GH49">
        <v>0.10258200000000001</v>
      </c>
      <c r="GI49">
        <v>22965</v>
      </c>
      <c r="GJ49">
        <v>23609.3</v>
      </c>
      <c r="GK49">
        <v>23847</v>
      </c>
      <c r="GL49">
        <v>25164.2</v>
      </c>
      <c r="GM49">
        <v>30188.9</v>
      </c>
      <c r="GN49">
        <v>31665.5</v>
      </c>
      <c r="GO49">
        <v>37998.5</v>
      </c>
      <c r="GP49">
        <v>39138.1</v>
      </c>
      <c r="GQ49">
        <v>2.16283</v>
      </c>
      <c r="GR49">
        <v>1.7556700000000001</v>
      </c>
      <c r="GS49">
        <v>4.2002600000000001E-2</v>
      </c>
      <c r="GT49">
        <v>0</v>
      </c>
      <c r="GU49">
        <v>29.289100000000001</v>
      </c>
      <c r="GV49">
        <v>999.9</v>
      </c>
      <c r="GW49">
        <v>31.4</v>
      </c>
      <c r="GX49">
        <v>43.9</v>
      </c>
      <c r="GY49">
        <v>28.853899999999999</v>
      </c>
      <c r="GZ49">
        <v>60.938899999999997</v>
      </c>
      <c r="HA49">
        <v>28.3934</v>
      </c>
      <c r="HB49">
        <v>1</v>
      </c>
      <c r="HC49">
        <v>0.41829499999999997</v>
      </c>
      <c r="HD49">
        <v>1.84388</v>
      </c>
      <c r="HE49">
        <v>20.309899999999999</v>
      </c>
      <c r="HF49">
        <v>5.25143</v>
      </c>
      <c r="HG49">
        <v>12.0099</v>
      </c>
      <c r="HH49">
        <v>4.9794999999999998</v>
      </c>
      <c r="HI49">
        <v>3.2930000000000001</v>
      </c>
      <c r="HJ49">
        <v>9999</v>
      </c>
      <c r="HK49">
        <v>9999</v>
      </c>
      <c r="HL49">
        <v>9999</v>
      </c>
      <c r="HM49">
        <v>233.1</v>
      </c>
      <c r="HN49">
        <v>1.87561</v>
      </c>
      <c r="HO49">
        <v>1.8766799999999999</v>
      </c>
      <c r="HP49">
        <v>1.88266</v>
      </c>
      <c r="HQ49">
        <v>1.8858999999999999</v>
      </c>
      <c r="HR49">
        <v>1.8767100000000001</v>
      </c>
      <c r="HS49">
        <v>1.8830899999999999</v>
      </c>
      <c r="HT49">
        <v>1.8820699999999999</v>
      </c>
      <c r="HU49">
        <v>1.88554</v>
      </c>
      <c r="HV49">
        <v>0</v>
      </c>
      <c r="HW49">
        <v>0</v>
      </c>
      <c r="HX49">
        <v>0</v>
      </c>
      <c r="HY49">
        <v>0</v>
      </c>
      <c r="HZ49" t="s">
        <v>425</v>
      </c>
      <c r="IA49" t="s">
        <v>426</v>
      </c>
      <c r="IB49" t="s">
        <v>427</v>
      </c>
      <c r="IC49" t="s">
        <v>427</v>
      </c>
      <c r="ID49" t="s">
        <v>427</v>
      </c>
      <c r="IE49" t="s">
        <v>427</v>
      </c>
      <c r="IF49">
        <v>0</v>
      </c>
      <c r="IG49">
        <v>100</v>
      </c>
      <c r="IH49">
        <v>100</v>
      </c>
      <c r="II49">
        <v>-0.26200000000000001</v>
      </c>
      <c r="IJ49">
        <v>4.4699999999999997E-2</v>
      </c>
      <c r="IK49">
        <v>-0.20731279522603141</v>
      </c>
      <c r="IL49">
        <v>-4.2852564239613137E-4</v>
      </c>
      <c r="IM49">
        <v>6.4980710991155998E-7</v>
      </c>
      <c r="IN49">
        <v>-2.7237938963984961E-10</v>
      </c>
      <c r="IO49">
        <v>-1.447991887697208E-2</v>
      </c>
      <c r="IP49">
        <v>6.6907473102813496E-3</v>
      </c>
      <c r="IQ49">
        <v>-3.3673306238274028E-4</v>
      </c>
      <c r="IR49">
        <v>6.1311374003140313E-6</v>
      </c>
      <c r="IS49">
        <v>3</v>
      </c>
      <c r="IT49">
        <v>2101</v>
      </c>
      <c r="IU49">
        <v>1</v>
      </c>
      <c r="IV49">
        <v>32</v>
      </c>
      <c r="IW49">
        <v>1.1000000000000001</v>
      </c>
      <c r="IX49">
        <v>1</v>
      </c>
      <c r="IY49">
        <v>0.59082000000000001</v>
      </c>
      <c r="IZ49">
        <v>2.7087400000000001</v>
      </c>
      <c r="JA49">
        <v>1.6015600000000001</v>
      </c>
      <c r="JB49">
        <v>2.3290999999999999</v>
      </c>
      <c r="JC49">
        <v>1.5502899999999999</v>
      </c>
      <c r="JD49">
        <v>2.36816</v>
      </c>
      <c r="JE49">
        <v>48.0869</v>
      </c>
      <c r="JF49">
        <v>24.113800000000001</v>
      </c>
      <c r="JG49">
        <v>18</v>
      </c>
      <c r="JH49">
        <v>594.89800000000002</v>
      </c>
      <c r="JI49">
        <v>387.81599999999997</v>
      </c>
      <c r="JJ49">
        <v>27.534199999999998</v>
      </c>
      <c r="JK49">
        <v>32.554499999999997</v>
      </c>
      <c r="JL49">
        <v>30.001200000000001</v>
      </c>
      <c r="JM49">
        <v>32.617400000000004</v>
      </c>
      <c r="JN49">
        <v>32.612699999999997</v>
      </c>
      <c r="JO49">
        <v>11.8184</v>
      </c>
      <c r="JP49">
        <v>27.060600000000001</v>
      </c>
      <c r="JQ49">
        <v>8.9943200000000001</v>
      </c>
      <c r="JR49">
        <v>27.5169</v>
      </c>
      <c r="JS49">
        <v>200</v>
      </c>
      <c r="JT49">
        <v>22.273599999999998</v>
      </c>
      <c r="JU49">
        <v>99.124399999999994</v>
      </c>
      <c r="JV49">
        <v>99.068899999999999</v>
      </c>
    </row>
    <row r="50" spans="1:282" x14ac:dyDescent="0.25">
      <c r="A50">
        <v>34</v>
      </c>
      <c r="B50">
        <v>1689006075.5</v>
      </c>
      <c r="C50">
        <v>6252.9000000953674</v>
      </c>
      <c r="D50" t="s">
        <v>592</v>
      </c>
      <c r="E50" t="s">
        <v>593</v>
      </c>
      <c r="F50" t="s">
        <v>414</v>
      </c>
      <c r="G50" t="s">
        <v>415</v>
      </c>
      <c r="H50" t="s">
        <v>577</v>
      </c>
      <c r="I50" t="s">
        <v>578</v>
      </c>
      <c r="J50" t="s">
        <v>416</v>
      </c>
      <c r="K50">
        <v>1689006075.5</v>
      </c>
      <c r="L50">
        <f t="shared" si="46"/>
        <v>5.6144261546435398E-3</v>
      </c>
      <c r="M50">
        <f t="shared" si="47"/>
        <v>5.6144261546435397</v>
      </c>
      <c r="N50">
        <f t="shared" si="48"/>
        <v>16.687850978964381</v>
      </c>
      <c r="O50">
        <f t="shared" si="49"/>
        <v>99.412899999999993</v>
      </c>
      <c r="P50">
        <f t="shared" si="50"/>
        <v>27.621749324910613</v>
      </c>
      <c r="Q50">
        <f t="shared" si="51"/>
        <v>2.7394241543617266</v>
      </c>
      <c r="R50">
        <f t="shared" si="52"/>
        <v>9.8594081175569475</v>
      </c>
      <c r="S50">
        <f t="shared" si="53"/>
        <v>0.40481740191104493</v>
      </c>
      <c r="T50">
        <f t="shared" si="54"/>
        <v>2.9172341755172817</v>
      </c>
      <c r="U50">
        <f t="shared" si="55"/>
        <v>0.37599888135005383</v>
      </c>
      <c r="V50">
        <f t="shared" si="56"/>
        <v>0.23741734388631922</v>
      </c>
      <c r="W50">
        <f t="shared" si="57"/>
        <v>289.56487432675777</v>
      </c>
      <c r="X50">
        <f t="shared" si="58"/>
        <v>30.708971728960265</v>
      </c>
      <c r="Y50">
        <f t="shared" si="59"/>
        <v>30.100300000000001</v>
      </c>
      <c r="Z50">
        <f t="shared" si="60"/>
        <v>4.2850565671948067</v>
      </c>
      <c r="AA50">
        <f t="shared" si="61"/>
        <v>65.319781905056757</v>
      </c>
      <c r="AB50">
        <f t="shared" si="62"/>
        <v>2.8574787841805502</v>
      </c>
      <c r="AC50">
        <f t="shared" si="63"/>
        <v>4.374599395224462</v>
      </c>
      <c r="AD50">
        <f t="shared" si="64"/>
        <v>1.4275777830142564</v>
      </c>
      <c r="AE50">
        <f t="shared" si="65"/>
        <v>-247.59619341978009</v>
      </c>
      <c r="AF50">
        <f t="shared" si="66"/>
        <v>56.744433536471583</v>
      </c>
      <c r="AG50">
        <f t="shared" si="67"/>
        <v>4.3370822180000443</v>
      </c>
      <c r="AH50">
        <f t="shared" si="68"/>
        <v>103.05019666144929</v>
      </c>
      <c r="AI50">
        <v>0</v>
      </c>
      <c r="AJ50">
        <v>0</v>
      </c>
      <c r="AK50">
        <f t="shared" si="69"/>
        <v>1</v>
      </c>
      <c r="AL50">
        <f t="shared" si="70"/>
        <v>0</v>
      </c>
      <c r="AM50">
        <f t="shared" si="71"/>
        <v>51903.169771567605</v>
      </c>
      <c r="AN50" t="s">
        <v>419</v>
      </c>
      <c r="AO50">
        <v>9967.0300000000007</v>
      </c>
      <c r="AP50">
        <v>178.94153846153841</v>
      </c>
      <c r="AQ50">
        <v>603.15</v>
      </c>
      <c r="AR50">
        <f t="shared" si="72"/>
        <v>0.7033216638290003</v>
      </c>
      <c r="AS50">
        <v>-3.2649104154664181</v>
      </c>
      <c r="AT50" t="s">
        <v>594</v>
      </c>
      <c r="AU50">
        <v>8041.18</v>
      </c>
      <c r="AV50">
        <v>713.16575999999986</v>
      </c>
      <c r="AW50">
        <v>862.60795168475067</v>
      </c>
      <c r="AX50">
        <f t="shared" si="73"/>
        <v>0.17324462566438992</v>
      </c>
      <c r="AY50">
        <v>0.5</v>
      </c>
      <c r="AZ50">
        <f t="shared" si="74"/>
        <v>1513.1762996511698</v>
      </c>
      <c r="BA50">
        <f t="shared" si="75"/>
        <v>16.687850978964381</v>
      </c>
      <c r="BB50">
        <f t="shared" si="76"/>
        <v>131.07483079864681</v>
      </c>
      <c r="BC50">
        <f t="shared" si="77"/>
        <v>1.3186012362888896E-2</v>
      </c>
      <c r="BD50">
        <f t="shared" si="78"/>
        <v>-0.30078316711317821</v>
      </c>
      <c r="BE50">
        <f t="shared" si="79"/>
        <v>196.47406891953324</v>
      </c>
      <c r="BF50" t="s">
        <v>595</v>
      </c>
      <c r="BG50">
        <v>530.05999999999995</v>
      </c>
      <c r="BH50">
        <f t="shared" si="80"/>
        <v>530.05999999999995</v>
      </c>
      <c r="BI50">
        <f t="shared" si="81"/>
        <v>0.38551459099728302</v>
      </c>
      <c r="BJ50">
        <f t="shared" si="82"/>
        <v>0.44938539217471779</v>
      </c>
      <c r="BK50">
        <f t="shared" si="83"/>
        <v>-3.5498419986968202</v>
      </c>
      <c r="BL50">
        <f t="shared" si="84"/>
        <v>0.21858934239608316</v>
      </c>
      <c r="BM50">
        <f t="shared" si="85"/>
        <v>-0.61162842142229756</v>
      </c>
      <c r="BN50">
        <f t="shared" si="86"/>
        <v>0.33400540847071924</v>
      </c>
      <c r="BO50">
        <f t="shared" si="87"/>
        <v>0.66599459152928076</v>
      </c>
      <c r="BP50">
        <v>6103</v>
      </c>
      <c r="BQ50">
        <v>290.00000000000011</v>
      </c>
      <c r="BR50">
        <v>816.4</v>
      </c>
      <c r="BS50">
        <v>285</v>
      </c>
      <c r="BT50">
        <v>8041.18</v>
      </c>
      <c r="BU50">
        <v>816.4</v>
      </c>
      <c r="BV50">
        <v>0</v>
      </c>
      <c r="BW50">
        <v>300.00000000000011</v>
      </c>
      <c r="BX50">
        <v>19.399999999999999</v>
      </c>
      <c r="BY50">
        <v>862.60795168475067</v>
      </c>
      <c r="BZ50">
        <v>2.7710198542201132</v>
      </c>
      <c r="CA50">
        <v>-37.158241901353932</v>
      </c>
      <c r="CB50">
        <v>2.0469275257937238</v>
      </c>
      <c r="CC50">
        <v>0.92168662618705455</v>
      </c>
      <c r="CD50">
        <v>-4.15042113459401E-3</v>
      </c>
      <c r="CE50">
        <v>289.99999999999989</v>
      </c>
      <c r="CF50">
        <v>812.53</v>
      </c>
      <c r="CG50">
        <v>615</v>
      </c>
      <c r="CH50">
        <v>8032.77</v>
      </c>
      <c r="CI50">
        <v>816.35</v>
      </c>
      <c r="CJ50">
        <v>-3.82</v>
      </c>
      <c r="CX50">
        <f t="shared" si="88"/>
        <v>1799.99</v>
      </c>
      <c r="CY50">
        <f t="shared" si="89"/>
        <v>1513.1762996511698</v>
      </c>
      <c r="CZ50">
        <f t="shared" si="90"/>
        <v>0.84065817012937283</v>
      </c>
      <c r="DA50">
        <f t="shared" si="91"/>
        <v>0.16087026834968959</v>
      </c>
      <c r="DB50">
        <v>6</v>
      </c>
      <c r="DC50">
        <v>0.5</v>
      </c>
      <c r="DD50" t="s">
        <v>422</v>
      </c>
      <c r="DE50">
        <v>2</v>
      </c>
      <c r="DF50">
        <v>1689006075.5</v>
      </c>
      <c r="DG50">
        <v>99.412899999999993</v>
      </c>
      <c r="DH50">
        <v>120.104</v>
      </c>
      <c r="DI50">
        <v>28.812100000000001</v>
      </c>
      <c r="DJ50">
        <v>22.270199999999999</v>
      </c>
      <c r="DK50">
        <v>99.573099999999997</v>
      </c>
      <c r="DL50">
        <v>28.7699</v>
      </c>
      <c r="DM50">
        <v>500.09899999999999</v>
      </c>
      <c r="DN50">
        <v>99.076700000000002</v>
      </c>
      <c r="DO50">
        <v>9.9645499999999998E-2</v>
      </c>
      <c r="DP50">
        <v>30.461099999999998</v>
      </c>
      <c r="DQ50">
        <v>30.100300000000001</v>
      </c>
      <c r="DR50">
        <v>999.9</v>
      </c>
      <c r="DS50">
        <v>0</v>
      </c>
      <c r="DT50">
        <v>0</v>
      </c>
      <c r="DU50">
        <v>10022.5</v>
      </c>
      <c r="DV50">
        <v>0</v>
      </c>
      <c r="DW50">
        <v>2270.41</v>
      </c>
      <c r="DX50">
        <v>-20.691500000000001</v>
      </c>
      <c r="DY50">
        <v>102.36199999999999</v>
      </c>
      <c r="DZ50">
        <v>122.84</v>
      </c>
      <c r="EA50">
        <v>6.5419</v>
      </c>
      <c r="EB50">
        <v>120.104</v>
      </c>
      <c r="EC50">
        <v>22.270199999999999</v>
      </c>
      <c r="ED50">
        <v>2.8546100000000001</v>
      </c>
      <c r="EE50">
        <v>2.2064599999999999</v>
      </c>
      <c r="EF50">
        <v>23.203299999999999</v>
      </c>
      <c r="EG50">
        <v>19.0093</v>
      </c>
      <c r="EH50">
        <v>1799.99</v>
      </c>
      <c r="EI50">
        <v>0.97800100000000001</v>
      </c>
      <c r="EJ50">
        <v>2.19992E-2</v>
      </c>
      <c r="EK50">
        <v>0</v>
      </c>
      <c r="EL50">
        <v>712.80200000000002</v>
      </c>
      <c r="EM50">
        <v>5.0005300000000004</v>
      </c>
      <c r="EN50">
        <v>15690.6</v>
      </c>
      <c r="EO50">
        <v>16035.1</v>
      </c>
      <c r="EP50">
        <v>50.125</v>
      </c>
      <c r="EQ50">
        <v>51.686999999999998</v>
      </c>
      <c r="ER50">
        <v>50.686999999999998</v>
      </c>
      <c r="ES50">
        <v>51</v>
      </c>
      <c r="ET50">
        <v>51.375</v>
      </c>
      <c r="EU50">
        <v>1755.5</v>
      </c>
      <c r="EV50">
        <v>39.49</v>
      </c>
      <c r="EW50">
        <v>0</v>
      </c>
      <c r="EX50">
        <v>114.19999980926509</v>
      </c>
      <c r="EY50">
        <v>0</v>
      </c>
      <c r="EZ50">
        <v>713.16575999999986</v>
      </c>
      <c r="FA50">
        <v>-3.3840769426263351</v>
      </c>
      <c r="FB50">
        <v>-12.92307701698363</v>
      </c>
      <c r="FC50">
        <v>15690.472</v>
      </c>
      <c r="FD50">
        <v>15</v>
      </c>
      <c r="FE50">
        <v>1689006040</v>
      </c>
      <c r="FF50" t="s">
        <v>596</v>
      </c>
      <c r="FG50">
        <v>1689006035</v>
      </c>
      <c r="FH50">
        <v>1689006040</v>
      </c>
      <c r="FI50">
        <v>38</v>
      </c>
      <c r="FJ50">
        <v>8.4000000000000005E-2</v>
      </c>
      <c r="FK50">
        <v>-3.0000000000000001E-3</v>
      </c>
      <c r="FL50">
        <v>-0.16600000000000001</v>
      </c>
      <c r="FM50">
        <v>3.2000000000000001E-2</v>
      </c>
      <c r="FN50">
        <v>120</v>
      </c>
      <c r="FO50">
        <v>22</v>
      </c>
      <c r="FP50">
        <v>7.0000000000000007E-2</v>
      </c>
      <c r="FQ50">
        <v>0.01</v>
      </c>
      <c r="FR50">
        <v>16.573621791923561</v>
      </c>
      <c r="FS50">
        <v>0.29083868155751619</v>
      </c>
      <c r="FT50">
        <v>3.4980640362032217E-2</v>
      </c>
      <c r="FU50">
        <v>1</v>
      </c>
      <c r="FV50">
        <v>0.40160398214283571</v>
      </c>
      <c r="FW50">
        <v>4.3901410248913378E-2</v>
      </c>
      <c r="FX50">
        <v>3.8116914421161639E-3</v>
      </c>
      <c r="FY50">
        <v>1</v>
      </c>
      <c r="FZ50">
        <v>2</v>
      </c>
      <c r="GA50">
        <v>2</v>
      </c>
      <c r="GB50" t="s">
        <v>424</v>
      </c>
      <c r="GC50">
        <v>3.1168999999999998</v>
      </c>
      <c r="GD50">
        <v>2.7671700000000001</v>
      </c>
      <c r="GE50">
        <v>2.63035E-2</v>
      </c>
      <c r="GF50">
        <v>3.1507100000000003E-2</v>
      </c>
      <c r="GG50">
        <v>0.12198100000000001</v>
      </c>
      <c r="GH50">
        <v>0.102127</v>
      </c>
      <c r="GI50">
        <v>23353.8</v>
      </c>
      <c r="GJ50">
        <v>24068.799999999999</v>
      </c>
      <c r="GK50">
        <v>23840.400000000001</v>
      </c>
      <c r="GL50">
        <v>25157.3</v>
      </c>
      <c r="GM50">
        <v>30158.6</v>
      </c>
      <c r="GN50">
        <v>31672.799999999999</v>
      </c>
      <c r="GO50">
        <v>37988.6</v>
      </c>
      <c r="GP50">
        <v>39127.199999999997</v>
      </c>
      <c r="GQ50">
        <v>2.16167</v>
      </c>
      <c r="GR50">
        <v>1.7527299999999999</v>
      </c>
      <c r="GS50">
        <v>4.42192E-2</v>
      </c>
      <c r="GT50">
        <v>0</v>
      </c>
      <c r="GU50">
        <v>29.380400000000002</v>
      </c>
      <c r="GV50">
        <v>999.9</v>
      </c>
      <c r="GW50">
        <v>31.1</v>
      </c>
      <c r="GX50">
        <v>44.1</v>
      </c>
      <c r="GY50">
        <v>28.877300000000002</v>
      </c>
      <c r="GZ50">
        <v>60.348999999999997</v>
      </c>
      <c r="HA50">
        <v>27.892600000000002</v>
      </c>
      <c r="HB50">
        <v>1</v>
      </c>
      <c r="HC50">
        <v>0.433394</v>
      </c>
      <c r="HD50">
        <v>3.0821000000000001</v>
      </c>
      <c r="HE50">
        <v>20.290099999999999</v>
      </c>
      <c r="HF50">
        <v>5.2490399999999999</v>
      </c>
      <c r="HG50">
        <v>12.0099</v>
      </c>
      <c r="HH50">
        <v>4.9784499999999996</v>
      </c>
      <c r="HI50">
        <v>3.2924000000000002</v>
      </c>
      <c r="HJ50">
        <v>9999</v>
      </c>
      <c r="HK50">
        <v>9999</v>
      </c>
      <c r="HL50">
        <v>9999</v>
      </c>
      <c r="HM50">
        <v>233.1</v>
      </c>
      <c r="HN50">
        <v>1.87561</v>
      </c>
      <c r="HO50">
        <v>1.8766799999999999</v>
      </c>
      <c r="HP50">
        <v>1.88269</v>
      </c>
      <c r="HQ50">
        <v>1.8858900000000001</v>
      </c>
      <c r="HR50">
        <v>1.8767199999999999</v>
      </c>
      <c r="HS50">
        <v>1.8830899999999999</v>
      </c>
      <c r="HT50">
        <v>1.88208</v>
      </c>
      <c r="HU50">
        <v>1.8855900000000001</v>
      </c>
      <c r="HV50">
        <v>0</v>
      </c>
      <c r="HW50">
        <v>0</v>
      </c>
      <c r="HX50">
        <v>0</v>
      </c>
      <c r="HY50">
        <v>0</v>
      </c>
      <c r="HZ50" t="s">
        <v>425</v>
      </c>
      <c r="IA50" t="s">
        <v>426</v>
      </c>
      <c r="IB50" t="s">
        <v>427</v>
      </c>
      <c r="IC50" t="s">
        <v>427</v>
      </c>
      <c r="ID50" t="s">
        <v>427</v>
      </c>
      <c r="IE50" t="s">
        <v>427</v>
      </c>
      <c r="IF50">
        <v>0</v>
      </c>
      <c r="IG50">
        <v>100</v>
      </c>
      <c r="IH50">
        <v>100</v>
      </c>
      <c r="II50">
        <v>-0.16</v>
      </c>
      <c r="IJ50">
        <v>4.2200000000000001E-2</v>
      </c>
      <c r="IK50">
        <v>-0.1236242312632708</v>
      </c>
      <c r="IL50">
        <v>-4.2852564239613137E-4</v>
      </c>
      <c r="IM50">
        <v>6.4980710991155998E-7</v>
      </c>
      <c r="IN50">
        <v>-2.7237938963984961E-10</v>
      </c>
      <c r="IO50">
        <v>-1.762658481192644E-2</v>
      </c>
      <c r="IP50">
        <v>6.6907473102813496E-3</v>
      </c>
      <c r="IQ50">
        <v>-3.3673306238274028E-4</v>
      </c>
      <c r="IR50">
        <v>6.1311374003140313E-6</v>
      </c>
      <c r="IS50">
        <v>3</v>
      </c>
      <c r="IT50">
        <v>2101</v>
      </c>
      <c r="IU50">
        <v>1</v>
      </c>
      <c r="IV50">
        <v>32</v>
      </c>
      <c r="IW50">
        <v>0.7</v>
      </c>
      <c r="IX50">
        <v>0.6</v>
      </c>
      <c r="IY50">
        <v>0.41259800000000002</v>
      </c>
      <c r="IZ50">
        <v>2.7246100000000002</v>
      </c>
      <c r="JA50">
        <v>1.6015600000000001</v>
      </c>
      <c r="JB50">
        <v>2.3290999999999999</v>
      </c>
      <c r="JC50">
        <v>1.5490699999999999</v>
      </c>
      <c r="JD50">
        <v>2.3779300000000001</v>
      </c>
      <c r="JE50">
        <v>48.239600000000003</v>
      </c>
      <c r="JF50">
        <v>24.113800000000001</v>
      </c>
      <c r="JG50">
        <v>18</v>
      </c>
      <c r="JH50">
        <v>595.16999999999996</v>
      </c>
      <c r="JI50">
        <v>386.76400000000001</v>
      </c>
      <c r="JJ50">
        <v>27.126300000000001</v>
      </c>
      <c r="JK50">
        <v>32.6708</v>
      </c>
      <c r="JL50">
        <v>30.001200000000001</v>
      </c>
      <c r="JM50">
        <v>32.734999999999999</v>
      </c>
      <c r="JN50">
        <v>32.729700000000001</v>
      </c>
      <c r="JO50">
        <v>8.2442399999999996</v>
      </c>
      <c r="JP50">
        <v>27.200099999999999</v>
      </c>
      <c r="JQ50">
        <v>7.6337700000000002</v>
      </c>
      <c r="JR50">
        <v>27.070399999999999</v>
      </c>
      <c r="JS50">
        <v>120</v>
      </c>
      <c r="JT50">
        <v>22.127099999999999</v>
      </c>
      <c r="JU50">
        <v>99.097800000000007</v>
      </c>
      <c r="JV50">
        <v>99.041499999999999</v>
      </c>
    </row>
    <row r="51" spans="1:282" x14ac:dyDescent="0.25">
      <c r="A51">
        <v>35</v>
      </c>
      <c r="B51">
        <v>1689006180.5</v>
      </c>
      <c r="C51">
        <v>6357.9000000953674</v>
      </c>
      <c r="D51" t="s">
        <v>597</v>
      </c>
      <c r="E51" t="s">
        <v>598</v>
      </c>
      <c r="F51" t="s">
        <v>414</v>
      </c>
      <c r="G51" t="s">
        <v>415</v>
      </c>
      <c r="H51" t="s">
        <v>577</v>
      </c>
      <c r="I51" t="s">
        <v>578</v>
      </c>
      <c r="J51" t="s">
        <v>416</v>
      </c>
      <c r="K51">
        <v>1689006180.5</v>
      </c>
      <c r="L51">
        <f t="shared" si="46"/>
        <v>6.0157518910591767E-3</v>
      </c>
      <c r="M51">
        <f t="shared" si="47"/>
        <v>6.0157518910591765</v>
      </c>
      <c r="N51">
        <f t="shared" si="48"/>
        <v>10.203080801543059</v>
      </c>
      <c r="O51">
        <f t="shared" si="49"/>
        <v>57.431800000000003</v>
      </c>
      <c r="P51">
        <f t="shared" si="50"/>
        <v>17.23291308204578</v>
      </c>
      <c r="Q51">
        <f t="shared" si="51"/>
        <v>1.7093089188868069</v>
      </c>
      <c r="R51">
        <f t="shared" si="52"/>
        <v>5.6965811584113997</v>
      </c>
      <c r="S51">
        <f t="shared" si="53"/>
        <v>0.44508540723013468</v>
      </c>
      <c r="T51">
        <f t="shared" si="54"/>
        <v>2.9089167848832904</v>
      </c>
      <c r="U51">
        <f t="shared" si="55"/>
        <v>0.4104201746372626</v>
      </c>
      <c r="V51">
        <f t="shared" si="56"/>
        <v>0.25940178436495603</v>
      </c>
      <c r="W51">
        <f t="shared" si="57"/>
        <v>289.58346002566014</v>
      </c>
      <c r="X51">
        <f t="shared" si="58"/>
        <v>30.413952659884135</v>
      </c>
      <c r="Y51">
        <f t="shared" si="59"/>
        <v>29.953700000000001</v>
      </c>
      <c r="Z51">
        <f t="shared" si="60"/>
        <v>4.24913250888918</v>
      </c>
      <c r="AA51">
        <f t="shared" si="61"/>
        <v>65.802664269407231</v>
      </c>
      <c r="AB51">
        <f t="shared" si="62"/>
        <v>2.8472788552510995</v>
      </c>
      <c r="AC51">
        <f t="shared" si="63"/>
        <v>4.3269963106567522</v>
      </c>
      <c r="AD51">
        <f t="shared" si="64"/>
        <v>1.4018536536380806</v>
      </c>
      <c r="AE51">
        <f t="shared" si="65"/>
        <v>-265.29465839570969</v>
      </c>
      <c r="AF51">
        <f t="shared" si="66"/>
        <v>49.619595067976775</v>
      </c>
      <c r="AG51">
        <f t="shared" si="67"/>
        <v>3.797014056255128</v>
      </c>
      <c r="AH51">
        <f t="shared" si="68"/>
        <v>77.705410754182367</v>
      </c>
      <c r="AI51">
        <v>0</v>
      </c>
      <c r="AJ51">
        <v>0</v>
      </c>
      <c r="AK51">
        <f t="shared" si="69"/>
        <v>1</v>
      </c>
      <c r="AL51">
        <f t="shared" si="70"/>
        <v>0</v>
      </c>
      <c r="AM51">
        <f t="shared" si="71"/>
        <v>51699.737933130222</v>
      </c>
      <c r="AN51" t="s">
        <v>419</v>
      </c>
      <c r="AO51">
        <v>9967.0300000000007</v>
      </c>
      <c r="AP51">
        <v>178.94153846153841</v>
      </c>
      <c r="AQ51">
        <v>603.15</v>
      </c>
      <c r="AR51">
        <f t="shared" si="72"/>
        <v>0.7033216638290003</v>
      </c>
      <c r="AS51">
        <v>-3.2649104154664181</v>
      </c>
      <c r="AT51" t="s">
        <v>599</v>
      </c>
      <c r="AU51">
        <v>8040.78</v>
      </c>
      <c r="AV51">
        <v>722.58923076923077</v>
      </c>
      <c r="AW51">
        <v>823.07422452246442</v>
      </c>
      <c r="AX51">
        <f t="shared" si="73"/>
        <v>0.1220849721196573</v>
      </c>
      <c r="AY51">
        <v>0.5</v>
      </c>
      <c r="AZ51">
        <f t="shared" si="74"/>
        <v>1513.2768062309119</v>
      </c>
      <c r="BA51">
        <f t="shared" si="75"/>
        <v>10.203080801543059</v>
      </c>
      <c r="BB51">
        <f t="shared" si="76"/>
        <v>92.374178349012453</v>
      </c>
      <c r="BC51">
        <f t="shared" si="77"/>
        <v>8.8998861024996018E-3</v>
      </c>
      <c r="BD51">
        <f t="shared" si="78"/>
        <v>-0.26719853200367349</v>
      </c>
      <c r="BE51">
        <f t="shared" si="79"/>
        <v>194.34788727191329</v>
      </c>
      <c r="BF51" t="s">
        <v>600</v>
      </c>
      <c r="BG51">
        <v>552.61</v>
      </c>
      <c r="BH51">
        <f t="shared" si="80"/>
        <v>552.61</v>
      </c>
      <c r="BI51">
        <f t="shared" si="81"/>
        <v>0.32860247164146561</v>
      </c>
      <c r="BJ51">
        <f t="shared" si="82"/>
        <v>0.37152785707851538</v>
      </c>
      <c r="BK51">
        <f t="shared" si="83"/>
        <v>-4.3514884155612306</v>
      </c>
      <c r="BL51">
        <f t="shared" si="84"/>
        <v>0.15600045755748088</v>
      </c>
      <c r="BM51">
        <f t="shared" si="85"/>
        <v>-0.51843431817666519</v>
      </c>
      <c r="BN51">
        <f t="shared" si="86"/>
        <v>0.28413101158675735</v>
      </c>
      <c r="BO51">
        <f t="shared" si="87"/>
        <v>0.71586898841324265</v>
      </c>
      <c r="BP51">
        <v>6105</v>
      </c>
      <c r="BQ51">
        <v>290.00000000000011</v>
      </c>
      <c r="BR51">
        <v>788.74</v>
      </c>
      <c r="BS51">
        <v>275</v>
      </c>
      <c r="BT51">
        <v>8040.78</v>
      </c>
      <c r="BU51">
        <v>789.05</v>
      </c>
      <c r="BV51">
        <v>-0.31</v>
      </c>
      <c r="BW51">
        <v>300.00000000000011</v>
      </c>
      <c r="BX51">
        <v>19.399999999999999</v>
      </c>
      <c r="BY51">
        <v>823.07422452246442</v>
      </c>
      <c r="BZ51">
        <v>2.8539729792356292</v>
      </c>
      <c r="CA51">
        <v>-27.35753706900525</v>
      </c>
      <c r="CB51">
        <v>2.107917572555615</v>
      </c>
      <c r="CC51">
        <v>0.85746326383482918</v>
      </c>
      <c r="CD51">
        <v>-4.1498384872080234E-3</v>
      </c>
      <c r="CE51">
        <v>289.99999999999989</v>
      </c>
      <c r="CF51">
        <v>786.04</v>
      </c>
      <c r="CG51">
        <v>645</v>
      </c>
      <c r="CH51">
        <v>8030.57</v>
      </c>
      <c r="CI51">
        <v>789.01</v>
      </c>
      <c r="CJ51">
        <v>-2.97</v>
      </c>
      <c r="CX51">
        <f t="shared" si="88"/>
        <v>1800.11</v>
      </c>
      <c r="CY51">
        <f t="shared" si="89"/>
        <v>1513.2768062309119</v>
      </c>
      <c r="CZ51">
        <f t="shared" si="90"/>
        <v>0.84065796325275233</v>
      </c>
      <c r="DA51">
        <f t="shared" si="91"/>
        <v>0.16086986907781201</v>
      </c>
      <c r="DB51">
        <v>6</v>
      </c>
      <c r="DC51">
        <v>0.5</v>
      </c>
      <c r="DD51" t="s">
        <v>422</v>
      </c>
      <c r="DE51">
        <v>2</v>
      </c>
      <c r="DF51">
        <v>1689006180.5</v>
      </c>
      <c r="DG51">
        <v>57.431800000000003</v>
      </c>
      <c r="DH51">
        <v>70.086699999999993</v>
      </c>
      <c r="DI51">
        <v>28.7057</v>
      </c>
      <c r="DJ51">
        <v>21.695900000000002</v>
      </c>
      <c r="DK51">
        <v>57.521000000000001</v>
      </c>
      <c r="DL51">
        <v>28.661100000000001</v>
      </c>
      <c r="DM51">
        <v>500.13400000000001</v>
      </c>
      <c r="DN51">
        <v>99.0886</v>
      </c>
      <c r="DO51">
        <v>0.100023</v>
      </c>
      <c r="DP51">
        <v>30.270099999999999</v>
      </c>
      <c r="DQ51">
        <v>29.953700000000001</v>
      </c>
      <c r="DR51">
        <v>999.9</v>
      </c>
      <c r="DS51">
        <v>0</v>
      </c>
      <c r="DT51">
        <v>0</v>
      </c>
      <c r="DU51">
        <v>9973.75</v>
      </c>
      <c r="DV51">
        <v>0</v>
      </c>
      <c r="DW51">
        <v>1751.76</v>
      </c>
      <c r="DX51">
        <v>-12.6549</v>
      </c>
      <c r="DY51">
        <v>59.129199999999997</v>
      </c>
      <c r="DZ51">
        <v>71.641000000000005</v>
      </c>
      <c r="EA51">
        <v>7.0097500000000004</v>
      </c>
      <c r="EB51">
        <v>70.086699999999993</v>
      </c>
      <c r="EC51">
        <v>21.695900000000002</v>
      </c>
      <c r="ED51">
        <v>2.8443999999999998</v>
      </c>
      <c r="EE51">
        <v>2.1498200000000001</v>
      </c>
      <c r="EF51">
        <v>23.144100000000002</v>
      </c>
      <c r="EG51">
        <v>18.5932</v>
      </c>
      <c r="EH51">
        <v>1800.11</v>
      </c>
      <c r="EI51">
        <v>0.97800399999999998</v>
      </c>
      <c r="EJ51">
        <v>2.19957E-2</v>
      </c>
      <c r="EK51">
        <v>0</v>
      </c>
      <c r="EL51">
        <v>722.57500000000005</v>
      </c>
      <c r="EM51">
        <v>5.0005300000000004</v>
      </c>
      <c r="EN51">
        <v>15406.2</v>
      </c>
      <c r="EO51">
        <v>16036.2</v>
      </c>
      <c r="EP51">
        <v>50.375</v>
      </c>
      <c r="EQ51">
        <v>52</v>
      </c>
      <c r="ER51">
        <v>50.936999999999998</v>
      </c>
      <c r="ES51">
        <v>51.25</v>
      </c>
      <c r="ET51">
        <v>51.5</v>
      </c>
      <c r="EU51">
        <v>1755.62</v>
      </c>
      <c r="EV51">
        <v>39.479999999999997</v>
      </c>
      <c r="EW51">
        <v>0</v>
      </c>
      <c r="EX51">
        <v>103.2000000476837</v>
      </c>
      <c r="EY51">
        <v>0</v>
      </c>
      <c r="EZ51">
        <v>722.58923076923077</v>
      </c>
      <c r="FA51">
        <v>-1.80143591698009</v>
      </c>
      <c r="FB51">
        <v>-2643.712817296027</v>
      </c>
      <c r="FC51">
        <v>15826.45384615385</v>
      </c>
      <c r="FD51">
        <v>15</v>
      </c>
      <c r="FE51">
        <v>1689006150</v>
      </c>
      <c r="FF51" t="s">
        <v>601</v>
      </c>
      <c r="FG51">
        <v>1689006140</v>
      </c>
      <c r="FH51">
        <v>1689006150</v>
      </c>
      <c r="FI51">
        <v>39</v>
      </c>
      <c r="FJ51">
        <v>5.7000000000000002E-2</v>
      </c>
      <c r="FK51">
        <v>3.0000000000000001E-3</v>
      </c>
      <c r="FL51">
        <v>-9.4E-2</v>
      </c>
      <c r="FM51">
        <v>3.5000000000000003E-2</v>
      </c>
      <c r="FN51">
        <v>70</v>
      </c>
      <c r="FO51">
        <v>22</v>
      </c>
      <c r="FP51">
        <v>0.1</v>
      </c>
      <c r="FQ51">
        <v>0.01</v>
      </c>
      <c r="FR51">
        <v>10.21505737436903</v>
      </c>
      <c r="FS51">
        <v>-0.44545068833883938</v>
      </c>
      <c r="FT51">
        <v>3.8527226981963661E-2</v>
      </c>
      <c r="FU51">
        <v>1</v>
      </c>
      <c r="FV51">
        <v>0.44287883042831588</v>
      </c>
      <c r="FW51">
        <v>3.6116063947924833E-2</v>
      </c>
      <c r="FX51">
        <v>4.5539246436382113E-3</v>
      </c>
      <c r="FY51">
        <v>1</v>
      </c>
      <c r="FZ51">
        <v>2</v>
      </c>
      <c r="GA51">
        <v>2</v>
      </c>
      <c r="GB51" t="s">
        <v>424</v>
      </c>
      <c r="GC51">
        <v>3.1173999999999999</v>
      </c>
      <c r="GD51">
        <v>2.7671000000000001</v>
      </c>
      <c r="GE51">
        <v>1.5404599999999999E-2</v>
      </c>
      <c r="GF51">
        <v>1.8735700000000001E-2</v>
      </c>
      <c r="GG51">
        <v>0.12164</v>
      </c>
      <c r="GH51">
        <v>0.100228</v>
      </c>
      <c r="GI51">
        <v>23607.9</v>
      </c>
      <c r="GJ51">
        <v>24378.3</v>
      </c>
      <c r="GK51">
        <v>23833.9</v>
      </c>
      <c r="GL51">
        <v>25150.3</v>
      </c>
      <c r="GM51">
        <v>30162.400000000001</v>
      </c>
      <c r="GN51">
        <v>31731.200000000001</v>
      </c>
      <c r="GO51">
        <v>37978.699999999997</v>
      </c>
      <c r="GP51">
        <v>39116.800000000003</v>
      </c>
      <c r="GQ51">
        <v>2.1610800000000001</v>
      </c>
      <c r="GR51">
        <v>1.7480199999999999</v>
      </c>
      <c r="GS51">
        <v>2.4110099999999999E-2</v>
      </c>
      <c r="GT51">
        <v>0</v>
      </c>
      <c r="GU51">
        <v>29.561199999999999</v>
      </c>
      <c r="GV51">
        <v>999.9</v>
      </c>
      <c r="GW51">
        <v>31</v>
      </c>
      <c r="GX51">
        <v>44.2</v>
      </c>
      <c r="GY51">
        <v>28.9298</v>
      </c>
      <c r="GZ51">
        <v>61.038899999999998</v>
      </c>
      <c r="HA51">
        <v>28.317299999999999</v>
      </c>
      <c r="HB51">
        <v>1</v>
      </c>
      <c r="HC51">
        <v>0.44285799999999997</v>
      </c>
      <c r="HD51">
        <v>2.3283800000000001</v>
      </c>
      <c r="HE51">
        <v>20.302099999999999</v>
      </c>
      <c r="HF51">
        <v>5.2515799999999997</v>
      </c>
      <c r="HG51">
        <v>12.0099</v>
      </c>
      <c r="HH51">
        <v>4.9791999999999996</v>
      </c>
      <c r="HI51">
        <v>3.2930000000000001</v>
      </c>
      <c r="HJ51">
        <v>9999</v>
      </c>
      <c r="HK51">
        <v>9999</v>
      </c>
      <c r="HL51">
        <v>9999</v>
      </c>
      <c r="HM51">
        <v>233.2</v>
      </c>
      <c r="HN51">
        <v>1.87561</v>
      </c>
      <c r="HO51">
        <v>1.8766799999999999</v>
      </c>
      <c r="HP51">
        <v>1.8826700000000001</v>
      </c>
      <c r="HQ51">
        <v>1.8858999999999999</v>
      </c>
      <c r="HR51">
        <v>1.8767199999999999</v>
      </c>
      <c r="HS51">
        <v>1.8830899999999999</v>
      </c>
      <c r="HT51">
        <v>1.88208</v>
      </c>
      <c r="HU51">
        <v>1.88557</v>
      </c>
      <c r="HV51">
        <v>0</v>
      </c>
      <c r="HW51">
        <v>0</v>
      </c>
      <c r="HX51">
        <v>0</v>
      </c>
      <c r="HY51">
        <v>0</v>
      </c>
      <c r="HZ51" t="s">
        <v>425</v>
      </c>
      <c r="IA51" t="s">
        <v>426</v>
      </c>
      <c r="IB51" t="s">
        <v>427</v>
      </c>
      <c r="IC51" t="s">
        <v>427</v>
      </c>
      <c r="ID51" t="s">
        <v>427</v>
      </c>
      <c r="IE51" t="s">
        <v>427</v>
      </c>
      <c r="IF51">
        <v>0</v>
      </c>
      <c r="IG51">
        <v>100</v>
      </c>
      <c r="IH51">
        <v>100</v>
      </c>
      <c r="II51">
        <v>-8.8999999999999996E-2</v>
      </c>
      <c r="IJ51">
        <v>4.4600000000000001E-2</v>
      </c>
      <c r="IK51">
        <v>-6.6635812171612477E-2</v>
      </c>
      <c r="IL51">
        <v>-4.2852564239613137E-4</v>
      </c>
      <c r="IM51">
        <v>6.4980710991155998E-7</v>
      </c>
      <c r="IN51">
        <v>-2.7237938963984961E-10</v>
      </c>
      <c r="IO51">
        <v>-1.488506216739861E-2</v>
      </c>
      <c r="IP51">
        <v>6.6907473102813496E-3</v>
      </c>
      <c r="IQ51">
        <v>-3.3673306238274028E-4</v>
      </c>
      <c r="IR51">
        <v>6.1311374003140313E-6</v>
      </c>
      <c r="IS51">
        <v>3</v>
      </c>
      <c r="IT51">
        <v>2101</v>
      </c>
      <c r="IU51">
        <v>1</v>
      </c>
      <c r="IV51">
        <v>32</v>
      </c>
      <c r="IW51">
        <v>0.7</v>
      </c>
      <c r="IX51">
        <v>0.5</v>
      </c>
      <c r="IY51">
        <v>0.299072</v>
      </c>
      <c r="IZ51">
        <v>2.7392599999999998</v>
      </c>
      <c r="JA51">
        <v>1.6015600000000001</v>
      </c>
      <c r="JB51">
        <v>2.3303199999999999</v>
      </c>
      <c r="JC51">
        <v>1.5502899999999999</v>
      </c>
      <c r="JD51">
        <v>2.3852500000000001</v>
      </c>
      <c r="JE51">
        <v>48.4238</v>
      </c>
      <c r="JF51">
        <v>24.105</v>
      </c>
      <c r="JG51">
        <v>18</v>
      </c>
      <c r="JH51">
        <v>595.95799999999997</v>
      </c>
      <c r="JI51">
        <v>384.73</v>
      </c>
      <c r="JJ51">
        <v>27.1205</v>
      </c>
      <c r="JK51">
        <v>32.8123</v>
      </c>
      <c r="JL51">
        <v>30.000699999999998</v>
      </c>
      <c r="JM51">
        <v>32.866799999999998</v>
      </c>
      <c r="JN51">
        <v>32.860199999999999</v>
      </c>
      <c r="JO51">
        <v>5.9816500000000001</v>
      </c>
      <c r="JP51">
        <v>30.147099999999998</v>
      </c>
      <c r="JQ51">
        <v>6.3064400000000003</v>
      </c>
      <c r="JR51">
        <v>27.129899999999999</v>
      </c>
      <c r="JS51">
        <v>70</v>
      </c>
      <c r="JT51">
        <v>21.580500000000001</v>
      </c>
      <c r="JU51">
        <v>99.071700000000007</v>
      </c>
      <c r="JV51">
        <v>99.014799999999994</v>
      </c>
    </row>
    <row r="52" spans="1:282" x14ac:dyDescent="0.25">
      <c r="A52">
        <v>36</v>
      </c>
      <c r="B52">
        <v>1689006305</v>
      </c>
      <c r="C52">
        <v>6482.4000000953674</v>
      </c>
      <c r="D52" t="s">
        <v>602</v>
      </c>
      <c r="E52" t="s">
        <v>603</v>
      </c>
      <c r="F52" t="s">
        <v>414</v>
      </c>
      <c r="G52" t="s">
        <v>415</v>
      </c>
      <c r="H52" t="s">
        <v>577</v>
      </c>
      <c r="I52" t="s">
        <v>578</v>
      </c>
      <c r="J52" t="s">
        <v>416</v>
      </c>
      <c r="K52">
        <v>1689006305</v>
      </c>
      <c r="L52">
        <f t="shared" si="46"/>
        <v>6.0929405855609572E-3</v>
      </c>
      <c r="M52">
        <f t="shared" si="47"/>
        <v>6.0929405855609575</v>
      </c>
      <c r="N52">
        <f t="shared" si="48"/>
        <v>4.4440768462709066</v>
      </c>
      <c r="O52">
        <f t="shared" si="49"/>
        <v>24.615300000000001</v>
      </c>
      <c r="P52">
        <f t="shared" si="50"/>
        <v>7.2675973311653586</v>
      </c>
      <c r="Q52">
        <f t="shared" si="51"/>
        <v>0.7208555217827427</v>
      </c>
      <c r="R52">
        <f t="shared" si="52"/>
        <v>2.4415324785878703</v>
      </c>
      <c r="S52">
        <f t="shared" si="53"/>
        <v>0.44941555142353073</v>
      </c>
      <c r="T52">
        <f t="shared" si="54"/>
        <v>2.9124045429704397</v>
      </c>
      <c r="U52">
        <f t="shared" si="55"/>
        <v>0.41413992999159488</v>
      </c>
      <c r="V52">
        <f t="shared" si="56"/>
        <v>0.26177570785764076</v>
      </c>
      <c r="W52">
        <f t="shared" si="57"/>
        <v>289.55805232639813</v>
      </c>
      <c r="X52">
        <f t="shared" si="58"/>
        <v>30.473997134212116</v>
      </c>
      <c r="Y52">
        <f t="shared" si="59"/>
        <v>29.992100000000001</v>
      </c>
      <c r="Z52">
        <f t="shared" si="60"/>
        <v>4.2585168923730068</v>
      </c>
      <c r="AA52">
        <f t="shared" si="61"/>
        <v>65.5979199332604</v>
      </c>
      <c r="AB52">
        <f t="shared" si="62"/>
        <v>2.8515442520270997</v>
      </c>
      <c r="AC52">
        <f t="shared" si="63"/>
        <v>4.3470040741052047</v>
      </c>
      <c r="AD52">
        <f t="shared" si="64"/>
        <v>1.4069726403459071</v>
      </c>
      <c r="AE52">
        <f t="shared" si="65"/>
        <v>-268.69867982323819</v>
      </c>
      <c r="AF52">
        <f t="shared" si="66"/>
        <v>56.289359008843014</v>
      </c>
      <c r="AG52">
        <f t="shared" si="67"/>
        <v>4.3047747919301056</v>
      </c>
      <c r="AH52">
        <f t="shared" si="68"/>
        <v>81.453506303933068</v>
      </c>
      <c r="AI52">
        <v>0</v>
      </c>
      <c r="AJ52">
        <v>0</v>
      </c>
      <c r="AK52">
        <f t="shared" si="69"/>
        <v>1</v>
      </c>
      <c r="AL52">
        <f t="shared" si="70"/>
        <v>0</v>
      </c>
      <c r="AM52">
        <f t="shared" si="71"/>
        <v>51785.044763549944</v>
      </c>
      <c r="AN52" t="s">
        <v>419</v>
      </c>
      <c r="AO52">
        <v>9967.0300000000007</v>
      </c>
      <c r="AP52">
        <v>178.94153846153841</v>
      </c>
      <c r="AQ52">
        <v>603.15</v>
      </c>
      <c r="AR52">
        <f t="shared" si="72"/>
        <v>0.7033216638290003</v>
      </c>
      <c r="AS52">
        <v>-3.2649104154664181</v>
      </c>
      <c r="AT52" t="s">
        <v>604</v>
      </c>
      <c r="AU52">
        <v>8047.46</v>
      </c>
      <c r="AV52">
        <v>732.82161538461537</v>
      </c>
      <c r="AW52">
        <v>796.58677128065767</v>
      </c>
      <c r="AX52">
        <f t="shared" si="73"/>
        <v>8.0047972418030855E-2</v>
      </c>
      <c r="AY52">
        <v>0.5</v>
      </c>
      <c r="AZ52">
        <f t="shared" si="74"/>
        <v>1513.1348996509835</v>
      </c>
      <c r="BA52">
        <f t="shared" si="75"/>
        <v>4.4440768462709066</v>
      </c>
      <c r="BB52">
        <f t="shared" si="76"/>
        <v>60.561690356010907</v>
      </c>
      <c r="BC52">
        <f t="shared" si="77"/>
        <v>5.0947124830148741E-3</v>
      </c>
      <c r="BD52">
        <f t="shared" si="78"/>
        <v>-0.2428320156129043</v>
      </c>
      <c r="BE52">
        <f t="shared" si="79"/>
        <v>192.8338685364736</v>
      </c>
      <c r="BF52" t="s">
        <v>605</v>
      </c>
      <c r="BG52">
        <v>586.66999999999996</v>
      </c>
      <c r="BH52">
        <f t="shared" si="80"/>
        <v>586.66999999999996</v>
      </c>
      <c r="BI52">
        <f t="shared" si="81"/>
        <v>0.26352028284775364</v>
      </c>
      <c r="BJ52">
        <f t="shared" si="82"/>
        <v>0.3037639894469823</v>
      </c>
      <c r="BK52">
        <f t="shared" si="83"/>
        <v>-11.737668160234071</v>
      </c>
      <c r="BL52">
        <f t="shared" si="84"/>
        <v>0.10323912904661935</v>
      </c>
      <c r="BM52">
        <f t="shared" si="85"/>
        <v>-0.45599460835629613</v>
      </c>
      <c r="BN52">
        <f t="shared" si="86"/>
        <v>0.24318226420672573</v>
      </c>
      <c r="BO52">
        <f t="shared" si="87"/>
        <v>0.75681773579327427</v>
      </c>
      <c r="BP52">
        <v>6107</v>
      </c>
      <c r="BQ52">
        <v>290.00000000000011</v>
      </c>
      <c r="BR52">
        <v>775.88</v>
      </c>
      <c r="BS52">
        <v>235</v>
      </c>
      <c r="BT52">
        <v>8047.46</v>
      </c>
      <c r="BU52">
        <v>775.52</v>
      </c>
      <c r="BV52">
        <v>0.36</v>
      </c>
      <c r="BW52">
        <v>300.00000000000011</v>
      </c>
      <c r="BX52">
        <v>19.399999999999999</v>
      </c>
      <c r="BY52">
        <v>796.58677128065767</v>
      </c>
      <c r="BZ52">
        <v>2.2941797643076671</v>
      </c>
      <c r="CA52">
        <v>-16.954326582469399</v>
      </c>
      <c r="CB52">
        <v>1.6953178863905489</v>
      </c>
      <c r="CC52">
        <v>0.78127313779065943</v>
      </c>
      <c r="CD52">
        <v>-4.1513853170189203E-3</v>
      </c>
      <c r="CE52">
        <v>289.99999999999989</v>
      </c>
      <c r="CF52">
        <v>774.62</v>
      </c>
      <c r="CG52">
        <v>645</v>
      </c>
      <c r="CH52">
        <v>8034.72</v>
      </c>
      <c r="CI52">
        <v>775.49</v>
      </c>
      <c r="CJ52">
        <v>-0.87</v>
      </c>
      <c r="CX52">
        <f t="shared" si="88"/>
        <v>1799.94</v>
      </c>
      <c r="CY52">
        <f t="shared" si="89"/>
        <v>1513.1348996509835</v>
      </c>
      <c r="CZ52">
        <f t="shared" si="90"/>
        <v>0.84065852175682709</v>
      </c>
      <c r="DA52">
        <f t="shared" si="91"/>
        <v>0.16087094699067642</v>
      </c>
      <c r="DB52">
        <v>6</v>
      </c>
      <c r="DC52">
        <v>0.5</v>
      </c>
      <c r="DD52" t="s">
        <v>422</v>
      </c>
      <c r="DE52">
        <v>2</v>
      </c>
      <c r="DF52">
        <v>1689006305</v>
      </c>
      <c r="DG52">
        <v>24.615300000000001</v>
      </c>
      <c r="DH52">
        <v>30.128299999999999</v>
      </c>
      <c r="DI52">
        <v>28.748999999999999</v>
      </c>
      <c r="DJ52">
        <v>21.647500000000001</v>
      </c>
      <c r="DK52">
        <v>24.630800000000001</v>
      </c>
      <c r="DL52">
        <v>28.7029</v>
      </c>
      <c r="DM52">
        <v>499.988</v>
      </c>
      <c r="DN52">
        <v>99.087800000000001</v>
      </c>
      <c r="DO52">
        <v>9.9797899999999995E-2</v>
      </c>
      <c r="DP52">
        <v>30.3506</v>
      </c>
      <c r="DQ52">
        <v>29.992100000000001</v>
      </c>
      <c r="DR52">
        <v>999.9</v>
      </c>
      <c r="DS52">
        <v>0</v>
      </c>
      <c r="DT52">
        <v>0</v>
      </c>
      <c r="DU52">
        <v>9993.75</v>
      </c>
      <c r="DV52">
        <v>0</v>
      </c>
      <c r="DW52">
        <v>2322.13</v>
      </c>
      <c r="DX52">
        <v>-5.5130400000000002</v>
      </c>
      <c r="DY52">
        <v>25.343900000000001</v>
      </c>
      <c r="DZ52">
        <v>30.794899999999998</v>
      </c>
      <c r="EA52">
        <v>7.1015199999999998</v>
      </c>
      <c r="EB52">
        <v>30.128299999999999</v>
      </c>
      <c r="EC52">
        <v>21.647500000000001</v>
      </c>
      <c r="ED52">
        <v>2.8486799999999999</v>
      </c>
      <c r="EE52">
        <v>2.145</v>
      </c>
      <c r="EF52">
        <v>23.168900000000001</v>
      </c>
      <c r="EG52">
        <v>18.557400000000001</v>
      </c>
      <c r="EH52">
        <v>1799.94</v>
      </c>
      <c r="EI52">
        <v>0.97799000000000003</v>
      </c>
      <c r="EJ52">
        <v>2.2009899999999999E-2</v>
      </c>
      <c r="EK52">
        <v>0</v>
      </c>
      <c r="EL52">
        <v>733.04399999999998</v>
      </c>
      <c r="EM52">
        <v>5.0005300000000004</v>
      </c>
      <c r="EN52">
        <v>16125.3</v>
      </c>
      <c r="EO52">
        <v>16034.7</v>
      </c>
      <c r="EP52">
        <v>49.625</v>
      </c>
      <c r="EQ52">
        <v>51.186999999999998</v>
      </c>
      <c r="ER52">
        <v>50.186999999999998</v>
      </c>
      <c r="ES52">
        <v>50.311999999999998</v>
      </c>
      <c r="ET52">
        <v>50.75</v>
      </c>
      <c r="EU52">
        <v>1755.43</v>
      </c>
      <c r="EV52">
        <v>39.51</v>
      </c>
      <c r="EW52">
        <v>0</v>
      </c>
      <c r="EX52">
        <v>122.4000000953674</v>
      </c>
      <c r="EY52">
        <v>0</v>
      </c>
      <c r="EZ52">
        <v>732.82161538461537</v>
      </c>
      <c r="FA52">
        <v>0.34406837048338529</v>
      </c>
      <c r="FB52">
        <v>-251.17948754392421</v>
      </c>
      <c r="FC52">
        <v>16148.76923076923</v>
      </c>
      <c r="FD52">
        <v>15</v>
      </c>
      <c r="FE52">
        <v>1689006272</v>
      </c>
      <c r="FF52" t="s">
        <v>606</v>
      </c>
      <c r="FG52">
        <v>1689006254</v>
      </c>
      <c r="FH52">
        <v>1689006272</v>
      </c>
      <c r="FI52">
        <v>40</v>
      </c>
      <c r="FJ52">
        <v>6.0999999999999999E-2</v>
      </c>
      <c r="FK52">
        <v>1E-3</v>
      </c>
      <c r="FL52">
        <v>-1.7999999999999999E-2</v>
      </c>
      <c r="FM52">
        <v>3.5999999999999997E-2</v>
      </c>
      <c r="FN52">
        <v>30</v>
      </c>
      <c r="FO52">
        <v>21</v>
      </c>
      <c r="FP52">
        <v>0.23</v>
      </c>
      <c r="FQ52">
        <v>0.01</v>
      </c>
      <c r="FR52">
        <v>4.425126872885043</v>
      </c>
      <c r="FS52">
        <v>-0.27562853320862418</v>
      </c>
      <c r="FT52">
        <v>2.8323999743248542E-2</v>
      </c>
      <c r="FU52">
        <v>1</v>
      </c>
      <c r="FV52">
        <v>0.44709569348666789</v>
      </c>
      <c r="FW52">
        <v>2.5254305495465E-2</v>
      </c>
      <c r="FX52">
        <v>3.0630900084428949E-3</v>
      </c>
      <c r="FY52">
        <v>1</v>
      </c>
      <c r="FZ52">
        <v>2</v>
      </c>
      <c r="GA52">
        <v>2</v>
      </c>
      <c r="GB52" t="s">
        <v>424</v>
      </c>
      <c r="GC52">
        <v>3.1174400000000002</v>
      </c>
      <c r="GD52">
        <v>2.7670499999999998</v>
      </c>
      <c r="GE52">
        <v>6.6324699999999997E-3</v>
      </c>
      <c r="GF52">
        <v>8.1173300000000007E-3</v>
      </c>
      <c r="GG52">
        <v>0.121722</v>
      </c>
      <c r="GH52">
        <v>0.100035</v>
      </c>
      <c r="GI52">
        <v>23809</v>
      </c>
      <c r="GJ52">
        <v>24633.4</v>
      </c>
      <c r="GK52">
        <v>23825.7</v>
      </c>
      <c r="GL52">
        <v>25142.5</v>
      </c>
      <c r="GM52">
        <v>30149.9</v>
      </c>
      <c r="GN52">
        <v>31728.6</v>
      </c>
      <c r="GO52">
        <v>37966.6</v>
      </c>
      <c r="GP52">
        <v>39105.300000000003</v>
      </c>
      <c r="GQ52">
        <v>2.1597499999999998</v>
      </c>
      <c r="GR52">
        <v>1.74455</v>
      </c>
      <c r="GS52">
        <v>2.93069E-2</v>
      </c>
      <c r="GT52">
        <v>0</v>
      </c>
      <c r="GU52">
        <v>29.514900000000001</v>
      </c>
      <c r="GV52">
        <v>999.9</v>
      </c>
      <c r="GW52">
        <v>30.8</v>
      </c>
      <c r="GX52">
        <v>44.4</v>
      </c>
      <c r="GY52">
        <v>29.047499999999999</v>
      </c>
      <c r="GZ52">
        <v>60.899000000000001</v>
      </c>
      <c r="HA52">
        <v>28.397400000000001</v>
      </c>
      <c r="HB52">
        <v>1</v>
      </c>
      <c r="HC52">
        <v>0.45829799999999998</v>
      </c>
      <c r="HD52">
        <v>2.76667</v>
      </c>
      <c r="HE52">
        <v>20.294599999999999</v>
      </c>
      <c r="HF52">
        <v>5.25068</v>
      </c>
      <c r="HG52">
        <v>12.0099</v>
      </c>
      <c r="HH52">
        <v>4.9789000000000003</v>
      </c>
      <c r="HI52">
        <v>3.2923300000000002</v>
      </c>
      <c r="HJ52">
        <v>9999</v>
      </c>
      <c r="HK52">
        <v>9999</v>
      </c>
      <c r="HL52">
        <v>9999</v>
      </c>
      <c r="HM52">
        <v>233.2</v>
      </c>
      <c r="HN52">
        <v>1.87558</v>
      </c>
      <c r="HO52">
        <v>1.8766799999999999</v>
      </c>
      <c r="HP52">
        <v>1.8826400000000001</v>
      </c>
      <c r="HQ52">
        <v>1.88591</v>
      </c>
      <c r="HR52">
        <v>1.8766799999999999</v>
      </c>
      <c r="HS52">
        <v>1.8830899999999999</v>
      </c>
      <c r="HT52">
        <v>1.8820399999999999</v>
      </c>
      <c r="HU52">
        <v>1.8855500000000001</v>
      </c>
      <c r="HV52">
        <v>0</v>
      </c>
      <c r="HW52">
        <v>0</v>
      </c>
      <c r="HX52">
        <v>0</v>
      </c>
      <c r="HY52">
        <v>0</v>
      </c>
      <c r="HZ52" t="s">
        <v>425</v>
      </c>
      <c r="IA52" t="s">
        <v>426</v>
      </c>
      <c r="IB52" t="s">
        <v>427</v>
      </c>
      <c r="IC52" t="s">
        <v>427</v>
      </c>
      <c r="ID52" t="s">
        <v>427</v>
      </c>
      <c r="IE52" t="s">
        <v>427</v>
      </c>
      <c r="IF52">
        <v>0</v>
      </c>
      <c r="IG52">
        <v>100</v>
      </c>
      <c r="IH52">
        <v>100</v>
      </c>
      <c r="II52">
        <v>-1.4999999999999999E-2</v>
      </c>
      <c r="IJ52">
        <v>4.6100000000000002E-2</v>
      </c>
      <c r="IK52">
        <v>-5.3491479661485972E-3</v>
      </c>
      <c r="IL52">
        <v>-4.2852564239613137E-4</v>
      </c>
      <c r="IM52">
        <v>6.4980710991155998E-7</v>
      </c>
      <c r="IN52">
        <v>-2.7237938963984961E-10</v>
      </c>
      <c r="IO52">
        <v>-1.346507701266773E-2</v>
      </c>
      <c r="IP52">
        <v>6.6907473102813496E-3</v>
      </c>
      <c r="IQ52">
        <v>-3.3673306238274028E-4</v>
      </c>
      <c r="IR52">
        <v>6.1311374003140313E-6</v>
      </c>
      <c r="IS52">
        <v>3</v>
      </c>
      <c r="IT52">
        <v>2101</v>
      </c>
      <c r="IU52">
        <v>1</v>
      </c>
      <c r="IV52">
        <v>32</v>
      </c>
      <c r="IW52">
        <v>0.8</v>
      </c>
      <c r="IX52">
        <v>0.6</v>
      </c>
      <c r="IY52">
        <v>0.21118200000000001</v>
      </c>
      <c r="IZ52">
        <v>2.7673299999999998</v>
      </c>
      <c r="JA52">
        <v>1.6015600000000001</v>
      </c>
      <c r="JB52">
        <v>2.3315399999999999</v>
      </c>
      <c r="JC52">
        <v>1.5502899999999999</v>
      </c>
      <c r="JD52">
        <v>2.2973599999999998</v>
      </c>
      <c r="JE52">
        <v>48.5779</v>
      </c>
      <c r="JF52">
        <v>24.122499999999999</v>
      </c>
      <c r="JG52">
        <v>18</v>
      </c>
      <c r="JH52">
        <v>596.35299999999995</v>
      </c>
      <c r="JI52">
        <v>383.53500000000003</v>
      </c>
      <c r="JJ52">
        <v>27.0181</v>
      </c>
      <c r="JK52">
        <v>32.954999999999998</v>
      </c>
      <c r="JL52">
        <v>30.000399999999999</v>
      </c>
      <c r="JM52">
        <v>33.011699999999998</v>
      </c>
      <c r="JN52">
        <v>33.005099999999999</v>
      </c>
      <c r="JO52">
        <v>4.21366</v>
      </c>
      <c r="JP52">
        <v>30.4757</v>
      </c>
      <c r="JQ52">
        <v>4.3689299999999998</v>
      </c>
      <c r="JR52">
        <v>27.013300000000001</v>
      </c>
      <c r="JS52">
        <v>30</v>
      </c>
      <c r="JT52">
        <v>21.58</v>
      </c>
      <c r="JU52">
        <v>99.039199999999994</v>
      </c>
      <c r="JV52">
        <v>98.985100000000003</v>
      </c>
    </row>
    <row r="53" spans="1:282" x14ac:dyDescent="0.25">
      <c r="A53">
        <v>37</v>
      </c>
      <c r="B53">
        <v>1689006435</v>
      </c>
      <c r="C53">
        <v>6612.4000000953674</v>
      </c>
      <c r="D53" t="s">
        <v>607</v>
      </c>
      <c r="E53" t="s">
        <v>608</v>
      </c>
      <c r="F53" t="s">
        <v>414</v>
      </c>
      <c r="G53" t="s">
        <v>415</v>
      </c>
      <c r="H53" t="s">
        <v>577</v>
      </c>
      <c r="I53" t="s">
        <v>578</v>
      </c>
      <c r="J53" t="s">
        <v>416</v>
      </c>
      <c r="K53">
        <v>1689006435</v>
      </c>
      <c r="L53">
        <f t="shared" si="46"/>
        <v>6.2496480367413209E-3</v>
      </c>
      <c r="M53">
        <f t="shared" si="47"/>
        <v>6.2496480367413207</v>
      </c>
      <c r="N53">
        <f t="shared" si="48"/>
        <v>1.3857080194077882</v>
      </c>
      <c r="O53">
        <f t="shared" si="49"/>
        <v>8.4126899999999996</v>
      </c>
      <c r="P53">
        <f t="shared" si="50"/>
        <v>3.1415947306240226</v>
      </c>
      <c r="Q53">
        <f t="shared" si="51"/>
        <v>0.31160325356289231</v>
      </c>
      <c r="R53">
        <f t="shared" si="52"/>
        <v>0.83442385157531396</v>
      </c>
      <c r="S53">
        <f t="shared" si="53"/>
        <v>0.46409380666461053</v>
      </c>
      <c r="T53">
        <f t="shared" si="54"/>
        <v>2.9136866065390703</v>
      </c>
      <c r="U53">
        <f t="shared" si="55"/>
        <v>0.4265943623158735</v>
      </c>
      <c r="V53">
        <f t="shared" si="56"/>
        <v>0.26973770216402443</v>
      </c>
      <c r="W53">
        <f t="shared" si="57"/>
        <v>289.5419513268759</v>
      </c>
      <c r="X53">
        <f t="shared" si="58"/>
        <v>30.42408672149514</v>
      </c>
      <c r="Y53">
        <f t="shared" si="59"/>
        <v>29.935500000000001</v>
      </c>
      <c r="Z53">
        <f t="shared" si="60"/>
        <v>4.2446910011602439</v>
      </c>
      <c r="AA53">
        <f t="shared" si="61"/>
        <v>65.446766718640134</v>
      </c>
      <c r="AB53">
        <f t="shared" si="62"/>
        <v>2.8435233188061</v>
      </c>
      <c r="AC53">
        <f t="shared" si="63"/>
        <v>4.3447880794945757</v>
      </c>
      <c r="AD53">
        <f t="shared" si="64"/>
        <v>1.4011676823541439</v>
      </c>
      <c r="AE53">
        <f t="shared" si="65"/>
        <v>-275.60947842029225</v>
      </c>
      <c r="AF53">
        <f t="shared" si="66"/>
        <v>63.806981501150233</v>
      </c>
      <c r="AG53">
        <f t="shared" si="67"/>
        <v>4.8759639592085522</v>
      </c>
      <c r="AH53">
        <f t="shared" si="68"/>
        <v>82.615418366942436</v>
      </c>
      <c r="AI53">
        <v>0</v>
      </c>
      <c r="AJ53">
        <v>0</v>
      </c>
      <c r="AK53">
        <f t="shared" si="69"/>
        <v>1</v>
      </c>
      <c r="AL53">
        <f t="shared" si="70"/>
        <v>0</v>
      </c>
      <c r="AM53">
        <f t="shared" si="71"/>
        <v>51822.965528140994</v>
      </c>
      <c r="AN53" t="s">
        <v>419</v>
      </c>
      <c r="AO53">
        <v>9967.0300000000007</v>
      </c>
      <c r="AP53">
        <v>178.94153846153841</v>
      </c>
      <c r="AQ53">
        <v>603.15</v>
      </c>
      <c r="AR53">
        <f t="shared" si="72"/>
        <v>0.7033216638290003</v>
      </c>
      <c r="AS53">
        <v>-3.2649104154664181</v>
      </c>
      <c r="AT53" t="s">
        <v>609</v>
      </c>
      <c r="AU53">
        <v>8062.98</v>
      </c>
      <c r="AV53">
        <v>740.40269230769218</v>
      </c>
      <c r="AW53">
        <v>794.17939991569369</v>
      </c>
      <c r="AX53">
        <f t="shared" si="73"/>
        <v>6.7713551388653759E-2</v>
      </c>
      <c r="AY53">
        <v>0.5</v>
      </c>
      <c r="AZ53">
        <f t="shared" si="74"/>
        <v>1513.058399651231</v>
      </c>
      <c r="BA53">
        <f t="shared" si="75"/>
        <v>1.3857080194077882</v>
      </c>
      <c r="BB53">
        <f t="shared" si="76"/>
        <v>51.227278849408918</v>
      </c>
      <c r="BC53">
        <f t="shared" si="77"/>
        <v>3.0736542858796475E-3</v>
      </c>
      <c r="BD53">
        <f t="shared" si="78"/>
        <v>-0.24053683580305973</v>
      </c>
      <c r="BE53">
        <f t="shared" si="79"/>
        <v>192.6924717809255</v>
      </c>
      <c r="BF53" t="s">
        <v>610</v>
      </c>
      <c r="BG53">
        <v>599.74</v>
      </c>
      <c r="BH53">
        <f t="shared" si="80"/>
        <v>599.74</v>
      </c>
      <c r="BI53">
        <f t="shared" si="81"/>
        <v>0.244830575983631</v>
      </c>
      <c r="BJ53">
        <f t="shared" si="82"/>
        <v>0.27657310005749025</v>
      </c>
      <c r="BK53">
        <f t="shared" si="83"/>
        <v>-56.02035188143563</v>
      </c>
      <c r="BL53">
        <f t="shared" si="84"/>
        <v>8.7407994496464692E-2</v>
      </c>
      <c r="BM53">
        <f t="shared" si="85"/>
        <v>-0.45031963582926721</v>
      </c>
      <c r="BN53">
        <f t="shared" si="86"/>
        <v>0.2240293731394849</v>
      </c>
      <c r="BO53">
        <f t="shared" si="87"/>
        <v>0.7759706268605151</v>
      </c>
      <c r="BP53">
        <v>6109</v>
      </c>
      <c r="BQ53">
        <v>290.00000000000011</v>
      </c>
      <c r="BR53">
        <v>775.21</v>
      </c>
      <c r="BS53">
        <v>105</v>
      </c>
      <c r="BT53">
        <v>8062.98</v>
      </c>
      <c r="BU53">
        <v>774.42</v>
      </c>
      <c r="BV53">
        <v>0.79</v>
      </c>
      <c r="BW53">
        <v>300.00000000000011</v>
      </c>
      <c r="BX53">
        <v>19.3</v>
      </c>
      <c r="BY53">
        <v>794.17939991569369</v>
      </c>
      <c r="BZ53">
        <v>2.004227460495887</v>
      </c>
      <c r="CA53">
        <v>-15.93531497434083</v>
      </c>
      <c r="CB53">
        <v>1.4817200162085511</v>
      </c>
      <c r="CC53">
        <v>0.80509746717915354</v>
      </c>
      <c r="CD53">
        <v>-4.1529768631813147E-3</v>
      </c>
      <c r="CE53">
        <v>289.99999999999989</v>
      </c>
      <c r="CF53">
        <v>773.19</v>
      </c>
      <c r="CG53">
        <v>685</v>
      </c>
      <c r="CH53">
        <v>8037.15</v>
      </c>
      <c r="CI53">
        <v>774.35</v>
      </c>
      <c r="CJ53">
        <v>-1.1599999999999999</v>
      </c>
      <c r="CX53">
        <f t="shared" si="88"/>
        <v>1799.85</v>
      </c>
      <c r="CY53">
        <f t="shared" si="89"/>
        <v>1513.058399651231</v>
      </c>
      <c r="CZ53">
        <f t="shared" si="90"/>
        <v>0.84065805464412646</v>
      </c>
      <c r="DA53">
        <f t="shared" si="91"/>
        <v>0.16087004546316411</v>
      </c>
      <c r="DB53">
        <v>6</v>
      </c>
      <c r="DC53">
        <v>0.5</v>
      </c>
      <c r="DD53" t="s">
        <v>422</v>
      </c>
      <c r="DE53">
        <v>2</v>
      </c>
      <c r="DF53">
        <v>1689006435</v>
      </c>
      <c r="DG53">
        <v>8.4126899999999996</v>
      </c>
      <c r="DH53">
        <v>10.138400000000001</v>
      </c>
      <c r="DI53">
        <v>28.668500000000002</v>
      </c>
      <c r="DJ53">
        <v>21.384899999999998</v>
      </c>
      <c r="DK53">
        <v>8.4569200000000002</v>
      </c>
      <c r="DL53">
        <v>28.623699999999999</v>
      </c>
      <c r="DM53">
        <v>500.06700000000001</v>
      </c>
      <c r="DN53">
        <v>99.086600000000004</v>
      </c>
      <c r="DO53">
        <v>9.9730600000000003E-2</v>
      </c>
      <c r="DP53">
        <v>30.341699999999999</v>
      </c>
      <c r="DQ53">
        <v>29.935500000000001</v>
      </c>
      <c r="DR53">
        <v>999.9</v>
      </c>
      <c r="DS53">
        <v>0</v>
      </c>
      <c r="DT53">
        <v>0</v>
      </c>
      <c r="DU53">
        <v>10001.200000000001</v>
      </c>
      <c r="DV53">
        <v>0</v>
      </c>
      <c r="DW53">
        <v>618.28499999999997</v>
      </c>
      <c r="DX53">
        <v>-1.72576</v>
      </c>
      <c r="DY53">
        <v>8.6609800000000003</v>
      </c>
      <c r="DZ53">
        <v>10.36</v>
      </c>
      <c r="EA53">
        <v>7.28362</v>
      </c>
      <c r="EB53">
        <v>10.138400000000001</v>
      </c>
      <c r="EC53">
        <v>21.384899999999998</v>
      </c>
      <c r="ED53">
        <v>2.8406699999999998</v>
      </c>
      <c r="EE53">
        <v>2.11896</v>
      </c>
      <c r="EF53">
        <v>23.122299999999999</v>
      </c>
      <c r="EG53">
        <v>18.362400000000001</v>
      </c>
      <c r="EH53">
        <v>1799.85</v>
      </c>
      <c r="EI53">
        <v>0.97800299999999996</v>
      </c>
      <c r="EJ53">
        <v>2.1996700000000001E-2</v>
      </c>
      <c r="EK53">
        <v>0</v>
      </c>
      <c r="EL53">
        <v>740.33500000000004</v>
      </c>
      <c r="EM53">
        <v>5.0005300000000004</v>
      </c>
      <c r="EN53">
        <v>14843.7</v>
      </c>
      <c r="EO53">
        <v>16034</v>
      </c>
      <c r="EP53">
        <v>48.875</v>
      </c>
      <c r="EQ53">
        <v>50.436999999999998</v>
      </c>
      <c r="ER53">
        <v>49.436999999999998</v>
      </c>
      <c r="ES53">
        <v>49.625</v>
      </c>
      <c r="ET53">
        <v>50.061999999999998</v>
      </c>
      <c r="EU53">
        <v>1755.37</v>
      </c>
      <c r="EV53">
        <v>39.479999999999997</v>
      </c>
      <c r="EW53">
        <v>0</v>
      </c>
      <c r="EX53">
        <v>128</v>
      </c>
      <c r="EY53">
        <v>0</v>
      </c>
      <c r="EZ53">
        <v>740.40269230769218</v>
      </c>
      <c r="FA53">
        <v>-0.24116237561695919</v>
      </c>
      <c r="FB53">
        <v>-2522.3555561034491</v>
      </c>
      <c r="FC53">
        <v>15041.765384615381</v>
      </c>
      <c r="FD53">
        <v>15</v>
      </c>
      <c r="FE53">
        <v>1689006401.5</v>
      </c>
      <c r="FF53" t="s">
        <v>611</v>
      </c>
      <c r="FG53">
        <v>1689006385.5</v>
      </c>
      <c r="FH53">
        <v>1689006401.5</v>
      </c>
      <c r="FI53">
        <v>41</v>
      </c>
      <c r="FJ53">
        <v>-3.5000000000000003E-2</v>
      </c>
      <c r="FK53">
        <v>-1E-3</v>
      </c>
      <c r="FL53">
        <v>-4.4999999999999998E-2</v>
      </c>
      <c r="FM53">
        <v>3.4000000000000002E-2</v>
      </c>
      <c r="FN53">
        <v>10</v>
      </c>
      <c r="FO53">
        <v>21</v>
      </c>
      <c r="FP53">
        <v>0.24</v>
      </c>
      <c r="FQ53">
        <v>0.01</v>
      </c>
      <c r="FR53">
        <v>1.380726259685827</v>
      </c>
      <c r="FS53">
        <v>-6.3794254186724103E-2</v>
      </c>
      <c r="FT53">
        <v>1.4489385289130199E-2</v>
      </c>
      <c r="FU53">
        <v>1</v>
      </c>
      <c r="FV53">
        <v>0.46549349563792158</v>
      </c>
      <c r="FW53">
        <v>1.4655064584210561E-2</v>
      </c>
      <c r="FX53">
        <v>2.366636566944543E-3</v>
      </c>
      <c r="FY53">
        <v>1</v>
      </c>
      <c r="FZ53">
        <v>2</v>
      </c>
      <c r="GA53">
        <v>2</v>
      </c>
      <c r="GB53" t="s">
        <v>424</v>
      </c>
      <c r="GC53">
        <v>3.1179000000000001</v>
      </c>
      <c r="GD53">
        <v>2.7670499999999998</v>
      </c>
      <c r="GE53">
        <v>2.2786400000000002E-3</v>
      </c>
      <c r="GF53">
        <v>2.73384E-3</v>
      </c>
      <c r="GG53">
        <v>0.121457</v>
      </c>
      <c r="GH53">
        <v>9.9140900000000004E-2</v>
      </c>
      <c r="GI53">
        <v>23907.9</v>
      </c>
      <c r="GJ53">
        <v>24762.6</v>
      </c>
      <c r="GK53">
        <v>23820.9</v>
      </c>
      <c r="GL53">
        <v>25138.7</v>
      </c>
      <c r="GM53">
        <v>30152.799999999999</v>
      </c>
      <c r="GN53">
        <v>31756.5</v>
      </c>
      <c r="GO53">
        <v>37958.9</v>
      </c>
      <c r="GP53">
        <v>39101</v>
      </c>
      <c r="GQ53">
        <v>2.1589299999999998</v>
      </c>
      <c r="GR53">
        <v>1.7414000000000001</v>
      </c>
      <c r="GS53">
        <v>3.9733900000000003E-2</v>
      </c>
      <c r="GT53">
        <v>0</v>
      </c>
      <c r="GU53">
        <v>29.288399999999999</v>
      </c>
      <c r="GV53">
        <v>999.9</v>
      </c>
      <c r="GW53">
        <v>30.5</v>
      </c>
      <c r="GX53">
        <v>44.6</v>
      </c>
      <c r="GY53">
        <v>29.0593</v>
      </c>
      <c r="GZ53">
        <v>60.679000000000002</v>
      </c>
      <c r="HA53">
        <v>27.752400000000002</v>
      </c>
      <c r="HB53">
        <v>1</v>
      </c>
      <c r="HC53">
        <v>0.46262399999999998</v>
      </c>
      <c r="HD53">
        <v>1.69943</v>
      </c>
      <c r="HE53">
        <v>20.3094</v>
      </c>
      <c r="HF53">
        <v>5.2494899999999998</v>
      </c>
      <c r="HG53">
        <v>12.0099</v>
      </c>
      <c r="HH53">
        <v>4.9786000000000001</v>
      </c>
      <c r="HI53">
        <v>3.2923300000000002</v>
      </c>
      <c r="HJ53">
        <v>9999</v>
      </c>
      <c r="HK53">
        <v>9999</v>
      </c>
      <c r="HL53">
        <v>9999</v>
      </c>
      <c r="HM53">
        <v>233.2</v>
      </c>
      <c r="HN53">
        <v>1.8755900000000001</v>
      </c>
      <c r="HO53">
        <v>1.8766799999999999</v>
      </c>
      <c r="HP53">
        <v>1.8826400000000001</v>
      </c>
      <c r="HQ53">
        <v>1.88592</v>
      </c>
      <c r="HR53">
        <v>1.8767</v>
      </c>
      <c r="HS53">
        <v>1.8830899999999999</v>
      </c>
      <c r="HT53">
        <v>1.88205</v>
      </c>
      <c r="HU53">
        <v>1.8855599999999999</v>
      </c>
      <c r="HV53">
        <v>0</v>
      </c>
      <c r="HW53">
        <v>0</v>
      </c>
      <c r="HX53">
        <v>0</v>
      </c>
      <c r="HY53">
        <v>0</v>
      </c>
      <c r="HZ53" t="s">
        <v>425</v>
      </c>
      <c r="IA53" t="s">
        <v>426</v>
      </c>
      <c r="IB53" t="s">
        <v>427</v>
      </c>
      <c r="IC53" t="s">
        <v>427</v>
      </c>
      <c r="ID53" t="s">
        <v>427</v>
      </c>
      <c r="IE53" t="s">
        <v>427</v>
      </c>
      <c r="IF53">
        <v>0</v>
      </c>
      <c r="IG53">
        <v>100</v>
      </c>
      <c r="IH53">
        <v>100</v>
      </c>
      <c r="II53">
        <v>-4.3999999999999997E-2</v>
      </c>
      <c r="IJ53">
        <v>4.48E-2</v>
      </c>
      <c r="IK53">
        <v>-4.0652941827380787E-2</v>
      </c>
      <c r="IL53">
        <v>-4.2852564239613137E-4</v>
      </c>
      <c r="IM53">
        <v>6.4980710991155998E-7</v>
      </c>
      <c r="IN53">
        <v>-2.7237938963984961E-10</v>
      </c>
      <c r="IO53">
        <v>-1.458882190578127E-2</v>
      </c>
      <c r="IP53">
        <v>6.6907473102813496E-3</v>
      </c>
      <c r="IQ53">
        <v>-3.3673306238274028E-4</v>
      </c>
      <c r="IR53">
        <v>6.1311374003140313E-6</v>
      </c>
      <c r="IS53">
        <v>3</v>
      </c>
      <c r="IT53">
        <v>2101</v>
      </c>
      <c r="IU53">
        <v>1</v>
      </c>
      <c r="IV53">
        <v>32</v>
      </c>
      <c r="IW53">
        <v>0.8</v>
      </c>
      <c r="IX53">
        <v>0.6</v>
      </c>
      <c r="IY53">
        <v>0.168457</v>
      </c>
      <c r="IZ53">
        <v>2.7709999999999999</v>
      </c>
      <c r="JA53">
        <v>1.6003400000000001</v>
      </c>
      <c r="JB53">
        <v>2.3303199999999999</v>
      </c>
      <c r="JC53">
        <v>1.5502899999999999</v>
      </c>
      <c r="JD53">
        <v>2.4511699999999998</v>
      </c>
      <c r="JE53">
        <v>48.639699999999998</v>
      </c>
      <c r="JF53">
        <v>24.14</v>
      </c>
      <c r="JG53">
        <v>18</v>
      </c>
      <c r="JH53">
        <v>596.81299999999999</v>
      </c>
      <c r="JI53">
        <v>382.33600000000001</v>
      </c>
      <c r="JJ53">
        <v>27.778300000000002</v>
      </c>
      <c r="JK53">
        <v>33.050699999999999</v>
      </c>
      <c r="JL53">
        <v>30.0002</v>
      </c>
      <c r="JM53">
        <v>33.125500000000002</v>
      </c>
      <c r="JN53">
        <v>33.118299999999998</v>
      </c>
      <c r="JO53">
        <v>3.34565</v>
      </c>
      <c r="JP53">
        <v>31.253599999999999</v>
      </c>
      <c r="JQ53">
        <v>1.98837</v>
      </c>
      <c r="JR53">
        <v>27.805299999999999</v>
      </c>
      <c r="JS53">
        <v>10</v>
      </c>
      <c r="JT53">
        <v>21.308</v>
      </c>
      <c r="JU53">
        <v>99.019099999999995</v>
      </c>
      <c r="JV53">
        <v>98.972399999999993</v>
      </c>
    </row>
    <row r="54" spans="1:282" x14ac:dyDescent="0.25">
      <c r="A54">
        <v>38</v>
      </c>
      <c r="B54">
        <v>1689006624.5</v>
      </c>
      <c r="C54">
        <v>6801.9000000953674</v>
      </c>
      <c r="D54" t="s">
        <v>612</v>
      </c>
      <c r="E54" t="s">
        <v>613</v>
      </c>
      <c r="F54" t="s">
        <v>414</v>
      </c>
      <c r="G54" t="s">
        <v>415</v>
      </c>
      <c r="H54" t="s">
        <v>577</v>
      </c>
      <c r="I54" t="s">
        <v>578</v>
      </c>
      <c r="J54" t="s">
        <v>416</v>
      </c>
      <c r="K54">
        <v>1689006624.5</v>
      </c>
      <c r="L54">
        <f t="shared" si="46"/>
        <v>5.7824140231379642E-3</v>
      </c>
      <c r="M54">
        <f t="shared" si="47"/>
        <v>5.7824140231379646</v>
      </c>
      <c r="N54">
        <f t="shared" si="48"/>
        <v>44.417833636423467</v>
      </c>
      <c r="O54">
        <f t="shared" si="49"/>
        <v>344.334</v>
      </c>
      <c r="P54">
        <f t="shared" si="50"/>
        <v>156.87780064636334</v>
      </c>
      <c r="Q54">
        <f t="shared" si="51"/>
        <v>15.559901282317252</v>
      </c>
      <c r="R54">
        <f t="shared" si="52"/>
        <v>34.152716484234006</v>
      </c>
      <c r="S54">
        <f t="shared" si="53"/>
        <v>0.4181555414236357</v>
      </c>
      <c r="T54">
        <f t="shared" si="54"/>
        <v>2.9051168816394837</v>
      </c>
      <c r="U54">
        <f t="shared" si="55"/>
        <v>0.38736594060763702</v>
      </c>
      <c r="V54">
        <f t="shared" si="56"/>
        <v>0.24468084206809945</v>
      </c>
      <c r="W54">
        <f t="shared" si="57"/>
        <v>289.56704932659102</v>
      </c>
      <c r="X54">
        <f t="shared" si="58"/>
        <v>30.653123039390874</v>
      </c>
      <c r="Y54">
        <f t="shared" si="59"/>
        <v>30.048100000000002</v>
      </c>
      <c r="Z54">
        <f t="shared" si="60"/>
        <v>4.2722348283234313</v>
      </c>
      <c r="AA54">
        <f t="shared" si="61"/>
        <v>65.077316650490374</v>
      </c>
      <c r="AB54">
        <f t="shared" si="62"/>
        <v>2.8447703039565004</v>
      </c>
      <c r="AC54">
        <f t="shared" si="63"/>
        <v>4.3713700108977438</v>
      </c>
      <c r="AD54">
        <f t="shared" si="64"/>
        <v>1.4274645243669308</v>
      </c>
      <c r="AE54">
        <f t="shared" si="65"/>
        <v>-255.00445842038422</v>
      </c>
      <c r="AF54">
        <f t="shared" si="66"/>
        <v>62.663926595311175</v>
      </c>
      <c r="AG54">
        <f t="shared" si="67"/>
        <v>4.8079492162727648</v>
      </c>
      <c r="AH54">
        <f t="shared" si="68"/>
        <v>102.03446671779076</v>
      </c>
      <c r="AI54">
        <v>0</v>
      </c>
      <c r="AJ54">
        <v>0</v>
      </c>
      <c r="AK54">
        <f t="shared" si="69"/>
        <v>1</v>
      </c>
      <c r="AL54">
        <f t="shared" si="70"/>
        <v>0</v>
      </c>
      <c r="AM54">
        <f t="shared" si="71"/>
        <v>51561.519305242648</v>
      </c>
      <c r="AN54" t="s">
        <v>419</v>
      </c>
      <c r="AO54">
        <v>9967.0300000000007</v>
      </c>
      <c r="AP54">
        <v>178.94153846153841</v>
      </c>
      <c r="AQ54">
        <v>603.15</v>
      </c>
      <c r="AR54">
        <f t="shared" si="72"/>
        <v>0.7033216638290003</v>
      </c>
      <c r="AS54">
        <v>-3.2649104154664181</v>
      </c>
      <c r="AT54" t="s">
        <v>614</v>
      </c>
      <c r="AU54">
        <v>8052.64</v>
      </c>
      <c r="AV54">
        <v>691.20238461538474</v>
      </c>
      <c r="AW54">
        <v>1119.523267349362</v>
      </c>
      <c r="AX54">
        <f t="shared" si="73"/>
        <v>0.38259221154741219</v>
      </c>
      <c r="AY54">
        <v>0.5</v>
      </c>
      <c r="AZ54">
        <f t="shared" si="74"/>
        <v>1513.1849996510834</v>
      </c>
      <c r="BA54">
        <f t="shared" si="75"/>
        <v>44.417833636423467</v>
      </c>
      <c r="BB54">
        <f t="shared" si="76"/>
        <v>289.46639774843908</v>
      </c>
      <c r="BC54">
        <f t="shared" si="77"/>
        <v>3.1511509870164434E-2</v>
      </c>
      <c r="BD54">
        <f t="shared" si="78"/>
        <v>-0.46124389051060333</v>
      </c>
      <c r="BE54">
        <f t="shared" si="79"/>
        <v>207.31007030504239</v>
      </c>
      <c r="BF54" t="s">
        <v>615</v>
      </c>
      <c r="BG54">
        <v>542.74</v>
      </c>
      <c r="BH54">
        <f t="shared" si="80"/>
        <v>542.74</v>
      </c>
      <c r="BI54">
        <f t="shared" si="81"/>
        <v>0.51520435900808226</v>
      </c>
      <c r="BJ54">
        <f t="shared" si="82"/>
        <v>0.74260282324476667</v>
      </c>
      <c r="BK54">
        <f t="shared" si="83"/>
        <v>-8.5478110801086284</v>
      </c>
      <c r="BL54">
        <f t="shared" si="84"/>
        <v>0.4553786976496329</v>
      </c>
      <c r="BM54">
        <f t="shared" si="85"/>
        <v>-1.2172630066751842</v>
      </c>
      <c r="BN54">
        <f t="shared" si="86"/>
        <v>0.58310021096373088</v>
      </c>
      <c r="BO54">
        <f t="shared" si="87"/>
        <v>0.41689978903626912</v>
      </c>
      <c r="BP54">
        <v>6111</v>
      </c>
      <c r="BQ54">
        <v>290.00000000000011</v>
      </c>
      <c r="BR54">
        <v>933.45</v>
      </c>
      <c r="BS54">
        <v>285</v>
      </c>
      <c r="BT54">
        <v>8052.64</v>
      </c>
      <c r="BU54">
        <v>936.54</v>
      </c>
      <c r="BV54">
        <v>-3.09</v>
      </c>
      <c r="BW54">
        <v>300.00000000000011</v>
      </c>
      <c r="BX54">
        <v>19.3</v>
      </c>
      <c r="BY54">
        <v>1119.523267349362</v>
      </c>
      <c r="BZ54">
        <v>5.7117868833788172</v>
      </c>
      <c r="CA54">
        <v>-147.35059112361259</v>
      </c>
      <c r="CB54">
        <v>4.2254158430545186</v>
      </c>
      <c r="CC54">
        <v>0.9774935458703915</v>
      </c>
      <c r="CD54">
        <v>-4.1555319243604099E-3</v>
      </c>
      <c r="CE54">
        <v>289.99999999999989</v>
      </c>
      <c r="CF54">
        <v>915.84</v>
      </c>
      <c r="CG54">
        <v>645</v>
      </c>
      <c r="CH54">
        <v>8043.61</v>
      </c>
      <c r="CI54">
        <v>936.33</v>
      </c>
      <c r="CJ54">
        <v>-20.49</v>
      </c>
      <c r="CX54">
        <f t="shared" si="88"/>
        <v>1800</v>
      </c>
      <c r="CY54">
        <f t="shared" si="89"/>
        <v>1513.1849996510834</v>
      </c>
      <c r="CZ54">
        <f t="shared" si="90"/>
        <v>0.84065833313949079</v>
      </c>
      <c r="DA54">
        <f t="shared" si="91"/>
        <v>0.16087058295921725</v>
      </c>
      <c r="DB54">
        <v>6</v>
      </c>
      <c r="DC54">
        <v>0.5</v>
      </c>
      <c r="DD54" t="s">
        <v>422</v>
      </c>
      <c r="DE54">
        <v>2</v>
      </c>
      <c r="DF54">
        <v>1689006624.5</v>
      </c>
      <c r="DG54">
        <v>344.334</v>
      </c>
      <c r="DH54">
        <v>400.01</v>
      </c>
      <c r="DI54">
        <v>28.6815</v>
      </c>
      <c r="DJ54">
        <v>21.9434</v>
      </c>
      <c r="DK54">
        <v>344.83100000000002</v>
      </c>
      <c r="DL54">
        <v>28.6356</v>
      </c>
      <c r="DM54">
        <v>500.13200000000001</v>
      </c>
      <c r="DN54">
        <v>99.084400000000002</v>
      </c>
      <c r="DO54">
        <v>0.100451</v>
      </c>
      <c r="DP54">
        <v>30.4482</v>
      </c>
      <c r="DQ54">
        <v>30.048100000000002</v>
      </c>
      <c r="DR54">
        <v>999.9</v>
      </c>
      <c r="DS54">
        <v>0</v>
      </c>
      <c r="DT54">
        <v>0</v>
      </c>
      <c r="DU54">
        <v>9952.5</v>
      </c>
      <c r="DV54">
        <v>0</v>
      </c>
      <c r="DW54">
        <v>2278.77</v>
      </c>
      <c r="DX54">
        <v>-55.675800000000002</v>
      </c>
      <c r="DY54">
        <v>354.50200000000001</v>
      </c>
      <c r="DZ54">
        <v>408.98399999999998</v>
      </c>
      <c r="EA54">
        <v>6.73813</v>
      </c>
      <c r="EB54">
        <v>400.01</v>
      </c>
      <c r="EC54">
        <v>21.9434</v>
      </c>
      <c r="ED54">
        <v>2.8418899999999998</v>
      </c>
      <c r="EE54">
        <v>2.1742499999999998</v>
      </c>
      <c r="EF54">
        <v>23.1295</v>
      </c>
      <c r="EG54">
        <v>18.773800000000001</v>
      </c>
      <c r="EH54">
        <v>1800</v>
      </c>
      <c r="EI54">
        <v>0.97799599999999998</v>
      </c>
      <c r="EJ54">
        <v>2.20038E-2</v>
      </c>
      <c r="EK54">
        <v>0</v>
      </c>
      <c r="EL54">
        <v>691.25099999999998</v>
      </c>
      <c r="EM54">
        <v>5.0005300000000004</v>
      </c>
      <c r="EN54">
        <v>15173.6</v>
      </c>
      <c r="EO54">
        <v>16035.3</v>
      </c>
      <c r="EP54">
        <v>48.125</v>
      </c>
      <c r="EQ54">
        <v>49.75</v>
      </c>
      <c r="ER54">
        <v>48.686999999999998</v>
      </c>
      <c r="ES54">
        <v>48.936999999999998</v>
      </c>
      <c r="ET54">
        <v>49.436999999999998</v>
      </c>
      <c r="EU54">
        <v>1755.5</v>
      </c>
      <c r="EV54">
        <v>39.5</v>
      </c>
      <c r="EW54">
        <v>0</v>
      </c>
      <c r="EX54">
        <v>187.4000000953674</v>
      </c>
      <c r="EY54">
        <v>0</v>
      </c>
      <c r="EZ54">
        <v>691.20238461538474</v>
      </c>
      <c r="FA54">
        <v>-1.413606844133275</v>
      </c>
      <c r="FB54">
        <v>-106.519657909551</v>
      </c>
      <c r="FC54">
        <v>15175.403846153849</v>
      </c>
      <c r="FD54">
        <v>15</v>
      </c>
      <c r="FE54">
        <v>1689006509</v>
      </c>
      <c r="FF54" t="s">
        <v>616</v>
      </c>
      <c r="FG54">
        <v>1689006505.5</v>
      </c>
      <c r="FH54">
        <v>1689006509</v>
      </c>
      <c r="FI54">
        <v>42</v>
      </c>
      <c r="FJ54">
        <v>-0.374</v>
      </c>
      <c r="FK54">
        <v>1E-3</v>
      </c>
      <c r="FL54">
        <v>-0.5</v>
      </c>
      <c r="FM54">
        <v>3.5999999999999997E-2</v>
      </c>
      <c r="FN54">
        <v>400</v>
      </c>
      <c r="FO54">
        <v>21</v>
      </c>
      <c r="FP54">
        <v>0.06</v>
      </c>
      <c r="FQ54">
        <v>0.01</v>
      </c>
      <c r="FR54">
        <v>43.870712168640949</v>
      </c>
      <c r="FS54">
        <v>3.252212450655843</v>
      </c>
      <c r="FT54">
        <v>0.24310988063893199</v>
      </c>
      <c r="FU54">
        <v>0</v>
      </c>
      <c r="FV54">
        <v>0.41943908519198098</v>
      </c>
      <c r="FW54">
        <v>-1.5903919291317639E-2</v>
      </c>
      <c r="FX54">
        <v>1.2980180477163981E-3</v>
      </c>
      <c r="FY54">
        <v>1</v>
      </c>
      <c r="FZ54">
        <v>1</v>
      </c>
      <c r="GA54">
        <v>2</v>
      </c>
      <c r="GB54" t="s">
        <v>463</v>
      </c>
      <c r="GC54">
        <v>3.11808</v>
      </c>
      <c r="GD54">
        <v>2.7673399999999999</v>
      </c>
      <c r="GE54">
        <v>7.9220399999999996E-2</v>
      </c>
      <c r="GF54">
        <v>8.8993600000000006E-2</v>
      </c>
      <c r="GG54">
        <v>0.121476</v>
      </c>
      <c r="GH54">
        <v>0.100963</v>
      </c>
      <c r="GI54">
        <v>22067.9</v>
      </c>
      <c r="GJ54">
        <v>22623.4</v>
      </c>
      <c r="GK54">
        <v>23822.6</v>
      </c>
      <c r="GL54">
        <v>25139.599999999999</v>
      </c>
      <c r="GM54">
        <v>30154.3</v>
      </c>
      <c r="GN54">
        <v>31693.8</v>
      </c>
      <c r="GO54">
        <v>37961.800000000003</v>
      </c>
      <c r="GP54">
        <v>39103.1</v>
      </c>
      <c r="GQ54">
        <v>2.1586699999999999</v>
      </c>
      <c r="GR54">
        <v>1.74305</v>
      </c>
      <c r="GS54">
        <v>4.1577999999999997E-2</v>
      </c>
      <c r="GT54">
        <v>0</v>
      </c>
      <c r="GU54">
        <v>29.371099999999998</v>
      </c>
      <c r="GV54">
        <v>999.9</v>
      </c>
      <c r="GW54">
        <v>30.2</v>
      </c>
      <c r="GX54">
        <v>44.8</v>
      </c>
      <c r="GY54">
        <v>29.075600000000001</v>
      </c>
      <c r="GZ54">
        <v>61.158999999999999</v>
      </c>
      <c r="HA54">
        <v>27.708300000000001</v>
      </c>
      <c r="HB54">
        <v>1</v>
      </c>
      <c r="HC54">
        <v>0.46138000000000001</v>
      </c>
      <c r="HD54">
        <v>2.03505</v>
      </c>
      <c r="HE54">
        <v>20.3064</v>
      </c>
      <c r="HF54">
        <v>5.2524800000000003</v>
      </c>
      <c r="HG54">
        <v>12.0099</v>
      </c>
      <c r="HH54">
        <v>4.9795999999999996</v>
      </c>
      <c r="HI54">
        <v>3.2930000000000001</v>
      </c>
      <c r="HJ54">
        <v>9999</v>
      </c>
      <c r="HK54">
        <v>9999</v>
      </c>
      <c r="HL54">
        <v>9999</v>
      </c>
      <c r="HM54">
        <v>233.3</v>
      </c>
      <c r="HN54">
        <v>1.8755999999999999</v>
      </c>
      <c r="HO54">
        <v>1.8766799999999999</v>
      </c>
      <c r="HP54">
        <v>1.88266</v>
      </c>
      <c r="HQ54">
        <v>1.8858999999999999</v>
      </c>
      <c r="HR54">
        <v>1.8767</v>
      </c>
      <c r="HS54">
        <v>1.8830899999999999</v>
      </c>
      <c r="HT54">
        <v>1.8820600000000001</v>
      </c>
      <c r="HU54">
        <v>1.8855299999999999</v>
      </c>
      <c r="HV54">
        <v>0</v>
      </c>
      <c r="HW54">
        <v>0</v>
      </c>
      <c r="HX54">
        <v>0</v>
      </c>
      <c r="HY54">
        <v>0</v>
      </c>
      <c r="HZ54" t="s">
        <v>425</v>
      </c>
      <c r="IA54" t="s">
        <v>426</v>
      </c>
      <c r="IB54" t="s">
        <v>427</v>
      </c>
      <c r="IC54" t="s">
        <v>427</v>
      </c>
      <c r="ID54" t="s">
        <v>427</v>
      </c>
      <c r="IE54" t="s">
        <v>427</v>
      </c>
      <c r="IF54">
        <v>0</v>
      </c>
      <c r="IG54">
        <v>100</v>
      </c>
      <c r="IH54">
        <v>100</v>
      </c>
      <c r="II54">
        <v>-0.497</v>
      </c>
      <c r="IJ54">
        <v>4.5900000000000003E-2</v>
      </c>
      <c r="IK54">
        <v>-0.41490249807646751</v>
      </c>
      <c r="IL54">
        <v>-4.2852564239613137E-4</v>
      </c>
      <c r="IM54">
        <v>6.4980710991155998E-7</v>
      </c>
      <c r="IN54">
        <v>-2.7237938963984961E-10</v>
      </c>
      <c r="IO54">
        <v>-1.35034826489997E-2</v>
      </c>
      <c r="IP54">
        <v>6.6907473102813496E-3</v>
      </c>
      <c r="IQ54">
        <v>-3.3673306238274028E-4</v>
      </c>
      <c r="IR54">
        <v>6.1311374003140313E-6</v>
      </c>
      <c r="IS54">
        <v>3</v>
      </c>
      <c r="IT54">
        <v>2101</v>
      </c>
      <c r="IU54">
        <v>1</v>
      </c>
      <c r="IV54">
        <v>32</v>
      </c>
      <c r="IW54">
        <v>2</v>
      </c>
      <c r="IX54">
        <v>1.9</v>
      </c>
      <c r="IY54">
        <v>1.01562</v>
      </c>
      <c r="IZ54">
        <v>2.7209500000000002</v>
      </c>
      <c r="JA54">
        <v>1.6003400000000001</v>
      </c>
      <c r="JB54">
        <v>2.3303199999999999</v>
      </c>
      <c r="JC54">
        <v>1.5502899999999999</v>
      </c>
      <c r="JD54">
        <v>2.4706999999999999</v>
      </c>
      <c r="JE54">
        <v>48.5779</v>
      </c>
      <c r="JF54">
        <v>24.14</v>
      </c>
      <c r="JG54">
        <v>18</v>
      </c>
      <c r="JH54">
        <v>597.08299999999997</v>
      </c>
      <c r="JI54">
        <v>383.71100000000001</v>
      </c>
      <c r="JJ54">
        <v>27.799299999999999</v>
      </c>
      <c r="JK54">
        <v>33.059800000000003</v>
      </c>
      <c r="JL54">
        <v>30.000800000000002</v>
      </c>
      <c r="JM54">
        <v>33.174300000000002</v>
      </c>
      <c r="JN54">
        <v>33.176499999999997</v>
      </c>
      <c r="JO54">
        <v>20.307300000000001</v>
      </c>
      <c r="JP54">
        <v>28.668800000000001</v>
      </c>
      <c r="JQ54">
        <v>0</v>
      </c>
      <c r="JR54">
        <v>27.738399999999999</v>
      </c>
      <c r="JS54">
        <v>400</v>
      </c>
      <c r="JT54">
        <v>21.9787</v>
      </c>
      <c r="JU54">
        <v>99.026499999999999</v>
      </c>
      <c r="JV54">
        <v>98.977099999999993</v>
      </c>
    </row>
    <row r="55" spans="1:282" x14ac:dyDescent="0.25">
      <c r="A55">
        <v>39</v>
      </c>
      <c r="B55">
        <v>1689006724</v>
      </c>
      <c r="C55">
        <v>6901.4000000953674</v>
      </c>
      <c r="D55" t="s">
        <v>617</v>
      </c>
      <c r="E55" t="s">
        <v>618</v>
      </c>
      <c r="F55" t="s">
        <v>414</v>
      </c>
      <c r="G55" t="s">
        <v>415</v>
      </c>
      <c r="H55" t="s">
        <v>577</v>
      </c>
      <c r="I55" t="s">
        <v>578</v>
      </c>
      <c r="J55" t="s">
        <v>416</v>
      </c>
      <c r="K55">
        <v>1689006724</v>
      </c>
      <c r="L55">
        <f t="shared" si="46"/>
        <v>5.4451389081337665E-3</v>
      </c>
      <c r="M55">
        <f t="shared" si="47"/>
        <v>5.4451389081337664</v>
      </c>
      <c r="N55">
        <f t="shared" si="48"/>
        <v>47.242202625934056</v>
      </c>
      <c r="O55">
        <f t="shared" si="49"/>
        <v>341.178</v>
      </c>
      <c r="P55">
        <f t="shared" si="50"/>
        <v>132.86391031443119</v>
      </c>
      <c r="Q55">
        <f t="shared" si="51"/>
        <v>13.177650557004929</v>
      </c>
      <c r="R55">
        <f t="shared" si="52"/>
        <v>33.838567983570002</v>
      </c>
      <c r="S55">
        <f t="shared" si="53"/>
        <v>0.39682532024963463</v>
      </c>
      <c r="T55">
        <f t="shared" si="54"/>
        <v>2.9103241790439096</v>
      </c>
      <c r="U55">
        <f t="shared" si="55"/>
        <v>0.36903077888879576</v>
      </c>
      <c r="V55">
        <f t="shared" si="56"/>
        <v>0.2329790304830533</v>
      </c>
      <c r="W55">
        <f t="shared" si="57"/>
        <v>289.55268532655737</v>
      </c>
      <c r="X55">
        <f t="shared" si="58"/>
        <v>30.58297103139229</v>
      </c>
      <c r="Y55">
        <f t="shared" si="59"/>
        <v>29.948699999999999</v>
      </c>
      <c r="Z55">
        <f t="shared" si="60"/>
        <v>4.2479119111242909</v>
      </c>
      <c r="AA55">
        <f t="shared" si="61"/>
        <v>65.482669457512912</v>
      </c>
      <c r="AB55">
        <f t="shared" si="62"/>
        <v>2.8367316131910001</v>
      </c>
      <c r="AC55">
        <f t="shared" si="63"/>
        <v>4.3320341652100112</v>
      </c>
      <c r="AD55">
        <f t="shared" si="64"/>
        <v>1.4111802979332908</v>
      </c>
      <c r="AE55">
        <f t="shared" si="65"/>
        <v>-240.13062584869911</v>
      </c>
      <c r="AF55">
        <f t="shared" si="66"/>
        <v>53.61320740294871</v>
      </c>
      <c r="AG55">
        <f t="shared" si="67"/>
        <v>4.1009418439005332</v>
      </c>
      <c r="AH55">
        <f t="shared" si="68"/>
        <v>107.13620872470753</v>
      </c>
      <c r="AI55">
        <v>0</v>
      </c>
      <c r="AJ55">
        <v>0</v>
      </c>
      <c r="AK55">
        <f t="shared" si="69"/>
        <v>1</v>
      </c>
      <c r="AL55">
        <f t="shared" si="70"/>
        <v>0</v>
      </c>
      <c r="AM55">
        <f t="shared" si="71"/>
        <v>51736.092957020832</v>
      </c>
      <c r="AN55" t="s">
        <v>419</v>
      </c>
      <c r="AO55">
        <v>9967.0300000000007</v>
      </c>
      <c r="AP55">
        <v>178.94153846153841</v>
      </c>
      <c r="AQ55">
        <v>603.15</v>
      </c>
      <c r="AR55">
        <f t="shared" si="72"/>
        <v>0.7033216638290003</v>
      </c>
      <c r="AS55">
        <v>-3.2649104154664181</v>
      </c>
      <c r="AT55" t="s">
        <v>619</v>
      </c>
      <c r="AU55">
        <v>8054.09</v>
      </c>
      <c r="AV55">
        <v>696.80846153846153</v>
      </c>
      <c r="AW55">
        <v>1087.2587796851551</v>
      </c>
      <c r="AX55">
        <f t="shared" si="73"/>
        <v>0.35911443111984709</v>
      </c>
      <c r="AY55">
        <v>0.5</v>
      </c>
      <c r="AZ55">
        <f t="shared" si="74"/>
        <v>1513.1093996510658</v>
      </c>
      <c r="BA55">
        <f t="shared" si="75"/>
        <v>47.242202625934056</v>
      </c>
      <c r="BB55">
        <f t="shared" si="76"/>
        <v>271.6897106388929</v>
      </c>
      <c r="BC55">
        <f t="shared" si="77"/>
        <v>3.337968361907459E-2</v>
      </c>
      <c r="BD55">
        <f t="shared" si="78"/>
        <v>-0.44525626164669074</v>
      </c>
      <c r="BE55">
        <f t="shared" si="79"/>
        <v>206.17709734251858</v>
      </c>
      <c r="BF55" t="s">
        <v>620</v>
      </c>
      <c r="BG55">
        <v>544.87</v>
      </c>
      <c r="BH55">
        <f t="shared" si="80"/>
        <v>544.87</v>
      </c>
      <c r="BI55">
        <f t="shared" si="81"/>
        <v>0.49885895595363072</v>
      </c>
      <c r="BJ55">
        <f t="shared" si="82"/>
        <v>0.71987167281251929</v>
      </c>
      <c r="BK55">
        <f t="shared" si="83"/>
        <v>-8.3066022595256577</v>
      </c>
      <c r="BL55">
        <f t="shared" si="84"/>
        <v>0.42986117671916946</v>
      </c>
      <c r="BM55">
        <f t="shared" si="85"/>
        <v>-1.1412049112114719</v>
      </c>
      <c r="BN55">
        <f t="shared" si="86"/>
        <v>0.56290429869257153</v>
      </c>
      <c r="BO55">
        <f t="shared" si="87"/>
        <v>0.43709570130742847</v>
      </c>
      <c r="BP55">
        <v>6113</v>
      </c>
      <c r="BQ55">
        <v>290.00000000000011</v>
      </c>
      <c r="BR55">
        <v>946.3</v>
      </c>
      <c r="BS55">
        <v>285</v>
      </c>
      <c r="BT55">
        <v>8054.09</v>
      </c>
      <c r="BU55">
        <v>948.06</v>
      </c>
      <c r="BV55">
        <v>-1.76</v>
      </c>
      <c r="BW55">
        <v>300.00000000000011</v>
      </c>
      <c r="BX55">
        <v>19.3</v>
      </c>
      <c r="BY55">
        <v>1087.2587796851551</v>
      </c>
      <c r="BZ55">
        <v>3.7169966622008381</v>
      </c>
      <c r="CA55">
        <v>-112.1110697721855</v>
      </c>
      <c r="CB55">
        <v>2.750227047227475</v>
      </c>
      <c r="CC55">
        <v>0.98342928407936003</v>
      </c>
      <c r="CD55">
        <v>-4.1561953281423949E-3</v>
      </c>
      <c r="CE55">
        <v>289.99999999999989</v>
      </c>
      <c r="CF55">
        <v>939.45</v>
      </c>
      <c r="CG55">
        <v>655</v>
      </c>
      <c r="CH55">
        <v>8044.83</v>
      </c>
      <c r="CI55">
        <v>947.9</v>
      </c>
      <c r="CJ55">
        <v>-8.4499999999999993</v>
      </c>
      <c r="CX55">
        <f t="shared" si="88"/>
        <v>1799.91</v>
      </c>
      <c r="CY55">
        <f t="shared" si="89"/>
        <v>1513.1093996510658</v>
      </c>
      <c r="CZ55">
        <f t="shared" si="90"/>
        <v>0.84065836605778388</v>
      </c>
      <c r="DA55">
        <f t="shared" si="91"/>
        <v>0.16087064649152311</v>
      </c>
      <c r="DB55">
        <v>6</v>
      </c>
      <c r="DC55">
        <v>0.5</v>
      </c>
      <c r="DD55" t="s">
        <v>422</v>
      </c>
      <c r="DE55">
        <v>2</v>
      </c>
      <c r="DF55">
        <v>1689006724</v>
      </c>
      <c r="DG55">
        <v>341.178</v>
      </c>
      <c r="DH55">
        <v>400.08699999999999</v>
      </c>
      <c r="DI55">
        <v>28.601400000000002</v>
      </c>
      <c r="DJ55">
        <v>22.255299999999998</v>
      </c>
      <c r="DK55">
        <v>341.64600000000002</v>
      </c>
      <c r="DL55">
        <v>28.552499999999998</v>
      </c>
      <c r="DM55">
        <v>500.09300000000002</v>
      </c>
      <c r="DN55">
        <v>99.081500000000005</v>
      </c>
      <c r="DO55">
        <v>0.100065</v>
      </c>
      <c r="DP55">
        <v>30.290400000000002</v>
      </c>
      <c r="DQ55">
        <v>29.948699999999999</v>
      </c>
      <c r="DR55">
        <v>999.9</v>
      </c>
      <c r="DS55">
        <v>0</v>
      </c>
      <c r="DT55">
        <v>0</v>
      </c>
      <c r="DU55">
        <v>9982.5</v>
      </c>
      <c r="DV55">
        <v>0</v>
      </c>
      <c r="DW55">
        <v>1157.08</v>
      </c>
      <c r="DX55">
        <v>-58.908499999999997</v>
      </c>
      <c r="DY55">
        <v>351.22399999999999</v>
      </c>
      <c r="DZ55">
        <v>409.19299999999998</v>
      </c>
      <c r="EA55">
        <v>6.3460599999999996</v>
      </c>
      <c r="EB55">
        <v>400.08699999999999</v>
      </c>
      <c r="EC55">
        <v>22.255299999999998</v>
      </c>
      <c r="ED55">
        <v>2.8338700000000001</v>
      </c>
      <c r="EE55">
        <v>2.2050900000000002</v>
      </c>
      <c r="EF55">
        <v>23.082699999999999</v>
      </c>
      <c r="EG55">
        <v>18.999300000000002</v>
      </c>
      <c r="EH55">
        <v>1799.91</v>
      </c>
      <c r="EI55">
        <v>0.977993</v>
      </c>
      <c r="EJ55">
        <v>2.2007200000000001E-2</v>
      </c>
      <c r="EK55">
        <v>0</v>
      </c>
      <c r="EL55">
        <v>697.41300000000001</v>
      </c>
      <c r="EM55">
        <v>5.0005300000000004</v>
      </c>
      <c r="EN55">
        <v>14163.4</v>
      </c>
      <c r="EO55">
        <v>16034.4</v>
      </c>
      <c r="EP55">
        <v>47.811999999999998</v>
      </c>
      <c r="EQ55">
        <v>49.311999999999998</v>
      </c>
      <c r="ER55">
        <v>48.375</v>
      </c>
      <c r="ES55">
        <v>48.686999999999998</v>
      </c>
      <c r="ET55">
        <v>49.125</v>
      </c>
      <c r="EU55">
        <v>1755.41</v>
      </c>
      <c r="EV55">
        <v>39.5</v>
      </c>
      <c r="EW55">
        <v>0</v>
      </c>
      <c r="EX55">
        <v>97.400000095367432</v>
      </c>
      <c r="EY55">
        <v>0</v>
      </c>
      <c r="EZ55">
        <v>696.80846153846153</v>
      </c>
      <c r="FA55">
        <v>5.2745982954527202</v>
      </c>
      <c r="FB55">
        <v>-4745.7230816498104</v>
      </c>
      <c r="FC55">
        <v>14985.307692307701</v>
      </c>
      <c r="FD55">
        <v>15</v>
      </c>
      <c r="FE55">
        <v>1689006696</v>
      </c>
      <c r="FF55" t="s">
        <v>621</v>
      </c>
      <c r="FG55">
        <v>1689006696</v>
      </c>
      <c r="FH55">
        <v>1689006694</v>
      </c>
      <c r="FI55">
        <v>43</v>
      </c>
      <c r="FJ55">
        <v>2.9000000000000001E-2</v>
      </c>
      <c r="FK55">
        <v>3.0000000000000001E-3</v>
      </c>
      <c r="FL55">
        <v>-0.47099999999999997</v>
      </c>
      <c r="FM55">
        <v>3.9E-2</v>
      </c>
      <c r="FN55">
        <v>400</v>
      </c>
      <c r="FO55">
        <v>22</v>
      </c>
      <c r="FP55">
        <v>0.04</v>
      </c>
      <c r="FQ55">
        <v>0.01</v>
      </c>
      <c r="FR55">
        <v>47.113933395301807</v>
      </c>
      <c r="FS55">
        <v>-0.27499974216296252</v>
      </c>
      <c r="FT55">
        <v>5.5809918417416657E-2</v>
      </c>
      <c r="FU55">
        <v>1</v>
      </c>
      <c r="FV55">
        <v>0.39630158605335492</v>
      </c>
      <c r="FW55">
        <v>3.6549783864032043E-2</v>
      </c>
      <c r="FX55">
        <v>3.9542416410523256E-3</v>
      </c>
      <c r="FY55">
        <v>1</v>
      </c>
      <c r="FZ55">
        <v>2</v>
      </c>
      <c r="GA55">
        <v>2</v>
      </c>
      <c r="GB55" t="s">
        <v>424</v>
      </c>
      <c r="GC55">
        <v>3.1180599999999998</v>
      </c>
      <c r="GD55">
        <v>2.76722</v>
      </c>
      <c r="GE55">
        <v>7.8627199999999994E-2</v>
      </c>
      <c r="GF55">
        <v>8.8998499999999994E-2</v>
      </c>
      <c r="GG55">
        <v>0.12121700000000001</v>
      </c>
      <c r="GH55">
        <v>0.101969</v>
      </c>
      <c r="GI55">
        <v>22080.400000000001</v>
      </c>
      <c r="GJ55">
        <v>22623.3</v>
      </c>
      <c r="GK55">
        <v>23820.799999999999</v>
      </c>
      <c r="GL55">
        <v>25139.7</v>
      </c>
      <c r="GM55">
        <v>30161.1</v>
      </c>
      <c r="GN55">
        <v>31660</v>
      </c>
      <c r="GO55">
        <v>37959.199999999997</v>
      </c>
      <c r="GP55">
        <v>39105.199999999997</v>
      </c>
      <c r="GQ55">
        <v>2.1573000000000002</v>
      </c>
      <c r="GR55">
        <v>1.7421500000000001</v>
      </c>
      <c r="GS55">
        <v>4.7109999999999999E-2</v>
      </c>
      <c r="GT55">
        <v>0</v>
      </c>
      <c r="GU55">
        <v>29.1815</v>
      </c>
      <c r="GV55">
        <v>999.9</v>
      </c>
      <c r="GW55">
        <v>30.1</v>
      </c>
      <c r="GX55">
        <v>44.9</v>
      </c>
      <c r="GY55">
        <v>29.130700000000001</v>
      </c>
      <c r="GZ55">
        <v>61.058999999999997</v>
      </c>
      <c r="HA55">
        <v>27.968800000000002</v>
      </c>
      <c r="HB55">
        <v>1</v>
      </c>
      <c r="HC55">
        <v>0.46245700000000001</v>
      </c>
      <c r="HD55">
        <v>1.4087499999999999</v>
      </c>
      <c r="HE55">
        <v>20.312799999999999</v>
      </c>
      <c r="HF55">
        <v>5.2526299999999999</v>
      </c>
      <c r="HG55">
        <v>12.0099</v>
      </c>
      <c r="HH55">
        <v>4.9794</v>
      </c>
      <c r="HI55">
        <v>3.2930000000000001</v>
      </c>
      <c r="HJ55">
        <v>9999</v>
      </c>
      <c r="HK55">
        <v>9999</v>
      </c>
      <c r="HL55">
        <v>9999</v>
      </c>
      <c r="HM55">
        <v>233.3</v>
      </c>
      <c r="HN55">
        <v>1.8755999999999999</v>
      </c>
      <c r="HO55">
        <v>1.8766799999999999</v>
      </c>
      <c r="HP55">
        <v>1.8826700000000001</v>
      </c>
      <c r="HQ55">
        <v>1.8859399999999999</v>
      </c>
      <c r="HR55">
        <v>1.8767199999999999</v>
      </c>
      <c r="HS55">
        <v>1.8830899999999999</v>
      </c>
      <c r="HT55">
        <v>1.88208</v>
      </c>
      <c r="HU55">
        <v>1.8855500000000001</v>
      </c>
      <c r="HV55">
        <v>0</v>
      </c>
      <c r="HW55">
        <v>0</v>
      </c>
      <c r="HX55">
        <v>0</v>
      </c>
      <c r="HY55">
        <v>0</v>
      </c>
      <c r="HZ55" t="s">
        <v>425</v>
      </c>
      <c r="IA55" t="s">
        <v>426</v>
      </c>
      <c r="IB55" t="s">
        <v>427</v>
      </c>
      <c r="IC55" t="s">
        <v>427</v>
      </c>
      <c r="ID55" t="s">
        <v>427</v>
      </c>
      <c r="IE55" t="s">
        <v>427</v>
      </c>
      <c r="IF55">
        <v>0</v>
      </c>
      <c r="IG55">
        <v>100</v>
      </c>
      <c r="IH55">
        <v>100</v>
      </c>
      <c r="II55">
        <v>-0.46800000000000003</v>
      </c>
      <c r="IJ55">
        <v>4.8899999999999999E-2</v>
      </c>
      <c r="IK55">
        <v>-0.38625229769887659</v>
      </c>
      <c r="IL55">
        <v>-4.2852564239613137E-4</v>
      </c>
      <c r="IM55">
        <v>6.4980710991155998E-7</v>
      </c>
      <c r="IN55">
        <v>-2.7237938963984961E-10</v>
      </c>
      <c r="IO55">
        <v>-1.036225792924079E-2</v>
      </c>
      <c r="IP55">
        <v>6.6907473102813496E-3</v>
      </c>
      <c r="IQ55">
        <v>-3.3673306238274028E-4</v>
      </c>
      <c r="IR55">
        <v>6.1311374003140313E-6</v>
      </c>
      <c r="IS55">
        <v>3</v>
      </c>
      <c r="IT55">
        <v>2101</v>
      </c>
      <c r="IU55">
        <v>1</v>
      </c>
      <c r="IV55">
        <v>32</v>
      </c>
      <c r="IW55">
        <v>0.5</v>
      </c>
      <c r="IX55">
        <v>0.5</v>
      </c>
      <c r="IY55">
        <v>1.01562</v>
      </c>
      <c r="IZ55">
        <v>2.7172900000000002</v>
      </c>
      <c r="JA55">
        <v>1.6015600000000001</v>
      </c>
      <c r="JB55">
        <v>2.3303199999999999</v>
      </c>
      <c r="JC55">
        <v>1.5502899999999999</v>
      </c>
      <c r="JD55">
        <v>2.4352999999999998</v>
      </c>
      <c r="JE55">
        <v>48.639699999999998</v>
      </c>
      <c r="JF55">
        <v>24.148800000000001</v>
      </c>
      <c r="JG55">
        <v>18</v>
      </c>
      <c r="JH55">
        <v>596.49900000000002</v>
      </c>
      <c r="JI55">
        <v>383.387</v>
      </c>
      <c r="JJ55">
        <v>27.988199999999999</v>
      </c>
      <c r="JK55">
        <v>33.091999999999999</v>
      </c>
      <c r="JL55">
        <v>30.0001</v>
      </c>
      <c r="JM55">
        <v>33.216500000000003</v>
      </c>
      <c r="JN55">
        <v>33.212000000000003</v>
      </c>
      <c r="JO55">
        <v>20.3124</v>
      </c>
      <c r="JP55">
        <v>28.0669</v>
      </c>
      <c r="JQ55">
        <v>0</v>
      </c>
      <c r="JR55">
        <v>28.009899999999998</v>
      </c>
      <c r="JS55">
        <v>400</v>
      </c>
      <c r="JT55">
        <v>22.020199999999999</v>
      </c>
      <c r="JU55">
        <v>99.019400000000005</v>
      </c>
      <c r="JV55">
        <v>98.980500000000006</v>
      </c>
    </row>
    <row r="56" spans="1:282" x14ac:dyDescent="0.25">
      <c r="A56">
        <v>40</v>
      </c>
      <c r="B56">
        <v>1689006861.5999999</v>
      </c>
      <c r="C56">
        <v>7039</v>
      </c>
      <c r="D56" t="s">
        <v>622</v>
      </c>
      <c r="E56" t="s">
        <v>623</v>
      </c>
      <c r="F56" t="s">
        <v>414</v>
      </c>
      <c r="G56" t="s">
        <v>415</v>
      </c>
      <c r="H56" t="s">
        <v>577</v>
      </c>
      <c r="I56" t="s">
        <v>578</v>
      </c>
      <c r="J56" t="s">
        <v>416</v>
      </c>
      <c r="K56">
        <v>1689006861.5999999</v>
      </c>
      <c r="L56">
        <f t="shared" si="46"/>
        <v>5.475182857824475E-3</v>
      </c>
      <c r="M56">
        <f t="shared" si="47"/>
        <v>5.4751828578244748</v>
      </c>
      <c r="N56">
        <f t="shared" si="48"/>
        <v>47.728917303912588</v>
      </c>
      <c r="O56">
        <f t="shared" si="49"/>
        <v>340.64400000000001</v>
      </c>
      <c r="P56">
        <f t="shared" si="50"/>
        <v>130.44595390816892</v>
      </c>
      <c r="Q56">
        <f t="shared" si="51"/>
        <v>12.937328208878924</v>
      </c>
      <c r="R56">
        <f t="shared" si="52"/>
        <v>33.784284589522798</v>
      </c>
      <c r="S56">
        <f t="shared" si="53"/>
        <v>0.39719528179133629</v>
      </c>
      <c r="T56">
        <f t="shared" si="54"/>
        <v>2.9141957333311863</v>
      </c>
      <c r="U56">
        <f t="shared" si="55"/>
        <v>0.36938505486535594</v>
      </c>
      <c r="V56">
        <f t="shared" si="56"/>
        <v>0.23320183053729754</v>
      </c>
      <c r="W56">
        <f t="shared" si="57"/>
        <v>289.5676283264205</v>
      </c>
      <c r="X56">
        <f t="shared" si="58"/>
        <v>30.583962753086677</v>
      </c>
      <c r="Y56">
        <f t="shared" si="59"/>
        <v>29.989799999999999</v>
      </c>
      <c r="Z56">
        <f t="shared" si="60"/>
        <v>4.2579542988007386</v>
      </c>
      <c r="AA56">
        <f t="shared" si="61"/>
        <v>65.535665047334049</v>
      </c>
      <c r="AB56">
        <f t="shared" si="62"/>
        <v>2.8405085109812198</v>
      </c>
      <c r="AC56">
        <f t="shared" si="63"/>
        <v>4.3342941723863229</v>
      </c>
      <c r="AD56">
        <f t="shared" si="64"/>
        <v>1.4174457878195188</v>
      </c>
      <c r="AE56">
        <f t="shared" si="65"/>
        <v>-241.45556403005935</v>
      </c>
      <c r="AF56">
        <f t="shared" si="66"/>
        <v>48.657004280246092</v>
      </c>
      <c r="AG56">
        <f t="shared" si="67"/>
        <v>3.7178143043144263</v>
      </c>
      <c r="AH56">
        <f t="shared" si="68"/>
        <v>100.48688288092166</v>
      </c>
      <c r="AI56">
        <v>0</v>
      </c>
      <c r="AJ56">
        <v>0</v>
      </c>
      <c r="AK56">
        <f t="shared" si="69"/>
        <v>1</v>
      </c>
      <c r="AL56">
        <f t="shared" si="70"/>
        <v>0</v>
      </c>
      <c r="AM56">
        <f t="shared" si="71"/>
        <v>51844.457787927306</v>
      </c>
      <c r="AN56" t="s">
        <v>419</v>
      </c>
      <c r="AO56">
        <v>9967.0300000000007</v>
      </c>
      <c r="AP56">
        <v>178.94153846153841</v>
      </c>
      <c r="AQ56">
        <v>603.15</v>
      </c>
      <c r="AR56">
        <f t="shared" si="72"/>
        <v>0.7033216638290003</v>
      </c>
      <c r="AS56">
        <v>-3.2649104154664181</v>
      </c>
      <c r="AT56" t="s">
        <v>624</v>
      </c>
      <c r="AU56">
        <v>8055.96</v>
      </c>
      <c r="AV56">
        <v>702.13657692307686</v>
      </c>
      <c r="AW56">
        <v>1093.0677520551551</v>
      </c>
      <c r="AX56">
        <f t="shared" si="73"/>
        <v>0.35764587729997566</v>
      </c>
      <c r="AY56">
        <v>0.5</v>
      </c>
      <c r="AZ56">
        <f t="shared" si="74"/>
        <v>1513.1852996509949</v>
      </c>
      <c r="BA56">
        <f t="shared" si="75"/>
        <v>47.728917303912588</v>
      </c>
      <c r="BB56">
        <f t="shared" si="76"/>
        <v>270.59224200555332</v>
      </c>
      <c r="BC56">
        <f t="shared" si="77"/>
        <v>3.3699658416679275E-2</v>
      </c>
      <c r="BD56">
        <f t="shared" si="78"/>
        <v>-0.4482043781220566</v>
      </c>
      <c r="BE56">
        <f t="shared" si="79"/>
        <v>206.38508522616235</v>
      </c>
      <c r="BF56" t="s">
        <v>625</v>
      </c>
      <c r="BG56">
        <v>545.72</v>
      </c>
      <c r="BH56">
        <f t="shared" si="80"/>
        <v>545.72</v>
      </c>
      <c r="BI56">
        <f t="shared" si="81"/>
        <v>0.5007445796713399</v>
      </c>
      <c r="BJ56">
        <f t="shared" si="82"/>
        <v>0.7142281550700238</v>
      </c>
      <c r="BK56">
        <f t="shared" si="83"/>
        <v>-8.530693923997136</v>
      </c>
      <c r="BL56">
        <f t="shared" si="84"/>
        <v>0.42765557897661416</v>
      </c>
      <c r="BM56">
        <f t="shared" si="85"/>
        <v>-1.1548985851870752</v>
      </c>
      <c r="BN56">
        <f t="shared" si="86"/>
        <v>0.55511790952818407</v>
      </c>
      <c r="BO56">
        <f t="shared" si="87"/>
        <v>0.44488209047181593</v>
      </c>
      <c r="BP56">
        <v>6115</v>
      </c>
      <c r="BQ56">
        <v>290.00000000000011</v>
      </c>
      <c r="BR56">
        <v>961.19</v>
      </c>
      <c r="BS56">
        <v>295</v>
      </c>
      <c r="BT56">
        <v>8055.96</v>
      </c>
      <c r="BU56">
        <v>963.89</v>
      </c>
      <c r="BV56">
        <v>-2.7</v>
      </c>
      <c r="BW56">
        <v>300.00000000000011</v>
      </c>
      <c r="BX56">
        <v>19.3</v>
      </c>
      <c r="BY56">
        <v>1093.0677520551551</v>
      </c>
      <c r="BZ56">
        <v>4.3339863991407901</v>
      </c>
      <c r="CA56">
        <v>-104.06676526531341</v>
      </c>
      <c r="CB56">
        <v>3.2075260171557338</v>
      </c>
      <c r="CC56">
        <v>0.97408965318441965</v>
      </c>
      <c r="CD56">
        <v>-4.1568565072302591E-3</v>
      </c>
      <c r="CE56">
        <v>289.99999999999989</v>
      </c>
      <c r="CF56">
        <v>957.3</v>
      </c>
      <c r="CG56">
        <v>645</v>
      </c>
      <c r="CH56">
        <v>8047.15</v>
      </c>
      <c r="CI56">
        <v>963.75</v>
      </c>
      <c r="CJ56">
        <v>-6.45</v>
      </c>
      <c r="CX56">
        <f t="shared" si="88"/>
        <v>1800</v>
      </c>
      <c r="CY56">
        <f t="shared" si="89"/>
        <v>1513.1852996509949</v>
      </c>
      <c r="CZ56">
        <f t="shared" si="90"/>
        <v>0.84065849980610829</v>
      </c>
      <c r="DA56">
        <f t="shared" si="91"/>
        <v>0.16087090462578918</v>
      </c>
      <c r="DB56">
        <v>6</v>
      </c>
      <c r="DC56">
        <v>0.5</v>
      </c>
      <c r="DD56" t="s">
        <v>422</v>
      </c>
      <c r="DE56">
        <v>2</v>
      </c>
      <c r="DF56">
        <v>1689006861.5999999</v>
      </c>
      <c r="DG56">
        <v>340.64400000000001</v>
      </c>
      <c r="DH56">
        <v>400.14800000000002</v>
      </c>
      <c r="DI56">
        <v>28.640599999999999</v>
      </c>
      <c r="DJ56">
        <v>22.259499999999999</v>
      </c>
      <c r="DK56">
        <v>341.18900000000002</v>
      </c>
      <c r="DL56">
        <v>28.590499999999999</v>
      </c>
      <c r="DM56">
        <v>500.07400000000001</v>
      </c>
      <c r="DN56">
        <v>99.077799999999996</v>
      </c>
      <c r="DO56">
        <v>9.9888699999999997E-2</v>
      </c>
      <c r="DP56">
        <v>30.299499999999998</v>
      </c>
      <c r="DQ56">
        <v>29.989799999999999</v>
      </c>
      <c r="DR56">
        <v>999.9</v>
      </c>
      <c r="DS56">
        <v>0</v>
      </c>
      <c r="DT56">
        <v>0</v>
      </c>
      <c r="DU56">
        <v>10005</v>
      </c>
      <c r="DV56">
        <v>0</v>
      </c>
      <c r="DW56">
        <v>2131.0300000000002</v>
      </c>
      <c r="DX56">
        <v>-59.503300000000003</v>
      </c>
      <c r="DY56">
        <v>350.68799999999999</v>
      </c>
      <c r="DZ56">
        <v>409.25799999999998</v>
      </c>
      <c r="EA56">
        <v>6.3811600000000004</v>
      </c>
      <c r="EB56">
        <v>400.14800000000002</v>
      </c>
      <c r="EC56">
        <v>22.259499999999999</v>
      </c>
      <c r="ED56">
        <v>2.83765</v>
      </c>
      <c r="EE56">
        <v>2.2054200000000002</v>
      </c>
      <c r="EF56">
        <v>23.104800000000001</v>
      </c>
      <c r="EG56">
        <v>19.0017</v>
      </c>
      <c r="EH56">
        <v>1800</v>
      </c>
      <c r="EI56">
        <v>0.977989</v>
      </c>
      <c r="EJ56">
        <v>2.20109E-2</v>
      </c>
      <c r="EK56">
        <v>0</v>
      </c>
      <c r="EL56">
        <v>702.38599999999997</v>
      </c>
      <c r="EM56">
        <v>5.0005300000000004</v>
      </c>
      <c r="EN56">
        <v>15194.3</v>
      </c>
      <c r="EO56">
        <v>16035.2</v>
      </c>
      <c r="EP56">
        <v>47.5</v>
      </c>
      <c r="EQ56">
        <v>49.061999999999998</v>
      </c>
      <c r="ER56">
        <v>48.061999999999998</v>
      </c>
      <c r="ES56">
        <v>48.25</v>
      </c>
      <c r="ET56">
        <v>48.811999999999998</v>
      </c>
      <c r="EU56">
        <v>1755.49</v>
      </c>
      <c r="EV56">
        <v>39.51</v>
      </c>
      <c r="EW56">
        <v>0</v>
      </c>
      <c r="EX56">
        <v>135.79999995231631</v>
      </c>
      <c r="EY56">
        <v>0</v>
      </c>
      <c r="EZ56">
        <v>702.13657692307686</v>
      </c>
      <c r="FA56">
        <v>3.3069743658050288</v>
      </c>
      <c r="FB56">
        <v>-106.7418807573638</v>
      </c>
      <c r="FC56">
        <v>15183.623076923081</v>
      </c>
      <c r="FD56">
        <v>15</v>
      </c>
      <c r="FE56">
        <v>1689006833.0999999</v>
      </c>
      <c r="FF56" t="s">
        <v>626</v>
      </c>
      <c r="FG56">
        <v>1689006828.5999999</v>
      </c>
      <c r="FH56">
        <v>1689006833.0999999</v>
      </c>
      <c r="FI56">
        <v>44</v>
      </c>
      <c r="FJ56">
        <v>-7.6999999999999999E-2</v>
      </c>
      <c r="FK56">
        <v>1E-3</v>
      </c>
      <c r="FL56">
        <v>-0.54800000000000004</v>
      </c>
      <c r="FM56">
        <v>4.1000000000000002E-2</v>
      </c>
      <c r="FN56">
        <v>400</v>
      </c>
      <c r="FO56">
        <v>22</v>
      </c>
      <c r="FP56">
        <v>0.08</v>
      </c>
      <c r="FQ56">
        <v>0.02</v>
      </c>
      <c r="FR56">
        <v>47.77547109499185</v>
      </c>
      <c r="FS56">
        <v>-0.68275934193145094</v>
      </c>
      <c r="FT56">
        <v>9.1090250725924443E-2</v>
      </c>
      <c r="FU56">
        <v>1</v>
      </c>
      <c r="FV56">
        <v>0.39475108509282492</v>
      </c>
      <c r="FW56">
        <v>4.1404549887082268E-2</v>
      </c>
      <c r="FX56">
        <v>3.5161588246566669E-3</v>
      </c>
      <c r="FY56">
        <v>1</v>
      </c>
      <c r="FZ56">
        <v>2</v>
      </c>
      <c r="GA56">
        <v>2</v>
      </c>
      <c r="GB56" t="s">
        <v>424</v>
      </c>
      <c r="GC56">
        <v>3.1179800000000002</v>
      </c>
      <c r="GD56">
        <v>2.7672300000000001</v>
      </c>
      <c r="GE56">
        <v>7.8540899999999997E-2</v>
      </c>
      <c r="GF56">
        <v>8.9005500000000001E-2</v>
      </c>
      <c r="GG56">
        <v>0.121324</v>
      </c>
      <c r="GH56">
        <v>0.101978</v>
      </c>
      <c r="GI56">
        <v>22085.1</v>
      </c>
      <c r="GJ56">
        <v>22626.7</v>
      </c>
      <c r="GK56">
        <v>23823.599999999999</v>
      </c>
      <c r="GL56">
        <v>25143.599999999999</v>
      </c>
      <c r="GM56">
        <v>30160.7</v>
      </c>
      <c r="GN56">
        <v>31664</v>
      </c>
      <c r="GO56">
        <v>37963.300000000003</v>
      </c>
      <c r="GP56">
        <v>39110.6</v>
      </c>
      <c r="GQ56">
        <v>2.1572300000000002</v>
      </c>
      <c r="GR56">
        <v>1.74163</v>
      </c>
      <c r="GS56">
        <v>4.0225700000000003E-2</v>
      </c>
      <c r="GT56">
        <v>0</v>
      </c>
      <c r="GU56">
        <v>29.334800000000001</v>
      </c>
      <c r="GV56">
        <v>999.9</v>
      </c>
      <c r="GW56">
        <v>30.1</v>
      </c>
      <c r="GX56">
        <v>45</v>
      </c>
      <c r="GY56">
        <v>29.283200000000001</v>
      </c>
      <c r="GZ56">
        <v>60.938099999999999</v>
      </c>
      <c r="HA56">
        <v>28.269200000000001</v>
      </c>
      <c r="HB56">
        <v>1</v>
      </c>
      <c r="HC56">
        <v>0.45940500000000001</v>
      </c>
      <c r="HD56">
        <v>1.85649</v>
      </c>
      <c r="HE56">
        <v>20.308499999999999</v>
      </c>
      <c r="HF56">
        <v>5.2524800000000003</v>
      </c>
      <c r="HG56">
        <v>12.0099</v>
      </c>
      <c r="HH56">
        <v>4.9793500000000002</v>
      </c>
      <c r="HI56">
        <v>3.2930000000000001</v>
      </c>
      <c r="HJ56">
        <v>9999</v>
      </c>
      <c r="HK56">
        <v>9999</v>
      </c>
      <c r="HL56">
        <v>9999</v>
      </c>
      <c r="HM56">
        <v>233.4</v>
      </c>
      <c r="HN56">
        <v>1.8755900000000001</v>
      </c>
      <c r="HO56">
        <v>1.8766799999999999</v>
      </c>
      <c r="HP56">
        <v>1.8826400000000001</v>
      </c>
      <c r="HQ56">
        <v>1.8858900000000001</v>
      </c>
      <c r="HR56">
        <v>1.87669</v>
      </c>
      <c r="HS56">
        <v>1.8830899999999999</v>
      </c>
      <c r="HT56">
        <v>1.88202</v>
      </c>
      <c r="HU56">
        <v>1.8855299999999999</v>
      </c>
      <c r="HV56">
        <v>0</v>
      </c>
      <c r="HW56">
        <v>0</v>
      </c>
      <c r="HX56">
        <v>0</v>
      </c>
      <c r="HY56">
        <v>0</v>
      </c>
      <c r="HZ56" t="s">
        <v>425</v>
      </c>
      <c r="IA56" t="s">
        <v>426</v>
      </c>
      <c r="IB56" t="s">
        <v>427</v>
      </c>
      <c r="IC56" t="s">
        <v>427</v>
      </c>
      <c r="ID56" t="s">
        <v>427</v>
      </c>
      <c r="IE56" t="s">
        <v>427</v>
      </c>
      <c r="IF56">
        <v>0</v>
      </c>
      <c r="IG56">
        <v>100</v>
      </c>
      <c r="IH56">
        <v>100</v>
      </c>
      <c r="II56">
        <v>-0.54500000000000004</v>
      </c>
      <c r="IJ56">
        <v>5.0099999999999999E-2</v>
      </c>
      <c r="IK56">
        <v>-0.46295358773388112</v>
      </c>
      <c r="IL56">
        <v>-4.2852564239613137E-4</v>
      </c>
      <c r="IM56">
        <v>6.4980710991155998E-7</v>
      </c>
      <c r="IN56">
        <v>-2.7237938963984961E-10</v>
      </c>
      <c r="IO56">
        <v>-9.1988463194678707E-3</v>
      </c>
      <c r="IP56">
        <v>6.6907473102813496E-3</v>
      </c>
      <c r="IQ56">
        <v>-3.3673306238274028E-4</v>
      </c>
      <c r="IR56">
        <v>6.1311374003140313E-6</v>
      </c>
      <c r="IS56">
        <v>3</v>
      </c>
      <c r="IT56">
        <v>2101</v>
      </c>
      <c r="IU56">
        <v>1</v>
      </c>
      <c r="IV56">
        <v>32</v>
      </c>
      <c r="IW56">
        <v>0.6</v>
      </c>
      <c r="IX56">
        <v>0.5</v>
      </c>
      <c r="IY56">
        <v>1.01562</v>
      </c>
      <c r="IZ56">
        <v>2.7197300000000002</v>
      </c>
      <c r="JA56">
        <v>1.6003400000000001</v>
      </c>
      <c r="JB56">
        <v>2.3315399999999999</v>
      </c>
      <c r="JC56">
        <v>1.5502899999999999</v>
      </c>
      <c r="JD56">
        <v>2.4584999999999999</v>
      </c>
      <c r="JE56">
        <v>48.639699999999998</v>
      </c>
      <c r="JF56">
        <v>24.14</v>
      </c>
      <c r="JG56">
        <v>18</v>
      </c>
      <c r="JH56">
        <v>596.43499999999995</v>
      </c>
      <c r="JI56">
        <v>383.06700000000001</v>
      </c>
      <c r="JJ56">
        <v>27.720199999999998</v>
      </c>
      <c r="JK56">
        <v>33.080199999999998</v>
      </c>
      <c r="JL56">
        <v>30.0001</v>
      </c>
      <c r="JM56">
        <v>33.215400000000002</v>
      </c>
      <c r="JN56">
        <v>33.212000000000003</v>
      </c>
      <c r="JO56">
        <v>20.3049</v>
      </c>
      <c r="JP56">
        <v>28.601600000000001</v>
      </c>
      <c r="JQ56">
        <v>0</v>
      </c>
      <c r="JR56">
        <v>27.720400000000001</v>
      </c>
      <c r="JS56">
        <v>400</v>
      </c>
      <c r="JT56">
        <v>22.053699999999999</v>
      </c>
      <c r="JU56">
        <v>99.0304</v>
      </c>
      <c r="JV56">
        <v>98.994799999999998</v>
      </c>
    </row>
    <row r="57" spans="1:282" x14ac:dyDescent="0.25">
      <c r="A57">
        <v>41</v>
      </c>
      <c r="B57">
        <v>1689007005.5999999</v>
      </c>
      <c r="C57">
        <v>7183</v>
      </c>
      <c r="D57" t="s">
        <v>627</v>
      </c>
      <c r="E57" t="s">
        <v>628</v>
      </c>
      <c r="F57" t="s">
        <v>414</v>
      </c>
      <c r="G57" t="s">
        <v>415</v>
      </c>
      <c r="H57" t="s">
        <v>577</v>
      </c>
      <c r="I57" t="s">
        <v>578</v>
      </c>
      <c r="J57" t="s">
        <v>416</v>
      </c>
      <c r="K57">
        <v>1689007005.5999999</v>
      </c>
      <c r="L57">
        <f t="shared" si="46"/>
        <v>5.3040941361949942E-3</v>
      </c>
      <c r="M57">
        <f t="shared" si="47"/>
        <v>5.304094136194994</v>
      </c>
      <c r="N57">
        <f t="shared" si="48"/>
        <v>50.069099278664723</v>
      </c>
      <c r="O57">
        <f t="shared" si="49"/>
        <v>437.33800000000002</v>
      </c>
      <c r="P57">
        <f t="shared" si="50"/>
        <v>205.39997130530381</v>
      </c>
      <c r="Q57">
        <f t="shared" si="51"/>
        <v>20.370866562918184</v>
      </c>
      <c r="R57">
        <f t="shared" si="52"/>
        <v>43.373686881637198</v>
      </c>
      <c r="S57">
        <f t="shared" si="53"/>
        <v>0.37915040378916298</v>
      </c>
      <c r="T57">
        <f t="shared" si="54"/>
        <v>2.914844142270923</v>
      </c>
      <c r="U57">
        <f t="shared" si="55"/>
        <v>0.35372819148025242</v>
      </c>
      <c r="V57">
        <f t="shared" si="56"/>
        <v>0.22322199995573128</v>
      </c>
      <c r="W57">
        <f t="shared" si="57"/>
        <v>289.5419513268759</v>
      </c>
      <c r="X57">
        <f t="shared" si="58"/>
        <v>30.564667607061779</v>
      </c>
      <c r="Y57">
        <f t="shared" si="59"/>
        <v>30.010999999999999</v>
      </c>
      <c r="Z57">
        <f t="shared" si="60"/>
        <v>4.2631423978423246</v>
      </c>
      <c r="AA57">
        <f t="shared" si="61"/>
        <v>65.513103208807124</v>
      </c>
      <c r="AB57">
        <f t="shared" si="62"/>
        <v>2.8291805275699797</v>
      </c>
      <c r="AC57">
        <f t="shared" si="63"/>
        <v>4.3184956733810234</v>
      </c>
      <c r="AD57">
        <f t="shared" si="64"/>
        <v>1.4339618702723449</v>
      </c>
      <c r="AE57">
        <f t="shared" si="65"/>
        <v>-233.91055140619923</v>
      </c>
      <c r="AF57">
        <f t="shared" si="66"/>
        <v>35.32621339909543</v>
      </c>
      <c r="AG57">
        <f t="shared" si="67"/>
        <v>2.6980587895484902</v>
      </c>
      <c r="AH57">
        <f t="shared" si="68"/>
        <v>93.655672109320591</v>
      </c>
      <c r="AI57">
        <v>0</v>
      </c>
      <c r="AJ57">
        <v>0</v>
      </c>
      <c r="AK57">
        <f t="shared" si="69"/>
        <v>1</v>
      </c>
      <c r="AL57">
        <f t="shared" si="70"/>
        <v>0</v>
      </c>
      <c r="AM57">
        <f t="shared" si="71"/>
        <v>51873.764183554216</v>
      </c>
      <c r="AN57" t="s">
        <v>419</v>
      </c>
      <c r="AO57">
        <v>9967.0300000000007</v>
      </c>
      <c r="AP57">
        <v>178.94153846153841</v>
      </c>
      <c r="AQ57">
        <v>603.15</v>
      </c>
      <c r="AR57">
        <f t="shared" si="72"/>
        <v>0.7033216638290003</v>
      </c>
      <c r="AS57">
        <v>-3.2649104154664181</v>
      </c>
      <c r="AT57" t="s">
        <v>629</v>
      </c>
      <c r="AU57">
        <v>8057.23</v>
      </c>
      <c r="AV57">
        <v>713.61127999999997</v>
      </c>
      <c r="AW57">
        <v>1134.9133128812671</v>
      </c>
      <c r="AX57">
        <f t="shared" si="73"/>
        <v>0.37121957078085932</v>
      </c>
      <c r="AY57">
        <v>0.5</v>
      </c>
      <c r="AZ57">
        <f t="shared" si="74"/>
        <v>1513.058399651231</v>
      </c>
      <c r="BA57">
        <f t="shared" si="75"/>
        <v>50.069099278664723</v>
      </c>
      <c r="BB57">
        <f t="shared" si="76"/>
        <v>280.83844484245191</v>
      </c>
      <c r="BC57">
        <f t="shared" si="77"/>
        <v>3.5249141544321717E-2</v>
      </c>
      <c r="BD57">
        <f t="shared" si="78"/>
        <v>-0.46854971815534546</v>
      </c>
      <c r="BE57">
        <f t="shared" si="79"/>
        <v>207.83195771214014</v>
      </c>
      <c r="BF57" t="s">
        <v>630</v>
      </c>
      <c r="BG57">
        <v>549.5</v>
      </c>
      <c r="BH57">
        <f t="shared" si="80"/>
        <v>549.5</v>
      </c>
      <c r="BI57">
        <f t="shared" si="81"/>
        <v>0.51582205110894863</v>
      </c>
      <c r="BJ57">
        <f t="shared" si="82"/>
        <v>0.71966595841101955</v>
      </c>
      <c r="BK57">
        <f t="shared" si="83"/>
        <v>-9.9117113304989246</v>
      </c>
      <c r="BL57">
        <f t="shared" si="84"/>
        <v>0.44070551469680774</v>
      </c>
      <c r="BM57">
        <f t="shared" si="85"/>
        <v>-1.2535424469204133</v>
      </c>
      <c r="BN57">
        <f t="shared" si="86"/>
        <v>0.55416226625068943</v>
      </c>
      <c r="BO57">
        <f t="shared" si="87"/>
        <v>0.44583773374931057</v>
      </c>
      <c r="BP57">
        <v>6117</v>
      </c>
      <c r="BQ57">
        <v>290.00000000000011</v>
      </c>
      <c r="BR57">
        <v>997.59</v>
      </c>
      <c r="BS57">
        <v>295</v>
      </c>
      <c r="BT57">
        <v>8057.23</v>
      </c>
      <c r="BU57">
        <v>1000.06</v>
      </c>
      <c r="BV57">
        <v>-2.4700000000000002</v>
      </c>
      <c r="BW57">
        <v>300.00000000000011</v>
      </c>
      <c r="BX57">
        <v>19.3</v>
      </c>
      <c r="BY57">
        <v>1134.9133128812671</v>
      </c>
      <c r="BZ57">
        <v>5.2499852700029521</v>
      </c>
      <c r="CA57">
        <v>-108.6536043267873</v>
      </c>
      <c r="CB57">
        <v>3.8860799006089208</v>
      </c>
      <c r="CC57">
        <v>0.96542119067144727</v>
      </c>
      <c r="CD57">
        <v>-4.1573701890989974E-3</v>
      </c>
      <c r="CE57">
        <v>289.99999999999989</v>
      </c>
      <c r="CF57">
        <v>993.85</v>
      </c>
      <c r="CG57">
        <v>635</v>
      </c>
      <c r="CH57">
        <v>8048.84</v>
      </c>
      <c r="CI57">
        <v>999.92</v>
      </c>
      <c r="CJ57">
        <v>-6.07</v>
      </c>
      <c r="CX57">
        <f t="shared" si="88"/>
        <v>1799.85</v>
      </c>
      <c r="CY57">
        <f t="shared" si="89"/>
        <v>1513.058399651231</v>
      </c>
      <c r="CZ57">
        <f t="shared" si="90"/>
        <v>0.84065805464412646</v>
      </c>
      <c r="DA57">
        <f t="shared" si="91"/>
        <v>0.16087004546316411</v>
      </c>
      <c r="DB57">
        <v>6</v>
      </c>
      <c r="DC57">
        <v>0.5</v>
      </c>
      <c r="DD57" t="s">
        <v>422</v>
      </c>
      <c r="DE57">
        <v>2</v>
      </c>
      <c r="DF57">
        <v>1689007005.5999999</v>
      </c>
      <c r="DG57">
        <v>437.33800000000002</v>
      </c>
      <c r="DH57">
        <v>500.19799999999998</v>
      </c>
      <c r="DI57">
        <v>28.526700000000002</v>
      </c>
      <c r="DJ57">
        <v>22.344000000000001</v>
      </c>
      <c r="DK57">
        <v>437.79599999999999</v>
      </c>
      <c r="DL57">
        <v>28.4758</v>
      </c>
      <c r="DM57">
        <v>500.05200000000002</v>
      </c>
      <c r="DN57">
        <v>99.076899999999995</v>
      </c>
      <c r="DO57">
        <v>9.9679400000000001E-2</v>
      </c>
      <c r="DP57">
        <v>30.235800000000001</v>
      </c>
      <c r="DQ57">
        <v>30.010999999999999</v>
      </c>
      <c r="DR57">
        <v>999.9</v>
      </c>
      <c r="DS57">
        <v>0</v>
      </c>
      <c r="DT57">
        <v>0</v>
      </c>
      <c r="DU57">
        <v>10008.799999999999</v>
      </c>
      <c r="DV57">
        <v>0</v>
      </c>
      <c r="DW57">
        <v>2092.52</v>
      </c>
      <c r="DX57">
        <v>-62.860399999999998</v>
      </c>
      <c r="DY57">
        <v>450.18</v>
      </c>
      <c r="DZ57">
        <v>511.63</v>
      </c>
      <c r="EA57">
        <v>6.1827699999999997</v>
      </c>
      <c r="EB57">
        <v>500.19799999999998</v>
      </c>
      <c r="EC57">
        <v>22.344000000000001</v>
      </c>
      <c r="ED57">
        <v>2.8263400000000001</v>
      </c>
      <c r="EE57">
        <v>2.2137699999999998</v>
      </c>
      <c r="EF57">
        <v>23.038699999999999</v>
      </c>
      <c r="EG57">
        <v>19.0623</v>
      </c>
      <c r="EH57">
        <v>1799.85</v>
      </c>
      <c r="EI57">
        <v>0.97800600000000004</v>
      </c>
      <c r="EJ57">
        <v>2.1994099999999999E-2</v>
      </c>
      <c r="EK57">
        <v>0</v>
      </c>
      <c r="EL57">
        <v>714.26099999999997</v>
      </c>
      <c r="EM57">
        <v>5.0005300000000004</v>
      </c>
      <c r="EN57">
        <v>15308.2</v>
      </c>
      <c r="EO57">
        <v>16034</v>
      </c>
      <c r="EP57">
        <v>47.25</v>
      </c>
      <c r="EQ57">
        <v>48.936999999999998</v>
      </c>
      <c r="ER57">
        <v>47.811999999999998</v>
      </c>
      <c r="ES57">
        <v>48.186999999999998</v>
      </c>
      <c r="ET57">
        <v>48.686999999999998</v>
      </c>
      <c r="EU57">
        <v>1755.37</v>
      </c>
      <c r="EV57">
        <v>39.479999999999997</v>
      </c>
      <c r="EW57">
        <v>0</v>
      </c>
      <c r="EX57">
        <v>141.79999995231631</v>
      </c>
      <c r="EY57">
        <v>0</v>
      </c>
      <c r="EZ57">
        <v>713.61127999999997</v>
      </c>
      <c r="FA57">
        <v>2.696769241609331</v>
      </c>
      <c r="FB57">
        <v>-346.79230870837091</v>
      </c>
      <c r="FC57">
        <v>15326.688</v>
      </c>
      <c r="FD57">
        <v>15</v>
      </c>
      <c r="FE57">
        <v>1689006974.5999999</v>
      </c>
      <c r="FF57" t="s">
        <v>631</v>
      </c>
      <c r="FG57">
        <v>1689006969.5999999</v>
      </c>
      <c r="FH57">
        <v>1689006974.5999999</v>
      </c>
      <c r="FI57">
        <v>45</v>
      </c>
      <c r="FJ57">
        <v>9.0999999999999998E-2</v>
      </c>
      <c r="FK57">
        <v>1E-3</v>
      </c>
      <c r="FL57">
        <v>-0.45800000000000002</v>
      </c>
      <c r="FM57">
        <v>4.2000000000000003E-2</v>
      </c>
      <c r="FN57">
        <v>500</v>
      </c>
      <c r="FO57">
        <v>22</v>
      </c>
      <c r="FP57">
        <v>0.05</v>
      </c>
      <c r="FQ57">
        <v>0.02</v>
      </c>
      <c r="FR57">
        <v>50.052021305055867</v>
      </c>
      <c r="FS57">
        <v>-0.20471419953875519</v>
      </c>
      <c r="FT57">
        <v>8.9423427936170127E-2</v>
      </c>
      <c r="FU57">
        <v>1</v>
      </c>
      <c r="FV57">
        <v>0.3770076487671043</v>
      </c>
      <c r="FW57">
        <v>2.2695490200696469E-2</v>
      </c>
      <c r="FX57">
        <v>1.8309846022368369E-3</v>
      </c>
      <c r="FY57">
        <v>1</v>
      </c>
      <c r="FZ57">
        <v>2</v>
      </c>
      <c r="GA57">
        <v>2</v>
      </c>
      <c r="GB57" t="s">
        <v>424</v>
      </c>
      <c r="GC57">
        <v>3.1179600000000001</v>
      </c>
      <c r="GD57">
        <v>2.7670599999999999</v>
      </c>
      <c r="GE57">
        <v>9.52408E-2</v>
      </c>
      <c r="GF57">
        <v>0.10513599999999999</v>
      </c>
      <c r="GG57">
        <v>0.12098399999999999</v>
      </c>
      <c r="GH57">
        <v>0.10224900000000001</v>
      </c>
      <c r="GI57">
        <v>21686.1</v>
      </c>
      <c r="GJ57">
        <v>22227.3</v>
      </c>
      <c r="GK57">
        <v>23824.9</v>
      </c>
      <c r="GL57">
        <v>25145.1</v>
      </c>
      <c r="GM57">
        <v>30174.799999999999</v>
      </c>
      <c r="GN57">
        <v>31656.1</v>
      </c>
      <c r="GO57">
        <v>37966.300000000003</v>
      </c>
      <c r="GP57">
        <v>39112.6</v>
      </c>
      <c r="GQ57">
        <v>2.1566700000000001</v>
      </c>
      <c r="GR57">
        <v>1.7414000000000001</v>
      </c>
      <c r="GS57">
        <v>2.6613499999999998E-2</v>
      </c>
      <c r="GT57">
        <v>0</v>
      </c>
      <c r="GU57">
        <v>29.5778</v>
      </c>
      <c r="GV57">
        <v>999.9</v>
      </c>
      <c r="GW57">
        <v>30</v>
      </c>
      <c r="GX57">
        <v>45.1</v>
      </c>
      <c r="GY57">
        <v>29.334700000000002</v>
      </c>
      <c r="GZ57">
        <v>60.368099999999998</v>
      </c>
      <c r="HA57">
        <v>27.964700000000001</v>
      </c>
      <c r="HB57">
        <v>1</v>
      </c>
      <c r="HC57">
        <v>0.46024100000000001</v>
      </c>
      <c r="HD57">
        <v>2.4153600000000002</v>
      </c>
      <c r="HE57">
        <v>20.300999999999998</v>
      </c>
      <c r="HF57">
        <v>5.2500900000000001</v>
      </c>
      <c r="HG57">
        <v>12.0099</v>
      </c>
      <c r="HH57">
        <v>4.9791499999999997</v>
      </c>
      <c r="HI57">
        <v>3.2930000000000001</v>
      </c>
      <c r="HJ57">
        <v>9999</v>
      </c>
      <c r="HK57">
        <v>9999</v>
      </c>
      <c r="HL57">
        <v>9999</v>
      </c>
      <c r="HM57">
        <v>233.4</v>
      </c>
      <c r="HN57">
        <v>1.87561</v>
      </c>
      <c r="HO57">
        <v>1.8766799999999999</v>
      </c>
      <c r="HP57">
        <v>1.88263</v>
      </c>
      <c r="HQ57">
        <v>1.8859699999999999</v>
      </c>
      <c r="HR57">
        <v>1.8767400000000001</v>
      </c>
      <c r="HS57">
        <v>1.8830899999999999</v>
      </c>
      <c r="HT57">
        <v>1.8820399999999999</v>
      </c>
      <c r="HU57">
        <v>1.8855500000000001</v>
      </c>
      <c r="HV57">
        <v>0</v>
      </c>
      <c r="HW57">
        <v>0</v>
      </c>
      <c r="HX57">
        <v>0</v>
      </c>
      <c r="HY57">
        <v>0</v>
      </c>
      <c r="HZ57" t="s">
        <v>425</v>
      </c>
      <c r="IA57" t="s">
        <v>426</v>
      </c>
      <c r="IB57" t="s">
        <v>427</v>
      </c>
      <c r="IC57" t="s">
        <v>427</v>
      </c>
      <c r="ID57" t="s">
        <v>427</v>
      </c>
      <c r="IE57" t="s">
        <v>427</v>
      </c>
      <c r="IF57">
        <v>0</v>
      </c>
      <c r="IG57">
        <v>100</v>
      </c>
      <c r="IH57">
        <v>100</v>
      </c>
      <c r="II57">
        <v>-0.45800000000000002</v>
      </c>
      <c r="IJ57">
        <v>5.0900000000000001E-2</v>
      </c>
      <c r="IK57">
        <v>-0.37210274649184771</v>
      </c>
      <c r="IL57">
        <v>-4.2852564239613137E-4</v>
      </c>
      <c r="IM57">
        <v>6.4980710991155998E-7</v>
      </c>
      <c r="IN57">
        <v>-2.7237938963984961E-10</v>
      </c>
      <c r="IO57">
        <v>-8.1095623080715048E-3</v>
      </c>
      <c r="IP57">
        <v>6.6907473102813496E-3</v>
      </c>
      <c r="IQ57">
        <v>-3.3673306238274028E-4</v>
      </c>
      <c r="IR57">
        <v>6.1311374003140313E-6</v>
      </c>
      <c r="IS57">
        <v>3</v>
      </c>
      <c r="IT57">
        <v>2101</v>
      </c>
      <c r="IU57">
        <v>1</v>
      </c>
      <c r="IV57">
        <v>32</v>
      </c>
      <c r="IW57">
        <v>0.6</v>
      </c>
      <c r="IX57">
        <v>0.5</v>
      </c>
      <c r="IY57">
        <v>1.2158199999999999</v>
      </c>
      <c r="IZ57">
        <v>2.7148400000000001</v>
      </c>
      <c r="JA57">
        <v>1.6015600000000001</v>
      </c>
      <c r="JB57">
        <v>2.3315399999999999</v>
      </c>
      <c r="JC57">
        <v>1.5502899999999999</v>
      </c>
      <c r="JD57">
        <v>2.34619</v>
      </c>
      <c r="JE57">
        <v>48.7637</v>
      </c>
      <c r="JF57">
        <v>24.1313</v>
      </c>
      <c r="JG57">
        <v>18</v>
      </c>
      <c r="JH57">
        <v>596.16499999999996</v>
      </c>
      <c r="JI57">
        <v>383.03</v>
      </c>
      <c r="JJ57">
        <v>27.373100000000001</v>
      </c>
      <c r="JK57">
        <v>33.092100000000002</v>
      </c>
      <c r="JL57">
        <v>30.000599999999999</v>
      </c>
      <c r="JM57">
        <v>33.228400000000001</v>
      </c>
      <c r="JN57">
        <v>33.227800000000002</v>
      </c>
      <c r="JO57">
        <v>24.320900000000002</v>
      </c>
      <c r="JP57">
        <v>28.831499999999998</v>
      </c>
      <c r="JQ57">
        <v>0</v>
      </c>
      <c r="JR57">
        <v>27.35</v>
      </c>
      <c r="JS57">
        <v>500</v>
      </c>
      <c r="JT57">
        <v>22.212700000000002</v>
      </c>
      <c r="JU57">
        <v>99.037400000000005</v>
      </c>
      <c r="JV57">
        <v>99.000299999999996</v>
      </c>
    </row>
    <row r="58" spans="1:282" x14ac:dyDescent="0.25">
      <c r="A58">
        <v>42</v>
      </c>
      <c r="B58">
        <v>1689007114.0999999</v>
      </c>
      <c r="C58">
        <v>7291.5</v>
      </c>
      <c r="D58" t="s">
        <v>632</v>
      </c>
      <c r="E58" t="s">
        <v>633</v>
      </c>
      <c r="F58" t="s">
        <v>414</v>
      </c>
      <c r="G58" t="s">
        <v>415</v>
      </c>
      <c r="H58" t="s">
        <v>577</v>
      </c>
      <c r="I58" t="s">
        <v>578</v>
      </c>
      <c r="J58" t="s">
        <v>416</v>
      </c>
      <c r="K58">
        <v>1689007114.0999999</v>
      </c>
      <c r="L58">
        <f t="shared" si="46"/>
        <v>4.9721345193661374E-3</v>
      </c>
      <c r="M58">
        <f t="shared" si="47"/>
        <v>4.9721345193661373</v>
      </c>
      <c r="N58">
        <f t="shared" si="48"/>
        <v>51.287832970674955</v>
      </c>
      <c r="O58">
        <f t="shared" si="49"/>
        <v>634.71400000000006</v>
      </c>
      <c r="P58">
        <f t="shared" si="50"/>
        <v>375.2876765710775</v>
      </c>
      <c r="Q58">
        <f t="shared" si="51"/>
        <v>37.221145774715609</v>
      </c>
      <c r="R58">
        <f t="shared" si="52"/>
        <v>62.951127346113211</v>
      </c>
      <c r="S58">
        <f t="shared" si="53"/>
        <v>0.35070400205005087</v>
      </c>
      <c r="T58">
        <f t="shared" si="54"/>
        <v>2.9155526055679379</v>
      </c>
      <c r="U58">
        <f t="shared" si="55"/>
        <v>0.32884034239943455</v>
      </c>
      <c r="V58">
        <f t="shared" si="56"/>
        <v>0.20737589138969187</v>
      </c>
      <c r="W58">
        <f t="shared" si="57"/>
        <v>289.53716332686463</v>
      </c>
      <c r="X58">
        <f t="shared" si="58"/>
        <v>30.678179234370663</v>
      </c>
      <c r="Y58">
        <f t="shared" si="59"/>
        <v>30.046500000000002</v>
      </c>
      <c r="Z58">
        <f t="shared" si="60"/>
        <v>4.2718423535223184</v>
      </c>
      <c r="AA58">
        <f t="shared" si="61"/>
        <v>65.334966501404494</v>
      </c>
      <c r="AB58">
        <f t="shared" si="62"/>
        <v>2.8258749699607399</v>
      </c>
      <c r="AC58">
        <f t="shared" si="63"/>
        <v>4.3252107122454744</v>
      </c>
      <c r="AD58">
        <f t="shared" si="64"/>
        <v>1.4459673835615785</v>
      </c>
      <c r="AE58">
        <f t="shared" si="65"/>
        <v>-219.27113230404666</v>
      </c>
      <c r="AF58">
        <f t="shared" si="66"/>
        <v>34.014460076245811</v>
      </c>
      <c r="AG58">
        <f t="shared" si="67"/>
        <v>2.5980462630737242</v>
      </c>
      <c r="AH58">
        <f t="shared" si="68"/>
        <v>106.87853736213752</v>
      </c>
      <c r="AI58">
        <v>0</v>
      </c>
      <c r="AJ58">
        <v>0</v>
      </c>
      <c r="AK58">
        <f t="shared" si="69"/>
        <v>1</v>
      </c>
      <c r="AL58">
        <f t="shared" si="70"/>
        <v>0</v>
      </c>
      <c r="AM58">
        <f t="shared" si="71"/>
        <v>51889.347582330178</v>
      </c>
      <c r="AN58" t="s">
        <v>419</v>
      </c>
      <c r="AO58">
        <v>9967.0300000000007</v>
      </c>
      <c r="AP58">
        <v>178.94153846153841</v>
      </c>
      <c r="AQ58">
        <v>603.15</v>
      </c>
      <c r="AR58">
        <f t="shared" si="72"/>
        <v>0.7033216638290003</v>
      </c>
      <c r="AS58">
        <v>-3.2649104154664181</v>
      </c>
      <c r="AT58" t="s">
        <v>634</v>
      </c>
      <c r="AU58">
        <v>8057.35</v>
      </c>
      <c r="AV58">
        <v>716.98765384615388</v>
      </c>
      <c r="AW58">
        <v>1163.5426736474849</v>
      </c>
      <c r="AX58">
        <f t="shared" si="73"/>
        <v>0.38378912085919981</v>
      </c>
      <c r="AY58">
        <v>0.5</v>
      </c>
      <c r="AZ58">
        <f t="shared" si="74"/>
        <v>1513.033199651225</v>
      </c>
      <c r="BA58">
        <f t="shared" si="75"/>
        <v>51.287832970674955</v>
      </c>
      <c r="BB58">
        <f t="shared" si="76"/>
        <v>290.34284076246291</v>
      </c>
      <c r="BC58">
        <f t="shared" si="77"/>
        <v>3.6055219012191227E-2</v>
      </c>
      <c r="BD58">
        <f t="shared" si="78"/>
        <v>-0.48162623197201743</v>
      </c>
      <c r="BE58">
        <f t="shared" si="79"/>
        <v>208.7726608655453</v>
      </c>
      <c r="BF58" t="s">
        <v>635</v>
      </c>
      <c r="BG58">
        <v>548.53</v>
      </c>
      <c r="BH58">
        <f t="shared" si="80"/>
        <v>548.53</v>
      </c>
      <c r="BI58">
        <f t="shared" si="81"/>
        <v>0.52856907406716525</v>
      </c>
      <c r="BJ58">
        <f t="shared" si="82"/>
        <v>0.72609076029754949</v>
      </c>
      <c r="BK58">
        <f t="shared" si="83"/>
        <v>-10.259843896878156</v>
      </c>
      <c r="BL58">
        <f t="shared" si="84"/>
        <v>0.45353900563703597</v>
      </c>
      <c r="BM58">
        <f t="shared" si="85"/>
        <v>-1.321031342974935</v>
      </c>
      <c r="BN58">
        <f t="shared" si="86"/>
        <v>0.55549431375770308</v>
      </c>
      <c r="BO58">
        <f t="shared" si="87"/>
        <v>0.44450568624229692</v>
      </c>
      <c r="BP58">
        <v>6119</v>
      </c>
      <c r="BQ58">
        <v>290.00000000000011</v>
      </c>
      <c r="BR58">
        <v>1009.54</v>
      </c>
      <c r="BS58">
        <v>295</v>
      </c>
      <c r="BT58">
        <v>8057.35</v>
      </c>
      <c r="BU58">
        <v>1012.41</v>
      </c>
      <c r="BV58">
        <v>-2.87</v>
      </c>
      <c r="BW58">
        <v>300.00000000000011</v>
      </c>
      <c r="BX58">
        <v>19.3</v>
      </c>
      <c r="BY58">
        <v>1163.5426736474849</v>
      </c>
      <c r="BZ58">
        <v>4.7843370332609627</v>
      </c>
      <c r="CA58">
        <v>-121.77492889412321</v>
      </c>
      <c r="CB58">
        <v>3.5414471228682931</v>
      </c>
      <c r="CC58">
        <v>0.97686662189806761</v>
      </c>
      <c r="CD58">
        <v>-4.1576453837597442E-3</v>
      </c>
      <c r="CE58">
        <v>289.99999999999989</v>
      </c>
      <c r="CF58">
        <v>1005.15</v>
      </c>
      <c r="CG58">
        <v>635</v>
      </c>
      <c r="CH58">
        <v>8048.95</v>
      </c>
      <c r="CI58">
        <v>1012.25</v>
      </c>
      <c r="CJ58">
        <v>-7.1</v>
      </c>
      <c r="CX58">
        <f t="shared" si="88"/>
        <v>1799.82</v>
      </c>
      <c r="CY58">
        <f t="shared" si="89"/>
        <v>1513.033199651225</v>
      </c>
      <c r="CZ58">
        <f t="shared" si="90"/>
        <v>0.84065806561279743</v>
      </c>
      <c r="DA58">
        <f t="shared" si="91"/>
        <v>0.16087006663269918</v>
      </c>
      <c r="DB58">
        <v>6</v>
      </c>
      <c r="DC58">
        <v>0.5</v>
      </c>
      <c r="DD58" t="s">
        <v>422</v>
      </c>
      <c r="DE58">
        <v>2</v>
      </c>
      <c r="DF58">
        <v>1689007114.0999999</v>
      </c>
      <c r="DG58">
        <v>634.71400000000006</v>
      </c>
      <c r="DH58">
        <v>700.03</v>
      </c>
      <c r="DI58">
        <v>28.4923</v>
      </c>
      <c r="DJ58">
        <v>22.697199999999999</v>
      </c>
      <c r="DK58">
        <v>635.42200000000003</v>
      </c>
      <c r="DL58">
        <v>28.445699999999999</v>
      </c>
      <c r="DM58">
        <v>500.12599999999998</v>
      </c>
      <c r="DN58">
        <v>99.080399999999997</v>
      </c>
      <c r="DO58">
        <v>9.9903800000000001E-2</v>
      </c>
      <c r="DP58">
        <v>30.262899999999998</v>
      </c>
      <c r="DQ58">
        <v>30.046500000000002</v>
      </c>
      <c r="DR58">
        <v>999.9</v>
      </c>
      <c r="DS58">
        <v>0</v>
      </c>
      <c r="DT58">
        <v>0</v>
      </c>
      <c r="DU58">
        <v>10012.5</v>
      </c>
      <c r="DV58">
        <v>0</v>
      </c>
      <c r="DW58">
        <v>2080.7600000000002</v>
      </c>
      <c r="DX58">
        <v>-65.316900000000004</v>
      </c>
      <c r="DY58">
        <v>653.32799999999997</v>
      </c>
      <c r="DZ58">
        <v>716.28800000000001</v>
      </c>
      <c r="EA58">
        <v>5.7950600000000003</v>
      </c>
      <c r="EB58">
        <v>700.03</v>
      </c>
      <c r="EC58">
        <v>22.697199999999999</v>
      </c>
      <c r="ED58">
        <v>2.8230300000000002</v>
      </c>
      <c r="EE58">
        <v>2.24885</v>
      </c>
      <c r="EF58">
        <v>23.019300000000001</v>
      </c>
      <c r="EG58">
        <v>19.314599999999999</v>
      </c>
      <c r="EH58">
        <v>1799.82</v>
      </c>
      <c r="EI58">
        <v>0.97800600000000004</v>
      </c>
      <c r="EJ58">
        <v>2.1994099999999999E-2</v>
      </c>
      <c r="EK58">
        <v>0</v>
      </c>
      <c r="EL58">
        <v>716.89800000000002</v>
      </c>
      <c r="EM58">
        <v>5.0005300000000004</v>
      </c>
      <c r="EN58">
        <v>15418.4</v>
      </c>
      <c r="EO58">
        <v>16033.7</v>
      </c>
      <c r="EP58">
        <v>47.186999999999998</v>
      </c>
      <c r="EQ58">
        <v>48.875</v>
      </c>
      <c r="ER58">
        <v>47.75</v>
      </c>
      <c r="ES58">
        <v>48.061999999999998</v>
      </c>
      <c r="ET58">
        <v>48.5</v>
      </c>
      <c r="EU58">
        <v>1755.34</v>
      </c>
      <c r="EV58">
        <v>39.479999999999997</v>
      </c>
      <c r="EW58">
        <v>0</v>
      </c>
      <c r="EX58">
        <v>106.7999999523163</v>
      </c>
      <c r="EY58">
        <v>0</v>
      </c>
      <c r="EZ58">
        <v>716.98765384615388</v>
      </c>
      <c r="FA58">
        <v>0.30642734232864371</v>
      </c>
      <c r="FB58">
        <v>-17.979487037362929</v>
      </c>
      <c r="FC58">
        <v>15418.85</v>
      </c>
      <c r="FD58">
        <v>15</v>
      </c>
      <c r="FE58">
        <v>1689007083.0999999</v>
      </c>
      <c r="FF58" t="s">
        <v>636</v>
      </c>
      <c r="FG58">
        <v>1689007083.0999999</v>
      </c>
      <c r="FH58">
        <v>1689007082.0999999</v>
      </c>
      <c r="FI58">
        <v>46</v>
      </c>
      <c r="FJ58">
        <v>-0.25600000000000001</v>
      </c>
      <c r="FK58">
        <v>-4.0000000000000001E-3</v>
      </c>
      <c r="FL58">
        <v>-0.70299999999999996</v>
      </c>
      <c r="FM58">
        <v>3.6999999999999998E-2</v>
      </c>
      <c r="FN58">
        <v>700</v>
      </c>
      <c r="FO58">
        <v>22</v>
      </c>
      <c r="FP58">
        <v>0.02</v>
      </c>
      <c r="FQ58">
        <v>0.01</v>
      </c>
      <c r="FR58">
        <v>51.374606729221782</v>
      </c>
      <c r="FS58">
        <v>-0.58555258992620707</v>
      </c>
      <c r="FT58">
        <v>6.7286362187601395E-2</v>
      </c>
      <c r="FU58">
        <v>1</v>
      </c>
      <c r="FV58">
        <v>0.34902884107771759</v>
      </c>
      <c r="FW58">
        <v>3.9658996011829623E-2</v>
      </c>
      <c r="FX58">
        <v>3.4258377213103679E-3</v>
      </c>
      <c r="FY58">
        <v>1</v>
      </c>
      <c r="FZ58">
        <v>2</v>
      </c>
      <c r="GA58">
        <v>2</v>
      </c>
      <c r="GB58" t="s">
        <v>424</v>
      </c>
      <c r="GC58">
        <v>3.1182400000000001</v>
      </c>
      <c r="GD58">
        <v>2.7673199999999998</v>
      </c>
      <c r="GE58">
        <v>0.124642</v>
      </c>
      <c r="GF58">
        <v>0.133155</v>
      </c>
      <c r="GG58">
        <v>0.120889</v>
      </c>
      <c r="GH58">
        <v>0.10338700000000001</v>
      </c>
      <c r="GI58">
        <v>20978.1</v>
      </c>
      <c r="GJ58">
        <v>21527</v>
      </c>
      <c r="GK58">
        <v>23821.7</v>
      </c>
      <c r="GL58">
        <v>25140.9</v>
      </c>
      <c r="GM58">
        <v>30173.7</v>
      </c>
      <c r="GN58">
        <v>31610.3</v>
      </c>
      <c r="GO58">
        <v>37961</v>
      </c>
      <c r="GP58">
        <v>39105.699999999997</v>
      </c>
      <c r="GQ58">
        <v>2.1564800000000002</v>
      </c>
      <c r="GR58">
        <v>1.7406699999999999</v>
      </c>
      <c r="GS58">
        <v>2.9656999999999999E-2</v>
      </c>
      <c r="GT58">
        <v>0</v>
      </c>
      <c r="GU58">
        <v>29.563800000000001</v>
      </c>
      <c r="GV58">
        <v>999.9</v>
      </c>
      <c r="GW58">
        <v>30</v>
      </c>
      <c r="GX58">
        <v>45.2</v>
      </c>
      <c r="GY58">
        <v>29.483799999999999</v>
      </c>
      <c r="GZ58">
        <v>60.808100000000003</v>
      </c>
      <c r="HA58">
        <v>28.2011</v>
      </c>
      <c r="HB58">
        <v>1</v>
      </c>
      <c r="HC58">
        <v>0.467777</v>
      </c>
      <c r="HD58">
        <v>2.7833100000000002</v>
      </c>
      <c r="HE58">
        <v>20.295300000000001</v>
      </c>
      <c r="HF58">
        <v>5.2518799999999999</v>
      </c>
      <c r="HG58">
        <v>12.0099</v>
      </c>
      <c r="HH58">
        <v>4.9790999999999999</v>
      </c>
      <c r="HI58">
        <v>3.2930000000000001</v>
      </c>
      <c r="HJ58">
        <v>9999</v>
      </c>
      <c r="HK58">
        <v>9999</v>
      </c>
      <c r="HL58">
        <v>9999</v>
      </c>
      <c r="HM58">
        <v>233.4</v>
      </c>
      <c r="HN58">
        <v>1.87561</v>
      </c>
      <c r="HO58">
        <v>1.8766799999999999</v>
      </c>
      <c r="HP58">
        <v>1.88263</v>
      </c>
      <c r="HQ58">
        <v>1.8858900000000001</v>
      </c>
      <c r="HR58">
        <v>1.87669</v>
      </c>
      <c r="HS58">
        <v>1.8830899999999999</v>
      </c>
      <c r="HT58">
        <v>1.8820300000000001</v>
      </c>
      <c r="HU58">
        <v>1.8855500000000001</v>
      </c>
      <c r="HV58">
        <v>0</v>
      </c>
      <c r="HW58">
        <v>0</v>
      </c>
      <c r="HX58">
        <v>0</v>
      </c>
      <c r="HY58">
        <v>0</v>
      </c>
      <c r="HZ58" t="s">
        <v>425</v>
      </c>
      <c r="IA58" t="s">
        <v>426</v>
      </c>
      <c r="IB58" t="s">
        <v>427</v>
      </c>
      <c r="IC58" t="s">
        <v>427</v>
      </c>
      <c r="ID58" t="s">
        <v>427</v>
      </c>
      <c r="IE58" t="s">
        <v>427</v>
      </c>
      <c r="IF58">
        <v>0</v>
      </c>
      <c r="IG58">
        <v>100</v>
      </c>
      <c r="IH58">
        <v>100</v>
      </c>
      <c r="II58">
        <v>-0.70799999999999996</v>
      </c>
      <c r="IJ58">
        <v>4.6600000000000003E-2</v>
      </c>
      <c r="IK58">
        <v>-0.62852639792347764</v>
      </c>
      <c r="IL58">
        <v>-4.2852564239613137E-4</v>
      </c>
      <c r="IM58">
        <v>6.4980710991155998E-7</v>
      </c>
      <c r="IN58">
        <v>-2.7237938963984961E-10</v>
      </c>
      <c r="IO58">
        <v>-1.237187229970611E-2</v>
      </c>
      <c r="IP58">
        <v>6.6907473102813496E-3</v>
      </c>
      <c r="IQ58">
        <v>-3.3673306238274028E-4</v>
      </c>
      <c r="IR58">
        <v>6.1311374003140313E-6</v>
      </c>
      <c r="IS58">
        <v>3</v>
      </c>
      <c r="IT58">
        <v>2101</v>
      </c>
      <c r="IU58">
        <v>1</v>
      </c>
      <c r="IV58">
        <v>32</v>
      </c>
      <c r="IW58">
        <v>0.5</v>
      </c>
      <c r="IX58">
        <v>0.5</v>
      </c>
      <c r="IY58">
        <v>1.5991200000000001</v>
      </c>
      <c r="IZ58">
        <v>2.7124000000000001</v>
      </c>
      <c r="JA58">
        <v>1.6015600000000001</v>
      </c>
      <c r="JB58">
        <v>2.3303199999999999</v>
      </c>
      <c r="JC58">
        <v>1.5502899999999999</v>
      </c>
      <c r="JD58">
        <v>2.4536099999999998</v>
      </c>
      <c r="JE58">
        <v>48.856900000000003</v>
      </c>
      <c r="JF58">
        <v>24.1313</v>
      </c>
      <c r="JG58">
        <v>18</v>
      </c>
      <c r="JH58">
        <v>596.36199999999997</v>
      </c>
      <c r="JI58">
        <v>382.81799999999998</v>
      </c>
      <c r="JJ58">
        <v>27.153400000000001</v>
      </c>
      <c r="JK58">
        <v>33.131599999999999</v>
      </c>
      <c r="JL58">
        <v>30.000699999999998</v>
      </c>
      <c r="JM58">
        <v>33.265300000000003</v>
      </c>
      <c r="JN58">
        <v>33.264200000000002</v>
      </c>
      <c r="JO58">
        <v>31.995100000000001</v>
      </c>
      <c r="JP58">
        <v>26.793800000000001</v>
      </c>
      <c r="JQ58">
        <v>0</v>
      </c>
      <c r="JR58">
        <v>27.110700000000001</v>
      </c>
      <c r="JS58">
        <v>700</v>
      </c>
      <c r="JT58">
        <v>22.6008</v>
      </c>
      <c r="JU58">
        <v>99.023700000000005</v>
      </c>
      <c r="JV58">
        <v>98.983199999999997</v>
      </c>
    </row>
    <row r="59" spans="1:282" x14ac:dyDescent="0.25">
      <c r="A59">
        <v>43</v>
      </c>
      <c r="B59">
        <v>1689007226.5999999</v>
      </c>
      <c r="C59">
        <v>7404</v>
      </c>
      <c r="D59" t="s">
        <v>637</v>
      </c>
      <c r="E59" t="s">
        <v>638</v>
      </c>
      <c r="F59" t="s">
        <v>414</v>
      </c>
      <c r="G59" t="s">
        <v>415</v>
      </c>
      <c r="H59" t="s">
        <v>577</v>
      </c>
      <c r="I59" t="s">
        <v>578</v>
      </c>
      <c r="J59" t="s">
        <v>416</v>
      </c>
      <c r="K59">
        <v>1689007226.5999999</v>
      </c>
      <c r="L59">
        <f t="shared" si="46"/>
        <v>4.7270078813088159E-3</v>
      </c>
      <c r="M59">
        <f t="shared" si="47"/>
        <v>4.7270078813088157</v>
      </c>
      <c r="N59">
        <f t="shared" si="48"/>
        <v>50.661242539831804</v>
      </c>
      <c r="O59">
        <f t="shared" si="49"/>
        <v>834.61199999999997</v>
      </c>
      <c r="P59">
        <f t="shared" si="50"/>
        <v>557.12385837833881</v>
      </c>
      <c r="Q59">
        <f t="shared" si="51"/>
        <v>55.258287774691837</v>
      </c>
      <c r="R59">
        <f t="shared" si="52"/>
        <v>82.780928123332799</v>
      </c>
      <c r="S59">
        <f t="shared" si="53"/>
        <v>0.32765953764941869</v>
      </c>
      <c r="T59">
        <f t="shared" si="54"/>
        <v>2.9124688903026246</v>
      </c>
      <c r="U59">
        <f t="shared" si="55"/>
        <v>0.3084714813809431</v>
      </c>
      <c r="V59">
        <f t="shared" si="56"/>
        <v>0.19442494158549506</v>
      </c>
      <c r="W59">
        <f t="shared" si="57"/>
        <v>289.55950732691701</v>
      </c>
      <c r="X59">
        <f t="shared" si="58"/>
        <v>30.690089112734448</v>
      </c>
      <c r="Y59">
        <f t="shared" si="59"/>
        <v>30.053000000000001</v>
      </c>
      <c r="Z59">
        <f t="shared" si="60"/>
        <v>4.2734369778894354</v>
      </c>
      <c r="AA59">
        <f t="shared" si="61"/>
        <v>65.112839444596332</v>
      </c>
      <c r="AB59">
        <f t="shared" si="62"/>
        <v>2.8077863508698395</v>
      </c>
      <c r="AC59">
        <f t="shared" si="63"/>
        <v>4.3121853920361568</v>
      </c>
      <c r="AD59">
        <f t="shared" si="64"/>
        <v>1.4656506270195959</v>
      </c>
      <c r="AE59">
        <f t="shared" si="65"/>
        <v>-208.46104756571879</v>
      </c>
      <c r="AF59">
        <f t="shared" si="66"/>
        <v>24.698777688641325</v>
      </c>
      <c r="AG59">
        <f t="shared" si="67"/>
        <v>1.8880750505176551</v>
      </c>
      <c r="AH59">
        <f t="shared" si="68"/>
        <v>107.68531250035723</v>
      </c>
      <c r="AI59">
        <v>0</v>
      </c>
      <c r="AJ59">
        <v>0</v>
      </c>
      <c r="AK59">
        <f t="shared" si="69"/>
        <v>1</v>
      </c>
      <c r="AL59">
        <f t="shared" si="70"/>
        <v>0</v>
      </c>
      <c r="AM59">
        <f t="shared" si="71"/>
        <v>51810.779952136661</v>
      </c>
      <c r="AN59" t="s">
        <v>419</v>
      </c>
      <c r="AO59">
        <v>9967.0300000000007</v>
      </c>
      <c r="AP59">
        <v>178.94153846153841</v>
      </c>
      <c r="AQ59">
        <v>603.15</v>
      </c>
      <c r="AR59">
        <f t="shared" si="72"/>
        <v>0.7033216638290003</v>
      </c>
      <c r="AS59">
        <v>-3.2649104154664181</v>
      </c>
      <c r="AT59" t="s">
        <v>639</v>
      </c>
      <c r="AU59">
        <v>8057.98</v>
      </c>
      <c r="AV59">
        <v>715.49388461538467</v>
      </c>
      <c r="AW59">
        <v>1163.4309952609731</v>
      </c>
      <c r="AX59">
        <f t="shared" si="73"/>
        <v>0.38501390496744514</v>
      </c>
      <c r="AY59">
        <v>0.5</v>
      </c>
      <c r="AZ59">
        <f t="shared" si="74"/>
        <v>1513.1507996512521</v>
      </c>
      <c r="BA59">
        <f t="shared" si="75"/>
        <v>50.661242539831804</v>
      </c>
      <c r="BB59">
        <f t="shared" si="76"/>
        <v>291.2920490891704</v>
      </c>
      <c r="BC59">
        <f t="shared" si="77"/>
        <v>3.5638320362866023E-2</v>
      </c>
      <c r="BD59">
        <f t="shared" si="78"/>
        <v>-0.48157647298651746</v>
      </c>
      <c r="BE59">
        <f t="shared" si="79"/>
        <v>208.769065144781</v>
      </c>
      <c r="BF59" t="s">
        <v>640</v>
      </c>
      <c r="BG59">
        <v>554.04999999999995</v>
      </c>
      <c r="BH59">
        <f t="shared" si="80"/>
        <v>554.04999999999995</v>
      </c>
      <c r="BI59">
        <f t="shared" si="81"/>
        <v>0.52377923378625546</v>
      </c>
      <c r="BJ59">
        <f t="shared" si="82"/>
        <v>0.73506905224990671</v>
      </c>
      <c r="BK59">
        <f t="shared" si="83"/>
        <v>-11.411018233421036</v>
      </c>
      <c r="BL59">
        <f t="shared" si="84"/>
        <v>0.45499431969726462</v>
      </c>
      <c r="BM59">
        <f t="shared" si="85"/>
        <v>-1.3207680799883674</v>
      </c>
      <c r="BN59">
        <f t="shared" si="86"/>
        <v>0.56920823106403906</v>
      </c>
      <c r="BO59">
        <f t="shared" si="87"/>
        <v>0.43079176893596094</v>
      </c>
      <c r="BP59">
        <v>6121</v>
      </c>
      <c r="BQ59">
        <v>290.00000000000011</v>
      </c>
      <c r="BR59">
        <v>1008.13</v>
      </c>
      <c r="BS59">
        <v>295</v>
      </c>
      <c r="BT59">
        <v>8057.98</v>
      </c>
      <c r="BU59">
        <v>1011.91</v>
      </c>
      <c r="BV59">
        <v>-3.78</v>
      </c>
      <c r="BW59">
        <v>300.00000000000011</v>
      </c>
      <c r="BX59">
        <v>19.3</v>
      </c>
      <c r="BY59">
        <v>1163.4309952609731</v>
      </c>
      <c r="BZ59">
        <v>5.0939204929790742</v>
      </c>
      <c r="CA59">
        <v>-122.091858770076</v>
      </c>
      <c r="CB59">
        <v>3.770910630941338</v>
      </c>
      <c r="CC59">
        <v>0.9739846768809659</v>
      </c>
      <c r="CD59">
        <v>-4.1578907675194647E-3</v>
      </c>
      <c r="CE59">
        <v>289.99999999999989</v>
      </c>
      <c r="CF59">
        <v>1004.16</v>
      </c>
      <c r="CG59">
        <v>655</v>
      </c>
      <c r="CH59">
        <v>8048.96</v>
      </c>
      <c r="CI59">
        <v>1011.74</v>
      </c>
      <c r="CJ59">
        <v>-7.58</v>
      </c>
      <c r="CX59">
        <f t="shared" si="88"/>
        <v>1799.96</v>
      </c>
      <c r="CY59">
        <f t="shared" si="89"/>
        <v>1513.1507996512521</v>
      </c>
      <c r="CZ59">
        <f t="shared" si="90"/>
        <v>0.84065801442879406</v>
      </c>
      <c r="DA59">
        <f t="shared" si="91"/>
        <v>0.16086996784757274</v>
      </c>
      <c r="DB59">
        <v>6</v>
      </c>
      <c r="DC59">
        <v>0.5</v>
      </c>
      <c r="DD59" t="s">
        <v>422</v>
      </c>
      <c r="DE59">
        <v>2</v>
      </c>
      <c r="DF59">
        <v>1689007226.5999999</v>
      </c>
      <c r="DG59">
        <v>834.61199999999997</v>
      </c>
      <c r="DH59">
        <v>900.13699999999994</v>
      </c>
      <c r="DI59">
        <v>28.308599999999998</v>
      </c>
      <c r="DJ59">
        <v>22.797000000000001</v>
      </c>
      <c r="DK59">
        <v>835.07600000000002</v>
      </c>
      <c r="DL59">
        <v>28.263400000000001</v>
      </c>
      <c r="DM59">
        <v>500.02100000000002</v>
      </c>
      <c r="DN59">
        <v>99.0852</v>
      </c>
      <c r="DO59">
        <v>9.9724400000000005E-2</v>
      </c>
      <c r="DP59">
        <v>30.2103</v>
      </c>
      <c r="DQ59">
        <v>30.053000000000001</v>
      </c>
      <c r="DR59">
        <v>999.9</v>
      </c>
      <c r="DS59">
        <v>0</v>
      </c>
      <c r="DT59">
        <v>0</v>
      </c>
      <c r="DU59">
        <v>9994.3799999999992</v>
      </c>
      <c r="DV59">
        <v>0</v>
      </c>
      <c r="DW59">
        <v>2080.16</v>
      </c>
      <c r="DX59">
        <v>-65.525099999999995</v>
      </c>
      <c r="DY59">
        <v>858.92700000000002</v>
      </c>
      <c r="DZ59">
        <v>921.13599999999997</v>
      </c>
      <c r="EA59">
        <v>5.5115800000000004</v>
      </c>
      <c r="EB59">
        <v>900.13699999999994</v>
      </c>
      <c r="EC59">
        <v>22.797000000000001</v>
      </c>
      <c r="ED59">
        <v>2.8049599999999999</v>
      </c>
      <c r="EE59">
        <v>2.2588499999999998</v>
      </c>
      <c r="EF59">
        <v>22.9133</v>
      </c>
      <c r="EG59">
        <v>19.385899999999999</v>
      </c>
      <c r="EH59">
        <v>1799.96</v>
      </c>
      <c r="EI59">
        <v>0.97800600000000004</v>
      </c>
      <c r="EJ59">
        <v>2.1994099999999999E-2</v>
      </c>
      <c r="EK59">
        <v>0</v>
      </c>
      <c r="EL59">
        <v>715.38099999999997</v>
      </c>
      <c r="EM59">
        <v>5.0005300000000004</v>
      </c>
      <c r="EN59">
        <v>15373.9</v>
      </c>
      <c r="EO59">
        <v>16034.9</v>
      </c>
      <c r="EP59">
        <v>47.125</v>
      </c>
      <c r="EQ59">
        <v>48.75</v>
      </c>
      <c r="ER59">
        <v>47.625</v>
      </c>
      <c r="ES59">
        <v>48</v>
      </c>
      <c r="ET59">
        <v>48.436999999999998</v>
      </c>
      <c r="EU59">
        <v>1755.48</v>
      </c>
      <c r="EV59">
        <v>39.479999999999997</v>
      </c>
      <c r="EW59">
        <v>0</v>
      </c>
      <c r="EX59">
        <v>110.3999998569489</v>
      </c>
      <c r="EY59">
        <v>0</v>
      </c>
      <c r="EZ59">
        <v>715.49388461538467</v>
      </c>
      <c r="FA59">
        <v>-0.69452992034956973</v>
      </c>
      <c r="FB59">
        <v>-170.6974370049152</v>
      </c>
      <c r="FC59">
        <v>15395.18076923077</v>
      </c>
      <c r="FD59">
        <v>15</v>
      </c>
      <c r="FE59">
        <v>1689007194.5999999</v>
      </c>
      <c r="FF59" t="s">
        <v>641</v>
      </c>
      <c r="FG59">
        <v>1689007188.5999999</v>
      </c>
      <c r="FH59">
        <v>1689007194.5999999</v>
      </c>
      <c r="FI59">
        <v>47</v>
      </c>
      <c r="FJ59">
        <v>0.22800000000000001</v>
      </c>
      <c r="FK59">
        <v>-1E-3</v>
      </c>
      <c r="FL59">
        <v>-0.45800000000000002</v>
      </c>
      <c r="FM59">
        <v>3.5999999999999997E-2</v>
      </c>
      <c r="FN59">
        <v>900</v>
      </c>
      <c r="FO59">
        <v>22</v>
      </c>
      <c r="FP59">
        <v>7.0000000000000007E-2</v>
      </c>
      <c r="FQ59">
        <v>0.02</v>
      </c>
      <c r="FR59">
        <v>50.656288051342557</v>
      </c>
      <c r="FS59">
        <v>-0.68516602421334938</v>
      </c>
      <c r="FT59">
        <v>6.9505739376092571E-2</v>
      </c>
      <c r="FU59">
        <v>1</v>
      </c>
      <c r="FV59">
        <v>0.32791150042899819</v>
      </c>
      <c r="FW59">
        <v>4.1851768016577346E-3</v>
      </c>
      <c r="FX59">
        <v>7.3876878453232018E-4</v>
      </c>
      <c r="FY59">
        <v>1</v>
      </c>
      <c r="FZ59">
        <v>2</v>
      </c>
      <c r="GA59">
        <v>2</v>
      </c>
      <c r="GB59" t="s">
        <v>424</v>
      </c>
      <c r="GC59">
        <v>3.1181700000000001</v>
      </c>
      <c r="GD59">
        <v>2.7669800000000002</v>
      </c>
      <c r="GE59">
        <v>0.14990899999999999</v>
      </c>
      <c r="GF59">
        <v>0.15731800000000001</v>
      </c>
      <c r="GG59">
        <v>0.12034499999999999</v>
      </c>
      <c r="GH59">
        <v>0.103701</v>
      </c>
      <c r="GI59">
        <v>20367.2</v>
      </c>
      <c r="GJ59">
        <v>20921.3</v>
      </c>
      <c r="GK59">
        <v>23816.400000000001</v>
      </c>
      <c r="GL59">
        <v>25135.4</v>
      </c>
      <c r="GM59">
        <v>30185.8</v>
      </c>
      <c r="GN59">
        <v>31592.9</v>
      </c>
      <c r="GO59">
        <v>37952.9</v>
      </c>
      <c r="GP59">
        <v>39098.1</v>
      </c>
      <c r="GQ59">
        <v>2.1555800000000001</v>
      </c>
      <c r="GR59">
        <v>1.7395499999999999</v>
      </c>
      <c r="GS59">
        <v>3.5453600000000002E-2</v>
      </c>
      <c r="GT59">
        <v>0</v>
      </c>
      <c r="GU59">
        <v>29.4758</v>
      </c>
      <c r="GV59">
        <v>999.9</v>
      </c>
      <c r="GW59">
        <v>30</v>
      </c>
      <c r="GX59">
        <v>45.4</v>
      </c>
      <c r="GY59">
        <v>29.792200000000001</v>
      </c>
      <c r="GZ59">
        <v>61.068100000000001</v>
      </c>
      <c r="HA59">
        <v>27.880600000000001</v>
      </c>
      <c r="HB59">
        <v>1</v>
      </c>
      <c r="HC59">
        <v>0.474914</v>
      </c>
      <c r="HD59">
        <v>2.3850500000000001</v>
      </c>
      <c r="HE59">
        <v>20.300999999999998</v>
      </c>
      <c r="HF59">
        <v>5.2493400000000001</v>
      </c>
      <c r="HG59">
        <v>12.0099</v>
      </c>
      <c r="HH59">
        <v>4.9782999999999999</v>
      </c>
      <c r="HI59">
        <v>3.2925499999999999</v>
      </c>
      <c r="HJ59">
        <v>9999</v>
      </c>
      <c r="HK59">
        <v>9999</v>
      </c>
      <c r="HL59">
        <v>9999</v>
      </c>
      <c r="HM59">
        <v>233.5</v>
      </c>
      <c r="HN59">
        <v>1.8755999999999999</v>
      </c>
      <c r="HO59">
        <v>1.8766799999999999</v>
      </c>
      <c r="HP59">
        <v>1.88263</v>
      </c>
      <c r="HQ59">
        <v>1.8859300000000001</v>
      </c>
      <c r="HR59">
        <v>1.8767100000000001</v>
      </c>
      <c r="HS59">
        <v>1.8830899999999999</v>
      </c>
      <c r="HT59">
        <v>1.8820600000000001</v>
      </c>
      <c r="HU59">
        <v>1.8855599999999999</v>
      </c>
      <c r="HV59">
        <v>0</v>
      </c>
      <c r="HW59">
        <v>0</v>
      </c>
      <c r="HX59">
        <v>0</v>
      </c>
      <c r="HY59">
        <v>0</v>
      </c>
      <c r="HZ59" t="s">
        <v>425</v>
      </c>
      <c r="IA59" t="s">
        <v>426</v>
      </c>
      <c r="IB59" t="s">
        <v>427</v>
      </c>
      <c r="IC59" t="s">
        <v>427</v>
      </c>
      <c r="ID59" t="s">
        <v>427</v>
      </c>
      <c r="IE59" t="s">
        <v>427</v>
      </c>
      <c r="IF59">
        <v>0</v>
      </c>
      <c r="IG59">
        <v>100</v>
      </c>
      <c r="IH59">
        <v>100</v>
      </c>
      <c r="II59">
        <v>-0.46400000000000002</v>
      </c>
      <c r="IJ59">
        <v>4.5199999999999997E-2</v>
      </c>
      <c r="IK59">
        <v>-0.40058865717724162</v>
      </c>
      <c r="IL59">
        <v>-4.2852564239613137E-4</v>
      </c>
      <c r="IM59">
        <v>6.4980710991155998E-7</v>
      </c>
      <c r="IN59">
        <v>-2.7237938963984961E-10</v>
      </c>
      <c r="IO59">
        <v>-1.3415823175892161E-2</v>
      </c>
      <c r="IP59">
        <v>6.6907473102813496E-3</v>
      </c>
      <c r="IQ59">
        <v>-3.3673306238274028E-4</v>
      </c>
      <c r="IR59">
        <v>6.1311374003140313E-6</v>
      </c>
      <c r="IS59">
        <v>3</v>
      </c>
      <c r="IT59">
        <v>2101</v>
      </c>
      <c r="IU59">
        <v>1</v>
      </c>
      <c r="IV59">
        <v>32</v>
      </c>
      <c r="IW59">
        <v>0.6</v>
      </c>
      <c r="IX59">
        <v>0.5</v>
      </c>
      <c r="IY59">
        <v>1.96289</v>
      </c>
      <c r="IZ59">
        <v>2.7111800000000001</v>
      </c>
      <c r="JA59">
        <v>1.6015600000000001</v>
      </c>
      <c r="JB59">
        <v>2.3315399999999999</v>
      </c>
      <c r="JC59">
        <v>1.5502899999999999</v>
      </c>
      <c r="JD59">
        <v>2.2741699999999998</v>
      </c>
      <c r="JE59">
        <v>48.887999999999998</v>
      </c>
      <c r="JF59">
        <v>24.122499999999999</v>
      </c>
      <c r="JG59">
        <v>18</v>
      </c>
      <c r="JH59">
        <v>596.21</v>
      </c>
      <c r="JI59">
        <v>382.46899999999999</v>
      </c>
      <c r="JJ59">
        <v>27.402200000000001</v>
      </c>
      <c r="JK59">
        <v>33.197099999999999</v>
      </c>
      <c r="JL59">
        <v>30.000699999999998</v>
      </c>
      <c r="JM59">
        <v>33.318399999999997</v>
      </c>
      <c r="JN59">
        <v>33.317500000000003</v>
      </c>
      <c r="JO59">
        <v>39.284599999999998</v>
      </c>
      <c r="JP59">
        <v>26.5413</v>
      </c>
      <c r="JQ59">
        <v>0</v>
      </c>
      <c r="JR59">
        <v>27.347899999999999</v>
      </c>
      <c r="JS59">
        <v>900</v>
      </c>
      <c r="JT59">
        <v>22.654900000000001</v>
      </c>
      <c r="JU59">
        <v>99.002300000000005</v>
      </c>
      <c r="JV59">
        <v>98.962999999999994</v>
      </c>
    </row>
    <row r="60" spans="1:282" x14ac:dyDescent="0.25">
      <c r="A60">
        <v>44</v>
      </c>
      <c r="B60">
        <v>1689007348.5999999</v>
      </c>
      <c r="C60">
        <v>7526</v>
      </c>
      <c r="D60" t="s">
        <v>642</v>
      </c>
      <c r="E60" t="s">
        <v>643</v>
      </c>
      <c r="F60" t="s">
        <v>414</v>
      </c>
      <c r="G60" t="s">
        <v>415</v>
      </c>
      <c r="H60" t="s">
        <v>577</v>
      </c>
      <c r="I60" t="s">
        <v>578</v>
      </c>
      <c r="J60" t="s">
        <v>416</v>
      </c>
      <c r="K60">
        <v>1689007348.5999999</v>
      </c>
      <c r="L60">
        <f t="shared" si="46"/>
        <v>4.4666360732810136E-3</v>
      </c>
      <c r="M60">
        <f t="shared" si="47"/>
        <v>4.4666360732810135</v>
      </c>
      <c r="N60">
        <f t="shared" si="48"/>
        <v>49.75065822057978</v>
      </c>
      <c r="O60">
        <f t="shared" si="49"/>
        <v>1134.3599999999999</v>
      </c>
      <c r="P60">
        <f t="shared" si="50"/>
        <v>840.69601066020152</v>
      </c>
      <c r="Q60">
        <f t="shared" si="51"/>
        <v>83.384877957034519</v>
      </c>
      <c r="R60">
        <f t="shared" si="52"/>
        <v>112.512095882388</v>
      </c>
      <c r="S60">
        <f t="shared" si="53"/>
        <v>0.30999141360133131</v>
      </c>
      <c r="T60">
        <f t="shared" si="54"/>
        <v>2.9096294296265999</v>
      </c>
      <c r="U60">
        <f t="shared" si="55"/>
        <v>0.29274266503714153</v>
      </c>
      <c r="V60">
        <f t="shared" si="56"/>
        <v>0.18443387135864353</v>
      </c>
      <c r="W60">
        <f t="shared" si="57"/>
        <v>289.56908332693945</v>
      </c>
      <c r="X60">
        <f t="shared" si="58"/>
        <v>30.658012479366455</v>
      </c>
      <c r="Y60">
        <f t="shared" si="59"/>
        <v>30.010100000000001</v>
      </c>
      <c r="Z60">
        <f t="shared" si="60"/>
        <v>4.262922036432899</v>
      </c>
      <c r="AA60">
        <f t="shared" si="61"/>
        <v>65.389030529307561</v>
      </c>
      <c r="AB60">
        <f t="shared" si="62"/>
        <v>2.8034690388466701</v>
      </c>
      <c r="AC60">
        <f t="shared" si="63"/>
        <v>4.2873690222248317</v>
      </c>
      <c r="AD60">
        <f t="shared" si="64"/>
        <v>1.4594529975862289</v>
      </c>
      <c r="AE60">
        <f t="shared" si="65"/>
        <v>-196.9786508316927</v>
      </c>
      <c r="AF60">
        <f t="shared" si="66"/>
        <v>15.623648604278724</v>
      </c>
      <c r="AG60">
        <f t="shared" si="67"/>
        <v>1.1946520374251794</v>
      </c>
      <c r="AH60">
        <f t="shared" si="68"/>
        <v>109.40873313695063</v>
      </c>
      <c r="AI60">
        <v>0</v>
      </c>
      <c r="AJ60">
        <v>0</v>
      </c>
      <c r="AK60">
        <f t="shared" si="69"/>
        <v>1</v>
      </c>
      <c r="AL60">
        <f t="shared" si="70"/>
        <v>0</v>
      </c>
      <c r="AM60">
        <f t="shared" si="71"/>
        <v>51747.280571238472</v>
      </c>
      <c r="AN60" t="s">
        <v>419</v>
      </c>
      <c r="AO60">
        <v>9967.0300000000007</v>
      </c>
      <c r="AP60">
        <v>178.94153846153841</v>
      </c>
      <c r="AQ60">
        <v>603.15</v>
      </c>
      <c r="AR60">
        <f t="shared" si="72"/>
        <v>0.7033216638290003</v>
      </c>
      <c r="AS60">
        <v>-3.2649104154664181</v>
      </c>
      <c r="AT60" t="s">
        <v>644</v>
      </c>
      <c r="AU60">
        <v>8058.44</v>
      </c>
      <c r="AV60">
        <v>714.72003846153848</v>
      </c>
      <c r="AW60">
        <v>1159.2700991194599</v>
      </c>
      <c r="AX60">
        <f t="shared" si="73"/>
        <v>0.38347410236457036</v>
      </c>
      <c r="AY60">
        <v>0.5</v>
      </c>
      <c r="AZ60">
        <f t="shared" si="74"/>
        <v>1513.2011996512638</v>
      </c>
      <c r="BA60">
        <f t="shared" si="75"/>
        <v>49.75065822057978</v>
      </c>
      <c r="BB60">
        <f t="shared" si="76"/>
        <v>290.13673586662969</v>
      </c>
      <c r="BC60">
        <f t="shared" si="77"/>
        <v>3.5035373120418024E-2</v>
      </c>
      <c r="BD60">
        <f t="shared" si="78"/>
        <v>-0.47971572763057452</v>
      </c>
      <c r="BE60">
        <f t="shared" si="79"/>
        <v>208.63469144284372</v>
      </c>
      <c r="BF60" t="s">
        <v>645</v>
      </c>
      <c r="BG60">
        <v>549.83000000000004</v>
      </c>
      <c r="BH60">
        <f t="shared" si="80"/>
        <v>549.83000000000004</v>
      </c>
      <c r="BI60">
        <f t="shared" si="81"/>
        <v>0.52571018573011474</v>
      </c>
      <c r="BJ60">
        <f t="shared" si="82"/>
        <v>0.72944012266377412</v>
      </c>
      <c r="BK60">
        <f t="shared" si="83"/>
        <v>-10.429859323320716</v>
      </c>
      <c r="BL60">
        <f t="shared" si="84"/>
        <v>0.45347047765248566</v>
      </c>
      <c r="BM60">
        <f t="shared" si="85"/>
        <v>-1.310959468141204</v>
      </c>
      <c r="BN60">
        <f t="shared" si="86"/>
        <v>0.56115407580783228</v>
      </c>
      <c r="BO60">
        <f t="shared" si="87"/>
        <v>0.43884592419216772</v>
      </c>
      <c r="BP60">
        <v>6123</v>
      </c>
      <c r="BQ60">
        <v>290.00000000000011</v>
      </c>
      <c r="BR60">
        <v>1008.19</v>
      </c>
      <c r="BS60">
        <v>295</v>
      </c>
      <c r="BT60">
        <v>8058.44</v>
      </c>
      <c r="BU60">
        <v>1011.22</v>
      </c>
      <c r="BV60">
        <v>-3.03</v>
      </c>
      <c r="BW60">
        <v>300.00000000000011</v>
      </c>
      <c r="BX60">
        <v>19.3</v>
      </c>
      <c r="BY60">
        <v>1159.2700991194599</v>
      </c>
      <c r="BZ60">
        <v>5.0082116236065666</v>
      </c>
      <c r="CA60">
        <v>-119.3055878463022</v>
      </c>
      <c r="CB60">
        <v>3.707681987887677</v>
      </c>
      <c r="CC60">
        <v>0.97366986153277513</v>
      </c>
      <c r="CD60">
        <v>-4.1580785317018934E-3</v>
      </c>
      <c r="CE60">
        <v>289.99999999999989</v>
      </c>
      <c r="CF60">
        <v>1004.9</v>
      </c>
      <c r="CG60">
        <v>635</v>
      </c>
      <c r="CH60">
        <v>8050.12</v>
      </c>
      <c r="CI60">
        <v>1011.07</v>
      </c>
      <c r="CJ60">
        <v>-6.17</v>
      </c>
      <c r="CX60">
        <f t="shared" si="88"/>
        <v>1800.02</v>
      </c>
      <c r="CY60">
        <f t="shared" si="89"/>
        <v>1513.2011996512638</v>
      </c>
      <c r="CZ60">
        <f t="shared" si="90"/>
        <v>0.84065799249522988</v>
      </c>
      <c r="DA60">
        <f t="shared" si="91"/>
        <v>0.16086992551579396</v>
      </c>
      <c r="DB60">
        <v>6</v>
      </c>
      <c r="DC60">
        <v>0.5</v>
      </c>
      <c r="DD60" t="s">
        <v>422</v>
      </c>
      <c r="DE60">
        <v>2</v>
      </c>
      <c r="DF60">
        <v>1689007348.5999999</v>
      </c>
      <c r="DG60">
        <v>1134.3599999999999</v>
      </c>
      <c r="DH60">
        <v>1200.1300000000001</v>
      </c>
      <c r="DI60">
        <v>28.264900000000001</v>
      </c>
      <c r="DJ60">
        <v>23.057300000000001</v>
      </c>
      <c r="DK60">
        <v>1134.8599999999999</v>
      </c>
      <c r="DL60">
        <v>28.2166</v>
      </c>
      <c r="DM60">
        <v>500.08300000000003</v>
      </c>
      <c r="DN60">
        <v>99.085599999999999</v>
      </c>
      <c r="DO60">
        <v>9.9928299999999998E-2</v>
      </c>
      <c r="DP60">
        <v>30.1097</v>
      </c>
      <c r="DQ60">
        <v>30.010100000000001</v>
      </c>
      <c r="DR60">
        <v>999.9</v>
      </c>
      <c r="DS60">
        <v>0</v>
      </c>
      <c r="DT60">
        <v>0</v>
      </c>
      <c r="DU60">
        <v>9978.1200000000008</v>
      </c>
      <c r="DV60">
        <v>0</v>
      </c>
      <c r="DW60">
        <v>2092.59</v>
      </c>
      <c r="DX60">
        <v>-65.775999999999996</v>
      </c>
      <c r="DY60">
        <v>1167.3499999999999</v>
      </c>
      <c r="DZ60">
        <v>1228.46</v>
      </c>
      <c r="EA60">
        <v>5.2076599999999997</v>
      </c>
      <c r="EB60">
        <v>1200.1300000000001</v>
      </c>
      <c r="EC60">
        <v>23.057300000000001</v>
      </c>
      <c r="ED60">
        <v>2.8006500000000001</v>
      </c>
      <c r="EE60">
        <v>2.28464</v>
      </c>
      <c r="EF60">
        <v>22.887899999999998</v>
      </c>
      <c r="EG60">
        <v>19.5685</v>
      </c>
      <c r="EH60">
        <v>1800.02</v>
      </c>
      <c r="EI60">
        <v>0.97800600000000004</v>
      </c>
      <c r="EJ60">
        <v>2.1994099999999999E-2</v>
      </c>
      <c r="EK60">
        <v>0</v>
      </c>
      <c r="EL60">
        <v>714.447</v>
      </c>
      <c r="EM60">
        <v>5.0005300000000004</v>
      </c>
      <c r="EN60">
        <v>15385.8</v>
      </c>
      <c r="EO60">
        <v>16035.5</v>
      </c>
      <c r="EP60">
        <v>47</v>
      </c>
      <c r="EQ60">
        <v>48.686999999999998</v>
      </c>
      <c r="ER60">
        <v>47.5</v>
      </c>
      <c r="ES60">
        <v>47.936999999999998</v>
      </c>
      <c r="ET60">
        <v>48.311999999999998</v>
      </c>
      <c r="EU60">
        <v>1755.54</v>
      </c>
      <c r="EV60">
        <v>39.479999999999997</v>
      </c>
      <c r="EW60">
        <v>0</v>
      </c>
      <c r="EX60">
        <v>120.19999980926509</v>
      </c>
      <c r="EY60">
        <v>0</v>
      </c>
      <c r="EZ60">
        <v>714.72003846153848</v>
      </c>
      <c r="FA60">
        <v>0.6688204990714286</v>
      </c>
      <c r="FB60">
        <v>-43.398290086839992</v>
      </c>
      <c r="FC60">
        <v>15428.51538461539</v>
      </c>
      <c r="FD60">
        <v>15</v>
      </c>
      <c r="FE60">
        <v>1689007314.0999999</v>
      </c>
      <c r="FF60" t="s">
        <v>646</v>
      </c>
      <c r="FG60">
        <v>1689007308.0999999</v>
      </c>
      <c r="FH60">
        <v>1689007314.0999999</v>
      </c>
      <c r="FI60">
        <v>48</v>
      </c>
      <c r="FJ60">
        <v>-5.8999999999999997E-2</v>
      </c>
      <c r="FK60">
        <v>3.0000000000000001E-3</v>
      </c>
      <c r="FL60">
        <v>-0.51</v>
      </c>
      <c r="FM60">
        <v>0.04</v>
      </c>
      <c r="FN60">
        <v>1200</v>
      </c>
      <c r="FO60">
        <v>23</v>
      </c>
      <c r="FP60">
        <v>0.06</v>
      </c>
      <c r="FQ60">
        <v>0.01</v>
      </c>
      <c r="FR60">
        <v>49.693789780257141</v>
      </c>
      <c r="FS60">
        <v>-0.55702901952026007</v>
      </c>
      <c r="FT60">
        <v>8.9379306024393576E-2</v>
      </c>
      <c r="FU60">
        <v>1</v>
      </c>
      <c r="FV60">
        <v>0.31147166240280671</v>
      </c>
      <c r="FW60">
        <v>1.0660666954762379E-2</v>
      </c>
      <c r="FX60">
        <v>1.6616710204437691E-3</v>
      </c>
      <c r="FY60">
        <v>1</v>
      </c>
      <c r="FZ60">
        <v>2</v>
      </c>
      <c r="GA60">
        <v>2</v>
      </c>
      <c r="GB60" t="s">
        <v>424</v>
      </c>
      <c r="GC60">
        <v>3.1184500000000002</v>
      </c>
      <c r="GD60">
        <v>2.7670400000000002</v>
      </c>
      <c r="GE60">
        <v>0.18246699999999999</v>
      </c>
      <c r="GF60">
        <v>0.188718</v>
      </c>
      <c r="GG60">
        <v>0.120194</v>
      </c>
      <c r="GH60">
        <v>0.10452599999999999</v>
      </c>
      <c r="GI60">
        <v>19583.3</v>
      </c>
      <c r="GJ60">
        <v>20138.2</v>
      </c>
      <c r="GK60">
        <v>23813.7</v>
      </c>
      <c r="GL60">
        <v>25133.3</v>
      </c>
      <c r="GM60">
        <v>30187.9</v>
      </c>
      <c r="GN60">
        <v>31561.200000000001</v>
      </c>
      <c r="GO60">
        <v>37949.1</v>
      </c>
      <c r="GP60">
        <v>39095</v>
      </c>
      <c r="GQ60">
        <v>2.1549200000000002</v>
      </c>
      <c r="GR60">
        <v>1.7392700000000001</v>
      </c>
      <c r="GS60">
        <v>3.3043299999999998E-2</v>
      </c>
      <c r="GT60">
        <v>0</v>
      </c>
      <c r="GU60">
        <v>29.472200000000001</v>
      </c>
      <c r="GV60">
        <v>999.9</v>
      </c>
      <c r="GW60">
        <v>29.9</v>
      </c>
      <c r="GX60">
        <v>45.5</v>
      </c>
      <c r="GY60">
        <v>29.8429</v>
      </c>
      <c r="GZ60">
        <v>61.1081</v>
      </c>
      <c r="HA60">
        <v>28.289300000000001</v>
      </c>
      <c r="HB60">
        <v>1</v>
      </c>
      <c r="HC60">
        <v>0.48039599999999999</v>
      </c>
      <c r="HD60">
        <v>2.62575</v>
      </c>
      <c r="HE60">
        <v>20.297499999999999</v>
      </c>
      <c r="HF60">
        <v>5.2488900000000003</v>
      </c>
      <c r="HG60">
        <v>12.0099</v>
      </c>
      <c r="HH60">
        <v>4.9779</v>
      </c>
      <c r="HI60">
        <v>3.2922500000000001</v>
      </c>
      <c r="HJ60">
        <v>9999</v>
      </c>
      <c r="HK60">
        <v>9999</v>
      </c>
      <c r="HL60">
        <v>9999</v>
      </c>
      <c r="HM60">
        <v>233.5</v>
      </c>
      <c r="HN60">
        <v>1.87561</v>
      </c>
      <c r="HO60">
        <v>1.8766799999999999</v>
      </c>
      <c r="HP60">
        <v>1.8826400000000001</v>
      </c>
      <c r="HQ60">
        <v>1.88592</v>
      </c>
      <c r="HR60">
        <v>1.8767100000000001</v>
      </c>
      <c r="HS60">
        <v>1.8830899999999999</v>
      </c>
      <c r="HT60">
        <v>1.8820300000000001</v>
      </c>
      <c r="HU60">
        <v>1.8855599999999999</v>
      </c>
      <c r="HV60">
        <v>0</v>
      </c>
      <c r="HW60">
        <v>0</v>
      </c>
      <c r="HX60">
        <v>0</v>
      </c>
      <c r="HY60">
        <v>0</v>
      </c>
      <c r="HZ60" t="s">
        <v>425</v>
      </c>
      <c r="IA60" t="s">
        <v>426</v>
      </c>
      <c r="IB60" t="s">
        <v>427</v>
      </c>
      <c r="IC60" t="s">
        <v>427</v>
      </c>
      <c r="ID60" t="s">
        <v>427</v>
      </c>
      <c r="IE60" t="s">
        <v>427</v>
      </c>
      <c r="IF60">
        <v>0</v>
      </c>
      <c r="IG60">
        <v>100</v>
      </c>
      <c r="IH60">
        <v>100</v>
      </c>
      <c r="II60">
        <v>-0.5</v>
      </c>
      <c r="IJ60">
        <v>4.8300000000000003E-2</v>
      </c>
      <c r="IK60">
        <v>-0.46129705760053219</v>
      </c>
      <c r="IL60">
        <v>-4.2852564239613137E-4</v>
      </c>
      <c r="IM60">
        <v>6.4980710991155998E-7</v>
      </c>
      <c r="IN60">
        <v>-2.7237938963984961E-10</v>
      </c>
      <c r="IO60">
        <v>-1.0141258179395689E-2</v>
      </c>
      <c r="IP60">
        <v>6.6907473102813496E-3</v>
      </c>
      <c r="IQ60">
        <v>-3.3673306238274028E-4</v>
      </c>
      <c r="IR60">
        <v>6.1311374003140313E-6</v>
      </c>
      <c r="IS60">
        <v>3</v>
      </c>
      <c r="IT60">
        <v>2101</v>
      </c>
      <c r="IU60">
        <v>1</v>
      </c>
      <c r="IV60">
        <v>32</v>
      </c>
      <c r="IW60">
        <v>0.7</v>
      </c>
      <c r="IX60">
        <v>0.6</v>
      </c>
      <c r="IY60">
        <v>2.4865699999999999</v>
      </c>
      <c r="IZ60">
        <v>2.7063000000000001</v>
      </c>
      <c r="JA60">
        <v>1.6003400000000001</v>
      </c>
      <c r="JB60">
        <v>2.3315399999999999</v>
      </c>
      <c r="JC60">
        <v>1.5502899999999999</v>
      </c>
      <c r="JD60">
        <v>2.47681</v>
      </c>
      <c r="JE60">
        <v>48.950299999999999</v>
      </c>
      <c r="JF60">
        <v>24.14</v>
      </c>
      <c r="JG60">
        <v>18</v>
      </c>
      <c r="JH60">
        <v>596.20399999999995</v>
      </c>
      <c r="JI60">
        <v>382.61399999999998</v>
      </c>
      <c r="JJ60">
        <v>27.027100000000001</v>
      </c>
      <c r="JK60">
        <v>33.247599999999998</v>
      </c>
      <c r="JL60">
        <v>30.000299999999999</v>
      </c>
      <c r="JM60">
        <v>33.368200000000002</v>
      </c>
      <c r="JN60">
        <v>33.366999999999997</v>
      </c>
      <c r="JO60">
        <v>49.771799999999999</v>
      </c>
      <c r="JP60">
        <v>24.939800000000002</v>
      </c>
      <c r="JQ60">
        <v>0</v>
      </c>
      <c r="JR60">
        <v>27.026800000000001</v>
      </c>
      <c r="JS60">
        <v>1200</v>
      </c>
      <c r="JT60">
        <v>22.981200000000001</v>
      </c>
      <c r="JU60">
        <v>98.991799999999998</v>
      </c>
      <c r="JV60">
        <v>98.954899999999995</v>
      </c>
    </row>
    <row r="61" spans="1:282" x14ac:dyDescent="0.25">
      <c r="A61">
        <v>45</v>
      </c>
      <c r="B61">
        <v>1689007468.0999999</v>
      </c>
      <c r="C61">
        <v>7645.5</v>
      </c>
      <c r="D61" t="s">
        <v>647</v>
      </c>
      <c r="E61" t="s">
        <v>648</v>
      </c>
      <c r="F61" t="s">
        <v>414</v>
      </c>
      <c r="G61" t="s">
        <v>415</v>
      </c>
      <c r="H61" t="s">
        <v>577</v>
      </c>
      <c r="I61" t="s">
        <v>578</v>
      </c>
      <c r="J61" t="s">
        <v>416</v>
      </c>
      <c r="K61">
        <v>1689007468.0999999</v>
      </c>
      <c r="L61">
        <f t="shared" si="46"/>
        <v>4.3364737077680564E-3</v>
      </c>
      <c r="M61">
        <f t="shared" si="47"/>
        <v>4.3364737077680564</v>
      </c>
      <c r="N61">
        <f t="shared" si="48"/>
        <v>48.868297808849427</v>
      </c>
      <c r="O61">
        <f t="shared" si="49"/>
        <v>1434.03</v>
      </c>
      <c r="P61">
        <f t="shared" si="50"/>
        <v>1125.6044991693702</v>
      </c>
      <c r="Q61">
        <f t="shared" si="51"/>
        <v>111.646457938007</v>
      </c>
      <c r="R61">
        <f t="shared" si="52"/>
        <v>142.23856620597002</v>
      </c>
      <c r="S61">
        <f t="shared" si="53"/>
        <v>0.29588083103532087</v>
      </c>
      <c r="T61">
        <f t="shared" si="54"/>
        <v>2.9152463550720578</v>
      </c>
      <c r="U61">
        <f t="shared" si="55"/>
        <v>0.28015241828759757</v>
      </c>
      <c r="V61">
        <f t="shared" si="56"/>
        <v>0.17643869108055676</v>
      </c>
      <c r="W61">
        <f t="shared" si="57"/>
        <v>289.58504332697686</v>
      </c>
      <c r="X61">
        <f t="shared" si="58"/>
        <v>30.731640617668717</v>
      </c>
      <c r="Y61">
        <f t="shared" si="59"/>
        <v>30.0444</v>
      </c>
      <c r="Z61">
        <f t="shared" si="60"/>
        <v>4.2713272780304825</v>
      </c>
      <c r="AA61">
        <f t="shared" si="61"/>
        <v>64.938666429623567</v>
      </c>
      <c r="AB61">
        <f t="shared" si="62"/>
        <v>2.7906543518650002</v>
      </c>
      <c r="AC61">
        <f t="shared" si="63"/>
        <v>4.2973693568058344</v>
      </c>
      <c r="AD61">
        <f t="shared" si="64"/>
        <v>1.4806729261654823</v>
      </c>
      <c r="AE61">
        <f t="shared" si="65"/>
        <v>-191.23849051257127</v>
      </c>
      <c r="AF61">
        <f t="shared" si="66"/>
        <v>16.643960042283179</v>
      </c>
      <c r="AG61">
        <f t="shared" si="67"/>
        <v>1.2706883332546164</v>
      </c>
      <c r="AH61">
        <f t="shared" si="68"/>
        <v>116.26120118994338</v>
      </c>
      <c r="AI61">
        <v>0</v>
      </c>
      <c r="AJ61">
        <v>0</v>
      </c>
      <c r="AK61">
        <f t="shared" si="69"/>
        <v>1</v>
      </c>
      <c r="AL61">
        <f t="shared" si="70"/>
        <v>0</v>
      </c>
      <c r="AM61">
        <f t="shared" si="71"/>
        <v>51900.069195587057</v>
      </c>
      <c r="AN61" t="s">
        <v>419</v>
      </c>
      <c r="AO61">
        <v>9967.0300000000007</v>
      </c>
      <c r="AP61">
        <v>178.94153846153841</v>
      </c>
      <c r="AQ61">
        <v>603.15</v>
      </c>
      <c r="AR61">
        <f t="shared" si="72"/>
        <v>0.7033216638290003</v>
      </c>
      <c r="AS61">
        <v>-3.2649104154664181</v>
      </c>
      <c r="AT61" t="s">
        <v>649</v>
      </c>
      <c r="AU61">
        <v>8059.47</v>
      </c>
      <c r="AV61">
        <v>714.41980000000001</v>
      </c>
      <c r="AW61">
        <v>1154.2344544705909</v>
      </c>
      <c r="AX61">
        <f t="shared" si="73"/>
        <v>0.38104446871005881</v>
      </c>
      <c r="AY61">
        <v>0.5</v>
      </c>
      <c r="AZ61">
        <f t="shared" si="74"/>
        <v>1513.2851996512834</v>
      </c>
      <c r="BA61">
        <f t="shared" si="75"/>
        <v>48.868297808849427</v>
      </c>
      <c r="BB61">
        <f t="shared" si="76"/>
        <v>288.31447745395928</v>
      </c>
      <c r="BC61">
        <f t="shared" si="77"/>
        <v>3.4450352277501463E-2</v>
      </c>
      <c r="BD61">
        <f t="shared" si="78"/>
        <v>-0.47744585368780651</v>
      </c>
      <c r="BE61">
        <f t="shared" si="79"/>
        <v>208.4710065515257</v>
      </c>
      <c r="BF61" t="s">
        <v>650</v>
      </c>
      <c r="BG61">
        <v>551.69000000000005</v>
      </c>
      <c r="BH61">
        <f t="shared" si="80"/>
        <v>551.69000000000005</v>
      </c>
      <c r="BI61">
        <f t="shared" si="81"/>
        <v>0.52202951673883102</v>
      </c>
      <c r="BJ61">
        <f t="shared" si="82"/>
        <v>0.72992897238930188</v>
      </c>
      <c r="BK61">
        <f t="shared" si="83"/>
        <v>-10.708986678402482</v>
      </c>
      <c r="BL61">
        <f t="shared" si="84"/>
        <v>0.45095647394870297</v>
      </c>
      <c r="BM61">
        <f t="shared" si="85"/>
        <v>-1.2990887840190475</v>
      </c>
      <c r="BN61">
        <f t="shared" si="86"/>
        <v>0.56366650921132644</v>
      </c>
      <c r="BO61">
        <f t="shared" si="87"/>
        <v>0.43633349078867356</v>
      </c>
      <c r="BP61">
        <v>6125</v>
      </c>
      <c r="BQ61">
        <v>290.00000000000011</v>
      </c>
      <c r="BR61">
        <v>1007.43</v>
      </c>
      <c r="BS61">
        <v>275</v>
      </c>
      <c r="BT61">
        <v>8059.47</v>
      </c>
      <c r="BU61">
        <v>1010.33</v>
      </c>
      <c r="BV61">
        <v>-2.9</v>
      </c>
      <c r="BW61">
        <v>300.00000000000011</v>
      </c>
      <c r="BX61">
        <v>19.3</v>
      </c>
      <c r="BY61">
        <v>1154.2344544705909</v>
      </c>
      <c r="BZ61">
        <v>4.8705245013450291</v>
      </c>
      <c r="CA61">
        <v>-115.97794840931159</v>
      </c>
      <c r="CB61">
        <v>3.6059601302265358</v>
      </c>
      <c r="CC61">
        <v>0.97364578902389953</v>
      </c>
      <c r="CD61">
        <v>-4.1581690767519492E-3</v>
      </c>
      <c r="CE61">
        <v>289.99999999999989</v>
      </c>
      <c r="CF61">
        <v>1004.66</v>
      </c>
      <c r="CG61">
        <v>675</v>
      </c>
      <c r="CH61">
        <v>8049.36</v>
      </c>
      <c r="CI61">
        <v>1010.15</v>
      </c>
      <c r="CJ61">
        <v>-5.49</v>
      </c>
      <c r="CX61">
        <f t="shared" si="88"/>
        <v>1800.12</v>
      </c>
      <c r="CY61">
        <f t="shared" si="89"/>
        <v>1513.2851996512834</v>
      </c>
      <c r="CZ61">
        <f t="shared" si="90"/>
        <v>0.84065795594253911</v>
      </c>
      <c r="DA61">
        <f t="shared" si="91"/>
        <v>0.16086985496910033</v>
      </c>
      <c r="DB61">
        <v>6</v>
      </c>
      <c r="DC61">
        <v>0.5</v>
      </c>
      <c r="DD61" t="s">
        <v>422</v>
      </c>
      <c r="DE61">
        <v>2</v>
      </c>
      <c r="DF61">
        <v>1689007468.0999999</v>
      </c>
      <c r="DG61">
        <v>1434.03</v>
      </c>
      <c r="DH61">
        <v>1500.11</v>
      </c>
      <c r="DI61">
        <v>28.135000000000002</v>
      </c>
      <c r="DJ61">
        <v>23.079499999999999</v>
      </c>
      <c r="DK61">
        <v>1434.47</v>
      </c>
      <c r="DL61">
        <v>28.09</v>
      </c>
      <c r="DM61">
        <v>500.18400000000003</v>
      </c>
      <c r="DN61">
        <v>99.087800000000001</v>
      </c>
      <c r="DO61">
        <v>0.100199</v>
      </c>
      <c r="DP61">
        <v>30.150300000000001</v>
      </c>
      <c r="DQ61">
        <v>30.0444</v>
      </c>
      <c r="DR61">
        <v>999.9</v>
      </c>
      <c r="DS61">
        <v>0</v>
      </c>
      <c r="DT61">
        <v>0</v>
      </c>
      <c r="DU61">
        <v>10010</v>
      </c>
      <c r="DV61">
        <v>0</v>
      </c>
      <c r="DW61">
        <v>2147.34</v>
      </c>
      <c r="DX61">
        <v>-66.079099999999997</v>
      </c>
      <c r="DY61">
        <v>1475.54</v>
      </c>
      <c r="DZ61">
        <v>1535.55</v>
      </c>
      <c r="EA61">
        <v>5.0555399999999997</v>
      </c>
      <c r="EB61">
        <v>1500.11</v>
      </c>
      <c r="EC61">
        <v>23.079499999999999</v>
      </c>
      <c r="ED61">
        <v>2.7878400000000001</v>
      </c>
      <c r="EE61">
        <v>2.2868900000000001</v>
      </c>
      <c r="EF61">
        <v>22.812200000000001</v>
      </c>
      <c r="EG61">
        <v>19.584399999999999</v>
      </c>
      <c r="EH61">
        <v>1800.12</v>
      </c>
      <c r="EI61">
        <v>0.97800600000000004</v>
      </c>
      <c r="EJ61">
        <v>2.1994099999999999E-2</v>
      </c>
      <c r="EK61">
        <v>0</v>
      </c>
      <c r="EL61">
        <v>714.36099999999999</v>
      </c>
      <c r="EM61">
        <v>5.0005300000000004</v>
      </c>
      <c r="EN61">
        <v>15442.4</v>
      </c>
      <c r="EO61">
        <v>16036.4</v>
      </c>
      <c r="EP61">
        <v>46.875</v>
      </c>
      <c r="EQ61">
        <v>48.561999999999998</v>
      </c>
      <c r="ER61">
        <v>47.436999999999998</v>
      </c>
      <c r="ES61">
        <v>47.811999999999998</v>
      </c>
      <c r="ET61">
        <v>48.186999999999998</v>
      </c>
      <c r="EU61">
        <v>1755.64</v>
      </c>
      <c r="EV61">
        <v>39.479999999999997</v>
      </c>
      <c r="EW61">
        <v>0</v>
      </c>
      <c r="EX61">
        <v>117.5999999046326</v>
      </c>
      <c r="EY61">
        <v>0</v>
      </c>
      <c r="EZ61">
        <v>714.41980000000001</v>
      </c>
      <c r="FA61">
        <v>-0.25476922791747753</v>
      </c>
      <c r="FB61">
        <v>26.89230788948905</v>
      </c>
      <c r="FC61">
        <v>15440.98</v>
      </c>
      <c r="FD61">
        <v>15</v>
      </c>
      <c r="FE61">
        <v>1689007431.5999999</v>
      </c>
      <c r="FF61" t="s">
        <v>651</v>
      </c>
      <c r="FG61">
        <v>1689007426.0999999</v>
      </c>
      <c r="FH61">
        <v>1689007431.5999999</v>
      </c>
      <c r="FI61">
        <v>49</v>
      </c>
      <c r="FJ61">
        <v>0.106</v>
      </c>
      <c r="FK61">
        <v>-3.0000000000000001E-3</v>
      </c>
      <c r="FL61">
        <v>-0.45600000000000002</v>
      </c>
      <c r="FM61">
        <v>3.6999999999999998E-2</v>
      </c>
      <c r="FN61">
        <v>1500</v>
      </c>
      <c r="FO61">
        <v>23</v>
      </c>
      <c r="FP61">
        <v>0.04</v>
      </c>
      <c r="FQ61">
        <v>0.03</v>
      </c>
      <c r="FR61">
        <v>48.836030755479342</v>
      </c>
      <c r="FS61">
        <v>-0.68590255591836902</v>
      </c>
      <c r="FT61">
        <v>9.7990499820873045E-2</v>
      </c>
      <c r="FU61">
        <v>1</v>
      </c>
      <c r="FV61">
        <v>0.29643513407467531</v>
      </c>
      <c r="FW61">
        <v>3.0401250316076469E-3</v>
      </c>
      <c r="FX61">
        <v>5.1441834480382904E-4</v>
      </c>
      <c r="FY61">
        <v>1</v>
      </c>
      <c r="FZ61">
        <v>2</v>
      </c>
      <c r="GA61">
        <v>2</v>
      </c>
      <c r="GB61" t="s">
        <v>424</v>
      </c>
      <c r="GC61">
        <v>3.1188199999999999</v>
      </c>
      <c r="GD61">
        <v>2.7675900000000002</v>
      </c>
      <c r="GE61">
        <v>0.21057999999999999</v>
      </c>
      <c r="GF61">
        <v>0.216029</v>
      </c>
      <c r="GG61">
        <v>0.119811</v>
      </c>
      <c r="GH61">
        <v>0.104589</v>
      </c>
      <c r="GI61">
        <v>18906.3</v>
      </c>
      <c r="GJ61">
        <v>19457.599999999999</v>
      </c>
      <c r="GK61">
        <v>23811.599999999999</v>
      </c>
      <c r="GL61">
        <v>25132.7</v>
      </c>
      <c r="GM61">
        <v>30199</v>
      </c>
      <c r="GN61">
        <v>31557.9</v>
      </c>
      <c r="GO61">
        <v>37946.6</v>
      </c>
      <c r="GP61">
        <v>39093.699999999997</v>
      </c>
      <c r="GQ61">
        <v>2.1549700000000001</v>
      </c>
      <c r="GR61">
        <v>1.7387300000000001</v>
      </c>
      <c r="GS61">
        <v>3.9055899999999998E-2</v>
      </c>
      <c r="GT61">
        <v>0</v>
      </c>
      <c r="GU61">
        <v>29.4085</v>
      </c>
      <c r="GV61">
        <v>999.9</v>
      </c>
      <c r="GW61">
        <v>29.9</v>
      </c>
      <c r="GX61">
        <v>45.6</v>
      </c>
      <c r="GY61">
        <v>29.996300000000002</v>
      </c>
      <c r="GZ61">
        <v>61.048099999999998</v>
      </c>
      <c r="HA61">
        <v>27.9848</v>
      </c>
      <c r="HB61">
        <v>1</v>
      </c>
      <c r="HC61">
        <v>0.48294199999999998</v>
      </c>
      <c r="HD61">
        <v>2.4910800000000002</v>
      </c>
      <c r="HE61">
        <v>20.299900000000001</v>
      </c>
      <c r="HF61">
        <v>5.2512800000000004</v>
      </c>
      <c r="HG61">
        <v>12.0099</v>
      </c>
      <c r="HH61">
        <v>4.9791499999999997</v>
      </c>
      <c r="HI61">
        <v>3.2930000000000001</v>
      </c>
      <c r="HJ61">
        <v>9999</v>
      </c>
      <c r="HK61">
        <v>9999</v>
      </c>
      <c r="HL61">
        <v>9999</v>
      </c>
      <c r="HM61">
        <v>233.5</v>
      </c>
      <c r="HN61">
        <v>1.87561</v>
      </c>
      <c r="HO61">
        <v>1.8766799999999999</v>
      </c>
      <c r="HP61">
        <v>1.88266</v>
      </c>
      <c r="HQ61">
        <v>1.8858999999999999</v>
      </c>
      <c r="HR61">
        <v>1.8767199999999999</v>
      </c>
      <c r="HS61">
        <v>1.8830899999999999</v>
      </c>
      <c r="HT61">
        <v>1.8820399999999999</v>
      </c>
      <c r="HU61">
        <v>1.8855599999999999</v>
      </c>
      <c r="HV61">
        <v>0</v>
      </c>
      <c r="HW61">
        <v>0</v>
      </c>
      <c r="HX61">
        <v>0</v>
      </c>
      <c r="HY61">
        <v>0</v>
      </c>
      <c r="HZ61" t="s">
        <v>425</v>
      </c>
      <c r="IA61" t="s">
        <v>426</v>
      </c>
      <c r="IB61" t="s">
        <v>427</v>
      </c>
      <c r="IC61" t="s">
        <v>427</v>
      </c>
      <c r="ID61" t="s">
        <v>427</v>
      </c>
      <c r="IE61" t="s">
        <v>427</v>
      </c>
      <c r="IF61">
        <v>0</v>
      </c>
      <c r="IG61">
        <v>100</v>
      </c>
      <c r="IH61">
        <v>100</v>
      </c>
      <c r="II61">
        <v>-0.44</v>
      </c>
      <c r="IJ61">
        <v>4.4999999999999998E-2</v>
      </c>
      <c r="IK61">
        <v>-0.3555593735049421</v>
      </c>
      <c r="IL61">
        <v>-4.2852564239613137E-4</v>
      </c>
      <c r="IM61">
        <v>6.4980710991155998E-7</v>
      </c>
      <c r="IN61">
        <v>-2.7237938963984961E-10</v>
      </c>
      <c r="IO61">
        <v>-1.3166318516304849E-2</v>
      </c>
      <c r="IP61">
        <v>6.6907473102813496E-3</v>
      </c>
      <c r="IQ61">
        <v>-3.3673306238274028E-4</v>
      </c>
      <c r="IR61">
        <v>6.1311374003140313E-6</v>
      </c>
      <c r="IS61">
        <v>3</v>
      </c>
      <c r="IT61">
        <v>2101</v>
      </c>
      <c r="IU61">
        <v>1</v>
      </c>
      <c r="IV61">
        <v>32</v>
      </c>
      <c r="IW61">
        <v>0.7</v>
      </c>
      <c r="IX61">
        <v>0.6</v>
      </c>
      <c r="IY61">
        <v>2.9834000000000001</v>
      </c>
      <c r="IZ61">
        <v>2.7014200000000002</v>
      </c>
      <c r="JA61">
        <v>1.6015600000000001</v>
      </c>
      <c r="JB61">
        <v>2.3303199999999999</v>
      </c>
      <c r="JC61">
        <v>1.5502899999999999</v>
      </c>
      <c r="JD61">
        <v>2.48169</v>
      </c>
      <c r="JE61">
        <v>49.043999999999997</v>
      </c>
      <c r="JF61">
        <v>24.14</v>
      </c>
      <c r="JG61">
        <v>18</v>
      </c>
      <c r="JH61">
        <v>596.62099999999998</v>
      </c>
      <c r="JI61">
        <v>382.55200000000002</v>
      </c>
      <c r="JJ61">
        <v>27.260400000000001</v>
      </c>
      <c r="JK61">
        <v>33.287599999999998</v>
      </c>
      <c r="JL61">
        <v>30.000499999999999</v>
      </c>
      <c r="JM61">
        <v>33.4101</v>
      </c>
      <c r="JN61">
        <v>33.410299999999999</v>
      </c>
      <c r="JO61">
        <v>59.702599999999997</v>
      </c>
      <c r="JP61">
        <v>25.283999999999999</v>
      </c>
      <c r="JQ61">
        <v>0</v>
      </c>
      <c r="JR61">
        <v>27.218800000000002</v>
      </c>
      <c r="JS61">
        <v>1500</v>
      </c>
      <c r="JT61">
        <v>23.046800000000001</v>
      </c>
      <c r="JU61">
        <v>98.9846</v>
      </c>
      <c r="JV61">
        <v>98.952100000000002</v>
      </c>
    </row>
    <row r="62" spans="1:282" x14ac:dyDescent="0.25">
      <c r="A62">
        <v>46</v>
      </c>
      <c r="B62">
        <v>1689008574</v>
      </c>
      <c r="C62">
        <v>8751.4000000953674</v>
      </c>
      <c r="D62" t="s">
        <v>652</v>
      </c>
      <c r="E62" t="s">
        <v>653</v>
      </c>
      <c r="F62" t="s">
        <v>414</v>
      </c>
      <c r="G62" t="s">
        <v>415</v>
      </c>
      <c r="H62" t="s">
        <v>654</v>
      </c>
      <c r="I62" t="s">
        <v>655</v>
      </c>
      <c r="J62" t="s">
        <v>416</v>
      </c>
      <c r="K62">
        <v>1689008574</v>
      </c>
      <c r="L62">
        <f t="shared" si="46"/>
        <v>4.599343625295179E-3</v>
      </c>
      <c r="M62">
        <f t="shared" si="47"/>
        <v>4.5993436252951794</v>
      </c>
      <c r="N62">
        <f t="shared" si="48"/>
        <v>46.096512785769704</v>
      </c>
      <c r="O62">
        <f t="shared" si="49"/>
        <v>342.71699999999998</v>
      </c>
      <c r="P62">
        <f t="shared" si="50"/>
        <v>90.596767105981385</v>
      </c>
      <c r="Q62">
        <f t="shared" si="51"/>
        <v>8.9844042960513679</v>
      </c>
      <c r="R62">
        <f t="shared" si="52"/>
        <v>33.986953237832999</v>
      </c>
      <c r="S62">
        <f t="shared" si="53"/>
        <v>0.31415048834155201</v>
      </c>
      <c r="T62">
        <f t="shared" si="54"/>
        <v>2.9094487148490131</v>
      </c>
      <c r="U62">
        <f t="shared" si="55"/>
        <v>0.29644894405724836</v>
      </c>
      <c r="V62">
        <f t="shared" si="56"/>
        <v>0.18678783412758271</v>
      </c>
      <c r="W62">
        <f t="shared" si="57"/>
        <v>289.59476032648416</v>
      </c>
      <c r="X62">
        <f t="shared" si="58"/>
        <v>30.541566392415316</v>
      </c>
      <c r="Y62">
        <f t="shared" si="59"/>
        <v>29.946300000000001</v>
      </c>
      <c r="Z62">
        <f t="shared" si="60"/>
        <v>4.2473261327470908</v>
      </c>
      <c r="AA62">
        <f t="shared" si="61"/>
        <v>64.752034049626047</v>
      </c>
      <c r="AB62">
        <f t="shared" si="62"/>
        <v>2.7631202478423003</v>
      </c>
      <c r="AC62">
        <f t="shared" si="63"/>
        <v>4.2672331277263673</v>
      </c>
      <c r="AD62">
        <f t="shared" si="64"/>
        <v>1.4842058849047906</v>
      </c>
      <c r="AE62">
        <f t="shared" si="65"/>
        <v>-202.8310538755174</v>
      </c>
      <c r="AF62">
        <f t="shared" si="66"/>
        <v>12.767931807955895</v>
      </c>
      <c r="AG62">
        <f t="shared" si="67"/>
        <v>0.97564775355532707</v>
      </c>
      <c r="AH62">
        <f t="shared" si="68"/>
        <v>100.50728601247799</v>
      </c>
      <c r="AI62">
        <v>0</v>
      </c>
      <c r="AJ62">
        <v>0</v>
      </c>
      <c r="AK62">
        <f t="shared" si="69"/>
        <v>1</v>
      </c>
      <c r="AL62">
        <f t="shared" si="70"/>
        <v>0</v>
      </c>
      <c r="AM62">
        <f t="shared" si="71"/>
        <v>51755.799785623516</v>
      </c>
      <c r="AN62" t="s">
        <v>419</v>
      </c>
      <c r="AO62">
        <v>9967.0300000000007</v>
      </c>
      <c r="AP62">
        <v>178.94153846153841</v>
      </c>
      <c r="AQ62">
        <v>603.15</v>
      </c>
      <c r="AR62">
        <f t="shared" si="72"/>
        <v>0.7033216638290003</v>
      </c>
      <c r="AS62">
        <v>-3.2649104154664181</v>
      </c>
      <c r="AT62" t="s">
        <v>656</v>
      </c>
      <c r="AU62">
        <v>8056.44</v>
      </c>
      <c r="AV62">
        <v>716.08273076923069</v>
      </c>
      <c r="AW62">
        <v>1135.4140202762251</v>
      </c>
      <c r="AX62">
        <f t="shared" si="73"/>
        <v>0.36932016164903347</v>
      </c>
      <c r="AY62">
        <v>0.5</v>
      </c>
      <c r="AZ62">
        <f t="shared" si="74"/>
        <v>1513.328099651028</v>
      </c>
      <c r="BA62">
        <f t="shared" si="75"/>
        <v>46.096512785769704</v>
      </c>
      <c r="BB62">
        <f t="shared" si="76"/>
        <v>279.45128919557112</v>
      </c>
      <c r="BC62">
        <f t="shared" si="77"/>
        <v>3.2617793334187621E-2</v>
      </c>
      <c r="BD62">
        <f t="shared" si="78"/>
        <v>-0.4687840829609759</v>
      </c>
      <c r="BE62">
        <f t="shared" si="79"/>
        <v>207.84874292268609</v>
      </c>
      <c r="BF62" t="s">
        <v>657</v>
      </c>
      <c r="BG62">
        <v>548.23</v>
      </c>
      <c r="BH62">
        <f t="shared" si="80"/>
        <v>548.23</v>
      </c>
      <c r="BI62">
        <f t="shared" si="81"/>
        <v>0.51715410395705175</v>
      </c>
      <c r="BJ62">
        <f t="shared" si="82"/>
        <v>0.71413947762020358</v>
      </c>
      <c r="BK62">
        <f t="shared" si="83"/>
        <v>-9.6916245498220235</v>
      </c>
      <c r="BL62">
        <f t="shared" si="84"/>
        <v>0.43841437937807642</v>
      </c>
      <c r="BM62">
        <f t="shared" si="85"/>
        <v>-1.2547227802714787</v>
      </c>
      <c r="BN62">
        <f t="shared" si="86"/>
        <v>0.54674225336387228</v>
      </c>
      <c r="BO62">
        <f t="shared" si="87"/>
        <v>0.45325774663612772</v>
      </c>
      <c r="BP62">
        <v>6127</v>
      </c>
      <c r="BQ62">
        <v>290.00000000000011</v>
      </c>
      <c r="BR62">
        <v>1000.37</v>
      </c>
      <c r="BS62">
        <v>295</v>
      </c>
      <c r="BT62">
        <v>8056.44</v>
      </c>
      <c r="BU62">
        <v>1002.85</v>
      </c>
      <c r="BV62">
        <v>-2.48</v>
      </c>
      <c r="BW62">
        <v>300.00000000000011</v>
      </c>
      <c r="BX62">
        <v>19.3</v>
      </c>
      <c r="BY62">
        <v>1135.4140202762251</v>
      </c>
      <c r="BZ62">
        <v>4.1702343955957826</v>
      </c>
      <c r="CA62">
        <v>-106.7962172055192</v>
      </c>
      <c r="CB62">
        <v>3.0865304436570291</v>
      </c>
      <c r="CC62">
        <v>0.9771467889429547</v>
      </c>
      <c r="CD62">
        <v>-4.1571228031145767E-3</v>
      </c>
      <c r="CE62">
        <v>289.99999999999989</v>
      </c>
      <c r="CF62">
        <v>999.3</v>
      </c>
      <c r="CG62">
        <v>655</v>
      </c>
      <c r="CH62">
        <v>8047.43</v>
      </c>
      <c r="CI62">
        <v>1002.71</v>
      </c>
      <c r="CJ62">
        <v>-3.41</v>
      </c>
      <c r="CX62">
        <f t="shared" si="88"/>
        <v>1800.17</v>
      </c>
      <c r="CY62">
        <f t="shared" si="89"/>
        <v>1513.328099651028</v>
      </c>
      <c r="CZ62">
        <f t="shared" si="90"/>
        <v>0.84065843762035142</v>
      </c>
      <c r="DA62">
        <f t="shared" si="91"/>
        <v>0.16087078460727827</v>
      </c>
      <c r="DB62">
        <v>6</v>
      </c>
      <c r="DC62">
        <v>0.5</v>
      </c>
      <c r="DD62" t="s">
        <v>422</v>
      </c>
      <c r="DE62">
        <v>2</v>
      </c>
      <c r="DF62">
        <v>1689008574</v>
      </c>
      <c r="DG62">
        <v>342.71699999999998</v>
      </c>
      <c r="DH62">
        <v>399.92399999999998</v>
      </c>
      <c r="DI62">
        <v>27.8627</v>
      </c>
      <c r="DJ62">
        <v>22.497299999999999</v>
      </c>
      <c r="DK62">
        <v>343.20299999999997</v>
      </c>
      <c r="DL62">
        <v>27.8125</v>
      </c>
      <c r="DM62">
        <v>500.00299999999999</v>
      </c>
      <c r="DN62">
        <v>99.069100000000006</v>
      </c>
      <c r="DO62">
        <v>0.100049</v>
      </c>
      <c r="DP62">
        <v>30.027699999999999</v>
      </c>
      <c r="DQ62">
        <v>29.946300000000001</v>
      </c>
      <c r="DR62">
        <v>999.9</v>
      </c>
      <c r="DS62">
        <v>0</v>
      </c>
      <c r="DT62">
        <v>0</v>
      </c>
      <c r="DU62">
        <v>9978.75</v>
      </c>
      <c r="DV62">
        <v>0</v>
      </c>
      <c r="DW62">
        <v>556.39200000000005</v>
      </c>
      <c r="DX62">
        <v>-57.206699999999998</v>
      </c>
      <c r="DY62">
        <v>352.54</v>
      </c>
      <c r="DZ62">
        <v>409.12799999999999</v>
      </c>
      <c r="EA62">
        <v>5.3653700000000004</v>
      </c>
      <c r="EB62">
        <v>399.92399999999998</v>
      </c>
      <c r="EC62">
        <v>22.497299999999999</v>
      </c>
      <c r="ED62">
        <v>2.7603300000000002</v>
      </c>
      <c r="EE62">
        <v>2.22879</v>
      </c>
      <c r="EF62">
        <v>22.648800000000001</v>
      </c>
      <c r="EG62">
        <v>19.1708</v>
      </c>
      <c r="EH62">
        <v>1800.17</v>
      </c>
      <c r="EI62">
        <v>0.977993</v>
      </c>
      <c r="EJ62">
        <v>2.20073E-2</v>
      </c>
      <c r="EK62">
        <v>0</v>
      </c>
      <c r="EL62">
        <v>715.69</v>
      </c>
      <c r="EM62">
        <v>5.0005300000000004</v>
      </c>
      <c r="EN62">
        <v>14359.7</v>
      </c>
      <c r="EO62">
        <v>16036.7</v>
      </c>
      <c r="EP62">
        <v>47.311999999999998</v>
      </c>
      <c r="EQ62">
        <v>48.125</v>
      </c>
      <c r="ER62">
        <v>47.686999999999998</v>
      </c>
      <c r="ES62">
        <v>47.75</v>
      </c>
      <c r="ET62">
        <v>48.5</v>
      </c>
      <c r="EU62">
        <v>1755.66</v>
      </c>
      <c r="EV62">
        <v>39.51</v>
      </c>
      <c r="EW62">
        <v>0</v>
      </c>
      <c r="EX62">
        <v>1104</v>
      </c>
      <c r="EY62">
        <v>0</v>
      </c>
      <c r="EZ62">
        <v>716.08273076923069</v>
      </c>
      <c r="FA62">
        <v>-1.676957263694429</v>
      </c>
      <c r="FB62">
        <v>57.131624065475087</v>
      </c>
      <c r="FC62">
        <v>14348.73461538461</v>
      </c>
      <c r="FD62">
        <v>15</v>
      </c>
      <c r="FE62">
        <v>1689008531</v>
      </c>
      <c r="FF62" t="s">
        <v>658</v>
      </c>
      <c r="FG62">
        <v>1689008521</v>
      </c>
      <c r="FH62">
        <v>1689008531</v>
      </c>
      <c r="FI62">
        <v>51</v>
      </c>
      <c r="FJ62">
        <v>6.4000000000000001E-2</v>
      </c>
      <c r="FK62">
        <v>1.0999999999999999E-2</v>
      </c>
      <c r="FL62">
        <v>-0.48899999999999999</v>
      </c>
      <c r="FM62">
        <v>4.2999999999999997E-2</v>
      </c>
      <c r="FN62">
        <v>400</v>
      </c>
      <c r="FO62">
        <v>23</v>
      </c>
      <c r="FP62">
        <v>0.05</v>
      </c>
      <c r="FQ62">
        <v>0.02</v>
      </c>
      <c r="FR62">
        <v>46.091002574191037</v>
      </c>
      <c r="FS62">
        <v>-0.1193975129220223</v>
      </c>
      <c r="FT62">
        <v>4.1439582057362173E-2</v>
      </c>
      <c r="FU62">
        <v>1</v>
      </c>
      <c r="FV62">
        <v>0.31906184548006938</v>
      </c>
      <c r="FW62">
        <v>-4.9411639765516539E-2</v>
      </c>
      <c r="FX62">
        <v>3.6285607144795908E-3</v>
      </c>
      <c r="FY62">
        <v>1</v>
      </c>
      <c r="FZ62">
        <v>2</v>
      </c>
      <c r="GA62">
        <v>2</v>
      </c>
      <c r="GB62" t="s">
        <v>424</v>
      </c>
      <c r="GC62">
        <v>3.1202700000000001</v>
      </c>
      <c r="GD62">
        <v>2.7671700000000001</v>
      </c>
      <c r="GE62">
        <v>7.8712400000000002E-2</v>
      </c>
      <c r="GF62">
        <v>8.8761800000000002E-2</v>
      </c>
      <c r="GG62">
        <v>0.11877699999999999</v>
      </c>
      <c r="GH62">
        <v>0.10252699999999999</v>
      </c>
      <c r="GI62">
        <v>22022</v>
      </c>
      <c r="GJ62">
        <v>22569.200000000001</v>
      </c>
      <c r="GK62">
        <v>23763.200000000001</v>
      </c>
      <c r="GL62">
        <v>25077</v>
      </c>
      <c r="GM62">
        <v>30175.5</v>
      </c>
      <c r="GN62">
        <v>31566.799999999999</v>
      </c>
      <c r="GO62">
        <v>37872.9</v>
      </c>
      <c r="GP62">
        <v>39015.4</v>
      </c>
      <c r="GQ62">
        <v>2.1496300000000002</v>
      </c>
      <c r="GR62">
        <v>1.7172799999999999</v>
      </c>
      <c r="GS62">
        <v>5.9902700000000003E-2</v>
      </c>
      <c r="GT62">
        <v>0</v>
      </c>
      <c r="GU62">
        <v>28.970600000000001</v>
      </c>
      <c r="GV62">
        <v>999.9</v>
      </c>
      <c r="GW62">
        <v>30.7</v>
      </c>
      <c r="GX62">
        <v>45.8</v>
      </c>
      <c r="GY62">
        <v>31.1235</v>
      </c>
      <c r="GZ62">
        <v>61.118099999999998</v>
      </c>
      <c r="HA62">
        <v>27.9848</v>
      </c>
      <c r="HB62">
        <v>1</v>
      </c>
      <c r="HC62">
        <v>0.56930599999999998</v>
      </c>
      <c r="HD62">
        <v>0.79788400000000004</v>
      </c>
      <c r="HE62">
        <v>20.3689</v>
      </c>
      <c r="HF62">
        <v>5.2449899999999996</v>
      </c>
      <c r="HG62">
        <v>12.0099</v>
      </c>
      <c r="HH62">
        <v>4.9783499999999998</v>
      </c>
      <c r="HI62">
        <v>3.2922500000000001</v>
      </c>
      <c r="HJ62">
        <v>9999</v>
      </c>
      <c r="HK62">
        <v>9999</v>
      </c>
      <c r="HL62">
        <v>9999</v>
      </c>
      <c r="HM62">
        <v>233.8</v>
      </c>
      <c r="HN62">
        <v>1.8755599999999999</v>
      </c>
      <c r="HO62">
        <v>1.8766400000000001</v>
      </c>
      <c r="HP62">
        <v>1.88263</v>
      </c>
      <c r="HQ62">
        <v>1.88585</v>
      </c>
      <c r="HR62">
        <v>1.8766799999999999</v>
      </c>
      <c r="HS62">
        <v>1.8830899999999999</v>
      </c>
      <c r="HT62">
        <v>1.88202</v>
      </c>
      <c r="HU62">
        <v>1.8855299999999999</v>
      </c>
      <c r="HV62">
        <v>0</v>
      </c>
      <c r="HW62">
        <v>0</v>
      </c>
      <c r="HX62">
        <v>0</v>
      </c>
      <c r="HY62">
        <v>0</v>
      </c>
      <c r="HZ62" t="s">
        <v>425</v>
      </c>
      <c r="IA62" t="s">
        <v>426</v>
      </c>
      <c r="IB62" t="s">
        <v>427</v>
      </c>
      <c r="IC62" t="s">
        <v>427</v>
      </c>
      <c r="ID62" t="s">
        <v>427</v>
      </c>
      <c r="IE62" t="s">
        <v>427</v>
      </c>
      <c r="IF62">
        <v>0</v>
      </c>
      <c r="IG62">
        <v>100</v>
      </c>
      <c r="IH62">
        <v>100</v>
      </c>
      <c r="II62">
        <v>-0.48599999999999999</v>
      </c>
      <c r="IJ62">
        <v>5.0200000000000002E-2</v>
      </c>
      <c r="IK62">
        <v>-0.40420320563245837</v>
      </c>
      <c r="IL62">
        <v>-4.2852564239613137E-4</v>
      </c>
      <c r="IM62">
        <v>6.4980710991155998E-7</v>
      </c>
      <c r="IN62">
        <v>-2.7237938963984961E-10</v>
      </c>
      <c r="IO62">
        <v>-7.2950754809849149E-3</v>
      </c>
      <c r="IP62">
        <v>6.6907473102813496E-3</v>
      </c>
      <c r="IQ62">
        <v>-3.3673306238274028E-4</v>
      </c>
      <c r="IR62">
        <v>6.1311374003140313E-6</v>
      </c>
      <c r="IS62">
        <v>3</v>
      </c>
      <c r="IT62">
        <v>2101</v>
      </c>
      <c r="IU62">
        <v>1</v>
      </c>
      <c r="IV62">
        <v>32</v>
      </c>
      <c r="IW62">
        <v>0.9</v>
      </c>
      <c r="IX62">
        <v>0.7</v>
      </c>
      <c r="IY62">
        <v>1.0144</v>
      </c>
      <c r="IZ62">
        <v>2.7026400000000002</v>
      </c>
      <c r="JA62">
        <v>1.6015600000000001</v>
      </c>
      <c r="JB62">
        <v>2.32666</v>
      </c>
      <c r="JC62">
        <v>1.5502899999999999</v>
      </c>
      <c r="JD62">
        <v>2.3877000000000002</v>
      </c>
      <c r="JE62">
        <v>48.331600000000002</v>
      </c>
      <c r="JF62">
        <v>16.119599999999998</v>
      </c>
      <c r="JG62">
        <v>18</v>
      </c>
      <c r="JH62">
        <v>599.29300000000001</v>
      </c>
      <c r="JI62">
        <v>373.92599999999999</v>
      </c>
      <c r="JJ62">
        <v>28.306000000000001</v>
      </c>
      <c r="JK62">
        <v>33.960799999999999</v>
      </c>
      <c r="JL62">
        <v>29.999700000000001</v>
      </c>
      <c r="JM62">
        <v>34.122999999999998</v>
      </c>
      <c r="JN62">
        <v>34.115600000000001</v>
      </c>
      <c r="JO62">
        <v>20.2927</v>
      </c>
      <c r="JP62">
        <v>32.940199999999997</v>
      </c>
      <c r="JQ62">
        <v>0</v>
      </c>
      <c r="JR62">
        <v>28.335699999999999</v>
      </c>
      <c r="JS62">
        <v>400</v>
      </c>
      <c r="JT62">
        <v>22.573499999999999</v>
      </c>
      <c r="JU62">
        <v>98.788899999999998</v>
      </c>
      <c r="JV62">
        <v>98.745599999999996</v>
      </c>
    </row>
    <row r="63" spans="1:282" x14ac:dyDescent="0.25">
      <c r="A63">
        <v>47</v>
      </c>
      <c r="B63">
        <v>1689008723.5</v>
      </c>
      <c r="C63">
        <v>8900.9000000953674</v>
      </c>
      <c r="D63" t="s">
        <v>659</v>
      </c>
      <c r="E63" t="s">
        <v>660</v>
      </c>
      <c r="F63" t="s">
        <v>414</v>
      </c>
      <c r="G63" t="s">
        <v>415</v>
      </c>
      <c r="H63" t="s">
        <v>654</v>
      </c>
      <c r="I63" t="s">
        <v>655</v>
      </c>
      <c r="J63" t="s">
        <v>416</v>
      </c>
      <c r="K63">
        <v>1689008723.5</v>
      </c>
      <c r="L63">
        <f t="shared" si="46"/>
        <v>5.1383055140636555E-3</v>
      </c>
      <c r="M63">
        <f t="shared" si="47"/>
        <v>5.1383055140636555</v>
      </c>
      <c r="N63">
        <f t="shared" si="48"/>
        <v>38.6184849251852</v>
      </c>
      <c r="O63">
        <f t="shared" si="49"/>
        <v>252.17</v>
      </c>
      <c r="P63">
        <f t="shared" si="50"/>
        <v>65.720670736121193</v>
      </c>
      <c r="Q63">
        <f t="shared" si="51"/>
        <v>6.5173066785670626</v>
      </c>
      <c r="R63">
        <f t="shared" si="52"/>
        <v>25.006884542201998</v>
      </c>
      <c r="S63">
        <f t="shared" si="53"/>
        <v>0.35808586102478546</v>
      </c>
      <c r="T63">
        <f t="shared" si="54"/>
        <v>2.9166279759438503</v>
      </c>
      <c r="U63">
        <f t="shared" si="55"/>
        <v>0.33533197376689589</v>
      </c>
      <c r="V63">
        <f t="shared" si="56"/>
        <v>0.21150622946210546</v>
      </c>
      <c r="W63">
        <f t="shared" si="57"/>
        <v>289.5653123271025</v>
      </c>
      <c r="X63">
        <f t="shared" si="58"/>
        <v>30.431161317886268</v>
      </c>
      <c r="Y63">
        <f t="shared" si="59"/>
        <v>30.0291</v>
      </c>
      <c r="Z63">
        <f t="shared" si="60"/>
        <v>4.2675762185223851</v>
      </c>
      <c r="AA63">
        <f t="shared" si="61"/>
        <v>65.549668307515674</v>
      </c>
      <c r="AB63">
        <f t="shared" si="62"/>
        <v>2.8022050202295001</v>
      </c>
      <c r="AC63">
        <f t="shared" si="63"/>
        <v>4.2749339433472162</v>
      </c>
      <c r="AD63">
        <f t="shared" si="64"/>
        <v>1.465371198292885</v>
      </c>
      <c r="AE63">
        <f t="shared" si="65"/>
        <v>-226.5992731702072</v>
      </c>
      <c r="AF63">
        <f t="shared" si="66"/>
        <v>4.7172374231727252</v>
      </c>
      <c r="AG63">
        <f t="shared" si="67"/>
        <v>0.35977866524670404</v>
      </c>
      <c r="AH63">
        <f t="shared" si="68"/>
        <v>68.043055245314747</v>
      </c>
      <c r="AI63">
        <v>0</v>
      </c>
      <c r="AJ63">
        <v>0</v>
      </c>
      <c r="AK63">
        <f t="shared" si="69"/>
        <v>1</v>
      </c>
      <c r="AL63">
        <f t="shared" si="70"/>
        <v>0</v>
      </c>
      <c r="AM63">
        <f t="shared" si="71"/>
        <v>51954.555960368263</v>
      </c>
      <c r="AN63" t="s">
        <v>419</v>
      </c>
      <c r="AO63">
        <v>9967.0300000000007</v>
      </c>
      <c r="AP63">
        <v>178.94153846153841</v>
      </c>
      <c r="AQ63">
        <v>603.15</v>
      </c>
      <c r="AR63">
        <f t="shared" si="72"/>
        <v>0.7033216638290003</v>
      </c>
      <c r="AS63">
        <v>-3.2649104154664181</v>
      </c>
      <c r="AT63" t="s">
        <v>661</v>
      </c>
      <c r="AU63">
        <v>8056.81</v>
      </c>
      <c r="AV63">
        <v>674.21116000000006</v>
      </c>
      <c r="AW63">
        <v>1006.2268317602091</v>
      </c>
      <c r="AX63">
        <f t="shared" si="73"/>
        <v>0.32996105975370238</v>
      </c>
      <c r="AY63">
        <v>0.5</v>
      </c>
      <c r="AZ63">
        <f t="shared" si="74"/>
        <v>1513.1840996513483</v>
      </c>
      <c r="BA63">
        <f t="shared" si="75"/>
        <v>38.6184849251852</v>
      </c>
      <c r="BB63">
        <f t="shared" si="76"/>
        <v>249.64591456170544</v>
      </c>
      <c r="BC63">
        <f t="shared" si="77"/>
        <v>2.7678981923152601E-2</v>
      </c>
      <c r="BD63">
        <f t="shared" si="78"/>
        <v>-0.40058247210035153</v>
      </c>
      <c r="BE63">
        <f t="shared" si="79"/>
        <v>203.07592203949531</v>
      </c>
      <c r="BF63" t="s">
        <v>662</v>
      </c>
      <c r="BG63">
        <v>535.91</v>
      </c>
      <c r="BH63">
        <f t="shared" si="80"/>
        <v>535.91</v>
      </c>
      <c r="BI63">
        <f t="shared" si="81"/>
        <v>0.46740637092481041</v>
      </c>
      <c r="BJ63">
        <f t="shared" si="82"/>
        <v>0.70594044129274769</v>
      </c>
      <c r="BK63">
        <f t="shared" si="83"/>
        <v>-5.9945989256426087</v>
      </c>
      <c r="BL63">
        <f t="shared" si="84"/>
        <v>0.4013315290984425</v>
      </c>
      <c r="BM63">
        <f t="shared" si="85"/>
        <v>-0.95018574193071215</v>
      </c>
      <c r="BN63">
        <f t="shared" si="86"/>
        <v>0.5611306432441675</v>
      </c>
      <c r="BO63">
        <f t="shared" si="87"/>
        <v>0.4388693567558325</v>
      </c>
      <c r="BP63">
        <v>6129</v>
      </c>
      <c r="BQ63">
        <v>290.00000000000011</v>
      </c>
      <c r="BR63">
        <v>895.61</v>
      </c>
      <c r="BS63">
        <v>275</v>
      </c>
      <c r="BT63">
        <v>8056.81</v>
      </c>
      <c r="BU63">
        <v>896.93</v>
      </c>
      <c r="BV63">
        <v>-1.32</v>
      </c>
      <c r="BW63">
        <v>300.00000000000011</v>
      </c>
      <c r="BX63">
        <v>19.3</v>
      </c>
      <c r="BY63">
        <v>1006.2268317602091</v>
      </c>
      <c r="BZ63">
        <v>3.548821800785444</v>
      </c>
      <c r="CA63">
        <v>-88.05508459594104</v>
      </c>
      <c r="CB63">
        <v>2.626529339542556</v>
      </c>
      <c r="CC63">
        <v>0.97569324600287899</v>
      </c>
      <c r="CD63">
        <v>-4.156948387096771E-3</v>
      </c>
      <c r="CE63">
        <v>289.99999999999989</v>
      </c>
      <c r="CF63">
        <v>893.94</v>
      </c>
      <c r="CG63">
        <v>665</v>
      </c>
      <c r="CH63">
        <v>8046.88</v>
      </c>
      <c r="CI63">
        <v>896.8</v>
      </c>
      <c r="CJ63">
        <v>-2.86</v>
      </c>
      <c r="CX63">
        <f t="shared" si="88"/>
        <v>1800</v>
      </c>
      <c r="CY63">
        <f t="shared" si="89"/>
        <v>1513.1840996513483</v>
      </c>
      <c r="CZ63">
        <f t="shared" si="90"/>
        <v>0.84065783313963793</v>
      </c>
      <c r="DA63">
        <f t="shared" si="91"/>
        <v>0.16086961795950139</v>
      </c>
      <c r="DB63">
        <v>6</v>
      </c>
      <c r="DC63">
        <v>0.5</v>
      </c>
      <c r="DD63" t="s">
        <v>422</v>
      </c>
      <c r="DE63">
        <v>2</v>
      </c>
      <c r="DF63">
        <v>1689008723.5</v>
      </c>
      <c r="DG63">
        <v>252.17</v>
      </c>
      <c r="DH63">
        <v>300.06599999999997</v>
      </c>
      <c r="DI63">
        <v>28.2575</v>
      </c>
      <c r="DJ63">
        <v>22.265899999999998</v>
      </c>
      <c r="DK63">
        <v>252.38200000000001</v>
      </c>
      <c r="DL63">
        <v>28.210599999999999</v>
      </c>
      <c r="DM63">
        <v>500.01100000000002</v>
      </c>
      <c r="DN63">
        <v>99.067099999999996</v>
      </c>
      <c r="DO63">
        <v>9.9670599999999998E-2</v>
      </c>
      <c r="DP63">
        <v>30.059100000000001</v>
      </c>
      <c r="DQ63">
        <v>30.0291</v>
      </c>
      <c r="DR63">
        <v>999.9</v>
      </c>
      <c r="DS63">
        <v>0</v>
      </c>
      <c r="DT63">
        <v>0</v>
      </c>
      <c r="DU63">
        <v>10020</v>
      </c>
      <c r="DV63">
        <v>0</v>
      </c>
      <c r="DW63">
        <v>1898.48</v>
      </c>
      <c r="DX63">
        <v>-47.8962</v>
      </c>
      <c r="DY63">
        <v>259.50299999999999</v>
      </c>
      <c r="DZ63">
        <v>306.89999999999998</v>
      </c>
      <c r="EA63">
        <v>5.9916400000000003</v>
      </c>
      <c r="EB63">
        <v>300.06599999999997</v>
      </c>
      <c r="EC63">
        <v>22.265899999999998</v>
      </c>
      <c r="ED63">
        <v>2.7993899999999998</v>
      </c>
      <c r="EE63">
        <v>2.20581</v>
      </c>
      <c r="EF63">
        <v>22.880500000000001</v>
      </c>
      <c r="EG63">
        <v>19.0046</v>
      </c>
      <c r="EH63">
        <v>1800</v>
      </c>
      <c r="EI63">
        <v>0.97800900000000002</v>
      </c>
      <c r="EJ63">
        <v>2.19905E-2</v>
      </c>
      <c r="EK63">
        <v>0</v>
      </c>
      <c r="EL63">
        <v>674.22199999999998</v>
      </c>
      <c r="EM63">
        <v>5.0005300000000004</v>
      </c>
      <c r="EN63">
        <v>14891.7</v>
      </c>
      <c r="EO63">
        <v>16035.4</v>
      </c>
      <c r="EP63">
        <v>47.311999999999998</v>
      </c>
      <c r="EQ63">
        <v>48.25</v>
      </c>
      <c r="ER63">
        <v>47.75</v>
      </c>
      <c r="ES63">
        <v>47.75</v>
      </c>
      <c r="ET63">
        <v>48.561999999999998</v>
      </c>
      <c r="EU63">
        <v>1755.53</v>
      </c>
      <c r="EV63">
        <v>39.47</v>
      </c>
      <c r="EW63">
        <v>0</v>
      </c>
      <c r="EX63">
        <v>147.79999995231631</v>
      </c>
      <c r="EY63">
        <v>0</v>
      </c>
      <c r="EZ63">
        <v>674.21116000000006</v>
      </c>
      <c r="FA63">
        <v>-1.2386923154176701</v>
      </c>
      <c r="FB63">
        <v>-14.81538465086183</v>
      </c>
      <c r="FC63">
        <v>14883.152</v>
      </c>
      <c r="FD63">
        <v>15</v>
      </c>
      <c r="FE63">
        <v>1689008692.5</v>
      </c>
      <c r="FF63" t="s">
        <v>663</v>
      </c>
      <c r="FG63">
        <v>1689008678</v>
      </c>
      <c r="FH63">
        <v>1689008692.5</v>
      </c>
      <c r="FI63">
        <v>52</v>
      </c>
      <c r="FJ63">
        <v>0.26300000000000001</v>
      </c>
      <c r="FK63">
        <v>-4.0000000000000001E-3</v>
      </c>
      <c r="FL63">
        <v>-0.218</v>
      </c>
      <c r="FM63">
        <v>3.9E-2</v>
      </c>
      <c r="FN63">
        <v>300</v>
      </c>
      <c r="FO63">
        <v>23</v>
      </c>
      <c r="FP63">
        <v>7.0000000000000007E-2</v>
      </c>
      <c r="FQ63">
        <v>0.02</v>
      </c>
      <c r="FR63">
        <v>38.586278203074073</v>
      </c>
      <c r="FS63">
        <v>-0.2064216385344452</v>
      </c>
      <c r="FT63">
        <v>2.3680080444345188E-2</v>
      </c>
      <c r="FU63">
        <v>1</v>
      </c>
      <c r="FV63">
        <v>0.36525670901414009</v>
      </c>
      <c r="FW63">
        <v>2.4939663244479299E-2</v>
      </c>
      <c r="FX63">
        <v>5.2829702029522328E-3</v>
      </c>
      <c r="FY63">
        <v>1</v>
      </c>
      <c r="FZ63">
        <v>2</v>
      </c>
      <c r="GA63">
        <v>2</v>
      </c>
      <c r="GB63" t="s">
        <v>424</v>
      </c>
      <c r="GC63">
        <v>3.12012</v>
      </c>
      <c r="GD63">
        <v>2.7671399999999999</v>
      </c>
      <c r="GE63">
        <v>6.1157799999999998E-2</v>
      </c>
      <c r="GF63">
        <v>7.07237E-2</v>
      </c>
      <c r="GG63">
        <v>0.11996</v>
      </c>
      <c r="GH63">
        <v>0.101784</v>
      </c>
      <c r="GI63">
        <v>22447.8</v>
      </c>
      <c r="GJ63">
        <v>23021.5</v>
      </c>
      <c r="GK63">
        <v>23769.8</v>
      </c>
      <c r="GL63">
        <v>25082.9</v>
      </c>
      <c r="GM63">
        <v>30143.599999999999</v>
      </c>
      <c r="GN63">
        <v>31597.599999999999</v>
      </c>
      <c r="GO63">
        <v>37883.599999999999</v>
      </c>
      <c r="GP63">
        <v>39021</v>
      </c>
      <c r="GQ63">
        <v>2.15035</v>
      </c>
      <c r="GR63">
        <v>1.7181999999999999</v>
      </c>
      <c r="GS63">
        <v>3.9774900000000002E-2</v>
      </c>
      <c r="GT63">
        <v>0</v>
      </c>
      <c r="GU63">
        <v>29.381499999999999</v>
      </c>
      <c r="GV63">
        <v>999.9</v>
      </c>
      <c r="GW63">
        <v>30.7</v>
      </c>
      <c r="GX63">
        <v>45.8</v>
      </c>
      <c r="GY63">
        <v>31.121200000000002</v>
      </c>
      <c r="GZ63">
        <v>60.948099999999997</v>
      </c>
      <c r="HA63">
        <v>28.249199999999998</v>
      </c>
      <c r="HB63">
        <v>1</v>
      </c>
      <c r="HC63">
        <v>0.562388</v>
      </c>
      <c r="HD63">
        <v>1.9634400000000001</v>
      </c>
      <c r="HE63">
        <v>20.359200000000001</v>
      </c>
      <c r="HF63">
        <v>5.2484400000000004</v>
      </c>
      <c r="HG63">
        <v>12.0099</v>
      </c>
      <c r="HH63">
        <v>4.9780499999999996</v>
      </c>
      <c r="HI63">
        <v>3.2930000000000001</v>
      </c>
      <c r="HJ63">
        <v>9999</v>
      </c>
      <c r="HK63">
        <v>9999</v>
      </c>
      <c r="HL63">
        <v>9999</v>
      </c>
      <c r="HM63">
        <v>233.9</v>
      </c>
      <c r="HN63">
        <v>1.87554</v>
      </c>
      <c r="HO63">
        <v>1.8766700000000001</v>
      </c>
      <c r="HP63">
        <v>1.88263</v>
      </c>
      <c r="HQ63">
        <v>1.88584</v>
      </c>
      <c r="HR63">
        <v>1.8766799999999999</v>
      </c>
      <c r="HS63">
        <v>1.88307</v>
      </c>
      <c r="HT63">
        <v>1.88202</v>
      </c>
      <c r="HU63">
        <v>1.8855299999999999</v>
      </c>
      <c r="HV63">
        <v>0</v>
      </c>
      <c r="HW63">
        <v>0</v>
      </c>
      <c r="HX63">
        <v>0</v>
      </c>
      <c r="HY63">
        <v>0</v>
      </c>
      <c r="HZ63" t="s">
        <v>425</v>
      </c>
      <c r="IA63" t="s">
        <v>426</v>
      </c>
      <c r="IB63" t="s">
        <v>427</v>
      </c>
      <c r="IC63" t="s">
        <v>427</v>
      </c>
      <c r="ID63" t="s">
        <v>427</v>
      </c>
      <c r="IE63" t="s">
        <v>427</v>
      </c>
      <c r="IF63">
        <v>0</v>
      </c>
      <c r="IG63">
        <v>100</v>
      </c>
      <c r="IH63">
        <v>100</v>
      </c>
      <c r="II63">
        <v>-0.21199999999999999</v>
      </c>
      <c r="IJ63">
        <v>4.6899999999999997E-2</v>
      </c>
      <c r="IK63">
        <v>-0.14086957605483241</v>
      </c>
      <c r="IL63">
        <v>-4.2852564239613137E-4</v>
      </c>
      <c r="IM63">
        <v>6.4980710991155998E-7</v>
      </c>
      <c r="IN63">
        <v>-2.7237938963984961E-10</v>
      </c>
      <c r="IO63">
        <v>-1.15193322544368E-2</v>
      </c>
      <c r="IP63">
        <v>6.6907473102813496E-3</v>
      </c>
      <c r="IQ63">
        <v>-3.3673306238274028E-4</v>
      </c>
      <c r="IR63">
        <v>6.1311374003140313E-6</v>
      </c>
      <c r="IS63">
        <v>3</v>
      </c>
      <c r="IT63">
        <v>2101</v>
      </c>
      <c r="IU63">
        <v>1</v>
      </c>
      <c r="IV63">
        <v>32</v>
      </c>
      <c r="IW63">
        <v>0.8</v>
      </c>
      <c r="IX63">
        <v>0.5</v>
      </c>
      <c r="IY63">
        <v>0.80566400000000005</v>
      </c>
      <c r="IZ63">
        <v>2.7099600000000001</v>
      </c>
      <c r="JA63">
        <v>1.6003400000000001</v>
      </c>
      <c r="JB63">
        <v>2.32666</v>
      </c>
      <c r="JC63">
        <v>1.5502899999999999</v>
      </c>
      <c r="JD63">
        <v>2.4426299999999999</v>
      </c>
      <c r="JE63">
        <v>48.209000000000003</v>
      </c>
      <c r="JF63">
        <v>16.1021</v>
      </c>
      <c r="JG63">
        <v>18</v>
      </c>
      <c r="JH63">
        <v>599.44100000000003</v>
      </c>
      <c r="JI63">
        <v>374.25099999999998</v>
      </c>
      <c r="JJ63">
        <v>27.5276</v>
      </c>
      <c r="JK63">
        <v>33.894199999999998</v>
      </c>
      <c r="JL63">
        <v>30.000800000000002</v>
      </c>
      <c r="JM63">
        <v>34.0824</v>
      </c>
      <c r="JN63">
        <v>34.0777</v>
      </c>
      <c r="JO63">
        <v>16.107500000000002</v>
      </c>
      <c r="JP63">
        <v>34.161099999999998</v>
      </c>
      <c r="JQ63">
        <v>0</v>
      </c>
      <c r="JR63">
        <v>27.4695</v>
      </c>
      <c r="JS63">
        <v>300</v>
      </c>
      <c r="JT63">
        <v>22.1204</v>
      </c>
      <c r="JU63">
        <v>98.816500000000005</v>
      </c>
      <c r="JV63">
        <v>98.763300000000001</v>
      </c>
    </row>
    <row r="64" spans="1:282" x14ac:dyDescent="0.25">
      <c r="A64">
        <v>48</v>
      </c>
      <c r="B64">
        <v>1689008834</v>
      </c>
      <c r="C64">
        <v>9011.4000000953674</v>
      </c>
      <c r="D64" t="s">
        <v>664</v>
      </c>
      <c r="E64" t="s">
        <v>665</v>
      </c>
      <c r="F64" t="s">
        <v>414</v>
      </c>
      <c r="G64" t="s">
        <v>415</v>
      </c>
      <c r="H64" t="s">
        <v>654</v>
      </c>
      <c r="I64" t="s">
        <v>655</v>
      </c>
      <c r="J64" t="s">
        <v>416</v>
      </c>
      <c r="K64">
        <v>1689008834</v>
      </c>
      <c r="L64">
        <f t="shared" si="46"/>
        <v>5.1697896873604205E-3</v>
      </c>
      <c r="M64">
        <f t="shared" si="47"/>
        <v>5.1697896873604208</v>
      </c>
      <c r="N64">
        <f t="shared" si="48"/>
        <v>26.909005544648476</v>
      </c>
      <c r="O64">
        <f t="shared" si="49"/>
        <v>166.75800000000001</v>
      </c>
      <c r="P64">
        <f t="shared" si="50"/>
        <v>38.647622291270963</v>
      </c>
      <c r="Q64">
        <f t="shared" si="51"/>
        <v>3.8324898992851821</v>
      </c>
      <c r="R64">
        <f t="shared" si="52"/>
        <v>16.536550316301</v>
      </c>
      <c r="S64">
        <f t="shared" si="53"/>
        <v>0.36292578966525446</v>
      </c>
      <c r="T64">
        <f t="shared" si="54"/>
        <v>2.9125514867259481</v>
      </c>
      <c r="U64">
        <f t="shared" si="55"/>
        <v>0.3395437448873464</v>
      </c>
      <c r="V64">
        <f t="shared" si="56"/>
        <v>0.21418996625674952</v>
      </c>
      <c r="W64">
        <f t="shared" si="57"/>
        <v>289.5404963263569</v>
      </c>
      <c r="X64">
        <f t="shared" si="58"/>
        <v>30.331506843148631</v>
      </c>
      <c r="Y64">
        <f t="shared" si="59"/>
        <v>29.957599999999999</v>
      </c>
      <c r="Z64">
        <f t="shared" si="60"/>
        <v>4.2500847873286096</v>
      </c>
      <c r="AA64">
        <f t="shared" si="61"/>
        <v>65.699797869693242</v>
      </c>
      <c r="AB64">
        <f t="shared" si="62"/>
        <v>2.7938537359611</v>
      </c>
      <c r="AC64">
        <f t="shared" si="63"/>
        <v>4.2524540813692226</v>
      </c>
      <c r="AD64">
        <f t="shared" si="64"/>
        <v>1.4562310513675096</v>
      </c>
      <c r="AE64">
        <f t="shared" si="65"/>
        <v>-227.98772521259454</v>
      </c>
      <c r="AF64">
        <f t="shared" si="66"/>
        <v>1.5231083147983377</v>
      </c>
      <c r="AG64">
        <f t="shared" si="67"/>
        <v>0.116234432108693</v>
      </c>
      <c r="AH64">
        <f t="shared" si="68"/>
        <v>63.19211386066938</v>
      </c>
      <c r="AI64">
        <v>0</v>
      </c>
      <c r="AJ64">
        <v>0</v>
      </c>
      <c r="AK64">
        <f t="shared" si="69"/>
        <v>1</v>
      </c>
      <c r="AL64">
        <f t="shared" si="70"/>
        <v>0</v>
      </c>
      <c r="AM64">
        <f t="shared" si="71"/>
        <v>51854.256130042108</v>
      </c>
      <c r="AN64" t="s">
        <v>419</v>
      </c>
      <c r="AO64">
        <v>9967.0300000000007</v>
      </c>
      <c r="AP64">
        <v>178.94153846153841</v>
      </c>
      <c r="AQ64">
        <v>603.15</v>
      </c>
      <c r="AR64">
        <f t="shared" si="72"/>
        <v>0.7033216638290003</v>
      </c>
      <c r="AS64">
        <v>-3.2649104154664181</v>
      </c>
      <c r="AT64" t="s">
        <v>666</v>
      </c>
      <c r="AU64">
        <v>8054.68</v>
      </c>
      <c r="AV64">
        <v>652.86632000000009</v>
      </c>
      <c r="AW64">
        <v>873.87010938404478</v>
      </c>
      <c r="AX64">
        <f t="shared" si="73"/>
        <v>0.25290233297923559</v>
      </c>
      <c r="AY64">
        <v>0.5</v>
      </c>
      <c r="AZ64">
        <f t="shared" si="74"/>
        <v>1513.0424996509619</v>
      </c>
      <c r="BA64">
        <f t="shared" si="75"/>
        <v>26.909005544648476</v>
      </c>
      <c r="BB64">
        <f t="shared" si="76"/>
        <v>191.32598902923127</v>
      </c>
      <c r="BC64">
        <f t="shared" si="77"/>
        <v>1.9942543561780719E-2</v>
      </c>
      <c r="BD64">
        <f t="shared" si="78"/>
        <v>-0.30979444940033973</v>
      </c>
      <c r="BE64">
        <f t="shared" si="79"/>
        <v>197.05249576594554</v>
      </c>
      <c r="BF64" t="s">
        <v>667</v>
      </c>
      <c r="BG64">
        <v>522.16</v>
      </c>
      <c r="BH64">
        <f t="shared" si="80"/>
        <v>522.16</v>
      </c>
      <c r="BI64">
        <f t="shared" si="81"/>
        <v>0.40247412699806251</v>
      </c>
      <c r="BJ64">
        <f t="shared" si="82"/>
        <v>0.62836916962976108</v>
      </c>
      <c r="BK64">
        <f t="shared" si="83"/>
        <v>-3.342636243783736</v>
      </c>
      <c r="BL64">
        <f t="shared" si="84"/>
        <v>0.31802374895978985</v>
      </c>
      <c r="BM64">
        <f t="shared" si="85"/>
        <v>-0.63817706134911578</v>
      </c>
      <c r="BN64">
        <f t="shared" si="86"/>
        <v>0.50256727229224496</v>
      </c>
      <c r="BO64">
        <f t="shared" si="87"/>
        <v>0.49743272770775504</v>
      </c>
      <c r="BP64">
        <v>6131</v>
      </c>
      <c r="BQ64">
        <v>290.00000000000011</v>
      </c>
      <c r="BR64">
        <v>814.29</v>
      </c>
      <c r="BS64">
        <v>285</v>
      </c>
      <c r="BT64">
        <v>8054.68</v>
      </c>
      <c r="BU64">
        <v>816.5</v>
      </c>
      <c r="BV64">
        <v>-2.21</v>
      </c>
      <c r="BW64">
        <v>300.00000000000011</v>
      </c>
      <c r="BX64">
        <v>19.3</v>
      </c>
      <c r="BY64">
        <v>873.87010938404478</v>
      </c>
      <c r="BZ64">
        <v>3.7888379962523122</v>
      </c>
      <c r="CA64">
        <v>-46.208516469315349</v>
      </c>
      <c r="CB64">
        <v>2.8036338375213461</v>
      </c>
      <c r="CC64">
        <v>0.9065560425801984</v>
      </c>
      <c r="CD64">
        <v>-4.1560487208008963E-3</v>
      </c>
      <c r="CE64">
        <v>289.99999999999989</v>
      </c>
      <c r="CF64">
        <v>817.43</v>
      </c>
      <c r="CG64">
        <v>655</v>
      </c>
      <c r="CH64">
        <v>8045.62</v>
      </c>
      <c r="CI64">
        <v>816.44</v>
      </c>
      <c r="CJ64">
        <v>0.99</v>
      </c>
      <c r="CX64">
        <f t="shared" si="88"/>
        <v>1799.83</v>
      </c>
      <c r="CY64">
        <f t="shared" si="89"/>
        <v>1513.0424996509619</v>
      </c>
      <c r="CZ64">
        <f t="shared" si="90"/>
        <v>0.84065856200361255</v>
      </c>
      <c r="DA64">
        <f t="shared" si="91"/>
        <v>0.1608710246669724</v>
      </c>
      <c r="DB64">
        <v>6</v>
      </c>
      <c r="DC64">
        <v>0.5</v>
      </c>
      <c r="DD64" t="s">
        <v>422</v>
      </c>
      <c r="DE64">
        <v>2</v>
      </c>
      <c r="DF64">
        <v>1689008834</v>
      </c>
      <c r="DG64">
        <v>166.75800000000001</v>
      </c>
      <c r="DH64">
        <v>200.078</v>
      </c>
      <c r="DI64">
        <v>28.1738</v>
      </c>
      <c r="DJ64">
        <v>22.145800000000001</v>
      </c>
      <c r="DK64">
        <v>166.99</v>
      </c>
      <c r="DL64">
        <v>28.126999999999999</v>
      </c>
      <c r="DM64">
        <v>500.08</v>
      </c>
      <c r="DN64">
        <v>99.065100000000001</v>
      </c>
      <c r="DO64">
        <v>9.9859500000000004E-2</v>
      </c>
      <c r="DP64">
        <v>29.967300000000002</v>
      </c>
      <c r="DQ64">
        <v>29.957599999999999</v>
      </c>
      <c r="DR64">
        <v>999.9</v>
      </c>
      <c r="DS64">
        <v>0</v>
      </c>
      <c r="DT64">
        <v>0</v>
      </c>
      <c r="DU64">
        <v>9996.8799999999992</v>
      </c>
      <c r="DV64">
        <v>0</v>
      </c>
      <c r="DW64">
        <v>1968.17</v>
      </c>
      <c r="DX64">
        <v>-33.3202</v>
      </c>
      <c r="DY64">
        <v>171.59200000000001</v>
      </c>
      <c r="DZ64">
        <v>204.60900000000001</v>
      </c>
      <c r="EA64">
        <v>6.0279600000000002</v>
      </c>
      <c r="EB64">
        <v>200.078</v>
      </c>
      <c r="EC64">
        <v>22.145800000000001</v>
      </c>
      <c r="ED64">
        <v>2.7910400000000002</v>
      </c>
      <c r="EE64">
        <v>2.1938800000000001</v>
      </c>
      <c r="EF64">
        <v>22.831199999999999</v>
      </c>
      <c r="EG64">
        <v>18.9177</v>
      </c>
      <c r="EH64">
        <v>1799.83</v>
      </c>
      <c r="EI64">
        <v>0.977989</v>
      </c>
      <c r="EJ64">
        <v>2.2010700000000001E-2</v>
      </c>
      <c r="EK64">
        <v>0</v>
      </c>
      <c r="EL64">
        <v>652.63199999999995</v>
      </c>
      <c r="EM64">
        <v>5.0005300000000004</v>
      </c>
      <c r="EN64">
        <v>14419.6</v>
      </c>
      <c r="EO64">
        <v>16033.7</v>
      </c>
      <c r="EP64">
        <v>47.436999999999998</v>
      </c>
      <c r="EQ64">
        <v>48.436999999999998</v>
      </c>
      <c r="ER64">
        <v>47.875</v>
      </c>
      <c r="ES64">
        <v>48</v>
      </c>
      <c r="ET64">
        <v>48.625</v>
      </c>
      <c r="EU64">
        <v>1755.32</v>
      </c>
      <c r="EV64">
        <v>39.51</v>
      </c>
      <c r="EW64">
        <v>0</v>
      </c>
      <c r="EX64">
        <v>108.5999999046326</v>
      </c>
      <c r="EY64">
        <v>0</v>
      </c>
      <c r="EZ64">
        <v>652.86632000000009</v>
      </c>
      <c r="FA64">
        <v>-4.3482307470091373</v>
      </c>
      <c r="FB64">
        <v>6786.5769094069947</v>
      </c>
      <c r="FC64">
        <v>14026.552</v>
      </c>
      <c r="FD64">
        <v>15</v>
      </c>
      <c r="FE64">
        <v>1689008802</v>
      </c>
      <c r="FF64" t="s">
        <v>668</v>
      </c>
      <c r="FG64">
        <v>1689008793</v>
      </c>
      <c r="FH64">
        <v>1689008802</v>
      </c>
      <c r="FI64">
        <v>53</v>
      </c>
      <c r="FJ64">
        <v>-3.6999999999999998E-2</v>
      </c>
      <c r="FK64">
        <v>0</v>
      </c>
      <c r="FL64">
        <v>-0.24</v>
      </c>
      <c r="FM64">
        <v>3.7999999999999999E-2</v>
      </c>
      <c r="FN64">
        <v>200</v>
      </c>
      <c r="FO64">
        <v>22</v>
      </c>
      <c r="FP64">
        <v>0.04</v>
      </c>
      <c r="FQ64">
        <v>0.01</v>
      </c>
      <c r="FR64">
        <v>27.040690987686428</v>
      </c>
      <c r="FS64">
        <v>-0.52723896673541626</v>
      </c>
      <c r="FT64">
        <v>4.6696227589325741E-2</v>
      </c>
      <c r="FU64">
        <v>1</v>
      </c>
      <c r="FV64">
        <v>0.36472893179123678</v>
      </c>
      <c r="FW64">
        <v>3.1308108518227143E-2</v>
      </c>
      <c r="FX64">
        <v>4.0648455562322357E-3</v>
      </c>
      <c r="FY64">
        <v>1</v>
      </c>
      <c r="FZ64">
        <v>2</v>
      </c>
      <c r="GA64">
        <v>2</v>
      </c>
      <c r="GB64" t="s">
        <v>424</v>
      </c>
      <c r="GC64">
        <v>3.12053</v>
      </c>
      <c r="GD64">
        <v>2.7671299999999999</v>
      </c>
      <c r="GE64">
        <v>4.2514000000000003E-2</v>
      </c>
      <c r="GF64">
        <v>5.0087300000000001E-2</v>
      </c>
      <c r="GG64">
        <v>0.119695</v>
      </c>
      <c r="GH64">
        <v>0.101378</v>
      </c>
      <c r="GI64">
        <v>22887.200000000001</v>
      </c>
      <c r="GJ64">
        <v>23526.799999999999</v>
      </c>
      <c r="GK64">
        <v>23764.1</v>
      </c>
      <c r="GL64">
        <v>25077.3</v>
      </c>
      <c r="GM64">
        <v>30145.599999999999</v>
      </c>
      <c r="GN64">
        <v>31605.200000000001</v>
      </c>
      <c r="GO64">
        <v>37874.699999999997</v>
      </c>
      <c r="GP64">
        <v>39012.800000000003</v>
      </c>
      <c r="GQ64">
        <v>2.1501800000000002</v>
      </c>
      <c r="GR64">
        <v>1.71532</v>
      </c>
      <c r="GS64">
        <v>2.7880100000000001E-2</v>
      </c>
      <c r="GT64">
        <v>0</v>
      </c>
      <c r="GU64">
        <v>29.503699999999998</v>
      </c>
      <c r="GV64">
        <v>999.9</v>
      </c>
      <c r="GW64">
        <v>30.7</v>
      </c>
      <c r="GX64">
        <v>45.8</v>
      </c>
      <c r="GY64">
        <v>31.124400000000001</v>
      </c>
      <c r="GZ64">
        <v>60.978099999999998</v>
      </c>
      <c r="HA64">
        <v>27.904599999999999</v>
      </c>
      <c r="HB64">
        <v>1</v>
      </c>
      <c r="HC64">
        <v>0.57291400000000003</v>
      </c>
      <c r="HD64">
        <v>1.8113900000000001</v>
      </c>
      <c r="HE64">
        <v>20.360099999999999</v>
      </c>
      <c r="HF64">
        <v>5.2493400000000001</v>
      </c>
      <c r="HG64">
        <v>12.0099</v>
      </c>
      <c r="HH64">
        <v>4.9781500000000003</v>
      </c>
      <c r="HI64">
        <v>3.2924799999999999</v>
      </c>
      <c r="HJ64">
        <v>9999</v>
      </c>
      <c r="HK64">
        <v>9999</v>
      </c>
      <c r="HL64">
        <v>9999</v>
      </c>
      <c r="HM64">
        <v>233.9</v>
      </c>
      <c r="HN64">
        <v>1.8755599999999999</v>
      </c>
      <c r="HO64">
        <v>1.8766799999999999</v>
      </c>
      <c r="HP64">
        <v>1.88263</v>
      </c>
      <c r="HQ64">
        <v>1.8858699999999999</v>
      </c>
      <c r="HR64">
        <v>1.8766799999999999</v>
      </c>
      <c r="HS64">
        <v>1.8830899999999999</v>
      </c>
      <c r="HT64">
        <v>1.8820300000000001</v>
      </c>
      <c r="HU64">
        <v>1.8855299999999999</v>
      </c>
      <c r="HV64">
        <v>0</v>
      </c>
      <c r="HW64">
        <v>0</v>
      </c>
      <c r="HX64">
        <v>0</v>
      </c>
      <c r="HY64">
        <v>0</v>
      </c>
      <c r="HZ64" t="s">
        <v>425</v>
      </c>
      <c r="IA64" t="s">
        <v>426</v>
      </c>
      <c r="IB64" t="s">
        <v>427</v>
      </c>
      <c r="IC64" t="s">
        <v>427</v>
      </c>
      <c r="ID64" t="s">
        <v>427</v>
      </c>
      <c r="IE64" t="s">
        <v>427</v>
      </c>
      <c r="IF64">
        <v>0</v>
      </c>
      <c r="IG64">
        <v>100</v>
      </c>
      <c r="IH64">
        <v>100</v>
      </c>
      <c r="II64">
        <v>-0.23200000000000001</v>
      </c>
      <c r="IJ64">
        <v>4.6800000000000001E-2</v>
      </c>
      <c r="IK64">
        <v>-0.1777681540655747</v>
      </c>
      <c r="IL64">
        <v>-4.2852564239613137E-4</v>
      </c>
      <c r="IM64">
        <v>6.4980710991155998E-7</v>
      </c>
      <c r="IN64">
        <v>-2.7237938963984961E-10</v>
      </c>
      <c r="IO64">
        <v>-1.1407111478663299E-2</v>
      </c>
      <c r="IP64">
        <v>6.6907473102813496E-3</v>
      </c>
      <c r="IQ64">
        <v>-3.3673306238274028E-4</v>
      </c>
      <c r="IR64">
        <v>6.1311374003140313E-6</v>
      </c>
      <c r="IS64">
        <v>3</v>
      </c>
      <c r="IT64">
        <v>2101</v>
      </c>
      <c r="IU64">
        <v>1</v>
      </c>
      <c r="IV64">
        <v>32</v>
      </c>
      <c r="IW64">
        <v>0.7</v>
      </c>
      <c r="IX64">
        <v>0.5</v>
      </c>
      <c r="IY64">
        <v>0.58960000000000001</v>
      </c>
      <c r="IZ64">
        <v>2.7197300000000002</v>
      </c>
      <c r="JA64">
        <v>1.6015600000000001</v>
      </c>
      <c r="JB64">
        <v>2.32666</v>
      </c>
      <c r="JC64">
        <v>1.5502899999999999</v>
      </c>
      <c r="JD64">
        <v>2.4133300000000002</v>
      </c>
      <c r="JE64">
        <v>48.300899999999999</v>
      </c>
      <c r="JF64">
        <v>16.093399999999999</v>
      </c>
      <c r="JG64">
        <v>18</v>
      </c>
      <c r="JH64">
        <v>599.875</v>
      </c>
      <c r="JI64">
        <v>372.9</v>
      </c>
      <c r="JJ64">
        <v>27.3504</v>
      </c>
      <c r="JK64">
        <v>33.9833</v>
      </c>
      <c r="JL64">
        <v>30.000800000000002</v>
      </c>
      <c r="JM64">
        <v>34.144100000000002</v>
      </c>
      <c r="JN64">
        <v>34.139899999999997</v>
      </c>
      <c r="JO64">
        <v>11.769</v>
      </c>
      <c r="JP64">
        <v>34.319099999999999</v>
      </c>
      <c r="JQ64">
        <v>0</v>
      </c>
      <c r="JR64">
        <v>27.356300000000001</v>
      </c>
      <c r="JS64">
        <v>200</v>
      </c>
      <c r="JT64">
        <v>22.067</v>
      </c>
      <c r="JU64">
        <v>98.793199999999999</v>
      </c>
      <c r="JV64">
        <v>98.742099999999994</v>
      </c>
    </row>
    <row r="65" spans="1:282" x14ac:dyDescent="0.25">
      <c r="A65">
        <v>49</v>
      </c>
      <c r="B65">
        <v>1689008940</v>
      </c>
      <c r="C65">
        <v>9117.4000000953674</v>
      </c>
      <c r="D65" t="s">
        <v>669</v>
      </c>
      <c r="E65" t="s">
        <v>670</v>
      </c>
      <c r="F65" t="s">
        <v>414</v>
      </c>
      <c r="G65" t="s">
        <v>415</v>
      </c>
      <c r="H65" t="s">
        <v>654</v>
      </c>
      <c r="I65" t="s">
        <v>655</v>
      </c>
      <c r="J65" t="s">
        <v>416</v>
      </c>
      <c r="K65">
        <v>1689008940</v>
      </c>
      <c r="L65">
        <f t="shared" si="46"/>
        <v>5.2520872852642427E-3</v>
      </c>
      <c r="M65">
        <f t="shared" si="47"/>
        <v>5.2520872852642428</v>
      </c>
      <c r="N65">
        <f t="shared" si="48"/>
        <v>16.328331910110961</v>
      </c>
      <c r="O65">
        <f t="shared" si="49"/>
        <v>99.859800000000007</v>
      </c>
      <c r="P65">
        <f t="shared" si="50"/>
        <v>23.19810980645936</v>
      </c>
      <c r="Q65">
        <f t="shared" si="51"/>
        <v>2.3004412085046173</v>
      </c>
      <c r="R65">
        <f t="shared" si="52"/>
        <v>9.9025998630744017</v>
      </c>
      <c r="S65">
        <f t="shared" si="53"/>
        <v>0.36838223890911065</v>
      </c>
      <c r="T65">
        <f t="shared" si="54"/>
        <v>2.9074018070389664</v>
      </c>
      <c r="U65">
        <f t="shared" si="55"/>
        <v>0.34427719593713069</v>
      </c>
      <c r="V65">
        <f t="shared" si="56"/>
        <v>0.21720741233066146</v>
      </c>
      <c r="W65">
        <f t="shared" si="57"/>
        <v>289.54630132654233</v>
      </c>
      <c r="X65">
        <f t="shared" si="58"/>
        <v>30.389811406159399</v>
      </c>
      <c r="Y65">
        <f t="shared" si="59"/>
        <v>29.961400000000001</v>
      </c>
      <c r="Z65">
        <f t="shared" si="60"/>
        <v>4.2510128272709569</v>
      </c>
      <c r="AA65">
        <f t="shared" si="61"/>
        <v>65.356622114604292</v>
      </c>
      <c r="AB65">
        <f t="shared" si="62"/>
        <v>2.7919318643232001</v>
      </c>
      <c r="AC65">
        <f t="shared" si="63"/>
        <v>4.2718423535223184</v>
      </c>
      <c r="AD65">
        <f t="shared" si="64"/>
        <v>1.4590809629477568</v>
      </c>
      <c r="AE65">
        <f t="shared" si="65"/>
        <v>-231.61704928015311</v>
      </c>
      <c r="AF65">
        <f t="shared" si="66"/>
        <v>13.338901313414411</v>
      </c>
      <c r="AG65">
        <f t="shared" si="67"/>
        <v>1.0201665747898125</v>
      </c>
      <c r="AH65">
        <f t="shared" si="68"/>
        <v>72.288319934593446</v>
      </c>
      <c r="AI65">
        <v>0</v>
      </c>
      <c r="AJ65">
        <v>0</v>
      </c>
      <c r="AK65">
        <f t="shared" si="69"/>
        <v>1</v>
      </c>
      <c r="AL65">
        <f t="shared" si="70"/>
        <v>0</v>
      </c>
      <c r="AM65">
        <f t="shared" si="71"/>
        <v>51694.345194621157</v>
      </c>
      <c r="AN65" t="s">
        <v>419</v>
      </c>
      <c r="AO65">
        <v>9967.0300000000007</v>
      </c>
      <c r="AP65">
        <v>178.94153846153841</v>
      </c>
      <c r="AQ65">
        <v>603.15</v>
      </c>
      <c r="AR65">
        <f t="shared" si="72"/>
        <v>0.7033216638290003</v>
      </c>
      <c r="AS65">
        <v>-3.2649104154664181</v>
      </c>
      <c r="AT65" t="s">
        <v>671</v>
      </c>
      <c r="AU65">
        <v>8053.56</v>
      </c>
      <c r="AV65">
        <v>660.02026923076914</v>
      </c>
      <c r="AW65">
        <v>806.47135255404532</v>
      </c>
      <c r="AX65">
        <f t="shared" si="73"/>
        <v>0.18159489839220522</v>
      </c>
      <c r="AY65">
        <v>0.5</v>
      </c>
      <c r="AZ65">
        <f t="shared" si="74"/>
        <v>1513.0757996510581</v>
      </c>
      <c r="BA65">
        <f t="shared" si="75"/>
        <v>16.328331910110961</v>
      </c>
      <c r="BB65">
        <f t="shared" si="76"/>
        <v>137.38342304866927</v>
      </c>
      <c r="BC65">
        <f t="shared" si="77"/>
        <v>1.2949280089005406E-2</v>
      </c>
      <c r="BD65">
        <f t="shared" si="78"/>
        <v>-0.25211230617199121</v>
      </c>
      <c r="BE65">
        <f t="shared" si="79"/>
        <v>193.40771187257491</v>
      </c>
      <c r="BF65" t="s">
        <v>672</v>
      </c>
      <c r="BG65">
        <v>525.01</v>
      </c>
      <c r="BH65">
        <f t="shared" si="80"/>
        <v>525.01</v>
      </c>
      <c r="BI65">
        <f t="shared" si="81"/>
        <v>0.34900353454921185</v>
      </c>
      <c r="BJ65">
        <f t="shared" si="82"/>
        <v>0.52032395209624771</v>
      </c>
      <c r="BK65">
        <f t="shared" si="83"/>
        <v>-2.602013726056378</v>
      </c>
      <c r="BL65">
        <f t="shared" si="84"/>
        <v>0.23337709226622844</v>
      </c>
      <c r="BM65">
        <f t="shared" si="85"/>
        <v>-0.47929584387983942</v>
      </c>
      <c r="BN65">
        <f t="shared" si="86"/>
        <v>0.41388922556640173</v>
      </c>
      <c r="BO65">
        <f t="shared" si="87"/>
        <v>0.58611077443359827</v>
      </c>
      <c r="BP65">
        <v>6133</v>
      </c>
      <c r="BQ65">
        <v>290.00000000000011</v>
      </c>
      <c r="BR65">
        <v>764.58</v>
      </c>
      <c r="BS65">
        <v>285</v>
      </c>
      <c r="BT65">
        <v>8053.56</v>
      </c>
      <c r="BU65">
        <v>765.97</v>
      </c>
      <c r="BV65">
        <v>-1.39</v>
      </c>
      <c r="BW65">
        <v>300.00000000000011</v>
      </c>
      <c r="BX65">
        <v>19.3</v>
      </c>
      <c r="BY65">
        <v>806.47135255404532</v>
      </c>
      <c r="BZ65">
        <v>3.087957636452725</v>
      </c>
      <c r="CA65">
        <v>-32.616720941478647</v>
      </c>
      <c r="CB65">
        <v>2.2846921699928942</v>
      </c>
      <c r="CC65">
        <v>0.87921135475693879</v>
      </c>
      <c r="CD65">
        <v>-4.155355061179089E-3</v>
      </c>
      <c r="CE65">
        <v>289.99999999999989</v>
      </c>
      <c r="CF65">
        <v>764.27</v>
      </c>
      <c r="CG65">
        <v>645</v>
      </c>
      <c r="CH65">
        <v>8044.85</v>
      </c>
      <c r="CI65">
        <v>765.93</v>
      </c>
      <c r="CJ65">
        <v>-1.66</v>
      </c>
      <c r="CX65">
        <f t="shared" si="88"/>
        <v>1799.87</v>
      </c>
      <c r="CY65">
        <f t="shared" si="89"/>
        <v>1513.0757996510581</v>
      </c>
      <c r="CZ65">
        <f t="shared" si="90"/>
        <v>0.84065838068919319</v>
      </c>
      <c r="DA65">
        <f t="shared" si="91"/>
        <v>0.16087067473014294</v>
      </c>
      <c r="DB65">
        <v>6</v>
      </c>
      <c r="DC65">
        <v>0.5</v>
      </c>
      <c r="DD65" t="s">
        <v>422</v>
      </c>
      <c r="DE65">
        <v>2</v>
      </c>
      <c r="DF65">
        <v>1689008940</v>
      </c>
      <c r="DG65">
        <v>99.859800000000007</v>
      </c>
      <c r="DH65">
        <v>120.07899999999999</v>
      </c>
      <c r="DI65">
        <v>28.154399999999999</v>
      </c>
      <c r="DJ65">
        <v>22.0306</v>
      </c>
      <c r="DK65">
        <v>99.922200000000004</v>
      </c>
      <c r="DL65">
        <v>28.107800000000001</v>
      </c>
      <c r="DM65">
        <v>500.10300000000001</v>
      </c>
      <c r="DN65">
        <v>99.064800000000005</v>
      </c>
      <c r="DO65">
        <v>0.100228</v>
      </c>
      <c r="DP65">
        <v>30.046500000000002</v>
      </c>
      <c r="DQ65">
        <v>29.961400000000001</v>
      </c>
      <c r="DR65">
        <v>999.9</v>
      </c>
      <c r="DS65">
        <v>0</v>
      </c>
      <c r="DT65">
        <v>0</v>
      </c>
      <c r="DU65">
        <v>9967.5</v>
      </c>
      <c r="DV65">
        <v>0</v>
      </c>
      <c r="DW65">
        <v>563.26800000000003</v>
      </c>
      <c r="DX65">
        <v>-20.2197</v>
      </c>
      <c r="DY65">
        <v>102.753</v>
      </c>
      <c r="DZ65">
        <v>122.785</v>
      </c>
      <c r="EA65">
        <v>6.1238400000000004</v>
      </c>
      <c r="EB65">
        <v>120.07899999999999</v>
      </c>
      <c r="EC65">
        <v>22.0306</v>
      </c>
      <c r="ED65">
        <v>2.78911</v>
      </c>
      <c r="EE65">
        <v>2.1824599999999998</v>
      </c>
      <c r="EF65">
        <v>22.819800000000001</v>
      </c>
      <c r="EG65">
        <v>18.834099999999999</v>
      </c>
      <c r="EH65">
        <v>1799.87</v>
      </c>
      <c r="EI65">
        <v>0.977993</v>
      </c>
      <c r="EJ65">
        <v>2.2007200000000001E-2</v>
      </c>
      <c r="EK65">
        <v>0</v>
      </c>
      <c r="EL65">
        <v>659.44399999999996</v>
      </c>
      <c r="EM65">
        <v>5.0005300000000004</v>
      </c>
      <c r="EN65">
        <v>13223.2</v>
      </c>
      <c r="EO65">
        <v>16034</v>
      </c>
      <c r="EP65">
        <v>47.436999999999998</v>
      </c>
      <c r="EQ65">
        <v>48.311999999999998</v>
      </c>
      <c r="ER65">
        <v>47.875</v>
      </c>
      <c r="ES65">
        <v>47.875</v>
      </c>
      <c r="ET65">
        <v>48.625</v>
      </c>
      <c r="EU65">
        <v>1755.37</v>
      </c>
      <c r="EV65">
        <v>39.5</v>
      </c>
      <c r="EW65">
        <v>0</v>
      </c>
      <c r="EX65">
        <v>104</v>
      </c>
      <c r="EY65">
        <v>0</v>
      </c>
      <c r="EZ65">
        <v>660.02026923076914</v>
      </c>
      <c r="FA65">
        <v>-5.8882393305575009</v>
      </c>
      <c r="FB65">
        <v>-41.600000112040377</v>
      </c>
      <c r="FC65">
        <v>13229.26153846154</v>
      </c>
      <c r="FD65">
        <v>15</v>
      </c>
      <c r="FE65">
        <v>1689008909.5</v>
      </c>
      <c r="FF65" t="s">
        <v>673</v>
      </c>
      <c r="FG65">
        <v>1689008900.5</v>
      </c>
      <c r="FH65">
        <v>1689008909.5</v>
      </c>
      <c r="FI65">
        <v>54</v>
      </c>
      <c r="FJ65">
        <v>0.152</v>
      </c>
      <c r="FK65">
        <v>0</v>
      </c>
      <c r="FL65">
        <v>-6.8000000000000005E-2</v>
      </c>
      <c r="FM65">
        <v>3.7999999999999999E-2</v>
      </c>
      <c r="FN65">
        <v>120</v>
      </c>
      <c r="FO65">
        <v>22</v>
      </c>
      <c r="FP65">
        <v>0.09</v>
      </c>
      <c r="FQ65">
        <v>0.01</v>
      </c>
      <c r="FR65">
        <v>16.416464875849829</v>
      </c>
      <c r="FS65">
        <v>-0.1487322712153589</v>
      </c>
      <c r="FT65">
        <v>1.561696719403137E-2</v>
      </c>
      <c r="FU65">
        <v>1</v>
      </c>
      <c r="FV65">
        <v>0.36683788307941012</v>
      </c>
      <c r="FW65">
        <v>4.8971183922411232E-2</v>
      </c>
      <c r="FX65">
        <v>4.4828149661666084E-3</v>
      </c>
      <c r="FY65">
        <v>1</v>
      </c>
      <c r="FZ65">
        <v>2</v>
      </c>
      <c r="GA65">
        <v>2</v>
      </c>
      <c r="GB65" t="s">
        <v>424</v>
      </c>
      <c r="GC65">
        <v>3.12066</v>
      </c>
      <c r="GD65">
        <v>2.7672500000000002</v>
      </c>
      <c r="GE65">
        <v>2.6269899999999999E-2</v>
      </c>
      <c r="GF65">
        <v>3.1357700000000002E-2</v>
      </c>
      <c r="GG65">
        <v>0.11963</v>
      </c>
      <c r="GH65">
        <v>0.100995</v>
      </c>
      <c r="GI65">
        <v>23272.799999999999</v>
      </c>
      <c r="GJ65">
        <v>23990.1</v>
      </c>
      <c r="GK65">
        <v>23762.1</v>
      </c>
      <c r="GL65">
        <v>25077.4</v>
      </c>
      <c r="GM65">
        <v>30144.7</v>
      </c>
      <c r="GN65">
        <v>31620.799999999999</v>
      </c>
      <c r="GO65">
        <v>37870.800000000003</v>
      </c>
      <c r="GP65">
        <v>39015.4</v>
      </c>
      <c r="GQ65">
        <v>2.1495299999999999</v>
      </c>
      <c r="GR65">
        <v>1.7142500000000001</v>
      </c>
      <c r="GS65">
        <v>5.16661E-2</v>
      </c>
      <c r="GT65">
        <v>0</v>
      </c>
      <c r="GU65">
        <v>29.12</v>
      </c>
      <c r="GV65">
        <v>999.9</v>
      </c>
      <c r="GW65">
        <v>30.6</v>
      </c>
      <c r="GX65">
        <v>45.8</v>
      </c>
      <c r="GY65">
        <v>31.023599999999998</v>
      </c>
      <c r="GZ65">
        <v>61.448099999999997</v>
      </c>
      <c r="HA65">
        <v>28.285299999999999</v>
      </c>
      <c r="HB65">
        <v>1</v>
      </c>
      <c r="HC65">
        <v>0.57469499999999996</v>
      </c>
      <c r="HD65">
        <v>1.4583900000000001</v>
      </c>
      <c r="HE65">
        <v>20.3644</v>
      </c>
      <c r="HF65">
        <v>5.25143</v>
      </c>
      <c r="HG65">
        <v>12.0099</v>
      </c>
      <c r="HH65">
        <v>4.97905</v>
      </c>
      <c r="HI65">
        <v>3.2930000000000001</v>
      </c>
      <c r="HJ65">
        <v>9999</v>
      </c>
      <c r="HK65">
        <v>9999</v>
      </c>
      <c r="HL65">
        <v>9999</v>
      </c>
      <c r="HM65">
        <v>233.9</v>
      </c>
      <c r="HN65">
        <v>1.8755999999999999</v>
      </c>
      <c r="HO65">
        <v>1.8766799999999999</v>
      </c>
      <c r="HP65">
        <v>1.88263</v>
      </c>
      <c r="HQ65">
        <v>1.8858699999999999</v>
      </c>
      <c r="HR65">
        <v>1.8766799999999999</v>
      </c>
      <c r="HS65">
        <v>1.8830899999999999</v>
      </c>
      <c r="HT65">
        <v>1.8820399999999999</v>
      </c>
      <c r="HU65">
        <v>1.88554</v>
      </c>
      <c r="HV65">
        <v>0</v>
      </c>
      <c r="HW65">
        <v>0</v>
      </c>
      <c r="HX65">
        <v>0</v>
      </c>
      <c r="HY65">
        <v>0</v>
      </c>
      <c r="HZ65" t="s">
        <v>425</v>
      </c>
      <c r="IA65" t="s">
        <v>426</v>
      </c>
      <c r="IB65" t="s">
        <v>427</v>
      </c>
      <c r="IC65" t="s">
        <v>427</v>
      </c>
      <c r="ID65" t="s">
        <v>427</v>
      </c>
      <c r="IE65" t="s">
        <v>427</v>
      </c>
      <c r="IF65">
        <v>0</v>
      </c>
      <c r="IG65">
        <v>100</v>
      </c>
      <c r="IH65">
        <v>100</v>
      </c>
      <c r="II65">
        <v>-6.2E-2</v>
      </c>
      <c r="IJ65">
        <v>4.6600000000000003E-2</v>
      </c>
      <c r="IK65">
        <v>-2.5810943138948179E-2</v>
      </c>
      <c r="IL65">
        <v>-4.2852564239613137E-4</v>
      </c>
      <c r="IM65">
        <v>6.4980710991155998E-7</v>
      </c>
      <c r="IN65">
        <v>-2.7237938963984961E-10</v>
      </c>
      <c r="IO65">
        <v>-1.152849468686208E-2</v>
      </c>
      <c r="IP65">
        <v>6.6907473102813496E-3</v>
      </c>
      <c r="IQ65">
        <v>-3.3673306238274028E-4</v>
      </c>
      <c r="IR65">
        <v>6.1311374003140313E-6</v>
      </c>
      <c r="IS65">
        <v>3</v>
      </c>
      <c r="IT65">
        <v>2101</v>
      </c>
      <c r="IU65">
        <v>1</v>
      </c>
      <c r="IV65">
        <v>32</v>
      </c>
      <c r="IW65">
        <v>0.7</v>
      </c>
      <c r="IX65">
        <v>0.5</v>
      </c>
      <c r="IY65">
        <v>0.41015600000000002</v>
      </c>
      <c r="IZ65">
        <v>2.7282700000000002</v>
      </c>
      <c r="JA65">
        <v>1.6015600000000001</v>
      </c>
      <c r="JB65">
        <v>2.32544</v>
      </c>
      <c r="JC65">
        <v>1.5502899999999999</v>
      </c>
      <c r="JD65">
        <v>2.48291</v>
      </c>
      <c r="JE65">
        <v>48.239600000000003</v>
      </c>
      <c r="JF65">
        <v>16.093399999999999</v>
      </c>
      <c r="JG65">
        <v>18</v>
      </c>
      <c r="JH65">
        <v>599.69899999999996</v>
      </c>
      <c r="JI65">
        <v>372.42899999999997</v>
      </c>
      <c r="JJ65">
        <v>27.704699999999999</v>
      </c>
      <c r="JK65">
        <v>34.009599999999999</v>
      </c>
      <c r="JL65">
        <v>29.999700000000001</v>
      </c>
      <c r="JM65">
        <v>34.175800000000002</v>
      </c>
      <c r="JN65">
        <v>34.168700000000001</v>
      </c>
      <c r="JO65">
        <v>8.1853400000000001</v>
      </c>
      <c r="JP65">
        <v>34.332799999999999</v>
      </c>
      <c r="JQ65">
        <v>0</v>
      </c>
      <c r="JR65">
        <v>27.7135</v>
      </c>
      <c r="JS65">
        <v>120</v>
      </c>
      <c r="JT65">
        <v>21.953399999999998</v>
      </c>
      <c r="JU65">
        <v>98.783600000000007</v>
      </c>
      <c r="JV65">
        <v>98.746200000000002</v>
      </c>
    </row>
    <row r="66" spans="1:282" x14ac:dyDescent="0.25">
      <c r="A66">
        <v>50</v>
      </c>
      <c r="B66">
        <v>1689009048.5</v>
      </c>
      <c r="C66">
        <v>9225.9000000953674</v>
      </c>
      <c r="D66" t="s">
        <v>674</v>
      </c>
      <c r="E66" t="s">
        <v>675</v>
      </c>
      <c r="F66" t="s">
        <v>414</v>
      </c>
      <c r="G66" t="s">
        <v>415</v>
      </c>
      <c r="H66" t="s">
        <v>654</v>
      </c>
      <c r="I66" t="s">
        <v>655</v>
      </c>
      <c r="J66" t="s">
        <v>416</v>
      </c>
      <c r="K66">
        <v>1689009048.5</v>
      </c>
      <c r="L66">
        <f t="shared" si="46"/>
        <v>5.4180696242874934E-3</v>
      </c>
      <c r="M66">
        <f t="shared" si="47"/>
        <v>5.4180696242874937</v>
      </c>
      <c r="N66">
        <f t="shared" si="48"/>
        <v>9.861889389293987</v>
      </c>
      <c r="O66">
        <f t="shared" si="49"/>
        <v>57.861600000000003</v>
      </c>
      <c r="P66">
        <f t="shared" si="50"/>
        <v>13.36066484739148</v>
      </c>
      <c r="Q66">
        <f t="shared" si="51"/>
        <v>1.324920390172206</v>
      </c>
      <c r="R66">
        <f t="shared" si="52"/>
        <v>5.7378891337848001</v>
      </c>
      <c r="S66">
        <f t="shared" si="53"/>
        <v>0.38405099615993937</v>
      </c>
      <c r="T66">
        <f t="shared" si="54"/>
        <v>2.9166120770784416</v>
      </c>
      <c r="U66">
        <f t="shared" si="55"/>
        <v>0.35800622592673759</v>
      </c>
      <c r="V66">
        <f t="shared" si="56"/>
        <v>0.22594655482371151</v>
      </c>
      <c r="W66">
        <f t="shared" si="57"/>
        <v>289.5766253266134</v>
      </c>
      <c r="X66">
        <f t="shared" si="58"/>
        <v>30.458806696000291</v>
      </c>
      <c r="Y66">
        <f t="shared" si="59"/>
        <v>30.004999999999999</v>
      </c>
      <c r="Z66">
        <f t="shared" si="60"/>
        <v>4.2616735092747486</v>
      </c>
      <c r="AA66">
        <f t="shared" si="61"/>
        <v>65.457295440266336</v>
      </c>
      <c r="AB66">
        <f t="shared" si="62"/>
        <v>2.8144430690435995</v>
      </c>
      <c r="AC66">
        <f t="shared" si="63"/>
        <v>4.2996629330827538</v>
      </c>
      <c r="AD66">
        <f t="shared" si="64"/>
        <v>1.4472304402311491</v>
      </c>
      <c r="AE66">
        <f t="shared" si="65"/>
        <v>-238.93687043107846</v>
      </c>
      <c r="AF66">
        <f t="shared" si="66"/>
        <v>24.309364340295751</v>
      </c>
      <c r="AG66">
        <f t="shared" si="67"/>
        <v>1.8547607289833898</v>
      </c>
      <c r="AH66">
        <f t="shared" si="68"/>
        <v>76.803879964814058</v>
      </c>
      <c r="AI66">
        <v>0</v>
      </c>
      <c r="AJ66">
        <v>0</v>
      </c>
      <c r="AK66">
        <f t="shared" si="69"/>
        <v>1</v>
      </c>
      <c r="AL66">
        <f t="shared" si="70"/>
        <v>0</v>
      </c>
      <c r="AM66">
        <f t="shared" si="71"/>
        <v>51936.860742987854</v>
      </c>
      <c r="AN66" t="s">
        <v>419</v>
      </c>
      <c r="AO66">
        <v>9967.0300000000007</v>
      </c>
      <c r="AP66">
        <v>178.94153846153841</v>
      </c>
      <c r="AQ66">
        <v>603.15</v>
      </c>
      <c r="AR66">
        <f t="shared" si="72"/>
        <v>0.7033216638290003</v>
      </c>
      <c r="AS66">
        <v>-3.2649104154664181</v>
      </c>
      <c r="AT66" t="s">
        <v>676</v>
      </c>
      <c r="AU66">
        <v>8055.36</v>
      </c>
      <c r="AV66">
        <v>668.58442307692303</v>
      </c>
      <c r="AW66">
        <v>756.62036648353785</v>
      </c>
      <c r="AX66">
        <f t="shared" si="73"/>
        <v>0.11635418144474474</v>
      </c>
      <c r="AY66">
        <v>0.5</v>
      </c>
      <c r="AZ66">
        <f t="shared" si="74"/>
        <v>1513.2353996510947</v>
      </c>
      <c r="BA66">
        <f t="shared" si="75"/>
        <v>9.861889389293987</v>
      </c>
      <c r="BB66">
        <f t="shared" si="76"/>
        <v>88.035633129807152</v>
      </c>
      <c r="BC66">
        <f t="shared" si="77"/>
        <v>8.6746581581339157E-3</v>
      </c>
      <c r="BD66">
        <f t="shared" si="78"/>
        <v>-0.20283668439537966</v>
      </c>
      <c r="BE66">
        <f t="shared" si="79"/>
        <v>190.39924120725829</v>
      </c>
      <c r="BF66" t="s">
        <v>677</v>
      </c>
      <c r="BG66">
        <v>542.36</v>
      </c>
      <c r="BH66">
        <f t="shared" si="80"/>
        <v>542.36</v>
      </c>
      <c r="BI66">
        <f t="shared" si="81"/>
        <v>0.28318080767417408</v>
      </c>
      <c r="BJ66">
        <f t="shared" si="82"/>
        <v>0.41088300580956416</v>
      </c>
      <c r="BK66">
        <f t="shared" si="83"/>
        <v>-2.5245988893492015</v>
      </c>
      <c r="BL66">
        <f t="shared" si="84"/>
        <v>0.15239600126605679</v>
      </c>
      <c r="BM66">
        <f t="shared" si="85"/>
        <v>-0.3617805404610564</v>
      </c>
      <c r="BN66">
        <f t="shared" si="86"/>
        <v>0.33331094673923617</v>
      </c>
      <c r="BO66">
        <f t="shared" si="87"/>
        <v>0.66668905326076389</v>
      </c>
      <c r="BP66">
        <v>6135</v>
      </c>
      <c r="BQ66">
        <v>290.00000000000011</v>
      </c>
      <c r="BR66">
        <v>730.97</v>
      </c>
      <c r="BS66">
        <v>265</v>
      </c>
      <c r="BT66">
        <v>8055.36</v>
      </c>
      <c r="BU66">
        <v>730.2</v>
      </c>
      <c r="BV66">
        <v>0.77</v>
      </c>
      <c r="BW66">
        <v>300.00000000000011</v>
      </c>
      <c r="BX66">
        <v>19.3</v>
      </c>
      <c r="BY66">
        <v>756.62036648353785</v>
      </c>
      <c r="BZ66">
        <v>2.7315096833216859</v>
      </c>
      <c r="CA66">
        <v>-21.278675423855429</v>
      </c>
      <c r="CB66">
        <v>2.021113442924686</v>
      </c>
      <c r="CC66">
        <v>0.79833319407199577</v>
      </c>
      <c r="CD66">
        <v>-4.1555966629588442E-3</v>
      </c>
      <c r="CE66">
        <v>289.99999999999989</v>
      </c>
      <c r="CF66">
        <v>728.59</v>
      </c>
      <c r="CG66">
        <v>665</v>
      </c>
      <c r="CH66">
        <v>8044.8</v>
      </c>
      <c r="CI66">
        <v>730.17</v>
      </c>
      <c r="CJ66">
        <v>-1.58</v>
      </c>
      <c r="CX66">
        <f t="shared" si="88"/>
        <v>1800.06</v>
      </c>
      <c r="CY66">
        <f t="shared" si="89"/>
        <v>1513.2353996510947</v>
      </c>
      <c r="CZ66">
        <f t="shared" si="90"/>
        <v>0.8406583111957906</v>
      </c>
      <c r="DA66">
        <f t="shared" si="91"/>
        <v>0.16087054060787609</v>
      </c>
      <c r="DB66">
        <v>6</v>
      </c>
      <c r="DC66">
        <v>0.5</v>
      </c>
      <c r="DD66" t="s">
        <v>422</v>
      </c>
      <c r="DE66">
        <v>2</v>
      </c>
      <c r="DF66">
        <v>1689009048.5</v>
      </c>
      <c r="DG66">
        <v>57.861600000000003</v>
      </c>
      <c r="DH66">
        <v>70.070599999999999</v>
      </c>
      <c r="DI66">
        <v>28.3812</v>
      </c>
      <c r="DJ66">
        <v>22.064800000000002</v>
      </c>
      <c r="DK66">
        <v>57.8767</v>
      </c>
      <c r="DL66">
        <v>28.3352</v>
      </c>
      <c r="DM66">
        <v>500.06</v>
      </c>
      <c r="DN66">
        <v>99.066199999999995</v>
      </c>
      <c r="DO66">
        <v>9.9553000000000003E-2</v>
      </c>
      <c r="DP66">
        <v>30.159600000000001</v>
      </c>
      <c r="DQ66">
        <v>30.004999999999999</v>
      </c>
      <c r="DR66">
        <v>999.9</v>
      </c>
      <c r="DS66">
        <v>0</v>
      </c>
      <c r="DT66">
        <v>0</v>
      </c>
      <c r="DU66">
        <v>10020</v>
      </c>
      <c r="DV66">
        <v>0</v>
      </c>
      <c r="DW66">
        <v>757.75900000000001</v>
      </c>
      <c r="DX66">
        <v>-12.209</v>
      </c>
      <c r="DY66">
        <v>59.5518</v>
      </c>
      <c r="DZ66">
        <v>71.651600000000002</v>
      </c>
      <c r="EA66">
        <v>6.3163600000000004</v>
      </c>
      <c r="EB66">
        <v>70.070599999999999</v>
      </c>
      <c r="EC66">
        <v>22.064800000000002</v>
      </c>
      <c r="ED66">
        <v>2.81162</v>
      </c>
      <c r="EE66">
        <v>2.18588</v>
      </c>
      <c r="EF66">
        <v>22.952500000000001</v>
      </c>
      <c r="EG66">
        <v>18.859200000000001</v>
      </c>
      <c r="EH66">
        <v>1800.06</v>
      </c>
      <c r="EI66">
        <v>0.977993</v>
      </c>
      <c r="EJ66">
        <v>2.20073E-2</v>
      </c>
      <c r="EK66">
        <v>0</v>
      </c>
      <c r="EL66">
        <v>668.35500000000002</v>
      </c>
      <c r="EM66">
        <v>5.0005300000000004</v>
      </c>
      <c r="EN66">
        <v>13570.8</v>
      </c>
      <c r="EO66">
        <v>16035.7</v>
      </c>
      <c r="EP66">
        <v>47.25</v>
      </c>
      <c r="EQ66">
        <v>48</v>
      </c>
      <c r="ER66">
        <v>47.686999999999998</v>
      </c>
      <c r="ES66">
        <v>47.561999999999998</v>
      </c>
      <c r="ET66">
        <v>48.5</v>
      </c>
      <c r="EU66">
        <v>1755.56</v>
      </c>
      <c r="EV66">
        <v>39.5</v>
      </c>
      <c r="EW66">
        <v>0</v>
      </c>
      <c r="EX66">
        <v>106.3999998569489</v>
      </c>
      <c r="EY66">
        <v>0</v>
      </c>
      <c r="EZ66">
        <v>668.58442307692303</v>
      </c>
      <c r="FA66">
        <v>-2.9758290532903162</v>
      </c>
      <c r="FB66">
        <v>-364.99829092254799</v>
      </c>
      <c r="FC66">
        <v>13588.384615384621</v>
      </c>
      <c r="FD66">
        <v>15</v>
      </c>
      <c r="FE66">
        <v>1689009015</v>
      </c>
      <c r="FF66" t="s">
        <v>678</v>
      </c>
      <c r="FG66">
        <v>1689009008.5</v>
      </c>
      <c r="FH66">
        <v>1689009015</v>
      </c>
      <c r="FI66">
        <v>55</v>
      </c>
      <c r="FJ66">
        <v>3.3000000000000002E-2</v>
      </c>
      <c r="FK66">
        <v>-1E-3</v>
      </c>
      <c r="FL66">
        <v>-1.9E-2</v>
      </c>
      <c r="FM66">
        <v>3.6999999999999998E-2</v>
      </c>
      <c r="FN66">
        <v>70</v>
      </c>
      <c r="FO66">
        <v>22</v>
      </c>
      <c r="FP66">
        <v>0.12</v>
      </c>
      <c r="FQ66">
        <v>0.02</v>
      </c>
      <c r="FR66">
        <v>9.917307876692643</v>
      </c>
      <c r="FS66">
        <v>-1.1489831206973909E-2</v>
      </c>
      <c r="FT66">
        <v>2.3239478489389339E-2</v>
      </c>
      <c r="FU66">
        <v>1</v>
      </c>
      <c r="FV66">
        <v>0.38272385824653898</v>
      </c>
      <c r="FW66">
        <v>3.7627734450478838E-2</v>
      </c>
      <c r="FX66">
        <v>4.1395238642578883E-3</v>
      </c>
      <c r="FY66">
        <v>1</v>
      </c>
      <c r="FZ66">
        <v>2</v>
      </c>
      <c r="GA66">
        <v>2</v>
      </c>
      <c r="GB66" t="s">
        <v>424</v>
      </c>
      <c r="GC66">
        <v>3.1202399999999999</v>
      </c>
      <c r="GD66">
        <v>2.7670300000000001</v>
      </c>
      <c r="GE66">
        <v>1.54333E-2</v>
      </c>
      <c r="GF66">
        <v>1.8653300000000001E-2</v>
      </c>
      <c r="GG66">
        <v>0.120319</v>
      </c>
      <c r="GH66">
        <v>0.10112400000000001</v>
      </c>
      <c r="GI66">
        <v>23539.5</v>
      </c>
      <c r="GJ66">
        <v>24315.200000000001</v>
      </c>
      <c r="GK66">
        <v>23770</v>
      </c>
      <c r="GL66">
        <v>25088.2</v>
      </c>
      <c r="GM66">
        <v>30131.200000000001</v>
      </c>
      <c r="GN66">
        <v>31629.3</v>
      </c>
      <c r="GO66">
        <v>37883.300000000003</v>
      </c>
      <c r="GP66">
        <v>39031.300000000003</v>
      </c>
      <c r="GQ66">
        <v>2.1503000000000001</v>
      </c>
      <c r="GR66">
        <v>1.7168000000000001</v>
      </c>
      <c r="GS66">
        <v>7.0057800000000003E-2</v>
      </c>
      <c r="GT66">
        <v>0</v>
      </c>
      <c r="GU66">
        <v>28.863800000000001</v>
      </c>
      <c r="GV66">
        <v>999.9</v>
      </c>
      <c r="GW66">
        <v>30.6</v>
      </c>
      <c r="GX66">
        <v>45.7</v>
      </c>
      <c r="GY66">
        <v>30.863499999999998</v>
      </c>
      <c r="GZ66">
        <v>60.878100000000003</v>
      </c>
      <c r="HA66">
        <v>28.0168</v>
      </c>
      <c r="HB66">
        <v>1</v>
      </c>
      <c r="HC66">
        <v>0.56111999999999995</v>
      </c>
      <c r="HD66">
        <v>1.7862199999999999</v>
      </c>
      <c r="HE66">
        <v>20.360399999999998</v>
      </c>
      <c r="HF66">
        <v>5.2473900000000002</v>
      </c>
      <c r="HG66">
        <v>12.0099</v>
      </c>
      <c r="HH66">
        <v>4.9776499999999997</v>
      </c>
      <c r="HI66">
        <v>3.2922500000000001</v>
      </c>
      <c r="HJ66">
        <v>9999</v>
      </c>
      <c r="HK66">
        <v>9999</v>
      </c>
      <c r="HL66">
        <v>9999</v>
      </c>
      <c r="HM66">
        <v>234</v>
      </c>
      <c r="HN66">
        <v>1.87561</v>
      </c>
      <c r="HO66">
        <v>1.8766799999999999</v>
      </c>
      <c r="HP66">
        <v>1.88263</v>
      </c>
      <c r="HQ66">
        <v>1.8858299999999999</v>
      </c>
      <c r="HR66">
        <v>1.8766799999999999</v>
      </c>
      <c r="HS66">
        <v>1.8830899999999999</v>
      </c>
      <c r="HT66">
        <v>1.88202</v>
      </c>
      <c r="HU66">
        <v>1.8855299999999999</v>
      </c>
      <c r="HV66">
        <v>0</v>
      </c>
      <c r="HW66">
        <v>0</v>
      </c>
      <c r="HX66">
        <v>0</v>
      </c>
      <c r="HY66">
        <v>0</v>
      </c>
      <c r="HZ66" t="s">
        <v>425</v>
      </c>
      <c r="IA66" t="s">
        <v>426</v>
      </c>
      <c r="IB66" t="s">
        <v>427</v>
      </c>
      <c r="IC66" t="s">
        <v>427</v>
      </c>
      <c r="ID66" t="s">
        <v>427</v>
      </c>
      <c r="IE66" t="s">
        <v>427</v>
      </c>
      <c r="IF66">
        <v>0</v>
      </c>
      <c r="IG66">
        <v>100</v>
      </c>
      <c r="IH66">
        <v>100</v>
      </c>
      <c r="II66">
        <v>-1.4999999999999999E-2</v>
      </c>
      <c r="IJ66">
        <v>4.5999999999999999E-2</v>
      </c>
      <c r="IK66">
        <v>7.6202776474810219E-3</v>
      </c>
      <c r="IL66">
        <v>-4.2852564239613137E-4</v>
      </c>
      <c r="IM66">
        <v>6.4980710991155998E-7</v>
      </c>
      <c r="IN66">
        <v>-2.7237938963984961E-10</v>
      </c>
      <c r="IO66">
        <v>-1.2705123918997099E-2</v>
      </c>
      <c r="IP66">
        <v>6.6907473102813496E-3</v>
      </c>
      <c r="IQ66">
        <v>-3.3673306238274028E-4</v>
      </c>
      <c r="IR66">
        <v>6.1311374003140313E-6</v>
      </c>
      <c r="IS66">
        <v>3</v>
      </c>
      <c r="IT66">
        <v>2101</v>
      </c>
      <c r="IU66">
        <v>1</v>
      </c>
      <c r="IV66">
        <v>32</v>
      </c>
      <c r="IW66">
        <v>0.7</v>
      </c>
      <c r="IX66">
        <v>0.6</v>
      </c>
      <c r="IY66">
        <v>0.29785200000000001</v>
      </c>
      <c r="IZ66">
        <v>2.7539099999999999</v>
      </c>
      <c r="JA66">
        <v>1.6015600000000001</v>
      </c>
      <c r="JB66">
        <v>2.32544</v>
      </c>
      <c r="JC66">
        <v>1.5502899999999999</v>
      </c>
      <c r="JD66">
        <v>2.4365199999999998</v>
      </c>
      <c r="JE66">
        <v>47.9955</v>
      </c>
      <c r="JF66">
        <v>16.075800000000001</v>
      </c>
      <c r="JG66">
        <v>18</v>
      </c>
      <c r="JH66">
        <v>599.64599999999996</v>
      </c>
      <c r="JI66">
        <v>373.55900000000003</v>
      </c>
      <c r="JJ66">
        <v>27.5961</v>
      </c>
      <c r="JK66">
        <v>33.898299999999999</v>
      </c>
      <c r="JL66">
        <v>29.999500000000001</v>
      </c>
      <c r="JM66">
        <v>34.109000000000002</v>
      </c>
      <c r="JN66">
        <v>34.102400000000003</v>
      </c>
      <c r="JO66">
        <v>5.9342499999999996</v>
      </c>
      <c r="JP66">
        <v>34.066000000000003</v>
      </c>
      <c r="JQ66">
        <v>0</v>
      </c>
      <c r="JR66">
        <v>27.580400000000001</v>
      </c>
      <c r="JS66">
        <v>70</v>
      </c>
      <c r="JT66">
        <v>21.976199999999999</v>
      </c>
      <c r="JU66">
        <v>98.816400000000002</v>
      </c>
      <c r="JV66">
        <v>98.787400000000005</v>
      </c>
    </row>
    <row r="67" spans="1:282" x14ac:dyDescent="0.25">
      <c r="A67">
        <v>51</v>
      </c>
      <c r="B67">
        <v>1689009194</v>
      </c>
      <c r="C67">
        <v>9371.4000000953674</v>
      </c>
      <c r="D67" t="s">
        <v>679</v>
      </c>
      <c r="E67" t="s">
        <v>680</v>
      </c>
      <c r="F67" t="s">
        <v>414</v>
      </c>
      <c r="G67" t="s">
        <v>415</v>
      </c>
      <c r="H67" t="s">
        <v>654</v>
      </c>
      <c r="I67" t="s">
        <v>655</v>
      </c>
      <c r="J67" t="s">
        <v>416</v>
      </c>
      <c r="K67">
        <v>1689009194</v>
      </c>
      <c r="L67">
        <f t="shared" si="46"/>
        <v>5.7138554391877377E-3</v>
      </c>
      <c r="M67">
        <f t="shared" si="47"/>
        <v>5.7138554391877374</v>
      </c>
      <c r="N67">
        <f t="shared" si="48"/>
        <v>4.2360442877910991</v>
      </c>
      <c r="O67">
        <f t="shared" si="49"/>
        <v>24.787199999999999</v>
      </c>
      <c r="P67">
        <f t="shared" si="50"/>
        <v>6.6235885290985443</v>
      </c>
      <c r="Q67">
        <f t="shared" si="51"/>
        <v>0.65690392371724149</v>
      </c>
      <c r="R67">
        <f t="shared" si="52"/>
        <v>2.4583062287808</v>
      </c>
      <c r="S67">
        <f t="shared" si="53"/>
        <v>0.40618227284260966</v>
      </c>
      <c r="T67">
        <f t="shared" si="54"/>
        <v>2.9148406107284703</v>
      </c>
      <c r="U67">
        <f t="shared" si="55"/>
        <v>0.37715456489005467</v>
      </c>
      <c r="V67">
        <f t="shared" si="56"/>
        <v>0.23815652780088312</v>
      </c>
      <c r="W67">
        <f t="shared" si="57"/>
        <v>289.56284032640934</v>
      </c>
      <c r="X67">
        <f t="shared" si="58"/>
        <v>30.410374329813287</v>
      </c>
      <c r="Y67">
        <f t="shared" si="59"/>
        <v>30.019300000000001</v>
      </c>
      <c r="Z67">
        <f t="shared" si="60"/>
        <v>4.2651750877035708</v>
      </c>
      <c r="AA67">
        <f t="shared" si="61"/>
        <v>65.39318716612901</v>
      </c>
      <c r="AB67">
        <f t="shared" si="62"/>
        <v>2.8163034206391</v>
      </c>
      <c r="AC67">
        <f t="shared" si="63"/>
        <v>4.3067229824482842</v>
      </c>
      <c r="AD67">
        <f t="shared" si="64"/>
        <v>1.4488716670644708</v>
      </c>
      <c r="AE67">
        <f t="shared" si="65"/>
        <v>-251.98102486817925</v>
      </c>
      <c r="AF67">
        <f t="shared" si="66"/>
        <v>26.541771415244266</v>
      </c>
      <c r="AG67">
        <f t="shared" si="67"/>
        <v>2.0267503791605894</v>
      </c>
      <c r="AH67">
        <f t="shared" si="68"/>
        <v>66.150337252634969</v>
      </c>
      <c r="AI67">
        <v>0</v>
      </c>
      <c r="AJ67">
        <v>0</v>
      </c>
      <c r="AK67">
        <f t="shared" si="69"/>
        <v>1</v>
      </c>
      <c r="AL67">
        <f t="shared" si="70"/>
        <v>0</v>
      </c>
      <c r="AM67">
        <f t="shared" si="71"/>
        <v>51881.803540289475</v>
      </c>
      <c r="AN67" t="s">
        <v>419</v>
      </c>
      <c r="AO67">
        <v>9967.0300000000007</v>
      </c>
      <c r="AP67">
        <v>178.94153846153841</v>
      </c>
      <c r="AQ67">
        <v>603.15</v>
      </c>
      <c r="AR67">
        <f t="shared" si="72"/>
        <v>0.7033216638290003</v>
      </c>
      <c r="AS67">
        <v>-3.2649104154664181</v>
      </c>
      <c r="AT67" t="s">
        <v>681</v>
      </c>
      <c r="AU67">
        <v>8055.88</v>
      </c>
      <c r="AV67">
        <v>682.54456000000005</v>
      </c>
      <c r="AW67">
        <v>750.81530352165782</v>
      </c>
      <c r="AX67">
        <f t="shared" si="73"/>
        <v>9.0928811921437425E-2</v>
      </c>
      <c r="AY67">
        <v>0.5</v>
      </c>
      <c r="AZ67">
        <f t="shared" si="74"/>
        <v>1513.1600996509892</v>
      </c>
      <c r="BA67">
        <f t="shared" si="75"/>
        <v>4.2360442877910991</v>
      </c>
      <c r="BB67">
        <f t="shared" si="76"/>
        <v>68.794925054094151</v>
      </c>
      <c r="BC67">
        <f t="shared" si="77"/>
        <v>4.9571454500998372E-3</v>
      </c>
      <c r="BD67">
        <f t="shared" si="78"/>
        <v>-0.19667327347889937</v>
      </c>
      <c r="BE67">
        <f t="shared" si="79"/>
        <v>190.02951344630389</v>
      </c>
      <c r="BF67" t="s">
        <v>682</v>
      </c>
      <c r="BG67">
        <v>569.22</v>
      </c>
      <c r="BH67">
        <f t="shared" si="80"/>
        <v>569.22</v>
      </c>
      <c r="BI67">
        <f t="shared" si="81"/>
        <v>0.24186414777362031</v>
      </c>
      <c r="BJ67">
        <f t="shared" si="82"/>
        <v>0.37594994032164236</v>
      </c>
      <c r="BK67">
        <f t="shared" si="83"/>
        <v>-4.3520572803318025</v>
      </c>
      <c r="BL67">
        <f t="shared" si="84"/>
        <v>0.11938079291761297</v>
      </c>
      <c r="BM67">
        <f t="shared" si="85"/>
        <v>-0.34809608225664668</v>
      </c>
      <c r="BN67">
        <f t="shared" si="86"/>
        <v>0.31353004268305246</v>
      </c>
      <c r="BO67">
        <f t="shared" si="87"/>
        <v>0.68646995731694749</v>
      </c>
      <c r="BP67">
        <v>6137</v>
      </c>
      <c r="BQ67">
        <v>290.00000000000011</v>
      </c>
      <c r="BR67">
        <v>724.46</v>
      </c>
      <c r="BS67">
        <v>275</v>
      </c>
      <c r="BT67">
        <v>8055.88</v>
      </c>
      <c r="BU67">
        <v>723.65</v>
      </c>
      <c r="BV67">
        <v>0.81</v>
      </c>
      <c r="BW67">
        <v>300.00000000000011</v>
      </c>
      <c r="BX67">
        <v>19.3</v>
      </c>
      <c r="BY67">
        <v>750.81530352165782</v>
      </c>
      <c r="BZ67">
        <v>2.6363024935505059</v>
      </c>
      <c r="CA67">
        <v>-21.886612483200771</v>
      </c>
      <c r="CB67">
        <v>1.950954708179881</v>
      </c>
      <c r="CC67">
        <v>0.81800780728963884</v>
      </c>
      <c r="CD67">
        <v>-4.155998220244715E-3</v>
      </c>
      <c r="CE67">
        <v>289.99999999999989</v>
      </c>
      <c r="CF67">
        <v>722.23</v>
      </c>
      <c r="CG67">
        <v>705</v>
      </c>
      <c r="CH67">
        <v>8044.86</v>
      </c>
      <c r="CI67">
        <v>723.61</v>
      </c>
      <c r="CJ67">
        <v>-1.38</v>
      </c>
      <c r="CX67">
        <f t="shared" si="88"/>
        <v>1799.97</v>
      </c>
      <c r="CY67">
        <f t="shared" si="89"/>
        <v>1513.1600996509892</v>
      </c>
      <c r="CZ67">
        <f t="shared" si="90"/>
        <v>0.84065851078128484</v>
      </c>
      <c r="DA67">
        <f t="shared" si="91"/>
        <v>0.16087092580787976</v>
      </c>
      <c r="DB67">
        <v>6</v>
      </c>
      <c r="DC67">
        <v>0.5</v>
      </c>
      <c r="DD67" t="s">
        <v>422</v>
      </c>
      <c r="DE67">
        <v>2</v>
      </c>
      <c r="DF67">
        <v>1689009194</v>
      </c>
      <c r="DG67">
        <v>24.787199999999999</v>
      </c>
      <c r="DH67">
        <v>30.04</v>
      </c>
      <c r="DI67">
        <v>28.396899999999999</v>
      </c>
      <c r="DJ67">
        <v>21.735499999999998</v>
      </c>
      <c r="DK67">
        <v>24.716999999999999</v>
      </c>
      <c r="DL67">
        <v>28.352</v>
      </c>
      <c r="DM67">
        <v>500.03899999999999</v>
      </c>
      <c r="DN67">
        <v>99.076700000000002</v>
      </c>
      <c r="DO67">
        <v>9.9738999999999994E-2</v>
      </c>
      <c r="DP67">
        <v>30.188199999999998</v>
      </c>
      <c r="DQ67">
        <v>30.019300000000001</v>
      </c>
      <c r="DR67">
        <v>999.9</v>
      </c>
      <c r="DS67">
        <v>0</v>
      </c>
      <c r="DT67">
        <v>0</v>
      </c>
      <c r="DU67">
        <v>10008.799999999999</v>
      </c>
      <c r="DV67">
        <v>0</v>
      </c>
      <c r="DW67">
        <v>1042.33</v>
      </c>
      <c r="DX67">
        <v>-5.2528100000000002</v>
      </c>
      <c r="DY67">
        <v>25.511700000000001</v>
      </c>
      <c r="DZ67">
        <v>30.7075</v>
      </c>
      <c r="EA67">
        <v>6.66134</v>
      </c>
      <c r="EB67">
        <v>30.04</v>
      </c>
      <c r="EC67">
        <v>21.735499999999998</v>
      </c>
      <c r="ED67">
        <v>2.8134700000000001</v>
      </c>
      <c r="EE67">
        <v>2.1534900000000001</v>
      </c>
      <c r="EF67">
        <v>22.9633</v>
      </c>
      <c r="EG67">
        <v>18.6204</v>
      </c>
      <c r="EH67">
        <v>1799.97</v>
      </c>
      <c r="EI67">
        <v>0.977989</v>
      </c>
      <c r="EJ67">
        <v>2.20109E-2</v>
      </c>
      <c r="EK67">
        <v>0</v>
      </c>
      <c r="EL67">
        <v>682.66399999999999</v>
      </c>
      <c r="EM67">
        <v>5.0005300000000004</v>
      </c>
      <c r="EN67">
        <v>13830.6</v>
      </c>
      <c r="EO67">
        <v>16035</v>
      </c>
      <c r="EP67">
        <v>47.061999999999998</v>
      </c>
      <c r="EQ67">
        <v>47.75</v>
      </c>
      <c r="ER67">
        <v>47.5</v>
      </c>
      <c r="ES67">
        <v>47.25</v>
      </c>
      <c r="ET67">
        <v>48.25</v>
      </c>
      <c r="EU67">
        <v>1755.46</v>
      </c>
      <c r="EV67">
        <v>39.51</v>
      </c>
      <c r="EW67">
        <v>0</v>
      </c>
      <c r="EX67">
        <v>143.5999999046326</v>
      </c>
      <c r="EY67">
        <v>0</v>
      </c>
      <c r="EZ67">
        <v>682.54456000000005</v>
      </c>
      <c r="FA67">
        <v>-2.1680769322173421</v>
      </c>
      <c r="FB67">
        <v>-1115.70769271821</v>
      </c>
      <c r="FC67">
        <v>14389.656000000001</v>
      </c>
      <c r="FD67">
        <v>15</v>
      </c>
      <c r="FE67">
        <v>1689009161</v>
      </c>
      <c r="FF67" t="s">
        <v>683</v>
      </c>
      <c r="FG67">
        <v>1689009152.5</v>
      </c>
      <c r="FH67">
        <v>1689009161</v>
      </c>
      <c r="FI67">
        <v>56</v>
      </c>
      <c r="FJ67">
        <v>7.2999999999999995E-2</v>
      </c>
      <c r="FK67">
        <v>-1E-3</v>
      </c>
      <c r="FL67">
        <v>6.8000000000000005E-2</v>
      </c>
      <c r="FM67">
        <v>3.5000000000000003E-2</v>
      </c>
      <c r="FN67">
        <v>30</v>
      </c>
      <c r="FO67">
        <v>22</v>
      </c>
      <c r="FP67">
        <v>0.47</v>
      </c>
      <c r="FQ67">
        <v>0.02</v>
      </c>
      <c r="FR67">
        <v>4.3134421534993406</v>
      </c>
      <c r="FS67">
        <v>-0.38286464083066751</v>
      </c>
      <c r="FT67">
        <v>3.6364249727699742E-2</v>
      </c>
      <c r="FU67">
        <v>1</v>
      </c>
      <c r="FV67">
        <v>0.40726427329592307</v>
      </c>
      <c r="FW67">
        <v>2.6115043290840859E-2</v>
      </c>
      <c r="FX67">
        <v>3.0802263162757432E-3</v>
      </c>
      <c r="FY67">
        <v>1</v>
      </c>
      <c r="FZ67">
        <v>2</v>
      </c>
      <c r="GA67">
        <v>2</v>
      </c>
      <c r="GB67" t="s">
        <v>424</v>
      </c>
      <c r="GC67">
        <v>3.1196000000000002</v>
      </c>
      <c r="GD67">
        <v>2.7671100000000002</v>
      </c>
      <c r="GE67">
        <v>6.6345500000000003E-3</v>
      </c>
      <c r="GF67">
        <v>8.0679099999999993E-3</v>
      </c>
      <c r="GG67">
        <v>0.120423</v>
      </c>
      <c r="GH67">
        <v>0.100093</v>
      </c>
      <c r="GI67">
        <v>23764.1</v>
      </c>
      <c r="GJ67">
        <v>24593.9</v>
      </c>
      <c r="GK67">
        <v>23783.8</v>
      </c>
      <c r="GL67">
        <v>25104.5</v>
      </c>
      <c r="GM67">
        <v>30144.799999999999</v>
      </c>
      <c r="GN67">
        <v>31685.1</v>
      </c>
      <c r="GO67">
        <v>37904.800000000003</v>
      </c>
      <c r="GP67">
        <v>39055.1</v>
      </c>
      <c r="GQ67">
        <v>2.1522999999999999</v>
      </c>
      <c r="GR67">
        <v>1.7204699999999999</v>
      </c>
      <c r="GS67">
        <v>7.6092800000000002E-2</v>
      </c>
      <c r="GT67">
        <v>0</v>
      </c>
      <c r="GU67">
        <v>28.779800000000002</v>
      </c>
      <c r="GV67">
        <v>999.9</v>
      </c>
      <c r="GW67">
        <v>30.6</v>
      </c>
      <c r="GX67">
        <v>45.5</v>
      </c>
      <c r="GY67">
        <v>30.5458</v>
      </c>
      <c r="GZ67">
        <v>60.888100000000001</v>
      </c>
      <c r="HA67">
        <v>28.209099999999999</v>
      </c>
      <c r="HB67">
        <v>1</v>
      </c>
      <c r="HC67">
        <v>0.53504300000000005</v>
      </c>
      <c r="HD67">
        <v>1.3605799999999999</v>
      </c>
      <c r="HE67">
        <v>20.366099999999999</v>
      </c>
      <c r="HF67">
        <v>5.2479899999999997</v>
      </c>
      <c r="HG67">
        <v>12.0099</v>
      </c>
      <c r="HH67">
        <v>4.9781000000000004</v>
      </c>
      <c r="HI67">
        <v>3.2922500000000001</v>
      </c>
      <c r="HJ67">
        <v>9999</v>
      </c>
      <c r="HK67">
        <v>9999</v>
      </c>
      <c r="HL67">
        <v>9999</v>
      </c>
      <c r="HM67">
        <v>234</v>
      </c>
      <c r="HN67">
        <v>1.87561</v>
      </c>
      <c r="HO67">
        <v>1.8766799999999999</v>
      </c>
      <c r="HP67">
        <v>1.8826799999999999</v>
      </c>
      <c r="HQ67">
        <v>1.8859300000000001</v>
      </c>
      <c r="HR67">
        <v>1.8766799999999999</v>
      </c>
      <c r="HS67">
        <v>1.8830899999999999</v>
      </c>
      <c r="HT67">
        <v>1.88208</v>
      </c>
      <c r="HU67">
        <v>1.88557</v>
      </c>
      <c r="HV67">
        <v>0</v>
      </c>
      <c r="HW67">
        <v>0</v>
      </c>
      <c r="HX67">
        <v>0</v>
      </c>
      <c r="HY67">
        <v>0</v>
      </c>
      <c r="HZ67" t="s">
        <v>425</v>
      </c>
      <c r="IA67" t="s">
        <v>426</v>
      </c>
      <c r="IB67" t="s">
        <v>427</v>
      </c>
      <c r="IC67" t="s">
        <v>427</v>
      </c>
      <c r="ID67" t="s">
        <v>427</v>
      </c>
      <c r="IE67" t="s">
        <v>427</v>
      </c>
      <c r="IF67">
        <v>0</v>
      </c>
      <c r="IG67">
        <v>100</v>
      </c>
      <c r="IH67">
        <v>100</v>
      </c>
      <c r="II67">
        <v>7.0000000000000007E-2</v>
      </c>
      <c r="IJ67">
        <v>4.4900000000000002E-2</v>
      </c>
      <c r="IK67">
        <v>8.039067230638923E-2</v>
      </c>
      <c r="IL67">
        <v>-4.2852564239613137E-4</v>
      </c>
      <c r="IM67">
        <v>6.4980710991155998E-7</v>
      </c>
      <c r="IN67">
        <v>-2.7237938963984961E-10</v>
      </c>
      <c r="IO67">
        <v>-1.3885944125875901E-2</v>
      </c>
      <c r="IP67">
        <v>6.6907473102813496E-3</v>
      </c>
      <c r="IQ67">
        <v>-3.3673306238274028E-4</v>
      </c>
      <c r="IR67">
        <v>6.1311374003140313E-6</v>
      </c>
      <c r="IS67">
        <v>3</v>
      </c>
      <c r="IT67">
        <v>2101</v>
      </c>
      <c r="IU67">
        <v>1</v>
      </c>
      <c r="IV67">
        <v>32</v>
      </c>
      <c r="IW67">
        <v>0.7</v>
      </c>
      <c r="IX67">
        <v>0.6</v>
      </c>
      <c r="IY67">
        <v>0.20874000000000001</v>
      </c>
      <c r="IZ67">
        <v>2.7685499999999998</v>
      </c>
      <c r="JA67">
        <v>1.6015600000000001</v>
      </c>
      <c r="JB67">
        <v>2.32544</v>
      </c>
      <c r="JC67">
        <v>1.5502899999999999</v>
      </c>
      <c r="JD67">
        <v>2.3999000000000001</v>
      </c>
      <c r="JE67">
        <v>47.632100000000001</v>
      </c>
      <c r="JF67">
        <v>16.0671</v>
      </c>
      <c r="JG67">
        <v>18</v>
      </c>
      <c r="JH67">
        <v>599.66200000000003</v>
      </c>
      <c r="JI67">
        <v>374.84800000000001</v>
      </c>
      <c r="JJ67">
        <v>27.877500000000001</v>
      </c>
      <c r="JK67">
        <v>33.682200000000002</v>
      </c>
      <c r="JL67">
        <v>29.999400000000001</v>
      </c>
      <c r="JM67">
        <v>33.953499999999998</v>
      </c>
      <c r="JN67">
        <v>33.950800000000001</v>
      </c>
      <c r="JO67">
        <v>4.1685800000000004</v>
      </c>
      <c r="JP67">
        <v>34.732999999999997</v>
      </c>
      <c r="JQ67">
        <v>0</v>
      </c>
      <c r="JR67">
        <v>27.871300000000002</v>
      </c>
      <c r="JS67">
        <v>30</v>
      </c>
      <c r="JT67">
        <v>21.631</v>
      </c>
      <c r="JU67">
        <v>98.872900000000001</v>
      </c>
      <c r="JV67">
        <v>98.849000000000004</v>
      </c>
    </row>
    <row r="68" spans="1:282" x14ac:dyDescent="0.25">
      <c r="A68">
        <v>52</v>
      </c>
      <c r="B68">
        <v>1689009300.5</v>
      </c>
      <c r="C68">
        <v>9477.9000000953674</v>
      </c>
      <c r="D68" t="s">
        <v>684</v>
      </c>
      <c r="E68" t="s">
        <v>685</v>
      </c>
      <c r="F68" t="s">
        <v>414</v>
      </c>
      <c r="G68" t="s">
        <v>415</v>
      </c>
      <c r="H68" t="s">
        <v>654</v>
      </c>
      <c r="I68" t="s">
        <v>655</v>
      </c>
      <c r="J68" t="s">
        <v>416</v>
      </c>
      <c r="K68">
        <v>1689009300.5</v>
      </c>
      <c r="L68">
        <f t="shared" si="46"/>
        <v>5.8415879173303147E-3</v>
      </c>
      <c r="M68">
        <f t="shared" si="47"/>
        <v>5.8415879173303145</v>
      </c>
      <c r="N68">
        <f t="shared" si="48"/>
        <v>1.2111360079458007</v>
      </c>
      <c r="O68">
        <f t="shared" si="49"/>
        <v>8.5640400000000003</v>
      </c>
      <c r="P68">
        <f t="shared" si="50"/>
        <v>3.4895951969952539</v>
      </c>
      <c r="Q68">
        <f t="shared" si="51"/>
        <v>0.34608721609594306</v>
      </c>
      <c r="R68">
        <f t="shared" si="52"/>
        <v>0.84935489499939587</v>
      </c>
      <c r="S68">
        <f t="shared" si="53"/>
        <v>0.4198039849902428</v>
      </c>
      <c r="T68">
        <f t="shared" si="54"/>
        <v>2.9102430253746419</v>
      </c>
      <c r="U68">
        <f t="shared" si="55"/>
        <v>0.38883112334189318</v>
      </c>
      <c r="V68">
        <f t="shared" si="56"/>
        <v>0.24561153804868224</v>
      </c>
      <c r="W68">
        <f t="shared" si="57"/>
        <v>289.55486032639061</v>
      </c>
      <c r="X68">
        <f t="shared" si="58"/>
        <v>30.327809928965138</v>
      </c>
      <c r="Y68">
        <f t="shared" si="59"/>
        <v>29.952200000000001</v>
      </c>
      <c r="Z68">
        <f t="shared" si="60"/>
        <v>4.2487662974688085</v>
      </c>
      <c r="AA68">
        <f t="shared" si="61"/>
        <v>65.474841672657831</v>
      </c>
      <c r="AB68">
        <f t="shared" si="62"/>
        <v>2.8118236534468402</v>
      </c>
      <c r="AC68">
        <f t="shared" si="63"/>
        <v>4.2945100463237198</v>
      </c>
      <c r="AD68">
        <f t="shared" si="64"/>
        <v>1.4369426440219684</v>
      </c>
      <c r="AE68">
        <f t="shared" si="65"/>
        <v>-257.61402715426686</v>
      </c>
      <c r="AF68">
        <f t="shared" si="66"/>
        <v>29.261294600015383</v>
      </c>
      <c r="AG68">
        <f t="shared" si="67"/>
        <v>2.2366541331651764</v>
      </c>
      <c r="AH68">
        <f t="shared" si="68"/>
        <v>63.438781905304317</v>
      </c>
      <c r="AI68">
        <v>0</v>
      </c>
      <c r="AJ68">
        <v>0</v>
      </c>
      <c r="AK68">
        <f t="shared" si="69"/>
        <v>1</v>
      </c>
      <c r="AL68">
        <f t="shared" si="70"/>
        <v>0</v>
      </c>
      <c r="AM68">
        <f t="shared" si="71"/>
        <v>51759.580177355892</v>
      </c>
      <c r="AN68" t="s">
        <v>419</v>
      </c>
      <c r="AO68">
        <v>9967.0300000000007</v>
      </c>
      <c r="AP68">
        <v>178.94153846153841</v>
      </c>
      <c r="AQ68">
        <v>603.15</v>
      </c>
      <c r="AR68">
        <f t="shared" si="72"/>
        <v>0.7033216638290003</v>
      </c>
      <c r="AS68">
        <v>-3.2649104154664181</v>
      </c>
      <c r="AT68" t="s">
        <v>686</v>
      </c>
      <c r="AU68">
        <v>8072</v>
      </c>
      <c r="AV68">
        <v>689.1123846153846</v>
      </c>
      <c r="AW68">
        <v>740.16565534360564</v>
      </c>
      <c r="AX68">
        <f t="shared" si="73"/>
        <v>6.8975465640216282E-2</v>
      </c>
      <c r="AY68">
        <v>0.5</v>
      </c>
      <c r="AZ68">
        <f t="shared" si="74"/>
        <v>1513.1180996509795</v>
      </c>
      <c r="BA68">
        <f t="shared" si="75"/>
        <v>1.2111360079458007</v>
      </c>
      <c r="BB68">
        <f t="shared" si="76"/>
        <v>52.184012746032749</v>
      </c>
      <c r="BC68">
        <f t="shared" si="77"/>
        <v>2.9581606514684331E-3</v>
      </c>
      <c r="BD68">
        <f t="shared" si="78"/>
        <v>-0.18511485145848755</v>
      </c>
      <c r="BE68">
        <f t="shared" si="79"/>
        <v>189.34000964238408</v>
      </c>
      <c r="BF68" t="s">
        <v>687</v>
      </c>
      <c r="BG68">
        <v>580.69000000000005</v>
      </c>
      <c r="BH68">
        <f t="shared" si="80"/>
        <v>580.69000000000005</v>
      </c>
      <c r="BI68">
        <f t="shared" si="81"/>
        <v>0.21545940992030022</v>
      </c>
      <c r="BJ68">
        <f t="shared" si="82"/>
        <v>0.32013206415877005</v>
      </c>
      <c r="BK68">
        <f t="shared" si="83"/>
        <v>-6.1004298906325083</v>
      </c>
      <c r="BL68">
        <f t="shared" si="84"/>
        <v>9.096770646965821E-2</v>
      </c>
      <c r="BM68">
        <f t="shared" si="85"/>
        <v>-0.32299133036313304</v>
      </c>
      <c r="BN68">
        <f t="shared" si="86"/>
        <v>0.26976367351184882</v>
      </c>
      <c r="BO68">
        <f t="shared" si="87"/>
        <v>0.73023632648815118</v>
      </c>
      <c r="BP68">
        <v>6139</v>
      </c>
      <c r="BQ68">
        <v>290.00000000000011</v>
      </c>
      <c r="BR68">
        <v>722.46</v>
      </c>
      <c r="BS68">
        <v>85</v>
      </c>
      <c r="BT68">
        <v>8072</v>
      </c>
      <c r="BU68">
        <v>721.47</v>
      </c>
      <c r="BV68">
        <v>0.99</v>
      </c>
      <c r="BW68">
        <v>300.00000000000011</v>
      </c>
      <c r="BX68">
        <v>19.3</v>
      </c>
      <c r="BY68">
        <v>740.16565534360564</v>
      </c>
      <c r="BZ68">
        <v>2.1037191682337482</v>
      </c>
      <c r="CA68">
        <v>-15.0947899740415</v>
      </c>
      <c r="CB68">
        <v>1.5567933541996191</v>
      </c>
      <c r="CC68">
        <v>0.77051800724296915</v>
      </c>
      <c r="CD68">
        <v>-4.1558484983314856E-3</v>
      </c>
      <c r="CE68">
        <v>289.99999999999989</v>
      </c>
      <c r="CF68">
        <v>719.74</v>
      </c>
      <c r="CG68">
        <v>755</v>
      </c>
      <c r="CH68">
        <v>8043.47</v>
      </c>
      <c r="CI68">
        <v>721.4</v>
      </c>
      <c r="CJ68">
        <v>-1.66</v>
      </c>
      <c r="CX68">
        <f t="shared" si="88"/>
        <v>1799.92</v>
      </c>
      <c r="CY68">
        <f t="shared" si="89"/>
        <v>1513.1180996509795</v>
      </c>
      <c r="CZ68">
        <f t="shared" si="90"/>
        <v>0.84065852907405858</v>
      </c>
      <c r="DA68">
        <f t="shared" si="91"/>
        <v>0.16087096111293314</v>
      </c>
      <c r="DB68">
        <v>6</v>
      </c>
      <c r="DC68">
        <v>0.5</v>
      </c>
      <c r="DD68" t="s">
        <v>422</v>
      </c>
      <c r="DE68">
        <v>2</v>
      </c>
      <c r="DF68">
        <v>1689009300.5</v>
      </c>
      <c r="DG68">
        <v>8.5640400000000003</v>
      </c>
      <c r="DH68">
        <v>10.077400000000001</v>
      </c>
      <c r="DI68">
        <v>28.351600000000001</v>
      </c>
      <c r="DJ68">
        <v>21.540600000000001</v>
      </c>
      <c r="DK68">
        <v>8.5148399999999995</v>
      </c>
      <c r="DL68">
        <v>28.304099999999998</v>
      </c>
      <c r="DM68">
        <v>500.012</v>
      </c>
      <c r="DN68">
        <v>99.076899999999995</v>
      </c>
      <c r="DO68">
        <v>9.9994899999999998E-2</v>
      </c>
      <c r="DP68">
        <v>30.1387</v>
      </c>
      <c r="DQ68">
        <v>29.952200000000001</v>
      </c>
      <c r="DR68">
        <v>999.9</v>
      </c>
      <c r="DS68">
        <v>0</v>
      </c>
      <c r="DT68">
        <v>0</v>
      </c>
      <c r="DU68">
        <v>9982.5</v>
      </c>
      <c r="DV68">
        <v>0</v>
      </c>
      <c r="DW68">
        <v>488.79300000000001</v>
      </c>
      <c r="DX68">
        <v>-1.51332</v>
      </c>
      <c r="DY68">
        <v>8.8139299999999992</v>
      </c>
      <c r="DZ68">
        <v>10.299200000000001</v>
      </c>
      <c r="EA68">
        <v>6.8110200000000001</v>
      </c>
      <c r="EB68">
        <v>10.077400000000001</v>
      </c>
      <c r="EC68">
        <v>21.540600000000001</v>
      </c>
      <c r="ED68">
        <v>2.8089900000000001</v>
      </c>
      <c r="EE68">
        <v>2.1341800000000002</v>
      </c>
      <c r="EF68">
        <v>22.937000000000001</v>
      </c>
      <c r="EG68">
        <v>18.476600000000001</v>
      </c>
      <c r="EH68">
        <v>1799.92</v>
      </c>
      <c r="EI68">
        <v>0.977989</v>
      </c>
      <c r="EJ68">
        <v>2.20109E-2</v>
      </c>
      <c r="EK68">
        <v>0</v>
      </c>
      <c r="EL68">
        <v>689.173</v>
      </c>
      <c r="EM68">
        <v>5.0005300000000004</v>
      </c>
      <c r="EN68">
        <v>13754.1</v>
      </c>
      <c r="EO68">
        <v>16034.5</v>
      </c>
      <c r="EP68">
        <v>47.061999999999998</v>
      </c>
      <c r="EQ68">
        <v>47.625</v>
      </c>
      <c r="ER68">
        <v>47.436999999999998</v>
      </c>
      <c r="ES68">
        <v>47.25</v>
      </c>
      <c r="ET68">
        <v>48.25</v>
      </c>
      <c r="EU68">
        <v>1755.41</v>
      </c>
      <c r="EV68">
        <v>39.51</v>
      </c>
      <c r="EW68">
        <v>0</v>
      </c>
      <c r="EX68">
        <v>104.5999999046326</v>
      </c>
      <c r="EY68">
        <v>0</v>
      </c>
      <c r="EZ68">
        <v>689.1123846153846</v>
      </c>
      <c r="FA68">
        <v>8.8273508942012163E-2</v>
      </c>
      <c r="FB68">
        <v>-5.2034187827422764</v>
      </c>
      <c r="FC68">
        <v>13756.146153846161</v>
      </c>
      <c r="FD68">
        <v>15</v>
      </c>
      <c r="FE68">
        <v>1689009268.5</v>
      </c>
      <c r="FF68" t="s">
        <v>688</v>
      </c>
      <c r="FG68">
        <v>1689009251.5</v>
      </c>
      <c r="FH68">
        <v>1689009268.5</v>
      </c>
      <c r="FI68">
        <v>57</v>
      </c>
      <c r="FJ68">
        <v>-2.8000000000000001E-2</v>
      </c>
      <c r="FK68">
        <v>3.0000000000000001E-3</v>
      </c>
      <c r="FL68">
        <v>4.9000000000000002E-2</v>
      </c>
      <c r="FM68">
        <v>3.7999999999999999E-2</v>
      </c>
      <c r="FN68">
        <v>10</v>
      </c>
      <c r="FO68">
        <v>22</v>
      </c>
      <c r="FP68">
        <v>0.23</v>
      </c>
      <c r="FQ68">
        <v>0.01</v>
      </c>
      <c r="FR68">
        <v>1.331101074127947</v>
      </c>
      <c r="FS68">
        <v>-0.28052708099215318</v>
      </c>
      <c r="FT68">
        <v>2.7011426641636461E-2</v>
      </c>
      <c r="FU68">
        <v>1</v>
      </c>
      <c r="FV68">
        <v>0.42198744236650332</v>
      </c>
      <c r="FW68">
        <v>2.6346412723545591E-2</v>
      </c>
      <c r="FX68">
        <v>3.9363448860485388E-3</v>
      </c>
      <c r="FY68">
        <v>1</v>
      </c>
      <c r="FZ68">
        <v>2</v>
      </c>
      <c r="GA68">
        <v>2</v>
      </c>
      <c r="GB68" t="s">
        <v>424</v>
      </c>
      <c r="GC68">
        <v>3.1191499999999999</v>
      </c>
      <c r="GD68">
        <v>2.76715</v>
      </c>
      <c r="GE68">
        <v>2.2887200000000002E-3</v>
      </c>
      <c r="GF68">
        <v>2.7107899999999998E-3</v>
      </c>
      <c r="GG68">
        <v>0.120314</v>
      </c>
      <c r="GH68">
        <v>9.9480200000000005E-2</v>
      </c>
      <c r="GI68">
        <v>23876.2</v>
      </c>
      <c r="GJ68">
        <v>24736.5</v>
      </c>
      <c r="GK68">
        <v>23791.599999999999</v>
      </c>
      <c r="GL68">
        <v>25114</v>
      </c>
      <c r="GM68">
        <v>30157.9</v>
      </c>
      <c r="GN68">
        <v>31719</v>
      </c>
      <c r="GO68">
        <v>37916.400000000001</v>
      </c>
      <c r="GP68">
        <v>39070.1</v>
      </c>
      <c r="GQ68">
        <v>2.1537500000000001</v>
      </c>
      <c r="GR68">
        <v>1.7231000000000001</v>
      </c>
      <c r="GS68">
        <v>7.6964500000000005E-2</v>
      </c>
      <c r="GT68">
        <v>0</v>
      </c>
      <c r="GU68">
        <v>28.6983</v>
      </c>
      <c r="GV68">
        <v>999.9</v>
      </c>
      <c r="GW68">
        <v>30.6</v>
      </c>
      <c r="GX68">
        <v>45.4</v>
      </c>
      <c r="GY68">
        <v>30.388100000000001</v>
      </c>
      <c r="GZ68">
        <v>60.128100000000003</v>
      </c>
      <c r="HA68">
        <v>28.369399999999999</v>
      </c>
      <c r="HB68">
        <v>1</v>
      </c>
      <c r="HC68">
        <v>0.52124999999999999</v>
      </c>
      <c r="HD68">
        <v>0.97706400000000004</v>
      </c>
      <c r="HE68">
        <v>20.369299999999999</v>
      </c>
      <c r="HF68">
        <v>5.2475399999999999</v>
      </c>
      <c r="HG68">
        <v>12.0099</v>
      </c>
      <c r="HH68">
        <v>4.9782999999999999</v>
      </c>
      <c r="HI68">
        <v>3.2924799999999999</v>
      </c>
      <c r="HJ68">
        <v>9999</v>
      </c>
      <c r="HK68">
        <v>9999</v>
      </c>
      <c r="HL68">
        <v>9999</v>
      </c>
      <c r="HM68">
        <v>234</v>
      </c>
      <c r="HN68">
        <v>1.87561</v>
      </c>
      <c r="HO68">
        <v>1.8766799999999999</v>
      </c>
      <c r="HP68">
        <v>1.8827100000000001</v>
      </c>
      <c r="HQ68">
        <v>1.8859399999999999</v>
      </c>
      <c r="HR68">
        <v>1.87669</v>
      </c>
      <c r="HS68">
        <v>1.8830899999999999</v>
      </c>
      <c r="HT68">
        <v>1.8821399999999999</v>
      </c>
      <c r="HU68">
        <v>1.88557</v>
      </c>
      <c r="HV68">
        <v>0</v>
      </c>
      <c r="HW68">
        <v>0</v>
      </c>
      <c r="HX68">
        <v>0</v>
      </c>
      <c r="HY68">
        <v>0</v>
      </c>
      <c r="HZ68" t="s">
        <v>425</v>
      </c>
      <c r="IA68" t="s">
        <v>426</v>
      </c>
      <c r="IB68" t="s">
        <v>427</v>
      </c>
      <c r="IC68" t="s">
        <v>427</v>
      </c>
      <c r="ID68" t="s">
        <v>427</v>
      </c>
      <c r="IE68" t="s">
        <v>427</v>
      </c>
      <c r="IF68">
        <v>0</v>
      </c>
      <c r="IG68">
        <v>100</v>
      </c>
      <c r="IH68">
        <v>100</v>
      </c>
      <c r="II68">
        <v>4.9000000000000002E-2</v>
      </c>
      <c r="IJ68">
        <v>4.7500000000000001E-2</v>
      </c>
      <c r="IK68">
        <v>5.2801956549162962E-2</v>
      </c>
      <c r="IL68">
        <v>-4.2852564239613137E-4</v>
      </c>
      <c r="IM68">
        <v>6.4980710991155998E-7</v>
      </c>
      <c r="IN68">
        <v>-2.7237938963984961E-10</v>
      </c>
      <c r="IO68">
        <v>-1.106307709041276E-2</v>
      </c>
      <c r="IP68">
        <v>6.6907473102813496E-3</v>
      </c>
      <c r="IQ68">
        <v>-3.3673306238274028E-4</v>
      </c>
      <c r="IR68">
        <v>6.1311374003140313E-6</v>
      </c>
      <c r="IS68">
        <v>3</v>
      </c>
      <c r="IT68">
        <v>2101</v>
      </c>
      <c r="IU68">
        <v>1</v>
      </c>
      <c r="IV68">
        <v>32</v>
      </c>
      <c r="IW68">
        <v>0.8</v>
      </c>
      <c r="IX68">
        <v>0.5</v>
      </c>
      <c r="IY68">
        <v>0.166016</v>
      </c>
      <c r="IZ68">
        <v>2.7758799999999999</v>
      </c>
      <c r="JA68">
        <v>1.6015600000000001</v>
      </c>
      <c r="JB68">
        <v>2.32544</v>
      </c>
      <c r="JC68">
        <v>1.5502899999999999</v>
      </c>
      <c r="JD68">
        <v>2.47437</v>
      </c>
      <c r="JE68">
        <v>47.451599999999999</v>
      </c>
      <c r="JF68">
        <v>16.0671</v>
      </c>
      <c r="JG68">
        <v>18</v>
      </c>
      <c r="JH68">
        <v>599.61500000000001</v>
      </c>
      <c r="JI68">
        <v>375.70499999999998</v>
      </c>
      <c r="JJ68">
        <v>28.0991</v>
      </c>
      <c r="JK68">
        <v>33.5426</v>
      </c>
      <c r="JL68">
        <v>29.999300000000002</v>
      </c>
      <c r="JM68">
        <v>33.834800000000001</v>
      </c>
      <c r="JN68">
        <v>33.832500000000003</v>
      </c>
      <c r="JO68">
        <v>3.2988499999999998</v>
      </c>
      <c r="JP68">
        <v>34.573399999999999</v>
      </c>
      <c r="JQ68">
        <v>0</v>
      </c>
      <c r="JR68">
        <v>28.107299999999999</v>
      </c>
      <c r="JS68">
        <v>10</v>
      </c>
      <c r="JT68">
        <v>21.491499999999998</v>
      </c>
      <c r="JU68">
        <v>98.903999999999996</v>
      </c>
      <c r="JV68">
        <v>98.886899999999997</v>
      </c>
    </row>
    <row r="69" spans="1:282" x14ac:dyDescent="0.25">
      <c r="A69">
        <v>53</v>
      </c>
      <c r="B69">
        <v>1689009490</v>
      </c>
      <c r="C69">
        <v>9667.4000000953674</v>
      </c>
      <c r="D69" t="s">
        <v>689</v>
      </c>
      <c r="E69" t="s">
        <v>690</v>
      </c>
      <c r="F69" t="s">
        <v>414</v>
      </c>
      <c r="G69" t="s">
        <v>415</v>
      </c>
      <c r="H69" t="s">
        <v>654</v>
      </c>
      <c r="I69" t="s">
        <v>655</v>
      </c>
      <c r="J69" t="s">
        <v>416</v>
      </c>
      <c r="K69">
        <v>1689009490</v>
      </c>
      <c r="L69">
        <f t="shared" si="46"/>
        <v>5.4296421393981954E-3</v>
      </c>
      <c r="M69">
        <f t="shared" si="47"/>
        <v>5.4296421393981955</v>
      </c>
      <c r="N69">
        <f t="shared" si="48"/>
        <v>43.417197283668536</v>
      </c>
      <c r="O69">
        <f t="shared" si="49"/>
        <v>345.62900000000002</v>
      </c>
      <c r="P69">
        <f t="shared" si="50"/>
        <v>147.05030362329958</v>
      </c>
      <c r="Q69">
        <f t="shared" si="51"/>
        <v>14.582233359383856</v>
      </c>
      <c r="R69">
        <f t="shared" si="52"/>
        <v>34.274276282228001</v>
      </c>
      <c r="S69">
        <f t="shared" si="53"/>
        <v>0.3830360337142481</v>
      </c>
      <c r="T69">
        <f t="shared" si="54"/>
        <v>2.9146322412507732</v>
      </c>
      <c r="U69">
        <f t="shared" si="55"/>
        <v>0.35710743938881484</v>
      </c>
      <c r="V69">
        <f t="shared" si="56"/>
        <v>0.22537530084723073</v>
      </c>
      <c r="W69">
        <f t="shared" si="57"/>
        <v>289.5334050246849</v>
      </c>
      <c r="X69">
        <f t="shared" si="58"/>
        <v>30.511111146412116</v>
      </c>
      <c r="Y69">
        <f t="shared" si="59"/>
        <v>29.982099999999999</v>
      </c>
      <c r="Z69">
        <f t="shared" si="60"/>
        <v>4.2560713047536529</v>
      </c>
      <c r="AA69">
        <f t="shared" si="61"/>
        <v>64.960551771368301</v>
      </c>
      <c r="AB69">
        <f t="shared" si="62"/>
        <v>2.8019745691123998</v>
      </c>
      <c r="AC69">
        <f t="shared" si="63"/>
        <v>4.3133478591346952</v>
      </c>
      <c r="AD69">
        <f t="shared" si="64"/>
        <v>1.4540967356412531</v>
      </c>
      <c r="AE69">
        <f t="shared" si="65"/>
        <v>-239.44721834746042</v>
      </c>
      <c r="AF69">
        <f t="shared" si="66"/>
        <v>36.596427874603719</v>
      </c>
      <c r="AG69">
        <f t="shared" si="67"/>
        <v>2.7945879368268924</v>
      </c>
      <c r="AH69">
        <f t="shared" si="68"/>
        <v>89.477202488655067</v>
      </c>
      <c r="AI69">
        <v>0</v>
      </c>
      <c r="AJ69">
        <v>0</v>
      </c>
      <c r="AK69">
        <f t="shared" si="69"/>
        <v>1</v>
      </c>
      <c r="AL69">
        <f t="shared" si="70"/>
        <v>0</v>
      </c>
      <c r="AM69">
        <f t="shared" si="71"/>
        <v>51871.039350184546</v>
      </c>
      <c r="AN69" t="s">
        <v>419</v>
      </c>
      <c r="AO69">
        <v>9967.0300000000007</v>
      </c>
      <c r="AP69">
        <v>178.94153846153841</v>
      </c>
      <c r="AQ69">
        <v>603.15</v>
      </c>
      <c r="AR69">
        <f t="shared" si="72"/>
        <v>0.7033216638290003</v>
      </c>
      <c r="AS69">
        <v>-3.2649104154664181</v>
      </c>
      <c r="AT69" t="s">
        <v>691</v>
      </c>
      <c r="AU69">
        <v>8057.68</v>
      </c>
      <c r="AV69">
        <v>677.05867999999998</v>
      </c>
      <c r="AW69">
        <v>1095.571814984954</v>
      </c>
      <c r="AX69">
        <f t="shared" si="73"/>
        <v>0.38200429151301385</v>
      </c>
      <c r="AY69">
        <v>0.5</v>
      </c>
      <c r="AZ69">
        <f t="shared" si="74"/>
        <v>1513.0161062304064</v>
      </c>
      <c r="BA69">
        <f t="shared" si="75"/>
        <v>43.417197283668536</v>
      </c>
      <c r="BB69">
        <f t="shared" si="76"/>
        <v>288.98932285416265</v>
      </c>
      <c r="BC69">
        <f t="shared" si="77"/>
        <v>3.0853675322360427E-2</v>
      </c>
      <c r="BD69">
        <f t="shared" si="78"/>
        <v>-0.44946557427795519</v>
      </c>
      <c r="BE69">
        <f t="shared" si="79"/>
        <v>206.47419008499156</v>
      </c>
      <c r="BF69" t="s">
        <v>692</v>
      </c>
      <c r="BG69">
        <v>538.79</v>
      </c>
      <c r="BH69">
        <f t="shared" si="80"/>
        <v>538.79</v>
      </c>
      <c r="BI69">
        <f t="shared" si="81"/>
        <v>0.50821115272356709</v>
      </c>
      <c r="BJ69">
        <f t="shared" si="82"/>
        <v>0.75166451870606354</v>
      </c>
      <c r="BK69">
        <f t="shared" si="83"/>
        <v>-7.6510536821776558</v>
      </c>
      <c r="BL69">
        <f t="shared" si="84"/>
        <v>0.45657790900414685</v>
      </c>
      <c r="BM69">
        <f t="shared" si="85"/>
        <v>-1.1608014917927509</v>
      </c>
      <c r="BN69">
        <f t="shared" si="86"/>
        <v>0.59815986117132414</v>
      </c>
      <c r="BO69">
        <f t="shared" si="87"/>
        <v>0.40184013882867586</v>
      </c>
      <c r="BP69">
        <v>6141</v>
      </c>
      <c r="BQ69">
        <v>290.00000000000011</v>
      </c>
      <c r="BR69">
        <v>929.08</v>
      </c>
      <c r="BS69">
        <v>285</v>
      </c>
      <c r="BT69">
        <v>8057.68</v>
      </c>
      <c r="BU69">
        <v>932.38</v>
      </c>
      <c r="BV69">
        <v>-3.3</v>
      </c>
      <c r="BW69">
        <v>300.00000000000011</v>
      </c>
      <c r="BX69">
        <v>19.3</v>
      </c>
      <c r="BY69">
        <v>1095.571814984954</v>
      </c>
      <c r="BZ69">
        <v>4.7129003846912418</v>
      </c>
      <c r="CA69">
        <v>-131.49274807839211</v>
      </c>
      <c r="CB69">
        <v>3.4887384223657669</v>
      </c>
      <c r="CC69">
        <v>0.98067077343633935</v>
      </c>
      <c r="CD69">
        <v>-4.1577526140155804E-3</v>
      </c>
      <c r="CE69">
        <v>289.99999999999989</v>
      </c>
      <c r="CF69">
        <v>915.8</v>
      </c>
      <c r="CG69">
        <v>625</v>
      </c>
      <c r="CH69">
        <v>8049.73</v>
      </c>
      <c r="CI69">
        <v>932.22</v>
      </c>
      <c r="CJ69">
        <v>-16.420000000000002</v>
      </c>
      <c r="CX69">
        <f t="shared" si="88"/>
        <v>1799.8</v>
      </c>
      <c r="CY69">
        <f t="shared" si="89"/>
        <v>1513.0161062304064</v>
      </c>
      <c r="CZ69">
        <f t="shared" si="90"/>
        <v>0.84065790989576983</v>
      </c>
      <c r="DA69">
        <f t="shared" si="91"/>
        <v>0.16086976609883594</v>
      </c>
      <c r="DB69">
        <v>6</v>
      </c>
      <c r="DC69">
        <v>0.5</v>
      </c>
      <c r="DD69" t="s">
        <v>422</v>
      </c>
      <c r="DE69">
        <v>2</v>
      </c>
      <c r="DF69">
        <v>1689009490</v>
      </c>
      <c r="DG69">
        <v>345.62900000000002</v>
      </c>
      <c r="DH69">
        <v>399.96899999999999</v>
      </c>
      <c r="DI69">
        <v>28.255700000000001</v>
      </c>
      <c r="DJ69">
        <v>21.925699999999999</v>
      </c>
      <c r="DK69">
        <v>345.98099999999999</v>
      </c>
      <c r="DL69">
        <v>28.206600000000002</v>
      </c>
      <c r="DM69">
        <v>500.11599999999999</v>
      </c>
      <c r="DN69">
        <v>99.064899999999994</v>
      </c>
      <c r="DO69">
        <v>0.100032</v>
      </c>
      <c r="DP69">
        <v>30.215</v>
      </c>
      <c r="DQ69">
        <v>29.982099999999999</v>
      </c>
      <c r="DR69">
        <v>999.9</v>
      </c>
      <c r="DS69">
        <v>0</v>
      </c>
      <c r="DT69">
        <v>0</v>
      </c>
      <c r="DU69">
        <v>10008.799999999999</v>
      </c>
      <c r="DV69">
        <v>0</v>
      </c>
      <c r="DW69">
        <v>610.00599999999997</v>
      </c>
      <c r="DX69">
        <v>-54.339599999999997</v>
      </c>
      <c r="DY69">
        <v>355.67899999999997</v>
      </c>
      <c r="DZ69">
        <v>408.935</v>
      </c>
      <c r="EA69">
        <v>6.3299300000000001</v>
      </c>
      <c r="EB69">
        <v>399.96899999999999</v>
      </c>
      <c r="EC69">
        <v>21.925699999999999</v>
      </c>
      <c r="ED69">
        <v>2.79914</v>
      </c>
      <c r="EE69">
        <v>2.1720700000000002</v>
      </c>
      <c r="EF69">
        <v>22.879000000000001</v>
      </c>
      <c r="EG69">
        <v>18.7578</v>
      </c>
      <c r="EH69">
        <v>1799.8</v>
      </c>
      <c r="EI69">
        <v>0.97800600000000004</v>
      </c>
      <c r="EJ69">
        <v>2.19939E-2</v>
      </c>
      <c r="EK69">
        <v>0</v>
      </c>
      <c r="EL69">
        <v>677.82600000000002</v>
      </c>
      <c r="EM69">
        <v>5.0005300000000004</v>
      </c>
      <c r="EN69">
        <v>13751.8</v>
      </c>
      <c r="EO69">
        <v>16033.5</v>
      </c>
      <c r="EP69">
        <v>46.75</v>
      </c>
      <c r="EQ69">
        <v>47.25</v>
      </c>
      <c r="ER69">
        <v>47.186999999999998</v>
      </c>
      <c r="ES69">
        <v>46.936999999999998</v>
      </c>
      <c r="ET69">
        <v>48.125</v>
      </c>
      <c r="EU69">
        <v>1755.32</v>
      </c>
      <c r="EV69">
        <v>39.47</v>
      </c>
      <c r="EW69">
        <v>0</v>
      </c>
      <c r="EX69">
        <v>187.39999985694891</v>
      </c>
      <c r="EY69">
        <v>0</v>
      </c>
      <c r="EZ69">
        <v>677.05867999999998</v>
      </c>
      <c r="FA69">
        <v>8.8312307852449923</v>
      </c>
      <c r="FB69">
        <v>581.28461611785519</v>
      </c>
      <c r="FC69">
        <v>13638.956</v>
      </c>
      <c r="FD69">
        <v>15</v>
      </c>
      <c r="FE69">
        <v>1689009386.5</v>
      </c>
      <c r="FF69" t="s">
        <v>693</v>
      </c>
      <c r="FG69">
        <v>1689009380.5</v>
      </c>
      <c r="FH69">
        <v>1689009386.5</v>
      </c>
      <c r="FI69">
        <v>58</v>
      </c>
      <c r="FJ69">
        <v>-0.32300000000000001</v>
      </c>
      <c r="FK69">
        <v>2E-3</v>
      </c>
      <c r="FL69">
        <v>-0.35599999999999998</v>
      </c>
      <c r="FM69">
        <v>0.04</v>
      </c>
      <c r="FN69">
        <v>400</v>
      </c>
      <c r="FO69">
        <v>22</v>
      </c>
      <c r="FP69">
        <v>7.0000000000000007E-2</v>
      </c>
      <c r="FQ69">
        <v>0.01</v>
      </c>
      <c r="FR69">
        <v>42.937771581126341</v>
      </c>
      <c r="FS69">
        <v>4.0859493432578757</v>
      </c>
      <c r="FT69">
        <v>0.30498934739711447</v>
      </c>
      <c r="FU69">
        <v>0</v>
      </c>
      <c r="FV69">
        <v>0.38393776939827701</v>
      </c>
      <c r="FW69">
        <v>-1.1873907412428129E-2</v>
      </c>
      <c r="FX69">
        <v>1.1375686290618909E-3</v>
      </c>
      <c r="FY69">
        <v>1</v>
      </c>
      <c r="FZ69">
        <v>1</v>
      </c>
      <c r="GA69">
        <v>2</v>
      </c>
      <c r="GB69" t="s">
        <v>463</v>
      </c>
      <c r="GC69">
        <v>3.11849</v>
      </c>
      <c r="GD69">
        <v>2.7674099999999999</v>
      </c>
      <c r="GE69">
        <v>7.9336799999999999E-2</v>
      </c>
      <c r="GF69">
        <v>8.8888300000000003E-2</v>
      </c>
      <c r="GG69">
        <v>0.12009300000000001</v>
      </c>
      <c r="GH69">
        <v>0.1008</v>
      </c>
      <c r="GI69">
        <v>22052.799999999999</v>
      </c>
      <c r="GJ69">
        <v>22622.6</v>
      </c>
      <c r="GK69">
        <v>23809.8</v>
      </c>
      <c r="GL69">
        <v>25136.400000000001</v>
      </c>
      <c r="GM69">
        <v>30187.8</v>
      </c>
      <c r="GN69">
        <v>31701.1</v>
      </c>
      <c r="GO69">
        <v>37944.400000000001</v>
      </c>
      <c r="GP69">
        <v>39105.300000000003</v>
      </c>
      <c r="GQ69">
        <v>2.1569199999999999</v>
      </c>
      <c r="GR69">
        <v>1.73255</v>
      </c>
      <c r="GS69">
        <v>9.51737E-2</v>
      </c>
      <c r="GT69">
        <v>0</v>
      </c>
      <c r="GU69">
        <v>28.4313</v>
      </c>
      <c r="GV69">
        <v>999.9</v>
      </c>
      <c r="GW69">
        <v>30.6</v>
      </c>
      <c r="GX69">
        <v>45.1</v>
      </c>
      <c r="GY69">
        <v>29.9251</v>
      </c>
      <c r="GZ69">
        <v>60.988100000000003</v>
      </c>
      <c r="HA69">
        <v>27.580100000000002</v>
      </c>
      <c r="HB69">
        <v>1</v>
      </c>
      <c r="HC69">
        <v>0.48661100000000002</v>
      </c>
      <c r="HD69">
        <v>0.69756499999999999</v>
      </c>
      <c r="HE69">
        <v>20.372599999999998</v>
      </c>
      <c r="HF69">
        <v>5.2529300000000001</v>
      </c>
      <c r="HG69">
        <v>12.0099</v>
      </c>
      <c r="HH69">
        <v>4.9798</v>
      </c>
      <c r="HI69">
        <v>3.2930000000000001</v>
      </c>
      <c r="HJ69">
        <v>9999</v>
      </c>
      <c r="HK69">
        <v>9999</v>
      </c>
      <c r="HL69">
        <v>9999</v>
      </c>
      <c r="HM69">
        <v>234.1</v>
      </c>
      <c r="HN69">
        <v>1.87561</v>
      </c>
      <c r="HO69">
        <v>1.8766799999999999</v>
      </c>
      <c r="HP69">
        <v>1.88273</v>
      </c>
      <c r="HQ69">
        <v>1.8859300000000001</v>
      </c>
      <c r="HR69">
        <v>1.87669</v>
      </c>
      <c r="HS69">
        <v>1.8831</v>
      </c>
      <c r="HT69">
        <v>1.8821699999999999</v>
      </c>
      <c r="HU69">
        <v>1.88561</v>
      </c>
      <c r="HV69">
        <v>0</v>
      </c>
      <c r="HW69">
        <v>0</v>
      </c>
      <c r="HX69">
        <v>0</v>
      </c>
      <c r="HY69">
        <v>0</v>
      </c>
      <c r="HZ69" t="s">
        <v>425</v>
      </c>
      <c r="IA69" t="s">
        <v>426</v>
      </c>
      <c r="IB69" t="s">
        <v>427</v>
      </c>
      <c r="IC69" t="s">
        <v>427</v>
      </c>
      <c r="ID69" t="s">
        <v>427</v>
      </c>
      <c r="IE69" t="s">
        <v>427</v>
      </c>
      <c r="IF69">
        <v>0</v>
      </c>
      <c r="IG69">
        <v>100</v>
      </c>
      <c r="IH69">
        <v>100</v>
      </c>
      <c r="II69">
        <v>-0.35199999999999998</v>
      </c>
      <c r="IJ69">
        <v>4.9099999999999998E-2</v>
      </c>
      <c r="IK69">
        <v>-0.27060692635482098</v>
      </c>
      <c r="IL69">
        <v>-4.2852564239613137E-4</v>
      </c>
      <c r="IM69">
        <v>6.4980710991155998E-7</v>
      </c>
      <c r="IN69">
        <v>-2.7237938963984961E-10</v>
      </c>
      <c r="IO69">
        <v>-9.3618635328672189E-3</v>
      </c>
      <c r="IP69">
        <v>6.6907473102813496E-3</v>
      </c>
      <c r="IQ69">
        <v>-3.3673306238274028E-4</v>
      </c>
      <c r="IR69">
        <v>6.1311374003140313E-6</v>
      </c>
      <c r="IS69">
        <v>3</v>
      </c>
      <c r="IT69">
        <v>2101</v>
      </c>
      <c r="IU69">
        <v>1</v>
      </c>
      <c r="IV69">
        <v>32</v>
      </c>
      <c r="IW69">
        <v>1.8</v>
      </c>
      <c r="IX69">
        <v>1.7</v>
      </c>
      <c r="IY69">
        <v>1.01562</v>
      </c>
      <c r="IZ69">
        <v>2.7307100000000002</v>
      </c>
      <c r="JA69">
        <v>1.6015600000000001</v>
      </c>
      <c r="JB69">
        <v>2.32422</v>
      </c>
      <c r="JC69">
        <v>1.5502899999999999</v>
      </c>
      <c r="JD69">
        <v>2.32056</v>
      </c>
      <c r="JE69">
        <v>46.974400000000003</v>
      </c>
      <c r="JF69">
        <v>16.049600000000002</v>
      </c>
      <c r="JG69">
        <v>18</v>
      </c>
      <c r="JH69">
        <v>599.17499999999995</v>
      </c>
      <c r="JI69">
        <v>379.613</v>
      </c>
      <c r="JJ69">
        <v>28.3521</v>
      </c>
      <c r="JK69">
        <v>33.210999999999999</v>
      </c>
      <c r="JL69">
        <v>29.999199999999998</v>
      </c>
      <c r="JM69">
        <v>33.538800000000002</v>
      </c>
      <c r="JN69">
        <v>33.540399999999998</v>
      </c>
      <c r="JO69">
        <v>20.319900000000001</v>
      </c>
      <c r="JP69">
        <v>30.9663</v>
      </c>
      <c r="JQ69">
        <v>0</v>
      </c>
      <c r="JR69">
        <v>28.360199999999999</v>
      </c>
      <c r="JS69">
        <v>400</v>
      </c>
      <c r="JT69">
        <v>22.095600000000001</v>
      </c>
      <c r="JU69">
        <v>98.978099999999998</v>
      </c>
      <c r="JV69">
        <v>98.9756</v>
      </c>
    </row>
    <row r="70" spans="1:282" x14ac:dyDescent="0.25">
      <c r="A70">
        <v>54</v>
      </c>
      <c r="B70">
        <v>1689009591</v>
      </c>
      <c r="C70">
        <v>9768.4000000953674</v>
      </c>
      <c r="D70" t="s">
        <v>694</v>
      </c>
      <c r="E70" t="s">
        <v>695</v>
      </c>
      <c r="F70" t="s">
        <v>414</v>
      </c>
      <c r="G70" t="s">
        <v>415</v>
      </c>
      <c r="H70" t="s">
        <v>654</v>
      </c>
      <c r="I70" t="s">
        <v>655</v>
      </c>
      <c r="J70" t="s">
        <v>416</v>
      </c>
      <c r="K70">
        <v>1689009591</v>
      </c>
      <c r="L70">
        <f t="shared" si="46"/>
        <v>5.4251121805183157E-3</v>
      </c>
      <c r="M70">
        <f t="shared" si="47"/>
        <v>5.4251121805183153</v>
      </c>
      <c r="N70">
        <f t="shared" si="48"/>
        <v>48.093182158238839</v>
      </c>
      <c r="O70">
        <f t="shared" si="49"/>
        <v>340.36</v>
      </c>
      <c r="P70">
        <f t="shared" si="50"/>
        <v>125.01885637988883</v>
      </c>
      <c r="Q70">
        <f t="shared" si="51"/>
        <v>12.39673190283119</v>
      </c>
      <c r="R70">
        <f t="shared" si="52"/>
        <v>33.749722182920003</v>
      </c>
      <c r="S70">
        <f t="shared" si="53"/>
        <v>0.389985924222781</v>
      </c>
      <c r="T70">
        <f t="shared" si="54"/>
        <v>2.9092670051544429</v>
      </c>
      <c r="U70">
        <f t="shared" si="55"/>
        <v>0.36309738901874922</v>
      </c>
      <c r="V70">
        <f t="shared" si="56"/>
        <v>0.22919702003839701</v>
      </c>
      <c r="W70">
        <f t="shared" si="57"/>
        <v>289.52395732649001</v>
      </c>
      <c r="X70">
        <f t="shared" si="58"/>
        <v>30.49125001301514</v>
      </c>
      <c r="Y70">
        <f t="shared" si="59"/>
        <v>30.032900000000001</v>
      </c>
      <c r="Z70">
        <f t="shared" si="60"/>
        <v>4.2685075861522712</v>
      </c>
      <c r="AA70">
        <f t="shared" si="61"/>
        <v>65.924748704779546</v>
      </c>
      <c r="AB70">
        <f t="shared" si="62"/>
        <v>2.8400595484255002</v>
      </c>
      <c r="AC70">
        <f t="shared" si="63"/>
        <v>4.3080324221540733</v>
      </c>
      <c r="AD70">
        <f t="shared" si="64"/>
        <v>1.428448037726771</v>
      </c>
      <c r="AE70">
        <f t="shared" si="65"/>
        <v>-239.24744716085772</v>
      </c>
      <c r="AF70">
        <f t="shared" si="66"/>
        <v>25.189211086770751</v>
      </c>
      <c r="AG70">
        <f t="shared" si="67"/>
        <v>1.9273330599649365</v>
      </c>
      <c r="AH70">
        <f t="shared" si="68"/>
        <v>77.393054312367994</v>
      </c>
      <c r="AI70">
        <v>0</v>
      </c>
      <c r="AJ70">
        <v>0</v>
      </c>
      <c r="AK70">
        <f t="shared" si="69"/>
        <v>1</v>
      </c>
      <c r="AL70">
        <f t="shared" si="70"/>
        <v>0</v>
      </c>
      <c r="AM70">
        <f t="shared" si="71"/>
        <v>51722.119363607606</v>
      </c>
      <c r="AN70" t="s">
        <v>419</v>
      </c>
      <c r="AO70">
        <v>9967.0300000000007</v>
      </c>
      <c r="AP70">
        <v>178.94153846153841</v>
      </c>
      <c r="AQ70">
        <v>603.15</v>
      </c>
      <c r="AR70">
        <f t="shared" si="72"/>
        <v>0.7033216638290003</v>
      </c>
      <c r="AS70">
        <v>-3.2649104154664181</v>
      </c>
      <c r="AT70" t="s">
        <v>696</v>
      </c>
      <c r="AU70">
        <v>8058.37</v>
      </c>
      <c r="AV70">
        <v>702.09204</v>
      </c>
      <c r="AW70">
        <v>1124.2974652177611</v>
      </c>
      <c r="AX70">
        <f t="shared" si="73"/>
        <v>0.37552821942543979</v>
      </c>
      <c r="AY70">
        <v>0.5</v>
      </c>
      <c r="AZ70">
        <f t="shared" si="74"/>
        <v>1512.958199651031</v>
      </c>
      <c r="BA70">
        <f t="shared" si="75"/>
        <v>48.093182158238839</v>
      </c>
      <c r="BB70">
        <f t="shared" si="76"/>
        <v>284.07924939003539</v>
      </c>
      <c r="BC70">
        <f t="shared" si="77"/>
        <v>3.3945480176221114E-2</v>
      </c>
      <c r="BD70">
        <f t="shared" si="78"/>
        <v>-0.46353165540297819</v>
      </c>
      <c r="BE70">
        <f t="shared" si="79"/>
        <v>207.47321332268993</v>
      </c>
      <c r="BF70" t="s">
        <v>697</v>
      </c>
      <c r="BG70">
        <v>546.29999999999995</v>
      </c>
      <c r="BH70">
        <f t="shared" si="80"/>
        <v>546.29999999999995</v>
      </c>
      <c r="BI70">
        <f t="shared" si="81"/>
        <v>0.51409656527670888</v>
      </c>
      <c r="BJ70">
        <f t="shared" si="82"/>
        <v>0.73046241657598754</v>
      </c>
      <c r="BK70">
        <f t="shared" si="83"/>
        <v>-9.167061833205997</v>
      </c>
      <c r="BL70">
        <f t="shared" si="84"/>
        <v>0.44661001562286123</v>
      </c>
      <c r="BM70">
        <f t="shared" si="85"/>
        <v>-1.2285173740470294</v>
      </c>
      <c r="BN70">
        <f t="shared" si="86"/>
        <v>0.56837507825250655</v>
      </c>
      <c r="BO70">
        <f t="shared" si="87"/>
        <v>0.43162492174749345</v>
      </c>
      <c r="BP70">
        <v>6143</v>
      </c>
      <c r="BQ70">
        <v>290.00000000000011</v>
      </c>
      <c r="BR70">
        <v>974.64</v>
      </c>
      <c r="BS70">
        <v>245</v>
      </c>
      <c r="BT70">
        <v>8058.37</v>
      </c>
      <c r="BU70">
        <v>977.42</v>
      </c>
      <c r="BV70">
        <v>-2.78</v>
      </c>
      <c r="BW70">
        <v>300.00000000000011</v>
      </c>
      <c r="BX70">
        <v>19.3</v>
      </c>
      <c r="BY70">
        <v>1124.2974652177611</v>
      </c>
      <c r="BZ70">
        <v>4.1230838819352824</v>
      </c>
      <c r="CA70">
        <v>-118.3625773623988</v>
      </c>
      <c r="CB70">
        <v>3.0513874666685048</v>
      </c>
      <c r="CC70">
        <v>0.98173093187050842</v>
      </c>
      <c r="CD70">
        <v>-4.1570315906562846E-3</v>
      </c>
      <c r="CE70">
        <v>289.99999999999989</v>
      </c>
      <c r="CF70">
        <v>969.06</v>
      </c>
      <c r="CG70">
        <v>645</v>
      </c>
      <c r="CH70">
        <v>8047.06</v>
      </c>
      <c r="CI70">
        <v>977.21</v>
      </c>
      <c r="CJ70">
        <v>-8.15</v>
      </c>
      <c r="CX70">
        <f t="shared" si="88"/>
        <v>1799.73</v>
      </c>
      <c r="CY70">
        <f t="shared" si="89"/>
        <v>1512.958199651031</v>
      </c>
      <c r="CZ70">
        <f t="shared" si="90"/>
        <v>0.84065843190424727</v>
      </c>
      <c r="DA70">
        <f t="shared" si="91"/>
        <v>0.16087077357519738</v>
      </c>
      <c r="DB70">
        <v>6</v>
      </c>
      <c r="DC70">
        <v>0.5</v>
      </c>
      <c r="DD70" t="s">
        <v>422</v>
      </c>
      <c r="DE70">
        <v>2</v>
      </c>
      <c r="DF70">
        <v>1689009591</v>
      </c>
      <c r="DG70">
        <v>340.36</v>
      </c>
      <c r="DH70">
        <v>400.267</v>
      </c>
      <c r="DI70">
        <v>28.641500000000001</v>
      </c>
      <c r="DJ70">
        <v>22.32</v>
      </c>
      <c r="DK70">
        <v>340.79300000000001</v>
      </c>
      <c r="DL70">
        <v>28.588999999999999</v>
      </c>
      <c r="DM70">
        <v>500.17200000000003</v>
      </c>
      <c r="DN70">
        <v>99.058800000000005</v>
      </c>
      <c r="DO70">
        <v>0.10009700000000001</v>
      </c>
      <c r="DP70">
        <v>30.1935</v>
      </c>
      <c r="DQ70">
        <v>30.032900000000001</v>
      </c>
      <c r="DR70">
        <v>999.9</v>
      </c>
      <c r="DS70">
        <v>0</v>
      </c>
      <c r="DT70">
        <v>0</v>
      </c>
      <c r="DU70">
        <v>9978.75</v>
      </c>
      <c r="DV70">
        <v>0</v>
      </c>
      <c r="DW70">
        <v>1925.73</v>
      </c>
      <c r="DX70">
        <v>-59.906799999999997</v>
      </c>
      <c r="DY70">
        <v>350.39600000000002</v>
      </c>
      <c r="DZ70">
        <v>409.40499999999997</v>
      </c>
      <c r="EA70">
        <v>6.3214899999999998</v>
      </c>
      <c r="EB70">
        <v>400.267</v>
      </c>
      <c r="EC70">
        <v>22.32</v>
      </c>
      <c r="ED70">
        <v>2.8371900000000001</v>
      </c>
      <c r="EE70">
        <v>2.2109999999999999</v>
      </c>
      <c r="EF70">
        <v>23.1021</v>
      </c>
      <c r="EG70">
        <v>19.042200000000001</v>
      </c>
      <c r="EH70">
        <v>1799.73</v>
      </c>
      <c r="EI70">
        <v>0.977989</v>
      </c>
      <c r="EJ70">
        <v>2.20109E-2</v>
      </c>
      <c r="EK70">
        <v>0</v>
      </c>
      <c r="EL70">
        <v>703.58500000000004</v>
      </c>
      <c r="EM70">
        <v>5.0005300000000004</v>
      </c>
      <c r="EN70">
        <v>15465.3</v>
      </c>
      <c r="EO70">
        <v>16032.8</v>
      </c>
      <c r="EP70">
        <v>47.375</v>
      </c>
      <c r="EQ70">
        <v>48.125</v>
      </c>
      <c r="ER70">
        <v>47.811999999999998</v>
      </c>
      <c r="ES70">
        <v>47.936999999999998</v>
      </c>
      <c r="ET70">
        <v>48.811999999999998</v>
      </c>
      <c r="EU70">
        <v>1755.23</v>
      </c>
      <c r="EV70">
        <v>39.5</v>
      </c>
      <c r="EW70">
        <v>0</v>
      </c>
      <c r="EX70">
        <v>99.199999809265137</v>
      </c>
      <c r="EY70">
        <v>0</v>
      </c>
      <c r="EZ70">
        <v>702.09204</v>
      </c>
      <c r="FA70">
        <v>12.820076948721219</v>
      </c>
      <c r="FB70">
        <v>-50.384615921328468</v>
      </c>
      <c r="FC70">
        <v>15485.147999999999</v>
      </c>
      <c r="FD70">
        <v>15</v>
      </c>
      <c r="FE70">
        <v>1689009560.5</v>
      </c>
      <c r="FF70" t="s">
        <v>698</v>
      </c>
      <c r="FG70">
        <v>1689009559.5</v>
      </c>
      <c r="FH70">
        <v>1689009560.5</v>
      </c>
      <c r="FI70">
        <v>59</v>
      </c>
      <c r="FJ70">
        <v>-8.1000000000000003E-2</v>
      </c>
      <c r="FK70">
        <v>3.0000000000000001E-3</v>
      </c>
      <c r="FL70">
        <v>-0.436</v>
      </c>
      <c r="FM70">
        <v>4.2999999999999997E-2</v>
      </c>
      <c r="FN70">
        <v>400</v>
      </c>
      <c r="FO70">
        <v>22</v>
      </c>
      <c r="FP70">
        <v>0.02</v>
      </c>
      <c r="FQ70">
        <v>0.01</v>
      </c>
      <c r="FR70">
        <v>47.873992113605247</v>
      </c>
      <c r="FS70">
        <v>0.33500679268142408</v>
      </c>
      <c r="FT70">
        <v>6.2803902269836592E-2</v>
      </c>
      <c r="FU70">
        <v>1</v>
      </c>
      <c r="FV70">
        <v>0.38793299642876811</v>
      </c>
      <c r="FW70">
        <v>4.08996680512956E-2</v>
      </c>
      <c r="FX70">
        <v>4.1431539227534753E-3</v>
      </c>
      <c r="FY70">
        <v>1</v>
      </c>
      <c r="FZ70">
        <v>2</v>
      </c>
      <c r="GA70">
        <v>2</v>
      </c>
      <c r="GB70" t="s">
        <v>424</v>
      </c>
      <c r="GC70">
        <v>3.1183200000000002</v>
      </c>
      <c r="GD70">
        <v>2.7672099999999999</v>
      </c>
      <c r="GE70">
        <v>7.84141E-2</v>
      </c>
      <c r="GF70">
        <v>8.8964799999999997E-2</v>
      </c>
      <c r="GG70">
        <v>0.121244</v>
      </c>
      <c r="GH70">
        <v>0.102108</v>
      </c>
      <c r="GI70">
        <v>22082.1</v>
      </c>
      <c r="GJ70">
        <v>22625.8</v>
      </c>
      <c r="GK70">
        <v>23817.200000000001</v>
      </c>
      <c r="GL70">
        <v>25141.599999999999</v>
      </c>
      <c r="GM70">
        <v>30157.9</v>
      </c>
      <c r="GN70">
        <v>31658.9</v>
      </c>
      <c r="GO70">
        <v>37956.300000000003</v>
      </c>
      <c r="GP70">
        <v>39110</v>
      </c>
      <c r="GQ70">
        <v>2.15733</v>
      </c>
      <c r="GR70">
        <v>1.7359</v>
      </c>
      <c r="GS70">
        <v>6.51032E-2</v>
      </c>
      <c r="GT70">
        <v>0</v>
      </c>
      <c r="GU70">
        <v>28.9726</v>
      </c>
      <c r="GV70">
        <v>999.9</v>
      </c>
      <c r="GW70">
        <v>30.7</v>
      </c>
      <c r="GX70">
        <v>45</v>
      </c>
      <c r="GY70">
        <v>29.872199999999999</v>
      </c>
      <c r="GZ70">
        <v>60.878100000000003</v>
      </c>
      <c r="HA70">
        <v>27.6843</v>
      </c>
      <c r="HB70">
        <v>1</v>
      </c>
      <c r="HC70">
        <v>0.480655</v>
      </c>
      <c r="HD70">
        <v>2.4999099999999999</v>
      </c>
      <c r="HE70">
        <v>20.3538</v>
      </c>
      <c r="HF70">
        <v>5.2505300000000004</v>
      </c>
      <c r="HG70">
        <v>12.0099</v>
      </c>
      <c r="HH70">
        <v>4.9782000000000002</v>
      </c>
      <c r="HI70">
        <v>3.2923</v>
      </c>
      <c r="HJ70">
        <v>9999</v>
      </c>
      <c r="HK70">
        <v>9999</v>
      </c>
      <c r="HL70">
        <v>9999</v>
      </c>
      <c r="HM70">
        <v>234.1</v>
      </c>
      <c r="HN70">
        <v>1.87561</v>
      </c>
      <c r="HO70">
        <v>1.8766700000000001</v>
      </c>
      <c r="HP70">
        <v>1.88269</v>
      </c>
      <c r="HQ70">
        <v>1.88585</v>
      </c>
      <c r="HR70">
        <v>1.8766799999999999</v>
      </c>
      <c r="HS70">
        <v>1.8830899999999999</v>
      </c>
      <c r="HT70">
        <v>1.8821099999999999</v>
      </c>
      <c r="HU70">
        <v>1.8855999999999999</v>
      </c>
      <c r="HV70">
        <v>0</v>
      </c>
      <c r="HW70">
        <v>0</v>
      </c>
      <c r="HX70">
        <v>0</v>
      </c>
      <c r="HY70">
        <v>0</v>
      </c>
      <c r="HZ70" t="s">
        <v>425</v>
      </c>
      <c r="IA70" t="s">
        <v>426</v>
      </c>
      <c r="IB70" t="s">
        <v>427</v>
      </c>
      <c r="IC70" t="s">
        <v>427</v>
      </c>
      <c r="ID70" t="s">
        <v>427</v>
      </c>
      <c r="IE70" t="s">
        <v>427</v>
      </c>
      <c r="IF70">
        <v>0</v>
      </c>
      <c r="IG70">
        <v>100</v>
      </c>
      <c r="IH70">
        <v>100</v>
      </c>
      <c r="II70">
        <v>-0.433</v>
      </c>
      <c r="IJ70">
        <v>5.2499999999999998E-2</v>
      </c>
      <c r="IK70">
        <v>-0.35146029317813748</v>
      </c>
      <c r="IL70">
        <v>-4.2852564239613137E-4</v>
      </c>
      <c r="IM70">
        <v>6.4980710991155998E-7</v>
      </c>
      <c r="IN70">
        <v>-2.7237938963984961E-10</v>
      </c>
      <c r="IO70">
        <v>-6.7971579404928666E-3</v>
      </c>
      <c r="IP70">
        <v>6.6907473102813496E-3</v>
      </c>
      <c r="IQ70">
        <v>-3.3673306238274028E-4</v>
      </c>
      <c r="IR70">
        <v>6.1311374003140313E-6</v>
      </c>
      <c r="IS70">
        <v>3</v>
      </c>
      <c r="IT70">
        <v>2101</v>
      </c>
      <c r="IU70">
        <v>1</v>
      </c>
      <c r="IV70">
        <v>32</v>
      </c>
      <c r="IW70">
        <v>0.5</v>
      </c>
      <c r="IX70">
        <v>0.5</v>
      </c>
      <c r="IY70">
        <v>1.01562</v>
      </c>
      <c r="IZ70">
        <v>2.7221700000000002</v>
      </c>
      <c r="JA70">
        <v>1.6015600000000001</v>
      </c>
      <c r="JB70">
        <v>2.32422</v>
      </c>
      <c r="JC70">
        <v>1.5502899999999999</v>
      </c>
      <c r="JD70">
        <v>2.4572799999999999</v>
      </c>
      <c r="JE70">
        <v>46.796900000000001</v>
      </c>
      <c r="JF70">
        <v>16.049600000000002</v>
      </c>
      <c r="JG70">
        <v>18</v>
      </c>
      <c r="JH70">
        <v>598.30200000000002</v>
      </c>
      <c r="JI70">
        <v>380.86599999999999</v>
      </c>
      <c r="JJ70">
        <v>26.9862</v>
      </c>
      <c r="JK70">
        <v>33.100900000000003</v>
      </c>
      <c r="JL70">
        <v>30</v>
      </c>
      <c r="JM70">
        <v>33.412100000000002</v>
      </c>
      <c r="JN70">
        <v>33.415599999999998</v>
      </c>
      <c r="JO70">
        <v>20.324100000000001</v>
      </c>
      <c r="JP70">
        <v>31.078499999999998</v>
      </c>
      <c r="JQ70">
        <v>0</v>
      </c>
      <c r="JR70">
        <v>26.978899999999999</v>
      </c>
      <c r="JS70">
        <v>400</v>
      </c>
      <c r="JT70">
        <v>22.0032</v>
      </c>
      <c r="JU70">
        <v>99.008899999999997</v>
      </c>
      <c r="JV70">
        <v>98.990799999999993</v>
      </c>
    </row>
    <row r="71" spans="1:282" x14ac:dyDescent="0.25">
      <c r="A71">
        <v>55</v>
      </c>
      <c r="B71">
        <v>1689009723.5</v>
      </c>
      <c r="C71">
        <v>9900.9000000953674</v>
      </c>
      <c r="D71" t="s">
        <v>699</v>
      </c>
      <c r="E71" t="s">
        <v>700</v>
      </c>
      <c r="F71" t="s">
        <v>414</v>
      </c>
      <c r="G71" t="s">
        <v>415</v>
      </c>
      <c r="H71" t="s">
        <v>654</v>
      </c>
      <c r="I71" t="s">
        <v>655</v>
      </c>
      <c r="J71" t="s">
        <v>416</v>
      </c>
      <c r="K71">
        <v>1689009723.5</v>
      </c>
      <c r="L71">
        <f t="shared" si="46"/>
        <v>5.4425037820867647E-3</v>
      </c>
      <c r="M71">
        <f t="shared" si="47"/>
        <v>5.4425037820867646</v>
      </c>
      <c r="N71">
        <f t="shared" si="48"/>
        <v>48.701153700603278</v>
      </c>
      <c r="O71">
        <f t="shared" si="49"/>
        <v>339.6</v>
      </c>
      <c r="P71">
        <f t="shared" si="50"/>
        <v>117.50433674503942</v>
      </c>
      <c r="Q71">
        <f t="shared" si="51"/>
        <v>11.651678059469967</v>
      </c>
      <c r="R71">
        <f t="shared" si="52"/>
        <v>33.674585794919999</v>
      </c>
      <c r="S71">
        <f t="shared" si="53"/>
        <v>0.38211360315676096</v>
      </c>
      <c r="T71">
        <f t="shared" si="54"/>
        <v>2.9183514354552975</v>
      </c>
      <c r="U71">
        <f t="shared" si="55"/>
        <v>0.35633574182635908</v>
      </c>
      <c r="V71">
        <f t="shared" si="56"/>
        <v>0.22488079690254514</v>
      </c>
      <c r="W71">
        <f t="shared" si="57"/>
        <v>289.58562232680634</v>
      </c>
      <c r="X71">
        <f t="shared" si="58"/>
        <v>30.433034910332836</v>
      </c>
      <c r="Y71">
        <f t="shared" si="59"/>
        <v>30.004899999999999</v>
      </c>
      <c r="Z71">
        <f t="shared" si="60"/>
        <v>4.2616490315360016</v>
      </c>
      <c r="AA71">
        <f t="shared" si="61"/>
        <v>65.218428238061549</v>
      </c>
      <c r="AB71">
        <f t="shared" si="62"/>
        <v>2.8010691018653695</v>
      </c>
      <c r="AC71">
        <f t="shared" si="63"/>
        <v>4.2949043353833272</v>
      </c>
      <c r="AD71">
        <f t="shared" si="64"/>
        <v>1.4605799296706321</v>
      </c>
      <c r="AE71">
        <f t="shared" si="65"/>
        <v>-240.01441679002633</v>
      </c>
      <c r="AF71">
        <f t="shared" si="66"/>
        <v>21.303045614451317</v>
      </c>
      <c r="AG71">
        <f t="shared" si="67"/>
        <v>1.6242592972390009</v>
      </c>
      <c r="AH71">
        <f t="shared" si="68"/>
        <v>72.498510448470341</v>
      </c>
      <c r="AI71">
        <v>0</v>
      </c>
      <c r="AJ71">
        <v>0</v>
      </c>
      <c r="AK71">
        <f t="shared" si="69"/>
        <v>1</v>
      </c>
      <c r="AL71">
        <f t="shared" si="70"/>
        <v>0</v>
      </c>
      <c r="AM71">
        <f t="shared" si="71"/>
        <v>51989.52726751614</v>
      </c>
      <c r="AN71" t="s">
        <v>419</v>
      </c>
      <c r="AO71">
        <v>9967.0300000000007</v>
      </c>
      <c r="AP71">
        <v>178.94153846153841</v>
      </c>
      <c r="AQ71">
        <v>603.15</v>
      </c>
      <c r="AR71">
        <f t="shared" si="72"/>
        <v>0.7033216638290003</v>
      </c>
      <c r="AS71">
        <v>-3.2649104154664181</v>
      </c>
      <c r="AT71" t="s">
        <v>701</v>
      </c>
      <c r="AU71">
        <v>8051.88</v>
      </c>
      <c r="AV71">
        <v>714.15784615384632</v>
      </c>
      <c r="AW71">
        <v>1146.3800716631531</v>
      </c>
      <c r="AX71">
        <f t="shared" si="73"/>
        <v>0.37703222185487273</v>
      </c>
      <c r="AY71">
        <v>0.5</v>
      </c>
      <c r="AZ71">
        <f t="shared" si="74"/>
        <v>1513.2854996511949</v>
      </c>
      <c r="BA71">
        <f t="shared" si="75"/>
        <v>48.701153700603278</v>
      </c>
      <c r="BB71">
        <f t="shared" si="76"/>
        <v>285.2786971171256</v>
      </c>
      <c r="BC71">
        <f t="shared" si="77"/>
        <v>3.4339894308144513E-2</v>
      </c>
      <c r="BD71">
        <f t="shared" si="78"/>
        <v>-0.47386559230311992</v>
      </c>
      <c r="BE71">
        <f t="shared" si="79"/>
        <v>208.21334854984764</v>
      </c>
      <c r="BF71" t="s">
        <v>702</v>
      </c>
      <c r="BG71">
        <v>550.78</v>
      </c>
      <c r="BH71">
        <f t="shared" si="80"/>
        <v>550.78</v>
      </c>
      <c r="BI71">
        <f t="shared" si="81"/>
        <v>0.51954852180836009</v>
      </c>
      <c r="BJ71">
        <f t="shared" si="82"/>
        <v>0.72569203073191346</v>
      </c>
      <c r="BK71">
        <f t="shared" si="83"/>
        <v>-10.372924797845199</v>
      </c>
      <c r="BL71">
        <f t="shared" si="84"/>
        <v>0.4467697023385272</v>
      </c>
      <c r="BM71">
        <f t="shared" si="85"/>
        <v>-1.2805733994391346</v>
      </c>
      <c r="BN71">
        <f t="shared" si="86"/>
        <v>0.5596755098877948</v>
      </c>
      <c r="BO71">
        <f t="shared" si="87"/>
        <v>0.4403244901122052</v>
      </c>
      <c r="BP71">
        <v>6145</v>
      </c>
      <c r="BQ71">
        <v>290.00000000000011</v>
      </c>
      <c r="BR71">
        <v>1000.19</v>
      </c>
      <c r="BS71">
        <v>285</v>
      </c>
      <c r="BT71">
        <v>8051.88</v>
      </c>
      <c r="BU71">
        <v>1002.55</v>
      </c>
      <c r="BV71">
        <v>-2.36</v>
      </c>
      <c r="BW71">
        <v>300.00000000000011</v>
      </c>
      <c r="BX71">
        <v>19.3</v>
      </c>
      <c r="BY71">
        <v>1146.3800716631531</v>
      </c>
      <c r="BZ71">
        <v>3.822496376702964</v>
      </c>
      <c r="CA71">
        <v>-115.8126102110175</v>
      </c>
      <c r="CB71">
        <v>2.8274962015385738</v>
      </c>
      <c r="CC71">
        <v>0.98358420434121407</v>
      </c>
      <c r="CD71">
        <v>-4.1553953281423814E-3</v>
      </c>
      <c r="CE71">
        <v>289.99999999999989</v>
      </c>
      <c r="CF71">
        <v>995.69</v>
      </c>
      <c r="CG71">
        <v>655</v>
      </c>
      <c r="CH71">
        <v>8042.59</v>
      </c>
      <c r="CI71">
        <v>1002.38</v>
      </c>
      <c r="CJ71">
        <v>-6.69</v>
      </c>
      <c r="CX71">
        <f t="shared" si="88"/>
        <v>1800.12</v>
      </c>
      <c r="CY71">
        <f t="shared" si="89"/>
        <v>1513.2854996511949</v>
      </c>
      <c r="CZ71">
        <f t="shared" si="90"/>
        <v>0.84065812259804618</v>
      </c>
      <c r="DA71">
        <f t="shared" si="91"/>
        <v>0.16087017661422925</v>
      </c>
      <c r="DB71">
        <v>6</v>
      </c>
      <c r="DC71">
        <v>0.5</v>
      </c>
      <c r="DD71" t="s">
        <v>422</v>
      </c>
      <c r="DE71">
        <v>2</v>
      </c>
      <c r="DF71">
        <v>1689009723.5</v>
      </c>
      <c r="DG71">
        <v>339.6</v>
      </c>
      <c r="DH71">
        <v>400.24099999999999</v>
      </c>
      <c r="DI71">
        <v>28.248100000000001</v>
      </c>
      <c r="DJ71">
        <v>21.903500000000001</v>
      </c>
      <c r="DK71">
        <v>339.923</v>
      </c>
      <c r="DL71">
        <v>28.1967</v>
      </c>
      <c r="DM71">
        <v>500.15100000000001</v>
      </c>
      <c r="DN71">
        <v>99.059899999999999</v>
      </c>
      <c r="DO71">
        <v>9.9657700000000002E-2</v>
      </c>
      <c r="DP71">
        <v>30.1403</v>
      </c>
      <c r="DQ71">
        <v>30.004899999999999</v>
      </c>
      <c r="DR71">
        <v>999.9</v>
      </c>
      <c r="DS71">
        <v>0</v>
      </c>
      <c r="DT71">
        <v>0</v>
      </c>
      <c r="DU71">
        <v>10030.6</v>
      </c>
      <c r="DV71">
        <v>0</v>
      </c>
      <c r="DW71">
        <v>1467.75</v>
      </c>
      <c r="DX71">
        <v>-60.641199999999998</v>
      </c>
      <c r="DY71">
        <v>349.47199999999998</v>
      </c>
      <c r="DZ71">
        <v>409.20400000000001</v>
      </c>
      <c r="EA71">
        <v>6.3445999999999998</v>
      </c>
      <c r="EB71">
        <v>400.24099999999999</v>
      </c>
      <c r="EC71">
        <v>21.903500000000001</v>
      </c>
      <c r="ED71">
        <v>2.7982499999999999</v>
      </c>
      <c r="EE71">
        <v>2.1697600000000001</v>
      </c>
      <c r="EF71">
        <v>22.873799999999999</v>
      </c>
      <c r="EG71">
        <v>18.7408</v>
      </c>
      <c r="EH71">
        <v>1800.12</v>
      </c>
      <c r="EI71">
        <v>0.97800299999999996</v>
      </c>
      <c r="EJ71">
        <v>2.1996700000000001E-2</v>
      </c>
      <c r="EK71">
        <v>0</v>
      </c>
      <c r="EL71">
        <v>713.79399999999998</v>
      </c>
      <c r="EM71">
        <v>5.0005300000000004</v>
      </c>
      <c r="EN71">
        <v>15734.5</v>
      </c>
      <c r="EO71">
        <v>16036.4</v>
      </c>
      <c r="EP71">
        <v>48.125</v>
      </c>
      <c r="EQ71">
        <v>48.686999999999998</v>
      </c>
      <c r="ER71">
        <v>48.436999999999998</v>
      </c>
      <c r="ES71">
        <v>48.75</v>
      </c>
      <c r="ET71">
        <v>49.375</v>
      </c>
      <c r="EU71">
        <v>1755.63</v>
      </c>
      <c r="EV71">
        <v>39.49</v>
      </c>
      <c r="EW71">
        <v>0</v>
      </c>
      <c r="EX71">
        <v>130.79999995231631</v>
      </c>
      <c r="EY71">
        <v>0</v>
      </c>
      <c r="EZ71">
        <v>714.15784615384632</v>
      </c>
      <c r="FA71">
        <v>1.816683744041734</v>
      </c>
      <c r="FB71">
        <v>3440.14701179127</v>
      </c>
      <c r="FC71">
        <v>14832.211538461541</v>
      </c>
      <c r="FD71">
        <v>15</v>
      </c>
      <c r="FE71">
        <v>1689009694</v>
      </c>
      <c r="FF71" t="s">
        <v>703</v>
      </c>
      <c r="FG71">
        <v>1689009682.5</v>
      </c>
      <c r="FH71">
        <v>1689009694</v>
      </c>
      <c r="FI71">
        <v>60</v>
      </c>
      <c r="FJ71">
        <v>0.11</v>
      </c>
      <c r="FK71">
        <v>0</v>
      </c>
      <c r="FL71">
        <v>-0.32600000000000001</v>
      </c>
      <c r="FM71">
        <v>4.2000000000000003E-2</v>
      </c>
      <c r="FN71">
        <v>400</v>
      </c>
      <c r="FO71">
        <v>21</v>
      </c>
      <c r="FP71">
        <v>7.0000000000000007E-2</v>
      </c>
      <c r="FQ71">
        <v>0.02</v>
      </c>
      <c r="FR71">
        <v>48.684234815501583</v>
      </c>
      <c r="FS71">
        <v>-3.8855203659682501E-2</v>
      </c>
      <c r="FT71">
        <v>6.4361864833527904E-2</v>
      </c>
      <c r="FU71">
        <v>1</v>
      </c>
      <c r="FV71">
        <v>0.37530228850019293</v>
      </c>
      <c r="FW71">
        <v>4.5553886813995657E-2</v>
      </c>
      <c r="FX71">
        <v>3.8813192724371582E-3</v>
      </c>
      <c r="FY71">
        <v>1</v>
      </c>
      <c r="FZ71">
        <v>2</v>
      </c>
      <c r="GA71">
        <v>2</v>
      </c>
      <c r="GB71" t="s">
        <v>424</v>
      </c>
      <c r="GC71">
        <v>3.1183200000000002</v>
      </c>
      <c r="GD71">
        <v>2.7672300000000001</v>
      </c>
      <c r="GE71">
        <v>7.8260399999999994E-2</v>
      </c>
      <c r="GF71">
        <v>8.8967500000000005E-2</v>
      </c>
      <c r="GG71">
        <v>0.120102</v>
      </c>
      <c r="GH71">
        <v>0.100761</v>
      </c>
      <c r="GI71">
        <v>22081.200000000001</v>
      </c>
      <c r="GJ71">
        <v>22621</v>
      </c>
      <c r="GK71">
        <v>23812.3</v>
      </c>
      <c r="GL71">
        <v>25136.400000000001</v>
      </c>
      <c r="GM71">
        <v>30190.799999999999</v>
      </c>
      <c r="GN71">
        <v>31701.8</v>
      </c>
      <c r="GO71">
        <v>37948.5</v>
      </c>
      <c r="GP71">
        <v>39104.400000000001</v>
      </c>
      <c r="GQ71">
        <v>2.1577000000000002</v>
      </c>
      <c r="GR71">
        <v>1.7352000000000001</v>
      </c>
      <c r="GS71">
        <v>6.5833299999999997E-2</v>
      </c>
      <c r="GT71">
        <v>0</v>
      </c>
      <c r="GU71">
        <v>28.932600000000001</v>
      </c>
      <c r="GV71">
        <v>999.9</v>
      </c>
      <c r="GW71">
        <v>30.7</v>
      </c>
      <c r="GX71">
        <v>44.9</v>
      </c>
      <c r="GY71">
        <v>29.719100000000001</v>
      </c>
      <c r="GZ71">
        <v>60.758099999999999</v>
      </c>
      <c r="HA71">
        <v>27.648199999999999</v>
      </c>
      <c r="HB71">
        <v>1</v>
      </c>
      <c r="HC71">
        <v>0.48436000000000001</v>
      </c>
      <c r="HD71">
        <v>0.90631499999999998</v>
      </c>
      <c r="HE71">
        <v>20.371600000000001</v>
      </c>
      <c r="HF71">
        <v>5.2526299999999999</v>
      </c>
      <c r="HG71">
        <v>12.0099</v>
      </c>
      <c r="HH71">
        <v>4.9797000000000002</v>
      </c>
      <c r="HI71">
        <v>3.2930000000000001</v>
      </c>
      <c r="HJ71">
        <v>9999</v>
      </c>
      <c r="HK71">
        <v>9999</v>
      </c>
      <c r="HL71">
        <v>9999</v>
      </c>
      <c r="HM71">
        <v>234.2</v>
      </c>
      <c r="HN71">
        <v>1.87561</v>
      </c>
      <c r="HO71">
        <v>1.8766799999999999</v>
      </c>
      <c r="HP71">
        <v>1.8827100000000001</v>
      </c>
      <c r="HQ71">
        <v>1.88591</v>
      </c>
      <c r="HR71">
        <v>1.87669</v>
      </c>
      <c r="HS71">
        <v>1.8831100000000001</v>
      </c>
      <c r="HT71">
        <v>1.8821699999999999</v>
      </c>
      <c r="HU71">
        <v>1.88557</v>
      </c>
      <c r="HV71">
        <v>0</v>
      </c>
      <c r="HW71">
        <v>0</v>
      </c>
      <c r="HX71">
        <v>0</v>
      </c>
      <c r="HY71">
        <v>0</v>
      </c>
      <c r="HZ71" t="s">
        <v>425</v>
      </c>
      <c r="IA71" t="s">
        <v>426</v>
      </c>
      <c r="IB71" t="s">
        <v>427</v>
      </c>
      <c r="IC71" t="s">
        <v>427</v>
      </c>
      <c r="ID71" t="s">
        <v>427</v>
      </c>
      <c r="IE71" t="s">
        <v>427</v>
      </c>
      <c r="IF71">
        <v>0</v>
      </c>
      <c r="IG71">
        <v>100</v>
      </c>
      <c r="IH71">
        <v>100</v>
      </c>
      <c r="II71">
        <v>-0.32300000000000001</v>
      </c>
      <c r="IJ71">
        <v>5.1400000000000001E-2</v>
      </c>
      <c r="IK71">
        <v>-0.2412530870226994</v>
      </c>
      <c r="IL71">
        <v>-4.2852564239613137E-4</v>
      </c>
      <c r="IM71">
        <v>6.4980710991155998E-7</v>
      </c>
      <c r="IN71">
        <v>-2.7237938963984961E-10</v>
      </c>
      <c r="IO71">
        <v>-6.9411345289436873E-3</v>
      </c>
      <c r="IP71">
        <v>6.6907473102813496E-3</v>
      </c>
      <c r="IQ71">
        <v>-3.3673306238274028E-4</v>
      </c>
      <c r="IR71">
        <v>6.1311374003140313E-6</v>
      </c>
      <c r="IS71">
        <v>3</v>
      </c>
      <c r="IT71">
        <v>2101</v>
      </c>
      <c r="IU71">
        <v>1</v>
      </c>
      <c r="IV71">
        <v>32</v>
      </c>
      <c r="IW71">
        <v>0.7</v>
      </c>
      <c r="IX71">
        <v>0.5</v>
      </c>
      <c r="IY71">
        <v>1.01562</v>
      </c>
      <c r="IZ71">
        <v>2.7258300000000002</v>
      </c>
      <c r="JA71">
        <v>1.6015600000000001</v>
      </c>
      <c r="JB71">
        <v>2.32422</v>
      </c>
      <c r="JC71">
        <v>1.5502899999999999</v>
      </c>
      <c r="JD71">
        <v>2.4560499999999998</v>
      </c>
      <c r="JE71">
        <v>46.767400000000002</v>
      </c>
      <c r="JF71">
        <v>16.040800000000001</v>
      </c>
      <c r="JG71">
        <v>18</v>
      </c>
      <c r="JH71">
        <v>598.23199999999997</v>
      </c>
      <c r="JI71">
        <v>380.16899999999998</v>
      </c>
      <c r="JJ71">
        <v>28.265799999999999</v>
      </c>
      <c r="JK71">
        <v>33.118600000000001</v>
      </c>
      <c r="JL71">
        <v>30.0002</v>
      </c>
      <c r="JM71">
        <v>33.375399999999999</v>
      </c>
      <c r="JN71">
        <v>33.372300000000003</v>
      </c>
      <c r="JO71">
        <v>20.317699999999999</v>
      </c>
      <c r="JP71">
        <v>32.036000000000001</v>
      </c>
      <c r="JQ71">
        <v>0</v>
      </c>
      <c r="JR71">
        <v>28.258099999999999</v>
      </c>
      <c r="JS71">
        <v>400</v>
      </c>
      <c r="JT71">
        <v>21.7057</v>
      </c>
      <c r="JU71">
        <v>98.988600000000005</v>
      </c>
      <c r="JV71">
        <v>98.974100000000007</v>
      </c>
    </row>
    <row r="72" spans="1:282" x14ac:dyDescent="0.25">
      <c r="A72">
        <v>56</v>
      </c>
      <c r="B72">
        <v>1689009846.5</v>
      </c>
      <c r="C72">
        <v>10023.900000095369</v>
      </c>
      <c r="D72" t="s">
        <v>704</v>
      </c>
      <c r="E72" t="s">
        <v>705</v>
      </c>
      <c r="F72" t="s">
        <v>414</v>
      </c>
      <c r="G72" t="s">
        <v>415</v>
      </c>
      <c r="H72" t="s">
        <v>654</v>
      </c>
      <c r="I72" t="s">
        <v>655</v>
      </c>
      <c r="J72" t="s">
        <v>416</v>
      </c>
      <c r="K72">
        <v>1689009846.5</v>
      </c>
      <c r="L72">
        <f t="shared" si="46"/>
        <v>5.5767713972514838E-3</v>
      </c>
      <c r="M72">
        <f t="shared" si="47"/>
        <v>5.5767713972514841</v>
      </c>
      <c r="N72">
        <f t="shared" si="48"/>
        <v>51.100048558288378</v>
      </c>
      <c r="O72">
        <f t="shared" si="49"/>
        <v>435.83300000000003</v>
      </c>
      <c r="P72">
        <f t="shared" si="50"/>
        <v>207.17787401031242</v>
      </c>
      <c r="Q72">
        <f t="shared" si="51"/>
        <v>20.544529724443269</v>
      </c>
      <c r="R72">
        <f t="shared" si="52"/>
        <v>43.218823757925009</v>
      </c>
      <c r="S72">
        <f t="shared" si="53"/>
        <v>0.39380921937597047</v>
      </c>
      <c r="T72">
        <f t="shared" si="54"/>
        <v>2.9119774348911247</v>
      </c>
      <c r="U72">
        <f t="shared" si="55"/>
        <v>0.36643434236248718</v>
      </c>
      <c r="V72">
        <f t="shared" si="56"/>
        <v>0.2313222179231838</v>
      </c>
      <c r="W72">
        <f t="shared" si="57"/>
        <v>289.56908332693945</v>
      </c>
      <c r="X72">
        <f t="shared" si="58"/>
        <v>30.36849991565002</v>
      </c>
      <c r="Y72">
        <f t="shared" si="59"/>
        <v>30.020600000000002</v>
      </c>
      <c r="Z72">
        <f t="shared" si="60"/>
        <v>4.2654935373096636</v>
      </c>
      <c r="AA72">
        <f t="shared" si="61"/>
        <v>65.542862183209522</v>
      </c>
      <c r="AB72">
        <f t="shared" si="62"/>
        <v>2.8101611372849997</v>
      </c>
      <c r="AC72">
        <f t="shared" si="63"/>
        <v>4.2875166626533039</v>
      </c>
      <c r="AD72">
        <f t="shared" si="64"/>
        <v>1.4553324000246639</v>
      </c>
      <c r="AE72">
        <f t="shared" si="65"/>
        <v>-245.93561861879044</v>
      </c>
      <c r="AF72">
        <f t="shared" si="66"/>
        <v>14.082050314045103</v>
      </c>
      <c r="AG72">
        <f t="shared" si="67"/>
        <v>1.0759656090877139</v>
      </c>
      <c r="AH72">
        <f t="shared" si="68"/>
        <v>58.7914806312818</v>
      </c>
      <c r="AI72">
        <v>0</v>
      </c>
      <c r="AJ72">
        <v>0</v>
      </c>
      <c r="AK72">
        <f t="shared" si="69"/>
        <v>1</v>
      </c>
      <c r="AL72">
        <f t="shared" si="70"/>
        <v>0</v>
      </c>
      <c r="AM72">
        <f t="shared" si="71"/>
        <v>51813.441571768519</v>
      </c>
      <c r="AN72" t="s">
        <v>419</v>
      </c>
      <c r="AO72">
        <v>9967.0300000000007</v>
      </c>
      <c r="AP72">
        <v>178.94153846153841</v>
      </c>
      <c r="AQ72">
        <v>603.15</v>
      </c>
      <c r="AR72">
        <f t="shared" si="72"/>
        <v>0.7033216638290003</v>
      </c>
      <c r="AS72">
        <v>-3.2649104154664181</v>
      </c>
      <c r="AT72" t="s">
        <v>706</v>
      </c>
      <c r="AU72">
        <v>8049.77</v>
      </c>
      <c r="AV72">
        <v>729.05564000000004</v>
      </c>
      <c r="AW72">
        <v>1183.7832335331141</v>
      </c>
      <c r="AX72">
        <f t="shared" si="73"/>
        <v>0.38413079409473994</v>
      </c>
      <c r="AY72">
        <v>0.5</v>
      </c>
      <c r="AZ72">
        <f t="shared" si="74"/>
        <v>1513.2011996512638</v>
      </c>
      <c r="BA72">
        <f t="shared" si="75"/>
        <v>51.100048558288378</v>
      </c>
      <c r="BB72">
        <f t="shared" si="76"/>
        <v>290.63358922357651</v>
      </c>
      <c r="BC72">
        <f t="shared" si="77"/>
        <v>3.5927118605433225E-2</v>
      </c>
      <c r="BD72">
        <f t="shared" si="78"/>
        <v>-0.49048948919487462</v>
      </c>
      <c r="BE72">
        <f t="shared" si="79"/>
        <v>209.41512619412774</v>
      </c>
      <c r="BF72" t="s">
        <v>707</v>
      </c>
      <c r="BG72">
        <v>554.53</v>
      </c>
      <c r="BH72">
        <f t="shared" si="80"/>
        <v>554.53</v>
      </c>
      <c r="BI72">
        <f t="shared" si="81"/>
        <v>0.53156119778369204</v>
      </c>
      <c r="BJ72">
        <f t="shared" si="82"/>
        <v>0.72264641530711216</v>
      </c>
      <c r="BK72">
        <f t="shared" si="83"/>
        <v>-11.942271360203909</v>
      </c>
      <c r="BL72">
        <f t="shared" si="84"/>
        <v>0.45253654955144296</v>
      </c>
      <c r="BM72">
        <f t="shared" si="85"/>
        <v>-1.3687450538524206</v>
      </c>
      <c r="BN72">
        <f t="shared" si="86"/>
        <v>0.54965505332384901</v>
      </c>
      <c r="BO72">
        <f t="shared" si="87"/>
        <v>0.45034494667615099</v>
      </c>
      <c r="BP72">
        <v>6147</v>
      </c>
      <c r="BQ72">
        <v>290.00000000000011</v>
      </c>
      <c r="BR72">
        <v>1040.69</v>
      </c>
      <c r="BS72">
        <v>295</v>
      </c>
      <c r="BT72">
        <v>8049.77</v>
      </c>
      <c r="BU72">
        <v>1042.82</v>
      </c>
      <c r="BV72">
        <v>-2.13</v>
      </c>
      <c r="BW72">
        <v>300.00000000000011</v>
      </c>
      <c r="BX72">
        <v>19.3</v>
      </c>
      <c r="BY72">
        <v>1183.7832335331141</v>
      </c>
      <c r="BZ72">
        <v>4.8281905850233953</v>
      </c>
      <c r="CA72">
        <v>-113.4683140374928</v>
      </c>
      <c r="CB72">
        <v>3.5704288969866029</v>
      </c>
      <c r="CC72">
        <v>0.97302426566153</v>
      </c>
      <c r="CD72">
        <v>-4.1544600667408156E-3</v>
      </c>
      <c r="CE72">
        <v>289.99999999999989</v>
      </c>
      <c r="CF72">
        <v>1038.19</v>
      </c>
      <c r="CG72">
        <v>635</v>
      </c>
      <c r="CH72">
        <v>8041.02</v>
      </c>
      <c r="CI72">
        <v>1042.67</v>
      </c>
      <c r="CJ72">
        <v>-4.4800000000000004</v>
      </c>
      <c r="CX72">
        <f t="shared" si="88"/>
        <v>1800.02</v>
      </c>
      <c r="CY72">
        <f t="shared" si="89"/>
        <v>1513.2011996512638</v>
      </c>
      <c r="CZ72">
        <f t="shared" si="90"/>
        <v>0.84065799249522988</v>
      </c>
      <c r="DA72">
        <f t="shared" si="91"/>
        <v>0.16086992551579396</v>
      </c>
      <c r="DB72">
        <v>6</v>
      </c>
      <c r="DC72">
        <v>0.5</v>
      </c>
      <c r="DD72" t="s">
        <v>422</v>
      </c>
      <c r="DE72">
        <v>2</v>
      </c>
      <c r="DF72">
        <v>1689009846.5</v>
      </c>
      <c r="DG72">
        <v>435.83300000000003</v>
      </c>
      <c r="DH72">
        <v>500.06200000000001</v>
      </c>
      <c r="DI72">
        <v>28.3386</v>
      </c>
      <c r="DJ72">
        <v>21.8369</v>
      </c>
      <c r="DK72">
        <v>436.25099999999998</v>
      </c>
      <c r="DL72">
        <v>28.288499999999999</v>
      </c>
      <c r="DM72">
        <v>500.06</v>
      </c>
      <c r="DN72">
        <v>99.063599999999994</v>
      </c>
      <c r="DO72">
        <v>0.10012500000000001</v>
      </c>
      <c r="DP72">
        <v>30.110299999999999</v>
      </c>
      <c r="DQ72">
        <v>30.020600000000002</v>
      </c>
      <c r="DR72">
        <v>999.9</v>
      </c>
      <c r="DS72">
        <v>0</v>
      </c>
      <c r="DT72">
        <v>0</v>
      </c>
      <c r="DU72">
        <v>9993.75</v>
      </c>
      <c r="DV72">
        <v>0</v>
      </c>
      <c r="DW72">
        <v>1872.44</v>
      </c>
      <c r="DX72">
        <v>-64.228499999999997</v>
      </c>
      <c r="DY72">
        <v>448.54399999999998</v>
      </c>
      <c r="DZ72">
        <v>511.22500000000002</v>
      </c>
      <c r="EA72">
        <v>6.50176</v>
      </c>
      <c r="EB72">
        <v>500.06200000000001</v>
      </c>
      <c r="EC72">
        <v>21.8369</v>
      </c>
      <c r="ED72">
        <v>2.8073299999999999</v>
      </c>
      <c r="EE72">
        <v>2.1632400000000001</v>
      </c>
      <c r="EF72">
        <v>22.927199999999999</v>
      </c>
      <c r="EG72">
        <v>18.692599999999999</v>
      </c>
      <c r="EH72">
        <v>1800.02</v>
      </c>
      <c r="EI72">
        <v>0.97800699999999996</v>
      </c>
      <c r="EJ72">
        <v>2.1993100000000002E-2</v>
      </c>
      <c r="EK72">
        <v>0</v>
      </c>
      <c r="EL72">
        <v>729.58799999999997</v>
      </c>
      <c r="EM72">
        <v>5.0005300000000004</v>
      </c>
      <c r="EN72">
        <v>15961.3</v>
      </c>
      <c r="EO72">
        <v>16035.5</v>
      </c>
      <c r="EP72">
        <v>48.686999999999998</v>
      </c>
      <c r="EQ72">
        <v>49.436999999999998</v>
      </c>
      <c r="ER72">
        <v>49.061999999999998</v>
      </c>
      <c r="ES72">
        <v>49.25</v>
      </c>
      <c r="ET72">
        <v>49.936999999999998</v>
      </c>
      <c r="EU72">
        <v>1755.54</v>
      </c>
      <c r="EV72">
        <v>39.479999999999997</v>
      </c>
      <c r="EW72">
        <v>0</v>
      </c>
      <c r="EX72">
        <v>121.19999980926509</v>
      </c>
      <c r="EY72">
        <v>0</v>
      </c>
      <c r="EZ72">
        <v>729.05564000000004</v>
      </c>
      <c r="FA72">
        <v>1.8246923203008001</v>
      </c>
      <c r="FB72">
        <v>18.876923217788828</v>
      </c>
      <c r="FC72">
        <v>15968.168</v>
      </c>
      <c r="FD72">
        <v>15</v>
      </c>
      <c r="FE72">
        <v>1689009806.5</v>
      </c>
      <c r="FF72" t="s">
        <v>708</v>
      </c>
      <c r="FG72">
        <v>1689009804.5</v>
      </c>
      <c r="FH72">
        <v>1689009806.5</v>
      </c>
      <c r="FI72">
        <v>61</v>
      </c>
      <c r="FJ72">
        <v>-0.09</v>
      </c>
      <c r="FK72">
        <v>-1E-3</v>
      </c>
      <c r="FL72">
        <v>-0.41699999999999998</v>
      </c>
      <c r="FM72">
        <v>4.1000000000000002E-2</v>
      </c>
      <c r="FN72">
        <v>500</v>
      </c>
      <c r="FO72">
        <v>22</v>
      </c>
      <c r="FP72">
        <v>0.04</v>
      </c>
      <c r="FQ72">
        <v>0.02</v>
      </c>
      <c r="FR72">
        <v>51.096564875862263</v>
      </c>
      <c r="FS72">
        <v>-0.61633208175385246</v>
      </c>
      <c r="FT72">
        <v>7.6936884086851939E-2</v>
      </c>
      <c r="FU72">
        <v>1</v>
      </c>
      <c r="FV72">
        <v>0.39507505466354748</v>
      </c>
      <c r="FW72">
        <v>3.8441709155715431E-2</v>
      </c>
      <c r="FX72">
        <v>3.8288579479394311E-3</v>
      </c>
      <c r="FY72">
        <v>1</v>
      </c>
      <c r="FZ72">
        <v>2</v>
      </c>
      <c r="GA72">
        <v>2</v>
      </c>
      <c r="GB72" t="s">
        <v>424</v>
      </c>
      <c r="GC72">
        <v>3.11829</v>
      </c>
      <c r="GD72">
        <v>2.7673700000000001</v>
      </c>
      <c r="GE72">
        <v>9.4936499999999993E-2</v>
      </c>
      <c r="GF72">
        <v>0.105056</v>
      </c>
      <c r="GG72">
        <v>0.12037399999999999</v>
      </c>
      <c r="GH72">
        <v>0.10054399999999999</v>
      </c>
      <c r="GI72">
        <v>21679.4</v>
      </c>
      <c r="GJ72">
        <v>22216.5</v>
      </c>
      <c r="GK72">
        <v>23809.9</v>
      </c>
      <c r="GL72">
        <v>25131.200000000001</v>
      </c>
      <c r="GM72">
        <v>30178.9</v>
      </c>
      <c r="GN72">
        <v>31701.200000000001</v>
      </c>
      <c r="GO72">
        <v>37945.300000000003</v>
      </c>
      <c r="GP72">
        <v>39094.199999999997</v>
      </c>
      <c r="GQ72">
        <v>2.15768</v>
      </c>
      <c r="GR72">
        <v>1.7351000000000001</v>
      </c>
      <c r="GS72">
        <v>3.7886200000000002E-2</v>
      </c>
      <c r="GT72">
        <v>0</v>
      </c>
      <c r="GU72">
        <v>29.4038</v>
      </c>
      <c r="GV72">
        <v>999.9</v>
      </c>
      <c r="GW72">
        <v>30.8</v>
      </c>
      <c r="GX72">
        <v>44.8</v>
      </c>
      <c r="GY72">
        <v>29.656099999999999</v>
      </c>
      <c r="GZ72">
        <v>60.728099999999998</v>
      </c>
      <c r="HA72">
        <v>27.552099999999999</v>
      </c>
      <c r="HB72">
        <v>1</v>
      </c>
      <c r="HC72">
        <v>0.49284800000000001</v>
      </c>
      <c r="HD72">
        <v>1.60314</v>
      </c>
      <c r="HE72">
        <v>20.3659</v>
      </c>
      <c r="HF72">
        <v>5.2526299999999999</v>
      </c>
      <c r="HG72">
        <v>12.0099</v>
      </c>
      <c r="HH72">
        <v>4.9795499999999997</v>
      </c>
      <c r="HI72">
        <v>3.2930000000000001</v>
      </c>
      <c r="HJ72">
        <v>9999</v>
      </c>
      <c r="HK72">
        <v>9999</v>
      </c>
      <c r="HL72">
        <v>9999</v>
      </c>
      <c r="HM72">
        <v>234.2</v>
      </c>
      <c r="HN72">
        <v>1.87561</v>
      </c>
      <c r="HO72">
        <v>1.8766799999999999</v>
      </c>
      <c r="HP72">
        <v>1.88269</v>
      </c>
      <c r="HQ72">
        <v>1.8858900000000001</v>
      </c>
      <c r="HR72">
        <v>1.8766799999999999</v>
      </c>
      <c r="HS72">
        <v>1.8831</v>
      </c>
      <c r="HT72">
        <v>1.8821300000000001</v>
      </c>
      <c r="HU72">
        <v>1.8855500000000001</v>
      </c>
      <c r="HV72">
        <v>0</v>
      </c>
      <c r="HW72">
        <v>0</v>
      </c>
      <c r="HX72">
        <v>0</v>
      </c>
      <c r="HY72">
        <v>0</v>
      </c>
      <c r="HZ72" t="s">
        <v>425</v>
      </c>
      <c r="IA72" t="s">
        <v>426</v>
      </c>
      <c r="IB72" t="s">
        <v>427</v>
      </c>
      <c r="IC72" t="s">
        <v>427</v>
      </c>
      <c r="ID72" t="s">
        <v>427</v>
      </c>
      <c r="IE72" t="s">
        <v>427</v>
      </c>
      <c r="IF72">
        <v>0</v>
      </c>
      <c r="IG72">
        <v>100</v>
      </c>
      <c r="IH72">
        <v>100</v>
      </c>
      <c r="II72">
        <v>-0.41799999999999998</v>
      </c>
      <c r="IJ72">
        <v>5.0099999999999999E-2</v>
      </c>
      <c r="IK72">
        <v>-0.33143695504379911</v>
      </c>
      <c r="IL72">
        <v>-4.2852564239613137E-4</v>
      </c>
      <c r="IM72">
        <v>6.4980710991155998E-7</v>
      </c>
      <c r="IN72">
        <v>-2.7237938963984961E-10</v>
      </c>
      <c r="IO72">
        <v>-8.4454191989656018E-3</v>
      </c>
      <c r="IP72">
        <v>6.6907473102813496E-3</v>
      </c>
      <c r="IQ72">
        <v>-3.3673306238274028E-4</v>
      </c>
      <c r="IR72">
        <v>6.1311374003140313E-6</v>
      </c>
      <c r="IS72">
        <v>3</v>
      </c>
      <c r="IT72">
        <v>2101</v>
      </c>
      <c r="IU72">
        <v>1</v>
      </c>
      <c r="IV72">
        <v>32</v>
      </c>
      <c r="IW72">
        <v>0.7</v>
      </c>
      <c r="IX72">
        <v>0.7</v>
      </c>
      <c r="IY72">
        <v>1.2158199999999999</v>
      </c>
      <c r="IZ72">
        <v>2.7111800000000001</v>
      </c>
      <c r="JA72">
        <v>1.6015600000000001</v>
      </c>
      <c r="JB72">
        <v>2.32544</v>
      </c>
      <c r="JC72">
        <v>1.5502899999999999</v>
      </c>
      <c r="JD72">
        <v>2.4194300000000002</v>
      </c>
      <c r="JE72">
        <v>46.796900000000001</v>
      </c>
      <c r="JF72">
        <v>16.0321</v>
      </c>
      <c r="JG72">
        <v>18</v>
      </c>
      <c r="JH72">
        <v>598.32500000000005</v>
      </c>
      <c r="JI72">
        <v>380.19600000000003</v>
      </c>
      <c r="JJ72">
        <v>27.5809</v>
      </c>
      <c r="JK72">
        <v>33.191099999999999</v>
      </c>
      <c r="JL72">
        <v>30.001100000000001</v>
      </c>
      <c r="JM72">
        <v>33.387599999999999</v>
      </c>
      <c r="JN72">
        <v>33.386400000000002</v>
      </c>
      <c r="JO72">
        <v>24.3249</v>
      </c>
      <c r="JP72">
        <v>32.511499999999998</v>
      </c>
      <c r="JQ72">
        <v>0</v>
      </c>
      <c r="JR72">
        <v>27.506900000000002</v>
      </c>
      <c r="JS72">
        <v>500</v>
      </c>
      <c r="JT72">
        <v>21.706700000000001</v>
      </c>
      <c r="JU72">
        <v>98.979600000000005</v>
      </c>
      <c r="JV72">
        <v>98.950400000000002</v>
      </c>
    </row>
    <row r="73" spans="1:282" x14ac:dyDescent="0.25">
      <c r="A73">
        <v>57</v>
      </c>
      <c r="B73">
        <v>1689009951</v>
      </c>
      <c r="C73">
        <v>10128.400000095369</v>
      </c>
      <c r="D73" t="s">
        <v>709</v>
      </c>
      <c r="E73" t="s">
        <v>710</v>
      </c>
      <c r="F73" t="s">
        <v>414</v>
      </c>
      <c r="G73" t="s">
        <v>415</v>
      </c>
      <c r="H73" t="s">
        <v>654</v>
      </c>
      <c r="I73" t="s">
        <v>655</v>
      </c>
      <c r="J73" t="s">
        <v>416</v>
      </c>
      <c r="K73">
        <v>1689009951</v>
      </c>
      <c r="L73">
        <f t="shared" si="46"/>
        <v>5.3525308161219429E-3</v>
      </c>
      <c r="M73">
        <f t="shared" si="47"/>
        <v>5.3525308161219431</v>
      </c>
      <c r="N73">
        <f t="shared" si="48"/>
        <v>52.024295599478869</v>
      </c>
      <c r="O73">
        <f t="shared" si="49"/>
        <v>633.72199999999998</v>
      </c>
      <c r="P73">
        <f t="shared" si="50"/>
        <v>387.66869904462919</v>
      </c>
      <c r="Q73">
        <f t="shared" si="51"/>
        <v>38.44343814145121</v>
      </c>
      <c r="R73">
        <f t="shared" si="52"/>
        <v>62.843486115633205</v>
      </c>
      <c r="S73">
        <f t="shared" si="53"/>
        <v>0.37793086336273607</v>
      </c>
      <c r="T73">
        <f t="shared" si="54"/>
        <v>2.9146516662283997</v>
      </c>
      <c r="U73">
        <f t="shared" si="55"/>
        <v>0.35266453800734932</v>
      </c>
      <c r="V73">
        <f t="shared" si="56"/>
        <v>0.22254449740293966</v>
      </c>
      <c r="W73">
        <f t="shared" si="57"/>
        <v>289.60114432649914</v>
      </c>
      <c r="X73">
        <f t="shared" si="58"/>
        <v>30.320061225093024</v>
      </c>
      <c r="Y73">
        <f t="shared" si="59"/>
        <v>29.981100000000001</v>
      </c>
      <c r="Z73">
        <f t="shared" si="60"/>
        <v>4.2558268133249895</v>
      </c>
      <c r="AA73">
        <f t="shared" si="61"/>
        <v>65.809462018123412</v>
      </c>
      <c r="AB73">
        <f t="shared" si="62"/>
        <v>2.8043266804075202</v>
      </c>
      <c r="AC73">
        <f t="shared" si="63"/>
        <v>4.2612818801576449</v>
      </c>
      <c r="AD73">
        <f t="shared" si="64"/>
        <v>1.4515001329174693</v>
      </c>
      <c r="AE73">
        <f t="shared" si="65"/>
        <v>-236.04660899097769</v>
      </c>
      <c r="AF73">
        <f t="shared" si="66"/>
        <v>3.5041038240420814</v>
      </c>
      <c r="AG73">
        <f t="shared" si="67"/>
        <v>0.26729822530159558</v>
      </c>
      <c r="AH73">
        <f t="shared" si="68"/>
        <v>57.325937384865135</v>
      </c>
      <c r="AI73">
        <v>0</v>
      </c>
      <c r="AJ73">
        <v>0</v>
      </c>
      <c r="AK73">
        <f t="shared" si="69"/>
        <v>1</v>
      </c>
      <c r="AL73">
        <f t="shared" si="70"/>
        <v>0</v>
      </c>
      <c r="AM73">
        <f t="shared" si="71"/>
        <v>51907.83944500958</v>
      </c>
      <c r="AN73" t="s">
        <v>419</v>
      </c>
      <c r="AO73">
        <v>9967.0300000000007</v>
      </c>
      <c r="AP73">
        <v>178.94153846153841</v>
      </c>
      <c r="AQ73">
        <v>603.15</v>
      </c>
      <c r="AR73">
        <f t="shared" si="72"/>
        <v>0.7033216638290003</v>
      </c>
      <c r="AS73">
        <v>-3.2649104154664181</v>
      </c>
      <c r="AT73" t="s">
        <v>711</v>
      </c>
      <c r="AU73">
        <v>8047.42</v>
      </c>
      <c r="AV73">
        <v>731.26303999999993</v>
      </c>
      <c r="AW73">
        <v>1208.938987597252</v>
      </c>
      <c r="AX73">
        <f t="shared" si="73"/>
        <v>0.39511997917002062</v>
      </c>
      <c r="AY73">
        <v>0.5</v>
      </c>
      <c r="AZ73">
        <f t="shared" si="74"/>
        <v>1513.3616996510359</v>
      </c>
      <c r="BA73">
        <f t="shared" si="75"/>
        <v>52.024295599478869</v>
      </c>
      <c r="BB73">
        <f t="shared" si="76"/>
        <v>298.97972162141218</v>
      </c>
      <c r="BC73">
        <f t="shared" si="77"/>
        <v>3.6534032827508688E-2</v>
      </c>
      <c r="BD73">
        <f t="shared" si="78"/>
        <v>-0.50109144780023063</v>
      </c>
      <c r="BE73">
        <f t="shared" si="79"/>
        <v>210.18883665082402</v>
      </c>
      <c r="BF73" t="s">
        <v>712</v>
      </c>
      <c r="BG73">
        <v>557.34</v>
      </c>
      <c r="BH73">
        <f t="shared" si="80"/>
        <v>557.34</v>
      </c>
      <c r="BI73">
        <f t="shared" si="81"/>
        <v>0.53898417892229211</v>
      </c>
      <c r="BJ73">
        <f t="shared" si="82"/>
        <v>0.73308270376334539</v>
      </c>
      <c r="BK73">
        <f t="shared" si="83"/>
        <v>-13.223946465777182</v>
      </c>
      <c r="BL73">
        <f t="shared" si="84"/>
        <v>0.46376420446291117</v>
      </c>
      <c r="BM73">
        <f t="shared" si="85"/>
        <v>-1.4280455071552767</v>
      </c>
      <c r="BN73">
        <f t="shared" si="86"/>
        <v>0.55872687633093421</v>
      </c>
      <c r="BO73">
        <f t="shared" si="87"/>
        <v>0.44127312366906579</v>
      </c>
      <c r="BP73">
        <v>6149</v>
      </c>
      <c r="BQ73">
        <v>290.00000000000011</v>
      </c>
      <c r="BR73">
        <v>1050.25</v>
      </c>
      <c r="BS73">
        <v>295</v>
      </c>
      <c r="BT73">
        <v>8047.42</v>
      </c>
      <c r="BU73">
        <v>1052.4000000000001</v>
      </c>
      <c r="BV73">
        <v>-2.15</v>
      </c>
      <c r="BW73">
        <v>300.00000000000011</v>
      </c>
      <c r="BX73">
        <v>19.3</v>
      </c>
      <c r="BY73">
        <v>1208.938987597252</v>
      </c>
      <c r="BZ73">
        <v>3.4526054407646698</v>
      </c>
      <c r="CA73">
        <v>-125.97560096008181</v>
      </c>
      <c r="CB73">
        <v>2.552422375355123</v>
      </c>
      <c r="CC73">
        <v>0.98863611807541973</v>
      </c>
      <c r="CD73">
        <v>-4.153602892102347E-3</v>
      </c>
      <c r="CE73">
        <v>289.99999999999989</v>
      </c>
      <c r="CF73">
        <v>1046.3399999999999</v>
      </c>
      <c r="CG73">
        <v>645</v>
      </c>
      <c r="CH73">
        <v>8038.19</v>
      </c>
      <c r="CI73">
        <v>1052.22</v>
      </c>
      <c r="CJ73">
        <v>-5.88</v>
      </c>
      <c r="CX73">
        <f t="shared" si="88"/>
        <v>1800.21</v>
      </c>
      <c r="CY73">
        <f t="shared" si="89"/>
        <v>1513.3616996510359</v>
      </c>
      <c r="CZ73">
        <f t="shared" si="90"/>
        <v>0.84065842299011551</v>
      </c>
      <c r="DA73">
        <f t="shared" si="91"/>
        <v>0.16087075637092291</v>
      </c>
      <c r="DB73">
        <v>6</v>
      </c>
      <c r="DC73">
        <v>0.5</v>
      </c>
      <c r="DD73" t="s">
        <v>422</v>
      </c>
      <c r="DE73">
        <v>2</v>
      </c>
      <c r="DF73">
        <v>1689009951</v>
      </c>
      <c r="DG73">
        <v>633.72199999999998</v>
      </c>
      <c r="DH73">
        <v>700.21199999999999</v>
      </c>
      <c r="DI73">
        <v>28.279199999999999</v>
      </c>
      <c r="DJ73">
        <v>22.038699999999999</v>
      </c>
      <c r="DK73">
        <v>634.31299999999999</v>
      </c>
      <c r="DL73">
        <v>28.234100000000002</v>
      </c>
      <c r="DM73">
        <v>500.072</v>
      </c>
      <c r="DN73">
        <v>99.066000000000003</v>
      </c>
      <c r="DO73">
        <v>9.97006E-2</v>
      </c>
      <c r="DP73">
        <v>30.003399999999999</v>
      </c>
      <c r="DQ73">
        <v>29.981100000000001</v>
      </c>
      <c r="DR73">
        <v>999.9</v>
      </c>
      <c r="DS73">
        <v>0</v>
      </c>
      <c r="DT73">
        <v>0</v>
      </c>
      <c r="DU73">
        <v>10008.799999999999</v>
      </c>
      <c r="DV73">
        <v>0</v>
      </c>
      <c r="DW73">
        <v>1857.36</v>
      </c>
      <c r="DX73">
        <v>-66.490600000000001</v>
      </c>
      <c r="DY73">
        <v>652.16399999999999</v>
      </c>
      <c r="DZ73">
        <v>715.99199999999996</v>
      </c>
      <c r="EA73">
        <v>6.2404799999999998</v>
      </c>
      <c r="EB73">
        <v>700.21199999999999</v>
      </c>
      <c r="EC73">
        <v>22.038699999999999</v>
      </c>
      <c r="ED73">
        <v>2.8015099999999999</v>
      </c>
      <c r="EE73">
        <v>2.18329</v>
      </c>
      <c r="EF73">
        <v>22.893000000000001</v>
      </c>
      <c r="EG73">
        <v>18.840199999999999</v>
      </c>
      <c r="EH73">
        <v>1800.21</v>
      </c>
      <c r="EI73">
        <v>0.97799400000000003</v>
      </c>
      <c r="EJ73">
        <v>2.2006299999999999E-2</v>
      </c>
      <c r="EK73">
        <v>0</v>
      </c>
      <c r="EL73">
        <v>731.08299999999997</v>
      </c>
      <c r="EM73">
        <v>5.0005300000000004</v>
      </c>
      <c r="EN73">
        <v>15963.6</v>
      </c>
      <c r="EO73">
        <v>16037.1</v>
      </c>
      <c r="EP73">
        <v>49.186999999999998</v>
      </c>
      <c r="EQ73">
        <v>50.186999999999998</v>
      </c>
      <c r="ER73">
        <v>49.625</v>
      </c>
      <c r="ES73">
        <v>49.875</v>
      </c>
      <c r="ET73">
        <v>50.436999999999998</v>
      </c>
      <c r="EU73">
        <v>1755.7</v>
      </c>
      <c r="EV73">
        <v>39.51</v>
      </c>
      <c r="EW73">
        <v>0</v>
      </c>
      <c r="EX73">
        <v>102.5999999046326</v>
      </c>
      <c r="EY73">
        <v>0</v>
      </c>
      <c r="EZ73">
        <v>731.26303999999993</v>
      </c>
      <c r="FA73">
        <v>-1.64123077521354</v>
      </c>
      <c r="FB73">
        <v>-269.36922998994822</v>
      </c>
      <c r="FC73">
        <v>15982.832</v>
      </c>
      <c r="FD73">
        <v>15</v>
      </c>
      <c r="FE73">
        <v>1689009921</v>
      </c>
      <c r="FF73" t="s">
        <v>713</v>
      </c>
      <c r="FG73">
        <v>1689009915</v>
      </c>
      <c r="FH73">
        <v>1689009921</v>
      </c>
      <c r="FI73">
        <v>62</v>
      </c>
      <c r="FJ73">
        <v>-0.18</v>
      </c>
      <c r="FK73">
        <v>-5.0000000000000001E-3</v>
      </c>
      <c r="FL73">
        <v>-0.58599999999999997</v>
      </c>
      <c r="FM73">
        <v>3.5999999999999997E-2</v>
      </c>
      <c r="FN73">
        <v>700</v>
      </c>
      <c r="FO73">
        <v>22</v>
      </c>
      <c r="FP73">
        <v>0.05</v>
      </c>
      <c r="FQ73">
        <v>0.01</v>
      </c>
      <c r="FR73">
        <v>52.104302332414463</v>
      </c>
      <c r="FS73">
        <v>-5.5386845029817507E-2</v>
      </c>
      <c r="FT73">
        <v>5.2167855280162732E-2</v>
      </c>
      <c r="FU73">
        <v>1</v>
      </c>
      <c r="FV73">
        <v>0.37012284967035491</v>
      </c>
      <c r="FW73">
        <v>4.3897629088425913E-2</v>
      </c>
      <c r="FX73">
        <v>3.420234750922368E-3</v>
      </c>
      <c r="FY73">
        <v>1</v>
      </c>
      <c r="FZ73">
        <v>2</v>
      </c>
      <c r="GA73">
        <v>2</v>
      </c>
      <c r="GB73" t="s">
        <v>424</v>
      </c>
      <c r="GC73">
        <v>3.1188500000000001</v>
      </c>
      <c r="GD73">
        <v>2.76708</v>
      </c>
      <c r="GE73">
        <v>0.1244</v>
      </c>
      <c r="GF73">
        <v>0.133076</v>
      </c>
      <c r="GG73">
        <v>0.120183</v>
      </c>
      <c r="GH73">
        <v>0.101178</v>
      </c>
      <c r="GI73">
        <v>20962.2</v>
      </c>
      <c r="GJ73">
        <v>21507.3</v>
      </c>
      <c r="GK73">
        <v>23798</v>
      </c>
      <c r="GL73">
        <v>25116.799999999999</v>
      </c>
      <c r="GM73">
        <v>30170.9</v>
      </c>
      <c r="GN73">
        <v>31661</v>
      </c>
      <c r="GO73">
        <v>37927.199999999997</v>
      </c>
      <c r="GP73">
        <v>39072.5</v>
      </c>
      <c r="GQ73">
        <v>2.1555800000000001</v>
      </c>
      <c r="GR73">
        <v>1.7324999999999999</v>
      </c>
      <c r="GS73">
        <v>7.5623399999999999E-3</v>
      </c>
      <c r="GT73">
        <v>0</v>
      </c>
      <c r="GU73">
        <v>29.858000000000001</v>
      </c>
      <c r="GV73">
        <v>999.9</v>
      </c>
      <c r="GW73">
        <v>30.9</v>
      </c>
      <c r="GX73">
        <v>44.8</v>
      </c>
      <c r="GY73">
        <v>29.753299999999999</v>
      </c>
      <c r="GZ73">
        <v>60.728099999999998</v>
      </c>
      <c r="HA73">
        <v>27.8005</v>
      </c>
      <c r="HB73">
        <v>1</v>
      </c>
      <c r="HC73">
        <v>0.520617</v>
      </c>
      <c r="HD73">
        <v>1.36913</v>
      </c>
      <c r="HE73">
        <v>20.353100000000001</v>
      </c>
      <c r="HF73">
        <v>5.2523299999999997</v>
      </c>
      <c r="HG73">
        <v>12.0099</v>
      </c>
      <c r="HH73">
        <v>4.9794999999999998</v>
      </c>
      <c r="HI73">
        <v>3.2930000000000001</v>
      </c>
      <c r="HJ73">
        <v>9999</v>
      </c>
      <c r="HK73">
        <v>9999</v>
      </c>
      <c r="HL73">
        <v>9999</v>
      </c>
      <c r="HM73">
        <v>234.2</v>
      </c>
      <c r="HN73">
        <v>1.8755999999999999</v>
      </c>
      <c r="HO73">
        <v>1.8766700000000001</v>
      </c>
      <c r="HP73">
        <v>1.88269</v>
      </c>
      <c r="HQ73">
        <v>1.88585</v>
      </c>
      <c r="HR73">
        <v>1.8766799999999999</v>
      </c>
      <c r="HS73">
        <v>1.8830899999999999</v>
      </c>
      <c r="HT73">
        <v>1.88212</v>
      </c>
      <c r="HU73">
        <v>1.88554</v>
      </c>
      <c r="HV73">
        <v>0</v>
      </c>
      <c r="HW73">
        <v>0</v>
      </c>
      <c r="HX73">
        <v>0</v>
      </c>
      <c r="HY73">
        <v>0</v>
      </c>
      <c r="HZ73" t="s">
        <v>425</v>
      </c>
      <c r="IA73" t="s">
        <v>426</v>
      </c>
      <c r="IB73" t="s">
        <v>427</v>
      </c>
      <c r="IC73" t="s">
        <v>427</v>
      </c>
      <c r="ID73" t="s">
        <v>427</v>
      </c>
      <c r="IE73" t="s">
        <v>427</v>
      </c>
      <c r="IF73">
        <v>0</v>
      </c>
      <c r="IG73">
        <v>100</v>
      </c>
      <c r="IH73">
        <v>100</v>
      </c>
      <c r="II73">
        <v>-0.59099999999999997</v>
      </c>
      <c r="IJ73">
        <v>4.5100000000000001E-2</v>
      </c>
      <c r="IK73">
        <v>-0.51138141190419617</v>
      </c>
      <c r="IL73">
        <v>-4.2852564239613137E-4</v>
      </c>
      <c r="IM73">
        <v>6.4980710991155998E-7</v>
      </c>
      <c r="IN73">
        <v>-2.7237938963984961E-10</v>
      </c>
      <c r="IO73">
        <v>-1.33254625930803E-2</v>
      </c>
      <c r="IP73">
        <v>6.6907473102813496E-3</v>
      </c>
      <c r="IQ73">
        <v>-3.3673306238274028E-4</v>
      </c>
      <c r="IR73">
        <v>6.1311374003140313E-6</v>
      </c>
      <c r="IS73">
        <v>3</v>
      </c>
      <c r="IT73">
        <v>2101</v>
      </c>
      <c r="IU73">
        <v>1</v>
      </c>
      <c r="IV73">
        <v>32</v>
      </c>
      <c r="IW73">
        <v>0.6</v>
      </c>
      <c r="IX73">
        <v>0.5</v>
      </c>
      <c r="IY73">
        <v>1.5991200000000001</v>
      </c>
      <c r="IZ73">
        <v>2.7063000000000001</v>
      </c>
      <c r="JA73">
        <v>1.6015600000000001</v>
      </c>
      <c r="JB73">
        <v>2.32544</v>
      </c>
      <c r="JC73">
        <v>1.5502899999999999</v>
      </c>
      <c r="JD73">
        <v>2.3828100000000001</v>
      </c>
      <c r="JE73">
        <v>46.974400000000003</v>
      </c>
      <c r="JF73">
        <v>16.014600000000002</v>
      </c>
      <c r="JG73">
        <v>18</v>
      </c>
      <c r="JH73">
        <v>597.971</v>
      </c>
      <c r="JI73">
        <v>379.37799999999999</v>
      </c>
      <c r="JJ73">
        <v>26.162500000000001</v>
      </c>
      <c r="JK73">
        <v>33.384599999999999</v>
      </c>
      <c r="JL73">
        <v>30</v>
      </c>
      <c r="JM73">
        <v>33.511899999999997</v>
      </c>
      <c r="JN73">
        <v>33.507800000000003</v>
      </c>
      <c r="JO73">
        <v>31.9941</v>
      </c>
      <c r="JP73">
        <v>32.286999999999999</v>
      </c>
      <c r="JQ73">
        <v>0</v>
      </c>
      <c r="JR73">
        <v>26.927399999999999</v>
      </c>
      <c r="JS73">
        <v>700</v>
      </c>
      <c r="JT73">
        <v>21.8489</v>
      </c>
      <c r="JU73">
        <v>98.931600000000003</v>
      </c>
      <c r="JV73">
        <v>98.894800000000004</v>
      </c>
    </row>
    <row r="74" spans="1:282" x14ac:dyDescent="0.25">
      <c r="A74">
        <v>58</v>
      </c>
      <c r="B74">
        <v>1689010067</v>
      </c>
      <c r="C74">
        <v>10244.400000095369</v>
      </c>
      <c r="D74" t="s">
        <v>714</v>
      </c>
      <c r="E74" t="s">
        <v>715</v>
      </c>
      <c r="F74" t="s">
        <v>414</v>
      </c>
      <c r="G74" t="s">
        <v>415</v>
      </c>
      <c r="H74" t="s">
        <v>654</v>
      </c>
      <c r="I74" t="s">
        <v>655</v>
      </c>
      <c r="J74" t="s">
        <v>416</v>
      </c>
      <c r="K74">
        <v>1689010067</v>
      </c>
      <c r="L74">
        <f t="shared" si="46"/>
        <v>5.1215447251833496E-3</v>
      </c>
      <c r="M74">
        <f t="shared" si="47"/>
        <v>5.1215447251833499</v>
      </c>
      <c r="N74">
        <f t="shared" si="48"/>
        <v>51.470907092538027</v>
      </c>
      <c r="O74">
        <f t="shared" si="49"/>
        <v>833.221</v>
      </c>
      <c r="P74">
        <f t="shared" si="50"/>
        <v>572.38783045834202</v>
      </c>
      <c r="Q74">
        <f t="shared" si="51"/>
        <v>56.759794943043602</v>
      </c>
      <c r="R74">
        <f t="shared" si="52"/>
        <v>82.624840336607605</v>
      </c>
      <c r="S74">
        <f t="shared" si="53"/>
        <v>0.35740308539511456</v>
      </c>
      <c r="T74">
        <f t="shared" si="54"/>
        <v>2.9185268397243109</v>
      </c>
      <c r="U74">
        <f t="shared" si="55"/>
        <v>0.33474668715334288</v>
      </c>
      <c r="V74">
        <f t="shared" si="56"/>
        <v>0.21113246998056812</v>
      </c>
      <c r="W74">
        <f t="shared" si="57"/>
        <v>289.54789732654615</v>
      </c>
      <c r="X74">
        <f t="shared" si="58"/>
        <v>30.314830233533829</v>
      </c>
      <c r="Y74">
        <f t="shared" si="59"/>
        <v>29.923500000000001</v>
      </c>
      <c r="Z74">
        <f t="shared" si="60"/>
        <v>4.2417647484113141</v>
      </c>
      <c r="AA74">
        <f t="shared" si="61"/>
        <v>65.441359563341024</v>
      </c>
      <c r="AB74">
        <f t="shared" si="62"/>
        <v>2.7782943560554401</v>
      </c>
      <c r="AC74">
        <f t="shared" si="63"/>
        <v>4.2454716323035964</v>
      </c>
      <c r="AD74">
        <f t="shared" si="64"/>
        <v>1.4634703923558741</v>
      </c>
      <c r="AE74">
        <f t="shared" si="65"/>
        <v>-225.86012238058572</v>
      </c>
      <c r="AF74">
        <f t="shared" si="66"/>
        <v>2.3916230085449155</v>
      </c>
      <c r="AG74">
        <f t="shared" si="67"/>
        <v>0.18208401661249796</v>
      </c>
      <c r="AH74">
        <f t="shared" si="68"/>
        <v>66.26148197111786</v>
      </c>
      <c r="AI74">
        <v>0</v>
      </c>
      <c r="AJ74">
        <v>0</v>
      </c>
      <c r="AK74">
        <f t="shared" si="69"/>
        <v>1</v>
      </c>
      <c r="AL74">
        <f t="shared" si="70"/>
        <v>0</v>
      </c>
      <c r="AM74">
        <f t="shared" si="71"/>
        <v>52029.208570642666</v>
      </c>
      <c r="AN74" t="s">
        <v>419</v>
      </c>
      <c r="AO74">
        <v>9967.0300000000007</v>
      </c>
      <c r="AP74">
        <v>178.94153846153841</v>
      </c>
      <c r="AQ74">
        <v>603.15</v>
      </c>
      <c r="AR74">
        <f t="shared" si="72"/>
        <v>0.7033216638290003</v>
      </c>
      <c r="AS74">
        <v>-3.2649104154664181</v>
      </c>
      <c r="AT74" t="s">
        <v>716</v>
      </c>
      <c r="AU74">
        <v>8045.3</v>
      </c>
      <c r="AV74">
        <v>727.86373076923076</v>
      </c>
      <c r="AW74">
        <v>1211.594203729135</v>
      </c>
      <c r="AX74">
        <f t="shared" si="73"/>
        <v>0.39925122740851882</v>
      </c>
      <c r="AY74">
        <v>0.5</v>
      </c>
      <c r="AZ74">
        <f t="shared" si="74"/>
        <v>1513.0841996510601</v>
      </c>
      <c r="BA74">
        <f t="shared" si="75"/>
        <v>51.470907092538027</v>
      </c>
      <c r="BB74">
        <f t="shared" si="76"/>
        <v>302.05036194156105</v>
      </c>
      <c r="BC74">
        <f t="shared" si="77"/>
        <v>3.6174997743435126E-2</v>
      </c>
      <c r="BD74">
        <f t="shared" si="78"/>
        <v>-0.50218480895370743</v>
      </c>
      <c r="BE74">
        <f t="shared" si="79"/>
        <v>210.26895336086204</v>
      </c>
      <c r="BF74" t="s">
        <v>717</v>
      </c>
      <c r="BG74">
        <v>552.82000000000005</v>
      </c>
      <c r="BH74">
        <f t="shared" si="80"/>
        <v>552.82000000000005</v>
      </c>
      <c r="BI74">
        <f t="shared" si="81"/>
        <v>0.54372511993001504</v>
      </c>
      <c r="BJ74">
        <f t="shared" si="82"/>
        <v>0.73428872931217171</v>
      </c>
      <c r="BK74">
        <f t="shared" si="83"/>
        <v>-12.089096040714004</v>
      </c>
      <c r="BL74">
        <f t="shared" si="84"/>
        <v>0.46843482734298919</v>
      </c>
      <c r="BM74">
        <f t="shared" si="85"/>
        <v>-1.4343047319766142</v>
      </c>
      <c r="BN74">
        <f t="shared" si="86"/>
        <v>0.55769985256629684</v>
      </c>
      <c r="BO74">
        <f t="shared" si="87"/>
        <v>0.44230014743370316</v>
      </c>
      <c r="BP74">
        <v>6151</v>
      </c>
      <c r="BQ74">
        <v>290.00000000000011</v>
      </c>
      <c r="BR74">
        <v>1047.6500000000001</v>
      </c>
      <c r="BS74">
        <v>285</v>
      </c>
      <c r="BT74">
        <v>8045.3</v>
      </c>
      <c r="BU74">
        <v>1049.8699999999999</v>
      </c>
      <c r="BV74">
        <v>-2.2200000000000002</v>
      </c>
      <c r="BW74">
        <v>300.00000000000011</v>
      </c>
      <c r="BX74">
        <v>19.399999999999999</v>
      </c>
      <c r="BY74">
        <v>1211.594203729135</v>
      </c>
      <c r="BZ74">
        <v>4.4445828570549137</v>
      </c>
      <c r="CA74">
        <v>-130.10929640691629</v>
      </c>
      <c r="CB74">
        <v>3.2848766813501582</v>
      </c>
      <c r="CC74">
        <v>0.98246536364753301</v>
      </c>
      <c r="CD74">
        <v>-4.1525991101223668E-3</v>
      </c>
      <c r="CE74">
        <v>289.99999999999989</v>
      </c>
      <c r="CF74">
        <v>1044.03</v>
      </c>
      <c r="CG74">
        <v>665</v>
      </c>
      <c r="CH74">
        <v>8035.32</v>
      </c>
      <c r="CI74">
        <v>1049.67</v>
      </c>
      <c r="CJ74">
        <v>-5.64</v>
      </c>
      <c r="CX74">
        <f t="shared" si="88"/>
        <v>1799.88</v>
      </c>
      <c r="CY74">
        <f t="shared" si="89"/>
        <v>1513.0841996510601</v>
      </c>
      <c r="CZ74">
        <f t="shared" si="90"/>
        <v>0.84065837703127988</v>
      </c>
      <c r="DA74">
        <f t="shared" si="91"/>
        <v>0.16087066767037031</v>
      </c>
      <c r="DB74">
        <v>6</v>
      </c>
      <c r="DC74">
        <v>0.5</v>
      </c>
      <c r="DD74" t="s">
        <v>422</v>
      </c>
      <c r="DE74">
        <v>2</v>
      </c>
      <c r="DF74">
        <v>1689010067</v>
      </c>
      <c r="DG74">
        <v>833.221</v>
      </c>
      <c r="DH74">
        <v>900.10400000000004</v>
      </c>
      <c r="DI74">
        <v>28.017399999999999</v>
      </c>
      <c r="DJ74">
        <v>22.044</v>
      </c>
      <c r="DK74">
        <v>833.73099999999999</v>
      </c>
      <c r="DL74">
        <v>27.970700000000001</v>
      </c>
      <c r="DM74">
        <v>500.02199999999999</v>
      </c>
      <c r="DN74">
        <v>99.063900000000004</v>
      </c>
      <c r="DO74">
        <v>9.9275600000000006E-2</v>
      </c>
      <c r="DP74">
        <v>29.938700000000001</v>
      </c>
      <c r="DQ74">
        <v>29.923500000000001</v>
      </c>
      <c r="DR74">
        <v>999.9</v>
      </c>
      <c r="DS74">
        <v>0</v>
      </c>
      <c r="DT74">
        <v>0</v>
      </c>
      <c r="DU74">
        <v>10031.200000000001</v>
      </c>
      <c r="DV74">
        <v>0</v>
      </c>
      <c r="DW74">
        <v>1850.05</v>
      </c>
      <c r="DX74">
        <v>-66.883399999999995</v>
      </c>
      <c r="DY74">
        <v>857.23900000000003</v>
      </c>
      <c r="DZ74">
        <v>920.39400000000001</v>
      </c>
      <c r="EA74">
        <v>5.9733900000000002</v>
      </c>
      <c r="EB74">
        <v>900.10400000000004</v>
      </c>
      <c r="EC74">
        <v>22.044</v>
      </c>
      <c r="ED74">
        <v>2.7755100000000001</v>
      </c>
      <c r="EE74">
        <v>2.1837599999999999</v>
      </c>
      <c r="EF74">
        <v>22.7392</v>
      </c>
      <c r="EG74">
        <v>18.843699999999998</v>
      </c>
      <c r="EH74">
        <v>1799.88</v>
      </c>
      <c r="EI74">
        <v>0.97799400000000003</v>
      </c>
      <c r="EJ74">
        <v>2.20062E-2</v>
      </c>
      <c r="EK74">
        <v>0</v>
      </c>
      <c r="EL74">
        <v>727.55200000000002</v>
      </c>
      <c r="EM74">
        <v>5.0005300000000004</v>
      </c>
      <c r="EN74">
        <v>15907.5</v>
      </c>
      <c r="EO74">
        <v>16034.2</v>
      </c>
      <c r="EP74">
        <v>49.5</v>
      </c>
      <c r="EQ74">
        <v>50.75</v>
      </c>
      <c r="ER74">
        <v>50.125</v>
      </c>
      <c r="ES74">
        <v>50.25</v>
      </c>
      <c r="ET74">
        <v>50.75</v>
      </c>
      <c r="EU74">
        <v>1755.38</v>
      </c>
      <c r="EV74">
        <v>39.5</v>
      </c>
      <c r="EW74">
        <v>0</v>
      </c>
      <c r="EX74">
        <v>114.19999980926509</v>
      </c>
      <c r="EY74">
        <v>0</v>
      </c>
      <c r="EZ74">
        <v>727.86373076923076</v>
      </c>
      <c r="FA74">
        <v>-3.139863248002225</v>
      </c>
      <c r="FB74">
        <v>-133.62735151347229</v>
      </c>
      <c r="FC74">
        <v>15901.16923076923</v>
      </c>
      <c r="FD74">
        <v>15</v>
      </c>
      <c r="FE74">
        <v>1689010035</v>
      </c>
      <c r="FF74" t="s">
        <v>718</v>
      </c>
      <c r="FG74">
        <v>1689010032</v>
      </c>
      <c r="FH74">
        <v>1689010035</v>
      </c>
      <c r="FI74">
        <v>63</v>
      </c>
      <c r="FJ74">
        <v>6.5000000000000002E-2</v>
      </c>
      <c r="FK74">
        <v>2E-3</v>
      </c>
      <c r="FL74">
        <v>-0.505</v>
      </c>
      <c r="FM74">
        <v>3.7999999999999999E-2</v>
      </c>
      <c r="FN74">
        <v>900</v>
      </c>
      <c r="FO74">
        <v>22</v>
      </c>
      <c r="FP74">
        <v>0.05</v>
      </c>
      <c r="FQ74">
        <v>0.01</v>
      </c>
      <c r="FR74">
        <v>51.651393984167683</v>
      </c>
      <c r="FS74">
        <v>-0.49351251444274458</v>
      </c>
      <c r="FT74">
        <v>6.6575946913720457E-2</v>
      </c>
      <c r="FU74">
        <v>1</v>
      </c>
      <c r="FV74">
        <v>0.35279586229188059</v>
      </c>
      <c r="FW74">
        <v>4.7987630695606451E-2</v>
      </c>
      <c r="FX74">
        <v>3.4916896311561699E-3</v>
      </c>
      <c r="FY74">
        <v>1</v>
      </c>
      <c r="FZ74">
        <v>2</v>
      </c>
      <c r="GA74">
        <v>2</v>
      </c>
      <c r="GB74" t="s">
        <v>424</v>
      </c>
      <c r="GC74">
        <v>3.1193599999999999</v>
      </c>
      <c r="GD74">
        <v>2.7668499999999998</v>
      </c>
      <c r="GE74">
        <v>0.149592</v>
      </c>
      <c r="GF74">
        <v>0.157142</v>
      </c>
      <c r="GG74">
        <v>0.119354</v>
      </c>
      <c r="GH74">
        <v>0.10115200000000001</v>
      </c>
      <c r="GI74">
        <v>20345.900000000001</v>
      </c>
      <c r="GJ74">
        <v>20896.599999999999</v>
      </c>
      <c r="GK74">
        <v>23784.3</v>
      </c>
      <c r="GL74">
        <v>25102.5</v>
      </c>
      <c r="GM74">
        <v>30182.2</v>
      </c>
      <c r="GN74">
        <v>31645.3</v>
      </c>
      <c r="GO74">
        <v>37906</v>
      </c>
      <c r="GP74">
        <v>39052.199999999997</v>
      </c>
      <c r="GQ74">
        <v>2.1533500000000001</v>
      </c>
      <c r="GR74">
        <v>1.72915</v>
      </c>
      <c r="GS74">
        <v>1.3895299999999999E-2</v>
      </c>
      <c r="GT74">
        <v>0</v>
      </c>
      <c r="GU74">
        <v>29.697299999999998</v>
      </c>
      <c r="GV74">
        <v>999.9</v>
      </c>
      <c r="GW74">
        <v>30.9</v>
      </c>
      <c r="GX74">
        <v>44.9</v>
      </c>
      <c r="GY74">
        <v>29.9084</v>
      </c>
      <c r="GZ74">
        <v>61.068100000000001</v>
      </c>
      <c r="HA74">
        <v>27.6082</v>
      </c>
      <c r="HB74">
        <v>1</v>
      </c>
      <c r="HC74">
        <v>0.53993599999999997</v>
      </c>
      <c r="HD74">
        <v>2.0010500000000002</v>
      </c>
      <c r="HE74">
        <v>20.3598</v>
      </c>
      <c r="HF74">
        <v>5.2503799999999998</v>
      </c>
      <c r="HG74">
        <v>12.0099</v>
      </c>
      <c r="HH74">
        <v>4.9783999999999997</v>
      </c>
      <c r="HI74">
        <v>3.2924799999999999</v>
      </c>
      <c r="HJ74">
        <v>9999</v>
      </c>
      <c r="HK74">
        <v>9999</v>
      </c>
      <c r="HL74">
        <v>9999</v>
      </c>
      <c r="HM74">
        <v>234.2</v>
      </c>
      <c r="HN74">
        <v>1.87561</v>
      </c>
      <c r="HO74">
        <v>1.8766799999999999</v>
      </c>
      <c r="HP74">
        <v>1.8826700000000001</v>
      </c>
      <c r="HQ74">
        <v>1.8859300000000001</v>
      </c>
      <c r="HR74">
        <v>1.87669</v>
      </c>
      <c r="HS74">
        <v>1.8831</v>
      </c>
      <c r="HT74">
        <v>1.8821099999999999</v>
      </c>
      <c r="HU74">
        <v>1.88558</v>
      </c>
      <c r="HV74">
        <v>0</v>
      </c>
      <c r="HW74">
        <v>0</v>
      </c>
      <c r="HX74">
        <v>0</v>
      </c>
      <c r="HY74">
        <v>0</v>
      </c>
      <c r="HZ74" t="s">
        <v>425</v>
      </c>
      <c r="IA74" t="s">
        <v>426</v>
      </c>
      <c r="IB74" t="s">
        <v>427</v>
      </c>
      <c r="IC74" t="s">
        <v>427</v>
      </c>
      <c r="ID74" t="s">
        <v>427</v>
      </c>
      <c r="IE74" t="s">
        <v>427</v>
      </c>
      <c r="IF74">
        <v>0</v>
      </c>
      <c r="IG74">
        <v>100</v>
      </c>
      <c r="IH74">
        <v>100</v>
      </c>
      <c r="II74">
        <v>-0.51</v>
      </c>
      <c r="IJ74">
        <v>4.6699999999999998E-2</v>
      </c>
      <c r="IK74">
        <v>-0.44680816456546341</v>
      </c>
      <c r="IL74">
        <v>-4.2852564239613137E-4</v>
      </c>
      <c r="IM74">
        <v>6.4980710991155998E-7</v>
      </c>
      <c r="IN74">
        <v>-2.7237938963984961E-10</v>
      </c>
      <c r="IO74">
        <v>-1.119223710392995E-2</v>
      </c>
      <c r="IP74">
        <v>6.6907473102813496E-3</v>
      </c>
      <c r="IQ74">
        <v>-3.3673306238274028E-4</v>
      </c>
      <c r="IR74">
        <v>6.1311374003140313E-6</v>
      </c>
      <c r="IS74">
        <v>3</v>
      </c>
      <c r="IT74">
        <v>2101</v>
      </c>
      <c r="IU74">
        <v>1</v>
      </c>
      <c r="IV74">
        <v>32</v>
      </c>
      <c r="IW74">
        <v>0.6</v>
      </c>
      <c r="IX74">
        <v>0.5</v>
      </c>
      <c r="IY74">
        <v>1.96289</v>
      </c>
      <c r="IZ74">
        <v>2.7038600000000002</v>
      </c>
      <c r="JA74">
        <v>1.6003400000000001</v>
      </c>
      <c r="JB74">
        <v>2.32544</v>
      </c>
      <c r="JC74">
        <v>1.5502899999999999</v>
      </c>
      <c r="JD74">
        <v>2.4706999999999999</v>
      </c>
      <c r="JE74">
        <v>47.122900000000001</v>
      </c>
      <c r="JF74">
        <v>16.005800000000001</v>
      </c>
      <c r="JG74">
        <v>18</v>
      </c>
      <c r="JH74">
        <v>598.04600000000005</v>
      </c>
      <c r="JI74">
        <v>378.44400000000002</v>
      </c>
      <c r="JJ74">
        <v>26.9876</v>
      </c>
      <c r="JK74">
        <v>33.6158</v>
      </c>
      <c r="JL74">
        <v>30.000399999999999</v>
      </c>
      <c r="JM74">
        <v>33.6935</v>
      </c>
      <c r="JN74">
        <v>33.684100000000001</v>
      </c>
      <c r="JO74">
        <v>39.2791</v>
      </c>
      <c r="JP74">
        <v>32.157299999999999</v>
      </c>
      <c r="JQ74">
        <v>0</v>
      </c>
      <c r="JR74">
        <v>27.011399999999998</v>
      </c>
      <c r="JS74">
        <v>900</v>
      </c>
      <c r="JT74">
        <v>21.968499999999999</v>
      </c>
      <c r="JU74">
        <v>98.875699999999995</v>
      </c>
      <c r="JV74">
        <v>98.8416</v>
      </c>
    </row>
    <row r="75" spans="1:282" x14ac:dyDescent="0.25">
      <c r="A75">
        <v>59</v>
      </c>
      <c r="B75">
        <v>1689010175.5</v>
      </c>
      <c r="C75">
        <v>10352.900000095369</v>
      </c>
      <c r="D75" t="s">
        <v>719</v>
      </c>
      <c r="E75" t="s">
        <v>720</v>
      </c>
      <c r="F75" t="s">
        <v>414</v>
      </c>
      <c r="G75" t="s">
        <v>415</v>
      </c>
      <c r="H75" t="s">
        <v>654</v>
      </c>
      <c r="I75" t="s">
        <v>655</v>
      </c>
      <c r="J75" t="s">
        <v>416</v>
      </c>
      <c r="K75">
        <v>1689010175.5</v>
      </c>
      <c r="L75">
        <f t="shared" si="46"/>
        <v>4.7630954439562816E-3</v>
      </c>
      <c r="M75">
        <f t="shared" si="47"/>
        <v>4.7630954439562814</v>
      </c>
      <c r="N75">
        <f t="shared" si="48"/>
        <v>50.698419183465283</v>
      </c>
      <c r="O75">
        <f t="shared" si="49"/>
        <v>1132.81</v>
      </c>
      <c r="P75">
        <f t="shared" si="50"/>
        <v>848.77605171108746</v>
      </c>
      <c r="Q75">
        <f t="shared" si="51"/>
        <v>84.158191077438957</v>
      </c>
      <c r="R75">
        <f t="shared" si="52"/>
        <v>112.32084157209999</v>
      </c>
      <c r="S75">
        <f t="shared" si="53"/>
        <v>0.32887844193879706</v>
      </c>
      <c r="T75">
        <f t="shared" si="54"/>
        <v>2.9117779761953351</v>
      </c>
      <c r="U75">
        <f t="shared" si="55"/>
        <v>0.30954758181487235</v>
      </c>
      <c r="V75">
        <f t="shared" si="56"/>
        <v>0.19510928628310295</v>
      </c>
      <c r="W75">
        <f t="shared" si="57"/>
        <v>289.57445032678021</v>
      </c>
      <c r="X75">
        <f t="shared" si="58"/>
        <v>30.50152526447927</v>
      </c>
      <c r="Y75">
        <f t="shared" si="59"/>
        <v>29.998200000000001</v>
      </c>
      <c r="Z75">
        <f t="shared" si="60"/>
        <v>4.2600093021289194</v>
      </c>
      <c r="AA75">
        <f t="shared" si="61"/>
        <v>65.336014862973954</v>
      </c>
      <c r="AB75">
        <f t="shared" si="62"/>
        <v>2.7885524635990002</v>
      </c>
      <c r="AC75">
        <f t="shared" si="63"/>
        <v>4.2680173705838893</v>
      </c>
      <c r="AD75">
        <f t="shared" si="64"/>
        <v>1.4714568385299192</v>
      </c>
      <c r="AE75">
        <f t="shared" si="65"/>
        <v>-210.05250907847201</v>
      </c>
      <c r="AF75">
        <f t="shared" si="66"/>
        <v>5.1332386180611724</v>
      </c>
      <c r="AG75">
        <f t="shared" si="67"/>
        <v>0.39204403762829848</v>
      </c>
      <c r="AH75">
        <f t="shared" si="68"/>
        <v>85.047223903997661</v>
      </c>
      <c r="AI75">
        <v>0</v>
      </c>
      <c r="AJ75">
        <v>0</v>
      </c>
      <c r="AK75">
        <f t="shared" si="69"/>
        <v>1</v>
      </c>
      <c r="AL75">
        <f t="shared" si="70"/>
        <v>0</v>
      </c>
      <c r="AM75">
        <f t="shared" si="71"/>
        <v>51821.105891783656</v>
      </c>
      <c r="AN75" t="s">
        <v>419</v>
      </c>
      <c r="AO75">
        <v>9967.0300000000007</v>
      </c>
      <c r="AP75">
        <v>178.94153846153841</v>
      </c>
      <c r="AQ75">
        <v>603.15</v>
      </c>
      <c r="AR75">
        <f t="shared" si="72"/>
        <v>0.7033216638290003</v>
      </c>
      <c r="AS75">
        <v>-3.2649104154664181</v>
      </c>
      <c r="AT75" t="s">
        <v>721</v>
      </c>
      <c r="AU75">
        <v>8043.3</v>
      </c>
      <c r="AV75">
        <v>724.30043999999998</v>
      </c>
      <c r="AW75">
        <v>1206.2978938544611</v>
      </c>
      <c r="AX75">
        <f t="shared" si="73"/>
        <v>0.3995675167054662</v>
      </c>
      <c r="AY75">
        <v>0.5</v>
      </c>
      <c r="AZ75">
        <f t="shared" si="74"/>
        <v>1513.2266996511812</v>
      </c>
      <c r="BA75">
        <f t="shared" si="75"/>
        <v>50.698419183465283</v>
      </c>
      <c r="BB75">
        <f t="shared" si="76"/>
        <v>302.31811729601543</v>
      </c>
      <c r="BC75">
        <f t="shared" si="77"/>
        <v>3.5661100621189781E-2</v>
      </c>
      <c r="BD75">
        <f t="shared" si="78"/>
        <v>-0.49999912702096655</v>
      </c>
      <c r="BE75">
        <f t="shared" si="79"/>
        <v>210.10885711669815</v>
      </c>
      <c r="BF75" t="s">
        <v>722</v>
      </c>
      <c r="BG75">
        <v>554.87</v>
      </c>
      <c r="BH75">
        <f t="shared" si="80"/>
        <v>554.87</v>
      </c>
      <c r="BI75">
        <f t="shared" si="81"/>
        <v>0.54002240837291504</v>
      </c>
      <c r="BJ75">
        <f t="shared" si="82"/>
        <v>0.73990914175091604</v>
      </c>
      <c r="BK75">
        <f t="shared" si="83"/>
        <v>-12.492706997814032</v>
      </c>
      <c r="BL75">
        <f t="shared" si="84"/>
        <v>0.46916286770827087</v>
      </c>
      <c r="BM75">
        <f t="shared" si="85"/>
        <v>-1.4218195734876347</v>
      </c>
      <c r="BN75">
        <f t="shared" si="86"/>
        <v>0.56682746939009288</v>
      </c>
      <c r="BO75">
        <f t="shared" si="87"/>
        <v>0.43317253060990712</v>
      </c>
      <c r="BP75">
        <v>6153</v>
      </c>
      <c r="BQ75">
        <v>290.00000000000011</v>
      </c>
      <c r="BR75">
        <v>1044.45</v>
      </c>
      <c r="BS75">
        <v>295</v>
      </c>
      <c r="BT75">
        <v>8043.3</v>
      </c>
      <c r="BU75">
        <v>1046.72</v>
      </c>
      <c r="BV75">
        <v>-2.27</v>
      </c>
      <c r="BW75">
        <v>300.00000000000011</v>
      </c>
      <c r="BX75">
        <v>19.399999999999999</v>
      </c>
      <c r="BY75">
        <v>1206.2978938544611</v>
      </c>
      <c r="BZ75">
        <v>4.1709633382411306</v>
      </c>
      <c r="CA75">
        <v>-128.35500839364181</v>
      </c>
      <c r="CB75">
        <v>3.0818540701401971</v>
      </c>
      <c r="CC75">
        <v>0.98411445409605081</v>
      </c>
      <c r="CD75">
        <v>-4.1517982202447182E-3</v>
      </c>
      <c r="CE75">
        <v>289.99999999999989</v>
      </c>
      <c r="CF75">
        <v>1041.24</v>
      </c>
      <c r="CG75">
        <v>655</v>
      </c>
      <c r="CH75">
        <v>8033.53</v>
      </c>
      <c r="CI75">
        <v>1046.52</v>
      </c>
      <c r="CJ75">
        <v>-5.28</v>
      </c>
      <c r="CX75">
        <f t="shared" si="88"/>
        <v>1800.05</v>
      </c>
      <c r="CY75">
        <f t="shared" si="89"/>
        <v>1513.2266996511812</v>
      </c>
      <c r="CZ75">
        <f t="shared" si="90"/>
        <v>0.84065814819098428</v>
      </c>
      <c r="DA75">
        <f t="shared" si="91"/>
        <v>0.16087022600859988</v>
      </c>
      <c r="DB75">
        <v>6</v>
      </c>
      <c r="DC75">
        <v>0.5</v>
      </c>
      <c r="DD75" t="s">
        <v>422</v>
      </c>
      <c r="DE75">
        <v>2</v>
      </c>
      <c r="DF75">
        <v>1689010175.5</v>
      </c>
      <c r="DG75">
        <v>1132.81</v>
      </c>
      <c r="DH75">
        <v>1200.1099999999999</v>
      </c>
      <c r="DI75">
        <v>28.123899999999999</v>
      </c>
      <c r="DJ75">
        <v>22.57</v>
      </c>
      <c r="DK75">
        <v>1133.28</v>
      </c>
      <c r="DL75">
        <v>28.075299999999999</v>
      </c>
      <c r="DM75">
        <v>500.096</v>
      </c>
      <c r="DN75">
        <v>99.052300000000002</v>
      </c>
      <c r="DO75">
        <v>0.10011</v>
      </c>
      <c r="DP75">
        <v>30.030899999999999</v>
      </c>
      <c r="DQ75">
        <v>29.998200000000001</v>
      </c>
      <c r="DR75">
        <v>999.9</v>
      </c>
      <c r="DS75">
        <v>0</v>
      </c>
      <c r="DT75">
        <v>0</v>
      </c>
      <c r="DU75">
        <v>9993.75</v>
      </c>
      <c r="DV75">
        <v>0</v>
      </c>
      <c r="DW75">
        <v>1867.59</v>
      </c>
      <c r="DX75">
        <v>-67.308300000000003</v>
      </c>
      <c r="DY75">
        <v>1165.5899999999999</v>
      </c>
      <c r="DZ75">
        <v>1227.83</v>
      </c>
      <c r="EA75">
        <v>5.5538999999999996</v>
      </c>
      <c r="EB75">
        <v>1200.1099999999999</v>
      </c>
      <c r="EC75">
        <v>22.57</v>
      </c>
      <c r="ED75">
        <v>2.7857400000000001</v>
      </c>
      <c r="EE75">
        <v>2.2356099999999999</v>
      </c>
      <c r="EF75">
        <v>22.799800000000001</v>
      </c>
      <c r="EG75">
        <v>19.219799999999999</v>
      </c>
      <c r="EH75">
        <v>1800.05</v>
      </c>
      <c r="EI75">
        <v>0.97800100000000001</v>
      </c>
      <c r="EJ75">
        <v>2.19992E-2</v>
      </c>
      <c r="EK75">
        <v>0</v>
      </c>
      <c r="EL75">
        <v>723.83299999999997</v>
      </c>
      <c r="EM75">
        <v>5.0005300000000004</v>
      </c>
      <c r="EN75">
        <v>15907.4</v>
      </c>
      <c r="EO75">
        <v>16035.7</v>
      </c>
      <c r="EP75">
        <v>49.875</v>
      </c>
      <c r="EQ75">
        <v>51</v>
      </c>
      <c r="ER75">
        <v>50.436999999999998</v>
      </c>
      <c r="ES75">
        <v>50.561999999999998</v>
      </c>
      <c r="ET75">
        <v>51</v>
      </c>
      <c r="EU75">
        <v>1755.56</v>
      </c>
      <c r="EV75">
        <v>39.49</v>
      </c>
      <c r="EW75">
        <v>0</v>
      </c>
      <c r="EX75">
        <v>106.7999999523163</v>
      </c>
      <c r="EY75">
        <v>0</v>
      </c>
      <c r="EZ75">
        <v>724.30043999999998</v>
      </c>
      <c r="FA75">
        <v>-2.7988461541239711</v>
      </c>
      <c r="FB75">
        <v>8.3846153937966381</v>
      </c>
      <c r="FC75">
        <v>15906.804</v>
      </c>
      <c r="FD75">
        <v>15</v>
      </c>
      <c r="FE75">
        <v>1689010144.5</v>
      </c>
      <c r="FF75" t="s">
        <v>723</v>
      </c>
      <c r="FG75">
        <v>1689010135</v>
      </c>
      <c r="FH75">
        <v>1689010144.5</v>
      </c>
      <c r="FI75">
        <v>64</v>
      </c>
      <c r="FJ75">
        <v>2.4E-2</v>
      </c>
      <c r="FK75">
        <v>2E-3</v>
      </c>
      <c r="FL75">
        <v>-0.47299999999999998</v>
      </c>
      <c r="FM75">
        <v>0.04</v>
      </c>
      <c r="FN75">
        <v>1201</v>
      </c>
      <c r="FO75">
        <v>22</v>
      </c>
      <c r="FP75">
        <v>0.05</v>
      </c>
      <c r="FQ75">
        <v>0.02</v>
      </c>
      <c r="FR75">
        <v>50.829983905147976</v>
      </c>
      <c r="FS75">
        <v>-0.69192964122569278</v>
      </c>
      <c r="FT75">
        <v>6.8618883786930179E-2</v>
      </c>
      <c r="FU75">
        <v>1</v>
      </c>
      <c r="FV75">
        <v>0.32598589508443432</v>
      </c>
      <c r="FW75">
        <v>4.5900985893480913E-2</v>
      </c>
      <c r="FX75">
        <v>3.579279572478953E-3</v>
      </c>
      <c r="FY75">
        <v>1</v>
      </c>
      <c r="FZ75">
        <v>2</v>
      </c>
      <c r="GA75">
        <v>2</v>
      </c>
      <c r="GB75" t="s">
        <v>424</v>
      </c>
      <c r="GC75">
        <v>3.11992</v>
      </c>
      <c r="GD75">
        <v>2.76736</v>
      </c>
      <c r="GE75">
        <v>0.18207300000000001</v>
      </c>
      <c r="GF75">
        <v>0.188468</v>
      </c>
      <c r="GG75">
        <v>0.119613</v>
      </c>
      <c r="GH75">
        <v>0.102815</v>
      </c>
      <c r="GI75">
        <v>19560</v>
      </c>
      <c r="GJ75">
        <v>20110.7</v>
      </c>
      <c r="GK75">
        <v>23776.1</v>
      </c>
      <c r="GL75">
        <v>25094</v>
      </c>
      <c r="GM75">
        <v>30163.200000000001</v>
      </c>
      <c r="GN75">
        <v>31575.200000000001</v>
      </c>
      <c r="GO75">
        <v>37893.4</v>
      </c>
      <c r="GP75">
        <v>39038.300000000003</v>
      </c>
      <c r="GQ75">
        <v>2.1516700000000002</v>
      </c>
      <c r="GR75">
        <v>1.7286999999999999</v>
      </c>
      <c r="GS75">
        <v>1.97664E-2</v>
      </c>
      <c r="GT75">
        <v>0</v>
      </c>
      <c r="GU75">
        <v>29.676500000000001</v>
      </c>
      <c r="GV75">
        <v>999.9</v>
      </c>
      <c r="GW75">
        <v>30.8</v>
      </c>
      <c r="GX75">
        <v>45</v>
      </c>
      <c r="GY75">
        <v>29.971599999999999</v>
      </c>
      <c r="GZ75">
        <v>60.948099999999997</v>
      </c>
      <c r="HA75">
        <v>28.0168</v>
      </c>
      <c r="HB75">
        <v>1</v>
      </c>
      <c r="HC75">
        <v>0.55679900000000004</v>
      </c>
      <c r="HD75">
        <v>2.8107700000000002</v>
      </c>
      <c r="HE75">
        <v>20.348099999999999</v>
      </c>
      <c r="HF75">
        <v>5.2521800000000001</v>
      </c>
      <c r="HG75">
        <v>12.0099</v>
      </c>
      <c r="HH75">
        <v>4.9793000000000003</v>
      </c>
      <c r="HI75">
        <v>3.2930000000000001</v>
      </c>
      <c r="HJ75">
        <v>9999</v>
      </c>
      <c r="HK75">
        <v>9999</v>
      </c>
      <c r="HL75">
        <v>9999</v>
      </c>
      <c r="HM75">
        <v>234.3</v>
      </c>
      <c r="HN75">
        <v>1.87561</v>
      </c>
      <c r="HO75">
        <v>1.8766700000000001</v>
      </c>
      <c r="HP75">
        <v>1.88266</v>
      </c>
      <c r="HQ75">
        <v>1.8858900000000001</v>
      </c>
      <c r="HR75">
        <v>1.87669</v>
      </c>
      <c r="HS75">
        <v>1.8830899999999999</v>
      </c>
      <c r="HT75">
        <v>1.88208</v>
      </c>
      <c r="HU75">
        <v>1.88554</v>
      </c>
      <c r="HV75">
        <v>0</v>
      </c>
      <c r="HW75">
        <v>0</v>
      </c>
      <c r="HX75">
        <v>0</v>
      </c>
      <c r="HY75">
        <v>0</v>
      </c>
      <c r="HZ75" t="s">
        <v>425</v>
      </c>
      <c r="IA75" t="s">
        <v>426</v>
      </c>
      <c r="IB75" t="s">
        <v>427</v>
      </c>
      <c r="IC75" t="s">
        <v>427</v>
      </c>
      <c r="ID75" t="s">
        <v>427</v>
      </c>
      <c r="IE75" t="s">
        <v>427</v>
      </c>
      <c r="IF75">
        <v>0</v>
      </c>
      <c r="IG75">
        <v>100</v>
      </c>
      <c r="IH75">
        <v>100</v>
      </c>
      <c r="II75">
        <v>-0.47</v>
      </c>
      <c r="IJ75">
        <v>4.8599999999999997E-2</v>
      </c>
      <c r="IK75">
        <v>-0.42327638437327791</v>
      </c>
      <c r="IL75">
        <v>-4.2852564239613137E-4</v>
      </c>
      <c r="IM75">
        <v>6.4980710991155998E-7</v>
      </c>
      <c r="IN75">
        <v>-2.7237938963984961E-10</v>
      </c>
      <c r="IO75">
        <v>-9.4761731370360588E-3</v>
      </c>
      <c r="IP75">
        <v>6.6907473102813496E-3</v>
      </c>
      <c r="IQ75">
        <v>-3.3673306238274028E-4</v>
      </c>
      <c r="IR75">
        <v>6.1311374003140313E-6</v>
      </c>
      <c r="IS75">
        <v>3</v>
      </c>
      <c r="IT75">
        <v>2101</v>
      </c>
      <c r="IU75">
        <v>1</v>
      </c>
      <c r="IV75">
        <v>32</v>
      </c>
      <c r="IW75">
        <v>0.7</v>
      </c>
      <c r="IX75">
        <v>0.5</v>
      </c>
      <c r="IY75">
        <v>2.4853499999999999</v>
      </c>
      <c r="IZ75">
        <v>2.7087400000000001</v>
      </c>
      <c r="JA75">
        <v>1.6015600000000001</v>
      </c>
      <c r="JB75">
        <v>2.32544</v>
      </c>
      <c r="JC75">
        <v>1.5502899999999999</v>
      </c>
      <c r="JD75">
        <v>2.3584000000000001</v>
      </c>
      <c r="JE75">
        <v>47.212299999999999</v>
      </c>
      <c r="JF75">
        <v>15.970800000000001</v>
      </c>
      <c r="JG75">
        <v>18</v>
      </c>
      <c r="JH75">
        <v>598.10400000000004</v>
      </c>
      <c r="JI75">
        <v>379.02300000000002</v>
      </c>
      <c r="JJ75">
        <v>26.565100000000001</v>
      </c>
      <c r="JK75">
        <v>33.757100000000001</v>
      </c>
      <c r="JL75">
        <v>30.000499999999999</v>
      </c>
      <c r="JM75">
        <v>33.8309</v>
      </c>
      <c r="JN75">
        <v>33.8215</v>
      </c>
      <c r="JO75">
        <v>49.749400000000001</v>
      </c>
      <c r="JP75">
        <v>28.978100000000001</v>
      </c>
      <c r="JQ75">
        <v>0</v>
      </c>
      <c r="JR75">
        <v>26.563400000000001</v>
      </c>
      <c r="JS75">
        <v>1200</v>
      </c>
      <c r="JT75">
        <v>22.5627</v>
      </c>
      <c r="JU75">
        <v>98.842299999999994</v>
      </c>
      <c r="JV75">
        <v>98.807000000000002</v>
      </c>
    </row>
    <row r="76" spans="1:282" x14ac:dyDescent="0.25">
      <c r="A76">
        <v>60</v>
      </c>
      <c r="B76">
        <v>1689010306.0999999</v>
      </c>
      <c r="C76">
        <v>10483.5</v>
      </c>
      <c r="D76" t="s">
        <v>724</v>
      </c>
      <c r="E76" t="s">
        <v>725</v>
      </c>
      <c r="F76" t="s">
        <v>414</v>
      </c>
      <c r="G76" t="s">
        <v>415</v>
      </c>
      <c r="H76" t="s">
        <v>654</v>
      </c>
      <c r="I76" t="s">
        <v>655</v>
      </c>
      <c r="J76" t="s">
        <v>416</v>
      </c>
      <c r="K76">
        <v>1689010306.0999999</v>
      </c>
      <c r="L76">
        <f t="shared" si="46"/>
        <v>4.3939526598029827E-3</v>
      </c>
      <c r="M76">
        <f t="shared" si="47"/>
        <v>4.3939526598029826</v>
      </c>
      <c r="N76">
        <f t="shared" si="48"/>
        <v>49.88758511619411</v>
      </c>
      <c r="O76">
        <f t="shared" si="49"/>
        <v>1432.74</v>
      </c>
      <c r="P76">
        <f t="shared" si="50"/>
        <v>1123.1306547148426</v>
      </c>
      <c r="Q76">
        <f t="shared" si="51"/>
        <v>111.36081689962298</v>
      </c>
      <c r="R76">
        <f t="shared" si="52"/>
        <v>142.05924852551999</v>
      </c>
      <c r="S76">
        <f t="shared" si="53"/>
        <v>0.3008791722738991</v>
      </c>
      <c r="T76">
        <f t="shared" si="54"/>
        <v>2.9104619519947783</v>
      </c>
      <c r="U76">
        <f t="shared" si="55"/>
        <v>0.2846053773910277</v>
      </c>
      <c r="V76">
        <f t="shared" si="56"/>
        <v>0.17926710964028914</v>
      </c>
      <c r="W76">
        <f t="shared" si="57"/>
        <v>289.5419513268759</v>
      </c>
      <c r="X76">
        <f t="shared" si="58"/>
        <v>30.500553058565185</v>
      </c>
      <c r="Y76">
        <f t="shared" si="59"/>
        <v>29.982199999999999</v>
      </c>
      <c r="Z76">
        <f t="shared" si="60"/>
        <v>4.2560957545697571</v>
      </c>
      <c r="AA76">
        <f t="shared" si="61"/>
        <v>65.492185230856578</v>
      </c>
      <c r="AB76">
        <f t="shared" si="62"/>
        <v>2.7796214018172001</v>
      </c>
      <c r="AC76">
        <f t="shared" si="63"/>
        <v>4.2442031702243215</v>
      </c>
      <c r="AD76">
        <f t="shared" si="64"/>
        <v>1.476474352752557</v>
      </c>
      <c r="AE76">
        <f t="shared" si="65"/>
        <v>-193.77331229731155</v>
      </c>
      <c r="AF76">
        <f t="shared" si="66"/>
        <v>-7.641459765614429</v>
      </c>
      <c r="AG76">
        <f t="shared" si="67"/>
        <v>-0.58354216912396939</v>
      </c>
      <c r="AH76">
        <f t="shared" si="68"/>
        <v>87.543637094825954</v>
      </c>
      <c r="AI76">
        <v>0</v>
      </c>
      <c r="AJ76">
        <v>0</v>
      </c>
      <c r="AK76">
        <f t="shared" si="69"/>
        <v>1</v>
      </c>
      <c r="AL76">
        <f t="shared" si="70"/>
        <v>0</v>
      </c>
      <c r="AM76">
        <f t="shared" si="71"/>
        <v>51800.340436410806</v>
      </c>
      <c r="AN76" t="s">
        <v>419</v>
      </c>
      <c r="AO76">
        <v>9967.0300000000007</v>
      </c>
      <c r="AP76">
        <v>178.94153846153841</v>
      </c>
      <c r="AQ76">
        <v>603.15</v>
      </c>
      <c r="AR76">
        <f t="shared" si="72"/>
        <v>0.7033216638290003</v>
      </c>
      <c r="AS76">
        <v>-3.2649104154664181</v>
      </c>
      <c r="AT76" t="s">
        <v>726</v>
      </c>
      <c r="AU76">
        <v>8040.59</v>
      </c>
      <c r="AV76">
        <v>719.45080769230765</v>
      </c>
      <c r="AW76">
        <v>1202.6651049580901</v>
      </c>
      <c r="AX76">
        <f t="shared" si="73"/>
        <v>0.40178624562539478</v>
      </c>
      <c r="AY76">
        <v>0.5</v>
      </c>
      <c r="AZ76">
        <f t="shared" si="74"/>
        <v>1513.058399651231</v>
      </c>
      <c r="BA76">
        <f t="shared" si="75"/>
        <v>49.88758511619411</v>
      </c>
      <c r="BB76">
        <f t="shared" si="76"/>
        <v>303.96302690391809</v>
      </c>
      <c r="BC76">
        <f t="shared" si="77"/>
        <v>3.5129176470592605E-2</v>
      </c>
      <c r="BD76">
        <f t="shared" si="78"/>
        <v>-0.49848881661780792</v>
      </c>
      <c r="BE76">
        <f t="shared" si="79"/>
        <v>209.99837266330394</v>
      </c>
      <c r="BF76" t="s">
        <v>727</v>
      </c>
      <c r="BG76">
        <v>549.87</v>
      </c>
      <c r="BH76">
        <f t="shared" si="80"/>
        <v>549.87</v>
      </c>
      <c r="BI76">
        <f t="shared" si="81"/>
        <v>0.54279042625156926</v>
      </c>
      <c r="BJ76">
        <f t="shared" si="82"/>
        <v>0.74022353047026168</v>
      </c>
      <c r="BK76">
        <f t="shared" si="83"/>
        <v>-11.252160378342538</v>
      </c>
      <c r="BL76">
        <f t="shared" si="84"/>
        <v>0.47201638516486183</v>
      </c>
      <c r="BM76">
        <f t="shared" si="85"/>
        <v>-1.4132558855234765</v>
      </c>
      <c r="BN76">
        <f t="shared" si="86"/>
        <v>0.56574641149580673</v>
      </c>
      <c r="BO76">
        <f t="shared" si="87"/>
        <v>0.43425358850419327</v>
      </c>
      <c r="BP76">
        <v>6155</v>
      </c>
      <c r="BQ76">
        <v>290.00000000000011</v>
      </c>
      <c r="BR76">
        <v>1038.17</v>
      </c>
      <c r="BS76">
        <v>285</v>
      </c>
      <c r="BT76">
        <v>8040.59</v>
      </c>
      <c r="BU76">
        <v>1040.26</v>
      </c>
      <c r="BV76">
        <v>-2.09</v>
      </c>
      <c r="BW76">
        <v>300.00000000000011</v>
      </c>
      <c r="BX76">
        <v>19.399999999999999</v>
      </c>
      <c r="BY76">
        <v>1202.6651049580901</v>
      </c>
      <c r="BZ76">
        <v>4.5163644547226633</v>
      </c>
      <c r="CA76">
        <v>-130.58144070717319</v>
      </c>
      <c r="CB76">
        <v>3.335902175228926</v>
      </c>
      <c r="CC76">
        <v>0.98205442860081726</v>
      </c>
      <c r="CD76">
        <v>-4.1505719688542846E-3</v>
      </c>
      <c r="CE76">
        <v>289.99999999999989</v>
      </c>
      <c r="CF76">
        <v>1034.27</v>
      </c>
      <c r="CG76">
        <v>635</v>
      </c>
      <c r="CH76">
        <v>8031.35</v>
      </c>
      <c r="CI76">
        <v>1040.08</v>
      </c>
      <c r="CJ76">
        <v>-5.81</v>
      </c>
      <c r="CX76">
        <f t="shared" si="88"/>
        <v>1799.85</v>
      </c>
      <c r="CY76">
        <f t="shared" si="89"/>
        <v>1513.058399651231</v>
      </c>
      <c r="CZ76">
        <f t="shared" si="90"/>
        <v>0.84065805464412646</v>
      </c>
      <c r="DA76">
        <f t="shared" si="91"/>
        <v>0.16087004546316411</v>
      </c>
      <c r="DB76">
        <v>6</v>
      </c>
      <c r="DC76">
        <v>0.5</v>
      </c>
      <c r="DD76" t="s">
        <v>422</v>
      </c>
      <c r="DE76">
        <v>2</v>
      </c>
      <c r="DF76">
        <v>1689010306.0999999</v>
      </c>
      <c r="DG76">
        <v>1432.74</v>
      </c>
      <c r="DH76">
        <v>1500.15</v>
      </c>
      <c r="DI76">
        <v>28.033899999999999</v>
      </c>
      <c r="DJ76">
        <v>22.909700000000001</v>
      </c>
      <c r="DK76">
        <v>1433.25</v>
      </c>
      <c r="DL76">
        <v>27.986999999999998</v>
      </c>
      <c r="DM76">
        <v>500.07100000000003</v>
      </c>
      <c r="DN76">
        <v>99.052099999999996</v>
      </c>
      <c r="DO76">
        <v>0.100048</v>
      </c>
      <c r="DP76">
        <v>29.933499999999999</v>
      </c>
      <c r="DQ76">
        <v>29.982199999999999</v>
      </c>
      <c r="DR76">
        <v>999.9</v>
      </c>
      <c r="DS76">
        <v>0</v>
      </c>
      <c r="DT76">
        <v>0</v>
      </c>
      <c r="DU76">
        <v>9986.25</v>
      </c>
      <c r="DV76">
        <v>0</v>
      </c>
      <c r="DW76">
        <v>1952.39</v>
      </c>
      <c r="DX76">
        <v>-67.401899999999998</v>
      </c>
      <c r="DY76">
        <v>1474.07</v>
      </c>
      <c r="DZ76">
        <v>1535.32</v>
      </c>
      <c r="EA76">
        <v>5.1242099999999997</v>
      </c>
      <c r="EB76">
        <v>1500.15</v>
      </c>
      <c r="EC76">
        <v>22.909700000000001</v>
      </c>
      <c r="ED76">
        <v>2.7768199999999998</v>
      </c>
      <c r="EE76">
        <v>2.26925</v>
      </c>
      <c r="EF76">
        <v>22.7469</v>
      </c>
      <c r="EG76">
        <v>19.459800000000001</v>
      </c>
      <c r="EH76">
        <v>1799.85</v>
      </c>
      <c r="EI76">
        <v>0.97800399999999998</v>
      </c>
      <c r="EJ76">
        <v>2.19957E-2</v>
      </c>
      <c r="EK76">
        <v>0</v>
      </c>
      <c r="EL76">
        <v>719.09799999999996</v>
      </c>
      <c r="EM76">
        <v>5.0005300000000004</v>
      </c>
      <c r="EN76">
        <v>15921.8</v>
      </c>
      <c r="EO76">
        <v>16034</v>
      </c>
      <c r="EP76">
        <v>50.375</v>
      </c>
      <c r="EQ76">
        <v>51.625</v>
      </c>
      <c r="ER76">
        <v>50.936999999999998</v>
      </c>
      <c r="ES76">
        <v>51.186999999999998</v>
      </c>
      <c r="ET76">
        <v>51.5</v>
      </c>
      <c r="EU76">
        <v>1755.37</v>
      </c>
      <c r="EV76">
        <v>39.479999999999997</v>
      </c>
      <c r="EW76">
        <v>0</v>
      </c>
      <c r="EX76">
        <v>128.39999985694891</v>
      </c>
      <c r="EY76">
        <v>0</v>
      </c>
      <c r="EZ76">
        <v>719.45080769230765</v>
      </c>
      <c r="FA76">
        <v>-3.2432478637446871</v>
      </c>
      <c r="FB76">
        <v>-16.731624400991969</v>
      </c>
      <c r="FC76">
        <v>15923.923076923071</v>
      </c>
      <c r="FD76">
        <v>15</v>
      </c>
      <c r="FE76">
        <v>1689010273.0999999</v>
      </c>
      <c r="FF76" t="s">
        <v>728</v>
      </c>
      <c r="FG76">
        <v>1689010269.5999999</v>
      </c>
      <c r="FH76">
        <v>1689010273.0999999</v>
      </c>
      <c r="FI76">
        <v>65</v>
      </c>
      <c r="FJ76">
        <v>2E-3</v>
      </c>
      <c r="FK76">
        <v>-2E-3</v>
      </c>
      <c r="FL76">
        <v>-0.52300000000000002</v>
      </c>
      <c r="FM76">
        <v>3.9E-2</v>
      </c>
      <c r="FN76">
        <v>1500</v>
      </c>
      <c r="FO76">
        <v>22</v>
      </c>
      <c r="FP76">
        <v>7.0000000000000007E-2</v>
      </c>
      <c r="FQ76">
        <v>0.01</v>
      </c>
      <c r="FR76">
        <v>49.962443139106483</v>
      </c>
      <c r="FS76">
        <v>-0.53736750960695645</v>
      </c>
      <c r="FT76">
        <v>7.1489388556318603E-2</v>
      </c>
      <c r="FU76">
        <v>1</v>
      </c>
      <c r="FV76">
        <v>0.30065320137144641</v>
      </c>
      <c r="FW76">
        <v>1.5887988995448309E-2</v>
      </c>
      <c r="FX76">
        <v>1.3607168628031541E-3</v>
      </c>
      <c r="FY76">
        <v>1</v>
      </c>
      <c r="FZ76">
        <v>2</v>
      </c>
      <c r="GA76">
        <v>2</v>
      </c>
      <c r="GB76" t="s">
        <v>424</v>
      </c>
      <c r="GC76">
        <v>3.1204700000000001</v>
      </c>
      <c r="GD76">
        <v>2.7672300000000001</v>
      </c>
      <c r="GE76">
        <v>0.21013799999999999</v>
      </c>
      <c r="GF76">
        <v>0.215693</v>
      </c>
      <c r="GG76">
        <v>0.119296</v>
      </c>
      <c r="GH76">
        <v>0.10385999999999999</v>
      </c>
      <c r="GI76">
        <v>18877</v>
      </c>
      <c r="GJ76">
        <v>19422.5</v>
      </c>
      <c r="GK76">
        <v>23764.6</v>
      </c>
      <c r="GL76">
        <v>25080.400000000001</v>
      </c>
      <c r="GM76">
        <v>30160.3</v>
      </c>
      <c r="GN76">
        <v>31521.8</v>
      </c>
      <c r="GO76">
        <v>37876.5</v>
      </c>
      <c r="GP76">
        <v>39017.9</v>
      </c>
      <c r="GQ76">
        <v>2.1492800000000001</v>
      </c>
      <c r="GR76">
        <v>1.7261</v>
      </c>
      <c r="GS76">
        <v>4.0903700000000003E-3</v>
      </c>
      <c r="GT76">
        <v>0</v>
      </c>
      <c r="GU76">
        <v>29.915600000000001</v>
      </c>
      <c r="GV76">
        <v>999.9</v>
      </c>
      <c r="GW76">
        <v>30.8</v>
      </c>
      <c r="GX76">
        <v>45.1</v>
      </c>
      <c r="GY76">
        <v>30.127300000000002</v>
      </c>
      <c r="GZ76">
        <v>61.209000000000003</v>
      </c>
      <c r="HA76">
        <v>27.5</v>
      </c>
      <c r="HB76">
        <v>1</v>
      </c>
      <c r="HC76">
        <v>0.57557199999999997</v>
      </c>
      <c r="HD76">
        <v>2.3115299999999999</v>
      </c>
      <c r="HE76">
        <v>20.355</v>
      </c>
      <c r="HF76">
        <v>5.2449899999999996</v>
      </c>
      <c r="HG76">
        <v>12.0099</v>
      </c>
      <c r="HH76">
        <v>4.9781500000000003</v>
      </c>
      <c r="HI76">
        <v>3.2922500000000001</v>
      </c>
      <c r="HJ76">
        <v>9999</v>
      </c>
      <c r="HK76">
        <v>9999</v>
      </c>
      <c r="HL76">
        <v>9999</v>
      </c>
      <c r="HM76">
        <v>234.3</v>
      </c>
      <c r="HN76">
        <v>1.8755900000000001</v>
      </c>
      <c r="HO76">
        <v>1.8766799999999999</v>
      </c>
      <c r="HP76">
        <v>1.88266</v>
      </c>
      <c r="HQ76">
        <v>1.88585</v>
      </c>
      <c r="HR76">
        <v>1.8766799999999999</v>
      </c>
      <c r="HS76">
        <v>1.8830899999999999</v>
      </c>
      <c r="HT76">
        <v>1.8820399999999999</v>
      </c>
      <c r="HU76">
        <v>1.8855299999999999</v>
      </c>
      <c r="HV76">
        <v>0</v>
      </c>
      <c r="HW76">
        <v>0</v>
      </c>
      <c r="HX76">
        <v>0</v>
      </c>
      <c r="HY76">
        <v>0</v>
      </c>
      <c r="HZ76" t="s">
        <v>425</v>
      </c>
      <c r="IA76" t="s">
        <v>426</v>
      </c>
      <c r="IB76" t="s">
        <v>427</v>
      </c>
      <c r="IC76" t="s">
        <v>427</v>
      </c>
      <c r="ID76" t="s">
        <v>427</v>
      </c>
      <c r="IE76" t="s">
        <v>427</v>
      </c>
      <c r="IF76">
        <v>0</v>
      </c>
      <c r="IG76">
        <v>100</v>
      </c>
      <c r="IH76">
        <v>100</v>
      </c>
      <c r="II76">
        <v>-0.51</v>
      </c>
      <c r="IJ76">
        <v>4.6899999999999997E-2</v>
      </c>
      <c r="IK76">
        <v>-0.42266343003056162</v>
      </c>
      <c r="IL76">
        <v>-4.2852564239613137E-4</v>
      </c>
      <c r="IM76">
        <v>6.4980710991155998E-7</v>
      </c>
      <c r="IN76">
        <v>-2.7237938963984961E-10</v>
      </c>
      <c r="IO76">
        <v>-1.097052934853048E-2</v>
      </c>
      <c r="IP76">
        <v>6.6907473102813496E-3</v>
      </c>
      <c r="IQ76">
        <v>-3.3673306238274028E-4</v>
      </c>
      <c r="IR76">
        <v>6.1311374003140313E-6</v>
      </c>
      <c r="IS76">
        <v>3</v>
      </c>
      <c r="IT76">
        <v>2101</v>
      </c>
      <c r="IU76">
        <v>1</v>
      </c>
      <c r="IV76">
        <v>32</v>
      </c>
      <c r="IW76">
        <v>0.6</v>
      </c>
      <c r="IX76">
        <v>0.6</v>
      </c>
      <c r="IY76">
        <v>2.9809600000000001</v>
      </c>
      <c r="IZ76">
        <v>2.7050800000000002</v>
      </c>
      <c r="JA76">
        <v>1.6015600000000001</v>
      </c>
      <c r="JB76">
        <v>2.3278799999999999</v>
      </c>
      <c r="JC76">
        <v>1.5502899999999999</v>
      </c>
      <c r="JD76">
        <v>2.3986800000000001</v>
      </c>
      <c r="JE76">
        <v>47.421599999999998</v>
      </c>
      <c r="JF76">
        <v>15.962</v>
      </c>
      <c r="JG76">
        <v>18</v>
      </c>
      <c r="JH76">
        <v>598.24400000000003</v>
      </c>
      <c r="JI76">
        <v>378.714</v>
      </c>
      <c r="JJ76">
        <v>26.492100000000001</v>
      </c>
      <c r="JK76">
        <v>33.978999999999999</v>
      </c>
      <c r="JL76">
        <v>29.999199999999998</v>
      </c>
      <c r="JM76">
        <v>34.034500000000001</v>
      </c>
      <c r="JN76">
        <v>34.026699999999998</v>
      </c>
      <c r="JO76">
        <v>59.653799999999997</v>
      </c>
      <c r="JP76">
        <v>28.817399999999999</v>
      </c>
      <c r="JQ76">
        <v>0</v>
      </c>
      <c r="JR76">
        <v>26.519600000000001</v>
      </c>
      <c r="JS76">
        <v>1500</v>
      </c>
      <c r="JT76">
        <v>22.811399999999999</v>
      </c>
      <c r="JU76">
        <v>98.796800000000005</v>
      </c>
      <c r="JV76">
        <v>98.754800000000003</v>
      </c>
    </row>
    <row r="77" spans="1:282" x14ac:dyDescent="0.25">
      <c r="A77">
        <v>61</v>
      </c>
      <c r="B77">
        <v>1689011900.5999999</v>
      </c>
      <c r="C77">
        <v>12078</v>
      </c>
      <c r="D77" t="s">
        <v>729</v>
      </c>
      <c r="E77" t="s">
        <v>730</v>
      </c>
      <c r="F77" t="s">
        <v>414</v>
      </c>
      <c r="G77" t="s">
        <v>415</v>
      </c>
      <c r="H77" t="s">
        <v>731</v>
      </c>
      <c r="I77" t="s">
        <v>578</v>
      </c>
      <c r="J77" t="s">
        <v>416</v>
      </c>
      <c r="K77">
        <v>1689011900.5999999</v>
      </c>
      <c r="L77">
        <f t="shared" si="46"/>
        <v>4.6777067962862932E-3</v>
      </c>
      <c r="M77">
        <f t="shared" si="47"/>
        <v>4.6777067962862935</v>
      </c>
      <c r="N77">
        <f t="shared" si="48"/>
        <v>46.134821404794884</v>
      </c>
      <c r="O77">
        <f t="shared" si="49"/>
        <v>342.786</v>
      </c>
      <c r="P77">
        <f t="shared" si="50"/>
        <v>95.580687319127776</v>
      </c>
      <c r="Q77">
        <f t="shared" si="51"/>
        <v>9.4767851949642203</v>
      </c>
      <c r="R77">
        <f t="shared" si="52"/>
        <v>33.987088615452002</v>
      </c>
      <c r="S77">
        <f t="shared" si="53"/>
        <v>0.32115889347519366</v>
      </c>
      <c r="T77">
        <f t="shared" si="54"/>
        <v>2.9169859184156062</v>
      </c>
      <c r="U77">
        <f t="shared" si="55"/>
        <v>0.30272845696419259</v>
      </c>
      <c r="V77">
        <f t="shared" si="56"/>
        <v>0.19077299071620257</v>
      </c>
      <c r="W77">
        <f t="shared" si="57"/>
        <v>289.54833532689082</v>
      </c>
      <c r="X77">
        <f t="shared" si="58"/>
        <v>30.492149608422935</v>
      </c>
      <c r="Y77">
        <f t="shared" si="59"/>
        <v>29.943300000000001</v>
      </c>
      <c r="Z77">
        <f t="shared" si="60"/>
        <v>4.2465940087762766</v>
      </c>
      <c r="AA77">
        <f t="shared" si="61"/>
        <v>64.986572274790902</v>
      </c>
      <c r="AB77">
        <f t="shared" si="62"/>
        <v>2.7687520773500003</v>
      </c>
      <c r="AC77">
        <f t="shared" si="63"/>
        <v>4.2604987160155758</v>
      </c>
      <c r="AD77">
        <f t="shared" si="64"/>
        <v>1.4778419314262763</v>
      </c>
      <c r="AE77">
        <f t="shared" si="65"/>
        <v>-206.28686971622554</v>
      </c>
      <c r="AF77">
        <f t="shared" si="66"/>
        <v>8.9481250010329187</v>
      </c>
      <c r="AG77">
        <f t="shared" si="67"/>
        <v>0.681891579964926</v>
      </c>
      <c r="AH77">
        <f t="shared" si="68"/>
        <v>92.891482191663144</v>
      </c>
      <c r="AI77">
        <v>0</v>
      </c>
      <c r="AJ77">
        <v>0</v>
      </c>
      <c r="AK77">
        <f t="shared" si="69"/>
        <v>1</v>
      </c>
      <c r="AL77">
        <f t="shared" si="70"/>
        <v>0</v>
      </c>
      <c r="AM77">
        <f t="shared" si="71"/>
        <v>51974.468673641444</v>
      </c>
      <c r="AN77" t="s">
        <v>419</v>
      </c>
      <c r="AO77">
        <v>9967.0300000000007</v>
      </c>
      <c r="AP77">
        <v>178.94153846153841</v>
      </c>
      <c r="AQ77">
        <v>603.15</v>
      </c>
      <c r="AR77">
        <f t="shared" si="72"/>
        <v>0.7033216638290003</v>
      </c>
      <c r="AS77">
        <v>-3.2649104154664181</v>
      </c>
      <c r="AT77" t="s">
        <v>732</v>
      </c>
      <c r="AU77">
        <v>8056.7</v>
      </c>
      <c r="AV77">
        <v>718.28188461538457</v>
      </c>
      <c r="AW77">
        <v>1124.3413772818769</v>
      </c>
      <c r="AX77">
        <f t="shared" si="73"/>
        <v>0.36115320566441411</v>
      </c>
      <c r="AY77">
        <v>0.5</v>
      </c>
      <c r="AZ77">
        <f t="shared" si="74"/>
        <v>1513.0919996512389</v>
      </c>
      <c r="BA77">
        <f t="shared" si="75"/>
        <v>46.134821404794884</v>
      </c>
      <c r="BB77">
        <f t="shared" si="76"/>
        <v>273.22901306961177</v>
      </c>
      <c r="BC77">
        <f t="shared" si="77"/>
        <v>3.264820105561838E-2</v>
      </c>
      <c r="BD77">
        <f t="shared" si="78"/>
        <v>-0.46355260760914979</v>
      </c>
      <c r="BE77">
        <f t="shared" si="79"/>
        <v>207.47470863401804</v>
      </c>
      <c r="BF77" t="s">
        <v>733</v>
      </c>
      <c r="BG77">
        <v>560.09</v>
      </c>
      <c r="BH77">
        <f t="shared" si="80"/>
        <v>560.09</v>
      </c>
      <c r="BI77">
        <f t="shared" si="81"/>
        <v>0.50185058442478436</v>
      </c>
      <c r="BJ77">
        <f t="shared" si="82"/>
        <v>0.71964289147608351</v>
      </c>
      <c r="BK77">
        <f t="shared" si="83"/>
        <v>-12.103840624288845</v>
      </c>
      <c r="BL77">
        <f t="shared" si="84"/>
        <v>0.42951085455352916</v>
      </c>
      <c r="BM77">
        <f t="shared" si="85"/>
        <v>-1.2286208893422139</v>
      </c>
      <c r="BN77">
        <f t="shared" si="86"/>
        <v>0.56115126348016853</v>
      </c>
      <c r="BO77">
        <f t="shared" si="87"/>
        <v>0.43884873651983147</v>
      </c>
      <c r="BP77">
        <v>6157</v>
      </c>
      <c r="BQ77">
        <v>290.00000000000011</v>
      </c>
      <c r="BR77">
        <v>988.08</v>
      </c>
      <c r="BS77">
        <v>295</v>
      </c>
      <c r="BT77">
        <v>8056.7</v>
      </c>
      <c r="BU77">
        <v>990.97</v>
      </c>
      <c r="BV77">
        <v>-2.89</v>
      </c>
      <c r="BW77">
        <v>300.00000000000011</v>
      </c>
      <c r="BX77">
        <v>19.3</v>
      </c>
      <c r="BY77">
        <v>1124.3413772818769</v>
      </c>
      <c r="BZ77">
        <v>4.0265627267793498</v>
      </c>
      <c r="CA77">
        <v>-107.4533999461065</v>
      </c>
      <c r="CB77">
        <v>2.9802373169639158</v>
      </c>
      <c r="CC77">
        <v>0.97891543805017467</v>
      </c>
      <c r="CD77">
        <v>-4.1575434927697569E-3</v>
      </c>
      <c r="CE77">
        <v>289.99999999999989</v>
      </c>
      <c r="CF77">
        <v>984.92</v>
      </c>
      <c r="CG77">
        <v>635</v>
      </c>
      <c r="CH77">
        <v>8048.07</v>
      </c>
      <c r="CI77">
        <v>990.83</v>
      </c>
      <c r="CJ77">
        <v>-5.91</v>
      </c>
      <c r="CX77">
        <f t="shared" si="88"/>
        <v>1799.89</v>
      </c>
      <c r="CY77">
        <f t="shared" si="89"/>
        <v>1513.0919996512389</v>
      </c>
      <c r="CZ77">
        <f t="shared" si="90"/>
        <v>0.84065804001980049</v>
      </c>
      <c r="DA77">
        <f t="shared" si="91"/>
        <v>0.16087001723821501</v>
      </c>
      <c r="DB77">
        <v>6</v>
      </c>
      <c r="DC77">
        <v>0.5</v>
      </c>
      <c r="DD77" t="s">
        <v>422</v>
      </c>
      <c r="DE77">
        <v>2</v>
      </c>
      <c r="DF77">
        <v>1689011900.5999999</v>
      </c>
      <c r="DG77">
        <v>342.786</v>
      </c>
      <c r="DH77">
        <v>400.05200000000002</v>
      </c>
      <c r="DI77">
        <v>27.925000000000001</v>
      </c>
      <c r="DJ77">
        <v>22.470400000000001</v>
      </c>
      <c r="DK77">
        <v>343.209</v>
      </c>
      <c r="DL77">
        <v>27.876100000000001</v>
      </c>
      <c r="DM77">
        <v>500.17399999999998</v>
      </c>
      <c r="DN77">
        <v>99.049800000000005</v>
      </c>
      <c r="DO77">
        <v>9.9781999999999996E-2</v>
      </c>
      <c r="DP77">
        <v>30.0002</v>
      </c>
      <c r="DQ77">
        <v>29.943300000000001</v>
      </c>
      <c r="DR77">
        <v>999.9</v>
      </c>
      <c r="DS77">
        <v>0</v>
      </c>
      <c r="DT77">
        <v>0</v>
      </c>
      <c r="DU77">
        <v>10023.799999999999</v>
      </c>
      <c r="DV77">
        <v>0</v>
      </c>
      <c r="DW77">
        <v>1223.1099999999999</v>
      </c>
      <c r="DX77">
        <v>-57.265500000000003</v>
      </c>
      <c r="DY77">
        <v>352.63400000000001</v>
      </c>
      <c r="DZ77">
        <v>409.24799999999999</v>
      </c>
      <c r="EA77">
        <v>5.4546599999999996</v>
      </c>
      <c r="EB77">
        <v>400.05200000000002</v>
      </c>
      <c r="EC77">
        <v>22.470400000000001</v>
      </c>
      <c r="ED77">
        <v>2.7659699999999998</v>
      </c>
      <c r="EE77">
        <v>2.2256800000000001</v>
      </c>
      <c r="EF77">
        <v>22.682400000000001</v>
      </c>
      <c r="EG77">
        <v>19.148399999999999</v>
      </c>
      <c r="EH77">
        <v>1799.89</v>
      </c>
      <c r="EI77">
        <v>0.97800600000000004</v>
      </c>
      <c r="EJ77">
        <v>2.1994099999999999E-2</v>
      </c>
      <c r="EK77">
        <v>0</v>
      </c>
      <c r="EL77">
        <v>718.17399999999998</v>
      </c>
      <c r="EM77">
        <v>5.0005300000000004</v>
      </c>
      <c r="EN77">
        <v>15377.2</v>
      </c>
      <c r="EO77">
        <v>16034.3</v>
      </c>
      <c r="EP77">
        <v>47.875</v>
      </c>
      <c r="EQ77">
        <v>49.5</v>
      </c>
      <c r="ER77">
        <v>48.561999999999998</v>
      </c>
      <c r="ES77">
        <v>48.686999999999998</v>
      </c>
      <c r="ET77">
        <v>49.125</v>
      </c>
      <c r="EU77">
        <v>1755.41</v>
      </c>
      <c r="EV77">
        <v>39.479999999999997</v>
      </c>
      <c r="EW77">
        <v>0</v>
      </c>
      <c r="EX77">
        <v>1592.400000095367</v>
      </c>
      <c r="EY77">
        <v>0</v>
      </c>
      <c r="EZ77">
        <v>718.28188461538457</v>
      </c>
      <c r="FA77">
        <v>-2.2783247654288181</v>
      </c>
      <c r="FB77">
        <v>945.17607227386338</v>
      </c>
      <c r="FC77">
        <v>14963.053846153851</v>
      </c>
      <c r="FD77">
        <v>15</v>
      </c>
      <c r="FE77">
        <v>1689011863.5999999</v>
      </c>
      <c r="FF77" t="s">
        <v>734</v>
      </c>
      <c r="FG77">
        <v>1689011857.5999999</v>
      </c>
      <c r="FH77">
        <v>1689011863.5999999</v>
      </c>
      <c r="FI77">
        <v>67</v>
      </c>
      <c r="FJ77">
        <v>8.1000000000000003E-2</v>
      </c>
      <c r="FK77">
        <v>1E-3</v>
      </c>
      <c r="FL77">
        <v>-0.42599999999999999</v>
      </c>
      <c r="FM77">
        <v>4.1000000000000002E-2</v>
      </c>
      <c r="FN77">
        <v>400</v>
      </c>
      <c r="FO77">
        <v>22</v>
      </c>
      <c r="FP77">
        <v>0.05</v>
      </c>
      <c r="FQ77">
        <v>0.01</v>
      </c>
      <c r="FR77">
        <v>46.196809793590063</v>
      </c>
      <c r="FS77">
        <v>-0.3339245880719412</v>
      </c>
      <c r="FT77">
        <v>7.0286615060109844E-2</v>
      </c>
      <c r="FU77">
        <v>1</v>
      </c>
      <c r="FV77">
        <v>0.32606448110631642</v>
      </c>
      <c r="FW77">
        <v>-2.863596300534527E-2</v>
      </c>
      <c r="FX77">
        <v>2.403517254337809E-3</v>
      </c>
      <c r="FY77">
        <v>1</v>
      </c>
      <c r="FZ77">
        <v>2</v>
      </c>
      <c r="GA77">
        <v>2</v>
      </c>
      <c r="GB77" t="s">
        <v>424</v>
      </c>
      <c r="GC77">
        <v>3.12188</v>
      </c>
      <c r="GD77">
        <v>2.76729</v>
      </c>
      <c r="GE77">
        <v>7.8617099999999995E-2</v>
      </c>
      <c r="GF77">
        <v>8.8675599999999993E-2</v>
      </c>
      <c r="GG77">
        <v>0.118835</v>
      </c>
      <c r="GH77">
        <v>0.102324</v>
      </c>
      <c r="GI77">
        <v>22026.2</v>
      </c>
      <c r="GJ77">
        <v>22586.7</v>
      </c>
      <c r="GK77">
        <v>23767</v>
      </c>
      <c r="GL77">
        <v>25096.2</v>
      </c>
      <c r="GM77">
        <v>30178.9</v>
      </c>
      <c r="GN77">
        <v>31598.1</v>
      </c>
      <c r="GO77">
        <v>37880</v>
      </c>
      <c r="GP77">
        <v>39045.599999999999</v>
      </c>
      <c r="GQ77">
        <v>2.1377000000000002</v>
      </c>
      <c r="GR77">
        <v>1.7149000000000001</v>
      </c>
      <c r="GS77">
        <v>6.7427800000000003E-3</v>
      </c>
      <c r="GT77">
        <v>0</v>
      </c>
      <c r="GU77">
        <v>29.833500000000001</v>
      </c>
      <c r="GV77">
        <v>999.9</v>
      </c>
      <c r="GW77">
        <v>28.5</v>
      </c>
      <c r="GX77">
        <v>45.9</v>
      </c>
      <c r="GY77">
        <v>29.0471</v>
      </c>
      <c r="GZ77">
        <v>61.319099999999999</v>
      </c>
      <c r="HA77">
        <v>27.6282</v>
      </c>
      <c r="HB77">
        <v>1</v>
      </c>
      <c r="HC77">
        <v>0.57569099999999995</v>
      </c>
      <c r="HD77">
        <v>2.1092200000000001</v>
      </c>
      <c r="HE77">
        <v>20.305</v>
      </c>
      <c r="HF77">
        <v>5.2520300000000004</v>
      </c>
      <c r="HG77">
        <v>12.0099</v>
      </c>
      <c r="HH77">
        <v>4.9789500000000002</v>
      </c>
      <c r="HI77">
        <v>3.2930000000000001</v>
      </c>
      <c r="HJ77">
        <v>9999</v>
      </c>
      <c r="HK77">
        <v>9999</v>
      </c>
      <c r="HL77">
        <v>9999</v>
      </c>
      <c r="HM77">
        <v>234.8</v>
      </c>
      <c r="HN77">
        <v>1.87571</v>
      </c>
      <c r="HO77">
        <v>1.87683</v>
      </c>
      <c r="HP77">
        <v>1.88279</v>
      </c>
      <c r="HQ77">
        <v>1.8859900000000001</v>
      </c>
      <c r="HR77">
        <v>1.87683</v>
      </c>
      <c r="HS77">
        <v>1.88324</v>
      </c>
      <c r="HT77">
        <v>1.88218</v>
      </c>
      <c r="HU77">
        <v>1.8856900000000001</v>
      </c>
      <c r="HV77">
        <v>0</v>
      </c>
      <c r="HW77">
        <v>0</v>
      </c>
      <c r="HX77">
        <v>0</v>
      </c>
      <c r="HY77">
        <v>0</v>
      </c>
      <c r="HZ77" t="s">
        <v>425</v>
      </c>
      <c r="IA77" t="s">
        <v>426</v>
      </c>
      <c r="IB77" t="s">
        <v>427</v>
      </c>
      <c r="IC77" t="s">
        <v>427</v>
      </c>
      <c r="ID77" t="s">
        <v>427</v>
      </c>
      <c r="IE77" t="s">
        <v>427</v>
      </c>
      <c r="IF77">
        <v>0</v>
      </c>
      <c r="IG77">
        <v>100</v>
      </c>
      <c r="IH77">
        <v>100</v>
      </c>
      <c r="II77">
        <v>-0.42299999999999999</v>
      </c>
      <c r="IJ77">
        <v>4.8899999999999999E-2</v>
      </c>
      <c r="IK77">
        <v>-0.34131049483045839</v>
      </c>
      <c r="IL77">
        <v>-4.2852564239613137E-4</v>
      </c>
      <c r="IM77">
        <v>6.4980710991155998E-7</v>
      </c>
      <c r="IN77">
        <v>-2.7237938963984961E-10</v>
      </c>
      <c r="IO77">
        <v>-8.783096342271866E-3</v>
      </c>
      <c r="IP77">
        <v>6.6907473102813496E-3</v>
      </c>
      <c r="IQ77">
        <v>-3.3673306238274028E-4</v>
      </c>
      <c r="IR77">
        <v>6.1311374003140313E-6</v>
      </c>
      <c r="IS77">
        <v>3</v>
      </c>
      <c r="IT77">
        <v>2101</v>
      </c>
      <c r="IU77">
        <v>1</v>
      </c>
      <c r="IV77">
        <v>32</v>
      </c>
      <c r="IW77">
        <v>0.7</v>
      </c>
      <c r="IX77">
        <v>0.6</v>
      </c>
      <c r="IY77">
        <v>1.01685</v>
      </c>
      <c r="IZ77">
        <v>2.7050800000000002</v>
      </c>
      <c r="JA77">
        <v>1.6015600000000001</v>
      </c>
      <c r="JB77">
        <v>2.32544</v>
      </c>
      <c r="JC77">
        <v>1.5502899999999999</v>
      </c>
      <c r="JD77">
        <v>2.4670399999999999</v>
      </c>
      <c r="JE77">
        <v>49.012700000000002</v>
      </c>
      <c r="JF77">
        <v>24.052499999999998</v>
      </c>
      <c r="JG77">
        <v>18</v>
      </c>
      <c r="JH77">
        <v>594.44000000000005</v>
      </c>
      <c r="JI77">
        <v>374.983</v>
      </c>
      <c r="JJ77">
        <v>27.362300000000001</v>
      </c>
      <c r="JK77">
        <v>34.421500000000002</v>
      </c>
      <c r="JL77">
        <v>29.9999</v>
      </c>
      <c r="JM77">
        <v>34.526000000000003</v>
      </c>
      <c r="JN77">
        <v>34.526400000000002</v>
      </c>
      <c r="JO77">
        <v>20.3294</v>
      </c>
      <c r="JP77">
        <v>23.901700000000002</v>
      </c>
      <c r="JQ77">
        <v>0</v>
      </c>
      <c r="JR77">
        <v>27.394500000000001</v>
      </c>
      <c r="JS77">
        <v>400</v>
      </c>
      <c r="JT77">
        <v>22.415600000000001</v>
      </c>
      <c r="JU77">
        <v>98.806299999999993</v>
      </c>
      <c r="JV77">
        <v>98.821700000000007</v>
      </c>
    </row>
    <row r="78" spans="1:282" x14ac:dyDescent="0.25">
      <c r="A78">
        <v>62</v>
      </c>
      <c r="B78">
        <v>1689012040</v>
      </c>
      <c r="C78">
        <v>12217.400000095369</v>
      </c>
      <c r="D78" t="s">
        <v>735</v>
      </c>
      <c r="E78" t="s">
        <v>736</v>
      </c>
      <c r="F78" t="s">
        <v>414</v>
      </c>
      <c r="G78" t="s">
        <v>415</v>
      </c>
      <c r="H78" t="s">
        <v>731</v>
      </c>
      <c r="I78" t="s">
        <v>578</v>
      </c>
      <c r="J78" t="s">
        <v>416</v>
      </c>
      <c r="K78">
        <v>1689012040</v>
      </c>
      <c r="L78">
        <f t="shared" si="46"/>
        <v>5.1207039006013928E-3</v>
      </c>
      <c r="M78">
        <f t="shared" si="47"/>
        <v>5.1207039006013932</v>
      </c>
      <c r="N78">
        <f t="shared" si="48"/>
        <v>38.475050053498826</v>
      </c>
      <c r="O78">
        <f t="shared" si="49"/>
        <v>252.346</v>
      </c>
      <c r="P78">
        <f t="shared" si="50"/>
        <v>67.260878262492838</v>
      </c>
      <c r="Q78">
        <f t="shared" si="51"/>
        <v>6.6684604074541998</v>
      </c>
      <c r="R78">
        <f t="shared" si="52"/>
        <v>25.018396331553799</v>
      </c>
      <c r="S78">
        <f t="shared" si="53"/>
        <v>0.35949933910753223</v>
      </c>
      <c r="T78">
        <f t="shared" si="54"/>
        <v>2.917522297238698</v>
      </c>
      <c r="U78">
        <f t="shared" si="55"/>
        <v>0.3365781799755328</v>
      </c>
      <c r="V78">
        <f t="shared" si="56"/>
        <v>0.21229883730640781</v>
      </c>
      <c r="W78">
        <f t="shared" si="57"/>
        <v>289.55152732689834</v>
      </c>
      <c r="X78">
        <f t="shared" si="58"/>
        <v>30.370276538721019</v>
      </c>
      <c r="Y78">
        <f t="shared" si="59"/>
        <v>29.961200000000002</v>
      </c>
      <c r="Z78">
        <f t="shared" si="60"/>
        <v>4.2509639786608444</v>
      </c>
      <c r="AA78">
        <f t="shared" si="61"/>
        <v>65.655081643989348</v>
      </c>
      <c r="AB78">
        <f t="shared" si="62"/>
        <v>2.79620578339361</v>
      </c>
      <c r="AC78">
        <f t="shared" si="63"/>
        <v>4.2589327640408161</v>
      </c>
      <c r="AD78">
        <f t="shared" si="64"/>
        <v>1.4547581952672344</v>
      </c>
      <c r="AE78">
        <f t="shared" si="65"/>
        <v>-225.82304201652141</v>
      </c>
      <c r="AF78">
        <f t="shared" si="66"/>
        <v>5.127636464092471</v>
      </c>
      <c r="AG78">
        <f t="shared" si="67"/>
        <v>0.39070177622959784</v>
      </c>
      <c r="AH78">
        <f t="shared" si="68"/>
        <v>69.246823550699006</v>
      </c>
      <c r="AI78">
        <v>0</v>
      </c>
      <c r="AJ78">
        <v>0</v>
      </c>
      <c r="AK78">
        <f t="shared" si="69"/>
        <v>1</v>
      </c>
      <c r="AL78">
        <f t="shared" si="70"/>
        <v>0</v>
      </c>
      <c r="AM78">
        <f t="shared" si="71"/>
        <v>51990.701128907174</v>
      </c>
      <c r="AN78" t="s">
        <v>419</v>
      </c>
      <c r="AO78">
        <v>9967.0300000000007</v>
      </c>
      <c r="AP78">
        <v>178.94153846153841</v>
      </c>
      <c r="AQ78">
        <v>603.15</v>
      </c>
      <c r="AR78">
        <f t="shared" si="72"/>
        <v>0.7033216638290003</v>
      </c>
      <c r="AS78">
        <v>-3.2649104154664181</v>
      </c>
      <c r="AT78" t="s">
        <v>737</v>
      </c>
      <c r="AU78">
        <v>8056.41</v>
      </c>
      <c r="AV78">
        <v>678.68965384615387</v>
      </c>
      <c r="AW78">
        <v>1003.210041205317</v>
      </c>
      <c r="AX78">
        <f t="shared" si="73"/>
        <v>0.32348199682019207</v>
      </c>
      <c r="AY78">
        <v>0.5</v>
      </c>
      <c r="AZ78">
        <f t="shared" si="74"/>
        <v>1513.1087996512426</v>
      </c>
      <c r="BA78">
        <f t="shared" si="75"/>
        <v>38.475050053498826</v>
      </c>
      <c r="BB78">
        <f t="shared" si="76"/>
        <v>244.73172795869397</v>
      </c>
      <c r="BC78">
        <f t="shared" si="77"/>
        <v>2.7585564553312961E-2</v>
      </c>
      <c r="BD78">
        <f t="shared" si="78"/>
        <v>-0.39877994116233206</v>
      </c>
      <c r="BE78">
        <f t="shared" si="79"/>
        <v>202.95275038635032</v>
      </c>
      <c r="BF78" t="s">
        <v>738</v>
      </c>
      <c r="BG78">
        <v>543.53</v>
      </c>
      <c r="BH78">
        <f t="shared" si="80"/>
        <v>543.53</v>
      </c>
      <c r="BI78">
        <f t="shared" si="81"/>
        <v>0.45820917088611846</v>
      </c>
      <c r="BJ78">
        <f t="shared" si="82"/>
        <v>0.70597014938531</v>
      </c>
      <c r="BK78">
        <f t="shared" si="83"/>
        <v>-6.7101650655034719</v>
      </c>
      <c r="BL78">
        <f t="shared" si="84"/>
        <v>0.39370713096390064</v>
      </c>
      <c r="BM78">
        <f t="shared" si="85"/>
        <v>-0.94307416630595642</v>
      </c>
      <c r="BN78">
        <f t="shared" si="86"/>
        <v>0.56537764075357289</v>
      </c>
      <c r="BO78">
        <f t="shared" si="87"/>
        <v>0.43462235924642711</v>
      </c>
      <c r="BP78">
        <v>6159</v>
      </c>
      <c r="BQ78">
        <v>290.00000000000011</v>
      </c>
      <c r="BR78">
        <v>888.65</v>
      </c>
      <c r="BS78">
        <v>295</v>
      </c>
      <c r="BT78">
        <v>8056.41</v>
      </c>
      <c r="BU78">
        <v>890.71</v>
      </c>
      <c r="BV78">
        <v>-2.06</v>
      </c>
      <c r="BW78">
        <v>300.00000000000011</v>
      </c>
      <c r="BX78">
        <v>19.3</v>
      </c>
      <c r="BY78">
        <v>1003.210041205317</v>
      </c>
      <c r="BZ78">
        <v>3.2187245668023312</v>
      </c>
      <c r="CA78">
        <v>-90.632432693948957</v>
      </c>
      <c r="CB78">
        <v>2.3822508159400502</v>
      </c>
      <c r="CC78">
        <v>0.98102225591790404</v>
      </c>
      <c r="CD78">
        <v>-4.1573328142380456E-3</v>
      </c>
      <c r="CE78">
        <v>289.99999999999989</v>
      </c>
      <c r="CF78">
        <v>885.33</v>
      </c>
      <c r="CG78">
        <v>655</v>
      </c>
      <c r="CH78">
        <v>8047.19</v>
      </c>
      <c r="CI78">
        <v>890.58</v>
      </c>
      <c r="CJ78">
        <v>-5.25</v>
      </c>
      <c r="CX78">
        <f t="shared" si="88"/>
        <v>1799.91</v>
      </c>
      <c r="CY78">
        <f t="shared" si="89"/>
        <v>1513.1087996512426</v>
      </c>
      <c r="CZ78">
        <f t="shared" si="90"/>
        <v>0.84065803270788131</v>
      </c>
      <c r="DA78">
        <f t="shared" si="91"/>
        <v>0.16087000312621094</v>
      </c>
      <c r="DB78">
        <v>6</v>
      </c>
      <c r="DC78">
        <v>0.5</v>
      </c>
      <c r="DD78" t="s">
        <v>422</v>
      </c>
      <c r="DE78">
        <v>2</v>
      </c>
      <c r="DF78">
        <v>1689012040</v>
      </c>
      <c r="DG78">
        <v>252.346</v>
      </c>
      <c r="DH78">
        <v>300.05599999999998</v>
      </c>
      <c r="DI78">
        <v>28.203700000000001</v>
      </c>
      <c r="DJ78">
        <v>22.233499999999999</v>
      </c>
      <c r="DK78">
        <v>252.61099999999999</v>
      </c>
      <c r="DL78">
        <v>28.157299999999999</v>
      </c>
      <c r="DM78">
        <v>500.11200000000002</v>
      </c>
      <c r="DN78">
        <v>99.043599999999998</v>
      </c>
      <c r="DO78">
        <v>9.96253E-2</v>
      </c>
      <c r="DP78">
        <v>29.9938</v>
      </c>
      <c r="DQ78">
        <v>29.961200000000002</v>
      </c>
      <c r="DR78">
        <v>999.9</v>
      </c>
      <c r="DS78">
        <v>0</v>
      </c>
      <c r="DT78">
        <v>0</v>
      </c>
      <c r="DU78">
        <v>10027.5</v>
      </c>
      <c r="DV78">
        <v>0</v>
      </c>
      <c r="DW78">
        <v>1570.83</v>
      </c>
      <c r="DX78">
        <v>-47.710099999999997</v>
      </c>
      <c r="DY78">
        <v>259.67</v>
      </c>
      <c r="DZ78">
        <v>306.87900000000002</v>
      </c>
      <c r="EA78">
        <v>5.9702000000000002</v>
      </c>
      <c r="EB78">
        <v>300.05599999999998</v>
      </c>
      <c r="EC78">
        <v>22.233499999999999</v>
      </c>
      <c r="ED78">
        <v>2.79339</v>
      </c>
      <c r="EE78">
        <v>2.20208</v>
      </c>
      <c r="EF78">
        <v>22.845099999999999</v>
      </c>
      <c r="EG78">
        <v>18.977499999999999</v>
      </c>
      <c r="EH78">
        <v>1799.91</v>
      </c>
      <c r="EI78">
        <v>0.97800600000000004</v>
      </c>
      <c r="EJ78">
        <v>2.1994099999999999E-2</v>
      </c>
      <c r="EK78">
        <v>0</v>
      </c>
      <c r="EL78">
        <v>678.79200000000003</v>
      </c>
      <c r="EM78">
        <v>5.0005300000000004</v>
      </c>
      <c r="EN78">
        <v>14667</v>
      </c>
      <c r="EO78">
        <v>16034.5</v>
      </c>
      <c r="EP78">
        <v>47.875</v>
      </c>
      <c r="EQ78">
        <v>49.5</v>
      </c>
      <c r="ER78">
        <v>48.5</v>
      </c>
      <c r="ES78">
        <v>48.686999999999998</v>
      </c>
      <c r="ET78">
        <v>49.186999999999998</v>
      </c>
      <c r="EU78">
        <v>1755.43</v>
      </c>
      <c r="EV78">
        <v>39.479999999999997</v>
      </c>
      <c r="EW78">
        <v>0</v>
      </c>
      <c r="EX78">
        <v>137.5999999046326</v>
      </c>
      <c r="EY78">
        <v>0</v>
      </c>
      <c r="EZ78">
        <v>678.68965384615387</v>
      </c>
      <c r="FA78">
        <v>-1.269094023271794</v>
      </c>
      <c r="FB78">
        <v>-1917.302567421822</v>
      </c>
      <c r="FC78">
        <v>14657.08846153846</v>
      </c>
      <c r="FD78">
        <v>15</v>
      </c>
      <c r="FE78">
        <v>1689011993.5</v>
      </c>
      <c r="FF78" t="s">
        <v>739</v>
      </c>
      <c r="FG78">
        <v>1689011990</v>
      </c>
      <c r="FH78">
        <v>1689011993.5</v>
      </c>
      <c r="FI78">
        <v>68</v>
      </c>
      <c r="FJ78">
        <v>0.14899999999999999</v>
      </c>
      <c r="FK78">
        <v>-3.0000000000000001E-3</v>
      </c>
      <c r="FL78">
        <v>-0.27100000000000002</v>
      </c>
      <c r="FM78">
        <v>3.7999999999999999E-2</v>
      </c>
      <c r="FN78">
        <v>300</v>
      </c>
      <c r="FO78">
        <v>23</v>
      </c>
      <c r="FP78">
        <v>0.05</v>
      </c>
      <c r="FQ78">
        <v>0.02</v>
      </c>
      <c r="FR78">
        <v>38.40621747580704</v>
      </c>
      <c r="FS78">
        <v>0.5479877743411451</v>
      </c>
      <c r="FT78">
        <v>5.8796572206445137E-2</v>
      </c>
      <c r="FU78">
        <v>1</v>
      </c>
      <c r="FV78">
        <v>0.36473152653483287</v>
      </c>
      <c r="FW78">
        <v>-2.3844921455943999E-2</v>
      </c>
      <c r="FX78">
        <v>1.97274732569039E-3</v>
      </c>
      <c r="FY78">
        <v>1</v>
      </c>
      <c r="FZ78">
        <v>2</v>
      </c>
      <c r="GA78">
        <v>2</v>
      </c>
      <c r="GB78" t="s">
        <v>424</v>
      </c>
      <c r="GC78">
        <v>3.1217800000000002</v>
      </c>
      <c r="GD78">
        <v>2.7671700000000001</v>
      </c>
      <c r="GE78">
        <v>6.1113599999999997E-2</v>
      </c>
      <c r="GF78">
        <v>7.0618200000000006E-2</v>
      </c>
      <c r="GG78">
        <v>0.119653</v>
      </c>
      <c r="GH78">
        <v>0.101547</v>
      </c>
      <c r="GI78">
        <v>22446.400000000001</v>
      </c>
      <c r="GJ78">
        <v>23036.7</v>
      </c>
      <c r="GK78">
        <v>23769.200000000001</v>
      </c>
      <c r="GL78">
        <v>25099.1</v>
      </c>
      <c r="GM78">
        <v>30153.599999999999</v>
      </c>
      <c r="GN78">
        <v>31627.5</v>
      </c>
      <c r="GO78">
        <v>37883.300000000003</v>
      </c>
      <c r="GP78">
        <v>39048.1</v>
      </c>
      <c r="GQ78">
        <v>2.1394000000000002</v>
      </c>
      <c r="GR78">
        <v>1.7149700000000001</v>
      </c>
      <c r="GS78">
        <v>-1.03675E-2</v>
      </c>
      <c r="GT78">
        <v>0</v>
      </c>
      <c r="GU78">
        <v>30.129899999999999</v>
      </c>
      <c r="GV78">
        <v>999.9</v>
      </c>
      <c r="GW78">
        <v>28.4</v>
      </c>
      <c r="GX78">
        <v>45.8</v>
      </c>
      <c r="GY78">
        <v>28.801400000000001</v>
      </c>
      <c r="GZ78">
        <v>60.789099999999998</v>
      </c>
      <c r="HA78">
        <v>27.884599999999999</v>
      </c>
      <c r="HB78">
        <v>1</v>
      </c>
      <c r="HC78">
        <v>0.57578499999999999</v>
      </c>
      <c r="HD78">
        <v>2.8577599999999999</v>
      </c>
      <c r="HE78">
        <v>20.293800000000001</v>
      </c>
      <c r="HF78">
        <v>5.2490399999999999</v>
      </c>
      <c r="HG78">
        <v>12.0099</v>
      </c>
      <c r="HH78">
        <v>4.9774500000000002</v>
      </c>
      <c r="HI78">
        <v>3.29223</v>
      </c>
      <c r="HJ78">
        <v>9999</v>
      </c>
      <c r="HK78">
        <v>9999</v>
      </c>
      <c r="HL78">
        <v>9999</v>
      </c>
      <c r="HM78">
        <v>234.8</v>
      </c>
      <c r="HN78">
        <v>1.8756999999999999</v>
      </c>
      <c r="HO78">
        <v>1.8768199999999999</v>
      </c>
      <c r="HP78">
        <v>1.8827799999999999</v>
      </c>
      <c r="HQ78">
        <v>1.8859900000000001</v>
      </c>
      <c r="HR78">
        <v>1.87683</v>
      </c>
      <c r="HS78">
        <v>1.8832100000000001</v>
      </c>
      <c r="HT78">
        <v>1.8821699999999999</v>
      </c>
      <c r="HU78">
        <v>1.88568</v>
      </c>
      <c r="HV78">
        <v>0</v>
      </c>
      <c r="HW78">
        <v>0</v>
      </c>
      <c r="HX78">
        <v>0</v>
      </c>
      <c r="HY78">
        <v>0</v>
      </c>
      <c r="HZ78" t="s">
        <v>425</v>
      </c>
      <c r="IA78" t="s">
        <v>426</v>
      </c>
      <c r="IB78" t="s">
        <v>427</v>
      </c>
      <c r="IC78" t="s">
        <v>427</v>
      </c>
      <c r="ID78" t="s">
        <v>427</v>
      </c>
      <c r="IE78" t="s">
        <v>427</v>
      </c>
      <c r="IF78">
        <v>0</v>
      </c>
      <c r="IG78">
        <v>100</v>
      </c>
      <c r="IH78">
        <v>100</v>
      </c>
      <c r="II78">
        <v>-0.26500000000000001</v>
      </c>
      <c r="IJ78">
        <v>4.6399999999999997E-2</v>
      </c>
      <c r="IK78">
        <v>-0.1930690256337167</v>
      </c>
      <c r="IL78">
        <v>-4.2852564239613137E-4</v>
      </c>
      <c r="IM78">
        <v>6.4980710991155998E-7</v>
      </c>
      <c r="IN78">
        <v>-2.7237938963984961E-10</v>
      </c>
      <c r="IO78">
        <v>-1.192102150820424E-2</v>
      </c>
      <c r="IP78">
        <v>6.6907473102813496E-3</v>
      </c>
      <c r="IQ78">
        <v>-3.3673306238274028E-4</v>
      </c>
      <c r="IR78">
        <v>6.1311374003140313E-6</v>
      </c>
      <c r="IS78">
        <v>3</v>
      </c>
      <c r="IT78">
        <v>2101</v>
      </c>
      <c r="IU78">
        <v>1</v>
      </c>
      <c r="IV78">
        <v>32</v>
      </c>
      <c r="IW78">
        <v>0.8</v>
      </c>
      <c r="IX78">
        <v>0.8</v>
      </c>
      <c r="IY78">
        <v>0.80688499999999996</v>
      </c>
      <c r="IZ78">
        <v>2.7136200000000001</v>
      </c>
      <c r="JA78">
        <v>1.6015600000000001</v>
      </c>
      <c r="JB78">
        <v>2.3278799999999999</v>
      </c>
      <c r="JC78">
        <v>1.5502899999999999</v>
      </c>
      <c r="JD78">
        <v>2.4694799999999999</v>
      </c>
      <c r="JE78">
        <v>48.9191</v>
      </c>
      <c r="JF78">
        <v>24.052499999999998</v>
      </c>
      <c r="JG78">
        <v>18</v>
      </c>
      <c r="JH78">
        <v>595.75400000000002</v>
      </c>
      <c r="JI78">
        <v>375.125</v>
      </c>
      <c r="JJ78">
        <v>26.872199999999999</v>
      </c>
      <c r="JK78">
        <v>34.434699999999999</v>
      </c>
      <c r="JL78">
        <v>30.001100000000001</v>
      </c>
      <c r="JM78">
        <v>34.538400000000003</v>
      </c>
      <c r="JN78">
        <v>34.542499999999997</v>
      </c>
      <c r="JO78">
        <v>16.136099999999999</v>
      </c>
      <c r="JP78">
        <v>25.176500000000001</v>
      </c>
      <c r="JQ78">
        <v>0</v>
      </c>
      <c r="JR78">
        <v>26.867699999999999</v>
      </c>
      <c r="JS78">
        <v>300</v>
      </c>
      <c r="JT78">
        <v>22.1325</v>
      </c>
      <c r="JU78">
        <v>98.815100000000001</v>
      </c>
      <c r="JV78">
        <v>98.830100000000002</v>
      </c>
    </row>
    <row r="79" spans="1:282" x14ac:dyDescent="0.25">
      <c r="A79">
        <v>63</v>
      </c>
      <c r="B79">
        <v>1689012175</v>
      </c>
      <c r="C79">
        <v>12352.400000095369</v>
      </c>
      <c r="D79" t="s">
        <v>740</v>
      </c>
      <c r="E79" t="s">
        <v>741</v>
      </c>
      <c r="F79" t="s">
        <v>414</v>
      </c>
      <c r="G79" t="s">
        <v>415</v>
      </c>
      <c r="H79" t="s">
        <v>731</v>
      </c>
      <c r="I79" t="s">
        <v>578</v>
      </c>
      <c r="J79" t="s">
        <v>416</v>
      </c>
      <c r="K79">
        <v>1689012175</v>
      </c>
      <c r="L79">
        <f t="shared" si="46"/>
        <v>5.4562047855547325E-3</v>
      </c>
      <c r="M79">
        <f t="shared" si="47"/>
        <v>5.4562047855547329</v>
      </c>
      <c r="N79">
        <f t="shared" si="48"/>
        <v>27.737690961630118</v>
      </c>
      <c r="O79">
        <f t="shared" si="49"/>
        <v>165.64500000000001</v>
      </c>
      <c r="P79">
        <f t="shared" si="50"/>
        <v>40.799956234325336</v>
      </c>
      <c r="Q79">
        <f t="shared" si="51"/>
        <v>4.0448728587083469</v>
      </c>
      <c r="R79">
        <f t="shared" si="52"/>
        <v>16.421904004815001</v>
      </c>
      <c r="S79">
        <f t="shared" si="53"/>
        <v>0.38543448813133857</v>
      </c>
      <c r="T79">
        <f t="shared" si="54"/>
        <v>2.9112160231059239</v>
      </c>
      <c r="U79">
        <f t="shared" si="55"/>
        <v>0.35916354539838724</v>
      </c>
      <c r="V79">
        <f t="shared" si="56"/>
        <v>0.22668816548159157</v>
      </c>
      <c r="W79">
        <f t="shared" si="57"/>
        <v>289.5818513269694</v>
      </c>
      <c r="X79">
        <f t="shared" si="58"/>
        <v>30.368015544794503</v>
      </c>
      <c r="Y79">
        <f t="shared" si="59"/>
        <v>30.0016</v>
      </c>
      <c r="Z79">
        <f t="shared" si="60"/>
        <v>4.2608413348914755</v>
      </c>
      <c r="AA79">
        <f t="shared" si="61"/>
        <v>65.624296937634568</v>
      </c>
      <c r="AB79">
        <f t="shared" si="62"/>
        <v>2.8084732397042003</v>
      </c>
      <c r="AC79">
        <f t="shared" si="63"/>
        <v>4.2796241190564013</v>
      </c>
      <c r="AD79">
        <f t="shared" si="64"/>
        <v>1.4523680951872753</v>
      </c>
      <c r="AE79">
        <f t="shared" si="65"/>
        <v>-240.6186310429637</v>
      </c>
      <c r="AF79">
        <f t="shared" si="66"/>
        <v>12.022330033006652</v>
      </c>
      <c r="AG79">
        <f t="shared" si="67"/>
        <v>0.9185966764491218</v>
      </c>
      <c r="AH79">
        <f t="shared" si="68"/>
        <v>61.904146993461467</v>
      </c>
      <c r="AI79">
        <v>0</v>
      </c>
      <c r="AJ79">
        <v>0</v>
      </c>
      <c r="AK79">
        <f t="shared" si="69"/>
        <v>1</v>
      </c>
      <c r="AL79">
        <f t="shared" si="70"/>
        <v>0</v>
      </c>
      <c r="AM79">
        <f t="shared" si="71"/>
        <v>51796.762056496547</v>
      </c>
      <c r="AN79" t="s">
        <v>419</v>
      </c>
      <c r="AO79">
        <v>9967.0300000000007</v>
      </c>
      <c r="AP79">
        <v>178.94153846153841</v>
      </c>
      <c r="AQ79">
        <v>603.15</v>
      </c>
      <c r="AR79">
        <f t="shared" si="72"/>
        <v>0.7033216638290003</v>
      </c>
      <c r="AS79">
        <v>-3.2649104154664181</v>
      </c>
      <c r="AT79" t="s">
        <v>742</v>
      </c>
      <c r="AU79">
        <v>8056.27</v>
      </c>
      <c r="AV79">
        <v>655.09879999999998</v>
      </c>
      <c r="AW79">
        <v>857.1803269395931</v>
      </c>
      <c r="AX79">
        <f t="shared" si="73"/>
        <v>0.23575147560967546</v>
      </c>
      <c r="AY79">
        <v>0.5</v>
      </c>
      <c r="AZ79">
        <f t="shared" si="74"/>
        <v>1513.2683996512794</v>
      </c>
      <c r="BA79">
        <f t="shared" si="75"/>
        <v>27.737690961630118</v>
      </c>
      <c r="BB79">
        <f t="shared" si="76"/>
        <v>178.37762910564061</v>
      </c>
      <c r="BC79">
        <f t="shared" si="77"/>
        <v>2.0487179527597904E-2</v>
      </c>
      <c r="BD79">
        <f t="shared" si="78"/>
        <v>-0.29635575964110417</v>
      </c>
      <c r="BE79">
        <f t="shared" si="79"/>
        <v>196.191119539749</v>
      </c>
      <c r="BF79" t="s">
        <v>743</v>
      </c>
      <c r="BG79">
        <v>527.79</v>
      </c>
      <c r="BH79">
        <f t="shared" si="80"/>
        <v>527.79</v>
      </c>
      <c r="BI79">
        <f t="shared" si="81"/>
        <v>0.38427191640715974</v>
      </c>
      <c r="BJ79">
        <f t="shared" si="82"/>
        <v>0.61350170424601702</v>
      </c>
      <c r="BK79">
        <f t="shared" si="83"/>
        <v>-3.370890750259993</v>
      </c>
      <c r="BL79">
        <f t="shared" si="84"/>
        <v>0.29795041270502587</v>
      </c>
      <c r="BM79">
        <f t="shared" si="85"/>
        <v>-0.59883371024309717</v>
      </c>
      <c r="BN79">
        <f t="shared" si="86"/>
        <v>0.49427668694249677</v>
      </c>
      <c r="BO79">
        <f t="shared" si="87"/>
        <v>0.50572331305750318</v>
      </c>
      <c r="BP79">
        <v>6161</v>
      </c>
      <c r="BQ79">
        <v>290.00000000000011</v>
      </c>
      <c r="BR79">
        <v>800.99</v>
      </c>
      <c r="BS79">
        <v>275</v>
      </c>
      <c r="BT79">
        <v>8056.27</v>
      </c>
      <c r="BU79">
        <v>802.47</v>
      </c>
      <c r="BV79">
        <v>-1.48</v>
      </c>
      <c r="BW79">
        <v>300.00000000000011</v>
      </c>
      <c r="BX79">
        <v>19.3</v>
      </c>
      <c r="BY79">
        <v>857.1803269395931</v>
      </c>
      <c r="BZ79">
        <v>2.6282162817017731</v>
      </c>
      <c r="CA79">
        <v>-44.07839041608888</v>
      </c>
      <c r="CB79">
        <v>1.9450164387261379</v>
      </c>
      <c r="CC79">
        <v>0.94829905886964405</v>
      </c>
      <c r="CD79">
        <v>-4.1569397107897666E-3</v>
      </c>
      <c r="CE79">
        <v>289.99999999999989</v>
      </c>
      <c r="CF79">
        <v>803.3</v>
      </c>
      <c r="CG79">
        <v>675</v>
      </c>
      <c r="CH79">
        <v>8045.8</v>
      </c>
      <c r="CI79">
        <v>802.4</v>
      </c>
      <c r="CJ79">
        <v>0.9</v>
      </c>
      <c r="CX79">
        <f t="shared" si="88"/>
        <v>1800.1</v>
      </c>
      <c r="CY79">
        <f t="shared" si="89"/>
        <v>1513.2683996512794</v>
      </c>
      <c r="CZ79">
        <f t="shared" si="90"/>
        <v>0.84065796325275233</v>
      </c>
      <c r="DA79">
        <f t="shared" si="91"/>
        <v>0.16086986907781201</v>
      </c>
      <c r="DB79">
        <v>6</v>
      </c>
      <c r="DC79">
        <v>0.5</v>
      </c>
      <c r="DD79" t="s">
        <v>422</v>
      </c>
      <c r="DE79">
        <v>2</v>
      </c>
      <c r="DF79">
        <v>1689012175</v>
      </c>
      <c r="DG79">
        <v>165.64500000000001</v>
      </c>
      <c r="DH79">
        <v>200.00200000000001</v>
      </c>
      <c r="DI79">
        <v>28.328600000000002</v>
      </c>
      <c r="DJ79">
        <v>21.969000000000001</v>
      </c>
      <c r="DK79">
        <v>165.84800000000001</v>
      </c>
      <c r="DL79">
        <v>28.283899999999999</v>
      </c>
      <c r="DM79">
        <v>500.18599999999998</v>
      </c>
      <c r="DN79">
        <v>99.039000000000001</v>
      </c>
      <c r="DO79">
        <v>0.100147</v>
      </c>
      <c r="DP79">
        <v>30.078199999999999</v>
      </c>
      <c r="DQ79">
        <v>30.0016</v>
      </c>
      <c r="DR79">
        <v>999.9</v>
      </c>
      <c r="DS79">
        <v>0</v>
      </c>
      <c r="DT79">
        <v>0</v>
      </c>
      <c r="DU79">
        <v>9991.8799999999992</v>
      </c>
      <c r="DV79">
        <v>0</v>
      </c>
      <c r="DW79">
        <v>1733.63</v>
      </c>
      <c r="DX79">
        <v>-34.357300000000002</v>
      </c>
      <c r="DY79">
        <v>170.47399999999999</v>
      </c>
      <c r="DZ79">
        <v>204.495</v>
      </c>
      <c r="EA79">
        <v>6.3596399999999997</v>
      </c>
      <c r="EB79">
        <v>200.00200000000001</v>
      </c>
      <c r="EC79">
        <v>21.969000000000001</v>
      </c>
      <c r="ED79">
        <v>2.8056399999999999</v>
      </c>
      <c r="EE79">
        <v>2.1757900000000001</v>
      </c>
      <c r="EF79">
        <v>22.917300000000001</v>
      </c>
      <c r="EG79">
        <v>18.7851</v>
      </c>
      <c r="EH79">
        <v>1800.1</v>
      </c>
      <c r="EI79">
        <v>0.97800900000000002</v>
      </c>
      <c r="EJ79">
        <v>2.19905E-2</v>
      </c>
      <c r="EK79">
        <v>0</v>
      </c>
      <c r="EL79">
        <v>654.971</v>
      </c>
      <c r="EM79">
        <v>5.0005300000000004</v>
      </c>
      <c r="EN79">
        <v>14048.3</v>
      </c>
      <c r="EO79">
        <v>16036.3</v>
      </c>
      <c r="EP79">
        <v>47.936999999999998</v>
      </c>
      <c r="EQ79">
        <v>49.561999999999998</v>
      </c>
      <c r="ER79">
        <v>48.561999999999998</v>
      </c>
      <c r="ES79">
        <v>48.75</v>
      </c>
      <c r="ET79">
        <v>49.125</v>
      </c>
      <c r="EU79">
        <v>1755.62</v>
      </c>
      <c r="EV79">
        <v>39.479999999999997</v>
      </c>
      <c r="EW79">
        <v>0</v>
      </c>
      <c r="EX79">
        <v>132.79999995231631</v>
      </c>
      <c r="EY79">
        <v>0</v>
      </c>
      <c r="EZ79">
        <v>655.09879999999998</v>
      </c>
      <c r="FA79">
        <v>-3.2939231025071471</v>
      </c>
      <c r="FB79">
        <v>-2032.392309997058</v>
      </c>
      <c r="FC79">
        <v>14658.56</v>
      </c>
      <c r="FD79">
        <v>15</v>
      </c>
      <c r="FE79">
        <v>1689012125</v>
      </c>
      <c r="FF79" t="s">
        <v>744</v>
      </c>
      <c r="FG79">
        <v>1689012124</v>
      </c>
      <c r="FH79">
        <v>1689012125</v>
      </c>
      <c r="FI79">
        <v>69</v>
      </c>
      <c r="FJ79">
        <v>4.4999999999999998E-2</v>
      </c>
      <c r="FK79">
        <v>-2E-3</v>
      </c>
      <c r="FL79">
        <v>-0.21</v>
      </c>
      <c r="FM79">
        <v>3.5999999999999997E-2</v>
      </c>
      <c r="FN79">
        <v>200</v>
      </c>
      <c r="FO79">
        <v>22</v>
      </c>
      <c r="FP79">
        <v>7.0000000000000007E-2</v>
      </c>
      <c r="FQ79">
        <v>0.02</v>
      </c>
      <c r="FR79">
        <v>27.6108148760609</v>
      </c>
      <c r="FS79">
        <v>0.69863349395788565</v>
      </c>
      <c r="FT79">
        <v>6.1029040102549142E-2</v>
      </c>
      <c r="FU79">
        <v>1</v>
      </c>
      <c r="FV79">
        <v>0.38085465176436001</v>
      </c>
      <c r="FW79">
        <v>4.2142946258727693E-2</v>
      </c>
      <c r="FX79">
        <v>3.1163168207898272E-3</v>
      </c>
      <c r="FY79">
        <v>1</v>
      </c>
      <c r="FZ79">
        <v>2</v>
      </c>
      <c r="GA79">
        <v>2</v>
      </c>
      <c r="GB79" t="s">
        <v>424</v>
      </c>
      <c r="GC79">
        <v>3.12208</v>
      </c>
      <c r="GD79">
        <v>2.7673800000000002</v>
      </c>
      <c r="GE79">
        <v>4.2183900000000003E-2</v>
      </c>
      <c r="GF79">
        <v>4.9993000000000003E-2</v>
      </c>
      <c r="GG79">
        <v>0.120007</v>
      </c>
      <c r="GH79">
        <v>0.100671</v>
      </c>
      <c r="GI79">
        <v>22896.7</v>
      </c>
      <c r="GJ79">
        <v>23545.9</v>
      </c>
      <c r="GK79">
        <v>23767.599999999999</v>
      </c>
      <c r="GL79">
        <v>25097.5</v>
      </c>
      <c r="GM79">
        <v>30139.7</v>
      </c>
      <c r="GN79">
        <v>31655.7</v>
      </c>
      <c r="GO79">
        <v>37881.199999999997</v>
      </c>
      <c r="GP79">
        <v>39044.9</v>
      </c>
      <c r="GQ79">
        <v>2.1394500000000001</v>
      </c>
      <c r="GR79">
        <v>1.71315</v>
      </c>
      <c r="GS79">
        <v>-3.1366900000000001E-3</v>
      </c>
      <c r="GT79">
        <v>0</v>
      </c>
      <c r="GU79">
        <v>30.052600000000002</v>
      </c>
      <c r="GV79">
        <v>999.9</v>
      </c>
      <c r="GW79">
        <v>28.6</v>
      </c>
      <c r="GX79">
        <v>45.7</v>
      </c>
      <c r="GY79">
        <v>28.855899999999998</v>
      </c>
      <c r="GZ79">
        <v>61.059100000000001</v>
      </c>
      <c r="HA79">
        <v>27.475999999999999</v>
      </c>
      <c r="HB79">
        <v>1</v>
      </c>
      <c r="HC79">
        <v>0.57774899999999996</v>
      </c>
      <c r="HD79">
        <v>2.65916</v>
      </c>
      <c r="HE79">
        <v>20.2974</v>
      </c>
      <c r="HF79">
        <v>5.2526299999999999</v>
      </c>
      <c r="HG79">
        <v>12.0099</v>
      </c>
      <c r="HH79">
        <v>4.9793000000000003</v>
      </c>
      <c r="HI79">
        <v>3.2930000000000001</v>
      </c>
      <c r="HJ79">
        <v>9999</v>
      </c>
      <c r="HK79">
        <v>9999</v>
      </c>
      <c r="HL79">
        <v>9999</v>
      </c>
      <c r="HM79">
        <v>234.8</v>
      </c>
      <c r="HN79">
        <v>1.8756699999999999</v>
      </c>
      <c r="HO79">
        <v>1.87683</v>
      </c>
      <c r="HP79">
        <v>1.8827799999999999</v>
      </c>
      <c r="HQ79">
        <v>1.8859999999999999</v>
      </c>
      <c r="HR79">
        <v>1.87683</v>
      </c>
      <c r="HS79">
        <v>1.8832</v>
      </c>
      <c r="HT79">
        <v>1.88218</v>
      </c>
      <c r="HU79">
        <v>1.88568</v>
      </c>
      <c r="HV79">
        <v>0</v>
      </c>
      <c r="HW79">
        <v>0</v>
      </c>
      <c r="HX79">
        <v>0</v>
      </c>
      <c r="HY79">
        <v>0</v>
      </c>
      <c r="HZ79" t="s">
        <v>425</v>
      </c>
      <c r="IA79" t="s">
        <v>426</v>
      </c>
      <c r="IB79" t="s">
        <v>427</v>
      </c>
      <c r="IC79" t="s">
        <v>427</v>
      </c>
      <c r="ID79" t="s">
        <v>427</v>
      </c>
      <c r="IE79" t="s">
        <v>427</v>
      </c>
      <c r="IF79">
        <v>0</v>
      </c>
      <c r="IG79">
        <v>100</v>
      </c>
      <c r="IH79">
        <v>100</v>
      </c>
      <c r="II79">
        <v>-0.20300000000000001</v>
      </c>
      <c r="IJ79">
        <v>4.4699999999999997E-2</v>
      </c>
      <c r="IK79">
        <v>-0.1483082952574491</v>
      </c>
      <c r="IL79">
        <v>-4.2852564239613137E-4</v>
      </c>
      <c r="IM79">
        <v>6.4980710991155998E-7</v>
      </c>
      <c r="IN79">
        <v>-2.7237938963984961E-10</v>
      </c>
      <c r="IO79">
        <v>-1.387127332257638E-2</v>
      </c>
      <c r="IP79">
        <v>6.6907473102813496E-3</v>
      </c>
      <c r="IQ79">
        <v>-3.3673306238274028E-4</v>
      </c>
      <c r="IR79">
        <v>6.1311374003140313E-6</v>
      </c>
      <c r="IS79">
        <v>3</v>
      </c>
      <c r="IT79">
        <v>2101</v>
      </c>
      <c r="IU79">
        <v>1</v>
      </c>
      <c r="IV79">
        <v>32</v>
      </c>
      <c r="IW79">
        <v>0.8</v>
      </c>
      <c r="IX79">
        <v>0.8</v>
      </c>
      <c r="IY79">
        <v>0.59082000000000001</v>
      </c>
      <c r="IZ79">
        <v>2.7221700000000002</v>
      </c>
      <c r="JA79">
        <v>1.6015600000000001</v>
      </c>
      <c r="JB79">
        <v>2.32666</v>
      </c>
      <c r="JC79">
        <v>1.5502899999999999</v>
      </c>
      <c r="JD79">
        <v>2.4536099999999998</v>
      </c>
      <c r="JE79">
        <v>48.9191</v>
      </c>
      <c r="JF79">
        <v>24.043700000000001</v>
      </c>
      <c r="JG79">
        <v>18</v>
      </c>
      <c r="JH79">
        <v>596.13499999999999</v>
      </c>
      <c r="JI79">
        <v>374.262</v>
      </c>
      <c r="JJ79">
        <v>26.9679</v>
      </c>
      <c r="JK79">
        <v>34.473700000000001</v>
      </c>
      <c r="JL79">
        <v>30.0001</v>
      </c>
      <c r="JM79">
        <v>34.577100000000002</v>
      </c>
      <c r="JN79">
        <v>34.582099999999997</v>
      </c>
      <c r="JO79">
        <v>11.795400000000001</v>
      </c>
      <c r="JP79">
        <v>26.8521</v>
      </c>
      <c r="JQ79">
        <v>0</v>
      </c>
      <c r="JR79">
        <v>26.946899999999999</v>
      </c>
      <c r="JS79">
        <v>200</v>
      </c>
      <c r="JT79">
        <v>21.8247</v>
      </c>
      <c r="JU79">
        <v>98.809100000000001</v>
      </c>
      <c r="JV79">
        <v>98.822599999999994</v>
      </c>
    </row>
    <row r="80" spans="1:282" x14ac:dyDescent="0.25">
      <c r="A80">
        <v>64</v>
      </c>
      <c r="B80">
        <v>1689012305.5</v>
      </c>
      <c r="C80">
        <v>12482.900000095369</v>
      </c>
      <c r="D80" t="s">
        <v>745</v>
      </c>
      <c r="E80" t="s">
        <v>746</v>
      </c>
      <c r="F80" t="s">
        <v>414</v>
      </c>
      <c r="G80" t="s">
        <v>415</v>
      </c>
      <c r="H80" t="s">
        <v>731</v>
      </c>
      <c r="I80" t="s">
        <v>578</v>
      </c>
      <c r="J80" t="s">
        <v>416</v>
      </c>
      <c r="K80">
        <v>1689012305.5</v>
      </c>
      <c r="L80">
        <f t="shared" si="46"/>
        <v>5.9671592635197014E-3</v>
      </c>
      <c r="M80">
        <f t="shared" si="47"/>
        <v>5.9671592635197017</v>
      </c>
      <c r="N80">
        <f t="shared" si="48"/>
        <v>17.567247439385572</v>
      </c>
      <c r="O80">
        <f t="shared" si="49"/>
        <v>98.141000000000005</v>
      </c>
      <c r="P80">
        <f t="shared" si="50"/>
        <v>26.305947853555882</v>
      </c>
      <c r="Q80">
        <f t="shared" si="51"/>
        <v>2.6078395012277298</v>
      </c>
      <c r="R80">
        <f t="shared" si="52"/>
        <v>9.7292056501737001</v>
      </c>
      <c r="S80">
        <f t="shared" si="53"/>
        <v>0.42726322682692314</v>
      </c>
      <c r="T80">
        <f t="shared" si="54"/>
        <v>2.9147507442975487</v>
      </c>
      <c r="U80">
        <f t="shared" si="55"/>
        <v>0.395270484497246</v>
      </c>
      <c r="V80">
        <f t="shared" si="56"/>
        <v>0.24971854661797011</v>
      </c>
      <c r="W80">
        <f t="shared" si="57"/>
        <v>289.58983132698808</v>
      </c>
      <c r="X80">
        <f t="shared" si="58"/>
        <v>30.229212640184496</v>
      </c>
      <c r="Y80">
        <f t="shared" si="59"/>
        <v>29.975300000000001</v>
      </c>
      <c r="Z80">
        <f t="shared" si="60"/>
        <v>4.2544090044021639</v>
      </c>
      <c r="AA80">
        <f t="shared" si="61"/>
        <v>65.707079929146289</v>
      </c>
      <c r="AB80">
        <f t="shared" si="62"/>
        <v>2.81116059242733</v>
      </c>
      <c r="AC80">
        <f t="shared" si="63"/>
        <v>4.2783222073765561</v>
      </c>
      <c r="AD80">
        <f t="shared" si="64"/>
        <v>1.4432484119748339</v>
      </c>
      <c r="AE80">
        <f t="shared" si="65"/>
        <v>-263.15172352121886</v>
      </c>
      <c r="AF80">
        <f t="shared" si="66"/>
        <v>15.336868111553164</v>
      </c>
      <c r="AG80">
        <f t="shared" si="67"/>
        <v>1.1702482225718167</v>
      </c>
      <c r="AH80">
        <f t="shared" si="68"/>
        <v>42.945224139894229</v>
      </c>
      <c r="AI80">
        <v>0</v>
      </c>
      <c r="AJ80">
        <v>0</v>
      </c>
      <c r="AK80">
        <f t="shared" si="69"/>
        <v>1</v>
      </c>
      <c r="AL80">
        <f t="shared" si="70"/>
        <v>0</v>
      </c>
      <c r="AM80">
        <f t="shared" si="71"/>
        <v>51898.086313116364</v>
      </c>
      <c r="AN80" t="s">
        <v>419</v>
      </c>
      <c r="AO80">
        <v>9967.0300000000007</v>
      </c>
      <c r="AP80">
        <v>178.94153846153841</v>
      </c>
      <c r="AQ80">
        <v>603.15</v>
      </c>
      <c r="AR80">
        <f t="shared" si="72"/>
        <v>0.7033216638290003</v>
      </c>
      <c r="AS80">
        <v>-3.2649104154664181</v>
      </c>
      <c r="AT80" t="s">
        <v>747</v>
      </c>
      <c r="AU80">
        <v>8055.21</v>
      </c>
      <c r="AV80">
        <v>661.79747999999995</v>
      </c>
      <c r="AW80">
        <v>791.51561501925357</v>
      </c>
      <c r="AX80">
        <f t="shared" si="73"/>
        <v>0.1638857560834075</v>
      </c>
      <c r="AY80">
        <v>0.5</v>
      </c>
      <c r="AZ80">
        <f t="shared" si="74"/>
        <v>1513.3103996512893</v>
      </c>
      <c r="BA80">
        <f t="shared" si="75"/>
        <v>17.567247439385572</v>
      </c>
      <c r="BB80">
        <f t="shared" si="76"/>
        <v>124.00500951786756</v>
      </c>
      <c r="BC80">
        <f t="shared" si="77"/>
        <v>1.3765951690844339E-2</v>
      </c>
      <c r="BD80">
        <f t="shared" si="78"/>
        <v>-0.2379809209634754</v>
      </c>
      <c r="BE80">
        <f t="shared" si="79"/>
        <v>192.53525602730119</v>
      </c>
      <c r="BF80" t="s">
        <v>748</v>
      </c>
      <c r="BG80">
        <v>533.64</v>
      </c>
      <c r="BH80">
        <f t="shared" si="80"/>
        <v>533.64</v>
      </c>
      <c r="BI80">
        <f t="shared" si="81"/>
        <v>0.32579978224811246</v>
      </c>
      <c r="BJ80">
        <f t="shared" si="82"/>
        <v>0.50302598409534993</v>
      </c>
      <c r="BK80">
        <f t="shared" si="83"/>
        <v>-2.7099067043483474</v>
      </c>
      <c r="BL80">
        <f t="shared" si="84"/>
        <v>0.21175909981073432</v>
      </c>
      <c r="BM80">
        <f t="shared" si="85"/>
        <v>-0.44404021158869578</v>
      </c>
      <c r="BN80">
        <f t="shared" si="86"/>
        <v>0.40561469976078263</v>
      </c>
      <c r="BO80">
        <f t="shared" si="87"/>
        <v>0.59438530023921743</v>
      </c>
      <c r="BP80">
        <v>6163</v>
      </c>
      <c r="BQ80">
        <v>290.00000000000011</v>
      </c>
      <c r="BR80">
        <v>762.68</v>
      </c>
      <c r="BS80">
        <v>285</v>
      </c>
      <c r="BT80">
        <v>8055.21</v>
      </c>
      <c r="BU80">
        <v>764.33</v>
      </c>
      <c r="BV80">
        <v>-1.65</v>
      </c>
      <c r="BW80">
        <v>300.00000000000011</v>
      </c>
      <c r="BX80">
        <v>19.3</v>
      </c>
      <c r="BY80">
        <v>791.51561501925357</v>
      </c>
      <c r="BZ80">
        <v>2.389163664866679</v>
      </c>
      <c r="CA80">
        <v>-21.89807779658614</v>
      </c>
      <c r="CB80">
        <v>1.7680147839346341</v>
      </c>
      <c r="CC80">
        <v>0.84564944503124195</v>
      </c>
      <c r="CD80">
        <v>-4.1565125695216939E-3</v>
      </c>
      <c r="CE80">
        <v>289.99999999999989</v>
      </c>
      <c r="CF80">
        <v>764.85</v>
      </c>
      <c r="CG80">
        <v>635</v>
      </c>
      <c r="CH80">
        <v>8046.65</v>
      </c>
      <c r="CI80">
        <v>764.3</v>
      </c>
      <c r="CJ80">
        <v>0.55000000000000004</v>
      </c>
      <c r="CX80">
        <f t="shared" si="88"/>
        <v>1800.15</v>
      </c>
      <c r="CY80">
        <f t="shared" si="89"/>
        <v>1513.3103996512893</v>
      </c>
      <c r="CZ80">
        <f t="shared" si="90"/>
        <v>0.84065794497752366</v>
      </c>
      <c r="DA80">
        <f t="shared" si="91"/>
        <v>0.16086983380662059</v>
      </c>
      <c r="DB80">
        <v>6</v>
      </c>
      <c r="DC80">
        <v>0.5</v>
      </c>
      <c r="DD80" t="s">
        <v>422</v>
      </c>
      <c r="DE80">
        <v>2</v>
      </c>
      <c r="DF80">
        <v>1689012305.5</v>
      </c>
      <c r="DG80">
        <v>98.141000000000005</v>
      </c>
      <c r="DH80">
        <v>119.919</v>
      </c>
      <c r="DI80">
        <v>28.3569</v>
      </c>
      <c r="DJ80">
        <v>21.4011</v>
      </c>
      <c r="DK80">
        <v>98.2624</v>
      </c>
      <c r="DL80">
        <v>28.3108</v>
      </c>
      <c r="DM80">
        <v>500.125</v>
      </c>
      <c r="DN80">
        <v>99.034999999999997</v>
      </c>
      <c r="DO80">
        <v>9.9975700000000001E-2</v>
      </c>
      <c r="DP80">
        <v>30.072900000000001</v>
      </c>
      <c r="DQ80">
        <v>29.975300000000001</v>
      </c>
      <c r="DR80">
        <v>999.9</v>
      </c>
      <c r="DS80">
        <v>0</v>
      </c>
      <c r="DT80">
        <v>0</v>
      </c>
      <c r="DU80">
        <v>10012.5</v>
      </c>
      <c r="DV80">
        <v>0</v>
      </c>
      <c r="DW80">
        <v>1886.65</v>
      </c>
      <c r="DX80">
        <v>-21.778300000000002</v>
      </c>
      <c r="DY80">
        <v>101.005</v>
      </c>
      <c r="DZ80">
        <v>122.542</v>
      </c>
      <c r="EA80">
        <v>6.9558400000000002</v>
      </c>
      <c r="EB80">
        <v>119.919</v>
      </c>
      <c r="EC80">
        <v>21.4011</v>
      </c>
      <c r="ED80">
        <v>2.8083200000000001</v>
      </c>
      <c r="EE80">
        <v>2.1194500000000001</v>
      </c>
      <c r="EF80">
        <v>22.9331</v>
      </c>
      <c r="EG80">
        <v>18.366099999999999</v>
      </c>
      <c r="EH80">
        <v>1800.15</v>
      </c>
      <c r="EI80">
        <v>0.97800900000000002</v>
      </c>
      <c r="EJ80">
        <v>2.19905E-2</v>
      </c>
      <c r="EK80">
        <v>0</v>
      </c>
      <c r="EL80">
        <v>661.72799999999995</v>
      </c>
      <c r="EM80">
        <v>5.0005300000000004</v>
      </c>
      <c r="EN80">
        <v>14735.6</v>
      </c>
      <c r="EO80">
        <v>16036.6</v>
      </c>
      <c r="EP80">
        <v>48</v>
      </c>
      <c r="EQ80">
        <v>49.686999999999998</v>
      </c>
      <c r="ER80">
        <v>48.686999999999998</v>
      </c>
      <c r="ES80">
        <v>48.875</v>
      </c>
      <c r="ET80">
        <v>49.25</v>
      </c>
      <c r="EU80">
        <v>1755.67</v>
      </c>
      <c r="EV80">
        <v>39.479999999999997</v>
      </c>
      <c r="EW80">
        <v>0</v>
      </c>
      <c r="EX80">
        <v>128.4000000953674</v>
      </c>
      <c r="EY80">
        <v>0</v>
      </c>
      <c r="EZ80">
        <v>661.79747999999995</v>
      </c>
      <c r="FA80">
        <v>-1.4496153671804279</v>
      </c>
      <c r="FB80">
        <v>-112.6461536558441</v>
      </c>
      <c r="FC80">
        <v>14748.78</v>
      </c>
      <c r="FD80">
        <v>15</v>
      </c>
      <c r="FE80">
        <v>1689012257.5</v>
      </c>
      <c r="FF80" t="s">
        <v>749</v>
      </c>
      <c r="FG80">
        <v>1689012249.5</v>
      </c>
      <c r="FH80">
        <v>1689012257.5</v>
      </c>
      <c r="FI80">
        <v>70</v>
      </c>
      <c r="FJ80">
        <v>6.3E-2</v>
      </c>
      <c r="FK80">
        <v>1E-3</v>
      </c>
      <c r="FL80">
        <v>-0.128</v>
      </c>
      <c r="FM80">
        <v>3.6999999999999998E-2</v>
      </c>
      <c r="FN80">
        <v>120</v>
      </c>
      <c r="FO80">
        <v>22</v>
      </c>
      <c r="FP80">
        <v>0.09</v>
      </c>
      <c r="FQ80">
        <v>0.02</v>
      </c>
      <c r="FR80">
        <v>17.560921249497738</v>
      </c>
      <c r="FS80">
        <v>-7.738767155828874E-2</v>
      </c>
      <c r="FT80">
        <v>1.1265964033823911E-2</v>
      </c>
      <c r="FU80">
        <v>1</v>
      </c>
      <c r="FV80">
        <v>0.4250133513286099</v>
      </c>
      <c r="FW80">
        <v>4.7874025417691007E-2</v>
      </c>
      <c r="FX80">
        <v>3.7380001265748669E-3</v>
      </c>
      <c r="FY80">
        <v>1</v>
      </c>
      <c r="FZ80">
        <v>2</v>
      </c>
      <c r="GA80">
        <v>2</v>
      </c>
      <c r="GB80" t="s">
        <v>424</v>
      </c>
      <c r="GC80">
        <v>3.1222099999999999</v>
      </c>
      <c r="GD80">
        <v>2.7673899999999998</v>
      </c>
      <c r="GE80">
        <v>2.5804400000000002E-2</v>
      </c>
      <c r="GF80">
        <v>3.1261200000000003E-2</v>
      </c>
      <c r="GG80">
        <v>0.120062</v>
      </c>
      <c r="GH80">
        <v>9.8788899999999999E-2</v>
      </c>
      <c r="GI80">
        <v>23282.6</v>
      </c>
      <c r="GJ80">
        <v>24005.3</v>
      </c>
      <c r="GK80">
        <v>23763</v>
      </c>
      <c r="GL80">
        <v>25093.5</v>
      </c>
      <c r="GM80">
        <v>30131.8</v>
      </c>
      <c r="GN80">
        <v>31715.1</v>
      </c>
      <c r="GO80">
        <v>37873.599999999999</v>
      </c>
      <c r="GP80">
        <v>39036.5</v>
      </c>
      <c r="GQ80">
        <v>2.1395200000000001</v>
      </c>
      <c r="GR80">
        <v>1.7094</v>
      </c>
      <c r="GS80">
        <v>-1.36048E-2</v>
      </c>
      <c r="GT80">
        <v>0</v>
      </c>
      <c r="GU80">
        <v>30.1967</v>
      </c>
      <c r="GV80">
        <v>999.9</v>
      </c>
      <c r="GW80">
        <v>28.7</v>
      </c>
      <c r="GX80">
        <v>45.7</v>
      </c>
      <c r="GY80">
        <v>28.956900000000001</v>
      </c>
      <c r="GZ80">
        <v>60.719099999999997</v>
      </c>
      <c r="HA80">
        <v>27.5441</v>
      </c>
      <c r="HB80">
        <v>1</v>
      </c>
      <c r="HC80">
        <v>0.58839399999999997</v>
      </c>
      <c r="HD80">
        <v>2.9096299999999999</v>
      </c>
      <c r="HE80">
        <v>20.2928</v>
      </c>
      <c r="HF80">
        <v>5.2487399999999997</v>
      </c>
      <c r="HG80">
        <v>12.0099</v>
      </c>
      <c r="HH80">
        <v>4.9791999999999996</v>
      </c>
      <c r="HI80">
        <v>3.2930000000000001</v>
      </c>
      <c r="HJ80">
        <v>9999</v>
      </c>
      <c r="HK80">
        <v>9999</v>
      </c>
      <c r="HL80">
        <v>9999</v>
      </c>
      <c r="HM80">
        <v>234.9</v>
      </c>
      <c r="HN80">
        <v>1.8757200000000001</v>
      </c>
      <c r="HO80">
        <v>1.87683</v>
      </c>
      <c r="HP80">
        <v>1.8827799999999999</v>
      </c>
      <c r="HQ80">
        <v>1.8859900000000001</v>
      </c>
      <c r="HR80">
        <v>1.87683</v>
      </c>
      <c r="HS80">
        <v>1.8832199999999999</v>
      </c>
      <c r="HT80">
        <v>1.8821699999999999</v>
      </c>
      <c r="HU80">
        <v>1.88568</v>
      </c>
      <c r="HV80">
        <v>0</v>
      </c>
      <c r="HW80">
        <v>0</v>
      </c>
      <c r="HX80">
        <v>0</v>
      </c>
      <c r="HY80">
        <v>0</v>
      </c>
      <c r="HZ80" t="s">
        <v>425</v>
      </c>
      <c r="IA80" t="s">
        <v>426</v>
      </c>
      <c r="IB80" t="s">
        <v>427</v>
      </c>
      <c r="IC80" t="s">
        <v>427</v>
      </c>
      <c r="ID80" t="s">
        <v>427</v>
      </c>
      <c r="IE80" t="s">
        <v>427</v>
      </c>
      <c r="IF80">
        <v>0</v>
      </c>
      <c r="IG80">
        <v>100</v>
      </c>
      <c r="IH80">
        <v>100</v>
      </c>
      <c r="II80">
        <v>-0.121</v>
      </c>
      <c r="IJ80">
        <v>4.6100000000000002E-2</v>
      </c>
      <c r="IK80">
        <v>-8.5320084883547018E-2</v>
      </c>
      <c r="IL80">
        <v>-4.2852564239613137E-4</v>
      </c>
      <c r="IM80">
        <v>6.4980710991155998E-7</v>
      </c>
      <c r="IN80">
        <v>-2.7237938963984961E-10</v>
      </c>
      <c r="IO80">
        <v>-1.2572057827167559E-2</v>
      </c>
      <c r="IP80">
        <v>6.6907473102813496E-3</v>
      </c>
      <c r="IQ80">
        <v>-3.3673306238274028E-4</v>
      </c>
      <c r="IR80">
        <v>6.1311374003140313E-6</v>
      </c>
      <c r="IS80">
        <v>3</v>
      </c>
      <c r="IT80">
        <v>2101</v>
      </c>
      <c r="IU80">
        <v>1</v>
      </c>
      <c r="IV80">
        <v>32</v>
      </c>
      <c r="IW80">
        <v>0.9</v>
      </c>
      <c r="IX80">
        <v>0.8</v>
      </c>
      <c r="IY80">
        <v>0.41015600000000002</v>
      </c>
      <c r="IZ80">
        <v>2.7368199999999998</v>
      </c>
      <c r="JA80">
        <v>1.6015600000000001</v>
      </c>
      <c r="JB80">
        <v>2.32544</v>
      </c>
      <c r="JC80">
        <v>1.5502899999999999</v>
      </c>
      <c r="JD80">
        <v>2.4267599999999998</v>
      </c>
      <c r="JE80">
        <v>49.043999999999997</v>
      </c>
      <c r="JF80">
        <v>24.035</v>
      </c>
      <c r="JG80">
        <v>18</v>
      </c>
      <c r="JH80">
        <v>596.899</v>
      </c>
      <c r="JI80">
        <v>372.47800000000001</v>
      </c>
      <c r="JJ80">
        <v>26.864799999999999</v>
      </c>
      <c r="JK80">
        <v>34.570500000000003</v>
      </c>
      <c r="JL80">
        <v>30.001100000000001</v>
      </c>
      <c r="JM80">
        <v>34.656799999999997</v>
      </c>
      <c r="JN80">
        <v>34.661200000000001</v>
      </c>
      <c r="JO80">
        <v>8.1976600000000008</v>
      </c>
      <c r="JP80">
        <v>31.129899999999999</v>
      </c>
      <c r="JQ80">
        <v>0</v>
      </c>
      <c r="JR80">
        <v>26.831199999999999</v>
      </c>
      <c r="JS80">
        <v>120</v>
      </c>
      <c r="JT80">
        <v>21.248799999999999</v>
      </c>
      <c r="JU80">
        <v>98.789500000000004</v>
      </c>
      <c r="JV80">
        <v>98.803600000000003</v>
      </c>
    </row>
    <row r="81" spans="1:282" x14ac:dyDescent="0.25">
      <c r="A81">
        <v>65</v>
      </c>
      <c r="B81">
        <v>1689012424.5</v>
      </c>
      <c r="C81">
        <v>12601.900000095369</v>
      </c>
      <c r="D81" t="s">
        <v>750</v>
      </c>
      <c r="E81" t="s">
        <v>751</v>
      </c>
      <c r="F81" t="s">
        <v>414</v>
      </c>
      <c r="G81" t="s">
        <v>415</v>
      </c>
      <c r="H81" t="s">
        <v>731</v>
      </c>
      <c r="I81" t="s">
        <v>578</v>
      </c>
      <c r="J81" t="s">
        <v>416</v>
      </c>
      <c r="K81">
        <v>1689012424.5</v>
      </c>
      <c r="L81">
        <f t="shared" ref="L81:L112" si="92">(M81)/1000</f>
        <v>6.2795640265061623E-3</v>
      </c>
      <c r="M81">
        <f t="shared" ref="M81:M112" si="93">1000*DM81*AK81*(DI81-DJ81)/(100*DB81*(1000-AK81*DI81))</f>
        <v>6.2795640265061623</v>
      </c>
      <c r="N81">
        <f t="shared" ref="N81:N112" si="94">DM81*AK81*(DH81-DG81*(1000-AK81*DJ81)/(1000-AK81*DI81))/(100*DB81)</f>
        <v>10.775172628503075</v>
      </c>
      <c r="O81">
        <f t="shared" ref="O81:O112" si="95">DG81 - IF(AK81&gt;1, N81*DB81*100/(AM81*DU81), 0)</f>
        <v>56.610100000000003</v>
      </c>
      <c r="P81">
        <f t="shared" ref="P81:P112" si="96">((V81-L81/2)*O81-N81)/(V81+L81/2)</f>
        <v>15.154900868963216</v>
      </c>
      <c r="Q81">
        <f t="shared" ref="Q81:Q112" si="97">P81*(DN81+DO81)/1000</f>
        <v>1.5023717622257331</v>
      </c>
      <c r="R81">
        <f t="shared" ref="R81:R112" si="98">(DG81 - IF(AK81&gt;1, N81*DB81*100/(AM81*DU81), 0))*(DN81+DO81)/1000</f>
        <v>5.6120073916784001</v>
      </c>
      <c r="S81">
        <f t="shared" ref="S81:S112" si="99">2/((1/U81-1/T81)+SIGN(U81)*SQRT((1/U81-1/T81)*(1/U81-1/T81) + 4*DC81/((DC81+1)*(DC81+1))*(2*1/U81*1/T81-1/T81*1/T81)))</f>
        <v>0.45608269422853565</v>
      </c>
      <c r="T81">
        <f t="shared" ref="T81:T112" si="100">IF(LEFT(DD81,1)&lt;&gt;"0",IF(LEFT(DD81,1)="1",3,DE81),$D$5+$E$5*(DU81*DN81/($K$5*1000))+$F$5*(DU81*DN81/($K$5*1000))*MAX(MIN(DB81,$J$5),$I$5)*MAX(MIN(DB81,$J$5),$I$5)+$G$5*MAX(MIN(DB81,$J$5),$I$5)*(DU81*DN81/($K$5*1000))+$H$5*(DU81*DN81/($K$5*1000))*(DU81*DN81/($K$5*1000)))</f>
        <v>2.9069690108145192</v>
      </c>
      <c r="U81">
        <f t="shared" ref="U81:U112" si="101">L81*(1000-(1000*0.61365*EXP(17.502*Y81/(240.97+Y81))/(DN81+DO81)+DI81)/2)/(1000*0.61365*EXP(17.502*Y81/(240.97+Y81))/(DN81+DO81)-DI81)</f>
        <v>0.41973586283607139</v>
      </c>
      <c r="V81">
        <f t="shared" ref="V81:V112" si="102">1/((DC81+1)/(S81/1.6)+1/(T81/1.37)) + DC81/((DC81+1)/(S81/1.6) + DC81/(T81/1.37))</f>
        <v>0.26535873227000512</v>
      </c>
      <c r="W81">
        <f t="shared" ref="W81:W112" si="103">(CX81*DA81)</f>
        <v>289.5389003263532</v>
      </c>
      <c r="X81">
        <f t="shared" ref="X81:X112" si="104">(DP81+(W81+2*0.95*0.0000000567*(((DP81+$B$7)+273)^4-(DP81+273)^4)-44100*L81)/(1.84*29.3*T81+8*0.95*0.0000000567*(DP81+273)^3))</f>
        <v>30.01034871021939</v>
      </c>
      <c r="Y81">
        <f t="shared" ref="Y81:Y112" si="105">($C$7*DQ81+$D$7*DR81+$E$7*X81)</f>
        <v>29.888100000000001</v>
      </c>
      <c r="Z81">
        <f t="shared" ref="Z81:Z112" si="106">0.61365*EXP(17.502*Y81/(240.97+Y81))</f>
        <v>4.2331425439399295</v>
      </c>
      <c r="AA81">
        <f t="shared" ref="AA81:AA112" si="107">(AB81/AC81*100)</f>
        <v>66.026758847228166</v>
      </c>
      <c r="AB81">
        <f t="shared" ref="AB81:AB112" si="108">DI81*(DN81+DO81)/1000</f>
        <v>2.8026479969408</v>
      </c>
      <c r="AC81">
        <f t="shared" ref="AC81:AC112" si="109">0.61365*EXP(17.502*DP81/(240.97+DP81))</f>
        <v>4.2447153939897762</v>
      </c>
      <c r="AD81">
        <f t="shared" ref="AD81:AD112" si="110">(Z81-DI81*(DN81+DO81)/1000)</f>
        <v>1.4304945469991295</v>
      </c>
      <c r="AE81">
        <f t="shared" ref="AE81:AE112" si="111">(-L81*44100)</f>
        <v>-276.92877356892177</v>
      </c>
      <c r="AF81">
        <f t="shared" ref="AF81:AF112" si="112">2*29.3*T81*0.92*(DP81-Y81)</f>
        <v>7.4442243822739496</v>
      </c>
      <c r="AG81">
        <f t="shared" ref="AG81:AG112" si="113">2*0.95*0.0000000567*(((DP81+$B$7)+273)^4-(Y81+273)^4)</f>
        <v>0.56890408686841831</v>
      </c>
      <c r="AH81">
        <f t="shared" ref="AH81:AH112" si="114">W81+AG81+AE81+AF81</f>
        <v>20.623255226573811</v>
      </c>
      <c r="AI81">
        <v>0</v>
      </c>
      <c r="AJ81">
        <v>0</v>
      </c>
      <c r="AK81">
        <f t="shared" ref="AK81:AK112" si="115">IF(AI81*$H$13&gt;=AM81,1,(AM81/(AM81-AI81*$H$13)))</f>
        <v>1</v>
      </c>
      <c r="AL81">
        <f t="shared" ref="AL81:AL112" si="116">(AK81-1)*100</f>
        <v>0</v>
      </c>
      <c r="AM81">
        <f t="shared" ref="AM81:AM112" si="117">MAX(0,($B$13+$C$13*DU81)/(1+$D$13*DU81)*DN81/(DP81+273)*$E$13)</f>
        <v>51700.330580802562</v>
      </c>
      <c r="AN81" t="s">
        <v>419</v>
      </c>
      <c r="AO81">
        <v>9967.0300000000007</v>
      </c>
      <c r="AP81">
        <v>178.94153846153841</v>
      </c>
      <c r="AQ81">
        <v>603.15</v>
      </c>
      <c r="AR81">
        <f t="shared" ref="AR81:AR112" si="118">1-AP81/AQ81</f>
        <v>0.7033216638290003</v>
      </c>
      <c r="AS81">
        <v>-3.2649104154664181</v>
      </c>
      <c r="AT81" t="s">
        <v>752</v>
      </c>
      <c r="AU81">
        <v>8053.63</v>
      </c>
      <c r="AV81">
        <v>672.11611999999991</v>
      </c>
      <c r="AW81">
        <v>759.32890972666166</v>
      </c>
      <c r="AX81">
        <f t="shared" ref="AX81:AX112" si="119">1-AV81/AW81</f>
        <v>0.11485508928937793</v>
      </c>
      <c r="AY81">
        <v>0.5</v>
      </c>
      <c r="AZ81">
        <f t="shared" ref="AZ81:AZ112" si="120">CY81</f>
        <v>1513.0340996509601</v>
      </c>
      <c r="BA81">
        <f t="shared" ref="BA81:BA112" si="121">N81</f>
        <v>10.775172628503075</v>
      </c>
      <c r="BB81">
        <f t="shared" ref="BB81:BB112" si="122">AX81*AY81*AZ81</f>
        <v>86.889833306642288</v>
      </c>
      <c r="BC81">
        <f t="shared" ref="BC81:BC112" si="123">(BA81-AS81)/AZ81</f>
        <v>9.2794227487724042E-3</v>
      </c>
      <c r="BD81">
        <f t="shared" ref="BD81:BD112" si="124">(AQ81-AW81)/AW81</f>
        <v>-0.20568018381241662</v>
      </c>
      <c r="BE81">
        <f t="shared" ref="BE81:BE112" si="125">AP81/(AR81+AP81/AW81)</f>
        <v>190.57030111949015</v>
      </c>
      <c r="BF81" t="s">
        <v>753</v>
      </c>
      <c r="BG81">
        <v>554.1</v>
      </c>
      <c r="BH81">
        <f t="shared" ref="BH81:BH112" si="126">IF(BG81&lt;&gt;0, BG81, BE81)</f>
        <v>554.1</v>
      </c>
      <c r="BI81">
        <f t="shared" ref="BI81:BI112" si="127">1-BH81/AW81</f>
        <v>0.27027669709103874</v>
      </c>
      <c r="BJ81">
        <f t="shared" ref="BJ81:BJ112" si="128">(AW81-AV81)/(AW81-BH81)</f>
        <v>0.42495372529541725</v>
      </c>
      <c r="BK81">
        <f t="shared" ref="BK81:BK112" si="129">(AQ81-AW81)/(AQ81-BH81)</f>
        <v>-3.1840756315323513</v>
      </c>
      <c r="BL81">
        <f t="shared" ref="BL81:BL112" si="130">(AW81-AV81)/(AW81-AP81)</f>
        <v>0.1502665186124848</v>
      </c>
      <c r="BM81">
        <f t="shared" ref="BM81:BM112" si="131">(AQ81-AW81)/(AQ81-AP81)</f>
        <v>-0.36816547496542917</v>
      </c>
      <c r="BN81">
        <f t="shared" ref="BN81:BN112" si="132">(BJ81*BH81/AV81)</f>
        <v>0.35033657455826345</v>
      </c>
      <c r="BO81">
        <f t="shared" ref="BO81:BO112" si="133">(1-BN81)</f>
        <v>0.64966342544173661</v>
      </c>
      <c r="BP81">
        <v>6165</v>
      </c>
      <c r="BQ81">
        <v>290.00000000000011</v>
      </c>
      <c r="BR81">
        <v>736.75</v>
      </c>
      <c r="BS81">
        <v>295</v>
      </c>
      <c r="BT81">
        <v>8053.63</v>
      </c>
      <c r="BU81">
        <v>738.02</v>
      </c>
      <c r="BV81">
        <v>-1.27</v>
      </c>
      <c r="BW81">
        <v>300.00000000000011</v>
      </c>
      <c r="BX81">
        <v>19.3</v>
      </c>
      <c r="BY81">
        <v>759.32890972666166</v>
      </c>
      <c r="BZ81">
        <v>2.2680792034705579</v>
      </c>
      <c r="CA81">
        <v>-17.159094103641511</v>
      </c>
      <c r="CB81">
        <v>1.678069077116167</v>
      </c>
      <c r="CC81">
        <v>0.78877622501687772</v>
      </c>
      <c r="CD81">
        <v>-4.155913681868741E-3</v>
      </c>
      <c r="CE81">
        <v>289.99999999999989</v>
      </c>
      <c r="CF81">
        <v>738.35</v>
      </c>
      <c r="CG81">
        <v>645</v>
      </c>
      <c r="CH81">
        <v>8044.64</v>
      </c>
      <c r="CI81">
        <v>738</v>
      </c>
      <c r="CJ81">
        <v>0.35</v>
      </c>
      <c r="CX81">
        <f t="shared" ref="CX81:CX112" si="134">$B$11*DV81+$C$11*DW81+$F$11*EH81*(1-EK81)</f>
        <v>1799.82</v>
      </c>
      <c r="CY81">
        <f t="shared" ref="CY81:CY112" si="135">CX81*CZ81</f>
        <v>1513.0340996509601</v>
      </c>
      <c r="CZ81">
        <f t="shared" ref="CZ81:CZ112" si="136">($B$11*$D$9+$C$11*$D$9+$F$11*((EU81+EM81)/MAX(EU81+EM81+EV81, 0.1)*$I$9+EV81/MAX(EU81+EM81+EV81, 0.1)*$J$9))/($B$11+$C$11+$F$11)</f>
        <v>0.84065856566265529</v>
      </c>
      <c r="DA81">
        <f t="shared" ref="DA81:DA112" si="137">($B$11*$K$9+$C$11*$K$9+$F$11*((EU81+EM81)/MAX(EU81+EM81+EV81, 0.1)*$P$9+EV81/MAX(EU81+EM81+EV81, 0.1)*$Q$9))/($B$11+$C$11+$F$11)</f>
        <v>0.16087103172892467</v>
      </c>
      <c r="DB81">
        <v>6</v>
      </c>
      <c r="DC81">
        <v>0.5</v>
      </c>
      <c r="DD81" t="s">
        <v>422</v>
      </c>
      <c r="DE81">
        <v>2</v>
      </c>
      <c r="DF81">
        <v>1689012424.5</v>
      </c>
      <c r="DG81">
        <v>56.610100000000003</v>
      </c>
      <c r="DH81">
        <v>69.963899999999995</v>
      </c>
      <c r="DI81">
        <v>28.2712</v>
      </c>
      <c r="DJ81">
        <v>20.950399999999998</v>
      </c>
      <c r="DK81">
        <v>56.6995</v>
      </c>
      <c r="DL81">
        <v>28.225999999999999</v>
      </c>
      <c r="DM81">
        <v>500.11200000000002</v>
      </c>
      <c r="DN81">
        <v>99.034099999999995</v>
      </c>
      <c r="DO81">
        <v>0.100284</v>
      </c>
      <c r="DP81">
        <v>29.935600000000001</v>
      </c>
      <c r="DQ81">
        <v>29.888100000000001</v>
      </c>
      <c r="DR81">
        <v>999.9</v>
      </c>
      <c r="DS81">
        <v>0</v>
      </c>
      <c r="DT81">
        <v>0</v>
      </c>
      <c r="DU81">
        <v>9968.1200000000008</v>
      </c>
      <c r="DV81">
        <v>0</v>
      </c>
      <c r="DW81">
        <v>585.06899999999996</v>
      </c>
      <c r="DX81">
        <v>-13.3538</v>
      </c>
      <c r="DY81">
        <v>58.257100000000001</v>
      </c>
      <c r="DZ81">
        <v>71.461100000000002</v>
      </c>
      <c r="EA81">
        <v>7.3208399999999996</v>
      </c>
      <c r="EB81">
        <v>69.963899999999995</v>
      </c>
      <c r="EC81">
        <v>20.950399999999998</v>
      </c>
      <c r="ED81">
        <v>2.7998099999999999</v>
      </c>
      <c r="EE81">
        <v>2.0748000000000002</v>
      </c>
      <c r="EF81">
        <v>22.882999999999999</v>
      </c>
      <c r="EG81">
        <v>18.027000000000001</v>
      </c>
      <c r="EH81">
        <v>1799.82</v>
      </c>
      <c r="EI81">
        <v>0.977989</v>
      </c>
      <c r="EJ81">
        <v>2.2010700000000001E-2</v>
      </c>
      <c r="EK81">
        <v>0</v>
      </c>
      <c r="EL81">
        <v>671.98299999999995</v>
      </c>
      <c r="EM81">
        <v>5.0005300000000004</v>
      </c>
      <c r="EN81">
        <v>13537.6</v>
      </c>
      <c r="EO81">
        <v>16033.6</v>
      </c>
      <c r="EP81">
        <v>48.25</v>
      </c>
      <c r="EQ81">
        <v>50.061999999999998</v>
      </c>
      <c r="ER81">
        <v>48.936999999999998</v>
      </c>
      <c r="ES81">
        <v>49.25</v>
      </c>
      <c r="ET81">
        <v>49.5</v>
      </c>
      <c r="EU81">
        <v>1755.31</v>
      </c>
      <c r="EV81">
        <v>39.51</v>
      </c>
      <c r="EW81">
        <v>0</v>
      </c>
      <c r="EX81">
        <v>117.19999980926509</v>
      </c>
      <c r="EY81">
        <v>0</v>
      </c>
      <c r="EZ81">
        <v>672.11611999999991</v>
      </c>
      <c r="FA81">
        <v>-1.2956923088146031</v>
      </c>
      <c r="FB81">
        <v>-35.661538485560428</v>
      </c>
      <c r="FC81">
        <v>13545.284</v>
      </c>
      <c r="FD81">
        <v>15</v>
      </c>
      <c r="FE81">
        <v>1689012382.5</v>
      </c>
      <c r="FF81" t="s">
        <v>754</v>
      </c>
      <c r="FG81">
        <v>1689012374</v>
      </c>
      <c r="FH81">
        <v>1689012382.5</v>
      </c>
      <c r="FI81">
        <v>71</v>
      </c>
      <c r="FJ81">
        <v>1.7999999999999999E-2</v>
      </c>
      <c r="FK81">
        <v>-1E-3</v>
      </c>
      <c r="FL81">
        <v>-9.4E-2</v>
      </c>
      <c r="FM81">
        <v>3.5999999999999997E-2</v>
      </c>
      <c r="FN81">
        <v>70</v>
      </c>
      <c r="FO81">
        <v>21</v>
      </c>
      <c r="FP81">
        <v>0.08</v>
      </c>
      <c r="FQ81">
        <v>0.02</v>
      </c>
      <c r="FR81">
        <v>10.784385781594571</v>
      </c>
      <c r="FS81">
        <v>-0.43693104573460428</v>
      </c>
      <c r="FT81">
        <v>4.7442065972419963E-2</v>
      </c>
      <c r="FU81">
        <v>1</v>
      </c>
      <c r="FV81">
        <v>0.45297147194692478</v>
      </c>
      <c r="FW81">
        <v>4.3720486988153368E-2</v>
      </c>
      <c r="FX81">
        <v>3.5858407990801218E-3</v>
      </c>
      <c r="FY81">
        <v>1</v>
      </c>
      <c r="FZ81">
        <v>2</v>
      </c>
      <c r="GA81">
        <v>2</v>
      </c>
      <c r="GB81" t="s">
        <v>424</v>
      </c>
      <c r="GC81">
        <v>3.1226600000000002</v>
      </c>
      <c r="GD81">
        <v>2.7673100000000002</v>
      </c>
      <c r="GE81">
        <v>1.50861E-2</v>
      </c>
      <c r="GF81">
        <v>1.8578500000000001E-2</v>
      </c>
      <c r="GG81">
        <v>0.11977599999999999</v>
      </c>
      <c r="GH81">
        <v>9.7266900000000003E-2</v>
      </c>
      <c r="GI81">
        <v>23529.9</v>
      </c>
      <c r="GJ81">
        <v>24309.7</v>
      </c>
      <c r="GK81">
        <v>23755.3</v>
      </c>
      <c r="GL81">
        <v>25084.7</v>
      </c>
      <c r="GM81">
        <v>30132.400000000001</v>
      </c>
      <c r="GN81">
        <v>31760.2</v>
      </c>
      <c r="GO81">
        <v>37862.199999999997</v>
      </c>
      <c r="GP81">
        <v>39026.400000000001</v>
      </c>
      <c r="GQ81">
        <v>2.1389300000000002</v>
      </c>
      <c r="GR81">
        <v>1.7051000000000001</v>
      </c>
      <c r="GS81">
        <v>-4.1544400000000002E-2</v>
      </c>
      <c r="GT81">
        <v>0</v>
      </c>
      <c r="GU81">
        <v>30.5639</v>
      </c>
      <c r="GV81">
        <v>999.9</v>
      </c>
      <c r="GW81">
        <v>28.6</v>
      </c>
      <c r="GX81">
        <v>45.8</v>
      </c>
      <c r="GY81">
        <v>29.0045</v>
      </c>
      <c r="GZ81">
        <v>60.999099999999999</v>
      </c>
      <c r="HA81">
        <v>28.2532</v>
      </c>
      <c r="HB81">
        <v>1</v>
      </c>
      <c r="HC81">
        <v>0.60150700000000001</v>
      </c>
      <c r="HD81">
        <v>2.7562099999999998</v>
      </c>
      <c r="HE81">
        <v>20.295300000000001</v>
      </c>
      <c r="HF81">
        <v>5.2475399999999999</v>
      </c>
      <c r="HG81">
        <v>12.0099</v>
      </c>
      <c r="HH81">
        <v>4.9776999999999996</v>
      </c>
      <c r="HI81">
        <v>3.2922500000000001</v>
      </c>
      <c r="HJ81">
        <v>9999</v>
      </c>
      <c r="HK81">
        <v>9999</v>
      </c>
      <c r="HL81">
        <v>9999</v>
      </c>
      <c r="HM81">
        <v>234.9</v>
      </c>
      <c r="HN81">
        <v>1.8757200000000001</v>
      </c>
      <c r="HO81">
        <v>1.87683</v>
      </c>
      <c r="HP81">
        <v>1.8827799999999999</v>
      </c>
      <c r="HQ81">
        <v>1.88602</v>
      </c>
      <c r="HR81">
        <v>1.87683</v>
      </c>
      <c r="HS81">
        <v>1.8832199999999999</v>
      </c>
      <c r="HT81">
        <v>1.8821699999999999</v>
      </c>
      <c r="HU81">
        <v>1.8856900000000001</v>
      </c>
      <c r="HV81">
        <v>0</v>
      </c>
      <c r="HW81">
        <v>0</v>
      </c>
      <c r="HX81">
        <v>0</v>
      </c>
      <c r="HY81">
        <v>0</v>
      </c>
      <c r="HZ81" t="s">
        <v>425</v>
      </c>
      <c r="IA81" t="s">
        <v>426</v>
      </c>
      <c r="IB81" t="s">
        <v>427</v>
      </c>
      <c r="IC81" t="s">
        <v>427</v>
      </c>
      <c r="ID81" t="s">
        <v>427</v>
      </c>
      <c r="IE81" t="s">
        <v>427</v>
      </c>
      <c r="IF81">
        <v>0</v>
      </c>
      <c r="IG81">
        <v>100</v>
      </c>
      <c r="IH81">
        <v>100</v>
      </c>
      <c r="II81">
        <v>-8.8999999999999996E-2</v>
      </c>
      <c r="IJ81">
        <v>4.5199999999999997E-2</v>
      </c>
      <c r="IK81">
        <v>-6.7115306037381042E-2</v>
      </c>
      <c r="IL81">
        <v>-4.2852564239613137E-4</v>
      </c>
      <c r="IM81">
        <v>6.4980710991155998E-7</v>
      </c>
      <c r="IN81">
        <v>-2.7237938963984961E-10</v>
      </c>
      <c r="IO81">
        <v>-1.328482669964068E-2</v>
      </c>
      <c r="IP81">
        <v>6.6907473102813496E-3</v>
      </c>
      <c r="IQ81">
        <v>-3.3673306238274028E-4</v>
      </c>
      <c r="IR81">
        <v>6.1311374003140313E-6</v>
      </c>
      <c r="IS81">
        <v>3</v>
      </c>
      <c r="IT81">
        <v>2101</v>
      </c>
      <c r="IU81">
        <v>1</v>
      </c>
      <c r="IV81">
        <v>32</v>
      </c>
      <c r="IW81">
        <v>0.8</v>
      </c>
      <c r="IX81">
        <v>0.7</v>
      </c>
      <c r="IY81">
        <v>0.29785200000000001</v>
      </c>
      <c r="IZ81">
        <v>2.7453599999999998</v>
      </c>
      <c r="JA81">
        <v>1.6015600000000001</v>
      </c>
      <c r="JB81">
        <v>2.32544</v>
      </c>
      <c r="JC81">
        <v>1.5502899999999999</v>
      </c>
      <c r="JD81">
        <v>2.4047900000000002</v>
      </c>
      <c r="JE81">
        <v>49.231999999999999</v>
      </c>
      <c r="JF81">
        <v>24.035</v>
      </c>
      <c r="JG81">
        <v>18</v>
      </c>
      <c r="JH81">
        <v>597.64</v>
      </c>
      <c r="JI81">
        <v>370.67500000000001</v>
      </c>
      <c r="JJ81">
        <v>26.536999999999999</v>
      </c>
      <c r="JK81">
        <v>34.739400000000003</v>
      </c>
      <c r="JL81">
        <v>29.998799999999999</v>
      </c>
      <c r="JM81">
        <v>34.7879</v>
      </c>
      <c r="JN81">
        <v>34.792099999999998</v>
      </c>
      <c r="JO81">
        <v>5.94041</v>
      </c>
      <c r="JP81">
        <v>32.853299999999997</v>
      </c>
      <c r="JQ81">
        <v>0</v>
      </c>
      <c r="JR81">
        <v>26.567699999999999</v>
      </c>
      <c r="JS81">
        <v>70</v>
      </c>
      <c r="JT81">
        <v>20.697099999999999</v>
      </c>
      <c r="JU81">
        <v>98.758799999999994</v>
      </c>
      <c r="JV81">
        <v>98.774500000000003</v>
      </c>
    </row>
    <row r="82" spans="1:282" x14ac:dyDescent="0.25">
      <c r="A82">
        <v>66</v>
      </c>
      <c r="B82">
        <v>1689012561.5</v>
      </c>
      <c r="C82">
        <v>12738.900000095369</v>
      </c>
      <c r="D82" t="s">
        <v>755</v>
      </c>
      <c r="E82" t="s">
        <v>756</v>
      </c>
      <c r="F82" t="s">
        <v>414</v>
      </c>
      <c r="G82" t="s">
        <v>415</v>
      </c>
      <c r="H82" t="s">
        <v>731</v>
      </c>
      <c r="I82" t="s">
        <v>578</v>
      </c>
      <c r="J82" t="s">
        <v>416</v>
      </c>
      <c r="K82">
        <v>1689012561.5</v>
      </c>
      <c r="L82">
        <f t="shared" si="92"/>
        <v>6.0477069996857482E-3</v>
      </c>
      <c r="M82">
        <f t="shared" si="93"/>
        <v>6.0477069996857482</v>
      </c>
      <c r="N82">
        <f t="shared" si="94"/>
        <v>4.5279934303270579</v>
      </c>
      <c r="O82">
        <f t="shared" si="95"/>
        <v>24.4739</v>
      </c>
      <c r="P82">
        <f t="shared" si="96"/>
        <v>6.7109416745188266</v>
      </c>
      <c r="Q82">
        <f t="shared" si="97"/>
        <v>0.66527578773101648</v>
      </c>
      <c r="R82">
        <f t="shared" si="98"/>
        <v>2.4261711531738999</v>
      </c>
      <c r="S82">
        <f t="shared" si="99"/>
        <v>0.44654994396201919</v>
      </c>
      <c r="T82">
        <f t="shared" si="100"/>
        <v>2.9127367490305671</v>
      </c>
      <c r="U82">
        <f t="shared" si="101"/>
        <v>0.41170770806741569</v>
      </c>
      <c r="V82">
        <f t="shared" si="102"/>
        <v>0.26022083361732967</v>
      </c>
      <c r="W82">
        <f t="shared" si="103"/>
        <v>289.57011302314851</v>
      </c>
      <c r="X82">
        <f t="shared" si="104"/>
        <v>30.188982968955401</v>
      </c>
      <c r="Y82">
        <f t="shared" si="105"/>
        <v>29.7836</v>
      </c>
      <c r="Z82">
        <f t="shared" si="106"/>
        <v>4.2077790287963239</v>
      </c>
      <c r="AA82">
        <f t="shared" si="107"/>
        <v>65.590347527867877</v>
      </c>
      <c r="AB82">
        <f t="shared" si="108"/>
        <v>2.8030748229758995</v>
      </c>
      <c r="AC82">
        <f t="shared" si="109"/>
        <v>4.2736087376041656</v>
      </c>
      <c r="AD82">
        <f t="shared" si="110"/>
        <v>1.4047042058204244</v>
      </c>
      <c r="AE82">
        <f t="shared" si="111"/>
        <v>-266.70387868614148</v>
      </c>
      <c r="AF82">
        <f t="shared" si="112"/>
        <v>42.414198322069979</v>
      </c>
      <c r="AG82">
        <f t="shared" si="113"/>
        <v>3.2351867831228622</v>
      </c>
      <c r="AH82">
        <f t="shared" si="114"/>
        <v>68.515619442199863</v>
      </c>
      <c r="AI82">
        <v>0</v>
      </c>
      <c r="AJ82">
        <v>0</v>
      </c>
      <c r="AK82">
        <f t="shared" si="115"/>
        <v>1</v>
      </c>
      <c r="AL82">
        <f t="shared" si="116"/>
        <v>0</v>
      </c>
      <c r="AM82">
        <f t="shared" si="117"/>
        <v>51844.049766208373</v>
      </c>
      <c r="AN82" t="s">
        <v>419</v>
      </c>
      <c r="AO82">
        <v>9967.0300000000007</v>
      </c>
      <c r="AP82">
        <v>178.94153846153841</v>
      </c>
      <c r="AQ82">
        <v>603.15</v>
      </c>
      <c r="AR82">
        <f t="shared" si="118"/>
        <v>0.7033216638290003</v>
      </c>
      <c r="AS82">
        <v>-3.2649104154664181</v>
      </c>
      <c r="AT82" t="s">
        <v>757</v>
      </c>
      <c r="AU82">
        <v>8056.21</v>
      </c>
      <c r="AV82">
        <v>686.34684615384629</v>
      </c>
      <c r="AW82">
        <v>751.05657011359756</v>
      </c>
      <c r="AX82">
        <f t="shared" si="119"/>
        <v>8.615825562908519E-2</v>
      </c>
      <c r="AY82">
        <v>0.5</v>
      </c>
      <c r="AZ82">
        <f t="shared" si="120"/>
        <v>1513.2093062296105</v>
      </c>
      <c r="BA82">
        <f t="shared" si="121"/>
        <v>4.5279934303270579</v>
      </c>
      <c r="BB82">
        <f t="shared" si="122"/>
        <v>65.18773711322072</v>
      </c>
      <c r="BC82">
        <f t="shared" si="123"/>
        <v>5.1499180012384883E-3</v>
      </c>
      <c r="BD82">
        <f t="shared" si="124"/>
        <v>-0.19693133113957936</v>
      </c>
      <c r="BE82">
        <f t="shared" si="125"/>
        <v>190.04496488232581</v>
      </c>
      <c r="BF82" t="s">
        <v>758</v>
      </c>
      <c r="BG82">
        <v>581.62</v>
      </c>
      <c r="BH82">
        <f t="shared" si="126"/>
        <v>581.62</v>
      </c>
      <c r="BI82">
        <f t="shared" si="127"/>
        <v>0.22559761388941746</v>
      </c>
      <c r="BJ82">
        <f t="shared" si="128"/>
        <v>0.38191120084859542</v>
      </c>
      <c r="BK82">
        <f t="shared" si="129"/>
        <v>-6.869789601188935</v>
      </c>
      <c r="BL82">
        <f t="shared" si="130"/>
        <v>0.11310614191151951</v>
      </c>
      <c r="BM82">
        <f t="shared" si="131"/>
        <v>-0.34866482761138273</v>
      </c>
      <c r="BN82">
        <f t="shared" si="132"/>
        <v>0.32363693937302618</v>
      </c>
      <c r="BO82">
        <f t="shared" si="133"/>
        <v>0.67636306062697382</v>
      </c>
      <c r="BP82">
        <v>6167</v>
      </c>
      <c r="BQ82">
        <v>290.00000000000011</v>
      </c>
      <c r="BR82">
        <v>728.79</v>
      </c>
      <c r="BS82">
        <v>255</v>
      </c>
      <c r="BT82">
        <v>8056.21</v>
      </c>
      <c r="BU82">
        <v>728.37</v>
      </c>
      <c r="BV82">
        <v>0.42</v>
      </c>
      <c r="BW82">
        <v>300.00000000000011</v>
      </c>
      <c r="BX82">
        <v>19.3</v>
      </c>
      <c r="BY82">
        <v>751.05657011359756</v>
      </c>
      <c r="BZ82">
        <v>1.706118787872936</v>
      </c>
      <c r="CA82">
        <v>-18.277016529820141</v>
      </c>
      <c r="CB82">
        <v>1.262408572951526</v>
      </c>
      <c r="CC82">
        <v>0.88215954037746447</v>
      </c>
      <c r="CD82">
        <v>-4.1559946607341511E-3</v>
      </c>
      <c r="CE82">
        <v>289.99999999999989</v>
      </c>
      <c r="CF82">
        <v>727.74</v>
      </c>
      <c r="CG82">
        <v>655</v>
      </c>
      <c r="CH82">
        <v>8045.07</v>
      </c>
      <c r="CI82">
        <v>728.34</v>
      </c>
      <c r="CJ82">
        <v>-0.6</v>
      </c>
      <c r="CX82">
        <f t="shared" si="134"/>
        <v>1800.03</v>
      </c>
      <c r="CY82">
        <f t="shared" si="135"/>
        <v>1513.2093062296105</v>
      </c>
      <c r="CZ82">
        <f t="shared" si="136"/>
        <v>0.84065782583046422</v>
      </c>
      <c r="DA82">
        <f t="shared" si="137"/>
        <v>0.16086960385279606</v>
      </c>
      <c r="DB82">
        <v>6</v>
      </c>
      <c r="DC82">
        <v>0.5</v>
      </c>
      <c r="DD82" t="s">
        <v>422</v>
      </c>
      <c r="DE82">
        <v>2</v>
      </c>
      <c r="DF82">
        <v>1689012561.5</v>
      </c>
      <c r="DG82">
        <v>24.4739</v>
      </c>
      <c r="DH82">
        <v>30.083400000000001</v>
      </c>
      <c r="DI82">
        <v>28.2759</v>
      </c>
      <c r="DJ82">
        <v>21.225999999999999</v>
      </c>
      <c r="DK82">
        <v>24.373200000000001</v>
      </c>
      <c r="DL82">
        <v>28.227699999999999</v>
      </c>
      <c r="DM82">
        <v>500.15199999999999</v>
      </c>
      <c r="DN82">
        <v>99.032799999999995</v>
      </c>
      <c r="DO82">
        <v>0.100201</v>
      </c>
      <c r="DP82">
        <v>30.053699999999999</v>
      </c>
      <c r="DQ82">
        <v>29.7836</v>
      </c>
      <c r="DR82">
        <v>999.9</v>
      </c>
      <c r="DS82">
        <v>0</v>
      </c>
      <c r="DT82">
        <v>0</v>
      </c>
      <c r="DU82">
        <v>10001.200000000001</v>
      </c>
      <c r="DV82">
        <v>0</v>
      </c>
      <c r="DW82">
        <v>697.75199999999995</v>
      </c>
      <c r="DX82">
        <v>-5.6095199999999998</v>
      </c>
      <c r="DY82">
        <v>25.186</v>
      </c>
      <c r="DZ82">
        <v>30.735800000000001</v>
      </c>
      <c r="EA82">
        <v>7.0498700000000003</v>
      </c>
      <c r="EB82">
        <v>30.083400000000001</v>
      </c>
      <c r="EC82">
        <v>21.225999999999999</v>
      </c>
      <c r="ED82">
        <v>2.8002400000000001</v>
      </c>
      <c r="EE82">
        <v>2.1020699999999999</v>
      </c>
      <c r="EF82">
        <v>22.8855</v>
      </c>
      <c r="EG82">
        <v>18.2349</v>
      </c>
      <c r="EH82">
        <v>1800.03</v>
      </c>
      <c r="EI82">
        <v>0.97800900000000002</v>
      </c>
      <c r="EJ82">
        <v>2.19905E-2</v>
      </c>
      <c r="EK82">
        <v>0</v>
      </c>
      <c r="EL82">
        <v>686.23599999999999</v>
      </c>
      <c r="EM82">
        <v>5.0005300000000004</v>
      </c>
      <c r="EN82">
        <v>14040.9</v>
      </c>
      <c r="EO82">
        <v>16035.6</v>
      </c>
      <c r="EP82">
        <v>48.061999999999998</v>
      </c>
      <c r="EQ82">
        <v>49.436999999999998</v>
      </c>
      <c r="ER82">
        <v>48.686999999999998</v>
      </c>
      <c r="ES82">
        <v>48.875</v>
      </c>
      <c r="ET82">
        <v>49.375</v>
      </c>
      <c r="EU82">
        <v>1755.55</v>
      </c>
      <c r="EV82">
        <v>39.47</v>
      </c>
      <c r="EW82">
        <v>0</v>
      </c>
      <c r="EX82">
        <v>135</v>
      </c>
      <c r="EY82">
        <v>0</v>
      </c>
      <c r="EZ82">
        <v>686.34684615384629</v>
      </c>
      <c r="FA82">
        <v>0.65962394394145307</v>
      </c>
      <c r="FB82">
        <v>668.84102519261262</v>
      </c>
      <c r="FC82">
        <v>13815.946153846149</v>
      </c>
      <c r="FD82">
        <v>15</v>
      </c>
      <c r="FE82">
        <v>1689012524</v>
      </c>
      <c r="FF82" t="s">
        <v>759</v>
      </c>
      <c r="FG82">
        <v>1689012507</v>
      </c>
      <c r="FH82">
        <v>1689012524</v>
      </c>
      <c r="FI82">
        <v>72</v>
      </c>
      <c r="FJ82">
        <v>0.17799999999999999</v>
      </c>
      <c r="FK82">
        <v>3.0000000000000001E-3</v>
      </c>
      <c r="FL82">
        <v>9.9000000000000005E-2</v>
      </c>
      <c r="FM82">
        <v>3.7999999999999999E-2</v>
      </c>
      <c r="FN82">
        <v>30</v>
      </c>
      <c r="FO82">
        <v>21</v>
      </c>
      <c r="FP82">
        <v>0.28000000000000003</v>
      </c>
      <c r="FQ82">
        <v>0.01</v>
      </c>
      <c r="FR82">
        <v>4.6205657847841692</v>
      </c>
      <c r="FS82">
        <v>4.6808492336844511E-3</v>
      </c>
      <c r="FT82">
        <v>4.2612636791029862E-2</v>
      </c>
      <c r="FU82">
        <v>1</v>
      </c>
      <c r="FV82">
        <v>0.44303736146996509</v>
      </c>
      <c r="FW82">
        <v>4.7528360372182311E-2</v>
      </c>
      <c r="FX82">
        <v>3.7029115332951308E-3</v>
      </c>
      <c r="FY82">
        <v>1</v>
      </c>
      <c r="FZ82">
        <v>2</v>
      </c>
      <c r="GA82">
        <v>2</v>
      </c>
      <c r="GB82" t="s">
        <v>424</v>
      </c>
      <c r="GC82">
        <v>3.1225700000000001</v>
      </c>
      <c r="GD82">
        <v>2.7675100000000001</v>
      </c>
      <c r="GE82">
        <v>6.5219700000000002E-3</v>
      </c>
      <c r="GF82">
        <v>8.0542700000000005E-3</v>
      </c>
      <c r="GG82">
        <v>0.119779</v>
      </c>
      <c r="GH82">
        <v>9.8181400000000002E-2</v>
      </c>
      <c r="GI82">
        <v>23733.8</v>
      </c>
      <c r="GJ82">
        <v>24573.3</v>
      </c>
      <c r="GK82">
        <v>23754.9</v>
      </c>
      <c r="GL82">
        <v>25087.9</v>
      </c>
      <c r="GM82">
        <v>30131.3</v>
      </c>
      <c r="GN82">
        <v>31735.200000000001</v>
      </c>
      <c r="GO82">
        <v>37860.9</v>
      </c>
      <c r="GP82">
        <v>39035.1</v>
      </c>
      <c r="GQ82">
        <v>2.1372</v>
      </c>
      <c r="GR82">
        <v>1.7067699999999999</v>
      </c>
      <c r="GS82">
        <v>2.7366000000000001E-2</v>
      </c>
      <c r="GT82">
        <v>0</v>
      </c>
      <c r="GU82">
        <v>29.337900000000001</v>
      </c>
      <c r="GV82">
        <v>999.9</v>
      </c>
      <c r="GW82">
        <v>28.3</v>
      </c>
      <c r="GX82">
        <v>45.9</v>
      </c>
      <c r="GY82">
        <v>28.8491</v>
      </c>
      <c r="GZ82">
        <v>60.709099999999999</v>
      </c>
      <c r="HA82">
        <v>28.084900000000001</v>
      </c>
      <c r="HB82">
        <v>1</v>
      </c>
      <c r="HC82">
        <v>0.59587199999999996</v>
      </c>
      <c r="HD82">
        <v>1.38337</v>
      </c>
      <c r="HE82">
        <v>20.311900000000001</v>
      </c>
      <c r="HF82">
        <v>5.25143</v>
      </c>
      <c r="HG82">
        <v>12.0099</v>
      </c>
      <c r="HH82">
        <v>4.9787499999999998</v>
      </c>
      <c r="HI82">
        <v>3.2930000000000001</v>
      </c>
      <c r="HJ82">
        <v>9999</v>
      </c>
      <c r="HK82">
        <v>9999</v>
      </c>
      <c r="HL82">
        <v>9999</v>
      </c>
      <c r="HM82">
        <v>234.9</v>
      </c>
      <c r="HN82">
        <v>1.87571</v>
      </c>
      <c r="HO82">
        <v>1.87683</v>
      </c>
      <c r="HP82">
        <v>1.8827799999999999</v>
      </c>
      <c r="HQ82">
        <v>1.8860300000000001</v>
      </c>
      <c r="HR82">
        <v>1.87683</v>
      </c>
      <c r="HS82">
        <v>1.88324</v>
      </c>
      <c r="HT82">
        <v>1.88218</v>
      </c>
      <c r="HU82">
        <v>1.8856900000000001</v>
      </c>
      <c r="HV82">
        <v>0</v>
      </c>
      <c r="HW82">
        <v>0</v>
      </c>
      <c r="HX82">
        <v>0</v>
      </c>
      <c r="HY82">
        <v>0</v>
      </c>
      <c r="HZ82" t="s">
        <v>425</v>
      </c>
      <c r="IA82" t="s">
        <v>426</v>
      </c>
      <c r="IB82" t="s">
        <v>427</v>
      </c>
      <c r="IC82" t="s">
        <v>427</v>
      </c>
      <c r="ID82" t="s">
        <v>427</v>
      </c>
      <c r="IE82" t="s">
        <v>427</v>
      </c>
      <c r="IF82">
        <v>0</v>
      </c>
      <c r="IG82">
        <v>100</v>
      </c>
      <c r="IH82">
        <v>100</v>
      </c>
      <c r="II82">
        <v>0.10100000000000001</v>
      </c>
      <c r="IJ82">
        <v>4.82E-2</v>
      </c>
      <c r="IK82">
        <v>0.110748095761144</v>
      </c>
      <c r="IL82">
        <v>-4.2852564239613137E-4</v>
      </c>
      <c r="IM82">
        <v>6.4980710991155998E-7</v>
      </c>
      <c r="IN82">
        <v>-2.7237938963984961E-10</v>
      </c>
      <c r="IO82">
        <v>-1.02022012787009E-2</v>
      </c>
      <c r="IP82">
        <v>6.6907473102813496E-3</v>
      </c>
      <c r="IQ82">
        <v>-3.3673306238274028E-4</v>
      </c>
      <c r="IR82">
        <v>6.1311374003140313E-6</v>
      </c>
      <c r="IS82">
        <v>3</v>
      </c>
      <c r="IT82">
        <v>2101</v>
      </c>
      <c r="IU82">
        <v>1</v>
      </c>
      <c r="IV82">
        <v>32</v>
      </c>
      <c r="IW82">
        <v>0.9</v>
      </c>
      <c r="IX82">
        <v>0.6</v>
      </c>
      <c r="IY82">
        <v>0.20874000000000001</v>
      </c>
      <c r="IZ82">
        <v>2.7685499999999998</v>
      </c>
      <c r="JA82">
        <v>1.6003400000000001</v>
      </c>
      <c r="JB82">
        <v>2.32544</v>
      </c>
      <c r="JC82">
        <v>1.5502899999999999</v>
      </c>
      <c r="JD82">
        <v>2.4230999999999998</v>
      </c>
      <c r="JE82">
        <v>49.1066</v>
      </c>
      <c r="JF82">
        <v>24.052499999999998</v>
      </c>
      <c r="JG82">
        <v>18</v>
      </c>
      <c r="JH82">
        <v>596.42899999999997</v>
      </c>
      <c r="JI82">
        <v>371.63400000000001</v>
      </c>
      <c r="JJ82">
        <v>27.833200000000001</v>
      </c>
      <c r="JK82">
        <v>34.676600000000001</v>
      </c>
      <c r="JL82">
        <v>29.9985</v>
      </c>
      <c r="JM82">
        <v>34.7896</v>
      </c>
      <c r="JN82">
        <v>34.783999999999999</v>
      </c>
      <c r="JO82">
        <v>4.1776299999999997</v>
      </c>
      <c r="JP82">
        <v>29.226400000000002</v>
      </c>
      <c r="JQ82">
        <v>0</v>
      </c>
      <c r="JR82">
        <v>27.88</v>
      </c>
      <c r="JS82">
        <v>30</v>
      </c>
      <c r="JT82">
        <v>21.116800000000001</v>
      </c>
      <c r="JU82">
        <v>98.756200000000007</v>
      </c>
      <c r="JV82">
        <v>98.7928</v>
      </c>
    </row>
    <row r="83" spans="1:282" x14ac:dyDescent="0.25">
      <c r="A83">
        <v>67</v>
      </c>
      <c r="B83">
        <v>1689012664.5</v>
      </c>
      <c r="C83">
        <v>12841.900000095369</v>
      </c>
      <c r="D83" t="s">
        <v>760</v>
      </c>
      <c r="E83" t="s">
        <v>761</v>
      </c>
      <c r="F83" t="s">
        <v>414</v>
      </c>
      <c r="G83" t="s">
        <v>415</v>
      </c>
      <c r="H83" t="s">
        <v>731</v>
      </c>
      <c r="I83" t="s">
        <v>578</v>
      </c>
      <c r="J83" t="s">
        <v>416</v>
      </c>
      <c r="K83">
        <v>1689012664.5</v>
      </c>
      <c r="L83">
        <f t="shared" si="92"/>
        <v>6.0711637124312877E-3</v>
      </c>
      <c r="M83">
        <f t="shared" si="93"/>
        <v>6.0711637124312876</v>
      </c>
      <c r="N83">
        <f t="shared" si="94"/>
        <v>1.497132997661081</v>
      </c>
      <c r="O83">
        <f t="shared" si="95"/>
        <v>8.3228799999999996</v>
      </c>
      <c r="P83">
        <f t="shared" si="96"/>
        <v>2.4338602469372144</v>
      </c>
      <c r="Q83">
        <f t="shared" si="97"/>
        <v>0.24129060196278976</v>
      </c>
      <c r="R83">
        <f t="shared" si="98"/>
        <v>0.82512244809094393</v>
      </c>
      <c r="S83">
        <f t="shared" si="99"/>
        <v>0.44569615001162988</v>
      </c>
      <c r="T83">
        <f t="shared" si="100"/>
        <v>2.9148249356579834</v>
      </c>
      <c r="U83">
        <f t="shared" si="101"/>
        <v>0.41100427162989456</v>
      </c>
      <c r="V83">
        <f t="shared" si="102"/>
        <v>0.25976920223286587</v>
      </c>
      <c r="W83">
        <f t="shared" si="103"/>
        <v>289.55631532690956</v>
      </c>
      <c r="X83">
        <f t="shared" si="104"/>
        <v>30.564560766433182</v>
      </c>
      <c r="Y83">
        <f t="shared" si="105"/>
        <v>30.067799999999998</v>
      </c>
      <c r="Z83">
        <f t="shared" si="106"/>
        <v>4.277069750312017</v>
      </c>
      <c r="AA83">
        <f t="shared" si="107"/>
        <v>65.596234088508368</v>
      </c>
      <c r="AB83">
        <f t="shared" si="108"/>
        <v>2.86538633026526</v>
      </c>
      <c r="AC83">
        <f t="shared" si="109"/>
        <v>4.3682177339617114</v>
      </c>
      <c r="AD83">
        <f t="shared" si="110"/>
        <v>1.411683420046757</v>
      </c>
      <c r="AE83">
        <f t="shared" si="111"/>
        <v>-267.73831971821977</v>
      </c>
      <c r="AF83">
        <f t="shared" si="112"/>
        <v>57.797578622293265</v>
      </c>
      <c r="AG83">
        <f t="shared" si="113"/>
        <v>4.4199592794531437</v>
      </c>
      <c r="AH83">
        <f t="shared" si="114"/>
        <v>84.03553351043621</v>
      </c>
      <c r="AI83">
        <v>0</v>
      </c>
      <c r="AJ83">
        <v>0</v>
      </c>
      <c r="AK83">
        <f t="shared" si="115"/>
        <v>1</v>
      </c>
      <c r="AL83">
        <f t="shared" si="116"/>
        <v>0</v>
      </c>
      <c r="AM83">
        <f t="shared" si="117"/>
        <v>51838.250272402183</v>
      </c>
      <c r="AN83" t="s">
        <v>419</v>
      </c>
      <c r="AO83">
        <v>9967.0300000000007</v>
      </c>
      <c r="AP83">
        <v>178.94153846153841</v>
      </c>
      <c r="AQ83">
        <v>603.15</v>
      </c>
      <c r="AR83">
        <f t="shared" si="118"/>
        <v>0.7033216638290003</v>
      </c>
      <c r="AS83">
        <v>-3.2649104154664181</v>
      </c>
      <c r="AT83" t="s">
        <v>762</v>
      </c>
      <c r="AU83">
        <v>8068.53</v>
      </c>
      <c r="AV83">
        <v>693.74184615384615</v>
      </c>
      <c r="AW83">
        <v>743.11934039840571</v>
      </c>
      <c r="AX83">
        <f t="shared" si="119"/>
        <v>6.6446251039687598E-2</v>
      </c>
      <c r="AY83">
        <v>0.5</v>
      </c>
      <c r="AZ83">
        <f t="shared" si="120"/>
        <v>1513.1339996512484</v>
      </c>
      <c r="BA83">
        <f t="shared" si="121"/>
        <v>1.497132997661081</v>
      </c>
      <c r="BB83">
        <f t="shared" si="122"/>
        <v>50.271040798756708</v>
      </c>
      <c r="BC83">
        <f t="shared" si="123"/>
        <v>3.1471392581391131E-3</v>
      </c>
      <c r="BD83">
        <f t="shared" si="124"/>
        <v>-0.18835378490265711</v>
      </c>
      <c r="BE83">
        <f t="shared" si="125"/>
        <v>189.5327192113854</v>
      </c>
      <c r="BF83" t="s">
        <v>763</v>
      </c>
      <c r="BG83">
        <v>592.49</v>
      </c>
      <c r="BH83">
        <f t="shared" si="126"/>
        <v>592.49</v>
      </c>
      <c r="BI83">
        <f t="shared" si="127"/>
        <v>0.20269872173916159</v>
      </c>
      <c r="BJ83">
        <f t="shared" si="128"/>
        <v>0.32780794308704403</v>
      </c>
      <c r="BK83">
        <f t="shared" si="129"/>
        <v>-13.13033211992553</v>
      </c>
      <c r="BL83">
        <f t="shared" si="130"/>
        <v>8.7521157470291613E-2</v>
      </c>
      <c r="BM83">
        <f t="shared" si="131"/>
        <v>-0.32995414540007989</v>
      </c>
      <c r="BN83">
        <f t="shared" si="132"/>
        <v>0.27996426808679392</v>
      </c>
      <c r="BO83">
        <f t="shared" si="133"/>
        <v>0.72003573191320602</v>
      </c>
      <c r="BP83">
        <v>6169</v>
      </c>
      <c r="BQ83">
        <v>290.00000000000011</v>
      </c>
      <c r="BR83">
        <v>728.78</v>
      </c>
      <c r="BS83">
        <v>125</v>
      </c>
      <c r="BT83">
        <v>8068.53</v>
      </c>
      <c r="BU83">
        <v>727.36</v>
      </c>
      <c r="BV83">
        <v>1.42</v>
      </c>
      <c r="BW83">
        <v>300.00000000000011</v>
      </c>
      <c r="BX83">
        <v>19.3</v>
      </c>
      <c r="BY83">
        <v>743.11934039840571</v>
      </c>
      <c r="BZ83">
        <v>2.29999465448283</v>
      </c>
      <c r="CA83">
        <v>-12.716701655183011</v>
      </c>
      <c r="CB83">
        <v>1.7021440548781051</v>
      </c>
      <c r="CC83">
        <v>0.66593369117666446</v>
      </c>
      <c r="CD83">
        <v>-4.1566091212458323E-3</v>
      </c>
      <c r="CE83">
        <v>289.99999999999989</v>
      </c>
      <c r="CF83">
        <v>726.13</v>
      </c>
      <c r="CG83">
        <v>645</v>
      </c>
      <c r="CH83">
        <v>8046.88</v>
      </c>
      <c r="CI83">
        <v>727.32</v>
      </c>
      <c r="CJ83">
        <v>-1.19</v>
      </c>
      <c r="CX83">
        <f t="shared" si="134"/>
        <v>1799.94</v>
      </c>
      <c r="CY83">
        <f t="shared" si="135"/>
        <v>1513.1339996512484</v>
      </c>
      <c r="CZ83">
        <f t="shared" si="136"/>
        <v>0.84065802174030713</v>
      </c>
      <c r="DA83">
        <f t="shared" si="137"/>
        <v>0.16086998195879282</v>
      </c>
      <c r="DB83">
        <v>6</v>
      </c>
      <c r="DC83">
        <v>0.5</v>
      </c>
      <c r="DD83" t="s">
        <v>422</v>
      </c>
      <c r="DE83">
        <v>2</v>
      </c>
      <c r="DF83">
        <v>1689012664.5</v>
      </c>
      <c r="DG83">
        <v>8.3228799999999996</v>
      </c>
      <c r="DH83">
        <v>10.1797</v>
      </c>
      <c r="DI83">
        <v>28.902699999999999</v>
      </c>
      <c r="DJ83">
        <v>21.8293</v>
      </c>
      <c r="DK83">
        <v>8.2720699999999994</v>
      </c>
      <c r="DL83">
        <v>28.8565</v>
      </c>
      <c r="DM83">
        <v>500.101</v>
      </c>
      <c r="DN83">
        <v>99.039199999999994</v>
      </c>
      <c r="DO83">
        <v>9.9853800000000006E-2</v>
      </c>
      <c r="DP83">
        <v>30.435600000000001</v>
      </c>
      <c r="DQ83">
        <v>30.067799999999998</v>
      </c>
      <c r="DR83">
        <v>999.9</v>
      </c>
      <c r="DS83">
        <v>0</v>
      </c>
      <c r="DT83">
        <v>0</v>
      </c>
      <c r="DU83">
        <v>10012.5</v>
      </c>
      <c r="DV83">
        <v>0</v>
      </c>
      <c r="DW83">
        <v>574.99900000000002</v>
      </c>
      <c r="DX83">
        <v>-1.85684</v>
      </c>
      <c r="DY83">
        <v>8.5705899999999993</v>
      </c>
      <c r="DZ83">
        <v>10.4069</v>
      </c>
      <c r="EA83">
        <v>7.0733100000000002</v>
      </c>
      <c r="EB83">
        <v>10.1797</v>
      </c>
      <c r="EC83">
        <v>21.8293</v>
      </c>
      <c r="ED83">
        <v>2.8624999999999998</v>
      </c>
      <c r="EE83">
        <v>2.1619600000000001</v>
      </c>
      <c r="EF83">
        <v>23.248999999999999</v>
      </c>
      <c r="EG83">
        <v>18.683199999999999</v>
      </c>
      <c r="EH83">
        <v>1799.94</v>
      </c>
      <c r="EI83">
        <v>0.97800600000000004</v>
      </c>
      <c r="EJ83">
        <v>2.1994099999999999E-2</v>
      </c>
      <c r="EK83">
        <v>0</v>
      </c>
      <c r="EL83">
        <v>693.95299999999997</v>
      </c>
      <c r="EM83">
        <v>5.0005300000000004</v>
      </c>
      <c r="EN83">
        <v>13857.8</v>
      </c>
      <c r="EO83">
        <v>16034.8</v>
      </c>
      <c r="EP83">
        <v>47.686999999999998</v>
      </c>
      <c r="EQ83">
        <v>48.811999999999998</v>
      </c>
      <c r="ER83">
        <v>48.311999999999998</v>
      </c>
      <c r="ES83">
        <v>48.311999999999998</v>
      </c>
      <c r="ET83">
        <v>49</v>
      </c>
      <c r="EU83">
        <v>1755.46</v>
      </c>
      <c r="EV83">
        <v>39.479999999999997</v>
      </c>
      <c r="EW83">
        <v>0</v>
      </c>
      <c r="EX83">
        <v>101</v>
      </c>
      <c r="EY83">
        <v>0</v>
      </c>
      <c r="EZ83">
        <v>693.74184615384615</v>
      </c>
      <c r="FA83">
        <v>1.2316581199205729</v>
      </c>
      <c r="FB83">
        <v>-21.329914510546171</v>
      </c>
      <c r="FC83">
        <v>13860.36538461539</v>
      </c>
      <c r="FD83">
        <v>15</v>
      </c>
      <c r="FE83">
        <v>1689012632</v>
      </c>
      <c r="FF83" t="s">
        <v>764</v>
      </c>
      <c r="FG83">
        <v>1689012620.5</v>
      </c>
      <c r="FH83">
        <v>1689012632</v>
      </c>
      <c r="FI83">
        <v>73</v>
      </c>
      <c r="FJ83">
        <v>-5.6000000000000001E-2</v>
      </c>
      <c r="FK83">
        <v>-4.0000000000000001E-3</v>
      </c>
      <c r="FL83">
        <v>0.05</v>
      </c>
      <c r="FM83">
        <v>3.5000000000000003E-2</v>
      </c>
      <c r="FN83">
        <v>10</v>
      </c>
      <c r="FO83">
        <v>21</v>
      </c>
      <c r="FP83">
        <v>0.28000000000000003</v>
      </c>
      <c r="FQ83">
        <v>0.01</v>
      </c>
      <c r="FR83">
        <v>1.449939215821948</v>
      </c>
      <c r="FS83">
        <v>-0.30486803439986598</v>
      </c>
      <c r="FT83">
        <v>4.2285011958019522E-2</v>
      </c>
      <c r="FU83">
        <v>1</v>
      </c>
      <c r="FV83">
        <v>0.44224990822064641</v>
      </c>
      <c r="FW83">
        <v>4.2690576954458027E-2</v>
      </c>
      <c r="FX83">
        <v>3.536860512232808E-3</v>
      </c>
      <c r="FY83">
        <v>1</v>
      </c>
      <c r="FZ83">
        <v>2</v>
      </c>
      <c r="GA83">
        <v>2</v>
      </c>
      <c r="GB83" t="s">
        <v>424</v>
      </c>
      <c r="GC83">
        <v>3.1217600000000001</v>
      </c>
      <c r="GD83">
        <v>2.7672599999999998</v>
      </c>
      <c r="GE83">
        <v>2.2168999999999999E-3</v>
      </c>
      <c r="GF83">
        <v>2.7302200000000002E-3</v>
      </c>
      <c r="GG83">
        <v>0.121668</v>
      </c>
      <c r="GH83">
        <v>0.100206</v>
      </c>
      <c r="GI83">
        <v>23850</v>
      </c>
      <c r="GJ83">
        <v>24720.3</v>
      </c>
      <c r="GK83">
        <v>23767.4</v>
      </c>
      <c r="GL83">
        <v>25102.400000000001</v>
      </c>
      <c r="GM83">
        <v>30082.6</v>
      </c>
      <c r="GN83">
        <v>31680.7</v>
      </c>
      <c r="GO83">
        <v>37880.699999999997</v>
      </c>
      <c r="GP83">
        <v>39055.4</v>
      </c>
      <c r="GQ83">
        <v>2.1376200000000001</v>
      </c>
      <c r="GR83">
        <v>1.71238</v>
      </c>
      <c r="GS83">
        <v>4.6297900000000003E-2</v>
      </c>
      <c r="GT83">
        <v>0</v>
      </c>
      <c r="GU83">
        <v>29.314</v>
      </c>
      <c r="GV83">
        <v>999.9</v>
      </c>
      <c r="GW83">
        <v>28.2</v>
      </c>
      <c r="GX83">
        <v>45.8</v>
      </c>
      <c r="GY83">
        <v>28.597000000000001</v>
      </c>
      <c r="GZ83">
        <v>60.789099999999998</v>
      </c>
      <c r="HA83">
        <v>28.0809</v>
      </c>
      <c r="HB83">
        <v>1</v>
      </c>
      <c r="HC83">
        <v>0.580488</v>
      </c>
      <c r="HD83">
        <v>3.3727999999999998</v>
      </c>
      <c r="HE83">
        <v>20.282800000000002</v>
      </c>
      <c r="HF83">
        <v>5.2473900000000002</v>
      </c>
      <c r="HG83">
        <v>12.0099</v>
      </c>
      <c r="HH83">
        <v>4.9777500000000003</v>
      </c>
      <c r="HI83">
        <v>3.29223</v>
      </c>
      <c r="HJ83">
        <v>9999</v>
      </c>
      <c r="HK83">
        <v>9999</v>
      </c>
      <c r="HL83">
        <v>9999</v>
      </c>
      <c r="HM83">
        <v>235</v>
      </c>
      <c r="HN83">
        <v>1.87571</v>
      </c>
      <c r="HO83">
        <v>1.87683</v>
      </c>
      <c r="HP83">
        <v>1.8827799999999999</v>
      </c>
      <c r="HQ83">
        <v>1.8860300000000001</v>
      </c>
      <c r="HR83">
        <v>1.87683</v>
      </c>
      <c r="HS83">
        <v>1.88324</v>
      </c>
      <c r="HT83">
        <v>1.8821699999999999</v>
      </c>
      <c r="HU83">
        <v>1.88571</v>
      </c>
      <c r="HV83">
        <v>0</v>
      </c>
      <c r="HW83">
        <v>0</v>
      </c>
      <c r="HX83">
        <v>0</v>
      </c>
      <c r="HY83">
        <v>0</v>
      </c>
      <c r="HZ83" t="s">
        <v>425</v>
      </c>
      <c r="IA83" t="s">
        <v>426</v>
      </c>
      <c r="IB83" t="s">
        <v>427</v>
      </c>
      <c r="IC83" t="s">
        <v>427</v>
      </c>
      <c r="ID83" t="s">
        <v>427</v>
      </c>
      <c r="IE83" t="s">
        <v>427</v>
      </c>
      <c r="IF83">
        <v>0</v>
      </c>
      <c r="IG83">
        <v>100</v>
      </c>
      <c r="IH83">
        <v>100</v>
      </c>
      <c r="II83">
        <v>5.0999999999999997E-2</v>
      </c>
      <c r="IJ83">
        <v>4.6199999999999998E-2</v>
      </c>
      <c r="IK83">
        <v>5.4309141513935219E-2</v>
      </c>
      <c r="IL83">
        <v>-4.2852564239613137E-4</v>
      </c>
      <c r="IM83">
        <v>6.4980710991155998E-7</v>
      </c>
      <c r="IN83">
        <v>-2.7237938963984961E-10</v>
      </c>
      <c r="IO83">
        <v>-1.3859990006383761E-2</v>
      </c>
      <c r="IP83">
        <v>6.6907473102813496E-3</v>
      </c>
      <c r="IQ83">
        <v>-3.3673306238274028E-4</v>
      </c>
      <c r="IR83">
        <v>6.1311374003140313E-6</v>
      </c>
      <c r="IS83">
        <v>3</v>
      </c>
      <c r="IT83">
        <v>2101</v>
      </c>
      <c r="IU83">
        <v>1</v>
      </c>
      <c r="IV83">
        <v>32</v>
      </c>
      <c r="IW83">
        <v>0.7</v>
      </c>
      <c r="IX83">
        <v>0.5</v>
      </c>
      <c r="IY83">
        <v>0.166016</v>
      </c>
      <c r="IZ83">
        <v>2.7856399999999999</v>
      </c>
      <c r="JA83">
        <v>1.6015600000000001</v>
      </c>
      <c r="JB83">
        <v>2.32544</v>
      </c>
      <c r="JC83">
        <v>1.5502899999999999</v>
      </c>
      <c r="JD83">
        <v>2.3913600000000002</v>
      </c>
      <c r="JE83">
        <v>48.887999999999998</v>
      </c>
      <c r="JF83">
        <v>24.043700000000001</v>
      </c>
      <c r="JG83">
        <v>18</v>
      </c>
      <c r="JH83">
        <v>595.32600000000002</v>
      </c>
      <c r="JI83">
        <v>374.08</v>
      </c>
      <c r="JJ83">
        <v>27.0473</v>
      </c>
      <c r="JK83">
        <v>34.4358</v>
      </c>
      <c r="JL83">
        <v>29.999400000000001</v>
      </c>
      <c r="JM83">
        <v>34.631300000000003</v>
      </c>
      <c r="JN83">
        <v>34.629199999999997</v>
      </c>
      <c r="JO83">
        <v>3.3234400000000002</v>
      </c>
      <c r="JP83">
        <v>25.851700000000001</v>
      </c>
      <c r="JQ83">
        <v>0</v>
      </c>
      <c r="JR83">
        <v>26.975999999999999</v>
      </c>
      <c r="JS83">
        <v>10</v>
      </c>
      <c r="JT83">
        <v>21.656199999999998</v>
      </c>
      <c r="JU83">
        <v>98.808099999999996</v>
      </c>
      <c r="JV83">
        <v>98.846299999999999</v>
      </c>
    </row>
    <row r="84" spans="1:282" x14ac:dyDescent="0.25">
      <c r="A84">
        <v>68</v>
      </c>
      <c r="B84">
        <v>1689012854</v>
      </c>
      <c r="C84">
        <v>13031.400000095369</v>
      </c>
      <c r="D84" t="s">
        <v>765</v>
      </c>
      <c r="E84" t="s">
        <v>766</v>
      </c>
      <c r="F84" t="s">
        <v>414</v>
      </c>
      <c r="G84" t="s">
        <v>415</v>
      </c>
      <c r="H84" t="s">
        <v>731</v>
      </c>
      <c r="I84" t="s">
        <v>578</v>
      </c>
      <c r="J84" t="s">
        <v>416</v>
      </c>
      <c r="K84">
        <v>1689012854</v>
      </c>
      <c r="L84">
        <f t="shared" si="92"/>
        <v>6.0764307895440958E-3</v>
      </c>
      <c r="M84">
        <f t="shared" si="93"/>
        <v>6.0764307895440961</v>
      </c>
      <c r="N84">
        <f t="shared" si="94"/>
        <v>44.986259871668778</v>
      </c>
      <c r="O84">
        <f t="shared" si="95"/>
        <v>343.49099999999999</v>
      </c>
      <c r="P84">
        <f t="shared" si="96"/>
        <v>160.53950547595471</v>
      </c>
      <c r="Q84">
        <f t="shared" si="97"/>
        <v>15.916352458531041</v>
      </c>
      <c r="R84">
        <f t="shared" si="98"/>
        <v>34.054694550881997</v>
      </c>
      <c r="S84">
        <f t="shared" si="99"/>
        <v>0.43555007877473118</v>
      </c>
      <c r="T84">
        <f t="shared" si="100"/>
        <v>2.9179515778967318</v>
      </c>
      <c r="U84">
        <f t="shared" si="101"/>
        <v>0.40238937800992047</v>
      </c>
      <c r="V84">
        <f t="shared" si="102"/>
        <v>0.25426200115969411</v>
      </c>
      <c r="W84">
        <f t="shared" si="103"/>
        <v>289.53455032668666</v>
      </c>
      <c r="X84">
        <f t="shared" si="104"/>
        <v>30.334052787969743</v>
      </c>
      <c r="Y84">
        <f t="shared" si="105"/>
        <v>29.995999999999999</v>
      </c>
      <c r="Z84">
        <f t="shared" si="106"/>
        <v>4.2594710034446175</v>
      </c>
      <c r="AA84">
        <f t="shared" si="107"/>
        <v>65.310945556604167</v>
      </c>
      <c r="AB84">
        <f t="shared" si="108"/>
        <v>2.8157476454117996</v>
      </c>
      <c r="AC84">
        <f t="shared" si="109"/>
        <v>4.3112951763520666</v>
      </c>
      <c r="AD84">
        <f t="shared" si="110"/>
        <v>1.4437233580328179</v>
      </c>
      <c r="AE84">
        <f t="shared" si="111"/>
        <v>-267.97059781889465</v>
      </c>
      <c r="AF84">
        <f t="shared" si="112"/>
        <v>33.145765972017145</v>
      </c>
      <c r="AG84">
        <f t="shared" si="113"/>
        <v>2.528278149700375</v>
      </c>
      <c r="AH84">
        <f t="shared" si="114"/>
        <v>57.237996629509539</v>
      </c>
      <c r="AI84">
        <v>0</v>
      </c>
      <c r="AJ84">
        <v>0</v>
      </c>
      <c r="AK84">
        <f t="shared" si="115"/>
        <v>1</v>
      </c>
      <c r="AL84">
        <f t="shared" si="116"/>
        <v>0</v>
      </c>
      <c r="AM84">
        <f t="shared" si="117"/>
        <v>51966.399890470377</v>
      </c>
      <c r="AN84" t="s">
        <v>419</v>
      </c>
      <c r="AO84">
        <v>9967.0300000000007</v>
      </c>
      <c r="AP84">
        <v>178.94153846153841</v>
      </c>
      <c r="AQ84">
        <v>603.15</v>
      </c>
      <c r="AR84">
        <f t="shared" si="118"/>
        <v>0.7033216638290003</v>
      </c>
      <c r="AS84">
        <v>-3.2649104154664181</v>
      </c>
      <c r="AT84" t="s">
        <v>767</v>
      </c>
      <c r="AU84">
        <v>8058.9</v>
      </c>
      <c r="AV84">
        <v>681.27415384615392</v>
      </c>
      <c r="AW84">
        <v>1106.1352236829659</v>
      </c>
      <c r="AX84">
        <f t="shared" si="119"/>
        <v>0.38409505523402732</v>
      </c>
      <c r="AY84">
        <v>0.5</v>
      </c>
      <c r="AZ84">
        <f t="shared" si="120"/>
        <v>1513.0166996511327</v>
      </c>
      <c r="BA84">
        <f t="shared" si="121"/>
        <v>44.986259871668778</v>
      </c>
      <c r="BB84">
        <f t="shared" si="122"/>
        <v>290.5711164112538</v>
      </c>
      <c r="BC84">
        <f t="shared" si="123"/>
        <v>3.1890705699587331E-2</v>
      </c>
      <c r="BD84">
        <f t="shared" si="124"/>
        <v>-0.45472308711789894</v>
      </c>
      <c r="BE84">
        <f t="shared" si="125"/>
        <v>206.84646938915898</v>
      </c>
      <c r="BF84" t="s">
        <v>768</v>
      </c>
      <c r="BG84">
        <v>546.54999999999995</v>
      </c>
      <c r="BH84">
        <f t="shared" si="126"/>
        <v>546.54999999999995</v>
      </c>
      <c r="BI84">
        <f t="shared" si="127"/>
        <v>0.50589223785838966</v>
      </c>
      <c r="BJ84">
        <f t="shared" si="128"/>
        <v>0.75924283175410978</v>
      </c>
      <c r="BK84">
        <f t="shared" si="129"/>
        <v>-8.886664729381021</v>
      </c>
      <c r="BL84">
        <f t="shared" si="130"/>
        <v>0.458222566232587</v>
      </c>
      <c r="BM84">
        <f t="shared" si="131"/>
        <v>-1.18570294863711</v>
      </c>
      <c r="BN84">
        <f t="shared" si="132"/>
        <v>0.60910012122508372</v>
      </c>
      <c r="BO84">
        <f t="shared" si="133"/>
        <v>0.39089987877491628</v>
      </c>
      <c r="BP84">
        <v>6171</v>
      </c>
      <c r="BQ84">
        <v>290.00000000000011</v>
      </c>
      <c r="BR84">
        <v>923.79</v>
      </c>
      <c r="BS84">
        <v>295</v>
      </c>
      <c r="BT84">
        <v>8058.9</v>
      </c>
      <c r="BU84">
        <v>926.81</v>
      </c>
      <c r="BV84">
        <v>-3.02</v>
      </c>
      <c r="BW84">
        <v>300.00000000000011</v>
      </c>
      <c r="BX84">
        <v>19.3</v>
      </c>
      <c r="BY84">
        <v>1106.1352236829659</v>
      </c>
      <c r="BZ84">
        <v>6.271148908673565</v>
      </c>
      <c r="CA84">
        <v>-144.51961892664841</v>
      </c>
      <c r="CB84">
        <v>4.6428626571704656</v>
      </c>
      <c r="CC84">
        <v>0.97191311777313005</v>
      </c>
      <c r="CD84">
        <v>-4.1586667408231434E-3</v>
      </c>
      <c r="CE84">
        <v>289.99999999999989</v>
      </c>
      <c r="CF84">
        <v>906.4</v>
      </c>
      <c r="CG84">
        <v>645</v>
      </c>
      <c r="CH84">
        <v>8050</v>
      </c>
      <c r="CI84">
        <v>926.61</v>
      </c>
      <c r="CJ84">
        <v>-20.21</v>
      </c>
      <c r="CX84">
        <f t="shared" si="134"/>
        <v>1799.8</v>
      </c>
      <c r="CY84">
        <f t="shared" si="135"/>
        <v>1513.0166996511327</v>
      </c>
      <c r="CZ84">
        <f t="shared" si="136"/>
        <v>0.84065823961058606</v>
      </c>
      <c r="DA84">
        <f t="shared" si="137"/>
        <v>0.16087040244843132</v>
      </c>
      <c r="DB84">
        <v>6</v>
      </c>
      <c r="DC84">
        <v>0.5</v>
      </c>
      <c r="DD84" t="s">
        <v>422</v>
      </c>
      <c r="DE84">
        <v>2</v>
      </c>
      <c r="DF84">
        <v>1689012854</v>
      </c>
      <c r="DG84">
        <v>343.49099999999999</v>
      </c>
      <c r="DH84">
        <v>399.96300000000002</v>
      </c>
      <c r="DI84">
        <v>28.4009</v>
      </c>
      <c r="DJ84">
        <v>21.318300000000001</v>
      </c>
      <c r="DK84">
        <v>343.92399999999998</v>
      </c>
      <c r="DL84">
        <v>28.351299999999998</v>
      </c>
      <c r="DM84">
        <v>500.14299999999997</v>
      </c>
      <c r="DN84">
        <v>99.043199999999999</v>
      </c>
      <c r="DO84">
        <v>9.9701999999999999E-2</v>
      </c>
      <c r="DP84">
        <v>30.206700000000001</v>
      </c>
      <c r="DQ84">
        <v>29.995999999999999</v>
      </c>
      <c r="DR84">
        <v>999.9</v>
      </c>
      <c r="DS84">
        <v>0</v>
      </c>
      <c r="DT84">
        <v>0</v>
      </c>
      <c r="DU84">
        <v>10030</v>
      </c>
      <c r="DV84">
        <v>0</v>
      </c>
      <c r="DW84">
        <v>1816</v>
      </c>
      <c r="DX84">
        <v>-56.471499999999999</v>
      </c>
      <c r="DY84">
        <v>353.53199999999998</v>
      </c>
      <c r="DZ84">
        <v>408.67500000000001</v>
      </c>
      <c r="EA84">
        <v>7.0825699999999996</v>
      </c>
      <c r="EB84">
        <v>399.96300000000002</v>
      </c>
      <c r="EC84">
        <v>21.318300000000001</v>
      </c>
      <c r="ED84">
        <v>2.8129200000000001</v>
      </c>
      <c r="EE84">
        <v>2.11144</v>
      </c>
      <c r="EF84">
        <v>22.960100000000001</v>
      </c>
      <c r="EG84">
        <v>18.305700000000002</v>
      </c>
      <c r="EH84">
        <v>1799.8</v>
      </c>
      <c r="EI84">
        <v>0.97799899999999995</v>
      </c>
      <c r="EJ84">
        <v>2.2001199999999999E-2</v>
      </c>
      <c r="EK84">
        <v>0</v>
      </c>
      <c r="EL84">
        <v>681.73199999999997</v>
      </c>
      <c r="EM84">
        <v>5.0005300000000004</v>
      </c>
      <c r="EN84">
        <v>14996.8</v>
      </c>
      <c r="EO84">
        <v>16033.5</v>
      </c>
      <c r="EP84">
        <v>47.561999999999998</v>
      </c>
      <c r="EQ84">
        <v>48.936999999999998</v>
      </c>
      <c r="ER84">
        <v>48.125</v>
      </c>
      <c r="ES84">
        <v>48.186999999999998</v>
      </c>
      <c r="ET84">
        <v>48.811999999999998</v>
      </c>
      <c r="EU84">
        <v>1755.31</v>
      </c>
      <c r="EV84">
        <v>39.49</v>
      </c>
      <c r="EW84">
        <v>0</v>
      </c>
      <c r="EX84">
        <v>187.4000000953674</v>
      </c>
      <c r="EY84">
        <v>0</v>
      </c>
      <c r="EZ84">
        <v>681.27415384615392</v>
      </c>
      <c r="FA84">
        <v>0.28232479281740108</v>
      </c>
      <c r="FB84">
        <v>-35.035897411480988</v>
      </c>
      <c r="FC84">
        <v>15000.95384615385</v>
      </c>
      <c r="FD84">
        <v>15</v>
      </c>
      <c r="FE84">
        <v>1689012771</v>
      </c>
      <c r="FF84" t="s">
        <v>769</v>
      </c>
      <c r="FG84">
        <v>1689012769</v>
      </c>
      <c r="FH84">
        <v>1689012771</v>
      </c>
      <c r="FI84">
        <v>74</v>
      </c>
      <c r="FJ84">
        <v>-0.40600000000000003</v>
      </c>
      <c r="FK84">
        <v>5.0000000000000001E-3</v>
      </c>
      <c r="FL84">
        <v>-0.436</v>
      </c>
      <c r="FM84">
        <v>0.04</v>
      </c>
      <c r="FN84">
        <v>400</v>
      </c>
      <c r="FO84">
        <v>21</v>
      </c>
      <c r="FP84">
        <v>0.05</v>
      </c>
      <c r="FQ84">
        <v>0.02</v>
      </c>
      <c r="FR84">
        <v>44.780062038306617</v>
      </c>
      <c r="FS84">
        <v>1.8853491461723659</v>
      </c>
      <c r="FT84">
        <v>0.14187088383423199</v>
      </c>
      <c r="FU84">
        <v>0</v>
      </c>
      <c r="FV84">
        <v>0.43789928683618778</v>
      </c>
      <c r="FW84">
        <v>-1.969833325429168E-2</v>
      </c>
      <c r="FX84">
        <v>1.5024862364336009E-3</v>
      </c>
      <c r="FY84">
        <v>1</v>
      </c>
      <c r="FZ84">
        <v>1</v>
      </c>
      <c r="GA84">
        <v>2</v>
      </c>
      <c r="GB84" t="s">
        <v>463</v>
      </c>
      <c r="GC84">
        <v>3.1212499999999999</v>
      </c>
      <c r="GD84">
        <v>2.7672699999999999</v>
      </c>
      <c r="GE84">
        <v>7.8767900000000002E-2</v>
      </c>
      <c r="GF84">
        <v>8.8667599999999999E-2</v>
      </c>
      <c r="GG84">
        <v>0.120256</v>
      </c>
      <c r="GH84">
        <v>9.8578499999999999E-2</v>
      </c>
      <c r="GI84">
        <v>22037.5</v>
      </c>
      <c r="GJ84">
        <v>22605.7</v>
      </c>
      <c r="GK84">
        <v>23782.3</v>
      </c>
      <c r="GL84">
        <v>25116.1</v>
      </c>
      <c r="GM84">
        <v>30149.5</v>
      </c>
      <c r="GN84">
        <v>31753.3</v>
      </c>
      <c r="GO84">
        <v>37904.1</v>
      </c>
      <c r="GP84">
        <v>39074.199999999997</v>
      </c>
      <c r="GQ84">
        <v>2.1424500000000002</v>
      </c>
      <c r="GR84">
        <v>1.71777</v>
      </c>
      <c r="GS84">
        <v>1.1175899999999999E-3</v>
      </c>
      <c r="GT84">
        <v>0</v>
      </c>
      <c r="GU84">
        <v>29.977799999999998</v>
      </c>
      <c r="GV84">
        <v>999.9</v>
      </c>
      <c r="GW84">
        <v>28.2</v>
      </c>
      <c r="GX84">
        <v>45.6</v>
      </c>
      <c r="GY84">
        <v>28.302099999999999</v>
      </c>
      <c r="GZ84">
        <v>60.839100000000002</v>
      </c>
      <c r="HA84">
        <v>27.7804</v>
      </c>
      <c r="HB84">
        <v>1</v>
      </c>
      <c r="HC84">
        <v>0.55161300000000002</v>
      </c>
      <c r="HD84">
        <v>2.7003599999999999</v>
      </c>
      <c r="HE84">
        <v>20.297000000000001</v>
      </c>
      <c r="HF84">
        <v>5.2520300000000004</v>
      </c>
      <c r="HG84">
        <v>12.0099</v>
      </c>
      <c r="HH84">
        <v>4.9789500000000002</v>
      </c>
      <c r="HI84">
        <v>3.2930000000000001</v>
      </c>
      <c r="HJ84">
        <v>9999</v>
      </c>
      <c r="HK84">
        <v>9999</v>
      </c>
      <c r="HL84">
        <v>9999</v>
      </c>
      <c r="HM84">
        <v>235</v>
      </c>
      <c r="HN84">
        <v>1.8757299999999999</v>
      </c>
      <c r="HO84">
        <v>1.8768199999999999</v>
      </c>
      <c r="HP84">
        <v>1.8827799999999999</v>
      </c>
      <c r="HQ84">
        <v>1.8859999999999999</v>
      </c>
      <c r="HR84">
        <v>1.87683</v>
      </c>
      <c r="HS84">
        <v>1.88323</v>
      </c>
      <c r="HT84">
        <v>1.8821699999999999</v>
      </c>
      <c r="HU84">
        <v>1.88568</v>
      </c>
      <c r="HV84">
        <v>0</v>
      </c>
      <c r="HW84">
        <v>0</v>
      </c>
      <c r="HX84">
        <v>0</v>
      </c>
      <c r="HY84">
        <v>0</v>
      </c>
      <c r="HZ84" t="s">
        <v>425</v>
      </c>
      <c r="IA84" t="s">
        <v>426</v>
      </c>
      <c r="IB84" t="s">
        <v>427</v>
      </c>
      <c r="IC84" t="s">
        <v>427</v>
      </c>
      <c r="ID84" t="s">
        <v>427</v>
      </c>
      <c r="IE84" t="s">
        <v>427</v>
      </c>
      <c r="IF84">
        <v>0</v>
      </c>
      <c r="IG84">
        <v>100</v>
      </c>
      <c r="IH84">
        <v>100</v>
      </c>
      <c r="II84">
        <v>-0.433</v>
      </c>
      <c r="IJ84">
        <v>4.9599999999999998E-2</v>
      </c>
      <c r="IK84">
        <v>-0.35125660185861618</v>
      </c>
      <c r="IL84">
        <v>-4.2852564239613137E-4</v>
      </c>
      <c r="IM84">
        <v>6.4980710991155998E-7</v>
      </c>
      <c r="IN84">
        <v>-2.7237938963984961E-10</v>
      </c>
      <c r="IO84">
        <v>-9.1485192768521999E-3</v>
      </c>
      <c r="IP84">
        <v>6.6907473102813496E-3</v>
      </c>
      <c r="IQ84">
        <v>-3.3673306238274028E-4</v>
      </c>
      <c r="IR84">
        <v>6.1311374003140313E-6</v>
      </c>
      <c r="IS84">
        <v>3</v>
      </c>
      <c r="IT84">
        <v>2101</v>
      </c>
      <c r="IU84">
        <v>1</v>
      </c>
      <c r="IV84">
        <v>32</v>
      </c>
      <c r="IW84">
        <v>1.4</v>
      </c>
      <c r="IX84">
        <v>1.4</v>
      </c>
      <c r="IY84">
        <v>1.01685</v>
      </c>
      <c r="IZ84">
        <v>2.7258300000000002</v>
      </c>
      <c r="JA84">
        <v>1.6003400000000001</v>
      </c>
      <c r="JB84">
        <v>2.32544</v>
      </c>
      <c r="JC84">
        <v>1.5502899999999999</v>
      </c>
      <c r="JD84">
        <v>2.47681</v>
      </c>
      <c r="JE84">
        <v>48.701599999999999</v>
      </c>
      <c r="JF84">
        <v>24.043700000000001</v>
      </c>
      <c r="JG84">
        <v>18</v>
      </c>
      <c r="JH84">
        <v>596.81399999999996</v>
      </c>
      <c r="JI84">
        <v>376.10199999999998</v>
      </c>
      <c r="JJ84">
        <v>27.139399999999998</v>
      </c>
      <c r="JK84">
        <v>34.210099999999997</v>
      </c>
      <c r="JL84">
        <v>30.0002</v>
      </c>
      <c r="JM84">
        <v>34.414499999999997</v>
      </c>
      <c r="JN84">
        <v>34.424100000000003</v>
      </c>
      <c r="JO84">
        <v>20.333600000000001</v>
      </c>
      <c r="JP84">
        <v>27.436399999999999</v>
      </c>
      <c r="JQ84">
        <v>0</v>
      </c>
      <c r="JR84">
        <v>27.1356</v>
      </c>
      <c r="JS84">
        <v>400</v>
      </c>
      <c r="JT84">
        <v>21.3249</v>
      </c>
      <c r="JU84">
        <v>98.869399999999999</v>
      </c>
      <c r="JV84">
        <v>98.8964</v>
      </c>
    </row>
    <row r="85" spans="1:282" x14ac:dyDescent="0.25">
      <c r="A85">
        <v>69</v>
      </c>
      <c r="B85">
        <v>1689013010.5</v>
      </c>
      <c r="C85">
        <v>13187.900000095369</v>
      </c>
      <c r="D85" t="s">
        <v>770</v>
      </c>
      <c r="E85" t="s">
        <v>771</v>
      </c>
      <c r="F85" t="s">
        <v>414</v>
      </c>
      <c r="G85" t="s">
        <v>415</v>
      </c>
      <c r="H85" t="s">
        <v>731</v>
      </c>
      <c r="I85" t="s">
        <v>578</v>
      </c>
      <c r="J85" t="s">
        <v>416</v>
      </c>
      <c r="K85">
        <v>1689013010.5</v>
      </c>
      <c r="L85">
        <f t="shared" si="92"/>
        <v>5.9370699087095049E-3</v>
      </c>
      <c r="M85">
        <f t="shared" si="93"/>
        <v>5.9370699087095051</v>
      </c>
      <c r="N85">
        <f t="shared" si="94"/>
        <v>50.804642693001931</v>
      </c>
      <c r="O85">
        <f t="shared" si="95"/>
        <v>336.63900000000001</v>
      </c>
      <c r="P85">
        <f t="shared" si="96"/>
        <v>121.40864887960778</v>
      </c>
      <c r="Q85">
        <f t="shared" si="97"/>
        <v>12.036828954734435</v>
      </c>
      <c r="R85">
        <f t="shared" si="98"/>
        <v>33.375431650763105</v>
      </c>
      <c r="S85">
        <f t="shared" si="99"/>
        <v>0.41382221149241577</v>
      </c>
      <c r="T85">
        <f t="shared" si="100"/>
        <v>2.9167506089245796</v>
      </c>
      <c r="U85">
        <f t="shared" si="101"/>
        <v>0.38375377139430655</v>
      </c>
      <c r="V85">
        <f t="shared" si="102"/>
        <v>0.24236532105215108</v>
      </c>
      <c r="W85">
        <f t="shared" si="103"/>
        <v>289.57445032678021</v>
      </c>
      <c r="X85">
        <f t="shared" si="104"/>
        <v>30.334551342482929</v>
      </c>
      <c r="Y85">
        <f t="shared" si="105"/>
        <v>30.0336</v>
      </c>
      <c r="Z85">
        <f t="shared" si="106"/>
        <v>4.2686791731933935</v>
      </c>
      <c r="AA85">
        <f t="shared" si="107"/>
        <v>64.834636382934434</v>
      </c>
      <c r="AB85">
        <f t="shared" si="108"/>
        <v>2.7894305759786597</v>
      </c>
      <c r="AC85">
        <f t="shared" si="109"/>
        <v>4.3023771422166632</v>
      </c>
      <c r="AD85">
        <f t="shared" si="110"/>
        <v>1.4792485972147338</v>
      </c>
      <c r="AE85">
        <f t="shared" si="111"/>
        <v>-261.82478297408915</v>
      </c>
      <c r="AF85">
        <f t="shared" si="112"/>
        <v>21.542956659482918</v>
      </c>
      <c r="AG85">
        <f t="shared" si="113"/>
        <v>1.6439328599255423</v>
      </c>
      <c r="AH85">
        <f t="shared" si="114"/>
        <v>50.936556872099523</v>
      </c>
      <c r="AI85">
        <v>0</v>
      </c>
      <c r="AJ85">
        <v>0</v>
      </c>
      <c r="AK85">
        <f t="shared" si="115"/>
        <v>1</v>
      </c>
      <c r="AL85">
        <f t="shared" si="116"/>
        <v>0</v>
      </c>
      <c r="AM85">
        <f t="shared" si="117"/>
        <v>51938.422524295725</v>
      </c>
      <c r="AN85" t="s">
        <v>419</v>
      </c>
      <c r="AO85">
        <v>9967.0300000000007</v>
      </c>
      <c r="AP85">
        <v>178.94153846153841</v>
      </c>
      <c r="AQ85">
        <v>603.15</v>
      </c>
      <c r="AR85">
        <f t="shared" si="118"/>
        <v>0.7033216638290003</v>
      </c>
      <c r="AS85">
        <v>-3.2649104154664181</v>
      </c>
      <c r="AT85" t="s">
        <v>772</v>
      </c>
      <c r="AU85">
        <v>8059.16</v>
      </c>
      <c r="AV85">
        <v>729.64300000000003</v>
      </c>
      <c r="AW85">
        <v>1167.1631725189891</v>
      </c>
      <c r="AX85">
        <f t="shared" si="119"/>
        <v>0.37485776009769611</v>
      </c>
      <c r="AY85">
        <v>0.5</v>
      </c>
      <c r="AZ85">
        <f t="shared" si="120"/>
        <v>1513.2266996511812</v>
      </c>
      <c r="BA85">
        <f t="shared" si="121"/>
        <v>50.804642693001931</v>
      </c>
      <c r="BB85">
        <f t="shared" si="122"/>
        <v>283.62238557563546</v>
      </c>
      <c r="BC85">
        <f t="shared" si="123"/>
        <v>3.5731297313834134E-2</v>
      </c>
      <c r="BD85">
        <f t="shared" si="124"/>
        <v>-0.48323420906241193</v>
      </c>
      <c r="BE85">
        <f t="shared" si="125"/>
        <v>208.88892441159106</v>
      </c>
      <c r="BF85" t="s">
        <v>773</v>
      </c>
      <c r="BG85">
        <v>567.70000000000005</v>
      </c>
      <c r="BH85">
        <f t="shared" si="126"/>
        <v>567.70000000000005</v>
      </c>
      <c r="BI85">
        <f t="shared" si="127"/>
        <v>0.51360699740484317</v>
      </c>
      <c r="BJ85">
        <f t="shared" si="128"/>
        <v>0.72985329637598351</v>
      </c>
      <c r="BK85">
        <f t="shared" si="129"/>
        <v>-15.910103597150639</v>
      </c>
      <c r="BL85">
        <f t="shared" si="130"/>
        <v>0.44273486578371507</v>
      </c>
      <c r="BM85">
        <f t="shared" si="131"/>
        <v>-1.3295660592754392</v>
      </c>
      <c r="BN85">
        <f t="shared" si="132"/>
        <v>0.56786362145959857</v>
      </c>
      <c r="BO85">
        <f t="shared" si="133"/>
        <v>0.43213637854040143</v>
      </c>
      <c r="BP85">
        <v>6173</v>
      </c>
      <c r="BQ85">
        <v>290.00000000000011</v>
      </c>
      <c r="BR85">
        <v>1015.17</v>
      </c>
      <c r="BS85">
        <v>295</v>
      </c>
      <c r="BT85">
        <v>8059.16</v>
      </c>
      <c r="BU85">
        <v>1018.13</v>
      </c>
      <c r="BV85">
        <v>-2.96</v>
      </c>
      <c r="BW85">
        <v>300.00000000000011</v>
      </c>
      <c r="BX85">
        <v>19.3</v>
      </c>
      <c r="BY85">
        <v>1167.1631725189891</v>
      </c>
      <c r="BZ85">
        <v>4.6559609897450738</v>
      </c>
      <c r="CA85">
        <v>-120.1072007293302</v>
      </c>
      <c r="CB85">
        <v>3.4471483012637019</v>
      </c>
      <c r="CC85">
        <v>0.97745568960064655</v>
      </c>
      <c r="CD85">
        <v>-4.1588545050055634E-3</v>
      </c>
      <c r="CE85">
        <v>289.99999999999989</v>
      </c>
      <c r="CF85">
        <v>1009.16</v>
      </c>
      <c r="CG85">
        <v>625</v>
      </c>
      <c r="CH85">
        <v>8050.91</v>
      </c>
      <c r="CI85">
        <v>1017.98</v>
      </c>
      <c r="CJ85">
        <v>-8.82</v>
      </c>
      <c r="CX85">
        <f t="shared" si="134"/>
        <v>1800.05</v>
      </c>
      <c r="CY85">
        <f t="shared" si="135"/>
        <v>1513.2266996511812</v>
      </c>
      <c r="CZ85">
        <f t="shared" si="136"/>
        <v>0.84065814819098428</v>
      </c>
      <c r="DA85">
        <f t="shared" si="137"/>
        <v>0.16087022600859988</v>
      </c>
      <c r="DB85">
        <v>6</v>
      </c>
      <c r="DC85">
        <v>0.5</v>
      </c>
      <c r="DD85" t="s">
        <v>422</v>
      </c>
      <c r="DE85">
        <v>2</v>
      </c>
      <c r="DF85">
        <v>1689013010.5</v>
      </c>
      <c r="DG85">
        <v>336.63900000000001</v>
      </c>
      <c r="DH85">
        <v>399.988</v>
      </c>
      <c r="DI85">
        <v>28.135400000000001</v>
      </c>
      <c r="DJ85">
        <v>21.213000000000001</v>
      </c>
      <c r="DK85">
        <v>337.08699999999999</v>
      </c>
      <c r="DL85">
        <v>28.084499999999998</v>
      </c>
      <c r="DM85">
        <v>500.11799999999999</v>
      </c>
      <c r="DN85">
        <v>99.043400000000005</v>
      </c>
      <c r="DO85">
        <v>9.9692900000000001E-2</v>
      </c>
      <c r="DP85">
        <v>30.1706</v>
      </c>
      <c r="DQ85">
        <v>30.0336</v>
      </c>
      <c r="DR85">
        <v>999.9</v>
      </c>
      <c r="DS85">
        <v>0</v>
      </c>
      <c r="DT85">
        <v>0</v>
      </c>
      <c r="DU85">
        <v>10023.1</v>
      </c>
      <c r="DV85">
        <v>0</v>
      </c>
      <c r="DW85">
        <v>1768.94</v>
      </c>
      <c r="DX85">
        <v>-63.3489</v>
      </c>
      <c r="DY85">
        <v>346.38499999999999</v>
      </c>
      <c r="DZ85">
        <v>408.65699999999998</v>
      </c>
      <c r="EA85">
        <v>6.9223699999999999</v>
      </c>
      <c r="EB85">
        <v>399.988</v>
      </c>
      <c r="EC85">
        <v>21.213000000000001</v>
      </c>
      <c r="ED85">
        <v>2.7866200000000001</v>
      </c>
      <c r="EE85">
        <v>2.10101</v>
      </c>
      <c r="EF85">
        <v>22.805099999999999</v>
      </c>
      <c r="EG85">
        <v>18.226800000000001</v>
      </c>
      <c r="EH85">
        <v>1800.05</v>
      </c>
      <c r="EI85">
        <v>0.97800200000000004</v>
      </c>
      <c r="EJ85">
        <v>2.1997599999999999E-2</v>
      </c>
      <c r="EK85">
        <v>0</v>
      </c>
      <c r="EL85">
        <v>730.76499999999999</v>
      </c>
      <c r="EM85">
        <v>5.0005300000000004</v>
      </c>
      <c r="EN85">
        <v>15940.1</v>
      </c>
      <c r="EO85">
        <v>16035.7</v>
      </c>
      <c r="EP85">
        <v>47.625</v>
      </c>
      <c r="EQ85">
        <v>49.25</v>
      </c>
      <c r="ER85">
        <v>48.25</v>
      </c>
      <c r="ES85">
        <v>48.436999999999998</v>
      </c>
      <c r="ET85">
        <v>48.875</v>
      </c>
      <c r="EU85">
        <v>1755.56</v>
      </c>
      <c r="EV85">
        <v>39.49</v>
      </c>
      <c r="EW85">
        <v>0</v>
      </c>
      <c r="EX85">
        <v>154.4000000953674</v>
      </c>
      <c r="EY85">
        <v>0</v>
      </c>
      <c r="EZ85">
        <v>729.64300000000003</v>
      </c>
      <c r="FA85">
        <v>7.4696068357258456</v>
      </c>
      <c r="FB85">
        <v>124.86837599139839</v>
      </c>
      <c r="FC85">
        <v>15924.584615384611</v>
      </c>
      <c r="FD85">
        <v>15</v>
      </c>
      <c r="FE85">
        <v>1689012930.5</v>
      </c>
      <c r="FF85" t="s">
        <v>774</v>
      </c>
      <c r="FG85">
        <v>1689012916.5</v>
      </c>
      <c r="FH85">
        <v>1689012930.5</v>
      </c>
      <c r="FI85">
        <v>75</v>
      </c>
      <c r="FJ85">
        <v>-1.6E-2</v>
      </c>
      <c r="FK85">
        <v>2E-3</v>
      </c>
      <c r="FL85">
        <v>-0.45200000000000001</v>
      </c>
      <c r="FM85">
        <v>4.2000000000000003E-2</v>
      </c>
      <c r="FN85">
        <v>400</v>
      </c>
      <c r="FO85">
        <v>21</v>
      </c>
      <c r="FP85">
        <v>0.04</v>
      </c>
      <c r="FQ85">
        <v>0.01</v>
      </c>
      <c r="FR85">
        <v>50.777378292281213</v>
      </c>
      <c r="FS85">
        <v>0.59625025463815973</v>
      </c>
      <c r="FT85">
        <v>5.6606906390160597E-2</v>
      </c>
      <c r="FU85">
        <v>1</v>
      </c>
      <c r="FV85">
        <v>0.41602519995697601</v>
      </c>
      <c r="FW85">
        <v>-1.7975129316766841E-2</v>
      </c>
      <c r="FX85">
        <v>1.3621577141222851E-3</v>
      </c>
      <c r="FY85">
        <v>1</v>
      </c>
      <c r="FZ85">
        <v>2</v>
      </c>
      <c r="GA85">
        <v>2</v>
      </c>
      <c r="GB85" t="s">
        <v>424</v>
      </c>
      <c r="GC85">
        <v>3.1214</v>
      </c>
      <c r="GD85">
        <v>2.7671999999999999</v>
      </c>
      <c r="GE85">
        <v>7.7513399999999996E-2</v>
      </c>
      <c r="GF85">
        <v>8.8667099999999999E-2</v>
      </c>
      <c r="GG85">
        <v>0.119467</v>
      </c>
      <c r="GH85">
        <v>9.8226400000000005E-2</v>
      </c>
      <c r="GI85">
        <v>22063.599999999999</v>
      </c>
      <c r="GJ85">
        <v>22600.400000000001</v>
      </c>
      <c r="GK85">
        <v>23778.5</v>
      </c>
      <c r="GL85">
        <v>25110.6</v>
      </c>
      <c r="GM85">
        <v>30171.8</v>
      </c>
      <c r="GN85">
        <v>31758.6</v>
      </c>
      <c r="GO85">
        <v>37898.199999999997</v>
      </c>
      <c r="GP85">
        <v>39065.599999999999</v>
      </c>
      <c r="GQ85">
        <v>2.1424699999999999</v>
      </c>
      <c r="GR85">
        <v>1.7160200000000001</v>
      </c>
      <c r="GS85">
        <v>-8.1360300000000007E-3</v>
      </c>
      <c r="GT85">
        <v>0</v>
      </c>
      <c r="GU85">
        <v>30.166</v>
      </c>
      <c r="GV85">
        <v>999.9</v>
      </c>
      <c r="GW85">
        <v>28.1</v>
      </c>
      <c r="GX85">
        <v>45.7</v>
      </c>
      <c r="GY85">
        <v>28.348199999999999</v>
      </c>
      <c r="GZ85">
        <v>61.289099999999998</v>
      </c>
      <c r="HA85">
        <v>27.536100000000001</v>
      </c>
      <c r="HB85">
        <v>1</v>
      </c>
      <c r="HC85">
        <v>0.56192799999999998</v>
      </c>
      <c r="HD85">
        <v>2.9953599999999998</v>
      </c>
      <c r="HE85">
        <v>20.291499999999999</v>
      </c>
      <c r="HF85">
        <v>5.2509800000000002</v>
      </c>
      <c r="HG85">
        <v>12.0099</v>
      </c>
      <c r="HH85">
        <v>4.9791499999999997</v>
      </c>
      <c r="HI85">
        <v>3.2930000000000001</v>
      </c>
      <c r="HJ85">
        <v>9999</v>
      </c>
      <c r="HK85">
        <v>9999</v>
      </c>
      <c r="HL85">
        <v>9999</v>
      </c>
      <c r="HM85">
        <v>235.1</v>
      </c>
      <c r="HN85">
        <v>1.8756699999999999</v>
      </c>
      <c r="HO85">
        <v>1.87683</v>
      </c>
      <c r="HP85">
        <v>1.8827799999999999</v>
      </c>
      <c r="HQ85">
        <v>1.88601</v>
      </c>
      <c r="HR85">
        <v>1.87683</v>
      </c>
      <c r="HS85">
        <v>1.8832199999999999</v>
      </c>
      <c r="HT85">
        <v>1.8821699999999999</v>
      </c>
      <c r="HU85">
        <v>1.88568</v>
      </c>
      <c r="HV85">
        <v>0</v>
      </c>
      <c r="HW85">
        <v>0</v>
      </c>
      <c r="HX85">
        <v>0</v>
      </c>
      <c r="HY85">
        <v>0</v>
      </c>
      <c r="HZ85" t="s">
        <v>425</v>
      </c>
      <c r="IA85" t="s">
        <v>426</v>
      </c>
      <c r="IB85" t="s">
        <v>427</v>
      </c>
      <c r="IC85" t="s">
        <v>427</v>
      </c>
      <c r="ID85" t="s">
        <v>427</v>
      </c>
      <c r="IE85" t="s">
        <v>427</v>
      </c>
      <c r="IF85">
        <v>0</v>
      </c>
      <c r="IG85">
        <v>100</v>
      </c>
      <c r="IH85">
        <v>100</v>
      </c>
      <c r="II85">
        <v>-0.44800000000000001</v>
      </c>
      <c r="IJ85">
        <v>5.0900000000000001E-2</v>
      </c>
      <c r="IK85">
        <v>-0.36705650021835889</v>
      </c>
      <c r="IL85">
        <v>-4.2852564239613137E-4</v>
      </c>
      <c r="IM85">
        <v>6.4980710991155998E-7</v>
      </c>
      <c r="IN85">
        <v>-2.7237938963984961E-10</v>
      </c>
      <c r="IO85">
        <v>-7.2329773052575482E-3</v>
      </c>
      <c r="IP85">
        <v>6.6907473102813496E-3</v>
      </c>
      <c r="IQ85">
        <v>-3.3673306238274028E-4</v>
      </c>
      <c r="IR85">
        <v>6.1311374003140313E-6</v>
      </c>
      <c r="IS85">
        <v>3</v>
      </c>
      <c r="IT85">
        <v>2101</v>
      </c>
      <c r="IU85">
        <v>1</v>
      </c>
      <c r="IV85">
        <v>32</v>
      </c>
      <c r="IW85">
        <v>1.6</v>
      </c>
      <c r="IX85">
        <v>1.3</v>
      </c>
      <c r="IY85">
        <v>1.01562</v>
      </c>
      <c r="IZ85">
        <v>2.7294900000000002</v>
      </c>
      <c r="JA85">
        <v>1.6003400000000001</v>
      </c>
      <c r="JB85">
        <v>2.32544</v>
      </c>
      <c r="JC85">
        <v>1.5502899999999999</v>
      </c>
      <c r="JD85">
        <v>2.4438499999999999</v>
      </c>
      <c r="JE85">
        <v>48.7637</v>
      </c>
      <c r="JF85">
        <v>24.043700000000001</v>
      </c>
      <c r="JG85">
        <v>18</v>
      </c>
      <c r="JH85">
        <v>596.99699999999996</v>
      </c>
      <c r="JI85">
        <v>375.15600000000001</v>
      </c>
      <c r="JJ85">
        <v>27.0318</v>
      </c>
      <c r="JK85">
        <v>34.290900000000001</v>
      </c>
      <c r="JL85">
        <v>30.000800000000002</v>
      </c>
      <c r="JM85">
        <v>34.433</v>
      </c>
      <c r="JN85">
        <v>34.442700000000002</v>
      </c>
      <c r="JO85">
        <v>20.326899999999998</v>
      </c>
      <c r="JP85">
        <v>27.794599999999999</v>
      </c>
      <c r="JQ85">
        <v>0</v>
      </c>
      <c r="JR85">
        <v>27.022500000000001</v>
      </c>
      <c r="JS85">
        <v>400</v>
      </c>
      <c r="JT85">
        <v>21.186800000000002</v>
      </c>
      <c r="JU85">
        <v>98.853700000000003</v>
      </c>
      <c r="JV85">
        <v>98.874600000000001</v>
      </c>
    </row>
    <row r="86" spans="1:282" x14ac:dyDescent="0.25">
      <c r="A86">
        <v>70</v>
      </c>
      <c r="B86">
        <v>1689013115.5</v>
      </c>
      <c r="C86">
        <v>13292.900000095369</v>
      </c>
      <c r="D86" t="s">
        <v>775</v>
      </c>
      <c r="E86" t="s">
        <v>776</v>
      </c>
      <c r="F86" t="s">
        <v>414</v>
      </c>
      <c r="G86" t="s">
        <v>415</v>
      </c>
      <c r="H86" t="s">
        <v>731</v>
      </c>
      <c r="I86" t="s">
        <v>578</v>
      </c>
      <c r="J86" t="s">
        <v>416</v>
      </c>
      <c r="K86">
        <v>1689013115.5</v>
      </c>
      <c r="L86">
        <f t="shared" si="92"/>
        <v>5.8875379527543901E-3</v>
      </c>
      <c r="M86">
        <f t="shared" si="93"/>
        <v>5.8875379527543901</v>
      </c>
      <c r="N86">
        <f t="shared" si="94"/>
        <v>51.060451882112723</v>
      </c>
      <c r="O86">
        <f t="shared" si="95"/>
        <v>336.56900000000002</v>
      </c>
      <c r="P86">
        <f t="shared" si="96"/>
        <v>123.12747503519357</v>
      </c>
      <c r="Q86">
        <f t="shared" si="97"/>
        <v>12.205554078155943</v>
      </c>
      <c r="R86">
        <f t="shared" si="98"/>
        <v>33.363886730859008</v>
      </c>
      <c r="S86">
        <f t="shared" si="99"/>
        <v>0.41973200493852475</v>
      </c>
      <c r="T86">
        <f t="shared" si="100"/>
        <v>2.908853297186865</v>
      </c>
      <c r="U86">
        <f t="shared" si="101"/>
        <v>0.38875572107059519</v>
      </c>
      <c r="V86">
        <f t="shared" si="102"/>
        <v>0.24556464405187123</v>
      </c>
      <c r="W86">
        <f t="shared" si="103"/>
        <v>289.58663932698062</v>
      </c>
      <c r="X86">
        <f t="shared" si="104"/>
        <v>30.187695236534726</v>
      </c>
      <c r="Y86">
        <f t="shared" si="105"/>
        <v>29.960899999999999</v>
      </c>
      <c r="Z86">
        <f t="shared" si="106"/>
        <v>4.2508907066629282</v>
      </c>
      <c r="AA86">
        <f t="shared" si="107"/>
        <v>65.75303437439301</v>
      </c>
      <c r="AB86">
        <f t="shared" si="108"/>
        <v>2.8030327901414998</v>
      </c>
      <c r="AC86">
        <f t="shared" si="109"/>
        <v>4.2629710047771088</v>
      </c>
      <c r="AD86">
        <f t="shared" si="110"/>
        <v>1.4478579165214285</v>
      </c>
      <c r="AE86">
        <f t="shared" si="111"/>
        <v>-259.6404237164686</v>
      </c>
      <c r="AF86">
        <f t="shared" si="112"/>
        <v>7.7470116885224813</v>
      </c>
      <c r="AG86">
        <f t="shared" si="113"/>
        <v>0.59209251073129798</v>
      </c>
      <c r="AH86">
        <f t="shared" si="114"/>
        <v>38.285319809765774</v>
      </c>
      <c r="AI86">
        <v>0</v>
      </c>
      <c r="AJ86">
        <v>0</v>
      </c>
      <c r="AK86">
        <f t="shared" si="115"/>
        <v>1</v>
      </c>
      <c r="AL86">
        <f t="shared" si="116"/>
        <v>0</v>
      </c>
      <c r="AM86">
        <f t="shared" si="117"/>
        <v>51741.008315236773</v>
      </c>
      <c r="AN86" t="s">
        <v>419</v>
      </c>
      <c r="AO86">
        <v>9967.0300000000007</v>
      </c>
      <c r="AP86">
        <v>178.94153846153841</v>
      </c>
      <c r="AQ86">
        <v>603.15</v>
      </c>
      <c r="AR86">
        <f t="shared" si="118"/>
        <v>0.7033216638290003</v>
      </c>
      <c r="AS86">
        <v>-3.2649104154664181</v>
      </c>
      <c r="AT86" t="s">
        <v>777</v>
      </c>
      <c r="AU86">
        <v>8058.14</v>
      </c>
      <c r="AV86">
        <v>737.98342307692315</v>
      </c>
      <c r="AW86">
        <v>1181.1240154662751</v>
      </c>
      <c r="AX86">
        <f t="shared" si="119"/>
        <v>0.3751854899118382</v>
      </c>
      <c r="AY86">
        <v>0.5</v>
      </c>
      <c r="AZ86">
        <f t="shared" si="120"/>
        <v>1513.2935996512854</v>
      </c>
      <c r="BA86">
        <f t="shared" si="121"/>
        <v>51.060451882112723</v>
      </c>
      <c r="BB86">
        <f t="shared" si="122"/>
        <v>283.88290028280835</v>
      </c>
      <c r="BC86">
        <f t="shared" si="123"/>
        <v>3.5898759044575068E-2</v>
      </c>
      <c r="BD86">
        <f t="shared" si="124"/>
        <v>-0.48934236193487857</v>
      </c>
      <c r="BE86">
        <f t="shared" si="125"/>
        <v>209.33175242694892</v>
      </c>
      <c r="BF86" t="s">
        <v>778</v>
      </c>
      <c r="BG86">
        <v>567.67999999999995</v>
      </c>
      <c r="BH86">
        <f t="shared" si="126"/>
        <v>567.67999999999995</v>
      </c>
      <c r="BI86">
        <f t="shared" si="127"/>
        <v>0.51937307804558053</v>
      </c>
      <c r="BJ86">
        <f t="shared" si="128"/>
        <v>0.72238147445700229</v>
      </c>
      <c r="BK86">
        <f t="shared" si="129"/>
        <v>-16.294728375141659</v>
      </c>
      <c r="BL86">
        <f t="shared" si="130"/>
        <v>0.44217555440979583</v>
      </c>
      <c r="BM86">
        <f t="shared" si="131"/>
        <v>-1.3624763951434573</v>
      </c>
      <c r="BN86">
        <f t="shared" si="132"/>
        <v>0.55567849167935379</v>
      </c>
      <c r="BO86">
        <f t="shared" si="133"/>
        <v>0.44432150832064621</v>
      </c>
      <c r="BP86">
        <v>6175</v>
      </c>
      <c r="BQ86">
        <v>290.00000000000011</v>
      </c>
      <c r="BR86">
        <v>1032.46</v>
      </c>
      <c r="BS86">
        <v>295</v>
      </c>
      <c r="BT86">
        <v>8058.14</v>
      </c>
      <c r="BU86">
        <v>1034.8699999999999</v>
      </c>
      <c r="BV86">
        <v>-2.41</v>
      </c>
      <c r="BW86">
        <v>300.00000000000011</v>
      </c>
      <c r="BX86">
        <v>19.3</v>
      </c>
      <c r="BY86">
        <v>1181.1240154662751</v>
      </c>
      <c r="BZ86">
        <v>5.7318462058696849</v>
      </c>
      <c r="CA86">
        <v>-117.8556226082369</v>
      </c>
      <c r="CB86">
        <v>4.2431600416535042</v>
      </c>
      <c r="CC86">
        <v>0.96497701077226417</v>
      </c>
      <c r="CD86">
        <v>-4.1583866518353774E-3</v>
      </c>
      <c r="CE86">
        <v>289.99999999999989</v>
      </c>
      <c r="CF86">
        <v>1027.3</v>
      </c>
      <c r="CG86">
        <v>655</v>
      </c>
      <c r="CH86">
        <v>8048.9</v>
      </c>
      <c r="CI86">
        <v>1034.7</v>
      </c>
      <c r="CJ86">
        <v>-7.4</v>
      </c>
      <c r="CX86">
        <f t="shared" si="134"/>
        <v>1800.13</v>
      </c>
      <c r="CY86">
        <f t="shared" si="135"/>
        <v>1513.2935996512854</v>
      </c>
      <c r="CZ86">
        <f t="shared" si="136"/>
        <v>0.84065795228749329</v>
      </c>
      <c r="DA86">
        <f t="shared" si="137"/>
        <v>0.16086984791486203</v>
      </c>
      <c r="DB86">
        <v>6</v>
      </c>
      <c r="DC86">
        <v>0.5</v>
      </c>
      <c r="DD86" t="s">
        <v>422</v>
      </c>
      <c r="DE86">
        <v>2</v>
      </c>
      <c r="DF86">
        <v>1689013115.5</v>
      </c>
      <c r="DG86">
        <v>336.56900000000002</v>
      </c>
      <c r="DH86">
        <v>400.20299999999997</v>
      </c>
      <c r="DI86">
        <v>28.276499999999999</v>
      </c>
      <c r="DJ86">
        <v>21.413</v>
      </c>
      <c r="DK86">
        <v>337.03</v>
      </c>
      <c r="DL86">
        <v>28.227699999999999</v>
      </c>
      <c r="DM86">
        <v>500.12900000000002</v>
      </c>
      <c r="DN86">
        <v>99.0291</v>
      </c>
      <c r="DO86">
        <v>0.100311</v>
      </c>
      <c r="DP86">
        <v>30.010300000000001</v>
      </c>
      <c r="DQ86">
        <v>29.960899999999999</v>
      </c>
      <c r="DR86">
        <v>999.9</v>
      </c>
      <c r="DS86">
        <v>0</v>
      </c>
      <c r="DT86">
        <v>0</v>
      </c>
      <c r="DU86">
        <v>9979.3799999999992</v>
      </c>
      <c r="DV86">
        <v>0</v>
      </c>
      <c r="DW86">
        <v>1718.54</v>
      </c>
      <c r="DX86">
        <v>-63.6342</v>
      </c>
      <c r="DY86">
        <v>346.363</v>
      </c>
      <c r="DZ86">
        <v>408.96</v>
      </c>
      <c r="EA86">
        <v>6.8634899999999996</v>
      </c>
      <c r="EB86">
        <v>400.20299999999997</v>
      </c>
      <c r="EC86">
        <v>21.413</v>
      </c>
      <c r="ED86">
        <v>2.8001900000000002</v>
      </c>
      <c r="EE86">
        <v>2.1205099999999999</v>
      </c>
      <c r="EF86">
        <v>22.885200000000001</v>
      </c>
      <c r="EG86">
        <v>18.374099999999999</v>
      </c>
      <c r="EH86">
        <v>1800.13</v>
      </c>
      <c r="EI86">
        <v>0.97800600000000004</v>
      </c>
      <c r="EJ86">
        <v>2.1994099999999999E-2</v>
      </c>
      <c r="EK86">
        <v>0</v>
      </c>
      <c r="EL86">
        <v>738.03200000000004</v>
      </c>
      <c r="EM86">
        <v>5.0005300000000004</v>
      </c>
      <c r="EN86">
        <v>16041.2</v>
      </c>
      <c r="EO86">
        <v>16036.5</v>
      </c>
      <c r="EP86">
        <v>47.811999999999998</v>
      </c>
      <c r="EQ86">
        <v>49.5</v>
      </c>
      <c r="ER86">
        <v>48.436999999999998</v>
      </c>
      <c r="ES86">
        <v>48.75</v>
      </c>
      <c r="ET86">
        <v>49.125</v>
      </c>
      <c r="EU86">
        <v>1755.65</v>
      </c>
      <c r="EV86">
        <v>39.479999999999997</v>
      </c>
      <c r="EW86">
        <v>0</v>
      </c>
      <c r="EX86">
        <v>102.7999999523163</v>
      </c>
      <c r="EY86">
        <v>0</v>
      </c>
      <c r="EZ86">
        <v>737.98342307692315</v>
      </c>
      <c r="FA86">
        <v>-0.26765811786052401</v>
      </c>
      <c r="FB86">
        <v>-60.112820566058147</v>
      </c>
      <c r="FC86">
        <v>16044.24230769231</v>
      </c>
      <c r="FD86">
        <v>15</v>
      </c>
      <c r="FE86">
        <v>1689013080</v>
      </c>
      <c r="FF86" t="s">
        <v>779</v>
      </c>
      <c r="FG86">
        <v>1689013075</v>
      </c>
      <c r="FH86">
        <v>1689013080</v>
      </c>
      <c r="FI86">
        <v>76</v>
      </c>
      <c r="FJ86">
        <v>-1.2999999999999999E-2</v>
      </c>
      <c r="FK86">
        <v>-2E-3</v>
      </c>
      <c r="FL86">
        <v>-0.46500000000000002</v>
      </c>
      <c r="FM86">
        <v>3.9E-2</v>
      </c>
      <c r="FN86">
        <v>400</v>
      </c>
      <c r="FO86">
        <v>21</v>
      </c>
      <c r="FP86">
        <v>0.04</v>
      </c>
      <c r="FQ86">
        <v>0.01</v>
      </c>
      <c r="FR86">
        <v>51.122393189978453</v>
      </c>
      <c r="FS86">
        <v>-0.6709558514362568</v>
      </c>
      <c r="FT86">
        <v>5.6698339898999493E-2</v>
      </c>
      <c r="FU86">
        <v>1</v>
      </c>
      <c r="FV86">
        <v>0.42003562387254351</v>
      </c>
      <c r="FW86">
        <v>2.959424053825542E-2</v>
      </c>
      <c r="FX86">
        <v>3.000661302609414E-3</v>
      </c>
      <c r="FY86">
        <v>1</v>
      </c>
      <c r="FZ86">
        <v>2</v>
      </c>
      <c r="GA86">
        <v>2</v>
      </c>
      <c r="GB86" t="s">
        <v>424</v>
      </c>
      <c r="GC86">
        <v>3.1218400000000002</v>
      </c>
      <c r="GD86">
        <v>2.7674400000000001</v>
      </c>
      <c r="GE86">
        <v>7.7473299999999995E-2</v>
      </c>
      <c r="GF86">
        <v>8.8672299999999996E-2</v>
      </c>
      <c r="GG86">
        <v>0.11984499999999999</v>
      </c>
      <c r="GH86">
        <v>9.88512E-2</v>
      </c>
      <c r="GI86">
        <v>22056.3</v>
      </c>
      <c r="GJ86">
        <v>22591.3</v>
      </c>
      <c r="GK86">
        <v>23770.1</v>
      </c>
      <c r="GL86">
        <v>25101.4</v>
      </c>
      <c r="GM86">
        <v>30148.7</v>
      </c>
      <c r="GN86">
        <v>31725</v>
      </c>
      <c r="GO86">
        <v>37885.5</v>
      </c>
      <c r="GP86">
        <v>39051.5</v>
      </c>
      <c r="GQ86">
        <v>2.1412499999999999</v>
      </c>
      <c r="GR86">
        <v>1.71373</v>
      </c>
      <c r="GS86">
        <v>-2.60472E-2</v>
      </c>
      <c r="GT86">
        <v>0</v>
      </c>
      <c r="GU86">
        <v>30.384599999999999</v>
      </c>
      <c r="GV86">
        <v>999.9</v>
      </c>
      <c r="GW86">
        <v>28</v>
      </c>
      <c r="GX86">
        <v>45.7</v>
      </c>
      <c r="GY86">
        <v>28.252099999999999</v>
      </c>
      <c r="GZ86">
        <v>61.109099999999998</v>
      </c>
      <c r="HA86">
        <v>28.109000000000002</v>
      </c>
      <c r="HB86">
        <v>1</v>
      </c>
      <c r="HC86">
        <v>0.57765</v>
      </c>
      <c r="HD86">
        <v>3.0344699999999998</v>
      </c>
      <c r="HE86">
        <v>20.2911</v>
      </c>
      <c r="HF86">
        <v>5.2530799999999997</v>
      </c>
      <c r="HG86">
        <v>12.0099</v>
      </c>
      <c r="HH86">
        <v>4.9794499999999999</v>
      </c>
      <c r="HI86">
        <v>3.2930000000000001</v>
      </c>
      <c r="HJ86">
        <v>9999</v>
      </c>
      <c r="HK86">
        <v>9999</v>
      </c>
      <c r="HL86">
        <v>9999</v>
      </c>
      <c r="HM86">
        <v>235.1</v>
      </c>
      <c r="HN86">
        <v>1.8757299999999999</v>
      </c>
      <c r="HO86">
        <v>1.8768199999999999</v>
      </c>
      <c r="HP86">
        <v>1.88279</v>
      </c>
      <c r="HQ86">
        <v>1.88602</v>
      </c>
      <c r="HR86">
        <v>1.8768400000000001</v>
      </c>
      <c r="HS86">
        <v>1.88324</v>
      </c>
      <c r="HT86">
        <v>1.8821699999999999</v>
      </c>
      <c r="HU86">
        <v>1.88568</v>
      </c>
      <c r="HV86">
        <v>0</v>
      </c>
      <c r="HW86">
        <v>0</v>
      </c>
      <c r="HX86">
        <v>0</v>
      </c>
      <c r="HY86">
        <v>0</v>
      </c>
      <c r="HZ86" t="s">
        <v>425</v>
      </c>
      <c r="IA86" t="s">
        <v>426</v>
      </c>
      <c r="IB86" t="s">
        <v>427</v>
      </c>
      <c r="IC86" t="s">
        <v>427</v>
      </c>
      <c r="ID86" t="s">
        <v>427</v>
      </c>
      <c r="IE86" t="s">
        <v>427</v>
      </c>
      <c r="IF86">
        <v>0</v>
      </c>
      <c r="IG86">
        <v>100</v>
      </c>
      <c r="IH86">
        <v>100</v>
      </c>
      <c r="II86">
        <v>-0.46100000000000002</v>
      </c>
      <c r="IJ86">
        <v>4.8800000000000003E-2</v>
      </c>
      <c r="IK86">
        <v>-0.38015531408615483</v>
      </c>
      <c r="IL86">
        <v>-4.2852564239613137E-4</v>
      </c>
      <c r="IM86">
        <v>6.4980710991155998E-7</v>
      </c>
      <c r="IN86">
        <v>-2.7237938963984961E-10</v>
      </c>
      <c r="IO86">
        <v>-9.7223957687400716E-3</v>
      </c>
      <c r="IP86">
        <v>6.6907473102813496E-3</v>
      </c>
      <c r="IQ86">
        <v>-3.3673306238274028E-4</v>
      </c>
      <c r="IR86">
        <v>6.1311374003140313E-6</v>
      </c>
      <c r="IS86">
        <v>3</v>
      </c>
      <c r="IT86">
        <v>2101</v>
      </c>
      <c r="IU86">
        <v>1</v>
      </c>
      <c r="IV86">
        <v>32</v>
      </c>
      <c r="IW86">
        <v>0.7</v>
      </c>
      <c r="IX86">
        <v>0.6</v>
      </c>
      <c r="IY86">
        <v>1.01562</v>
      </c>
      <c r="IZ86">
        <v>2.7282700000000002</v>
      </c>
      <c r="JA86">
        <v>1.6015600000000001</v>
      </c>
      <c r="JB86">
        <v>2.32544</v>
      </c>
      <c r="JC86">
        <v>1.5502899999999999</v>
      </c>
      <c r="JD86">
        <v>2.36816</v>
      </c>
      <c r="JE86">
        <v>48.856900000000003</v>
      </c>
      <c r="JF86">
        <v>24.026199999999999</v>
      </c>
      <c r="JG86">
        <v>18</v>
      </c>
      <c r="JH86">
        <v>597.00099999999998</v>
      </c>
      <c r="JI86">
        <v>374.32900000000001</v>
      </c>
      <c r="JJ86">
        <v>26.685700000000001</v>
      </c>
      <c r="JK86">
        <v>34.443600000000004</v>
      </c>
      <c r="JL86">
        <v>30.001200000000001</v>
      </c>
      <c r="JM86">
        <v>34.530799999999999</v>
      </c>
      <c r="JN86">
        <v>34.535699999999999</v>
      </c>
      <c r="JO86">
        <v>20.321100000000001</v>
      </c>
      <c r="JP86">
        <v>27.0671</v>
      </c>
      <c r="JQ86">
        <v>0</v>
      </c>
      <c r="JR86">
        <v>26.663</v>
      </c>
      <c r="JS86">
        <v>400</v>
      </c>
      <c r="JT86">
        <v>21.274899999999999</v>
      </c>
      <c r="JU86">
        <v>98.82</v>
      </c>
      <c r="JV86">
        <v>98.838700000000003</v>
      </c>
    </row>
    <row r="87" spans="1:282" x14ac:dyDescent="0.25">
      <c r="A87">
        <v>71</v>
      </c>
      <c r="B87">
        <v>1689013223.5</v>
      </c>
      <c r="C87">
        <v>13400.900000095369</v>
      </c>
      <c r="D87" t="s">
        <v>780</v>
      </c>
      <c r="E87" t="s">
        <v>781</v>
      </c>
      <c r="F87" t="s">
        <v>414</v>
      </c>
      <c r="G87" t="s">
        <v>415</v>
      </c>
      <c r="H87" t="s">
        <v>731</v>
      </c>
      <c r="I87" t="s">
        <v>578</v>
      </c>
      <c r="J87" t="s">
        <v>416</v>
      </c>
      <c r="K87">
        <v>1689013223.5</v>
      </c>
      <c r="L87">
        <f t="shared" si="92"/>
        <v>5.7303853697330343E-3</v>
      </c>
      <c r="M87">
        <f t="shared" si="93"/>
        <v>5.7303853697330345</v>
      </c>
      <c r="N87">
        <f t="shared" si="94"/>
        <v>53.295407833342217</v>
      </c>
      <c r="O87">
        <f t="shared" si="95"/>
        <v>433.20299999999997</v>
      </c>
      <c r="P87">
        <f t="shared" si="96"/>
        <v>199.60934622876206</v>
      </c>
      <c r="Q87">
        <f t="shared" si="97"/>
        <v>19.787061428641021</v>
      </c>
      <c r="R87">
        <f t="shared" si="98"/>
        <v>42.942950989117797</v>
      </c>
      <c r="S87">
        <f t="shared" si="99"/>
        <v>0.40217971789371576</v>
      </c>
      <c r="T87">
        <f t="shared" si="100"/>
        <v>2.90743808525712</v>
      </c>
      <c r="U87">
        <f t="shared" si="101"/>
        <v>0.37363278280355716</v>
      </c>
      <c r="V87">
        <f t="shared" si="102"/>
        <v>0.2359162427957858</v>
      </c>
      <c r="W87">
        <f t="shared" si="103"/>
        <v>289.53716332686463</v>
      </c>
      <c r="X87">
        <f t="shared" si="104"/>
        <v>30.312442349882826</v>
      </c>
      <c r="Y87">
        <f t="shared" si="105"/>
        <v>30.011099999999999</v>
      </c>
      <c r="Z87">
        <f t="shared" si="106"/>
        <v>4.2631668830561553</v>
      </c>
      <c r="AA87">
        <f t="shared" si="107"/>
        <v>65.295564310424552</v>
      </c>
      <c r="AB87">
        <f t="shared" si="108"/>
        <v>2.7969723977752996</v>
      </c>
      <c r="AC87">
        <f t="shared" si="109"/>
        <v>4.283556513085772</v>
      </c>
      <c r="AD87">
        <f t="shared" si="110"/>
        <v>1.4661944852808557</v>
      </c>
      <c r="AE87">
        <f t="shared" si="111"/>
        <v>-252.70999480522681</v>
      </c>
      <c r="AF87">
        <f t="shared" si="112"/>
        <v>13.025576150553203</v>
      </c>
      <c r="AG87">
        <f t="shared" si="113"/>
        <v>0.99667127366336872</v>
      </c>
      <c r="AH87">
        <f t="shared" si="114"/>
        <v>50.849415945854389</v>
      </c>
      <c r="AI87">
        <v>0</v>
      </c>
      <c r="AJ87">
        <v>0</v>
      </c>
      <c r="AK87">
        <f t="shared" si="115"/>
        <v>1</v>
      </c>
      <c r="AL87">
        <f t="shared" si="116"/>
        <v>0</v>
      </c>
      <c r="AM87">
        <f t="shared" si="117"/>
        <v>51686.502732923182</v>
      </c>
      <c r="AN87" t="s">
        <v>419</v>
      </c>
      <c r="AO87">
        <v>9967.0300000000007</v>
      </c>
      <c r="AP87">
        <v>178.94153846153841</v>
      </c>
      <c r="AQ87">
        <v>603.15</v>
      </c>
      <c r="AR87">
        <f t="shared" si="118"/>
        <v>0.7033216638290003</v>
      </c>
      <c r="AS87">
        <v>-3.2649104154664181</v>
      </c>
      <c r="AT87" t="s">
        <v>782</v>
      </c>
      <c r="AU87">
        <v>8058.59</v>
      </c>
      <c r="AV87">
        <v>750.40003999999999</v>
      </c>
      <c r="AW87">
        <v>1222.560870197249</v>
      </c>
      <c r="AX87">
        <f t="shared" si="119"/>
        <v>0.38620639814937818</v>
      </c>
      <c r="AY87">
        <v>0.5</v>
      </c>
      <c r="AZ87">
        <f t="shared" si="120"/>
        <v>1513.033199651225</v>
      </c>
      <c r="BA87">
        <f t="shared" si="121"/>
        <v>53.295407833342217</v>
      </c>
      <c r="BB87">
        <f t="shared" si="122"/>
        <v>292.1715511588643</v>
      </c>
      <c r="BC87">
        <f t="shared" si="123"/>
        <v>3.7382073481167871E-2</v>
      </c>
      <c r="BD87">
        <f t="shared" si="124"/>
        <v>-0.50665033152689787</v>
      </c>
      <c r="BE87">
        <f t="shared" si="125"/>
        <v>210.59680237540593</v>
      </c>
      <c r="BF87" t="s">
        <v>783</v>
      </c>
      <c r="BG87">
        <v>573.01</v>
      </c>
      <c r="BH87">
        <f t="shared" si="126"/>
        <v>573.01</v>
      </c>
      <c r="BI87">
        <f t="shared" si="127"/>
        <v>0.53130350073485499</v>
      </c>
      <c r="BJ87">
        <f t="shared" si="128"/>
        <v>0.72690354498927545</v>
      </c>
      <c r="BK87">
        <f t="shared" si="129"/>
        <v>-20.551123762350674</v>
      </c>
      <c r="BL87">
        <f t="shared" si="130"/>
        <v>0.4524262974431183</v>
      </c>
      <c r="BM87">
        <f t="shared" si="131"/>
        <v>-1.46015680109457</v>
      </c>
      <c r="BN87">
        <f t="shared" si="132"/>
        <v>0.55506793458367187</v>
      </c>
      <c r="BO87">
        <f t="shared" si="133"/>
        <v>0.44493206541632813</v>
      </c>
      <c r="BP87">
        <v>6177</v>
      </c>
      <c r="BQ87">
        <v>290.00000000000011</v>
      </c>
      <c r="BR87">
        <v>1069.3699999999999</v>
      </c>
      <c r="BS87">
        <v>275</v>
      </c>
      <c r="BT87">
        <v>8058.59</v>
      </c>
      <c r="BU87">
        <v>1071.8900000000001</v>
      </c>
      <c r="BV87">
        <v>-2.52</v>
      </c>
      <c r="BW87">
        <v>300.00000000000011</v>
      </c>
      <c r="BX87">
        <v>19.3</v>
      </c>
      <c r="BY87">
        <v>1222.560870197249</v>
      </c>
      <c r="BZ87">
        <v>4.8400374149271332</v>
      </c>
      <c r="CA87">
        <v>-121.4161796087008</v>
      </c>
      <c r="CB87">
        <v>3.5828840223944072</v>
      </c>
      <c r="CC87">
        <v>0.97619827459273656</v>
      </c>
      <c r="CD87">
        <v>-4.1583679644048924E-3</v>
      </c>
      <c r="CE87">
        <v>289.99999999999989</v>
      </c>
      <c r="CF87">
        <v>1065.1300000000001</v>
      </c>
      <c r="CG87">
        <v>645</v>
      </c>
      <c r="CH87">
        <v>8049</v>
      </c>
      <c r="CI87">
        <v>1071.71</v>
      </c>
      <c r="CJ87">
        <v>-6.58</v>
      </c>
      <c r="CX87">
        <f t="shared" si="134"/>
        <v>1799.82</v>
      </c>
      <c r="CY87">
        <f t="shared" si="135"/>
        <v>1513.033199651225</v>
      </c>
      <c r="CZ87">
        <f t="shared" si="136"/>
        <v>0.84065806561279743</v>
      </c>
      <c r="DA87">
        <f t="shared" si="137"/>
        <v>0.16087006663269918</v>
      </c>
      <c r="DB87">
        <v>6</v>
      </c>
      <c r="DC87">
        <v>0.5</v>
      </c>
      <c r="DD87" t="s">
        <v>422</v>
      </c>
      <c r="DE87">
        <v>2</v>
      </c>
      <c r="DF87">
        <v>1689013223.5</v>
      </c>
      <c r="DG87">
        <v>433.20299999999997</v>
      </c>
      <c r="DH87">
        <v>500.13799999999998</v>
      </c>
      <c r="DI87">
        <v>28.215499999999999</v>
      </c>
      <c r="DJ87">
        <v>21.532900000000001</v>
      </c>
      <c r="DK87">
        <v>433.56099999999998</v>
      </c>
      <c r="DL87">
        <v>28.1678</v>
      </c>
      <c r="DM87">
        <v>499.988</v>
      </c>
      <c r="DN87">
        <v>99.029600000000002</v>
      </c>
      <c r="DO87">
        <v>9.9332599999999993E-2</v>
      </c>
      <c r="DP87">
        <v>30.094200000000001</v>
      </c>
      <c r="DQ87">
        <v>30.011099999999999</v>
      </c>
      <c r="DR87">
        <v>999.9</v>
      </c>
      <c r="DS87">
        <v>0</v>
      </c>
      <c r="DT87">
        <v>0</v>
      </c>
      <c r="DU87">
        <v>9971.25</v>
      </c>
      <c r="DV87">
        <v>0</v>
      </c>
      <c r="DW87">
        <v>1700.09</v>
      </c>
      <c r="DX87">
        <v>-66.935000000000002</v>
      </c>
      <c r="DY87">
        <v>445.78100000000001</v>
      </c>
      <c r="DZ87">
        <v>511.14400000000001</v>
      </c>
      <c r="EA87">
        <v>6.6825700000000001</v>
      </c>
      <c r="EB87">
        <v>500.13799999999998</v>
      </c>
      <c r="EC87">
        <v>21.532900000000001</v>
      </c>
      <c r="ED87">
        <v>2.7941699999999998</v>
      </c>
      <c r="EE87">
        <v>2.1324000000000001</v>
      </c>
      <c r="EF87">
        <v>22.849699999999999</v>
      </c>
      <c r="EG87">
        <v>18.4633</v>
      </c>
      <c r="EH87">
        <v>1799.82</v>
      </c>
      <c r="EI87">
        <v>0.97800200000000004</v>
      </c>
      <c r="EJ87">
        <v>2.1997599999999999E-2</v>
      </c>
      <c r="EK87">
        <v>0</v>
      </c>
      <c r="EL87">
        <v>750.77</v>
      </c>
      <c r="EM87">
        <v>5.0005300000000004</v>
      </c>
      <c r="EN87">
        <v>16257.6</v>
      </c>
      <c r="EO87">
        <v>16033.7</v>
      </c>
      <c r="EP87">
        <v>47.936999999999998</v>
      </c>
      <c r="EQ87">
        <v>49.625</v>
      </c>
      <c r="ER87">
        <v>48.561999999999998</v>
      </c>
      <c r="ES87">
        <v>48.875</v>
      </c>
      <c r="ET87">
        <v>49.186999999999998</v>
      </c>
      <c r="EU87">
        <v>1755.34</v>
      </c>
      <c r="EV87">
        <v>39.479999999999997</v>
      </c>
      <c r="EW87">
        <v>0</v>
      </c>
      <c r="EX87">
        <v>106.19999980926509</v>
      </c>
      <c r="EY87">
        <v>0</v>
      </c>
      <c r="EZ87">
        <v>750.40003999999999</v>
      </c>
      <c r="FA87">
        <v>2.582461528614751</v>
      </c>
      <c r="FB87">
        <v>-70.638461682802514</v>
      </c>
      <c r="FC87">
        <v>16271.672</v>
      </c>
      <c r="FD87">
        <v>15</v>
      </c>
      <c r="FE87">
        <v>1689013191</v>
      </c>
      <c r="FF87" t="s">
        <v>784</v>
      </c>
      <c r="FG87">
        <v>1689013189.5</v>
      </c>
      <c r="FH87">
        <v>1689013191</v>
      </c>
      <c r="FI87">
        <v>77</v>
      </c>
      <c r="FJ87">
        <v>0.108</v>
      </c>
      <c r="FK87">
        <v>-1E-3</v>
      </c>
      <c r="FL87">
        <v>-0.35799999999999998</v>
      </c>
      <c r="FM87">
        <v>3.7999999999999999E-2</v>
      </c>
      <c r="FN87">
        <v>500</v>
      </c>
      <c r="FO87">
        <v>21</v>
      </c>
      <c r="FP87">
        <v>0.04</v>
      </c>
      <c r="FQ87">
        <v>0.01</v>
      </c>
      <c r="FR87">
        <v>53.329402933517997</v>
      </c>
      <c r="FS87">
        <v>-0.59048364702432043</v>
      </c>
      <c r="FT87">
        <v>6.9960735478346442E-2</v>
      </c>
      <c r="FU87">
        <v>1</v>
      </c>
      <c r="FV87">
        <v>0.40212616213922958</v>
      </c>
      <c r="FW87">
        <v>2.991797984773303E-2</v>
      </c>
      <c r="FX87">
        <v>2.9025840291391318E-3</v>
      </c>
      <c r="FY87">
        <v>1</v>
      </c>
      <c r="FZ87">
        <v>2</v>
      </c>
      <c r="GA87">
        <v>2</v>
      </c>
      <c r="GB87" t="s">
        <v>424</v>
      </c>
      <c r="GC87">
        <v>3.12188</v>
      </c>
      <c r="GD87">
        <v>2.7663799999999998</v>
      </c>
      <c r="GE87">
        <v>9.4172099999999995E-2</v>
      </c>
      <c r="GF87">
        <v>0.104717</v>
      </c>
      <c r="GG87">
        <v>0.119639</v>
      </c>
      <c r="GH87">
        <v>9.9222000000000005E-2</v>
      </c>
      <c r="GI87">
        <v>21648.1</v>
      </c>
      <c r="GJ87">
        <v>22184.1</v>
      </c>
      <c r="GK87">
        <v>23760.7</v>
      </c>
      <c r="GL87">
        <v>25091.4</v>
      </c>
      <c r="GM87">
        <v>30143.7</v>
      </c>
      <c r="GN87">
        <v>31701.200000000001</v>
      </c>
      <c r="GO87">
        <v>37870.6</v>
      </c>
      <c r="GP87">
        <v>39038.400000000001</v>
      </c>
      <c r="GQ87">
        <v>2.1385999999999998</v>
      </c>
      <c r="GR87">
        <v>1.7121</v>
      </c>
      <c r="GS87">
        <v>-1.34185E-2</v>
      </c>
      <c r="GT87">
        <v>0</v>
      </c>
      <c r="GU87">
        <v>30.229399999999998</v>
      </c>
      <c r="GV87">
        <v>999.9</v>
      </c>
      <c r="GW87">
        <v>27.8</v>
      </c>
      <c r="GX87">
        <v>45.8</v>
      </c>
      <c r="GY87">
        <v>28.1952</v>
      </c>
      <c r="GZ87">
        <v>61.109099999999998</v>
      </c>
      <c r="HA87">
        <v>27.7804</v>
      </c>
      <c r="HB87">
        <v>1</v>
      </c>
      <c r="HC87">
        <v>0.59460100000000005</v>
      </c>
      <c r="HD87">
        <v>3.1991100000000001</v>
      </c>
      <c r="HE87">
        <v>20.2864</v>
      </c>
      <c r="HF87">
        <v>5.2461900000000004</v>
      </c>
      <c r="HG87">
        <v>12.0099</v>
      </c>
      <c r="HH87">
        <v>4.9785500000000003</v>
      </c>
      <c r="HI87">
        <v>3.2923300000000002</v>
      </c>
      <c r="HJ87">
        <v>9999</v>
      </c>
      <c r="HK87">
        <v>9999</v>
      </c>
      <c r="HL87">
        <v>9999</v>
      </c>
      <c r="HM87">
        <v>235.1</v>
      </c>
      <c r="HN87">
        <v>1.8757200000000001</v>
      </c>
      <c r="HO87">
        <v>1.87683</v>
      </c>
      <c r="HP87">
        <v>1.8827799999999999</v>
      </c>
      <c r="HQ87">
        <v>1.8859999999999999</v>
      </c>
      <c r="HR87">
        <v>1.87683</v>
      </c>
      <c r="HS87">
        <v>1.8832199999999999</v>
      </c>
      <c r="HT87">
        <v>1.8821699999999999</v>
      </c>
      <c r="HU87">
        <v>1.88568</v>
      </c>
      <c r="HV87">
        <v>0</v>
      </c>
      <c r="HW87">
        <v>0</v>
      </c>
      <c r="HX87">
        <v>0</v>
      </c>
      <c r="HY87">
        <v>0</v>
      </c>
      <c r="HZ87" t="s">
        <v>425</v>
      </c>
      <c r="IA87" t="s">
        <v>426</v>
      </c>
      <c r="IB87" t="s">
        <v>427</v>
      </c>
      <c r="IC87" t="s">
        <v>427</v>
      </c>
      <c r="ID87" t="s">
        <v>427</v>
      </c>
      <c r="IE87" t="s">
        <v>427</v>
      </c>
      <c r="IF87">
        <v>0</v>
      </c>
      <c r="IG87">
        <v>100</v>
      </c>
      <c r="IH87">
        <v>100</v>
      </c>
      <c r="II87">
        <v>-0.35799999999999998</v>
      </c>
      <c r="IJ87">
        <v>4.7699999999999999E-2</v>
      </c>
      <c r="IK87">
        <v>-0.27196193180449979</v>
      </c>
      <c r="IL87">
        <v>-4.2852564239613137E-4</v>
      </c>
      <c r="IM87">
        <v>6.4980710991155998E-7</v>
      </c>
      <c r="IN87">
        <v>-2.7237938963984961E-10</v>
      </c>
      <c r="IO87">
        <v>-1.063543959252705E-2</v>
      </c>
      <c r="IP87">
        <v>6.6907473102813496E-3</v>
      </c>
      <c r="IQ87">
        <v>-3.3673306238274028E-4</v>
      </c>
      <c r="IR87">
        <v>6.1311374003140313E-6</v>
      </c>
      <c r="IS87">
        <v>3</v>
      </c>
      <c r="IT87">
        <v>2101</v>
      </c>
      <c r="IU87">
        <v>1</v>
      </c>
      <c r="IV87">
        <v>32</v>
      </c>
      <c r="IW87">
        <v>0.6</v>
      </c>
      <c r="IX87">
        <v>0.5</v>
      </c>
      <c r="IY87">
        <v>1.2170399999999999</v>
      </c>
      <c r="IZ87">
        <v>2.7246100000000002</v>
      </c>
      <c r="JA87">
        <v>1.6015600000000001</v>
      </c>
      <c r="JB87">
        <v>2.32666</v>
      </c>
      <c r="JC87">
        <v>1.5502899999999999</v>
      </c>
      <c r="JD87">
        <v>2.47803</v>
      </c>
      <c r="JE87">
        <v>48.950299999999999</v>
      </c>
      <c r="JF87">
        <v>24.035</v>
      </c>
      <c r="JG87">
        <v>18</v>
      </c>
      <c r="JH87">
        <v>596.11099999999999</v>
      </c>
      <c r="JI87">
        <v>373.99200000000002</v>
      </c>
      <c r="JJ87">
        <v>26.843499999999999</v>
      </c>
      <c r="JK87">
        <v>34.585299999999997</v>
      </c>
      <c r="JL87">
        <v>30.000599999999999</v>
      </c>
      <c r="JM87">
        <v>34.642099999999999</v>
      </c>
      <c r="JN87">
        <v>34.642400000000002</v>
      </c>
      <c r="JO87">
        <v>24.3431</v>
      </c>
      <c r="JP87">
        <v>25.9832</v>
      </c>
      <c r="JQ87">
        <v>0</v>
      </c>
      <c r="JR87">
        <v>26.830500000000001</v>
      </c>
      <c r="JS87">
        <v>500</v>
      </c>
      <c r="JT87">
        <v>21.447900000000001</v>
      </c>
      <c r="JU87">
        <v>98.780900000000003</v>
      </c>
      <c r="JV87">
        <v>98.803200000000004</v>
      </c>
    </row>
    <row r="88" spans="1:282" x14ac:dyDescent="0.25">
      <c r="A88">
        <v>72</v>
      </c>
      <c r="B88">
        <v>1689013330</v>
      </c>
      <c r="C88">
        <v>13507.400000095369</v>
      </c>
      <c r="D88" t="s">
        <v>785</v>
      </c>
      <c r="E88" t="s">
        <v>786</v>
      </c>
      <c r="F88" t="s">
        <v>414</v>
      </c>
      <c r="G88" t="s">
        <v>415</v>
      </c>
      <c r="H88" t="s">
        <v>731</v>
      </c>
      <c r="I88" t="s">
        <v>578</v>
      </c>
      <c r="J88" t="s">
        <v>416</v>
      </c>
      <c r="K88">
        <v>1689013330</v>
      </c>
      <c r="L88">
        <f t="shared" si="92"/>
        <v>5.4538985879311339E-3</v>
      </c>
      <c r="M88">
        <f t="shared" si="93"/>
        <v>5.4538985879311337</v>
      </c>
      <c r="N88">
        <f t="shared" si="94"/>
        <v>54.358715866992419</v>
      </c>
      <c r="O88">
        <f t="shared" si="95"/>
        <v>630.84199999999998</v>
      </c>
      <c r="P88">
        <f t="shared" si="96"/>
        <v>378.36652966168094</v>
      </c>
      <c r="Q88">
        <f t="shared" si="97"/>
        <v>37.50740117413217</v>
      </c>
      <c r="R88">
        <f t="shared" si="98"/>
        <v>62.535245896746595</v>
      </c>
      <c r="S88">
        <f t="shared" si="99"/>
        <v>0.38451963853629439</v>
      </c>
      <c r="T88">
        <f t="shared" si="100"/>
        <v>2.9159778097737763</v>
      </c>
      <c r="U88">
        <f t="shared" si="101"/>
        <v>0.35840831800365652</v>
      </c>
      <c r="V88">
        <f t="shared" si="102"/>
        <v>0.22620326750114966</v>
      </c>
      <c r="W88">
        <f t="shared" si="103"/>
        <v>289.56908332693945</v>
      </c>
      <c r="X88">
        <f t="shared" si="104"/>
        <v>30.316711901516449</v>
      </c>
      <c r="Y88">
        <f t="shared" si="105"/>
        <v>29.9666</v>
      </c>
      <c r="Z88">
        <f t="shared" si="106"/>
        <v>4.252283062857857</v>
      </c>
      <c r="AA88">
        <f t="shared" si="107"/>
        <v>65.560223556281542</v>
      </c>
      <c r="AB88">
        <f t="shared" si="108"/>
        <v>2.7974629879674597</v>
      </c>
      <c r="AC88">
        <f t="shared" si="109"/>
        <v>4.2670125820512483</v>
      </c>
      <c r="AD88">
        <f t="shared" si="110"/>
        <v>1.4548200748903972</v>
      </c>
      <c r="AE88">
        <f t="shared" si="111"/>
        <v>-240.516927727763</v>
      </c>
      <c r="AF88">
        <f t="shared" si="112"/>
        <v>9.4638129799678179</v>
      </c>
      <c r="AG88">
        <f t="shared" si="113"/>
        <v>0.72161714368595131</v>
      </c>
      <c r="AH88">
        <f t="shared" si="114"/>
        <v>59.237585722830197</v>
      </c>
      <c r="AI88">
        <v>0</v>
      </c>
      <c r="AJ88">
        <v>0</v>
      </c>
      <c r="AK88">
        <f t="shared" si="115"/>
        <v>1</v>
      </c>
      <c r="AL88">
        <f t="shared" si="116"/>
        <v>0</v>
      </c>
      <c r="AM88">
        <f t="shared" si="117"/>
        <v>51940.7924834187</v>
      </c>
      <c r="AN88" t="s">
        <v>419</v>
      </c>
      <c r="AO88">
        <v>9967.0300000000007</v>
      </c>
      <c r="AP88">
        <v>178.94153846153841</v>
      </c>
      <c r="AQ88">
        <v>603.15</v>
      </c>
      <c r="AR88">
        <f t="shared" si="118"/>
        <v>0.7033216638290003</v>
      </c>
      <c r="AS88">
        <v>-3.2649104154664181</v>
      </c>
      <c r="AT88" t="s">
        <v>787</v>
      </c>
      <c r="AU88">
        <v>8057.63</v>
      </c>
      <c r="AV88">
        <v>751.95819999999992</v>
      </c>
      <c r="AW88">
        <v>1248.2144223423859</v>
      </c>
      <c r="AX88">
        <f t="shared" si="119"/>
        <v>0.39757289569777343</v>
      </c>
      <c r="AY88">
        <v>0.5</v>
      </c>
      <c r="AZ88">
        <f t="shared" si="120"/>
        <v>1513.2011996512638</v>
      </c>
      <c r="BA88">
        <f t="shared" si="121"/>
        <v>54.358715866992419</v>
      </c>
      <c r="BB88">
        <f t="shared" si="122"/>
        <v>300.80389135934877</v>
      </c>
      <c r="BC88">
        <f t="shared" si="123"/>
        <v>3.8080611022340533E-2</v>
      </c>
      <c r="BD88">
        <f t="shared" si="124"/>
        <v>-0.5167897524624534</v>
      </c>
      <c r="BE88">
        <f t="shared" si="125"/>
        <v>211.3450263599843</v>
      </c>
      <c r="BF88" t="s">
        <v>788</v>
      </c>
      <c r="BG88">
        <v>574.25</v>
      </c>
      <c r="BH88">
        <f t="shared" si="126"/>
        <v>574.25</v>
      </c>
      <c r="BI88">
        <f t="shared" si="127"/>
        <v>0.53994282575074837</v>
      </c>
      <c r="BJ88">
        <f t="shared" si="128"/>
        <v>0.73632406383949889</v>
      </c>
      <c r="BK88">
        <f t="shared" si="129"/>
        <v>-22.320568247141399</v>
      </c>
      <c r="BL88">
        <f t="shared" si="130"/>
        <v>0.46410624436791137</v>
      </c>
      <c r="BM88">
        <f t="shared" si="131"/>
        <v>-1.5206307295308397</v>
      </c>
      <c r="BN88">
        <f t="shared" si="132"/>
        <v>0.56231063596331854</v>
      </c>
      <c r="BO88">
        <f t="shared" si="133"/>
        <v>0.43768936403668146</v>
      </c>
      <c r="BP88">
        <v>6179</v>
      </c>
      <c r="BQ88">
        <v>290.00000000000011</v>
      </c>
      <c r="BR88">
        <v>1079.3900000000001</v>
      </c>
      <c r="BS88">
        <v>295</v>
      </c>
      <c r="BT88">
        <v>8057.63</v>
      </c>
      <c r="BU88">
        <v>1081.69</v>
      </c>
      <c r="BV88">
        <v>-2.2999999999999998</v>
      </c>
      <c r="BW88">
        <v>300.00000000000011</v>
      </c>
      <c r="BX88">
        <v>19.3</v>
      </c>
      <c r="BY88">
        <v>1248.2144223423859</v>
      </c>
      <c r="BZ88">
        <v>5.3423305170222406</v>
      </c>
      <c r="CA88">
        <v>-134.17643520722129</v>
      </c>
      <c r="CB88">
        <v>3.954544973984909</v>
      </c>
      <c r="CC88">
        <v>0.97625555148707133</v>
      </c>
      <c r="CD88">
        <v>-4.1582224694104624E-3</v>
      </c>
      <c r="CE88">
        <v>289.99999999999989</v>
      </c>
      <c r="CF88">
        <v>1073.58</v>
      </c>
      <c r="CG88">
        <v>655</v>
      </c>
      <c r="CH88">
        <v>8048.34</v>
      </c>
      <c r="CI88">
        <v>1081.5</v>
      </c>
      <c r="CJ88">
        <v>-7.92</v>
      </c>
      <c r="CX88">
        <f t="shared" si="134"/>
        <v>1800.02</v>
      </c>
      <c r="CY88">
        <f t="shared" si="135"/>
        <v>1513.2011996512638</v>
      </c>
      <c r="CZ88">
        <f t="shared" si="136"/>
        <v>0.84065799249522988</v>
      </c>
      <c r="DA88">
        <f t="shared" si="137"/>
        <v>0.16086992551579396</v>
      </c>
      <c r="DB88">
        <v>6</v>
      </c>
      <c r="DC88">
        <v>0.5</v>
      </c>
      <c r="DD88" t="s">
        <v>422</v>
      </c>
      <c r="DE88">
        <v>2</v>
      </c>
      <c r="DF88">
        <v>1689013330</v>
      </c>
      <c r="DG88">
        <v>630.84199999999998</v>
      </c>
      <c r="DH88">
        <v>700.18600000000004</v>
      </c>
      <c r="DI88">
        <v>28.220199999999998</v>
      </c>
      <c r="DJ88">
        <v>21.861599999999999</v>
      </c>
      <c r="DK88">
        <v>631.327</v>
      </c>
      <c r="DL88">
        <v>28.174099999999999</v>
      </c>
      <c r="DM88">
        <v>500.10899999999998</v>
      </c>
      <c r="DN88">
        <v>99.030299999999997</v>
      </c>
      <c r="DO88">
        <v>9.9507300000000007E-2</v>
      </c>
      <c r="DP88">
        <v>30.026800000000001</v>
      </c>
      <c r="DQ88">
        <v>29.9666</v>
      </c>
      <c r="DR88">
        <v>999.9</v>
      </c>
      <c r="DS88">
        <v>0</v>
      </c>
      <c r="DT88">
        <v>0</v>
      </c>
      <c r="DU88">
        <v>10020</v>
      </c>
      <c r="DV88">
        <v>0</v>
      </c>
      <c r="DW88">
        <v>1689.37</v>
      </c>
      <c r="DX88">
        <v>-69.344499999999996</v>
      </c>
      <c r="DY88">
        <v>649.16099999999994</v>
      </c>
      <c r="DZ88">
        <v>715.83500000000004</v>
      </c>
      <c r="EA88">
        <v>6.3585799999999999</v>
      </c>
      <c r="EB88">
        <v>700.18600000000004</v>
      </c>
      <c r="EC88">
        <v>21.861599999999999</v>
      </c>
      <c r="ED88">
        <v>2.7946499999999999</v>
      </c>
      <c r="EE88">
        <v>2.1649600000000002</v>
      </c>
      <c r="EF88">
        <v>22.852499999999999</v>
      </c>
      <c r="EG88">
        <v>18.705400000000001</v>
      </c>
      <c r="EH88">
        <v>1800.02</v>
      </c>
      <c r="EI88">
        <v>0.97800600000000004</v>
      </c>
      <c r="EJ88">
        <v>2.1994099999999999E-2</v>
      </c>
      <c r="EK88">
        <v>0</v>
      </c>
      <c r="EL88">
        <v>751.68799999999999</v>
      </c>
      <c r="EM88">
        <v>5.0005300000000004</v>
      </c>
      <c r="EN88">
        <v>16289.2</v>
      </c>
      <c r="EO88">
        <v>16035.5</v>
      </c>
      <c r="EP88">
        <v>48</v>
      </c>
      <c r="EQ88">
        <v>49.625</v>
      </c>
      <c r="ER88">
        <v>48.625</v>
      </c>
      <c r="ES88">
        <v>48.875</v>
      </c>
      <c r="ET88">
        <v>49.311999999999998</v>
      </c>
      <c r="EU88">
        <v>1755.54</v>
      </c>
      <c r="EV88">
        <v>39.479999999999997</v>
      </c>
      <c r="EW88">
        <v>0</v>
      </c>
      <c r="EX88">
        <v>104.4000000953674</v>
      </c>
      <c r="EY88">
        <v>0</v>
      </c>
      <c r="EZ88">
        <v>751.95819999999992</v>
      </c>
      <c r="FA88">
        <v>-1.3587692311495241</v>
      </c>
      <c r="FB88">
        <v>-34.553845840326133</v>
      </c>
      <c r="FC88">
        <v>16298.484</v>
      </c>
      <c r="FD88">
        <v>15</v>
      </c>
      <c r="FE88">
        <v>1689013295</v>
      </c>
      <c r="FF88" t="s">
        <v>789</v>
      </c>
      <c r="FG88">
        <v>1689013289.5</v>
      </c>
      <c r="FH88">
        <v>1689013295</v>
      </c>
      <c r="FI88">
        <v>78</v>
      </c>
      <c r="FJ88">
        <v>-0.13300000000000001</v>
      </c>
      <c r="FK88">
        <v>-2E-3</v>
      </c>
      <c r="FL88">
        <v>-0.48</v>
      </c>
      <c r="FM88">
        <v>3.6999999999999998E-2</v>
      </c>
      <c r="FN88">
        <v>700</v>
      </c>
      <c r="FO88">
        <v>22</v>
      </c>
      <c r="FP88">
        <v>0.05</v>
      </c>
      <c r="FQ88">
        <v>0.01</v>
      </c>
      <c r="FR88">
        <v>54.333881690326713</v>
      </c>
      <c r="FS88">
        <v>-0.13883031512547819</v>
      </c>
      <c r="FT88">
        <v>5.0993434888446237E-2</v>
      </c>
      <c r="FU88">
        <v>1</v>
      </c>
      <c r="FV88">
        <v>0.38730137107466062</v>
      </c>
      <c r="FW88">
        <v>2.9788018786338589E-3</v>
      </c>
      <c r="FX88">
        <v>1.605841603653793E-3</v>
      </c>
      <c r="FY88">
        <v>1</v>
      </c>
      <c r="FZ88">
        <v>2</v>
      </c>
      <c r="GA88">
        <v>2</v>
      </c>
      <c r="GB88" t="s">
        <v>424</v>
      </c>
      <c r="GC88">
        <v>3.1224400000000001</v>
      </c>
      <c r="GD88">
        <v>2.7669899999999998</v>
      </c>
      <c r="GE88">
        <v>0.12360599999999999</v>
      </c>
      <c r="GF88">
        <v>0.132663</v>
      </c>
      <c r="GG88">
        <v>0.119634</v>
      </c>
      <c r="GH88">
        <v>0.10027800000000001</v>
      </c>
      <c r="GI88">
        <v>20939.099999999999</v>
      </c>
      <c r="GJ88">
        <v>21486.2</v>
      </c>
      <c r="GK88">
        <v>23755.1</v>
      </c>
      <c r="GL88">
        <v>25086.2</v>
      </c>
      <c r="GM88">
        <v>30137.200000000001</v>
      </c>
      <c r="GN88">
        <v>31657.599999999999</v>
      </c>
      <c r="GO88">
        <v>37862.300000000003</v>
      </c>
      <c r="GP88">
        <v>39030.6</v>
      </c>
      <c r="GQ88">
        <v>2.1387299999999998</v>
      </c>
      <c r="GR88">
        <v>1.7114</v>
      </c>
      <c r="GS88">
        <v>-1.6555199999999999E-2</v>
      </c>
      <c r="GT88">
        <v>0</v>
      </c>
      <c r="GU88">
        <v>30.236000000000001</v>
      </c>
      <c r="GV88">
        <v>999.9</v>
      </c>
      <c r="GW88">
        <v>27.7</v>
      </c>
      <c r="GX88">
        <v>45.9</v>
      </c>
      <c r="GY88">
        <v>28.236999999999998</v>
      </c>
      <c r="GZ88">
        <v>60.729100000000003</v>
      </c>
      <c r="HA88">
        <v>27.956700000000001</v>
      </c>
      <c r="HB88">
        <v>1</v>
      </c>
      <c r="HC88">
        <v>0.60258400000000001</v>
      </c>
      <c r="HD88">
        <v>2.13313</v>
      </c>
      <c r="HE88">
        <v>20.302800000000001</v>
      </c>
      <c r="HF88">
        <v>5.2479899999999997</v>
      </c>
      <c r="HG88">
        <v>12.0099</v>
      </c>
      <c r="HH88">
        <v>4.9779499999999999</v>
      </c>
      <c r="HI88">
        <v>3.2919999999999998</v>
      </c>
      <c r="HJ88">
        <v>9999</v>
      </c>
      <c r="HK88">
        <v>9999</v>
      </c>
      <c r="HL88">
        <v>9999</v>
      </c>
      <c r="HM88">
        <v>235.2</v>
      </c>
      <c r="HN88">
        <v>1.87568</v>
      </c>
      <c r="HO88">
        <v>1.87683</v>
      </c>
      <c r="HP88">
        <v>1.88279</v>
      </c>
      <c r="HQ88">
        <v>1.8859900000000001</v>
      </c>
      <c r="HR88">
        <v>1.87683</v>
      </c>
      <c r="HS88">
        <v>1.88323</v>
      </c>
      <c r="HT88">
        <v>1.88219</v>
      </c>
      <c r="HU88">
        <v>1.88568</v>
      </c>
      <c r="HV88">
        <v>0</v>
      </c>
      <c r="HW88">
        <v>0</v>
      </c>
      <c r="HX88">
        <v>0</v>
      </c>
      <c r="HY88">
        <v>0</v>
      </c>
      <c r="HZ88" t="s">
        <v>425</v>
      </c>
      <c r="IA88" t="s">
        <v>426</v>
      </c>
      <c r="IB88" t="s">
        <v>427</v>
      </c>
      <c r="IC88" t="s">
        <v>427</v>
      </c>
      <c r="ID88" t="s">
        <v>427</v>
      </c>
      <c r="IE88" t="s">
        <v>427</v>
      </c>
      <c r="IF88">
        <v>0</v>
      </c>
      <c r="IG88">
        <v>100</v>
      </c>
      <c r="IH88">
        <v>100</v>
      </c>
      <c r="II88">
        <v>-0.48499999999999999</v>
      </c>
      <c r="IJ88">
        <v>4.6100000000000002E-2</v>
      </c>
      <c r="IK88">
        <v>-0.4048389744192481</v>
      </c>
      <c r="IL88">
        <v>-4.2852564239613137E-4</v>
      </c>
      <c r="IM88">
        <v>6.4980710991155998E-7</v>
      </c>
      <c r="IN88">
        <v>-2.7237938963984961E-10</v>
      </c>
      <c r="IO88">
        <v>-1.2214217835551121E-2</v>
      </c>
      <c r="IP88">
        <v>6.6907473102813496E-3</v>
      </c>
      <c r="IQ88">
        <v>-3.3673306238274028E-4</v>
      </c>
      <c r="IR88">
        <v>6.1311374003140313E-6</v>
      </c>
      <c r="IS88">
        <v>3</v>
      </c>
      <c r="IT88">
        <v>2101</v>
      </c>
      <c r="IU88">
        <v>1</v>
      </c>
      <c r="IV88">
        <v>32</v>
      </c>
      <c r="IW88">
        <v>0.7</v>
      </c>
      <c r="IX88">
        <v>0.6</v>
      </c>
      <c r="IY88">
        <v>1.6003400000000001</v>
      </c>
      <c r="IZ88">
        <v>2.7160600000000001</v>
      </c>
      <c r="JA88">
        <v>1.6015600000000001</v>
      </c>
      <c r="JB88">
        <v>2.32666</v>
      </c>
      <c r="JC88">
        <v>1.5502899999999999</v>
      </c>
      <c r="JD88">
        <v>2.4462899999999999</v>
      </c>
      <c r="JE88">
        <v>49.043999999999997</v>
      </c>
      <c r="JF88">
        <v>24.043700000000001</v>
      </c>
      <c r="JG88">
        <v>18</v>
      </c>
      <c r="JH88">
        <v>596.98900000000003</v>
      </c>
      <c r="JI88">
        <v>374.09899999999999</v>
      </c>
      <c r="JJ88">
        <v>26.488900000000001</v>
      </c>
      <c r="JK88">
        <v>34.682000000000002</v>
      </c>
      <c r="JL88">
        <v>29.997699999999998</v>
      </c>
      <c r="JM88">
        <v>34.730800000000002</v>
      </c>
      <c r="JN88">
        <v>34.730400000000003</v>
      </c>
      <c r="JO88">
        <v>32.0199</v>
      </c>
      <c r="JP88">
        <v>24.264800000000001</v>
      </c>
      <c r="JQ88">
        <v>0</v>
      </c>
      <c r="JR88">
        <v>26.7194</v>
      </c>
      <c r="JS88">
        <v>700</v>
      </c>
      <c r="JT88">
        <v>21.708400000000001</v>
      </c>
      <c r="JU88">
        <v>98.758700000000005</v>
      </c>
      <c r="JV88">
        <v>98.783299999999997</v>
      </c>
    </row>
    <row r="89" spans="1:282" x14ac:dyDescent="0.25">
      <c r="A89">
        <v>73</v>
      </c>
      <c r="B89">
        <v>1689013482</v>
      </c>
      <c r="C89">
        <v>13659.400000095369</v>
      </c>
      <c r="D89" t="s">
        <v>790</v>
      </c>
      <c r="E89" t="s">
        <v>791</v>
      </c>
      <c r="F89" t="s">
        <v>414</v>
      </c>
      <c r="G89" t="s">
        <v>415</v>
      </c>
      <c r="H89" t="s">
        <v>731</v>
      </c>
      <c r="I89" t="s">
        <v>578</v>
      </c>
      <c r="J89" t="s">
        <v>416</v>
      </c>
      <c r="K89">
        <v>1689013482</v>
      </c>
      <c r="L89">
        <f t="shared" si="92"/>
        <v>5.1652345660392713E-3</v>
      </c>
      <c r="M89">
        <f t="shared" si="93"/>
        <v>5.1652345660392713</v>
      </c>
      <c r="N89">
        <f t="shared" si="94"/>
        <v>53.550245072805907</v>
      </c>
      <c r="O89">
        <f t="shared" si="95"/>
        <v>830.60699999999997</v>
      </c>
      <c r="P89">
        <f t="shared" si="96"/>
        <v>556.69310561595728</v>
      </c>
      <c r="Q89">
        <f t="shared" si="97"/>
        <v>55.184003715984289</v>
      </c>
      <c r="R89">
        <f t="shared" si="98"/>
        <v>82.336603978248888</v>
      </c>
      <c r="S89">
        <f t="shared" si="99"/>
        <v>0.35287595473468519</v>
      </c>
      <c r="T89">
        <f t="shared" si="100"/>
        <v>2.9128845846657789</v>
      </c>
      <c r="U89">
        <f t="shared" si="101"/>
        <v>0.33073091078100081</v>
      </c>
      <c r="V89">
        <f t="shared" si="102"/>
        <v>0.20858054839014789</v>
      </c>
      <c r="W89">
        <f t="shared" si="103"/>
        <v>289.54354732687955</v>
      </c>
      <c r="X89">
        <f t="shared" si="104"/>
        <v>30.331874886475642</v>
      </c>
      <c r="Y89">
        <f t="shared" si="105"/>
        <v>30.023099999999999</v>
      </c>
      <c r="Z89">
        <f t="shared" si="106"/>
        <v>4.2661059986377827</v>
      </c>
      <c r="AA89">
        <f t="shared" si="107"/>
        <v>65.210614076655062</v>
      </c>
      <c r="AB89">
        <f t="shared" si="108"/>
        <v>2.77292396614037</v>
      </c>
      <c r="AC89">
        <f t="shared" si="109"/>
        <v>4.2522586321312641</v>
      </c>
      <c r="AD89">
        <f t="shared" si="110"/>
        <v>1.4931820324974128</v>
      </c>
      <c r="AE89">
        <f t="shared" si="111"/>
        <v>-227.78684436233186</v>
      </c>
      <c r="AF89">
        <f t="shared" si="112"/>
        <v>-8.8884319490331123</v>
      </c>
      <c r="AG89">
        <f t="shared" si="113"/>
        <v>-0.67845119499482509</v>
      </c>
      <c r="AH89">
        <f t="shared" si="114"/>
        <v>52.189819820519766</v>
      </c>
      <c r="AI89">
        <v>0</v>
      </c>
      <c r="AJ89">
        <v>0</v>
      </c>
      <c r="AK89">
        <f t="shared" si="115"/>
        <v>1</v>
      </c>
      <c r="AL89">
        <f t="shared" si="116"/>
        <v>0</v>
      </c>
      <c r="AM89">
        <f t="shared" si="117"/>
        <v>51863.079835537188</v>
      </c>
      <c r="AN89" t="s">
        <v>419</v>
      </c>
      <c r="AO89">
        <v>9967.0300000000007</v>
      </c>
      <c r="AP89">
        <v>178.94153846153841</v>
      </c>
      <c r="AQ89">
        <v>603.15</v>
      </c>
      <c r="AR89">
        <f t="shared" si="118"/>
        <v>0.7033216638290003</v>
      </c>
      <c r="AS89">
        <v>-3.2649104154664181</v>
      </c>
      <c r="AT89" t="s">
        <v>792</v>
      </c>
      <c r="AU89">
        <v>8056.84</v>
      </c>
      <c r="AV89">
        <v>744.53916000000015</v>
      </c>
      <c r="AW89">
        <v>1251.8844232785821</v>
      </c>
      <c r="AX89">
        <f t="shared" si="119"/>
        <v>0.40526525759453613</v>
      </c>
      <c r="AY89">
        <v>0.5</v>
      </c>
      <c r="AZ89">
        <f t="shared" si="120"/>
        <v>1513.0667996512327</v>
      </c>
      <c r="BA89">
        <f t="shared" si="121"/>
        <v>53.550245072805907</v>
      </c>
      <c r="BB89">
        <f t="shared" si="122"/>
        <v>306.59670315919863</v>
      </c>
      <c r="BC89">
        <f t="shared" si="123"/>
        <v>3.7549667669245286E-2</v>
      </c>
      <c r="BD89">
        <f t="shared" si="124"/>
        <v>-0.51820632257696775</v>
      </c>
      <c r="BE89">
        <f t="shared" si="125"/>
        <v>211.44998360699174</v>
      </c>
      <c r="BF89" t="s">
        <v>793</v>
      </c>
      <c r="BG89">
        <v>571.33000000000004</v>
      </c>
      <c r="BH89">
        <f t="shared" si="126"/>
        <v>571.33000000000004</v>
      </c>
      <c r="BI89">
        <f t="shared" si="127"/>
        <v>0.5436240044398557</v>
      </c>
      <c r="BJ89">
        <f t="shared" si="128"/>
        <v>0.74548815777941435</v>
      </c>
      <c r="BK89">
        <f t="shared" si="129"/>
        <v>-20.387631152689611</v>
      </c>
      <c r="BL89">
        <f t="shared" si="130"/>
        <v>0.47285393328750536</v>
      </c>
      <c r="BM89">
        <f t="shared" si="131"/>
        <v>-1.5292821386113806</v>
      </c>
      <c r="BN89">
        <f t="shared" si="132"/>
        <v>0.57205822348432656</v>
      </c>
      <c r="BO89">
        <f t="shared" si="133"/>
        <v>0.42794177651567344</v>
      </c>
      <c r="BP89">
        <v>6181</v>
      </c>
      <c r="BQ89">
        <v>290.00000000000011</v>
      </c>
      <c r="BR89">
        <v>1073.6400000000001</v>
      </c>
      <c r="BS89">
        <v>295</v>
      </c>
      <c r="BT89">
        <v>8056.84</v>
      </c>
      <c r="BU89">
        <v>1076.5</v>
      </c>
      <c r="BV89">
        <v>-2.86</v>
      </c>
      <c r="BW89">
        <v>300.00000000000011</v>
      </c>
      <c r="BX89">
        <v>19.3</v>
      </c>
      <c r="BY89">
        <v>1251.8844232785821</v>
      </c>
      <c r="BZ89">
        <v>4.7516980619252429</v>
      </c>
      <c r="CA89">
        <v>-141.3067284636362</v>
      </c>
      <c r="CB89">
        <v>3.5169894140005429</v>
      </c>
      <c r="CC89">
        <v>0.98295071336173589</v>
      </c>
      <c r="CD89">
        <v>-4.157941045606235E-3</v>
      </c>
      <c r="CE89">
        <v>289.99999999999989</v>
      </c>
      <c r="CF89">
        <v>1066.9000000000001</v>
      </c>
      <c r="CG89">
        <v>665</v>
      </c>
      <c r="CH89">
        <v>8047.18</v>
      </c>
      <c r="CI89">
        <v>1076.29</v>
      </c>
      <c r="CJ89">
        <v>-9.39</v>
      </c>
      <c r="CX89">
        <f t="shared" si="134"/>
        <v>1799.86</v>
      </c>
      <c r="CY89">
        <f t="shared" si="135"/>
        <v>1513.0667996512327</v>
      </c>
      <c r="CZ89">
        <f t="shared" si="136"/>
        <v>0.84065805098798396</v>
      </c>
      <c r="DA89">
        <f t="shared" si="137"/>
        <v>0.16087003840680919</v>
      </c>
      <c r="DB89">
        <v>6</v>
      </c>
      <c r="DC89">
        <v>0.5</v>
      </c>
      <c r="DD89" t="s">
        <v>422</v>
      </c>
      <c r="DE89">
        <v>2</v>
      </c>
      <c r="DF89">
        <v>1689013482</v>
      </c>
      <c r="DG89">
        <v>830.60699999999997</v>
      </c>
      <c r="DH89">
        <v>900.00300000000004</v>
      </c>
      <c r="DI89">
        <v>27.973099999999999</v>
      </c>
      <c r="DJ89">
        <v>21.949300000000001</v>
      </c>
      <c r="DK89">
        <v>831.06700000000001</v>
      </c>
      <c r="DL89">
        <v>27.927499999999998</v>
      </c>
      <c r="DM89">
        <v>500.09100000000001</v>
      </c>
      <c r="DN89">
        <v>99.028300000000002</v>
      </c>
      <c r="DO89">
        <v>9.9932699999999999E-2</v>
      </c>
      <c r="DP89">
        <v>29.9665</v>
      </c>
      <c r="DQ89">
        <v>30.023099999999999</v>
      </c>
      <c r="DR89">
        <v>999.9</v>
      </c>
      <c r="DS89">
        <v>0</v>
      </c>
      <c r="DT89">
        <v>0</v>
      </c>
      <c r="DU89">
        <v>10002.5</v>
      </c>
      <c r="DV89">
        <v>0</v>
      </c>
      <c r="DW89">
        <v>1657.36</v>
      </c>
      <c r="DX89">
        <v>-69.395899999999997</v>
      </c>
      <c r="DY89">
        <v>854.51</v>
      </c>
      <c r="DZ89">
        <v>920.20100000000002</v>
      </c>
      <c r="EA89">
        <v>6.0237600000000002</v>
      </c>
      <c r="EB89">
        <v>900.00300000000004</v>
      </c>
      <c r="EC89">
        <v>21.949300000000001</v>
      </c>
      <c r="ED89">
        <v>2.77013</v>
      </c>
      <c r="EE89">
        <v>2.1736</v>
      </c>
      <c r="EF89">
        <v>22.707100000000001</v>
      </c>
      <c r="EG89">
        <v>18.769100000000002</v>
      </c>
      <c r="EH89">
        <v>1799.86</v>
      </c>
      <c r="EI89">
        <v>0.97800600000000004</v>
      </c>
      <c r="EJ89">
        <v>2.1994099999999999E-2</v>
      </c>
      <c r="EK89">
        <v>0</v>
      </c>
      <c r="EL89">
        <v>744.024</v>
      </c>
      <c r="EM89">
        <v>5.0005300000000004</v>
      </c>
      <c r="EN89">
        <v>16124.8</v>
      </c>
      <c r="EO89">
        <v>16034</v>
      </c>
      <c r="EP89">
        <v>48.061999999999998</v>
      </c>
      <c r="EQ89">
        <v>49.686999999999998</v>
      </c>
      <c r="ER89">
        <v>48.75</v>
      </c>
      <c r="ES89">
        <v>48.875</v>
      </c>
      <c r="ET89">
        <v>49.311999999999998</v>
      </c>
      <c r="EU89">
        <v>1755.38</v>
      </c>
      <c r="EV89">
        <v>39.479999999999997</v>
      </c>
      <c r="EW89">
        <v>0</v>
      </c>
      <c r="EX89">
        <v>150.20000004768369</v>
      </c>
      <c r="EY89">
        <v>0</v>
      </c>
      <c r="EZ89">
        <v>744.53916000000015</v>
      </c>
      <c r="FA89">
        <v>-3.606384610364719</v>
      </c>
      <c r="FB89">
        <v>-40.053846243112247</v>
      </c>
      <c r="FC89">
        <v>16131.111999999999</v>
      </c>
      <c r="FD89">
        <v>15</v>
      </c>
      <c r="FE89">
        <v>1689013447.5</v>
      </c>
      <c r="FF89" t="s">
        <v>794</v>
      </c>
      <c r="FG89">
        <v>1689013442.5</v>
      </c>
      <c r="FH89">
        <v>1689013447.5</v>
      </c>
      <c r="FI89">
        <v>79</v>
      </c>
      <c r="FJ89">
        <v>8.0000000000000002E-3</v>
      </c>
      <c r="FK89">
        <v>0</v>
      </c>
      <c r="FL89">
        <v>-0.45400000000000001</v>
      </c>
      <c r="FM89">
        <v>3.6999999999999998E-2</v>
      </c>
      <c r="FN89">
        <v>900</v>
      </c>
      <c r="FO89">
        <v>22</v>
      </c>
      <c r="FP89">
        <v>0.04</v>
      </c>
      <c r="FQ89">
        <v>0.01</v>
      </c>
      <c r="FR89">
        <v>53.567023119987176</v>
      </c>
      <c r="FS89">
        <v>-0.34096896985152009</v>
      </c>
      <c r="FT89">
        <v>4.9944177365200182E-2</v>
      </c>
      <c r="FU89">
        <v>1</v>
      </c>
      <c r="FV89">
        <v>0.35783717986746139</v>
      </c>
      <c r="FW89">
        <v>-1.3785602507544129E-2</v>
      </c>
      <c r="FX89">
        <v>2.0303870660005408E-3</v>
      </c>
      <c r="FY89">
        <v>1</v>
      </c>
      <c r="FZ89">
        <v>2</v>
      </c>
      <c r="GA89">
        <v>2</v>
      </c>
      <c r="GB89" t="s">
        <v>424</v>
      </c>
      <c r="GC89">
        <v>3.1227</v>
      </c>
      <c r="GD89">
        <v>2.7672599999999998</v>
      </c>
      <c r="GE89">
        <v>0.14885799999999999</v>
      </c>
      <c r="GF89">
        <v>0.156692</v>
      </c>
      <c r="GG89">
        <v>0.118878</v>
      </c>
      <c r="GH89">
        <v>0.100538</v>
      </c>
      <c r="GI89">
        <v>20330.400000000001</v>
      </c>
      <c r="GJ89">
        <v>20885.2</v>
      </c>
      <c r="GK89">
        <v>23750.1</v>
      </c>
      <c r="GL89">
        <v>25081.1</v>
      </c>
      <c r="GM89">
        <v>30157.1</v>
      </c>
      <c r="GN89">
        <v>31642</v>
      </c>
      <c r="GO89">
        <v>37855</v>
      </c>
      <c r="GP89">
        <v>39022.9</v>
      </c>
      <c r="GQ89">
        <v>2.1371000000000002</v>
      </c>
      <c r="GR89">
        <v>1.7107000000000001</v>
      </c>
      <c r="GS89">
        <v>-1.9263499999999999E-2</v>
      </c>
      <c r="GT89">
        <v>0</v>
      </c>
      <c r="GU89">
        <v>30.336500000000001</v>
      </c>
      <c r="GV89">
        <v>999.9</v>
      </c>
      <c r="GW89">
        <v>27.5</v>
      </c>
      <c r="GX89">
        <v>46</v>
      </c>
      <c r="GY89">
        <v>28.178899999999999</v>
      </c>
      <c r="GZ89">
        <v>61.159100000000002</v>
      </c>
      <c r="HA89">
        <v>28.040900000000001</v>
      </c>
      <c r="HB89">
        <v>1</v>
      </c>
      <c r="HC89">
        <v>0.61348800000000003</v>
      </c>
      <c r="HD89">
        <v>3.5147900000000001</v>
      </c>
      <c r="HE89">
        <v>20.2804</v>
      </c>
      <c r="HF89">
        <v>5.2485900000000001</v>
      </c>
      <c r="HG89">
        <v>12.0099</v>
      </c>
      <c r="HH89">
        <v>4.9781000000000004</v>
      </c>
      <c r="HI89">
        <v>3.2923300000000002</v>
      </c>
      <c r="HJ89">
        <v>9999</v>
      </c>
      <c r="HK89">
        <v>9999</v>
      </c>
      <c r="HL89">
        <v>9999</v>
      </c>
      <c r="HM89">
        <v>235.2</v>
      </c>
      <c r="HN89">
        <v>1.8757200000000001</v>
      </c>
      <c r="HO89">
        <v>1.87683</v>
      </c>
      <c r="HP89">
        <v>1.88279</v>
      </c>
      <c r="HQ89">
        <v>1.8859999999999999</v>
      </c>
      <c r="HR89">
        <v>1.87683</v>
      </c>
      <c r="HS89">
        <v>1.8832100000000001</v>
      </c>
      <c r="HT89">
        <v>1.8821699999999999</v>
      </c>
      <c r="HU89">
        <v>1.88568</v>
      </c>
      <c r="HV89">
        <v>0</v>
      </c>
      <c r="HW89">
        <v>0</v>
      </c>
      <c r="HX89">
        <v>0</v>
      </c>
      <c r="HY89">
        <v>0</v>
      </c>
      <c r="HZ89" t="s">
        <v>425</v>
      </c>
      <c r="IA89" t="s">
        <v>426</v>
      </c>
      <c r="IB89" t="s">
        <v>427</v>
      </c>
      <c r="IC89" t="s">
        <v>427</v>
      </c>
      <c r="ID89" t="s">
        <v>427</v>
      </c>
      <c r="IE89" t="s">
        <v>427</v>
      </c>
      <c r="IF89">
        <v>0</v>
      </c>
      <c r="IG89">
        <v>100</v>
      </c>
      <c r="IH89">
        <v>100</v>
      </c>
      <c r="II89">
        <v>-0.46</v>
      </c>
      <c r="IJ89">
        <v>4.5600000000000002E-2</v>
      </c>
      <c r="IK89">
        <v>-0.3964182248458088</v>
      </c>
      <c r="IL89">
        <v>-4.2852564239613137E-4</v>
      </c>
      <c r="IM89">
        <v>6.4980710991155998E-7</v>
      </c>
      <c r="IN89">
        <v>-2.7237938963984961E-10</v>
      </c>
      <c r="IO89">
        <v>-1.2162740446377881E-2</v>
      </c>
      <c r="IP89">
        <v>6.6907473102813496E-3</v>
      </c>
      <c r="IQ89">
        <v>-3.3673306238274028E-4</v>
      </c>
      <c r="IR89">
        <v>6.1311374003140313E-6</v>
      </c>
      <c r="IS89">
        <v>3</v>
      </c>
      <c r="IT89">
        <v>2101</v>
      </c>
      <c r="IU89">
        <v>1</v>
      </c>
      <c r="IV89">
        <v>32</v>
      </c>
      <c r="IW89">
        <v>0.7</v>
      </c>
      <c r="IX89">
        <v>0.6</v>
      </c>
      <c r="IY89">
        <v>1.96533</v>
      </c>
      <c r="IZ89">
        <v>2.7136200000000001</v>
      </c>
      <c r="JA89">
        <v>1.6015600000000001</v>
      </c>
      <c r="JB89">
        <v>2.32666</v>
      </c>
      <c r="JC89">
        <v>1.5502899999999999</v>
      </c>
      <c r="JD89">
        <v>2.3999000000000001</v>
      </c>
      <c r="JE89">
        <v>49.169199999999996</v>
      </c>
      <c r="JF89">
        <v>24.017499999999998</v>
      </c>
      <c r="JG89">
        <v>18</v>
      </c>
      <c r="JH89">
        <v>596.77599999999995</v>
      </c>
      <c r="JI89">
        <v>374.31700000000001</v>
      </c>
      <c r="JJ89">
        <v>26.46</v>
      </c>
      <c r="JK89">
        <v>34.791699999999999</v>
      </c>
      <c r="JL89">
        <v>30.000599999999999</v>
      </c>
      <c r="JM89">
        <v>34.8367</v>
      </c>
      <c r="JN89">
        <v>34.8371</v>
      </c>
      <c r="JO89">
        <v>39.342100000000002</v>
      </c>
      <c r="JP89">
        <v>23.348700000000001</v>
      </c>
      <c r="JQ89">
        <v>0</v>
      </c>
      <c r="JR89">
        <v>26.438300000000002</v>
      </c>
      <c r="JS89">
        <v>900</v>
      </c>
      <c r="JT89">
        <v>21.917200000000001</v>
      </c>
      <c r="JU89">
        <v>98.739199999999997</v>
      </c>
      <c r="JV89">
        <v>98.763499999999993</v>
      </c>
    </row>
    <row r="90" spans="1:282" x14ac:dyDescent="0.25">
      <c r="A90">
        <v>74</v>
      </c>
      <c r="B90">
        <v>1689013597.5</v>
      </c>
      <c r="C90">
        <v>13774.900000095369</v>
      </c>
      <c r="D90" t="s">
        <v>795</v>
      </c>
      <c r="E90" t="s">
        <v>796</v>
      </c>
      <c r="F90" t="s">
        <v>414</v>
      </c>
      <c r="G90" t="s">
        <v>415</v>
      </c>
      <c r="H90" t="s">
        <v>731</v>
      </c>
      <c r="I90" t="s">
        <v>578</v>
      </c>
      <c r="J90" t="s">
        <v>416</v>
      </c>
      <c r="K90">
        <v>1689013597.5</v>
      </c>
      <c r="L90">
        <f t="shared" si="92"/>
        <v>4.6822519671689961E-3</v>
      </c>
      <c r="M90">
        <f t="shared" si="93"/>
        <v>4.6822519671689964</v>
      </c>
      <c r="N90">
        <f t="shared" si="94"/>
        <v>52.939127089803023</v>
      </c>
      <c r="O90">
        <f t="shared" si="95"/>
        <v>1130.32</v>
      </c>
      <c r="P90">
        <f t="shared" si="96"/>
        <v>825.57023816436197</v>
      </c>
      <c r="Q90">
        <f t="shared" si="97"/>
        <v>81.835840743110921</v>
      </c>
      <c r="R90">
        <f t="shared" si="98"/>
        <v>112.04460048659999</v>
      </c>
      <c r="S90">
        <f t="shared" si="99"/>
        <v>0.3175902817093858</v>
      </c>
      <c r="T90">
        <f t="shared" si="100"/>
        <v>2.9113225178226316</v>
      </c>
      <c r="U90">
        <f t="shared" si="101"/>
        <v>0.29952186857770408</v>
      </c>
      <c r="V90">
        <f t="shared" si="102"/>
        <v>0.18873882690162808</v>
      </c>
      <c r="W90">
        <f t="shared" si="103"/>
        <v>289.52381632700525</v>
      </c>
      <c r="X90">
        <f t="shared" si="104"/>
        <v>30.37844622343442</v>
      </c>
      <c r="Y90">
        <f t="shared" si="105"/>
        <v>30.0166</v>
      </c>
      <c r="Z90">
        <f t="shared" si="106"/>
        <v>4.2645137585708977</v>
      </c>
      <c r="AA90">
        <f t="shared" si="107"/>
        <v>65.438408136904926</v>
      </c>
      <c r="AB90">
        <f t="shared" si="108"/>
        <v>2.7699100080660002</v>
      </c>
      <c r="AC90">
        <f t="shared" si="109"/>
        <v>4.2328505336973041</v>
      </c>
      <c r="AD90">
        <f t="shared" si="110"/>
        <v>1.4946037505048975</v>
      </c>
      <c r="AE90">
        <f t="shared" si="111"/>
        <v>-206.48731175215272</v>
      </c>
      <c r="AF90">
        <f t="shared" si="112"/>
        <v>-20.357091979636682</v>
      </c>
      <c r="AG90">
        <f t="shared" si="113"/>
        <v>-1.5540215743492682</v>
      </c>
      <c r="AH90">
        <f t="shared" si="114"/>
        <v>61.125391020866559</v>
      </c>
      <c r="AI90">
        <v>0</v>
      </c>
      <c r="AJ90">
        <v>0</v>
      </c>
      <c r="AK90">
        <f t="shared" si="115"/>
        <v>1</v>
      </c>
      <c r="AL90">
        <f t="shared" si="116"/>
        <v>0</v>
      </c>
      <c r="AM90">
        <f t="shared" si="117"/>
        <v>51832.238759493848</v>
      </c>
      <c r="AN90" t="s">
        <v>419</v>
      </c>
      <c r="AO90">
        <v>9967.0300000000007</v>
      </c>
      <c r="AP90">
        <v>178.94153846153841</v>
      </c>
      <c r="AQ90">
        <v>603.15</v>
      </c>
      <c r="AR90">
        <f t="shared" si="118"/>
        <v>0.7033216638290003</v>
      </c>
      <c r="AS90">
        <v>-3.2649104154664181</v>
      </c>
      <c r="AT90" t="s">
        <v>797</v>
      </c>
      <c r="AU90">
        <v>8056.17</v>
      </c>
      <c r="AV90">
        <v>739.69392307692317</v>
      </c>
      <c r="AW90">
        <v>1236.5670101979711</v>
      </c>
      <c r="AX90">
        <f t="shared" si="119"/>
        <v>0.40181654776759723</v>
      </c>
      <c r="AY90">
        <v>0.5</v>
      </c>
      <c r="AZ90">
        <f t="shared" si="120"/>
        <v>1512.9656996512981</v>
      </c>
      <c r="BA90">
        <f t="shared" si="121"/>
        <v>52.939127089803023</v>
      </c>
      <c r="BB90">
        <f t="shared" si="122"/>
        <v>303.96732716233601</v>
      </c>
      <c r="BC90">
        <f t="shared" si="123"/>
        <v>3.7148256248124532E-2</v>
      </c>
      <c r="BD90">
        <f t="shared" si="124"/>
        <v>-0.51223832188161211</v>
      </c>
      <c r="BE90">
        <f t="shared" si="125"/>
        <v>211.00850349288265</v>
      </c>
      <c r="BF90" t="s">
        <v>798</v>
      </c>
      <c r="BG90">
        <v>571.63</v>
      </c>
      <c r="BH90">
        <f t="shared" si="126"/>
        <v>571.63</v>
      </c>
      <c r="BI90">
        <f t="shared" si="127"/>
        <v>0.53772824660065655</v>
      </c>
      <c r="BJ90">
        <f t="shared" si="128"/>
        <v>0.74724835510827459</v>
      </c>
      <c r="BK90">
        <f t="shared" si="129"/>
        <v>-20.095717328615844</v>
      </c>
      <c r="BL90">
        <f t="shared" si="130"/>
        <v>0.46980060560121606</v>
      </c>
      <c r="BM90">
        <f t="shared" si="131"/>
        <v>-1.4931739171368257</v>
      </c>
      <c r="BN90">
        <f t="shared" si="132"/>
        <v>0.57746800927296837</v>
      </c>
      <c r="BO90">
        <f t="shared" si="133"/>
        <v>0.42253199072703163</v>
      </c>
      <c r="BP90">
        <v>6183</v>
      </c>
      <c r="BQ90">
        <v>290.00000000000011</v>
      </c>
      <c r="BR90">
        <v>1067.6400000000001</v>
      </c>
      <c r="BS90">
        <v>295</v>
      </c>
      <c r="BT90">
        <v>8056.17</v>
      </c>
      <c r="BU90">
        <v>1069.81</v>
      </c>
      <c r="BV90">
        <v>-2.17</v>
      </c>
      <c r="BW90">
        <v>300.00000000000011</v>
      </c>
      <c r="BX90">
        <v>19.3</v>
      </c>
      <c r="BY90">
        <v>1236.5670101979711</v>
      </c>
      <c r="BZ90">
        <v>6.1771584832833257</v>
      </c>
      <c r="CA90">
        <v>-134.34449752745371</v>
      </c>
      <c r="CB90">
        <v>4.571663607953357</v>
      </c>
      <c r="CC90">
        <v>0.96859428394974223</v>
      </c>
      <c r="CD90">
        <v>-4.1576220244716371E-3</v>
      </c>
      <c r="CE90">
        <v>289.99999999999989</v>
      </c>
      <c r="CF90">
        <v>1061.8</v>
      </c>
      <c r="CG90">
        <v>635</v>
      </c>
      <c r="CH90">
        <v>8047.49</v>
      </c>
      <c r="CI90">
        <v>1069.6300000000001</v>
      </c>
      <c r="CJ90">
        <v>-7.83</v>
      </c>
      <c r="CX90">
        <f t="shared" si="134"/>
        <v>1799.74</v>
      </c>
      <c r="CY90">
        <f t="shared" si="135"/>
        <v>1512.9656996512981</v>
      </c>
      <c r="CZ90">
        <f t="shared" si="136"/>
        <v>0.84065792817367957</v>
      </c>
      <c r="DA90">
        <f t="shared" si="137"/>
        <v>0.16086980137520157</v>
      </c>
      <c r="DB90">
        <v>6</v>
      </c>
      <c r="DC90">
        <v>0.5</v>
      </c>
      <c r="DD90" t="s">
        <v>422</v>
      </c>
      <c r="DE90">
        <v>2</v>
      </c>
      <c r="DF90">
        <v>1689013597.5</v>
      </c>
      <c r="DG90">
        <v>1130.32</v>
      </c>
      <c r="DH90">
        <v>1200.18</v>
      </c>
      <c r="DI90">
        <v>27.943200000000001</v>
      </c>
      <c r="DJ90">
        <v>22.482900000000001</v>
      </c>
      <c r="DK90">
        <v>1130.8900000000001</v>
      </c>
      <c r="DL90">
        <v>27.8993</v>
      </c>
      <c r="DM90">
        <v>500.12799999999999</v>
      </c>
      <c r="DN90">
        <v>99.026499999999999</v>
      </c>
      <c r="DO90">
        <v>9.9942500000000004E-2</v>
      </c>
      <c r="DP90">
        <v>29.886900000000001</v>
      </c>
      <c r="DQ90">
        <v>30.0166</v>
      </c>
      <c r="DR90">
        <v>999.9</v>
      </c>
      <c r="DS90">
        <v>0</v>
      </c>
      <c r="DT90">
        <v>0</v>
      </c>
      <c r="DU90">
        <v>9993.75</v>
      </c>
      <c r="DV90">
        <v>0</v>
      </c>
      <c r="DW90">
        <v>1712.44</v>
      </c>
      <c r="DX90">
        <v>-69.856800000000007</v>
      </c>
      <c r="DY90">
        <v>1162.82</v>
      </c>
      <c r="DZ90">
        <v>1227.78</v>
      </c>
      <c r="EA90">
        <v>5.4603099999999998</v>
      </c>
      <c r="EB90">
        <v>1200.18</v>
      </c>
      <c r="EC90">
        <v>22.482900000000001</v>
      </c>
      <c r="ED90">
        <v>2.7671199999999998</v>
      </c>
      <c r="EE90">
        <v>2.22641</v>
      </c>
      <c r="EF90">
        <v>22.6892</v>
      </c>
      <c r="EG90">
        <v>19.153600000000001</v>
      </c>
      <c r="EH90">
        <v>1799.74</v>
      </c>
      <c r="EI90">
        <v>0.97800600000000004</v>
      </c>
      <c r="EJ90">
        <v>2.1994099999999999E-2</v>
      </c>
      <c r="EK90">
        <v>0</v>
      </c>
      <c r="EL90">
        <v>739.30700000000002</v>
      </c>
      <c r="EM90">
        <v>5.0005300000000004</v>
      </c>
      <c r="EN90">
        <v>16132</v>
      </c>
      <c r="EO90">
        <v>16033</v>
      </c>
      <c r="EP90">
        <v>48.186999999999998</v>
      </c>
      <c r="EQ90">
        <v>49.811999999999998</v>
      </c>
      <c r="ER90">
        <v>48.811999999999998</v>
      </c>
      <c r="ES90">
        <v>48.936999999999998</v>
      </c>
      <c r="ET90">
        <v>49.375</v>
      </c>
      <c r="EU90">
        <v>1755.27</v>
      </c>
      <c r="EV90">
        <v>39.47</v>
      </c>
      <c r="EW90">
        <v>0</v>
      </c>
      <c r="EX90">
        <v>113.4000000953674</v>
      </c>
      <c r="EY90">
        <v>0</v>
      </c>
      <c r="EZ90">
        <v>739.69392307692317</v>
      </c>
      <c r="FA90">
        <v>-2.6879316239410609</v>
      </c>
      <c r="FB90">
        <v>131.6752136291845</v>
      </c>
      <c r="FC90">
        <v>16119.48076923077</v>
      </c>
      <c r="FD90">
        <v>15</v>
      </c>
      <c r="FE90">
        <v>1689013566.5</v>
      </c>
      <c r="FF90" t="s">
        <v>799</v>
      </c>
      <c r="FG90">
        <v>1689013566.5</v>
      </c>
      <c r="FH90">
        <v>1689013557.5</v>
      </c>
      <c r="FI90">
        <v>80</v>
      </c>
      <c r="FJ90">
        <v>-0.128</v>
      </c>
      <c r="FK90">
        <v>-2E-3</v>
      </c>
      <c r="FL90">
        <v>-0.57299999999999995</v>
      </c>
      <c r="FM90">
        <v>3.5999999999999997E-2</v>
      </c>
      <c r="FN90">
        <v>1200</v>
      </c>
      <c r="FO90">
        <v>22</v>
      </c>
      <c r="FP90">
        <v>0.05</v>
      </c>
      <c r="FQ90">
        <v>0.02</v>
      </c>
      <c r="FR90">
        <v>52.982008229815548</v>
      </c>
      <c r="FS90">
        <v>-0.43362248868438258</v>
      </c>
      <c r="FT90">
        <v>5.5536657099582193E-2</v>
      </c>
      <c r="FU90">
        <v>1</v>
      </c>
      <c r="FV90">
        <v>0.3155039578980075</v>
      </c>
      <c r="FW90">
        <v>3.829343213075416E-2</v>
      </c>
      <c r="FX90">
        <v>3.017604337200391E-3</v>
      </c>
      <c r="FY90">
        <v>1</v>
      </c>
      <c r="FZ90">
        <v>2</v>
      </c>
      <c r="GA90">
        <v>2</v>
      </c>
      <c r="GB90" t="s">
        <v>424</v>
      </c>
      <c r="GC90">
        <v>3.12297</v>
      </c>
      <c r="GD90">
        <v>2.7671899999999998</v>
      </c>
      <c r="GE90">
        <v>0.18138299999999999</v>
      </c>
      <c r="GF90">
        <v>0.18801000000000001</v>
      </c>
      <c r="GG90">
        <v>0.118772</v>
      </c>
      <c r="GH90">
        <v>0.10224999999999999</v>
      </c>
      <c r="GI90">
        <v>19548.599999999999</v>
      </c>
      <c r="GJ90">
        <v>20105.099999999999</v>
      </c>
      <c r="GK90">
        <v>23746.7</v>
      </c>
      <c r="GL90">
        <v>25078.400000000001</v>
      </c>
      <c r="GM90">
        <v>30156.2</v>
      </c>
      <c r="GN90">
        <v>31577.7</v>
      </c>
      <c r="GO90">
        <v>37849.4</v>
      </c>
      <c r="GP90">
        <v>39018</v>
      </c>
      <c r="GQ90">
        <v>2.1361300000000001</v>
      </c>
      <c r="GR90">
        <v>1.71085</v>
      </c>
      <c r="GS90">
        <v>-2.2172899999999999E-2</v>
      </c>
      <c r="GT90">
        <v>0</v>
      </c>
      <c r="GU90">
        <v>30.377300000000002</v>
      </c>
      <c r="GV90">
        <v>999.9</v>
      </c>
      <c r="GW90">
        <v>27.4</v>
      </c>
      <c r="GX90">
        <v>46.1</v>
      </c>
      <c r="GY90">
        <v>28.220199999999998</v>
      </c>
      <c r="GZ90">
        <v>61.599200000000003</v>
      </c>
      <c r="HA90">
        <v>27.367799999999999</v>
      </c>
      <c r="HB90">
        <v>1</v>
      </c>
      <c r="HC90">
        <v>0.62176799999999999</v>
      </c>
      <c r="HD90">
        <v>4.0144799999999998</v>
      </c>
      <c r="HE90">
        <v>20.2698</v>
      </c>
      <c r="HF90">
        <v>5.2529300000000001</v>
      </c>
      <c r="HG90">
        <v>12.0099</v>
      </c>
      <c r="HH90">
        <v>4.9792500000000004</v>
      </c>
      <c r="HI90">
        <v>3.2930000000000001</v>
      </c>
      <c r="HJ90">
        <v>9999</v>
      </c>
      <c r="HK90">
        <v>9999</v>
      </c>
      <c r="HL90">
        <v>9999</v>
      </c>
      <c r="HM90">
        <v>235.2</v>
      </c>
      <c r="HN90">
        <v>1.8756699999999999</v>
      </c>
      <c r="HO90">
        <v>1.87683</v>
      </c>
      <c r="HP90">
        <v>1.8827799999999999</v>
      </c>
      <c r="HQ90">
        <v>1.8859900000000001</v>
      </c>
      <c r="HR90">
        <v>1.87683</v>
      </c>
      <c r="HS90">
        <v>1.8831899999999999</v>
      </c>
      <c r="HT90">
        <v>1.8821699999999999</v>
      </c>
      <c r="HU90">
        <v>1.88568</v>
      </c>
      <c r="HV90">
        <v>0</v>
      </c>
      <c r="HW90">
        <v>0</v>
      </c>
      <c r="HX90">
        <v>0</v>
      </c>
      <c r="HY90">
        <v>0</v>
      </c>
      <c r="HZ90" t="s">
        <v>425</v>
      </c>
      <c r="IA90" t="s">
        <v>426</v>
      </c>
      <c r="IB90" t="s">
        <v>427</v>
      </c>
      <c r="IC90" t="s">
        <v>427</v>
      </c>
      <c r="ID90" t="s">
        <v>427</v>
      </c>
      <c r="IE90" t="s">
        <v>427</v>
      </c>
      <c r="IF90">
        <v>0</v>
      </c>
      <c r="IG90">
        <v>100</v>
      </c>
      <c r="IH90">
        <v>100</v>
      </c>
      <c r="II90">
        <v>-0.56999999999999995</v>
      </c>
      <c r="IJ90">
        <v>4.3900000000000002E-2</v>
      </c>
      <c r="IK90">
        <v>-0.52378417551198742</v>
      </c>
      <c r="IL90">
        <v>-4.2852564239613137E-4</v>
      </c>
      <c r="IM90">
        <v>6.4980710991155998E-7</v>
      </c>
      <c r="IN90">
        <v>-2.7237938963984961E-10</v>
      </c>
      <c r="IO90">
        <v>-1.375830618528864E-2</v>
      </c>
      <c r="IP90">
        <v>6.6907473102813496E-3</v>
      </c>
      <c r="IQ90">
        <v>-3.3673306238274028E-4</v>
      </c>
      <c r="IR90">
        <v>6.1311374003140313E-6</v>
      </c>
      <c r="IS90">
        <v>3</v>
      </c>
      <c r="IT90">
        <v>2101</v>
      </c>
      <c r="IU90">
        <v>1</v>
      </c>
      <c r="IV90">
        <v>32</v>
      </c>
      <c r="IW90">
        <v>0.5</v>
      </c>
      <c r="IX90">
        <v>0.7</v>
      </c>
      <c r="IY90">
        <v>2.4902299999999999</v>
      </c>
      <c r="IZ90">
        <v>2.7185100000000002</v>
      </c>
      <c r="JA90">
        <v>1.6015600000000001</v>
      </c>
      <c r="JB90">
        <v>2.32666</v>
      </c>
      <c r="JC90">
        <v>1.5502899999999999</v>
      </c>
      <c r="JD90">
        <v>2.4621599999999999</v>
      </c>
      <c r="JE90">
        <v>49.294899999999998</v>
      </c>
      <c r="JF90">
        <v>24.026199999999999</v>
      </c>
      <c r="JG90">
        <v>18</v>
      </c>
      <c r="JH90">
        <v>596.76300000000003</v>
      </c>
      <c r="JI90">
        <v>374.86900000000003</v>
      </c>
      <c r="JJ90">
        <v>25.9939</v>
      </c>
      <c r="JK90">
        <v>34.863599999999998</v>
      </c>
      <c r="JL90">
        <v>30.000499999999999</v>
      </c>
      <c r="JM90">
        <v>34.913499999999999</v>
      </c>
      <c r="JN90">
        <v>34.914000000000001</v>
      </c>
      <c r="JO90">
        <v>49.8414</v>
      </c>
      <c r="JP90">
        <v>20.955400000000001</v>
      </c>
      <c r="JQ90">
        <v>0</v>
      </c>
      <c r="JR90">
        <v>25.986999999999998</v>
      </c>
      <c r="JS90">
        <v>1200</v>
      </c>
      <c r="JT90">
        <v>22.3779</v>
      </c>
      <c r="JU90">
        <v>98.724699999999999</v>
      </c>
      <c r="JV90">
        <v>98.751800000000003</v>
      </c>
    </row>
    <row r="91" spans="1:282" x14ac:dyDescent="0.25">
      <c r="A91">
        <v>75</v>
      </c>
      <c r="B91">
        <v>1689013720.0999999</v>
      </c>
      <c r="C91">
        <v>13897.5</v>
      </c>
      <c r="D91" t="s">
        <v>800</v>
      </c>
      <c r="E91" t="s">
        <v>801</v>
      </c>
      <c r="F91" t="s">
        <v>414</v>
      </c>
      <c r="G91" t="s">
        <v>415</v>
      </c>
      <c r="H91" t="s">
        <v>731</v>
      </c>
      <c r="I91" t="s">
        <v>578</v>
      </c>
      <c r="J91" t="s">
        <v>416</v>
      </c>
      <c r="K91">
        <v>1689013720.0999999</v>
      </c>
      <c r="L91">
        <f t="shared" si="92"/>
        <v>4.2966202516199238E-3</v>
      </c>
      <c r="M91">
        <f t="shared" si="93"/>
        <v>4.2966202516199239</v>
      </c>
      <c r="N91">
        <f t="shared" si="94"/>
        <v>51.735330340733192</v>
      </c>
      <c r="O91">
        <f t="shared" si="95"/>
        <v>1430.73</v>
      </c>
      <c r="P91">
        <f t="shared" si="96"/>
        <v>1096.744890542999</v>
      </c>
      <c r="Q91">
        <f t="shared" si="97"/>
        <v>108.71412000391635</v>
      </c>
      <c r="R91">
        <f t="shared" si="98"/>
        <v>141.82017555257997</v>
      </c>
      <c r="S91">
        <f t="shared" si="99"/>
        <v>0.28664915150388309</v>
      </c>
      <c r="T91">
        <f t="shared" si="100"/>
        <v>2.9086494507245102</v>
      </c>
      <c r="U91">
        <f t="shared" si="101"/>
        <v>0.27182888084953671</v>
      </c>
      <c r="V91">
        <f t="shared" si="102"/>
        <v>0.17116071531978538</v>
      </c>
      <c r="W91">
        <f t="shared" si="103"/>
        <v>289.5660323264168</v>
      </c>
      <c r="X91">
        <f t="shared" si="104"/>
        <v>30.506662337457499</v>
      </c>
      <c r="Y91">
        <f t="shared" si="105"/>
        <v>30.026900000000001</v>
      </c>
      <c r="Z91">
        <f t="shared" si="106"/>
        <v>4.2670370866356979</v>
      </c>
      <c r="AA91">
        <f t="shared" si="107"/>
        <v>65.003572433429881</v>
      </c>
      <c r="AB91">
        <f t="shared" si="108"/>
        <v>2.7557460307113999</v>
      </c>
      <c r="AC91">
        <f t="shared" si="109"/>
        <v>4.2393762797168693</v>
      </c>
      <c r="AD91">
        <f t="shared" si="110"/>
        <v>1.511291055924298</v>
      </c>
      <c r="AE91">
        <f t="shared" si="111"/>
        <v>-189.48095309643864</v>
      </c>
      <c r="AF91">
        <f t="shared" si="112"/>
        <v>-17.751017560020863</v>
      </c>
      <c r="AG91">
        <f t="shared" si="113"/>
        <v>-1.3565732968760045</v>
      </c>
      <c r="AH91">
        <f t="shared" si="114"/>
        <v>80.977488373081314</v>
      </c>
      <c r="AI91">
        <v>0</v>
      </c>
      <c r="AJ91">
        <v>0</v>
      </c>
      <c r="AK91">
        <f t="shared" si="115"/>
        <v>1</v>
      </c>
      <c r="AL91">
        <f t="shared" si="116"/>
        <v>0</v>
      </c>
      <c r="AM91">
        <f t="shared" si="117"/>
        <v>51751.603224867926</v>
      </c>
      <c r="AN91" t="s">
        <v>419</v>
      </c>
      <c r="AO91">
        <v>9967.0300000000007</v>
      </c>
      <c r="AP91">
        <v>178.94153846153841</v>
      </c>
      <c r="AQ91">
        <v>603.15</v>
      </c>
      <c r="AR91">
        <f t="shared" si="118"/>
        <v>0.7033216638290003</v>
      </c>
      <c r="AS91">
        <v>-3.2649104154664181</v>
      </c>
      <c r="AT91" t="s">
        <v>802</v>
      </c>
      <c r="AU91">
        <v>8055.81</v>
      </c>
      <c r="AV91">
        <v>734.71051999999997</v>
      </c>
      <c r="AW91">
        <v>1231.390496875855</v>
      </c>
      <c r="AX91">
        <f t="shared" si="119"/>
        <v>0.40334887928400898</v>
      </c>
      <c r="AY91">
        <v>0.5</v>
      </c>
      <c r="AZ91">
        <f t="shared" si="120"/>
        <v>1513.1768996509932</v>
      </c>
      <c r="BA91">
        <f t="shared" si="121"/>
        <v>51.735330340733192</v>
      </c>
      <c r="BB91">
        <f t="shared" si="122"/>
        <v>305.16910331633972</v>
      </c>
      <c r="BC91">
        <f t="shared" si="123"/>
        <v>3.6347528678824757E-2</v>
      </c>
      <c r="BD91">
        <f t="shared" si="124"/>
        <v>-0.51018787173504743</v>
      </c>
      <c r="BE91">
        <f t="shared" si="125"/>
        <v>210.85724757584731</v>
      </c>
      <c r="BF91" t="s">
        <v>803</v>
      </c>
      <c r="BG91">
        <v>572.58000000000004</v>
      </c>
      <c r="BH91">
        <f t="shared" si="126"/>
        <v>572.58000000000004</v>
      </c>
      <c r="BI91">
        <f t="shared" si="127"/>
        <v>0.53501346530391014</v>
      </c>
      <c r="BJ91">
        <f t="shared" si="128"/>
        <v>0.75390416399125537</v>
      </c>
      <c r="BK91">
        <f t="shared" si="129"/>
        <v>-20.550883116645611</v>
      </c>
      <c r="BL91">
        <f t="shared" si="130"/>
        <v>0.47192785256225933</v>
      </c>
      <c r="BM91">
        <f t="shared" si="131"/>
        <v>-1.4809711588435501</v>
      </c>
      <c r="BN91">
        <f t="shared" si="132"/>
        <v>0.58753813164144308</v>
      </c>
      <c r="BO91">
        <f t="shared" si="133"/>
        <v>0.41246186835855692</v>
      </c>
      <c r="BP91">
        <v>6185</v>
      </c>
      <c r="BQ91">
        <v>290.00000000000011</v>
      </c>
      <c r="BR91">
        <v>1060.6500000000001</v>
      </c>
      <c r="BS91">
        <v>295</v>
      </c>
      <c r="BT91">
        <v>8055.81</v>
      </c>
      <c r="BU91">
        <v>1062.8</v>
      </c>
      <c r="BV91">
        <v>-2.15</v>
      </c>
      <c r="BW91">
        <v>300.00000000000011</v>
      </c>
      <c r="BX91">
        <v>19.3</v>
      </c>
      <c r="BY91">
        <v>1231.390496875855</v>
      </c>
      <c r="BZ91">
        <v>5.28347543137403</v>
      </c>
      <c r="CA91">
        <v>-135.81645422286479</v>
      </c>
      <c r="CB91">
        <v>3.9100727383043461</v>
      </c>
      <c r="CC91">
        <v>0.97731914946447318</v>
      </c>
      <c r="CD91">
        <v>-4.1573555061179086E-3</v>
      </c>
      <c r="CE91">
        <v>289.99999999999989</v>
      </c>
      <c r="CF91">
        <v>1054.1500000000001</v>
      </c>
      <c r="CG91">
        <v>655</v>
      </c>
      <c r="CH91">
        <v>8046.45</v>
      </c>
      <c r="CI91">
        <v>1062.5999999999999</v>
      </c>
      <c r="CJ91">
        <v>-8.4499999999999993</v>
      </c>
      <c r="CX91">
        <f t="shared" si="134"/>
        <v>1799.99</v>
      </c>
      <c r="CY91">
        <f t="shared" si="135"/>
        <v>1513.1768996509932</v>
      </c>
      <c r="CZ91">
        <f t="shared" si="136"/>
        <v>0.84065850346445992</v>
      </c>
      <c r="DA91">
        <f t="shared" si="137"/>
        <v>0.1608709116864076</v>
      </c>
      <c r="DB91">
        <v>6</v>
      </c>
      <c r="DC91">
        <v>0.5</v>
      </c>
      <c r="DD91" t="s">
        <v>422</v>
      </c>
      <c r="DE91">
        <v>2</v>
      </c>
      <c r="DF91">
        <v>1689013720.0999999</v>
      </c>
      <c r="DG91">
        <v>1430.73</v>
      </c>
      <c r="DH91">
        <v>1500.16</v>
      </c>
      <c r="DI91">
        <v>27.800899999999999</v>
      </c>
      <c r="DJ91">
        <v>22.790400000000002</v>
      </c>
      <c r="DK91">
        <v>1431.13</v>
      </c>
      <c r="DL91">
        <v>27.757899999999999</v>
      </c>
      <c r="DM91">
        <v>500.21</v>
      </c>
      <c r="DN91">
        <v>99.023799999999994</v>
      </c>
      <c r="DO91">
        <v>0.100546</v>
      </c>
      <c r="DP91">
        <v>29.913699999999999</v>
      </c>
      <c r="DQ91">
        <v>30.026900000000001</v>
      </c>
      <c r="DR91">
        <v>999.9</v>
      </c>
      <c r="DS91">
        <v>0</v>
      </c>
      <c r="DT91">
        <v>0</v>
      </c>
      <c r="DU91">
        <v>9978.75</v>
      </c>
      <c r="DV91">
        <v>0</v>
      </c>
      <c r="DW91">
        <v>1707.97</v>
      </c>
      <c r="DX91">
        <v>-69.427599999999998</v>
      </c>
      <c r="DY91">
        <v>1471.65</v>
      </c>
      <c r="DZ91">
        <v>1535.15</v>
      </c>
      <c r="EA91">
        <v>5.01051</v>
      </c>
      <c r="EB91">
        <v>1500.16</v>
      </c>
      <c r="EC91">
        <v>22.790400000000002</v>
      </c>
      <c r="ED91">
        <v>2.7529499999999998</v>
      </c>
      <c r="EE91">
        <v>2.2567900000000001</v>
      </c>
      <c r="EF91">
        <v>22.604700000000001</v>
      </c>
      <c r="EG91">
        <v>19.371300000000002</v>
      </c>
      <c r="EH91">
        <v>1799.99</v>
      </c>
      <c r="EI91">
        <v>0.977989</v>
      </c>
      <c r="EJ91">
        <v>2.20109E-2</v>
      </c>
      <c r="EK91">
        <v>0</v>
      </c>
      <c r="EL91">
        <v>734.38300000000004</v>
      </c>
      <c r="EM91">
        <v>5.0005300000000004</v>
      </c>
      <c r="EN91">
        <v>16070.1</v>
      </c>
      <c r="EO91">
        <v>16035.1</v>
      </c>
      <c r="EP91">
        <v>48.186999999999998</v>
      </c>
      <c r="EQ91">
        <v>49.686999999999998</v>
      </c>
      <c r="ER91">
        <v>48.811999999999998</v>
      </c>
      <c r="ES91">
        <v>48.875</v>
      </c>
      <c r="ET91">
        <v>49.375</v>
      </c>
      <c r="EU91">
        <v>1755.48</v>
      </c>
      <c r="EV91">
        <v>39.51</v>
      </c>
      <c r="EW91">
        <v>0</v>
      </c>
      <c r="EX91">
        <v>120.7999999523163</v>
      </c>
      <c r="EY91">
        <v>0</v>
      </c>
      <c r="EZ91">
        <v>734.71051999999997</v>
      </c>
      <c r="FA91">
        <v>-1.3160769213763479</v>
      </c>
      <c r="FB91">
        <v>-62.999999951111803</v>
      </c>
      <c r="FC91">
        <v>16079.224</v>
      </c>
      <c r="FD91">
        <v>15</v>
      </c>
      <c r="FE91">
        <v>1689013683.5999999</v>
      </c>
      <c r="FF91" t="s">
        <v>804</v>
      </c>
      <c r="FG91">
        <v>1689013683.5999999</v>
      </c>
      <c r="FH91">
        <v>1689013683.5999999</v>
      </c>
      <c r="FI91">
        <v>81</v>
      </c>
      <c r="FJ91">
        <v>0.20599999999999999</v>
      </c>
      <c r="FK91">
        <v>-1E-3</v>
      </c>
      <c r="FL91">
        <v>-0.41799999999999998</v>
      </c>
      <c r="FM91">
        <v>3.5000000000000003E-2</v>
      </c>
      <c r="FN91">
        <v>1500</v>
      </c>
      <c r="FO91">
        <v>22</v>
      </c>
      <c r="FP91">
        <v>7.0000000000000007E-2</v>
      </c>
      <c r="FQ91">
        <v>0.02</v>
      </c>
      <c r="FR91">
        <v>51.796427918953533</v>
      </c>
      <c r="FS91">
        <v>-0.3623509703734667</v>
      </c>
      <c r="FT91">
        <v>6.6711916946609023E-2</v>
      </c>
      <c r="FU91">
        <v>1</v>
      </c>
      <c r="FV91">
        <v>0.28467624638431083</v>
      </c>
      <c r="FW91">
        <v>1.013714015959211E-2</v>
      </c>
      <c r="FX91">
        <v>8.0401492167229852E-4</v>
      </c>
      <c r="FY91">
        <v>1</v>
      </c>
      <c r="FZ91">
        <v>2</v>
      </c>
      <c r="GA91">
        <v>2</v>
      </c>
      <c r="GB91" t="s">
        <v>424</v>
      </c>
      <c r="GC91">
        <v>3.12317</v>
      </c>
      <c r="GD91">
        <v>2.7676599999999998</v>
      </c>
      <c r="GE91">
        <v>0.209512</v>
      </c>
      <c r="GF91">
        <v>0.21524599999999999</v>
      </c>
      <c r="GG91">
        <v>0.118343</v>
      </c>
      <c r="GH91">
        <v>0.103229</v>
      </c>
      <c r="GI91">
        <v>18874.099999999999</v>
      </c>
      <c r="GJ91">
        <v>19428.3</v>
      </c>
      <c r="GK91">
        <v>23746.1</v>
      </c>
      <c r="GL91">
        <v>25078.5</v>
      </c>
      <c r="GM91">
        <v>30170.400000000001</v>
      </c>
      <c r="GN91">
        <v>31544.400000000001</v>
      </c>
      <c r="GO91">
        <v>37848.800000000003</v>
      </c>
      <c r="GP91">
        <v>39019.5</v>
      </c>
      <c r="GQ91">
        <v>2.13592</v>
      </c>
      <c r="GR91">
        <v>1.71227</v>
      </c>
      <c r="GS91">
        <v>6.1094800000000005E-4</v>
      </c>
      <c r="GT91">
        <v>0</v>
      </c>
      <c r="GU91">
        <v>30.016999999999999</v>
      </c>
      <c r="GV91">
        <v>999.9</v>
      </c>
      <c r="GW91">
        <v>27.2</v>
      </c>
      <c r="GX91">
        <v>46.2</v>
      </c>
      <c r="GY91">
        <v>28.1571</v>
      </c>
      <c r="GZ91">
        <v>61.918199999999999</v>
      </c>
      <c r="HA91">
        <v>27.660299999999999</v>
      </c>
      <c r="HB91">
        <v>1</v>
      </c>
      <c r="HC91">
        <v>0.61984799999999995</v>
      </c>
      <c r="HD91">
        <v>3.5175900000000002</v>
      </c>
      <c r="HE91">
        <v>20.2806</v>
      </c>
      <c r="HF91">
        <v>5.2526299999999999</v>
      </c>
      <c r="HG91">
        <v>12.0099</v>
      </c>
      <c r="HH91">
        <v>4.9794499999999999</v>
      </c>
      <c r="HI91">
        <v>3.2930000000000001</v>
      </c>
      <c r="HJ91">
        <v>9999</v>
      </c>
      <c r="HK91">
        <v>9999</v>
      </c>
      <c r="HL91">
        <v>9999</v>
      </c>
      <c r="HM91">
        <v>235.3</v>
      </c>
      <c r="HN91">
        <v>1.87565</v>
      </c>
      <c r="HO91">
        <v>1.87683</v>
      </c>
      <c r="HP91">
        <v>1.8827799999999999</v>
      </c>
      <c r="HQ91">
        <v>1.8859900000000001</v>
      </c>
      <c r="HR91">
        <v>1.87683</v>
      </c>
      <c r="HS91">
        <v>1.88317</v>
      </c>
      <c r="HT91">
        <v>1.8821699999999999</v>
      </c>
      <c r="HU91">
        <v>1.88568</v>
      </c>
      <c r="HV91">
        <v>0</v>
      </c>
      <c r="HW91">
        <v>0</v>
      </c>
      <c r="HX91">
        <v>0</v>
      </c>
      <c r="HY91">
        <v>0</v>
      </c>
      <c r="HZ91" t="s">
        <v>425</v>
      </c>
      <c r="IA91" t="s">
        <v>426</v>
      </c>
      <c r="IB91" t="s">
        <v>427</v>
      </c>
      <c r="IC91" t="s">
        <v>427</v>
      </c>
      <c r="ID91" t="s">
        <v>427</v>
      </c>
      <c r="IE91" t="s">
        <v>427</v>
      </c>
      <c r="IF91">
        <v>0</v>
      </c>
      <c r="IG91">
        <v>100</v>
      </c>
      <c r="IH91">
        <v>100</v>
      </c>
      <c r="II91">
        <v>-0.4</v>
      </c>
      <c r="IJ91">
        <v>4.2999999999999997E-2</v>
      </c>
      <c r="IK91">
        <v>-0.31751215774893088</v>
      </c>
      <c r="IL91">
        <v>-4.2852564239613137E-4</v>
      </c>
      <c r="IM91">
        <v>6.4980710991155998E-7</v>
      </c>
      <c r="IN91">
        <v>-2.7237938963984961E-10</v>
      </c>
      <c r="IO91">
        <v>-1.4363960281306799E-2</v>
      </c>
      <c r="IP91">
        <v>6.6907473102813496E-3</v>
      </c>
      <c r="IQ91">
        <v>-3.3673306238274028E-4</v>
      </c>
      <c r="IR91">
        <v>6.1311374003140313E-6</v>
      </c>
      <c r="IS91">
        <v>3</v>
      </c>
      <c r="IT91">
        <v>2101</v>
      </c>
      <c r="IU91">
        <v>1</v>
      </c>
      <c r="IV91">
        <v>32</v>
      </c>
      <c r="IW91">
        <v>0.6</v>
      </c>
      <c r="IX91">
        <v>0.6</v>
      </c>
      <c r="IY91">
        <v>2.98706</v>
      </c>
      <c r="IZ91">
        <v>2.7026400000000002</v>
      </c>
      <c r="JA91">
        <v>1.6015600000000001</v>
      </c>
      <c r="JB91">
        <v>2.32544</v>
      </c>
      <c r="JC91">
        <v>1.5502899999999999</v>
      </c>
      <c r="JD91">
        <v>2.4475099999999999</v>
      </c>
      <c r="JE91">
        <v>49.3264</v>
      </c>
      <c r="JF91">
        <v>24.035</v>
      </c>
      <c r="JG91">
        <v>18</v>
      </c>
      <c r="JH91">
        <v>596.88</v>
      </c>
      <c r="JI91">
        <v>375.90899999999999</v>
      </c>
      <c r="JJ91">
        <v>26.3141</v>
      </c>
      <c r="JK91">
        <v>34.8658</v>
      </c>
      <c r="JL91">
        <v>29.999099999999999</v>
      </c>
      <c r="JM91">
        <v>34.942599999999999</v>
      </c>
      <c r="JN91">
        <v>34.943199999999997</v>
      </c>
      <c r="JO91">
        <v>59.801299999999998</v>
      </c>
      <c r="JP91">
        <v>17.918800000000001</v>
      </c>
      <c r="JQ91">
        <v>0</v>
      </c>
      <c r="JR91">
        <v>26.302399999999999</v>
      </c>
      <c r="JS91">
        <v>1500</v>
      </c>
      <c r="JT91">
        <v>22.753599999999999</v>
      </c>
      <c r="JU91">
        <v>98.722700000000003</v>
      </c>
      <c r="JV91">
        <v>98.754300000000001</v>
      </c>
    </row>
    <row r="92" spans="1:282" x14ac:dyDescent="0.25">
      <c r="A92">
        <v>76</v>
      </c>
      <c r="B92">
        <v>1689015399</v>
      </c>
      <c r="C92">
        <v>15576.400000095369</v>
      </c>
      <c r="D92" t="s">
        <v>805</v>
      </c>
      <c r="E92" t="s">
        <v>806</v>
      </c>
      <c r="F92" t="s">
        <v>414</v>
      </c>
      <c r="G92" t="s">
        <v>415</v>
      </c>
      <c r="H92" t="s">
        <v>31</v>
      </c>
      <c r="I92" t="s">
        <v>417</v>
      </c>
      <c r="J92" t="s">
        <v>416</v>
      </c>
      <c r="K92">
        <v>1689015399</v>
      </c>
      <c r="L92">
        <f t="shared" si="92"/>
        <v>4.707298808804967E-3</v>
      </c>
      <c r="M92">
        <f t="shared" si="93"/>
        <v>4.7072988088049668</v>
      </c>
      <c r="N92">
        <f t="shared" si="94"/>
        <v>47.235451428802598</v>
      </c>
      <c r="O92">
        <f t="shared" si="95"/>
        <v>341.452</v>
      </c>
      <c r="P92">
        <f t="shared" si="96"/>
        <v>92.154102469125121</v>
      </c>
      <c r="Q92">
        <f t="shared" si="97"/>
        <v>9.1334471993885504</v>
      </c>
      <c r="R92">
        <f t="shared" si="98"/>
        <v>33.841508186469206</v>
      </c>
      <c r="S92">
        <f t="shared" si="99"/>
        <v>0.32611581383752314</v>
      </c>
      <c r="T92">
        <f t="shared" si="100"/>
        <v>2.9162984793773372</v>
      </c>
      <c r="U92">
        <f t="shared" si="101"/>
        <v>0.30712591257810951</v>
      </c>
      <c r="V92">
        <f t="shared" si="102"/>
        <v>0.19356764999451292</v>
      </c>
      <c r="W92">
        <f t="shared" si="103"/>
        <v>289.52062432699779</v>
      </c>
      <c r="X92">
        <f t="shared" si="104"/>
        <v>30.531965108316946</v>
      </c>
      <c r="Y92">
        <f t="shared" si="105"/>
        <v>29.996700000000001</v>
      </c>
      <c r="Z92">
        <f t="shared" si="106"/>
        <v>4.2596422738682334</v>
      </c>
      <c r="AA92">
        <f t="shared" si="107"/>
        <v>65.415158548672537</v>
      </c>
      <c r="AB92">
        <f t="shared" si="108"/>
        <v>2.7946410465761202</v>
      </c>
      <c r="AC92">
        <f t="shared" si="109"/>
        <v>4.2721612369046706</v>
      </c>
      <c r="AD92">
        <f t="shared" si="110"/>
        <v>1.4650012272921131</v>
      </c>
      <c r="AE92">
        <f t="shared" si="111"/>
        <v>-207.59187746829903</v>
      </c>
      <c r="AF92">
        <f t="shared" si="112"/>
        <v>8.0341200129914689</v>
      </c>
      <c r="AG92">
        <f t="shared" si="113"/>
        <v>0.61269044877815515</v>
      </c>
      <c r="AH92">
        <f t="shared" si="114"/>
        <v>90.575557320468377</v>
      </c>
      <c r="AI92">
        <v>0</v>
      </c>
      <c r="AJ92">
        <v>0</v>
      </c>
      <c r="AK92">
        <f t="shared" si="115"/>
        <v>1</v>
      </c>
      <c r="AL92">
        <f t="shared" si="116"/>
        <v>0</v>
      </c>
      <c r="AM92">
        <f t="shared" si="117"/>
        <v>51945.896178248462</v>
      </c>
      <c r="AN92" t="s">
        <v>419</v>
      </c>
      <c r="AO92">
        <v>9967.0300000000007</v>
      </c>
      <c r="AP92">
        <v>178.94153846153841</v>
      </c>
      <c r="AQ92">
        <v>603.15</v>
      </c>
      <c r="AR92">
        <f t="shared" si="118"/>
        <v>0.7033216638290003</v>
      </c>
      <c r="AS92">
        <v>-3.2649104154664181</v>
      </c>
      <c r="AT92" t="s">
        <v>807</v>
      </c>
      <c r="AU92">
        <v>8063.65</v>
      </c>
      <c r="AV92">
        <v>717.46079999999984</v>
      </c>
      <c r="AW92">
        <v>1137.720502324901</v>
      </c>
      <c r="AX92">
        <f t="shared" si="119"/>
        <v>0.36938747387087767</v>
      </c>
      <c r="AY92">
        <v>0.5</v>
      </c>
      <c r="AZ92">
        <f t="shared" si="120"/>
        <v>1512.9488996512941</v>
      </c>
      <c r="BA92">
        <f t="shared" si="121"/>
        <v>47.235451428802598</v>
      </c>
      <c r="BB92">
        <f t="shared" si="122"/>
        <v>279.43218606895778</v>
      </c>
      <c r="BC92">
        <f t="shared" si="123"/>
        <v>3.3378762399647724E-2</v>
      </c>
      <c r="BD92">
        <f t="shared" si="124"/>
        <v>-0.46986100824633176</v>
      </c>
      <c r="BE92">
        <f t="shared" si="125"/>
        <v>207.92590719216631</v>
      </c>
      <c r="BF92" t="s">
        <v>808</v>
      </c>
      <c r="BG92">
        <v>561.09</v>
      </c>
      <c r="BH92">
        <f t="shared" si="126"/>
        <v>561.09</v>
      </c>
      <c r="BI92">
        <f t="shared" si="127"/>
        <v>0.50682966611445623</v>
      </c>
      <c r="BJ92">
        <f t="shared" si="128"/>
        <v>0.72881975655201625</v>
      </c>
      <c r="BK92">
        <f t="shared" si="129"/>
        <v>-12.709712371015256</v>
      </c>
      <c r="BL92">
        <f t="shared" si="130"/>
        <v>0.43832803822841604</v>
      </c>
      <c r="BM92">
        <f t="shared" si="131"/>
        <v>-1.2601599232278238</v>
      </c>
      <c r="BN92">
        <f t="shared" si="132"/>
        <v>0.56997326850996033</v>
      </c>
      <c r="BO92">
        <f t="shared" si="133"/>
        <v>0.43002673149003967</v>
      </c>
      <c r="BP92">
        <v>6187</v>
      </c>
      <c r="BQ92">
        <v>290.00000000000011</v>
      </c>
      <c r="BR92">
        <v>998.71</v>
      </c>
      <c r="BS92">
        <v>295</v>
      </c>
      <c r="BT92">
        <v>8063.65</v>
      </c>
      <c r="BU92">
        <v>1001.36</v>
      </c>
      <c r="BV92">
        <v>-2.65</v>
      </c>
      <c r="BW92">
        <v>300.00000000000011</v>
      </c>
      <c r="BX92">
        <v>19.3</v>
      </c>
      <c r="BY92">
        <v>1137.720502324901</v>
      </c>
      <c r="BZ92">
        <v>4.1313670146566528</v>
      </c>
      <c r="CA92">
        <v>-109.9544797924151</v>
      </c>
      <c r="CB92">
        <v>3.0605314492037619</v>
      </c>
      <c r="CC92">
        <v>0.97876729541102214</v>
      </c>
      <c r="CD92">
        <v>-4.160653615127922E-3</v>
      </c>
      <c r="CE92">
        <v>289.99999999999989</v>
      </c>
      <c r="CF92">
        <v>995.37</v>
      </c>
      <c r="CG92">
        <v>625</v>
      </c>
      <c r="CH92">
        <v>8055.7</v>
      </c>
      <c r="CI92">
        <v>1001.23</v>
      </c>
      <c r="CJ92">
        <v>-5.86</v>
      </c>
      <c r="CX92">
        <f t="shared" si="134"/>
        <v>1799.72</v>
      </c>
      <c r="CY92">
        <f t="shared" si="135"/>
        <v>1512.9488996512941</v>
      </c>
      <c r="CZ92">
        <f t="shared" si="136"/>
        <v>0.84065793548512779</v>
      </c>
      <c r="DA92">
        <f t="shared" si="137"/>
        <v>0.16086981548629664</v>
      </c>
      <c r="DB92">
        <v>6</v>
      </c>
      <c r="DC92">
        <v>0.5</v>
      </c>
      <c r="DD92" t="s">
        <v>422</v>
      </c>
      <c r="DE92">
        <v>2</v>
      </c>
      <c r="DF92">
        <v>1689015399</v>
      </c>
      <c r="DG92">
        <v>341.452</v>
      </c>
      <c r="DH92">
        <v>400.05500000000001</v>
      </c>
      <c r="DI92">
        <v>28.197199999999999</v>
      </c>
      <c r="DJ92">
        <v>22.708500000000001</v>
      </c>
      <c r="DK92">
        <v>341.86700000000002</v>
      </c>
      <c r="DL92">
        <v>28.145299999999999</v>
      </c>
      <c r="DM92">
        <v>500.07100000000003</v>
      </c>
      <c r="DN92">
        <v>99.010900000000007</v>
      </c>
      <c r="DO92">
        <v>9.9687100000000001E-2</v>
      </c>
      <c r="DP92">
        <v>30.047799999999999</v>
      </c>
      <c r="DQ92">
        <v>29.996700000000001</v>
      </c>
      <c r="DR92">
        <v>999.9</v>
      </c>
      <c r="DS92">
        <v>0</v>
      </c>
      <c r="DT92">
        <v>0</v>
      </c>
      <c r="DU92">
        <v>10023.799999999999</v>
      </c>
      <c r="DV92">
        <v>0</v>
      </c>
      <c r="DW92">
        <v>1593.68</v>
      </c>
      <c r="DX92">
        <v>-58.602499999999999</v>
      </c>
      <c r="DY92">
        <v>351.36</v>
      </c>
      <c r="DZ92">
        <v>409.35</v>
      </c>
      <c r="EA92">
        <v>5.4886600000000003</v>
      </c>
      <c r="EB92">
        <v>400.05500000000001</v>
      </c>
      <c r="EC92">
        <v>22.708500000000001</v>
      </c>
      <c r="ED92">
        <v>2.79183</v>
      </c>
      <c r="EE92">
        <v>2.2483900000000001</v>
      </c>
      <c r="EF92">
        <v>22.835899999999999</v>
      </c>
      <c r="EG92">
        <v>19.311399999999999</v>
      </c>
      <c r="EH92">
        <v>1799.72</v>
      </c>
      <c r="EI92">
        <v>0.97800799999999999</v>
      </c>
      <c r="EJ92">
        <v>2.1991900000000002E-2</v>
      </c>
      <c r="EK92">
        <v>0</v>
      </c>
      <c r="EL92">
        <v>717.38599999999997</v>
      </c>
      <c r="EM92">
        <v>5.0005300000000004</v>
      </c>
      <c r="EN92">
        <v>15217.8</v>
      </c>
      <c r="EO92">
        <v>16032.8</v>
      </c>
      <c r="EP92">
        <v>46.686999999999998</v>
      </c>
      <c r="EQ92">
        <v>48.061999999999998</v>
      </c>
      <c r="ER92">
        <v>47.311999999999998</v>
      </c>
      <c r="ES92">
        <v>47.686999999999998</v>
      </c>
      <c r="ET92">
        <v>48.061999999999998</v>
      </c>
      <c r="EU92">
        <v>1755.25</v>
      </c>
      <c r="EV92">
        <v>39.47</v>
      </c>
      <c r="EW92">
        <v>0</v>
      </c>
      <c r="EX92">
        <v>1677.2000000476839</v>
      </c>
      <c r="EY92">
        <v>0</v>
      </c>
      <c r="EZ92">
        <v>717.46079999999984</v>
      </c>
      <c r="FA92">
        <v>1.959846162274429</v>
      </c>
      <c r="FB92">
        <v>35.846154067596053</v>
      </c>
      <c r="FC92">
        <v>15219.584000000001</v>
      </c>
      <c r="FD92">
        <v>15</v>
      </c>
      <c r="FE92">
        <v>1689015364.5</v>
      </c>
      <c r="FF92" t="s">
        <v>809</v>
      </c>
      <c r="FG92">
        <v>1689015364.5</v>
      </c>
      <c r="FH92">
        <v>1689015354</v>
      </c>
      <c r="FI92">
        <v>83</v>
      </c>
      <c r="FJ92">
        <v>0.10299999999999999</v>
      </c>
      <c r="FK92">
        <v>4.0000000000000001E-3</v>
      </c>
      <c r="FL92">
        <v>-0.41899999999999998</v>
      </c>
      <c r="FM92">
        <v>4.3999999999999997E-2</v>
      </c>
      <c r="FN92">
        <v>400</v>
      </c>
      <c r="FO92">
        <v>23</v>
      </c>
      <c r="FP92">
        <v>0.08</v>
      </c>
      <c r="FQ92">
        <v>0.02</v>
      </c>
      <c r="FR92">
        <v>47.321867588097447</v>
      </c>
      <c r="FS92">
        <v>-0.46295306511626549</v>
      </c>
      <c r="FT92">
        <v>4.3120476869551547E-2</v>
      </c>
      <c r="FU92">
        <v>1</v>
      </c>
      <c r="FV92">
        <v>0.326564174064844</v>
      </c>
      <c r="FW92">
        <v>3.8307740460255493E-2</v>
      </c>
      <c r="FX92">
        <v>3.5581807576511768E-3</v>
      </c>
      <c r="FY92">
        <v>1</v>
      </c>
      <c r="FZ92">
        <v>2</v>
      </c>
      <c r="GA92">
        <v>2</v>
      </c>
      <c r="GB92" t="s">
        <v>424</v>
      </c>
      <c r="GC92">
        <v>3.12269</v>
      </c>
      <c r="GD92">
        <v>2.7671999999999999</v>
      </c>
      <c r="GE92">
        <v>7.82471E-2</v>
      </c>
      <c r="GF92">
        <v>8.8537900000000003E-2</v>
      </c>
      <c r="GG92">
        <v>0.119453</v>
      </c>
      <c r="GH92">
        <v>0.102938</v>
      </c>
      <c r="GI92">
        <v>21998.2</v>
      </c>
      <c r="GJ92">
        <v>22562.6</v>
      </c>
      <c r="GK92">
        <v>23728.7</v>
      </c>
      <c r="GL92">
        <v>25067.3</v>
      </c>
      <c r="GM92">
        <v>30110</v>
      </c>
      <c r="GN92">
        <v>31537.5</v>
      </c>
      <c r="GO92">
        <v>37820.300000000003</v>
      </c>
      <c r="GP92">
        <v>38997.9</v>
      </c>
      <c r="GQ92">
        <v>2.1124000000000001</v>
      </c>
      <c r="GR92">
        <v>1.7001500000000001</v>
      </c>
      <c r="GS92">
        <v>4.1909499999999997E-3</v>
      </c>
      <c r="GT92">
        <v>0</v>
      </c>
      <c r="GU92">
        <v>29.9285</v>
      </c>
      <c r="GV92">
        <v>999.9</v>
      </c>
      <c r="GW92">
        <v>28.6</v>
      </c>
      <c r="GX92">
        <v>47.2</v>
      </c>
      <c r="GY92">
        <v>31.1586</v>
      </c>
      <c r="GZ92">
        <v>60.278399999999998</v>
      </c>
      <c r="HA92">
        <v>28.305299999999999</v>
      </c>
      <c r="HB92">
        <v>1</v>
      </c>
      <c r="HC92">
        <v>0.63360499999999997</v>
      </c>
      <c r="HD92">
        <v>2.4301200000000001</v>
      </c>
      <c r="HE92">
        <v>20.2989</v>
      </c>
      <c r="HF92">
        <v>5.24634</v>
      </c>
      <c r="HG92">
        <v>12.0099</v>
      </c>
      <c r="HH92">
        <v>4.9766000000000004</v>
      </c>
      <c r="HI92">
        <v>3.29223</v>
      </c>
      <c r="HJ92">
        <v>9999</v>
      </c>
      <c r="HK92">
        <v>9999</v>
      </c>
      <c r="HL92">
        <v>9999</v>
      </c>
      <c r="HM92">
        <v>235.7</v>
      </c>
      <c r="HN92">
        <v>1.87561</v>
      </c>
      <c r="HO92">
        <v>1.87679</v>
      </c>
      <c r="HP92">
        <v>1.8827799999999999</v>
      </c>
      <c r="HQ92">
        <v>1.8859900000000001</v>
      </c>
      <c r="HR92">
        <v>1.87683</v>
      </c>
      <c r="HS92">
        <v>1.8831599999999999</v>
      </c>
      <c r="HT92">
        <v>1.8821699999999999</v>
      </c>
      <c r="HU92">
        <v>1.88567</v>
      </c>
      <c r="HV92">
        <v>0</v>
      </c>
      <c r="HW92">
        <v>0</v>
      </c>
      <c r="HX92">
        <v>0</v>
      </c>
      <c r="HY92">
        <v>0</v>
      </c>
      <c r="HZ92" t="s">
        <v>425</v>
      </c>
      <c r="IA92" t="s">
        <v>426</v>
      </c>
      <c r="IB92" t="s">
        <v>427</v>
      </c>
      <c r="IC92" t="s">
        <v>427</v>
      </c>
      <c r="ID92" t="s">
        <v>427</v>
      </c>
      <c r="IE92" t="s">
        <v>427</v>
      </c>
      <c r="IF92">
        <v>0</v>
      </c>
      <c r="IG92">
        <v>100</v>
      </c>
      <c r="IH92">
        <v>100</v>
      </c>
      <c r="II92">
        <v>-0.41499999999999998</v>
      </c>
      <c r="IJ92">
        <v>5.1900000000000002E-2</v>
      </c>
      <c r="IK92">
        <v>-0.33382352578693708</v>
      </c>
      <c r="IL92">
        <v>-4.2852564239613137E-4</v>
      </c>
      <c r="IM92">
        <v>6.4980710991155998E-7</v>
      </c>
      <c r="IN92">
        <v>-2.7237938963984961E-10</v>
      </c>
      <c r="IO92">
        <v>-6.3286584496658593E-3</v>
      </c>
      <c r="IP92">
        <v>6.6907473102813496E-3</v>
      </c>
      <c r="IQ92">
        <v>-3.3673306238274028E-4</v>
      </c>
      <c r="IR92">
        <v>6.1311374003140313E-6</v>
      </c>
      <c r="IS92">
        <v>3</v>
      </c>
      <c r="IT92">
        <v>2101</v>
      </c>
      <c r="IU92">
        <v>1</v>
      </c>
      <c r="IV92">
        <v>32</v>
      </c>
      <c r="IW92">
        <v>0.6</v>
      </c>
      <c r="IX92">
        <v>0.8</v>
      </c>
      <c r="IY92">
        <v>1.01318</v>
      </c>
      <c r="IZ92">
        <v>2.7124000000000001</v>
      </c>
      <c r="JA92">
        <v>1.6003400000000001</v>
      </c>
      <c r="JB92">
        <v>2.32666</v>
      </c>
      <c r="JC92">
        <v>1.5502899999999999</v>
      </c>
      <c r="JD92">
        <v>2.4645999999999999</v>
      </c>
      <c r="JE92">
        <v>49.169199999999996</v>
      </c>
      <c r="JF92">
        <v>24.157499999999999</v>
      </c>
      <c r="JG92">
        <v>18</v>
      </c>
      <c r="JH92">
        <v>580.86900000000003</v>
      </c>
      <c r="JI92">
        <v>368.99700000000001</v>
      </c>
      <c r="JJ92">
        <v>27.122900000000001</v>
      </c>
      <c r="JK92">
        <v>34.787599999999998</v>
      </c>
      <c r="JL92">
        <v>29.9999</v>
      </c>
      <c r="JM92">
        <v>35.007800000000003</v>
      </c>
      <c r="JN92">
        <v>35.009500000000003</v>
      </c>
      <c r="JO92">
        <v>20.257999999999999</v>
      </c>
      <c r="JP92">
        <v>32.090800000000002</v>
      </c>
      <c r="JQ92">
        <v>0</v>
      </c>
      <c r="JR92">
        <v>27.124500000000001</v>
      </c>
      <c r="JS92">
        <v>400</v>
      </c>
      <c r="JT92">
        <v>22.608799999999999</v>
      </c>
      <c r="JU92">
        <v>98.649199999999993</v>
      </c>
      <c r="JV92">
        <v>98.703800000000001</v>
      </c>
    </row>
    <row r="93" spans="1:282" x14ac:dyDescent="0.25">
      <c r="A93">
        <v>77</v>
      </c>
      <c r="B93">
        <v>1689015562.5</v>
      </c>
      <c r="C93">
        <v>15739.900000095369</v>
      </c>
      <c r="D93" t="s">
        <v>810</v>
      </c>
      <c r="E93" t="s">
        <v>811</v>
      </c>
      <c r="F93" t="s">
        <v>414</v>
      </c>
      <c r="G93" t="s">
        <v>415</v>
      </c>
      <c r="H93" t="s">
        <v>31</v>
      </c>
      <c r="I93" t="s">
        <v>417</v>
      </c>
      <c r="J93" t="s">
        <v>416</v>
      </c>
      <c r="K93">
        <v>1689015562.5</v>
      </c>
      <c r="L93">
        <f t="shared" si="92"/>
        <v>5.1748534794615036E-3</v>
      </c>
      <c r="M93">
        <f t="shared" si="93"/>
        <v>5.174853479461504</v>
      </c>
      <c r="N93">
        <f t="shared" si="94"/>
        <v>39.759310191050687</v>
      </c>
      <c r="O93">
        <f t="shared" si="95"/>
        <v>250.75700000000001</v>
      </c>
      <c r="P93">
        <f t="shared" si="96"/>
        <v>60.089739585217558</v>
      </c>
      <c r="Q93">
        <f t="shared" si="97"/>
        <v>5.9552065007972574</v>
      </c>
      <c r="R93">
        <f t="shared" si="98"/>
        <v>24.851326146998002</v>
      </c>
      <c r="S93">
        <f t="shared" si="99"/>
        <v>0.36030927789954192</v>
      </c>
      <c r="T93">
        <f t="shared" si="100"/>
        <v>2.9161977339780898</v>
      </c>
      <c r="U93">
        <f t="shared" si="101"/>
        <v>0.337278529055278</v>
      </c>
      <c r="V93">
        <f t="shared" si="102"/>
        <v>0.21274550894982441</v>
      </c>
      <c r="W93">
        <f t="shared" si="103"/>
        <v>289.55268532655737</v>
      </c>
      <c r="X93">
        <f t="shared" si="104"/>
        <v>30.446806188089301</v>
      </c>
      <c r="Y93">
        <f t="shared" si="105"/>
        <v>29.972200000000001</v>
      </c>
      <c r="Z93">
        <f t="shared" si="106"/>
        <v>4.2536513787986534</v>
      </c>
      <c r="AA93">
        <f t="shared" si="107"/>
        <v>65.10199096777967</v>
      </c>
      <c r="AB93">
        <f t="shared" si="108"/>
        <v>2.7870962912363999</v>
      </c>
      <c r="AC93">
        <f t="shared" si="109"/>
        <v>4.2811229730528391</v>
      </c>
      <c r="AD93">
        <f t="shared" si="110"/>
        <v>1.4665550875622535</v>
      </c>
      <c r="AE93">
        <f t="shared" si="111"/>
        <v>-228.2110384442523</v>
      </c>
      <c r="AF93">
        <f t="shared" si="112"/>
        <v>17.624143655456521</v>
      </c>
      <c r="AG93">
        <f t="shared" si="113"/>
        <v>1.3441620568539798</v>
      </c>
      <c r="AH93">
        <f t="shared" si="114"/>
        <v>80.309952594615567</v>
      </c>
      <c r="AI93">
        <v>0</v>
      </c>
      <c r="AJ93">
        <v>0</v>
      </c>
      <c r="AK93">
        <f t="shared" si="115"/>
        <v>1</v>
      </c>
      <c r="AL93">
        <f t="shared" si="116"/>
        <v>0</v>
      </c>
      <c r="AM93">
        <f t="shared" si="117"/>
        <v>51936.650274841253</v>
      </c>
      <c r="AN93" t="s">
        <v>419</v>
      </c>
      <c r="AO93">
        <v>9967.0300000000007</v>
      </c>
      <c r="AP93">
        <v>178.94153846153841</v>
      </c>
      <c r="AQ93">
        <v>603.15</v>
      </c>
      <c r="AR93">
        <f t="shared" si="118"/>
        <v>0.7033216638290003</v>
      </c>
      <c r="AS93">
        <v>-3.2649104154664181</v>
      </c>
      <c r="AT93" t="s">
        <v>812</v>
      </c>
      <c r="AU93">
        <v>8062.8</v>
      </c>
      <c r="AV93">
        <v>676.99668000000008</v>
      </c>
      <c r="AW93">
        <v>1009.959603492325</v>
      </c>
      <c r="AX93">
        <f t="shared" si="119"/>
        <v>0.3296794469214186</v>
      </c>
      <c r="AY93">
        <v>0.5</v>
      </c>
      <c r="AZ93">
        <f t="shared" si="120"/>
        <v>1513.1093996510658</v>
      </c>
      <c r="BA93">
        <f t="shared" si="121"/>
        <v>39.759310191050687</v>
      </c>
      <c r="BB93">
        <f t="shared" si="122"/>
        <v>249.42053500428156</v>
      </c>
      <c r="BC93">
        <f t="shared" si="123"/>
        <v>2.8434309255126435E-2</v>
      </c>
      <c r="BD93">
        <f t="shared" si="124"/>
        <v>-0.40279789615903827</v>
      </c>
      <c r="BE93">
        <f t="shared" si="125"/>
        <v>203.22751270904732</v>
      </c>
      <c r="BF93" t="s">
        <v>813</v>
      </c>
      <c r="BG93">
        <v>544.44000000000005</v>
      </c>
      <c r="BH93">
        <f t="shared" si="126"/>
        <v>544.44000000000005</v>
      </c>
      <c r="BI93">
        <f t="shared" si="127"/>
        <v>0.46092893407083935</v>
      </c>
      <c r="BJ93">
        <f t="shared" si="128"/>
        <v>0.7152500582025747</v>
      </c>
      <c r="BK93">
        <f t="shared" si="129"/>
        <v>-6.9291364928006391</v>
      </c>
      <c r="BL93">
        <f t="shared" si="130"/>
        <v>0.40066869482553263</v>
      </c>
      <c r="BM93">
        <f t="shared" si="131"/>
        <v>-0.95898512259034918</v>
      </c>
      <c r="BN93">
        <f t="shared" si="132"/>
        <v>0.57520332549904052</v>
      </c>
      <c r="BO93">
        <f t="shared" si="133"/>
        <v>0.42479667450095948</v>
      </c>
      <c r="BP93">
        <v>6189</v>
      </c>
      <c r="BQ93">
        <v>290.00000000000011</v>
      </c>
      <c r="BR93">
        <v>896.12</v>
      </c>
      <c r="BS93">
        <v>285</v>
      </c>
      <c r="BT93">
        <v>8062.8</v>
      </c>
      <c r="BU93">
        <v>897.02</v>
      </c>
      <c r="BV93">
        <v>-0.9</v>
      </c>
      <c r="BW93">
        <v>300.00000000000011</v>
      </c>
      <c r="BX93">
        <v>19.3</v>
      </c>
      <c r="BY93">
        <v>1009.959603492325</v>
      </c>
      <c r="BZ93">
        <v>3.0831788830106301</v>
      </c>
      <c r="CA93">
        <v>-91.059822023382694</v>
      </c>
      <c r="CB93">
        <v>2.28379000625513</v>
      </c>
      <c r="CC93">
        <v>0.9826924970782025</v>
      </c>
      <c r="CD93">
        <v>-4.1600051167964436E-3</v>
      </c>
      <c r="CE93">
        <v>289.99999999999989</v>
      </c>
      <c r="CF93">
        <v>891.99</v>
      </c>
      <c r="CG93">
        <v>655</v>
      </c>
      <c r="CH93">
        <v>8053.93</v>
      </c>
      <c r="CI93">
        <v>896.9</v>
      </c>
      <c r="CJ93">
        <v>-4.91</v>
      </c>
      <c r="CX93">
        <f t="shared" si="134"/>
        <v>1799.91</v>
      </c>
      <c r="CY93">
        <f t="shared" si="135"/>
        <v>1513.1093996510658</v>
      </c>
      <c r="CZ93">
        <f t="shared" si="136"/>
        <v>0.84065836605778388</v>
      </c>
      <c r="DA93">
        <f t="shared" si="137"/>
        <v>0.16087064649152311</v>
      </c>
      <c r="DB93">
        <v>6</v>
      </c>
      <c r="DC93">
        <v>0.5</v>
      </c>
      <c r="DD93" t="s">
        <v>422</v>
      </c>
      <c r="DE93">
        <v>2</v>
      </c>
      <c r="DF93">
        <v>1689015562.5</v>
      </c>
      <c r="DG93">
        <v>250.75700000000001</v>
      </c>
      <c r="DH93">
        <v>300.01400000000001</v>
      </c>
      <c r="DI93">
        <v>28.122599999999998</v>
      </c>
      <c r="DJ93">
        <v>22.088799999999999</v>
      </c>
      <c r="DK93">
        <v>251.001</v>
      </c>
      <c r="DL93">
        <v>28.0715</v>
      </c>
      <c r="DM93">
        <v>500.11500000000001</v>
      </c>
      <c r="DN93">
        <v>99.005200000000002</v>
      </c>
      <c r="DO93">
        <v>0.10001400000000001</v>
      </c>
      <c r="DP93">
        <v>30.084299999999999</v>
      </c>
      <c r="DQ93">
        <v>29.972200000000001</v>
      </c>
      <c r="DR93">
        <v>999.9</v>
      </c>
      <c r="DS93">
        <v>0</v>
      </c>
      <c r="DT93">
        <v>0</v>
      </c>
      <c r="DU93">
        <v>10023.799999999999</v>
      </c>
      <c r="DV93">
        <v>0</v>
      </c>
      <c r="DW93">
        <v>1589.03</v>
      </c>
      <c r="DX93">
        <v>-49.256999999999998</v>
      </c>
      <c r="DY93">
        <v>258.01299999999998</v>
      </c>
      <c r="DZ93">
        <v>306.79000000000002</v>
      </c>
      <c r="EA93">
        <v>6.0338099999999999</v>
      </c>
      <c r="EB93">
        <v>300.01400000000001</v>
      </c>
      <c r="EC93">
        <v>22.088799999999999</v>
      </c>
      <c r="ED93">
        <v>2.7842799999999999</v>
      </c>
      <c r="EE93">
        <v>2.1869000000000001</v>
      </c>
      <c r="EF93">
        <v>22.7912</v>
      </c>
      <c r="EG93">
        <v>18.866700000000002</v>
      </c>
      <c r="EH93">
        <v>1799.91</v>
      </c>
      <c r="EI93">
        <v>0.97799199999999997</v>
      </c>
      <c r="EJ93">
        <v>2.2008300000000001E-2</v>
      </c>
      <c r="EK93">
        <v>0</v>
      </c>
      <c r="EL93">
        <v>676.58600000000001</v>
      </c>
      <c r="EM93">
        <v>5.0005300000000004</v>
      </c>
      <c r="EN93">
        <v>14435.4</v>
      </c>
      <c r="EO93">
        <v>16034.4</v>
      </c>
      <c r="EP93">
        <v>46.686999999999998</v>
      </c>
      <c r="EQ93">
        <v>47.936999999999998</v>
      </c>
      <c r="ER93">
        <v>47.25</v>
      </c>
      <c r="ES93">
        <v>47.625</v>
      </c>
      <c r="ET93">
        <v>48</v>
      </c>
      <c r="EU93">
        <v>1755.41</v>
      </c>
      <c r="EV93">
        <v>39.5</v>
      </c>
      <c r="EW93">
        <v>0</v>
      </c>
      <c r="EX93">
        <v>161.4000000953674</v>
      </c>
      <c r="EY93">
        <v>0</v>
      </c>
      <c r="EZ93">
        <v>676.99668000000008</v>
      </c>
      <c r="FA93">
        <v>-0.7119230964036094</v>
      </c>
      <c r="FB93">
        <v>-27.969230649514071</v>
      </c>
      <c r="FC93">
        <v>14441.843999999999</v>
      </c>
      <c r="FD93">
        <v>15</v>
      </c>
      <c r="FE93">
        <v>1689015478.5</v>
      </c>
      <c r="FF93" t="s">
        <v>814</v>
      </c>
      <c r="FG93">
        <v>1689015478.5</v>
      </c>
      <c r="FH93">
        <v>1689015477</v>
      </c>
      <c r="FI93">
        <v>84</v>
      </c>
      <c r="FJ93">
        <v>0.161</v>
      </c>
      <c r="FK93">
        <v>-1E-3</v>
      </c>
      <c r="FL93">
        <v>-0.251</v>
      </c>
      <c r="FM93">
        <v>4.2999999999999997E-2</v>
      </c>
      <c r="FN93">
        <v>300</v>
      </c>
      <c r="FO93">
        <v>23</v>
      </c>
      <c r="FP93">
        <v>0.08</v>
      </c>
      <c r="FQ93">
        <v>0.01</v>
      </c>
      <c r="FR93">
        <v>39.664248345342251</v>
      </c>
      <c r="FS93">
        <v>0.67547314762585953</v>
      </c>
      <c r="FT93">
        <v>5.8128432475242867E-2</v>
      </c>
      <c r="FU93">
        <v>1</v>
      </c>
      <c r="FV93">
        <v>0.36027081625716562</v>
      </c>
      <c r="FW93">
        <v>6.7272312723842083E-3</v>
      </c>
      <c r="FX93">
        <v>1.546242249569397E-3</v>
      </c>
      <c r="FY93">
        <v>1</v>
      </c>
      <c r="FZ93">
        <v>2</v>
      </c>
      <c r="GA93">
        <v>2</v>
      </c>
      <c r="GB93" t="s">
        <v>424</v>
      </c>
      <c r="GC93">
        <v>3.1226500000000001</v>
      </c>
      <c r="GD93">
        <v>2.7675200000000002</v>
      </c>
      <c r="GE93">
        <v>6.0692700000000002E-2</v>
      </c>
      <c r="GF93">
        <v>7.0507700000000006E-2</v>
      </c>
      <c r="GG93">
        <v>0.11924700000000001</v>
      </c>
      <c r="GH93">
        <v>0.10094500000000001</v>
      </c>
      <c r="GI93">
        <v>22418.799999999999</v>
      </c>
      <c r="GJ93">
        <v>23012</v>
      </c>
      <c r="GK93">
        <v>23730.5</v>
      </c>
      <c r="GL93">
        <v>25070.400000000001</v>
      </c>
      <c r="GM93">
        <v>30119.200000000001</v>
      </c>
      <c r="GN93">
        <v>31610.6</v>
      </c>
      <c r="GO93">
        <v>37822.9</v>
      </c>
      <c r="GP93">
        <v>39001.599999999999</v>
      </c>
      <c r="GQ93">
        <v>2.11483</v>
      </c>
      <c r="GR93">
        <v>1.6998500000000001</v>
      </c>
      <c r="GS93">
        <v>-1.85147E-3</v>
      </c>
      <c r="GT93">
        <v>0</v>
      </c>
      <c r="GU93">
        <v>30.002300000000002</v>
      </c>
      <c r="GV93">
        <v>999.9</v>
      </c>
      <c r="GW93">
        <v>28.5</v>
      </c>
      <c r="GX93">
        <v>47.2</v>
      </c>
      <c r="GY93">
        <v>31.054500000000001</v>
      </c>
      <c r="GZ93">
        <v>60.868400000000001</v>
      </c>
      <c r="HA93">
        <v>28.237200000000001</v>
      </c>
      <c r="HB93">
        <v>1</v>
      </c>
      <c r="HC93">
        <v>0.62814800000000004</v>
      </c>
      <c r="HD93">
        <v>1.9129799999999999</v>
      </c>
      <c r="HE93">
        <v>20.305800000000001</v>
      </c>
      <c r="HF93">
        <v>5.2511299999999999</v>
      </c>
      <c r="HG93">
        <v>12.0099</v>
      </c>
      <c r="HH93">
        <v>4.9788500000000004</v>
      </c>
      <c r="HI93">
        <v>3.2930000000000001</v>
      </c>
      <c r="HJ93">
        <v>9999</v>
      </c>
      <c r="HK93">
        <v>9999</v>
      </c>
      <c r="HL93">
        <v>9999</v>
      </c>
      <c r="HM93">
        <v>235.8</v>
      </c>
      <c r="HN93">
        <v>1.8756600000000001</v>
      </c>
      <c r="HO93">
        <v>1.8768</v>
      </c>
      <c r="HP93">
        <v>1.8827799999999999</v>
      </c>
      <c r="HQ93">
        <v>1.8859900000000001</v>
      </c>
      <c r="HR93">
        <v>1.8768199999999999</v>
      </c>
      <c r="HS93">
        <v>1.8831899999999999</v>
      </c>
      <c r="HT93">
        <v>1.8821699999999999</v>
      </c>
      <c r="HU93">
        <v>1.88567</v>
      </c>
      <c r="HV93">
        <v>0</v>
      </c>
      <c r="HW93">
        <v>0</v>
      </c>
      <c r="HX93">
        <v>0</v>
      </c>
      <c r="HY93">
        <v>0</v>
      </c>
      <c r="HZ93" t="s">
        <v>425</v>
      </c>
      <c r="IA93" t="s">
        <v>426</v>
      </c>
      <c r="IB93" t="s">
        <v>427</v>
      </c>
      <c r="IC93" t="s">
        <v>427</v>
      </c>
      <c r="ID93" t="s">
        <v>427</v>
      </c>
      <c r="IE93" t="s">
        <v>427</v>
      </c>
      <c r="IF93">
        <v>0</v>
      </c>
      <c r="IG93">
        <v>100</v>
      </c>
      <c r="IH93">
        <v>100</v>
      </c>
      <c r="II93">
        <v>-0.24399999999999999</v>
      </c>
      <c r="IJ93">
        <v>5.11E-2</v>
      </c>
      <c r="IK93">
        <v>-0.17336875689469569</v>
      </c>
      <c r="IL93">
        <v>-4.2852564239613137E-4</v>
      </c>
      <c r="IM93">
        <v>6.4980710991155998E-7</v>
      </c>
      <c r="IN93">
        <v>-2.7237938963984961E-10</v>
      </c>
      <c r="IO93">
        <v>-7.0114340380665868E-3</v>
      </c>
      <c r="IP93">
        <v>6.6907473102813496E-3</v>
      </c>
      <c r="IQ93">
        <v>-3.3673306238274028E-4</v>
      </c>
      <c r="IR93">
        <v>6.1311374003140313E-6</v>
      </c>
      <c r="IS93">
        <v>3</v>
      </c>
      <c r="IT93">
        <v>2101</v>
      </c>
      <c r="IU93">
        <v>1</v>
      </c>
      <c r="IV93">
        <v>32</v>
      </c>
      <c r="IW93">
        <v>1.4</v>
      </c>
      <c r="IX93">
        <v>1.4</v>
      </c>
      <c r="IY93">
        <v>0.80444300000000002</v>
      </c>
      <c r="IZ93">
        <v>2.7233900000000002</v>
      </c>
      <c r="JA93">
        <v>1.6015600000000001</v>
      </c>
      <c r="JB93">
        <v>2.32666</v>
      </c>
      <c r="JC93">
        <v>1.5502899999999999</v>
      </c>
      <c r="JD93">
        <v>2.4694799999999999</v>
      </c>
      <c r="JE93">
        <v>49.075299999999999</v>
      </c>
      <c r="JF93">
        <v>24.157499999999999</v>
      </c>
      <c r="JG93">
        <v>18</v>
      </c>
      <c r="JH93">
        <v>581.971</v>
      </c>
      <c r="JI93">
        <v>368.42700000000002</v>
      </c>
      <c r="JJ93">
        <v>27.468</v>
      </c>
      <c r="JK93">
        <v>34.729399999999998</v>
      </c>
      <c r="JL93">
        <v>30</v>
      </c>
      <c r="JM93">
        <v>34.939399999999999</v>
      </c>
      <c r="JN93">
        <v>34.943199999999997</v>
      </c>
      <c r="JO93">
        <v>16.075399999999998</v>
      </c>
      <c r="JP93">
        <v>34.167099999999998</v>
      </c>
      <c r="JQ93">
        <v>0</v>
      </c>
      <c r="JR93">
        <v>27.490400000000001</v>
      </c>
      <c r="JS93">
        <v>300</v>
      </c>
      <c r="JT93">
        <v>21.978200000000001</v>
      </c>
      <c r="JU93">
        <v>98.656300000000002</v>
      </c>
      <c r="JV93">
        <v>98.714200000000005</v>
      </c>
    </row>
    <row r="94" spans="1:282" x14ac:dyDescent="0.25">
      <c r="A94">
        <v>78</v>
      </c>
      <c r="B94">
        <v>1689015732</v>
      </c>
      <c r="C94">
        <v>15909.400000095369</v>
      </c>
      <c r="D94" t="s">
        <v>815</v>
      </c>
      <c r="E94" t="s">
        <v>816</v>
      </c>
      <c r="F94" t="s">
        <v>414</v>
      </c>
      <c r="G94" t="s">
        <v>415</v>
      </c>
      <c r="H94" t="s">
        <v>31</v>
      </c>
      <c r="I94" t="s">
        <v>417</v>
      </c>
      <c r="J94" t="s">
        <v>416</v>
      </c>
      <c r="K94">
        <v>1689015732</v>
      </c>
      <c r="L94">
        <f t="shared" si="92"/>
        <v>5.8573289017572637E-3</v>
      </c>
      <c r="M94">
        <f t="shared" si="93"/>
        <v>5.8573289017572634</v>
      </c>
      <c r="N94">
        <f t="shared" si="94"/>
        <v>29.504919570985614</v>
      </c>
      <c r="O94">
        <f t="shared" si="95"/>
        <v>163.44499999999999</v>
      </c>
      <c r="P94">
        <f t="shared" si="96"/>
        <v>40.227813415856232</v>
      </c>
      <c r="Q94">
        <f t="shared" si="97"/>
        <v>3.9867258202026936</v>
      </c>
      <c r="R94">
        <f t="shared" si="98"/>
        <v>16.198006959687</v>
      </c>
      <c r="S94">
        <f t="shared" si="99"/>
        <v>0.41729937525322214</v>
      </c>
      <c r="T94">
        <f t="shared" si="100"/>
        <v>2.9209643355093151</v>
      </c>
      <c r="U94">
        <f t="shared" si="101"/>
        <v>0.38678412524984007</v>
      </c>
      <c r="V94">
        <f t="shared" si="102"/>
        <v>0.24429553809598734</v>
      </c>
      <c r="W94">
        <f t="shared" si="103"/>
        <v>289.58300932662837</v>
      </c>
      <c r="X94">
        <f t="shared" si="104"/>
        <v>30.305037463423879</v>
      </c>
      <c r="Y94">
        <f t="shared" si="105"/>
        <v>29.943999999999999</v>
      </c>
      <c r="Z94">
        <f t="shared" si="106"/>
        <v>4.2467648278644914</v>
      </c>
      <c r="AA94">
        <f t="shared" si="107"/>
        <v>65.251875381145155</v>
      </c>
      <c r="AB94">
        <f t="shared" si="108"/>
        <v>2.7993232205702401</v>
      </c>
      <c r="AC94">
        <f t="shared" si="109"/>
        <v>4.2900272279057257</v>
      </c>
      <c r="AD94">
        <f t="shared" si="110"/>
        <v>1.4474416072942513</v>
      </c>
      <c r="AE94">
        <f t="shared" si="111"/>
        <v>-258.30820456749535</v>
      </c>
      <c r="AF94">
        <f t="shared" si="112"/>
        <v>27.794342663680272</v>
      </c>
      <c r="AG94">
        <f t="shared" si="113"/>
        <v>2.1164496887896003</v>
      </c>
      <c r="AH94">
        <f t="shared" si="114"/>
        <v>61.185597111602888</v>
      </c>
      <c r="AI94">
        <v>0</v>
      </c>
      <c r="AJ94">
        <v>0</v>
      </c>
      <c r="AK94">
        <f t="shared" si="115"/>
        <v>1</v>
      </c>
      <c r="AL94">
        <f t="shared" si="116"/>
        <v>0</v>
      </c>
      <c r="AM94">
        <f t="shared" si="117"/>
        <v>52066.093672335519</v>
      </c>
      <c r="AN94" t="s">
        <v>419</v>
      </c>
      <c r="AO94">
        <v>9967.0300000000007</v>
      </c>
      <c r="AP94">
        <v>178.94153846153841</v>
      </c>
      <c r="AQ94">
        <v>603.15</v>
      </c>
      <c r="AR94">
        <f t="shared" si="118"/>
        <v>0.7033216638290003</v>
      </c>
      <c r="AS94">
        <v>-3.2649104154664181</v>
      </c>
      <c r="AT94" t="s">
        <v>817</v>
      </c>
      <c r="AU94">
        <v>8062.33</v>
      </c>
      <c r="AV94">
        <v>648.94115384615384</v>
      </c>
      <c r="AW94">
        <v>868.84826775176907</v>
      </c>
      <c r="AX94">
        <f t="shared" si="119"/>
        <v>0.25310186147305869</v>
      </c>
      <c r="AY94">
        <v>0.5</v>
      </c>
      <c r="AZ94">
        <f t="shared" si="120"/>
        <v>1513.2689996511028</v>
      </c>
      <c r="BA94">
        <f t="shared" si="121"/>
        <v>29.504919570985614</v>
      </c>
      <c r="BB94">
        <f t="shared" si="122"/>
        <v>191.50560036058377</v>
      </c>
      <c r="BC94">
        <f t="shared" si="123"/>
        <v>2.165499325896942E-2</v>
      </c>
      <c r="BD94">
        <f t="shared" si="124"/>
        <v>-0.30580514183367097</v>
      </c>
      <c r="BE94">
        <f t="shared" si="125"/>
        <v>196.79600578339949</v>
      </c>
      <c r="BF94" t="s">
        <v>818</v>
      </c>
      <c r="BG94">
        <v>529.73</v>
      </c>
      <c r="BH94">
        <f t="shared" si="126"/>
        <v>529.73</v>
      </c>
      <c r="BI94">
        <f t="shared" si="127"/>
        <v>0.39030781361775757</v>
      </c>
      <c r="BJ94">
        <f t="shared" si="128"/>
        <v>0.64846731897847776</v>
      </c>
      <c r="BK94">
        <f t="shared" si="129"/>
        <v>-3.6188813368532995</v>
      </c>
      <c r="BL94">
        <f t="shared" si="130"/>
        <v>0.3187490490661738</v>
      </c>
      <c r="BM94">
        <f t="shared" si="131"/>
        <v>-0.62633891551378007</v>
      </c>
      <c r="BN94">
        <f t="shared" si="132"/>
        <v>0.52934320908226218</v>
      </c>
      <c r="BO94">
        <f t="shared" si="133"/>
        <v>0.47065679091773782</v>
      </c>
      <c r="BP94">
        <v>6191</v>
      </c>
      <c r="BQ94">
        <v>290.00000000000011</v>
      </c>
      <c r="BR94">
        <v>800.57</v>
      </c>
      <c r="BS94">
        <v>275</v>
      </c>
      <c r="BT94">
        <v>8062.33</v>
      </c>
      <c r="BU94">
        <v>802.18</v>
      </c>
      <c r="BV94">
        <v>-1.61</v>
      </c>
      <c r="BW94">
        <v>300.00000000000011</v>
      </c>
      <c r="BX94">
        <v>19.3</v>
      </c>
      <c r="BY94">
        <v>868.84826775176907</v>
      </c>
      <c r="BZ94">
        <v>3.0990931517383058</v>
      </c>
      <c r="CA94">
        <v>-53.747796894439468</v>
      </c>
      <c r="CB94">
        <v>2.295279950665535</v>
      </c>
      <c r="CC94">
        <v>0.95141757461514054</v>
      </c>
      <c r="CD94">
        <v>-4.1593993325917651E-3</v>
      </c>
      <c r="CE94">
        <v>289.99999999999989</v>
      </c>
      <c r="CF94">
        <v>802.22</v>
      </c>
      <c r="CG94">
        <v>745</v>
      </c>
      <c r="CH94">
        <v>8050.41</v>
      </c>
      <c r="CI94">
        <v>802.08</v>
      </c>
      <c r="CJ94">
        <v>0.14000000000000001</v>
      </c>
      <c r="CX94">
        <f t="shared" si="134"/>
        <v>1800.1</v>
      </c>
      <c r="CY94">
        <f t="shared" si="135"/>
        <v>1513.2689996511028</v>
      </c>
      <c r="CZ94">
        <f t="shared" si="136"/>
        <v>0.84065829656747004</v>
      </c>
      <c r="DA94">
        <f t="shared" si="137"/>
        <v>0.16087051237521716</v>
      </c>
      <c r="DB94">
        <v>6</v>
      </c>
      <c r="DC94">
        <v>0.5</v>
      </c>
      <c r="DD94" t="s">
        <v>422</v>
      </c>
      <c r="DE94">
        <v>2</v>
      </c>
      <c r="DF94">
        <v>1689015732</v>
      </c>
      <c r="DG94">
        <v>163.44499999999999</v>
      </c>
      <c r="DH94">
        <v>199.99299999999999</v>
      </c>
      <c r="DI94">
        <v>28.246400000000001</v>
      </c>
      <c r="DJ94">
        <v>21.417400000000001</v>
      </c>
      <c r="DK94">
        <v>163.595</v>
      </c>
      <c r="DL94">
        <v>28.197900000000001</v>
      </c>
      <c r="DM94">
        <v>500.09199999999998</v>
      </c>
      <c r="DN94">
        <v>99.004499999999993</v>
      </c>
      <c r="DO94">
        <v>9.9216600000000002E-2</v>
      </c>
      <c r="DP94">
        <v>30.1205</v>
      </c>
      <c r="DQ94">
        <v>29.943999999999999</v>
      </c>
      <c r="DR94">
        <v>999.9</v>
      </c>
      <c r="DS94">
        <v>0</v>
      </c>
      <c r="DT94">
        <v>0</v>
      </c>
      <c r="DU94">
        <v>10051.200000000001</v>
      </c>
      <c r="DV94">
        <v>0</v>
      </c>
      <c r="DW94">
        <v>1569.69</v>
      </c>
      <c r="DX94">
        <v>-36.5473</v>
      </c>
      <c r="DY94">
        <v>168.196</v>
      </c>
      <c r="DZ94">
        <v>204.37</v>
      </c>
      <c r="EA94">
        <v>6.82904</v>
      </c>
      <c r="EB94">
        <v>199.99299999999999</v>
      </c>
      <c r="EC94">
        <v>21.417400000000001</v>
      </c>
      <c r="ED94">
        <v>2.7965200000000001</v>
      </c>
      <c r="EE94">
        <v>2.1204200000000002</v>
      </c>
      <c r="EF94">
        <v>22.863600000000002</v>
      </c>
      <c r="EG94">
        <v>18.3734</v>
      </c>
      <c r="EH94">
        <v>1800.1</v>
      </c>
      <c r="EI94">
        <v>0.97799499999999995</v>
      </c>
      <c r="EJ94">
        <v>2.2004699999999999E-2</v>
      </c>
      <c r="EK94">
        <v>0</v>
      </c>
      <c r="EL94">
        <v>648.90099999999995</v>
      </c>
      <c r="EM94">
        <v>5.0005300000000004</v>
      </c>
      <c r="EN94">
        <v>13914.8</v>
      </c>
      <c r="EO94">
        <v>16036.1</v>
      </c>
      <c r="EP94">
        <v>46.75</v>
      </c>
      <c r="EQ94">
        <v>48.061999999999998</v>
      </c>
      <c r="ER94">
        <v>47.375</v>
      </c>
      <c r="ES94">
        <v>47.75</v>
      </c>
      <c r="ET94">
        <v>48.125</v>
      </c>
      <c r="EU94">
        <v>1755.6</v>
      </c>
      <c r="EV94">
        <v>39.5</v>
      </c>
      <c r="EW94">
        <v>0</v>
      </c>
      <c r="EX94">
        <v>167.60000014305109</v>
      </c>
      <c r="EY94">
        <v>0</v>
      </c>
      <c r="EZ94">
        <v>648.94115384615384</v>
      </c>
      <c r="FA94">
        <v>-8.2188044961088141E-2</v>
      </c>
      <c r="FB94">
        <v>91.452991770129316</v>
      </c>
      <c r="FC94">
        <v>13900.1</v>
      </c>
      <c r="FD94">
        <v>15</v>
      </c>
      <c r="FE94">
        <v>1689015638</v>
      </c>
      <c r="FF94" t="s">
        <v>819</v>
      </c>
      <c r="FG94">
        <v>1689015637</v>
      </c>
      <c r="FH94">
        <v>1689015638</v>
      </c>
      <c r="FI94">
        <v>85</v>
      </c>
      <c r="FJ94">
        <v>7.8E-2</v>
      </c>
      <c r="FK94">
        <v>-3.0000000000000001E-3</v>
      </c>
      <c r="FL94">
        <v>-0.158</v>
      </c>
      <c r="FM94">
        <v>0.04</v>
      </c>
      <c r="FN94">
        <v>200</v>
      </c>
      <c r="FO94">
        <v>22</v>
      </c>
      <c r="FP94">
        <v>0.05</v>
      </c>
      <c r="FQ94">
        <v>0.02</v>
      </c>
      <c r="FR94">
        <v>29.409749992278339</v>
      </c>
      <c r="FS94">
        <v>0.6626374437346797</v>
      </c>
      <c r="FT94">
        <v>5.0705663685301272E-2</v>
      </c>
      <c r="FU94">
        <v>1</v>
      </c>
      <c r="FV94">
        <v>0.41630321042075941</v>
      </c>
      <c r="FW94">
        <v>2.413624911333857E-2</v>
      </c>
      <c r="FX94">
        <v>2.066238943641616E-3</v>
      </c>
      <c r="FY94">
        <v>1</v>
      </c>
      <c r="FZ94">
        <v>2</v>
      </c>
      <c r="GA94">
        <v>2</v>
      </c>
      <c r="GB94" t="s">
        <v>424</v>
      </c>
      <c r="GC94">
        <v>3.1227</v>
      </c>
      <c r="GD94">
        <v>2.7669600000000001</v>
      </c>
      <c r="GE94">
        <v>4.1603099999999997E-2</v>
      </c>
      <c r="GF94">
        <v>4.99222E-2</v>
      </c>
      <c r="GG94">
        <v>0.119618</v>
      </c>
      <c r="GH94">
        <v>9.8749199999999995E-2</v>
      </c>
      <c r="GI94">
        <v>22871.3</v>
      </c>
      <c r="GJ94">
        <v>23518.400000000001</v>
      </c>
      <c r="GK94">
        <v>23728</v>
      </c>
      <c r="GL94">
        <v>25067.599999999999</v>
      </c>
      <c r="GM94">
        <v>30103.599999999999</v>
      </c>
      <c r="GN94">
        <v>31684.2</v>
      </c>
      <c r="GO94">
        <v>37819.300000000003</v>
      </c>
      <c r="GP94">
        <v>38997.1</v>
      </c>
      <c r="GQ94">
        <v>2.1157499999999998</v>
      </c>
      <c r="GR94">
        <v>1.6973199999999999</v>
      </c>
      <c r="GS94">
        <v>-9.64105E-3</v>
      </c>
      <c r="GT94">
        <v>0</v>
      </c>
      <c r="GU94">
        <v>30.100899999999999</v>
      </c>
      <c r="GV94">
        <v>999.9</v>
      </c>
      <c r="GW94">
        <v>28.6</v>
      </c>
      <c r="GX94">
        <v>47.3</v>
      </c>
      <c r="GY94">
        <v>31.321300000000001</v>
      </c>
      <c r="GZ94">
        <v>61.028399999999998</v>
      </c>
      <c r="HA94">
        <v>27.864599999999999</v>
      </c>
      <c r="HB94">
        <v>1</v>
      </c>
      <c r="HC94">
        <v>0.63202999999999998</v>
      </c>
      <c r="HD94">
        <v>1.7098100000000001</v>
      </c>
      <c r="HE94">
        <v>20.3081</v>
      </c>
      <c r="HF94">
        <v>5.25068</v>
      </c>
      <c r="HG94">
        <v>12.0099</v>
      </c>
      <c r="HH94">
        <v>4.9784499999999996</v>
      </c>
      <c r="HI94">
        <v>3.2930000000000001</v>
      </c>
      <c r="HJ94">
        <v>9999</v>
      </c>
      <c r="HK94">
        <v>9999</v>
      </c>
      <c r="HL94">
        <v>9999</v>
      </c>
      <c r="HM94">
        <v>235.8</v>
      </c>
      <c r="HN94">
        <v>1.8756699999999999</v>
      </c>
      <c r="HO94">
        <v>1.8768</v>
      </c>
      <c r="HP94">
        <v>1.8827799999999999</v>
      </c>
      <c r="HQ94">
        <v>1.8859900000000001</v>
      </c>
      <c r="HR94">
        <v>1.87683</v>
      </c>
      <c r="HS94">
        <v>1.8831800000000001</v>
      </c>
      <c r="HT94">
        <v>1.8821699999999999</v>
      </c>
      <c r="HU94">
        <v>1.88567</v>
      </c>
      <c r="HV94">
        <v>0</v>
      </c>
      <c r="HW94">
        <v>0</v>
      </c>
      <c r="HX94">
        <v>0</v>
      </c>
      <c r="HY94">
        <v>0</v>
      </c>
      <c r="HZ94" t="s">
        <v>425</v>
      </c>
      <c r="IA94" t="s">
        <v>426</v>
      </c>
      <c r="IB94" t="s">
        <v>427</v>
      </c>
      <c r="IC94" t="s">
        <v>427</v>
      </c>
      <c r="ID94" t="s">
        <v>427</v>
      </c>
      <c r="IE94" t="s">
        <v>427</v>
      </c>
      <c r="IF94">
        <v>0</v>
      </c>
      <c r="IG94">
        <v>100</v>
      </c>
      <c r="IH94">
        <v>100</v>
      </c>
      <c r="II94">
        <v>-0.15</v>
      </c>
      <c r="IJ94">
        <v>4.8500000000000001E-2</v>
      </c>
      <c r="IK94">
        <v>-9.5631881072426386E-2</v>
      </c>
      <c r="IL94">
        <v>-4.2852564239613137E-4</v>
      </c>
      <c r="IM94">
        <v>6.4980710991155998E-7</v>
      </c>
      <c r="IN94">
        <v>-2.7237938963984961E-10</v>
      </c>
      <c r="IO94">
        <v>-9.8754006142544922E-3</v>
      </c>
      <c r="IP94">
        <v>6.6907473102813496E-3</v>
      </c>
      <c r="IQ94">
        <v>-3.3673306238274028E-4</v>
      </c>
      <c r="IR94">
        <v>6.1311374003140313E-6</v>
      </c>
      <c r="IS94">
        <v>3</v>
      </c>
      <c r="IT94">
        <v>2101</v>
      </c>
      <c r="IU94">
        <v>1</v>
      </c>
      <c r="IV94">
        <v>32</v>
      </c>
      <c r="IW94">
        <v>1.6</v>
      </c>
      <c r="IX94">
        <v>1.6</v>
      </c>
      <c r="IY94">
        <v>0.58593799999999996</v>
      </c>
      <c r="IZ94">
        <v>2.7307100000000002</v>
      </c>
      <c r="JA94">
        <v>1.6015600000000001</v>
      </c>
      <c r="JB94">
        <v>2.32666</v>
      </c>
      <c r="JC94">
        <v>1.5502899999999999</v>
      </c>
      <c r="JD94">
        <v>2.4108900000000002</v>
      </c>
      <c r="JE94">
        <v>49.137900000000002</v>
      </c>
      <c r="JF94">
        <v>24.157499999999999</v>
      </c>
      <c r="JG94">
        <v>18</v>
      </c>
      <c r="JH94">
        <v>582.61699999999996</v>
      </c>
      <c r="JI94">
        <v>366.90100000000001</v>
      </c>
      <c r="JJ94">
        <v>27.6996</v>
      </c>
      <c r="JK94">
        <v>34.764299999999999</v>
      </c>
      <c r="JL94">
        <v>30.000299999999999</v>
      </c>
      <c r="JM94">
        <v>34.939399999999999</v>
      </c>
      <c r="JN94">
        <v>34.940100000000001</v>
      </c>
      <c r="JO94">
        <v>11.7195</v>
      </c>
      <c r="JP94">
        <v>37.008899999999997</v>
      </c>
      <c r="JQ94">
        <v>0</v>
      </c>
      <c r="JR94">
        <v>27.729700000000001</v>
      </c>
      <c r="JS94">
        <v>200</v>
      </c>
      <c r="JT94">
        <v>21.291399999999999</v>
      </c>
      <c r="JU94">
        <v>98.646500000000003</v>
      </c>
      <c r="JV94">
        <v>98.703000000000003</v>
      </c>
    </row>
    <row r="95" spans="1:282" x14ac:dyDescent="0.25">
      <c r="A95">
        <v>79</v>
      </c>
      <c r="B95">
        <v>1689015866</v>
      </c>
      <c r="C95">
        <v>16043.400000095369</v>
      </c>
      <c r="D95" t="s">
        <v>820</v>
      </c>
      <c r="E95" t="s">
        <v>821</v>
      </c>
      <c r="F95" t="s">
        <v>414</v>
      </c>
      <c r="G95" t="s">
        <v>415</v>
      </c>
      <c r="H95" t="s">
        <v>31</v>
      </c>
      <c r="I95" t="s">
        <v>417</v>
      </c>
      <c r="J95" t="s">
        <v>416</v>
      </c>
      <c r="K95">
        <v>1689015866</v>
      </c>
      <c r="L95">
        <f t="shared" si="92"/>
        <v>6.2132702304550629E-3</v>
      </c>
      <c r="M95">
        <f t="shared" si="93"/>
        <v>6.2132702304550627</v>
      </c>
      <c r="N95">
        <f t="shared" si="94"/>
        <v>18.601386898572382</v>
      </c>
      <c r="O95">
        <f t="shared" si="95"/>
        <v>96.919600000000003</v>
      </c>
      <c r="P95">
        <f t="shared" si="96"/>
        <v>24.662856729063805</v>
      </c>
      <c r="Q95">
        <f t="shared" si="97"/>
        <v>2.4441481077349474</v>
      </c>
      <c r="R95">
        <f t="shared" si="98"/>
        <v>9.6049642401429995</v>
      </c>
      <c r="S95">
        <f t="shared" si="99"/>
        <v>0.45099121877108667</v>
      </c>
      <c r="T95">
        <f t="shared" si="100"/>
        <v>2.9174415409131509</v>
      </c>
      <c r="U95">
        <f t="shared" si="101"/>
        <v>0.41553442604180924</v>
      </c>
      <c r="V95">
        <f t="shared" si="102"/>
        <v>0.26266197961452381</v>
      </c>
      <c r="W95">
        <f t="shared" si="103"/>
        <v>289.57981732662097</v>
      </c>
      <c r="X95">
        <f t="shared" si="104"/>
        <v>30.166804215505078</v>
      </c>
      <c r="Y95">
        <f t="shared" si="105"/>
        <v>29.892299999999999</v>
      </c>
      <c r="Z95">
        <f t="shared" si="106"/>
        <v>4.2341647180573716</v>
      </c>
      <c r="AA95">
        <f t="shared" si="107"/>
        <v>65.555101180007142</v>
      </c>
      <c r="AB95">
        <f t="shared" si="108"/>
        <v>2.8049643866022498</v>
      </c>
      <c r="AC95">
        <f t="shared" si="109"/>
        <v>4.278788890738074</v>
      </c>
      <c r="AD95">
        <f t="shared" si="110"/>
        <v>1.4292003314551218</v>
      </c>
      <c r="AE95">
        <f t="shared" si="111"/>
        <v>-274.00521716306827</v>
      </c>
      <c r="AF95">
        <f t="shared" si="112"/>
        <v>28.704532274552196</v>
      </c>
      <c r="AG95">
        <f t="shared" si="113"/>
        <v>2.1873420843751985</v>
      </c>
      <c r="AH95">
        <f t="shared" si="114"/>
        <v>46.466474522480084</v>
      </c>
      <c r="AI95">
        <v>0</v>
      </c>
      <c r="AJ95">
        <v>0</v>
      </c>
      <c r="AK95">
        <f t="shared" si="115"/>
        <v>1</v>
      </c>
      <c r="AL95">
        <f t="shared" si="116"/>
        <v>0</v>
      </c>
      <c r="AM95">
        <f t="shared" si="117"/>
        <v>51973.610798591173</v>
      </c>
      <c r="AN95" t="s">
        <v>419</v>
      </c>
      <c r="AO95">
        <v>9967.0300000000007</v>
      </c>
      <c r="AP95">
        <v>178.94153846153841</v>
      </c>
      <c r="AQ95">
        <v>603.15</v>
      </c>
      <c r="AR95">
        <f t="shared" si="118"/>
        <v>0.7033216638290003</v>
      </c>
      <c r="AS95">
        <v>-3.2649104154664181</v>
      </c>
      <c r="AT95" t="s">
        <v>822</v>
      </c>
      <c r="AU95">
        <v>8061.19</v>
      </c>
      <c r="AV95">
        <v>653.97336000000007</v>
      </c>
      <c r="AW95">
        <v>788.38737303980633</v>
      </c>
      <c r="AX95">
        <f t="shared" si="119"/>
        <v>0.17049234632150756</v>
      </c>
      <c r="AY95">
        <v>0.5</v>
      </c>
      <c r="AZ95">
        <f t="shared" si="120"/>
        <v>1513.2521996510989</v>
      </c>
      <c r="BA95">
        <f t="shared" si="121"/>
        <v>18.601386898572382</v>
      </c>
      <c r="BB95">
        <f t="shared" si="122"/>
        <v>128.99895904734913</v>
      </c>
      <c r="BC95">
        <f t="shared" si="123"/>
        <v>1.4449869836026259E-2</v>
      </c>
      <c r="BD95">
        <f t="shared" si="124"/>
        <v>-0.23495730572850457</v>
      </c>
      <c r="BE95">
        <f t="shared" si="125"/>
        <v>192.34960269313063</v>
      </c>
      <c r="BF95" t="s">
        <v>823</v>
      </c>
      <c r="BG95">
        <v>535.57000000000005</v>
      </c>
      <c r="BH95">
        <f t="shared" si="126"/>
        <v>535.57000000000005</v>
      </c>
      <c r="BI95">
        <f t="shared" si="127"/>
        <v>0.32067658829315282</v>
      </c>
      <c r="BJ95">
        <f t="shared" si="128"/>
        <v>0.53166446365472941</v>
      </c>
      <c r="BK95">
        <f t="shared" si="129"/>
        <v>-2.7410087753744681</v>
      </c>
      <c r="BL95">
        <f t="shared" si="130"/>
        <v>0.22055120473966283</v>
      </c>
      <c r="BM95">
        <f t="shared" si="131"/>
        <v>-0.43666590800195887</v>
      </c>
      <c r="BN95">
        <f t="shared" si="132"/>
        <v>0.43540540672721506</v>
      </c>
      <c r="BO95">
        <f t="shared" si="133"/>
        <v>0.56459459327278494</v>
      </c>
      <c r="BP95">
        <v>6193</v>
      </c>
      <c r="BQ95">
        <v>290.00000000000011</v>
      </c>
      <c r="BR95">
        <v>762.65</v>
      </c>
      <c r="BS95">
        <v>285</v>
      </c>
      <c r="BT95">
        <v>8061.19</v>
      </c>
      <c r="BU95">
        <v>764.05</v>
      </c>
      <c r="BV95">
        <v>-1.4</v>
      </c>
      <c r="BW95">
        <v>300.00000000000011</v>
      </c>
      <c r="BX95">
        <v>19.3</v>
      </c>
      <c r="BY95">
        <v>788.38737303980633</v>
      </c>
      <c r="BZ95">
        <v>3.022640211798338</v>
      </c>
      <c r="CA95">
        <v>-19.619115019814458</v>
      </c>
      <c r="CB95">
        <v>2.23850820365716</v>
      </c>
      <c r="CC95">
        <v>0.73286059420294702</v>
      </c>
      <c r="CD95">
        <v>-4.1590622914349298E-3</v>
      </c>
      <c r="CE95">
        <v>289.99999999999989</v>
      </c>
      <c r="CF95">
        <v>766.25</v>
      </c>
      <c r="CG95">
        <v>695</v>
      </c>
      <c r="CH95">
        <v>8051.15</v>
      </c>
      <c r="CI95">
        <v>764.02</v>
      </c>
      <c r="CJ95">
        <v>2.23</v>
      </c>
      <c r="CX95">
        <f t="shared" si="134"/>
        <v>1800.08</v>
      </c>
      <c r="CY95">
        <f t="shared" si="135"/>
        <v>1513.2521996510989</v>
      </c>
      <c r="CZ95">
        <f t="shared" si="136"/>
        <v>0.84065830388154905</v>
      </c>
      <c r="DA95">
        <f t="shared" si="137"/>
        <v>0.1608705264913898</v>
      </c>
      <c r="DB95">
        <v>6</v>
      </c>
      <c r="DC95">
        <v>0.5</v>
      </c>
      <c r="DD95" t="s">
        <v>422</v>
      </c>
      <c r="DE95">
        <v>2</v>
      </c>
      <c r="DF95">
        <v>1689015866</v>
      </c>
      <c r="DG95">
        <v>96.919600000000003</v>
      </c>
      <c r="DH95">
        <v>119.962</v>
      </c>
      <c r="DI95">
        <v>28.303699999999999</v>
      </c>
      <c r="DJ95">
        <v>21.0594</v>
      </c>
      <c r="DK95">
        <v>97.031499999999994</v>
      </c>
      <c r="DL95">
        <v>28.254999999999999</v>
      </c>
      <c r="DM95">
        <v>500.041</v>
      </c>
      <c r="DN95">
        <v>99.002499999999998</v>
      </c>
      <c r="DO95">
        <v>9.9892499999999995E-2</v>
      </c>
      <c r="DP95">
        <v>30.0748</v>
      </c>
      <c r="DQ95">
        <v>29.892299999999999</v>
      </c>
      <c r="DR95">
        <v>999.9</v>
      </c>
      <c r="DS95">
        <v>0</v>
      </c>
      <c r="DT95">
        <v>0</v>
      </c>
      <c r="DU95">
        <v>10031.200000000001</v>
      </c>
      <c r="DV95">
        <v>0</v>
      </c>
      <c r="DW95">
        <v>1685.74</v>
      </c>
      <c r="DX95">
        <v>-23.042300000000001</v>
      </c>
      <c r="DY95">
        <v>99.742699999999999</v>
      </c>
      <c r="DZ95">
        <v>122.54300000000001</v>
      </c>
      <c r="EA95">
        <v>7.2442500000000001</v>
      </c>
      <c r="EB95">
        <v>119.962</v>
      </c>
      <c r="EC95">
        <v>21.0594</v>
      </c>
      <c r="ED95">
        <v>2.80213</v>
      </c>
      <c r="EE95">
        <v>2.0849299999999999</v>
      </c>
      <c r="EF95">
        <v>22.896699999999999</v>
      </c>
      <c r="EG95">
        <v>18.104500000000002</v>
      </c>
      <c r="EH95">
        <v>1800.08</v>
      </c>
      <c r="EI95">
        <v>0.97799499999999995</v>
      </c>
      <c r="EJ95">
        <v>2.2004699999999999E-2</v>
      </c>
      <c r="EK95">
        <v>0</v>
      </c>
      <c r="EL95">
        <v>653.678</v>
      </c>
      <c r="EM95">
        <v>5.0005300000000004</v>
      </c>
      <c r="EN95">
        <v>14140.6</v>
      </c>
      <c r="EO95">
        <v>16036</v>
      </c>
      <c r="EP95">
        <v>46.811999999999998</v>
      </c>
      <c r="EQ95">
        <v>48.061999999999998</v>
      </c>
      <c r="ER95">
        <v>47.375</v>
      </c>
      <c r="ES95">
        <v>47.811999999999998</v>
      </c>
      <c r="ET95">
        <v>48.186999999999998</v>
      </c>
      <c r="EU95">
        <v>1755.58</v>
      </c>
      <c r="EV95">
        <v>39.5</v>
      </c>
      <c r="EW95">
        <v>0</v>
      </c>
      <c r="EX95">
        <v>132.20000004768369</v>
      </c>
      <c r="EY95">
        <v>0</v>
      </c>
      <c r="EZ95">
        <v>653.97336000000007</v>
      </c>
      <c r="FA95">
        <v>-2.4807692328986701</v>
      </c>
      <c r="FB95">
        <v>501.29999798839867</v>
      </c>
      <c r="FC95">
        <v>14126.088</v>
      </c>
      <c r="FD95">
        <v>15</v>
      </c>
      <c r="FE95">
        <v>1689015811</v>
      </c>
      <c r="FF95" t="s">
        <v>824</v>
      </c>
      <c r="FG95">
        <v>1689015801.5</v>
      </c>
      <c r="FH95">
        <v>1689015811</v>
      </c>
      <c r="FI95">
        <v>86</v>
      </c>
      <c r="FJ95">
        <v>1.9E-2</v>
      </c>
      <c r="FK95">
        <v>0</v>
      </c>
      <c r="FL95">
        <v>-0.11899999999999999</v>
      </c>
      <c r="FM95">
        <v>3.9E-2</v>
      </c>
      <c r="FN95">
        <v>120</v>
      </c>
      <c r="FO95">
        <v>21</v>
      </c>
      <c r="FP95">
        <v>0.15</v>
      </c>
      <c r="FQ95">
        <v>0.01</v>
      </c>
      <c r="FR95">
        <v>18.492419776878659</v>
      </c>
      <c r="FS95">
        <v>0.69377675027465902</v>
      </c>
      <c r="FT95">
        <v>5.3377870695353498E-2</v>
      </c>
      <c r="FU95">
        <v>1</v>
      </c>
      <c r="FV95">
        <v>0.45290505363026068</v>
      </c>
      <c r="FW95">
        <v>1.060707394983371E-3</v>
      </c>
      <c r="FX95">
        <v>8.2493376910522615E-4</v>
      </c>
      <c r="FY95">
        <v>1</v>
      </c>
      <c r="FZ95">
        <v>2</v>
      </c>
      <c r="GA95">
        <v>2</v>
      </c>
      <c r="GB95" t="s">
        <v>424</v>
      </c>
      <c r="GC95">
        <v>3.1227</v>
      </c>
      <c r="GD95">
        <v>2.7674599999999998</v>
      </c>
      <c r="GE95">
        <v>2.54606E-2</v>
      </c>
      <c r="GF95">
        <v>3.1232300000000001E-2</v>
      </c>
      <c r="GG95">
        <v>0.11977599999999999</v>
      </c>
      <c r="GH95">
        <v>9.7559599999999996E-2</v>
      </c>
      <c r="GI95">
        <v>23252.9</v>
      </c>
      <c r="GJ95">
        <v>23978.2</v>
      </c>
      <c r="GK95">
        <v>23725.3</v>
      </c>
      <c r="GL95">
        <v>25065.5</v>
      </c>
      <c r="GM95">
        <v>30095</v>
      </c>
      <c r="GN95">
        <v>31723.599999999999</v>
      </c>
      <c r="GO95">
        <v>37815.199999999997</v>
      </c>
      <c r="GP95">
        <v>38994.1</v>
      </c>
      <c r="GQ95">
        <v>2.1152700000000002</v>
      </c>
      <c r="GR95">
        <v>1.6956</v>
      </c>
      <c r="GS95">
        <v>-1.49012E-2</v>
      </c>
      <c r="GT95">
        <v>0</v>
      </c>
      <c r="GU95">
        <v>30.134699999999999</v>
      </c>
      <c r="GV95">
        <v>999.9</v>
      </c>
      <c r="GW95">
        <v>28.5</v>
      </c>
      <c r="GX95">
        <v>47.4</v>
      </c>
      <c r="GY95">
        <v>31.370100000000001</v>
      </c>
      <c r="GZ95">
        <v>60.738399999999999</v>
      </c>
      <c r="HA95">
        <v>28.3093</v>
      </c>
      <c r="HB95">
        <v>1</v>
      </c>
      <c r="HC95">
        <v>0.63748499999999997</v>
      </c>
      <c r="HD95">
        <v>1.8332200000000001</v>
      </c>
      <c r="HE95">
        <v>20.307099999999998</v>
      </c>
      <c r="HF95">
        <v>5.2518799999999999</v>
      </c>
      <c r="HG95">
        <v>12.0099</v>
      </c>
      <c r="HH95">
        <v>4.9790000000000001</v>
      </c>
      <c r="HI95">
        <v>3.2930000000000001</v>
      </c>
      <c r="HJ95">
        <v>9999</v>
      </c>
      <c r="HK95">
        <v>9999</v>
      </c>
      <c r="HL95">
        <v>9999</v>
      </c>
      <c r="HM95">
        <v>235.9</v>
      </c>
      <c r="HN95">
        <v>1.8756699999999999</v>
      </c>
      <c r="HO95">
        <v>1.87677</v>
      </c>
      <c r="HP95">
        <v>1.8827799999999999</v>
      </c>
      <c r="HQ95">
        <v>1.8859900000000001</v>
      </c>
      <c r="HR95">
        <v>1.87683</v>
      </c>
      <c r="HS95">
        <v>1.8832</v>
      </c>
      <c r="HT95">
        <v>1.8821699999999999</v>
      </c>
      <c r="HU95">
        <v>1.88568</v>
      </c>
      <c r="HV95">
        <v>0</v>
      </c>
      <c r="HW95">
        <v>0</v>
      </c>
      <c r="HX95">
        <v>0</v>
      </c>
      <c r="HY95">
        <v>0</v>
      </c>
      <c r="HZ95" t="s">
        <v>425</v>
      </c>
      <c r="IA95" t="s">
        <v>426</v>
      </c>
      <c r="IB95" t="s">
        <v>427</v>
      </c>
      <c r="IC95" t="s">
        <v>427</v>
      </c>
      <c r="ID95" t="s">
        <v>427</v>
      </c>
      <c r="IE95" t="s">
        <v>427</v>
      </c>
      <c r="IF95">
        <v>0</v>
      </c>
      <c r="IG95">
        <v>100</v>
      </c>
      <c r="IH95">
        <v>100</v>
      </c>
      <c r="II95">
        <v>-0.112</v>
      </c>
      <c r="IJ95">
        <v>4.87E-2</v>
      </c>
      <c r="IK95">
        <v>-7.6178082090272423E-2</v>
      </c>
      <c r="IL95">
        <v>-4.2852564239613137E-4</v>
      </c>
      <c r="IM95">
        <v>6.4980710991155998E-7</v>
      </c>
      <c r="IN95">
        <v>-2.7237938963984961E-10</v>
      </c>
      <c r="IO95">
        <v>-9.8993438656652232E-3</v>
      </c>
      <c r="IP95">
        <v>6.6907473102813496E-3</v>
      </c>
      <c r="IQ95">
        <v>-3.3673306238274028E-4</v>
      </c>
      <c r="IR95">
        <v>6.1311374003140313E-6</v>
      </c>
      <c r="IS95">
        <v>3</v>
      </c>
      <c r="IT95">
        <v>2101</v>
      </c>
      <c r="IU95">
        <v>1</v>
      </c>
      <c r="IV95">
        <v>32</v>
      </c>
      <c r="IW95">
        <v>1.1000000000000001</v>
      </c>
      <c r="IX95">
        <v>0.9</v>
      </c>
      <c r="IY95">
        <v>0.40649400000000002</v>
      </c>
      <c r="IZ95">
        <v>2.7380399999999998</v>
      </c>
      <c r="JA95">
        <v>1.6003400000000001</v>
      </c>
      <c r="JB95">
        <v>2.32666</v>
      </c>
      <c r="JC95">
        <v>1.5502899999999999</v>
      </c>
      <c r="JD95">
        <v>2.4682599999999999</v>
      </c>
      <c r="JE95">
        <v>49.200600000000001</v>
      </c>
      <c r="JF95">
        <v>24.157499999999999</v>
      </c>
      <c r="JG95">
        <v>18</v>
      </c>
      <c r="JH95">
        <v>582.53099999999995</v>
      </c>
      <c r="JI95">
        <v>366.02199999999999</v>
      </c>
      <c r="JJ95">
        <v>27.4726</v>
      </c>
      <c r="JK95">
        <v>34.808599999999998</v>
      </c>
      <c r="JL95">
        <v>30.0001</v>
      </c>
      <c r="JM95">
        <v>34.9679</v>
      </c>
      <c r="JN95">
        <v>34.965400000000002</v>
      </c>
      <c r="JO95">
        <v>8.1294299999999993</v>
      </c>
      <c r="JP95">
        <v>37.915799999999997</v>
      </c>
      <c r="JQ95">
        <v>0</v>
      </c>
      <c r="JR95">
        <v>27.532399999999999</v>
      </c>
      <c r="JS95">
        <v>120</v>
      </c>
      <c r="JT95">
        <v>20.988700000000001</v>
      </c>
      <c r="JU95">
        <v>98.635599999999997</v>
      </c>
      <c r="JV95">
        <v>98.695099999999996</v>
      </c>
    </row>
    <row r="96" spans="1:282" x14ac:dyDescent="0.25">
      <c r="A96">
        <v>80</v>
      </c>
      <c r="B96">
        <v>1689015976.5</v>
      </c>
      <c r="C96">
        <v>16153.900000095369</v>
      </c>
      <c r="D96" t="s">
        <v>825</v>
      </c>
      <c r="E96" t="s">
        <v>826</v>
      </c>
      <c r="F96" t="s">
        <v>414</v>
      </c>
      <c r="G96" t="s">
        <v>415</v>
      </c>
      <c r="H96" t="s">
        <v>31</v>
      </c>
      <c r="I96" t="s">
        <v>417</v>
      </c>
      <c r="J96" t="s">
        <v>416</v>
      </c>
      <c r="K96">
        <v>1689015976.5</v>
      </c>
      <c r="L96">
        <f t="shared" si="92"/>
        <v>6.3520831304882067E-3</v>
      </c>
      <c r="M96">
        <f t="shared" si="93"/>
        <v>6.3520831304882064</v>
      </c>
      <c r="N96">
        <f t="shared" si="94"/>
        <v>11.189871206884892</v>
      </c>
      <c r="O96">
        <f t="shared" si="95"/>
        <v>56.125999999999998</v>
      </c>
      <c r="P96">
        <f t="shared" si="96"/>
        <v>13.805767246666026</v>
      </c>
      <c r="Q96">
        <f t="shared" si="97"/>
        <v>1.3681819620556148</v>
      </c>
      <c r="R96">
        <f t="shared" si="98"/>
        <v>5.5622103017039999</v>
      </c>
      <c r="S96">
        <f t="shared" si="99"/>
        <v>0.46397924320835798</v>
      </c>
      <c r="T96">
        <f t="shared" si="100"/>
        <v>2.9108917011724484</v>
      </c>
      <c r="U96">
        <f t="shared" si="101"/>
        <v>0.42646463715418625</v>
      </c>
      <c r="V96">
        <f t="shared" si="102"/>
        <v>0.26965771839929797</v>
      </c>
      <c r="W96">
        <f t="shared" si="103"/>
        <v>289.55747332656858</v>
      </c>
      <c r="X96">
        <f t="shared" si="104"/>
        <v>30.264220863125665</v>
      </c>
      <c r="Y96">
        <f t="shared" si="105"/>
        <v>29.9925</v>
      </c>
      <c r="Z96">
        <f t="shared" si="106"/>
        <v>4.2586147413460793</v>
      </c>
      <c r="AA96">
        <f t="shared" si="107"/>
        <v>65.75906419181004</v>
      </c>
      <c r="AB96">
        <f t="shared" si="108"/>
        <v>2.8353437871011997</v>
      </c>
      <c r="AC96">
        <f t="shared" si="109"/>
        <v>4.3117155360223753</v>
      </c>
      <c r="AD96">
        <f t="shared" si="110"/>
        <v>1.4232709542448796</v>
      </c>
      <c r="AE96">
        <f t="shared" si="111"/>
        <v>-280.1268660545299</v>
      </c>
      <c r="AF96">
        <f t="shared" si="112"/>
        <v>33.881617373680399</v>
      </c>
      <c r="AG96">
        <f t="shared" si="113"/>
        <v>2.5906520806823168</v>
      </c>
      <c r="AH96">
        <f t="shared" si="114"/>
        <v>45.902876726401416</v>
      </c>
      <c r="AI96">
        <v>0</v>
      </c>
      <c r="AJ96">
        <v>0</v>
      </c>
      <c r="AK96">
        <f t="shared" si="115"/>
        <v>1</v>
      </c>
      <c r="AL96">
        <f t="shared" si="116"/>
        <v>0</v>
      </c>
      <c r="AM96">
        <f t="shared" si="117"/>
        <v>51764.521792410123</v>
      </c>
      <c r="AN96" t="s">
        <v>419</v>
      </c>
      <c r="AO96">
        <v>9967.0300000000007</v>
      </c>
      <c r="AP96">
        <v>178.94153846153841</v>
      </c>
      <c r="AQ96">
        <v>603.15</v>
      </c>
      <c r="AR96">
        <f t="shared" si="118"/>
        <v>0.7033216638290003</v>
      </c>
      <c r="AS96">
        <v>-3.2649104154664181</v>
      </c>
      <c r="AT96" t="s">
        <v>827</v>
      </c>
      <c r="AU96">
        <v>8060.4</v>
      </c>
      <c r="AV96">
        <v>665.02759999999989</v>
      </c>
      <c r="AW96">
        <v>761.77459818423745</v>
      </c>
      <c r="AX96">
        <f t="shared" si="119"/>
        <v>0.12700213214623235</v>
      </c>
      <c r="AY96">
        <v>0.5</v>
      </c>
      <c r="AZ96">
        <f t="shared" si="120"/>
        <v>1513.1345996510718</v>
      </c>
      <c r="BA96">
        <f t="shared" si="121"/>
        <v>11.189871206884892</v>
      </c>
      <c r="BB96">
        <f t="shared" si="122"/>
        <v>96.085660189960905</v>
      </c>
      <c r="BC96">
        <f t="shared" si="123"/>
        <v>9.552872312671044E-3</v>
      </c>
      <c r="BD96">
        <f t="shared" si="124"/>
        <v>-0.20823035916704805</v>
      </c>
      <c r="BE96">
        <f t="shared" si="125"/>
        <v>190.72397682871454</v>
      </c>
      <c r="BF96" t="s">
        <v>828</v>
      </c>
      <c r="BG96">
        <v>556.63</v>
      </c>
      <c r="BH96">
        <f t="shared" si="126"/>
        <v>556.63</v>
      </c>
      <c r="BI96">
        <f t="shared" si="127"/>
        <v>0.26929829200556066</v>
      </c>
      <c r="BJ96">
        <f t="shared" si="128"/>
        <v>0.47160392737882595</v>
      </c>
      <c r="BK96">
        <f t="shared" si="129"/>
        <v>-3.4098150942441432</v>
      </c>
      <c r="BL96">
        <f t="shared" si="130"/>
        <v>0.16599435562263393</v>
      </c>
      <c r="BM96">
        <f t="shared" si="131"/>
        <v>-0.37393077358466481</v>
      </c>
      <c r="BN96">
        <f t="shared" si="132"/>
        <v>0.39473383374896914</v>
      </c>
      <c r="BO96">
        <f t="shared" si="133"/>
        <v>0.6052661662510308</v>
      </c>
      <c r="BP96">
        <v>6195</v>
      </c>
      <c r="BQ96">
        <v>290.00000000000011</v>
      </c>
      <c r="BR96">
        <v>736.52</v>
      </c>
      <c r="BS96">
        <v>295</v>
      </c>
      <c r="BT96">
        <v>8060.4</v>
      </c>
      <c r="BU96">
        <v>737.2</v>
      </c>
      <c r="BV96">
        <v>-0.68</v>
      </c>
      <c r="BW96">
        <v>300.00000000000011</v>
      </c>
      <c r="BX96">
        <v>19.3</v>
      </c>
      <c r="BY96">
        <v>761.77459818423745</v>
      </c>
      <c r="BZ96">
        <v>2.6304163212652978</v>
      </c>
      <c r="CA96">
        <v>-19.804967928387949</v>
      </c>
      <c r="CB96">
        <v>1.947840584790713</v>
      </c>
      <c r="CC96">
        <v>0.78687966601108117</v>
      </c>
      <c r="CD96">
        <v>-4.1586338153503984E-3</v>
      </c>
      <c r="CE96">
        <v>289.99999999999989</v>
      </c>
      <c r="CF96">
        <v>737.18</v>
      </c>
      <c r="CG96">
        <v>635</v>
      </c>
      <c r="CH96">
        <v>8052.11</v>
      </c>
      <c r="CI96">
        <v>737.18</v>
      </c>
      <c r="CJ96">
        <v>0</v>
      </c>
      <c r="CX96">
        <f t="shared" si="134"/>
        <v>1799.94</v>
      </c>
      <c r="CY96">
        <f t="shared" si="135"/>
        <v>1513.1345996510718</v>
      </c>
      <c r="CZ96">
        <f t="shared" si="136"/>
        <v>0.84065835508465381</v>
      </c>
      <c r="DA96">
        <f t="shared" si="137"/>
        <v>0.16087062531338187</v>
      </c>
      <c r="DB96">
        <v>6</v>
      </c>
      <c r="DC96">
        <v>0.5</v>
      </c>
      <c r="DD96" t="s">
        <v>422</v>
      </c>
      <c r="DE96">
        <v>2</v>
      </c>
      <c r="DF96">
        <v>1689015976.5</v>
      </c>
      <c r="DG96">
        <v>56.125999999999998</v>
      </c>
      <c r="DH96">
        <v>69.979200000000006</v>
      </c>
      <c r="DI96">
        <v>28.610299999999999</v>
      </c>
      <c r="DJ96">
        <v>21.2072</v>
      </c>
      <c r="DK96">
        <v>56.154600000000002</v>
      </c>
      <c r="DL96">
        <v>28.564599999999999</v>
      </c>
      <c r="DM96">
        <v>500.089</v>
      </c>
      <c r="DN96">
        <v>99.002099999999999</v>
      </c>
      <c r="DO96">
        <v>0.100104</v>
      </c>
      <c r="DP96">
        <v>30.208400000000001</v>
      </c>
      <c r="DQ96">
        <v>29.9925</v>
      </c>
      <c r="DR96">
        <v>999.9</v>
      </c>
      <c r="DS96">
        <v>0</v>
      </c>
      <c r="DT96">
        <v>0</v>
      </c>
      <c r="DU96">
        <v>9993.75</v>
      </c>
      <c r="DV96">
        <v>0</v>
      </c>
      <c r="DW96">
        <v>1631.16</v>
      </c>
      <c r="DX96">
        <v>-13.853199999999999</v>
      </c>
      <c r="DY96">
        <v>57.7791</v>
      </c>
      <c r="DZ96">
        <v>71.495400000000004</v>
      </c>
      <c r="EA96">
        <v>7.4031099999999999</v>
      </c>
      <c r="EB96">
        <v>69.979200000000006</v>
      </c>
      <c r="EC96">
        <v>21.2072</v>
      </c>
      <c r="ED96">
        <v>2.8324799999999999</v>
      </c>
      <c r="EE96">
        <v>2.0995599999999999</v>
      </c>
      <c r="EF96">
        <v>23.0746</v>
      </c>
      <c r="EG96">
        <v>18.215800000000002</v>
      </c>
      <c r="EH96">
        <v>1799.94</v>
      </c>
      <c r="EI96">
        <v>0.97799499999999995</v>
      </c>
      <c r="EJ96">
        <v>2.2004699999999999E-2</v>
      </c>
      <c r="EK96">
        <v>0</v>
      </c>
      <c r="EL96">
        <v>664.83100000000002</v>
      </c>
      <c r="EM96">
        <v>5.0005300000000004</v>
      </c>
      <c r="EN96">
        <v>14263.6</v>
      </c>
      <c r="EO96">
        <v>16034.7</v>
      </c>
      <c r="EP96">
        <v>47</v>
      </c>
      <c r="EQ96">
        <v>48.186999999999998</v>
      </c>
      <c r="ER96">
        <v>47.561999999999998</v>
      </c>
      <c r="ES96">
        <v>48.061999999999998</v>
      </c>
      <c r="ET96">
        <v>48.375</v>
      </c>
      <c r="EU96">
        <v>1755.44</v>
      </c>
      <c r="EV96">
        <v>39.5</v>
      </c>
      <c r="EW96">
        <v>0</v>
      </c>
      <c r="EX96">
        <v>108.5999999046326</v>
      </c>
      <c r="EY96">
        <v>0</v>
      </c>
      <c r="EZ96">
        <v>665.02759999999989</v>
      </c>
      <c r="FA96">
        <v>-0.36946153808607562</v>
      </c>
      <c r="FB96">
        <v>-81.184615259820148</v>
      </c>
      <c r="FC96">
        <v>14290.224</v>
      </c>
      <c r="FD96">
        <v>15</v>
      </c>
      <c r="FE96">
        <v>1689015937.5</v>
      </c>
      <c r="FF96" t="s">
        <v>829</v>
      </c>
      <c r="FG96">
        <v>1689015930.5</v>
      </c>
      <c r="FH96">
        <v>1689015937.5</v>
      </c>
      <c r="FI96">
        <v>87</v>
      </c>
      <c r="FJ96">
        <v>7.0000000000000007E-2</v>
      </c>
      <c r="FK96">
        <v>-4.0000000000000001E-3</v>
      </c>
      <c r="FL96">
        <v>-3.4000000000000002E-2</v>
      </c>
      <c r="FM96">
        <v>3.5000000000000003E-2</v>
      </c>
      <c r="FN96">
        <v>70</v>
      </c>
      <c r="FO96">
        <v>21</v>
      </c>
      <c r="FP96">
        <v>0.08</v>
      </c>
      <c r="FQ96">
        <v>0.01</v>
      </c>
      <c r="FR96">
        <v>11.157170573765351</v>
      </c>
      <c r="FS96">
        <v>-0.53802304169827675</v>
      </c>
      <c r="FT96">
        <v>4.8138664567898219E-2</v>
      </c>
      <c r="FU96">
        <v>1</v>
      </c>
      <c r="FV96">
        <v>0.46204948105699961</v>
      </c>
      <c r="FW96">
        <v>3.6464592218688321E-2</v>
      </c>
      <c r="FX96">
        <v>3.026027660569767E-3</v>
      </c>
      <c r="FY96">
        <v>1</v>
      </c>
      <c r="FZ96">
        <v>2</v>
      </c>
      <c r="GA96">
        <v>2</v>
      </c>
      <c r="GB96" t="s">
        <v>424</v>
      </c>
      <c r="GC96">
        <v>3.12297</v>
      </c>
      <c r="GD96">
        <v>2.76735</v>
      </c>
      <c r="GE96">
        <v>1.49283E-2</v>
      </c>
      <c r="GF96">
        <v>1.8564400000000002E-2</v>
      </c>
      <c r="GG96">
        <v>0.120672</v>
      </c>
      <c r="GH96">
        <v>9.8039699999999994E-2</v>
      </c>
      <c r="GI96">
        <v>23500.6</v>
      </c>
      <c r="GJ96">
        <v>24286.9</v>
      </c>
      <c r="GK96">
        <v>23722.400000000001</v>
      </c>
      <c r="GL96">
        <v>25061.4</v>
      </c>
      <c r="GM96">
        <v>30061</v>
      </c>
      <c r="GN96">
        <v>31701</v>
      </c>
      <c r="GO96">
        <v>37811</v>
      </c>
      <c r="GP96">
        <v>38987.199999999997</v>
      </c>
      <c r="GQ96">
        <v>2.1154500000000001</v>
      </c>
      <c r="GR96">
        <v>1.6948000000000001</v>
      </c>
      <c r="GS96">
        <v>-2.5071199999999998E-2</v>
      </c>
      <c r="GT96">
        <v>0</v>
      </c>
      <c r="GU96">
        <v>30.400300000000001</v>
      </c>
      <c r="GV96">
        <v>999.9</v>
      </c>
      <c r="GW96">
        <v>28.5</v>
      </c>
      <c r="GX96">
        <v>47.4</v>
      </c>
      <c r="GY96">
        <v>31.369199999999999</v>
      </c>
      <c r="GZ96">
        <v>60.988399999999999</v>
      </c>
      <c r="HA96">
        <v>27.732399999999998</v>
      </c>
      <c r="HB96">
        <v>1</v>
      </c>
      <c r="HC96">
        <v>0.65183899999999995</v>
      </c>
      <c r="HD96">
        <v>4.0658300000000001</v>
      </c>
      <c r="HE96">
        <v>20.2667</v>
      </c>
      <c r="HF96">
        <v>5.2526299999999999</v>
      </c>
      <c r="HG96">
        <v>12.0099</v>
      </c>
      <c r="HH96">
        <v>4.9791499999999997</v>
      </c>
      <c r="HI96">
        <v>3.2930000000000001</v>
      </c>
      <c r="HJ96">
        <v>9999</v>
      </c>
      <c r="HK96">
        <v>9999</v>
      </c>
      <c r="HL96">
        <v>9999</v>
      </c>
      <c r="HM96">
        <v>235.9</v>
      </c>
      <c r="HN96">
        <v>1.87564</v>
      </c>
      <c r="HO96">
        <v>1.87679</v>
      </c>
      <c r="HP96">
        <v>1.8827799999999999</v>
      </c>
      <c r="HQ96">
        <v>1.8859900000000001</v>
      </c>
      <c r="HR96">
        <v>1.87683</v>
      </c>
      <c r="HS96">
        <v>1.8831899999999999</v>
      </c>
      <c r="HT96">
        <v>1.8821699999999999</v>
      </c>
      <c r="HU96">
        <v>1.88568</v>
      </c>
      <c r="HV96">
        <v>0</v>
      </c>
      <c r="HW96">
        <v>0</v>
      </c>
      <c r="HX96">
        <v>0</v>
      </c>
      <c r="HY96">
        <v>0</v>
      </c>
      <c r="HZ96" t="s">
        <v>425</v>
      </c>
      <c r="IA96" t="s">
        <v>426</v>
      </c>
      <c r="IB96" t="s">
        <v>427</v>
      </c>
      <c r="IC96" t="s">
        <v>427</v>
      </c>
      <c r="ID96" t="s">
        <v>427</v>
      </c>
      <c r="IE96" t="s">
        <v>427</v>
      </c>
      <c r="IF96">
        <v>0</v>
      </c>
      <c r="IG96">
        <v>100</v>
      </c>
      <c r="IH96">
        <v>100</v>
      </c>
      <c r="II96">
        <v>-2.9000000000000001E-2</v>
      </c>
      <c r="IJ96">
        <v>4.5699999999999998E-2</v>
      </c>
      <c r="IK96">
        <v>-6.5938300550732742E-3</v>
      </c>
      <c r="IL96">
        <v>-4.2852564239613137E-4</v>
      </c>
      <c r="IM96">
        <v>6.4980710991155998E-7</v>
      </c>
      <c r="IN96">
        <v>-2.7237938963984961E-10</v>
      </c>
      <c r="IO96">
        <v>-1.350463071486677E-2</v>
      </c>
      <c r="IP96">
        <v>6.6907473102813496E-3</v>
      </c>
      <c r="IQ96">
        <v>-3.3673306238274028E-4</v>
      </c>
      <c r="IR96">
        <v>6.1311374003140313E-6</v>
      </c>
      <c r="IS96">
        <v>3</v>
      </c>
      <c r="IT96">
        <v>2101</v>
      </c>
      <c r="IU96">
        <v>1</v>
      </c>
      <c r="IV96">
        <v>32</v>
      </c>
      <c r="IW96">
        <v>0.8</v>
      </c>
      <c r="IX96">
        <v>0.7</v>
      </c>
      <c r="IY96">
        <v>0.29418899999999998</v>
      </c>
      <c r="IZ96">
        <v>2.7636699999999998</v>
      </c>
      <c r="JA96">
        <v>1.6015600000000001</v>
      </c>
      <c r="JB96">
        <v>2.32666</v>
      </c>
      <c r="JC96">
        <v>1.5502899999999999</v>
      </c>
      <c r="JD96">
        <v>2.3059099999999999</v>
      </c>
      <c r="JE96">
        <v>49.263500000000001</v>
      </c>
      <c r="JF96">
        <v>24.1313</v>
      </c>
      <c r="JG96">
        <v>18</v>
      </c>
      <c r="JH96">
        <v>582.95399999999995</v>
      </c>
      <c r="JI96">
        <v>365.76299999999998</v>
      </c>
      <c r="JJ96">
        <v>26.144600000000001</v>
      </c>
      <c r="JK96">
        <v>34.861800000000002</v>
      </c>
      <c r="JL96">
        <v>29.9999</v>
      </c>
      <c r="JM96">
        <v>35.002600000000001</v>
      </c>
      <c r="JN96">
        <v>35.002400000000002</v>
      </c>
      <c r="JO96">
        <v>5.8710199999999997</v>
      </c>
      <c r="JP96">
        <v>37.840299999999999</v>
      </c>
      <c r="JQ96">
        <v>0</v>
      </c>
      <c r="JR96">
        <v>26.156099999999999</v>
      </c>
      <c r="JS96">
        <v>70</v>
      </c>
      <c r="JT96">
        <v>21.1221</v>
      </c>
      <c r="JU96">
        <v>98.624099999999999</v>
      </c>
      <c r="JV96">
        <v>98.677999999999997</v>
      </c>
    </row>
    <row r="97" spans="1:282" x14ac:dyDescent="0.25">
      <c r="A97">
        <v>81</v>
      </c>
      <c r="B97">
        <v>1689016132</v>
      </c>
      <c r="C97">
        <v>16309.400000095369</v>
      </c>
      <c r="D97" t="s">
        <v>830</v>
      </c>
      <c r="E97" t="s">
        <v>831</v>
      </c>
      <c r="F97" t="s">
        <v>414</v>
      </c>
      <c r="G97" t="s">
        <v>415</v>
      </c>
      <c r="H97" t="s">
        <v>31</v>
      </c>
      <c r="I97" t="s">
        <v>417</v>
      </c>
      <c r="J97" t="s">
        <v>416</v>
      </c>
      <c r="K97">
        <v>1689016132</v>
      </c>
      <c r="L97">
        <f t="shared" si="92"/>
        <v>6.8058609621314981E-3</v>
      </c>
      <c r="M97">
        <f t="shared" si="93"/>
        <v>6.805860962131498</v>
      </c>
      <c r="N97">
        <f t="shared" si="94"/>
        <v>4.8633322664907936</v>
      </c>
      <c r="O97">
        <f t="shared" si="95"/>
        <v>23.897500000000001</v>
      </c>
      <c r="P97">
        <f t="shared" si="96"/>
        <v>6.7069477418782553</v>
      </c>
      <c r="Q97">
        <f t="shared" si="97"/>
        <v>0.66469072798319162</v>
      </c>
      <c r="R97">
        <f t="shared" si="98"/>
        <v>2.3683570057950001</v>
      </c>
      <c r="S97">
        <f t="shared" si="99"/>
        <v>0.49986350492905768</v>
      </c>
      <c r="T97">
        <f t="shared" si="100"/>
        <v>2.9122404963642539</v>
      </c>
      <c r="U97">
        <f t="shared" si="101"/>
        <v>0.45662940788457551</v>
      </c>
      <c r="V97">
        <f t="shared" si="102"/>
        <v>0.28896553176300144</v>
      </c>
      <c r="W97">
        <f t="shared" si="103"/>
        <v>289.54949332654991</v>
      </c>
      <c r="X97">
        <f t="shared" si="104"/>
        <v>30.073446403891477</v>
      </c>
      <c r="Y97">
        <f t="shared" si="105"/>
        <v>29.901399999999999</v>
      </c>
      <c r="Z97">
        <f t="shared" si="106"/>
        <v>4.236380166653035</v>
      </c>
      <c r="AA97">
        <f t="shared" si="107"/>
        <v>65.483862547672274</v>
      </c>
      <c r="AB97">
        <f t="shared" si="108"/>
        <v>2.8117915318638</v>
      </c>
      <c r="AC97">
        <f t="shared" si="109"/>
        <v>4.2938693938782473</v>
      </c>
      <c r="AD97">
        <f t="shared" si="110"/>
        <v>1.4245886347892349</v>
      </c>
      <c r="AE97">
        <f t="shared" si="111"/>
        <v>-300.13846842999908</v>
      </c>
      <c r="AF97">
        <f t="shared" si="112"/>
        <v>36.849005352505593</v>
      </c>
      <c r="AG97">
        <f t="shared" si="113"/>
        <v>2.8139625475660068</v>
      </c>
      <c r="AH97">
        <f t="shared" si="114"/>
        <v>29.073992796622427</v>
      </c>
      <c r="AI97">
        <v>0</v>
      </c>
      <c r="AJ97">
        <v>0</v>
      </c>
      <c r="AK97">
        <f t="shared" si="115"/>
        <v>1</v>
      </c>
      <c r="AL97">
        <f t="shared" si="116"/>
        <v>0</v>
      </c>
      <c r="AM97">
        <f t="shared" si="117"/>
        <v>51815.250793457351</v>
      </c>
      <c r="AN97" t="s">
        <v>419</v>
      </c>
      <c r="AO97">
        <v>9967.0300000000007</v>
      </c>
      <c r="AP97">
        <v>178.94153846153841</v>
      </c>
      <c r="AQ97">
        <v>603.15</v>
      </c>
      <c r="AR97">
        <f t="shared" si="118"/>
        <v>0.7033216638290003</v>
      </c>
      <c r="AS97">
        <v>-3.2649104154664181</v>
      </c>
      <c r="AT97" t="s">
        <v>832</v>
      </c>
      <c r="AU97">
        <v>8059.7</v>
      </c>
      <c r="AV97">
        <v>677.72644000000003</v>
      </c>
      <c r="AW97">
        <v>745.87203280004542</v>
      </c>
      <c r="AX97">
        <f t="shared" si="119"/>
        <v>9.1363651944721735E-2</v>
      </c>
      <c r="AY97">
        <v>0.5</v>
      </c>
      <c r="AZ97">
        <f t="shared" si="120"/>
        <v>1513.0925996510621</v>
      </c>
      <c r="BA97">
        <f t="shared" si="121"/>
        <v>4.8633322664907936</v>
      </c>
      <c r="BB97">
        <f t="shared" si="122"/>
        <v>69.120832817326914</v>
      </c>
      <c r="BC97">
        <f t="shared" si="123"/>
        <v>5.3719400146637983E-3</v>
      </c>
      <c r="BD97">
        <f t="shared" si="124"/>
        <v>-0.19134922148006936</v>
      </c>
      <c r="BE97">
        <f t="shared" si="125"/>
        <v>189.71129072045679</v>
      </c>
      <c r="BF97" t="s">
        <v>833</v>
      </c>
      <c r="BG97">
        <v>576.54999999999995</v>
      </c>
      <c r="BH97">
        <f t="shared" si="126"/>
        <v>576.54999999999995</v>
      </c>
      <c r="BI97">
        <f t="shared" si="127"/>
        <v>0.22701217548592223</v>
      </c>
      <c r="BJ97">
        <f t="shared" si="128"/>
        <v>0.40246146158969981</v>
      </c>
      <c r="BK97">
        <f t="shared" si="129"/>
        <v>-5.3654899548889219</v>
      </c>
      <c r="BL97">
        <f t="shared" si="130"/>
        <v>0.12020096551616523</v>
      </c>
      <c r="BM97">
        <f t="shared" si="131"/>
        <v>-0.33644315410975201</v>
      </c>
      <c r="BN97">
        <f t="shared" si="132"/>
        <v>0.34237878587050757</v>
      </c>
      <c r="BO97">
        <f t="shared" si="133"/>
        <v>0.65762121412949237</v>
      </c>
      <c r="BP97">
        <v>6197</v>
      </c>
      <c r="BQ97">
        <v>290.00000000000011</v>
      </c>
      <c r="BR97">
        <v>722.02</v>
      </c>
      <c r="BS97">
        <v>295</v>
      </c>
      <c r="BT97">
        <v>8059.7</v>
      </c>
      <c r="BU97">
        <v>722.16</v>
      </c>
      <c r="BV97">
        <v>-0.14000000000000001</v>
      </c>
      <c r="BW97">
        <v>300.00000000000011</v>
      </c>
      <c r="BX97">
        <v>19.3</v>
      </c>
      <c r="BY97">
        <v>745.87203280004542</v>
      </c>
      <c r="BZ97">
        <v>1.9046131583377091</v>
      </c>
      <c r="CA97">
        <v>-19.109211586469289</v>
      </c>
      <c r="CB97">
        <v>1.4102435672139759</v>
      </c>
      <c r="CC97">
        <v>0.8676813634168723</v>
      </c>
      <c r="CD97">
        <v>-4.1584006674082342E-3</v>
      </c>
      <c r="CE97">
        <v>289.99999999999989</v>
      </c>
      <c r="CF97">
        <v>721.56</v>
      </c>
      <c r="CG97">
        <v>675</v>
      </c>
      <c r="CH97">
        <v>8050.06</v>
      </c>
      <c r="CI97">
        <v>722.13</v>
      </c>
      <c r="CJ97">
        <v>-0.56999999999999995</v>
      </c>
      <c r="CX97">
        <f t="shared" si="134"/>
        <v>1799.89</v>
      </c>
      <c r="CY97">
        <f t="shared" si="135"/>
        <v>1513.0925996510621</v>
      </c>
      <c r="CZ97">
        <f t="shared" si="136"/>
        <v>0.84065837337340732</v>
      </c>
      <c r="DA97">
        <f t="shared" si="137"/>
        <v>0.16087066061067615</v>
      </c>
      <c r="DB97">
        <v>6</v>
      </c>
      <c r="DC97">
        <v>0.5</v>
      </c>
      <c r="DD97" t="s">
        <v>422</v>
      </c>
      <c r="DE97">
        <v>2</v>
      </c>
      <c r="DF97">
        <v>1689016132</v>
      </c>
      <c r="DG97">
        <v>23.897500000000001</v>
      </c>
      <c r="DH97">
        <v>29.9282</v>
      </c>
      <c r="DI97">
        <v>28.3719</v>
      </c>
      <c r="DJ97">
        <v>20.437200000000001</v>
      </c>
      <c r="DK97">
        <v>23.847200000000001</v>
      </c>
      <c r="DL97">
        <v>28.322500000000002</v>
      </c>
      <c r="DM97">
        <v>500.03899999999999</v>
      </c>
      <c r="DN97">
        <v>99.0047</v>
      </c>
      <c r="DO97">
        <v>0.100102</v>
      </c>
      <c r="DP97">
        <v>30.136099999999999</v>
      </c>
      <c r="DQ97">
        <v>29.901399999999999</v>
      </c>
      <c r="DR97">
        <v>999.9</v>
      </c>
      <c r="DS97">
        <v>0</v>
      </c>
      <c r="DT97">
        <v>0</v>
      </c>
      <c r="DU97">
        <v>10001.200000000001</v>
      </c>
      <c r="DV97">
        <v>0</v>
      </c>
      <c r="DW97">
        <v>1657.37</v>
      </c>
      <c r="DX97">
        <v>-6.0306300000000004</v>
      </c>
      <c r="DY97">
        <v>24.595300000000002</v>
      </c>
      <c r="DZ97">
        <v>30.552600000000002</v>
      </c>
      <c r="EA97">
        <v>7.9347000000000003</v>
      </c>
      <c r="EB97">
        <v>29.9282</v>
      </c>
      <c r="EC97">
        <v>20.437200000000001</v>
      </c>
      <c r="ED97">
        <v>2.8089499999999998</v>
      </c>
      <c r="EE97">
        <v>2.02338</v>
      </c>
      <c r="EF97">
        <v>22.936800000000002</v>
      </c>
      <c r="EG97">
        <v>17.628499999999999</v>
      </c>
      <c r="EH97">
        <v>1799.89</v>
      </c>
      <c r="EI97">
        <v>0.97799499999999995</v>
      </c>
      <c r="EJ97">
        <v>2.2004699999999999E-2</v>
      </c>
      <c r="EK97">
        <v>0</v>
      </c>
      <c r="EL97">
        <v>677.59400000000005</v>
      </c>
      <c r="EM97">
        <v>5.0005300000000004</v>
      </c>
      <c r="EN97">
        <v>14568</v>
      </c>
      <c r="EO97">
        <v>16034.3</v>
      </c>
      <c r="EP97">
        <v>47.186999999999998</v>
      </c>
      <c r="EQ97">
        <v>48.561999999999998</v>
      </c>
      <c r="ER97">
        <v>47.75</v>
      </c>
      <c r="ES97">
        <v>48.375</v>
      </c>
      <c r="ET97">
        <v>48.561999999999998</v>
      </c>
      <c r="EU97">
        <v>1755.39</v>
      </c>
      <c r="EV97">
        <v>39.5</v>
      </c>
      <c r="EW97">
        <v>0</v>
      </c>
      <c r="EX97">
        <v>153.80000019073489</v>
      </c>
      <c r="EY97">
        <v>0</v>
      </c>
      <c r="EZ97">
        <v>677.72644000000003</v>
      </c>
      <c r="FA97">
        <v>0.4053076871754886</v>
      </c>
      <c r="FB97">
        <v>-121.953846238951</v>
      </c>
      <c r="FC97">
        <v>14570.871999999999</v>
      </c>
      <c r="FD97">
        <v>15</v>
      </c>
      <c r="FE97">
        <v>1689016093</v>
      </c>
      <c r="FF97" t="s">
        <v>834</v>
      </c>
      <c r="FG97">
        <v>1689016078</v>
      </c>
      <c r="FH97">
        <v>1689016093</v>
      </c>
      <c r="FI97">
        <v>88</v>
      </c>
      <c r="FJ97">
        <v>6.7000000000000004E-2</v>
      </c>
      <c r="FK97">
        <v>4.0000000000000001E-3</v>
      </c>
      <c r="FL97">
        <v>4.8000000000000001E-2</v>
      </c>
      <c r="FM97">
        <v>3.9E-2</v>
      </c>
      <c r="FN97">
        <v>30</v>
      </c>
      <c r="FO97">
        <v>20</v>
      </c>
      <c r="FP97">
        <v>0.3</v>
      </c>
      <c r="FQ97">
        <v>0.01</v>
      </c>
      <c r="FR97">
        <v>4.7988893347432624</v>
      </c>
      <c r="FS97">
        <v>-0.43151689079219763</v>
      </c>
      <c r="FT97">
        <v>7.2331800199211121E-2</v>
      </c>
      <c r="FU97">
        <v>1</v>
      </c>
      <c r="FV97">
        <v>0.50354546513109255</v>
      </c>
      <c r="FW97">
        <v>-2.059250387878684E-2</v>
      </c>
      <c r="FX97">
        <v>1.5978378279965419E-3</v>
      </c>
      <c r="FY97">
        <v>1</v>
      </c>
      <c r="FZ97">
        <v>2</v>
      </c>
      <c r="GA97">
        <v>2</v>
      </c>
      <c r="GB97" t="s">
        <v>424</v>
      </c>
      <c r="GC97">
        <v>3.1233399999999998</v>
      </c>
      <c r="GD97">
        <v>2.7674099999999999</v>
      </c>
      <c r="GE97">
        <v>6.3727899999999997E-3</v>
      </c>
      <c r="GF97">
        <v>8.0017700000000001E-3</v>
      </c>
      <c r="GG97">
        <v>0.119933</v>
      </c>
      <c r="GH97">
        <v>9.5452400000000007E-2</v>
      </c>
      <c r="GI97">
        <v>23695.599999999999</v>
      </c>
      <c r="GJ97">
        <v>24539.599999999999</v>
      </c>
      <c r="GK97">
        <v>23714.5</v>
      </c>
      <c r="GL97">
        <v>25053.9</v>
      </c>
      <c r="GM97">
        <v>30076.5</v>
      </c>
      <c r="GN97">
        <v>31783</v>
      </c>
      <c r="GO97">
        <v>37798.9</v>
      </c>
      <c r="GP97">
        <v>38976.300000000003</v>
      </c>
      <c r="GQ97">
        <v>2.1155499999999998</v>
      </c>
      <c r="GR97">
        <v>1.6889000000000001</v>
      </c>
      <c r="GS97">
        <v>-2.9876799999999998E-2</v>
      </c>
      <c r="GT97">
        <v>0</v>
      </c>
      <c r="GU97">
        <v>30.387499999999999</v>
      </c>
      <c r="GV97">
        <v>999.9</v>
      </c>
      <c r="GW97">
        <v>28.6</v>
      </c>
      <c r="GX97">
        <v>47.5</v>
      </c>
      <c r="GY97">
        <v>31.6418</v>
      </c>
      <c r="GZ97">
        <v>61.858400000000003</v>
      </c>
      <c r="HA97">
        <v>28.401399999999999</v>
      </c>
      <c r="HB97">
        <v>1</v>
      </c>
      <c r="HC97">
        <v>0.65754100000000004</v>
      </c>
      <c r="HD97">
        <v>2.3682300000000001</v>
      </c>
      <c r="HE97">
        <v>20.299299999999999</v>
      </c>
      <c r="HF97">
        <v>5.2529300000000001</v>
      </c>
      <c r="HG97">
        <v>12.0099</v>
      </c>
      <c r="HH97">
        <v>4.9793500000000002</v>
      </c>
      <c r="HI97">
        <v>3.2930000000000001</v>
      </c>
      <c r="HJ97">
        <v>9999</v>
      </c>
      <c r="HK97">
        <v>9999</v>
      </c>
      <c r="HL97">
        <v>9999</v>
      </c>
      <c r="HM97">
        <v>235.9</v>
      </c>
      <c r="HN97">
        <v>1.87561</v>
      </c>
      <c r="HO97">
        <v>1.87673</v>
      </c>
      <c r="HP97">
        <v>1.8827799999999999</v>
      </c>
      <c r="HQ97">
        <v>1.8859900000000001</v>
      </c>
      <c r="HR97">
        <v>1.87683</v>
      </c>
      <c r="HS97">
        <v>1.8831199999999999</v>
      </c>
      <c r="HT97">
        <v>1.8821699999999999</v>
      </c>
      <c r="HU97">
        <v>1.88567</v>
      </c>
      <c r="HV97">
        <v>0</v>
      </c>
      <c r="HW97">
        <v>0</v>
      </c>
      <c r="HX97">
        <v>0</v>
      </c>
      <c r="HY97">
        <v>0</v>
      </c>
      <c r="HZ97" t="s">
        <v>425</v>
      </c>
      <c r="IA97" t="s">
        <v>426</v>
      </c>
      <c r="IB97" t="s">
        <v>427</v>
      </c>
      <c r="IC97" t="s">
        <v>427</v>
      </c>
      <c r="ID97" t="s">
        <v>427</v>
      </c>
      <c r="IE97" t="s">
        <v>427</v>
      </c>
      <c r="IF97">
        <v>0</v>
      </c>
      <c r="IG97">
        <v>100</v>
      </c>
      <c r="IH97">
        <v>100</v>
      </c>
      <c r="II97">
        <v>0.05</v>
      </c>
      <c r="IJ97">
        <v>4.9399999999999999E-2</v>
      </c>
      <c r="IK97">
        <v>6.0183266398252493E-2</v>
      </c>
      <c r="IL97">
        <v>-4.2852564239613137E-4</v>
      </c>
      <c r="IM97">
        <v>6.4980710991155998E-7</v>
      </c>
      <c r="IN97">
        <v>-2.7237938963984961E-10</v>
      </c>
      <c r="IO97">
        <v>-9.2901344288695963E-3</v>
      </c>
      <c r="IP97">
        <v>6.6907473102813496E-3</v>
      </c>
      <c r="IQ97">
        <v>-3.3673306238274028E-4</v>
      </c>
      <c r="IR97">
        <v>6.1311374003140313E-6</v>
      </c>
      <c r="IS97">
        <v>3</v>
      </c>
      <c r="IT97">
        <v>2101</v>
      </c>
      <c r="IU97">
        <v>1</v>
      </c>
      <c r="IV97">
        <v>32</v>
      </c>
      <c r="IW97">
        <v>0.9</v>
      </c>
      <c r="IX97">
        <v>0.7</v>
      </c>
      <c r="IY97">
        <v>0.20507800000000001</v>
      </c>
      <c r="IZ97">
        <v>2.7722199999999999</v>
      </c>
      <c r="JA97">
        <v>1.6003400000000001</v>
      </c>
      <c r="JB97">
        <v>2.32666</v>
      </c>
      <c r="JC97">
        <v>1.5490699999999999</v>
      </c>
      <c r="JD97">
        <v>2.4401899999999999</v>
      </c>
      <c r="JE97">
        <v>49.420999999999999</v>
      </c>
      <c r="JF97">
        <v>24.148800000000001</v>
      </c>
      <c r="JG97">
        <v>18</v>
      </c>
      <c r="JH97">
        <v>584.12099999999998</v>
      </c>
      <c r="JI97">
        <v>362.98500000000001</v>
      </c>
      <c r="JJ97">
        <v>27.155200000000001</v>
      </c>
      <c r="JK97">
        <v>35.034500000000001</v>
      </c>
      <c r="JL97">
        <v>30.0001</v>
      </c>
      <c r="JM97">
        <v>35.1297</v>
      </c>
      <c r="JN97">
        <v>35.1267</v>
      </c>
      <c r="JO97">
        <v>4.0970899999999997</v>
      </c>
      <c r="JP97">
        <v>41.120699999999999</v>
      </c>
      <c r="JQ97">
        <v>0</v>
      </c>
      <c r="JR97">
        <v>27.199300000000001</v>
      </c>
      <c r="JS97">
        <v>30</v>
      </c>
      <c r="JT97">
        <v>20.370799999999999</v>
      </c>
      <c r="JU97">
        <v>98.592100000000002</v>
      </c>
      <c r="JV97">
        <v>98.649900000000002</v>
      </c>
    </row>
    <row r="98" spans="1:282" x14ac:dyDescent="0.25">
      <c r="A98">
        <v>82</v>
      </c>
      <c r="B98">
        <v>1689016245.5</v>
      </c>
      <c r="C98">
        <v>16422.900000095371</v>
      </c>
      <c r="D98" t="s">
        <v>835</v>
      </c>
      <c r="E98" t="s">
        <v>836</v>
      </c>
      <c r="F98" t="s">
        <v>414</v>
      </c>
      <c r="G98" t="s">
        <v>415</v>
      </c>
      <c r="H98" t="s">
        <v>31</v>
      </c>
      <c r="I98" t="s">
        <v>417</v>
      </c>
      <c r="J98" t="s">
        <v>416</v>
      </c>
      <c r="K98">
        <v>1689016245.5</v>
      </c>
      <c r="L98">
        <f t="shared" si="92"/>
        <v>6.8587794138597509E-3</v>
      </c>
      <c r="M98">
        <f t="shared" si="93"/>
        <v>6.8587794138597511</v>
      </c>
      <c r="N98">
        <f t="shared" si="94"/>
        <v>1.4031455346906929</v>
      </c>
      <c r="O98">
        <f t="shared" si="95"/>
        <v>8.1627100000000006</v>
      </c>
      <c r="P98">
        <f t="shared" si="96"/>
        <v>3.235984067002228</v>
      </c>
      <c r="Q98">
        <f t="shared" si="97"/>
        <v>0.32071314667636242</v>
      </c>
      <c r="R98">
        <f t="shared" si="98"/>
        <v>0.80899298491657512</v>
      </c>
      <c r="S98">
        <f t="shared" si="99"/>
        <v>0.50683809894011089</v>
      </c>
      <c r="T98">
        <f t="shared" si="100"/>
        <v>2.9181094641220464</v>
      </c>
      <c r="U98">
        <f t="shared" si="101"/>
        <v>0.46252734674619383</v>
      </c>
      <c r="V98">
        <f t="shared" si="102"/>
        <v>0.29273722922901724</v>
      </c>
      <c r="W98">
        <f t="shared" si="103"/>
        <v>289.5584903267428</v>
      </c>
      <c r="X98">
        <f t="shared" si="104"/>
        <v>30.132238070032905</v>
      </c>
      <c r="Y98">
        <f t="shared" si="105"/>
        <v>29.9316</v>
      </c>
      <c r="Z98">
        <f t="shared" si="106"/>
        <v>4.2437397760948619</v>
      </c>
      <c r="AA98">
        <f t="shared" si="107"/>
        <v>65.553387008933584</v>
      </c>
      <c r="AB98">
        <f t="shared" si="108"/>
        <v>2.8264917821940001</v>
      </c>
      <c r="AC98">
        <f t="shared" si="109"/>
        <v>4.3117402641740039</v>
      </c>
      <c r="AD98">
        <f t="shared" si="110"/>
        <v>1.4172479939008618</v>
      </c>
      <c r="AE98">
        <f t="shared" si="111"/>
        <v>-302.47217215121503</v>
      </c>
      <c r="AF98">
        <f t="shared" si="112"/>
        <v>43.562217416297358</v>
      </c>
      <c r="AG98">
        <f t="shared" si="113"/>
        <v>3.321610918579212</v>
      </c>
      <c r="AH98">
        <f t="shared" si="114"/>
        <v>33.970146510404334</v>
      </c>
      <c r="AI98">
        <v>0</v>
      </c>
      <c r="AJ98">
        <v>0</v>
      </c>
      <c r="AK98">
        <f t="shared" si="115"/>
        <v>1</v>
      </c>
      <c r="AL98">
        <f t="shared" si="116"/>
        <v>0</v>
      </c>
      <c r="AM98">
        <f t="shared" si="117"/>
        <v>51969.829372872693</v>
      </c>
      <c r="AN98" t="s">
        <v>419</v>
      </c>
      <c r="AO98">
        <v>9967.0300000000007</v>
      </c>
      <c r="AP98">
        <v>178.94153846153841</v>
      </c>
      <c r="AQ98">
        <v>603.15</v>
      </c>
      <c r="AR98">
        <f t="shared" si="118"/>
        <v>0.7033216638290003</v>
      </c>
      <c r="AS98">
        <v>-3.2649104154664181</v>
      </c>
      <c r="AT98" t="s">
        <v>837</v>
      </c>
      <c r="AU98">
        <v>8075.95</v>
      </c>
      <c r="AV98">
        <v>685.41238461538467</v>
      </c>
      <c r="AW98">
        <v>742.47581418652283</v>
      </c>
      <c r="AX98">
        <f t="shared" si="119"/>
        <v>7.68556072545723E-2</v>
      </c>
      <c r="AY98">
        <v>0.5</v>
      </c>
      <c r="AZ98">
        <f t="shared" si="120"/>
        <v>1513.142699651162</v>
      </c>
      <c r="BA98">
        <f t="shared" si="121"/>
        <v>1.4031455346906929</v>
      </c>
      <c r="BB98">
        <f t="shared" si="122"/>
        <v>58.146750522256482</v>
      </c>
      <c r="BC98">
        <f t="shared" si="123"/>
        <v>3.0850070857383633E-3</v>
      </c>
      <c r="BD98">
        <f t="shared" si="124"/>
        <v>-0.18765030661526946</v>
      </c>
      <c r="BE98">
        <f t="shared" si="125"/>
        <v>189.49083042693621</v>
      </c>
      <c r="BF98" t="s">
        <v>838</v>
      </c>
      <c r="BG98">
        <v>586.57000000000005</v>
      </c>
      <c r="BH98">
        <f t="shared" si="126"/>
        <v>586.57000000000005</v>
      </c>
      <c r="BI98">
        <f t="shared" si="127"/>
        <v>0.20998100033377853</v>
      </c>
      <c r="BJ98">
        <f t="shared" si="128"/>
        <v>0.36601219697213183</v>
      </c>
      <c r="BK98">
        <f t="shared" si="129"/>
        <v>-8.4032457289821139</v>
      </c>
      <c r="BL98">
        <f t="shared" si="130"/>
        <v>0.10125990916475543</v>
      </c>
      <c r="BM98">
        <f t="shared" si="131"/>
        <v>-0.32843714074263142</v>
      </c>
      <c r="BN98">
        <f t="shared" si="132"/>
        <v>0.31323007753706766</v>
      </c>
      <c r="BO98">
        <f t="shared" si="133"/>
        <v>0.68676992246293234</v>
      </c>
      <c r="BP98">
        <v>6199</v>
      </c>
      <c r="BQ98">
        <v>290.00000000000011</v>
      </c>
      <c r="BR98">
        <v>720.7</v>
      </c>
      <c r="BS98">
        <v>85</v>
      </c>
      <c r="BT98">
        <v>8075.95</v>
      </c>
      <c r="BU98">
        <v>720.39</v>
      </c>
      <c r="BV98">
        <v>0.31</v>
      </c>
      <c r="BW98">
        <v>300.00000000000011</v>
      </c>
      <c r="BX98">
        <v>19.3</v>
      </c>
      <c r="BY98">
        <v>742.47581418652283</v>
      </c>
      <c r="BZ98">
        <v>2.710576336100432</v>
      </c>
      <c r="CA98">
        <v>-17.836674756331931</v>
      </c>
      <c r="CB98">
        <v>2.0068187733720548</v>
      </c>
      <c r="CC98">
        <v>0.73831081025694656</v>
      </c>
      <c r="CD98">
        <v>-4.158140600667411E-3</v>
      </c>
      <c r="CE98">
        <v>289.99999999999989</v>
      </c>
      <c r="CF98">
        <v>719.42</v>
      </c>
      <c r="CG98">
        <v>755</v>
      </c>
      <c r="CH98">
        <v>8047.15</v>
      </c>
      <c r="CI98">
        <v>720.31</v>
      </c>
      <c r="CJ98">
        <v>-0.89</v>
      </c>
      <c r="CX98">
        <f t="shared" si="134"/>
        <v>1799.95</v>
      </c>
      <c r="CY98">
        <f t="shared" si="135"/>
        <v>1513.142699651162</v>
      </c>
      <c r="CZ98">
        <f t="shared" si="136"/>
        <v>0.84065818475577769</v>
      </c>
      <c r="DA98">
        <f t="shared" si="137"/>
        <v>0.16087029657865096</v>
      </c>
      <c r="DB98">
        <v>6</v>
      </c>
      <c r="DC98">
        <v>0.5</v>
      </c>
      <c r="DD98" t="s">
        <v>422</v>
      </c>
      <c r="DE98">
        <v>2</v>
      </c>
      <c r="DF98">
        <v>1689016245.5</v>
      </c>
      <c r="DG98">
        <v>8.1627100000000006</v>
      </c>
      <c r="DH98">
        <v>9.9133600000000008</v>
      </c>
      <c r="DI98">
        <v>28.519200000000001</v>
      </c>
      <c r="DJ98">
        <v>20.524799999999999</v>
      </c>
      <c r="DK98">
        <v>8.1298300000000001</v>
      </c>
      <c r="DL98">
        <v>28.473099999999999</v>
      </c>
      <c r="DM98">
        <v>500.08800000000002</v>
      </c>
      <c r="DN98">
        <v>99.008700000000005</v>
      </c>
      <c r="DO98">
        <v>9.9682499999999993E-2</v>
      </c>
      <c r="DP98">
        <v>30.208500000000001</v>
      </c>
      <c r="DQ98">
        <v>29.9316</v>
      </c>
      <c r="DR98">
        <v>999.9</v>
      </c>
      <c r="DS98">
        <v>0</v>
      </c>
      <c r="DT98">
        <v>0</v>
      </c>
      <c r="DU98">
        <v>10034.4</v>
      </c>
      <c r="DV98">
        <v>0</v>
      </c>
      <c r="DW98">
        <v>783.01</v>
      </c>
      <c r="DX98">
        <v>-1.75065</v>
      </c>
      <c r="DY98">
        <v>8.4023299999999992</v>
      </c>
      <c r="DZ98">
        <v>10.1211</v>
      </c>
      <c r="EA98">
        <v>7.9943499999999998</v>
      </c>
      <c r="EB98">
        <v>9.9133600000000008</v>
      </c>
      <c r="EC98">
        <v>20.524799999999999</v>
      </c>
      <c r="ED98">
        <v>2.8236400000000001</v>
      </c>
      <c r="EE98">
        <v>2.03213</v>
      </c>
      <c r="EF98">
        <v>23.023</v>
      </c>
      <c r="EG98">
        <v>17.696999999999999</v>
      </c>
      <c r="EH98">
        <v>1799.95</v>
      </c>
      <c r="EI98">
        <v>0.97799899999999995</v>
      </c>
      <c r="EJ98">
        <v>2.2001199999999999E-2</v>
      </c>
      <c r="EK98">
        <v>0</v>
      </c>
      <c r="EL98">
        <v>685.36599999999999</v>
      </c>
      <c r="EM98">
        <v>5.0005300000000004</v>
      </c>
      <c r="EN98">
        <v>13733.4</v>
      </c>
      <c r="EO98">
        <v>16034.8</v>
      </c>
      <c r="EP98">
        <v>47.25</v>
      </c>
      <c r="EQ98">
        <v>48.5</v>
      </c>
      <c r="ER98">
        <v>47.811999999999998</v>
      </c>
      <c r="ES98">
        <v>48.311999999999998</v>
      </c>
      <c r="ET98">
        <v>48.625</v>
      </c>
      <c r="EU98">
        <v>1755.46</v>
      </c>
      <c r="EV98">
        <v>39.49</v>
      </c>
      <c r="EW98">
        <v>0</v>
      </c>
      <c r="EX98">
        <v>111.5999999046326</v>
      </c>
      <c r="EY98">
        <v>0</v>
      </c>
      <c r="EZ98">
        <v>685.41238461538467</v>
      </c>
      <c r="FA98">
        <v>0.1491282047945274</v>
      </c>
      <c r="FB98">
        <v>-2984.4717942657498</v>
      </c>
      <c r="FC98">
        <v>14035.915384615389</v>
      </c>
      <c r="FD98">
        <v>15</v>
      </c>
      <c r="FE98">
        <v>1689016207</v>
      </c>
      <c r="FF98" t="s">
        <v>839</v>
      </c>
      <c r="FG98">
        <v>1689016191.5</v>
      </c>
      <c r="FH98">
        <v>1689016207</v>
      </c>
      <c r="FI98">
        <v>89</v>
      </c>
      <c r="FJ98">
        <v>-2.4E-2</v>
      </c>
      <c r="FK98">
        <v>-4.0000000000000001E-3</v>
      </c>
      <c r="FL98">
        <v>3.2000000000000001E-2</v>
      </c>
      <c r="FM98">
        <v>3.5000000000000003E-2</v>
      </c>
      <c r="FN98">
        <v>10</v>
      </c>
      <c r="FO98">
        <v>20</v>
      </c>
      <c r="FP98">
        <v>0.2</v>
      </c>
      <c r="FQ98">
        <v>0.01</v>
      </c>
      <c r="FR98">
        <v>1.397523500982454</v>
      </c>
      <c r="FS98">
        <v>-0.69739255118520671</v>
      </c>
      <c r="FT98">
        <v>7.1258286573047266E-2</v>
      </c>
      <c r="FU98">
        <v>1</v>
      </c>
      <c r="FV98">
        <v>0.50474983350256697</v>
      </c>
      <c r="FW98">
        <v>2.8128832382021511E-2</v>
      </c>
      <c r="FX98">
        <v>2.1190136425607502E-3</v>
      </c>
      <c r="FY98">
        <v>1</v>
      </c>
      <c r="FZ98">
        <v>2</v>
      </c>
      <c r="GA98">
        <v>2</v>
      </c>
      <c r="GB98" t="s">
        <v>424</v>
      </c>
      <c r="GC98">
        <v>3.1236799999999998</v>
      </c>
      <c r="GD98">
        <v>2.76728</v>
      </c>
      <c r="GE98">
        <v>2.1740599999999998E-3</v>
      </c>
      <c r="GF98">
        <v>2.6530500000000001E-3</v>
      </c>
      <c r="GG98">
        <v>0.12035700000000001</v>
      </c>
      <c r="GH98">
        <v>9.5732200000000003E-2</v>
      </c>
      <c r="GI98">
        <v>23789.7</v>
      </c>
      <c r="GJ98">
        <v>24665.599999999999</v>
      </c>
      <c r="GK98">
        <v>23709.1</v>
      </c>
      <c r="GL98">
        <v>25048.3</v>
      </c>
      <c r="GM98">
        <v>30055.200000000001</v>
      </c>
      <c r="GN98">
        <v>31767.1</v>
      </c>
      <c r="GO98">
        <v>37790.400000000001</v>
      </c>
      <c r="GP98">
        <v>38968.9</v>
      </c>
      <c r="GQ98">
        <v>2.1143999999999998</v>
      </c>
      <c r="GR98">
        <v>1.6877</v>
      </c>
      <c r="GS98">
        <v>-2.48402E-2</v>
      </c>
      <c r="GT98">
        <v>0</v>
      </c>
      <c r="GU98">
        <v>30.335699999999999</v>
      </c>
      <c r="GV98">
        <v>999.9</v>
      </c>
      <c r="GW98">
        <v>28.4</v>
      </c>
      <c r="GX98">
        <v>47.6</v>
      </c>
      <c r="GY98">
        <v>31.5763</v>
      </c>
      <c r="GZ98">
        <v>61.418399999999998</v>
      </c>
      <c r="HA98">
        <v>28.3293</v>
      </c>
      <c r="HB98">
        <v>1</v>
      </c>
      <c r="HC98">
        <v>0.66527199999999997</v>
      </c>
      <c r="HD98">
        <v>2.1791999999999998</v>
      </c>
      <c r="HE98">
        <v>20.302199999999999</v>
      </c>
      <c r="HF98">
        <v>5.2521800000000001</v>
      </c>
      <c r="HG98">
        <v>12.0099</v>
      </c>
      <c r="HH98">
        <v>4.9782000000000002</v>
      </c>
      <c r="HI98">
        <v>3.2930000000000001</v>
      </c>
      <c r="HJ98">
        <v>9999</v>
      </c>
      <c r="HK98">
        <v>9999</v>
      </c>
      <c r="HL98">
        <v>9999</v>
      </c>
      <c r="HM98">
        <v>236</v>
      </c>
      <c r="HN98">
        <v>1.8756299999999999</v>
      </c>
      <c r="HO98">
        <v>1.8767799999999999</v>
      </c>
      <c r="HP98">
        <v>1.8827700000000001</v>
      </c>
      <c r="HQ98">
        <v>1.8859900000000001</v>
      </c>
      <c r="HR98">
        <v>1.87683</v>
      </c>
      <c r="HS98">
        <v>1.8831500000000001</v>
      </c>
      <c r="HT98">
        <v>1.8821699999999999</v>
      </c>
      <c r="HU98">
        <v>1.88567</v>
      </c>
      <c r="HV98">
        <v>0</v>
      </c>
      <c r="HW98">
        <v>0</v>
      </c>
      <c r="HX98">
        <v>0</v>
      </c>
      <c r="HY98">
        <v>0</v>
      </c>
      <c r="HZ98" t="s">
        <v>425</v>
      </c>
      <c r="IA98" t="s">
        <v>426</v>
      </c>
      <c r="IB98" t="s">
        <v>427</v>
      </c>
      <c r="IC98" t="s">
        <v>427</v>
      </c>
      <c r="ID98" t="s">
        <v>427</v>
      </c>
      <c r="IE98" t="s">
        <v>427</v>
      </c>
      <c r="IF98">
        <v>0</v>
      </c>
      <c r="IG98">
        <v>100</v>
      </c>
      <c r="IH98">
        <v>100</v>
      </c>
      <c r="II98">
        <v>3.3000000000000002E-2</v>
      </c>
      <c r="IJ98">
        <v>4.6100000000000002E-2</v>
      </c>
      <c r="IK98">
        <v>3.6319670449370553E-2</v>
      </c>
      <c r="IL98">
        <v>-4.2852564239613137E-4</v>
      </c>
      <c r="IM98">
        <v>6.4980710991155998E-7</v>
      </c>
      <c r="IN98">
        <v>-2.7237938963984961E-10</v>
      </c>
      <c r="IO98">
        <v>-1.30241351350359E-2</v>
      </c>
      <c r="IP98">
        <v>6.6907473102813496E-3</v>
      </c>
      <c r="IQ98">
        <v>-3.3673306238274028E-4</v>
      </c>
      <c r="IR98">
        <v>6.1311374003140313E-6</v>
      </c>
      <c r="IS98">
        <v>3</v>
      </c>
      <c r="IT98">
        <v>2101</v>
      </c>
      <c r="IU98">
        <v>1</v>
      </c>
      <c r="IV98">
        <v>32</v>
      </c>
      <c r="IW98">
        <v>0.9</v>
      </c>
      <c r="IX98">
        <v>0.6</v>
      </c>
      <c r="IY98">
        <v>0.162354</v>
      </c>
      <c r="IZ98">
        <v>2.79419</v>
      </c>
      <c r="JA98">
        <v>1.6003400000000001</v>
      </c>
      <c r="JB98">
        <v>2.32666</v>
      </c>
      <c r="JC98">
        <v>1.5502899999999999</v>
      </c>
      <c r="JD98">
        <v>2.4548299999999998</v>
      </c>
      <c r="JE98">
        <v>49.484200000000001</v>
      </c>
      <c r="JF98">
        <v>24.148800000000001</v>
      </c>
      <c r="JG98">
        <v>18</v>
      </c>
      <c r="JH98">
        <v>584.00300000000004</v>
      </c>
      <c r="JI98">
        <v>362.721</v>
      </c>
      <c r="JJ98">
        <v>27.287400000000002</v>
      </c>
      <c r="JK98">
        <v>35.113500000000002</v>
      </c>
      <c r="JL98">
        <v>29.999600000000001</v>
      </c>
      <c r="JM98">
        <v>35.209400000000002</v>
      </c>
      <c r="JN98">
        <v>35.203899999999997</v>
      </c>
      <c r="JO98">
        <v>3.2225600000000001</v>
      </c>
      <c r="JP98">
        <v>40.479999999999997</v>
      </c>
      <c r="JQ98">
        <v>0</v>
      </c>
      <c r="JR98">
        <v>27.309899999999999</v>
      </c>
      <c r="JS98">
        <v>10</v>
      </c>
      <c r="JT98">
        <v>20.503</v>
      </c>
      <c r="JU98">
        <v>98.569800000000001</v>
      </c>
      <c r="JV98">
        <v>98.6297</v>
      </c>
    </row>
    <row r="99" spans="1:282" x14ac:dyDescent="0.25">
      <c r="A99">
        <v>83</v>
      </c>
      <c r="B99">
        <v>1689016420</v>
      </c>
      <c r="C99">
        <v>16597.400000095371</v>
      </c>
      <c r="D99" t="s">
        <v>840</v>
      </c>
      <c r="E99" t="s">
        <v>841</v>
      </c>
      <c r="F99" t="s">
        <v>414</v>
      </c>
      <c r="G99" t="s">
        <v>415</v>
      </c>
      <c r="H99" t="s">
        <v>31</v>
      </c>
      <c r="I99" t="s">
        <v>417</v>
      </c>
      <c r="J99" t="s">
        <v>416</v>
      </c>
      <c r="K99">
        <v>1689016420</v>
      </c>
      <c r="L99">
        <f t="shared" si="92"/>
        <v>6.0652230695697742E-3</v>
      </c>
      <c r="M99">
        <f t="shared" si="93"/>
        <v>6.0652230695697744</v>
      </c>
      <c r="N99">
        <f t="shared" si="94"/>
        <v>45.50889623372445</v>
      </c>
      <c r="O99">
        <f t="shared" si="95"/>
        <v>342.96300000000002</v>
      </c>
      <c r="P99">
        <f t="shared" si="96"/>
        <v>155.6599343668079</v>
      </c>
      <c r="Q99">
        <f t="shared" si="97"/>
        <v>15.426806230434343</v>
      </c>
      <c r="R99">
        <f t="shared" si="98"/>
        <v>33.989631093771301</v>
      </c>
      <c r="S99">
        <f t="shared" si="99"/>
        <v>0.42972556907403753</v>
      </c>
      <c r="T99">
        <f t="shared" si="100"/>
        <v>2.9108485931305701</v>
      </c>
      <c r="U99">
        <f t="shared" si="101"/>
        <v>0.39733810483647181</v>
      </c>
      <c r="V99">
        <f t="shared" si="102"/>
        <v>0.25104247886725928</v>
      </c>
      <c r="W99">
        <f t="shared" si="103"/>
        <v>289.54949332654991</v>
      </c>
      <c r="X99">
        <f t="shared" si="104"/>
        <v>30.526738117999518</v>
      </c>
      <c r="Y99">
        <f t="shared" si="105"/>
        <v>30.086200000000002</v>
      </c>
      <c r="Z99">
        <f t="shared" si="106"/>
        <v>4.2815899226420742</v>
      </c>
      <c r="AA99">
        <f t="shared" si="107"/>
        <v>64.772235219076492</v>
      </c>
      <c r="AB99">
        <f t="shared" si="108"/>
        <v>2.8229996962259696</v>
      </c>
      <c r="AC99">
        <f t="shared" si="109"/>
        <v>4.3583484291963259</v>
      </c>
      <c r="AD99">
        <f t="shared" si="110"/>
        <v>1.4585902264161046</v>
      </c>
      <c r="AE99">
        <f t="shared" si="111"/>
        <v>-267.47633736802703</v>
      </c>
      <c r="AF99">
        <f t="shared" si="112"/>
        <v>48.632504532449694</v>
      </c>
      <c r="AG99">
        <f t="shared" si="113"/>
        <v>3.7237691163496986</v>
      </c>
      <c r="AH99">
        <f t="shared" si="114"/>
        <v>74.429429607322248</v>
      </c>
      <c r="AI99">
        <v>0</v>
      </c>
      <c r="AJ99">
        <v>0</v>
      </c>
      <c r="AK99">
        <f t="shared" si="115"/>
        <v>1</v>
      </c>
      <c r="AL99">
        <f t="shared" si="116"/>
        <v>0</v>
      </c>
      <c r="AM99">
        <f t="shared" si="117"/>
        <v>51731.354105921506</v>
      </c>
      <c r="AN99" t="s">
        <v>419</v>
      </c>
      <c r="AO99">
        <v>9967.0300000000007</v>
      </c>
      <c r="AP99">
        <v>178.94153846153841</v>
      </c>
      <c r="AQ99">
        <v>603.15</v>
      </c>
      <c r="AR99">
        <f t="shared" si="118"/>
        <v>0.7033216638290003</v>
      </c>
      <c r="AS99">
        <v>-3.2649104154664181</v>
      </c>
      <c r="AT99" t="s">
        <v>842</v>
      </c>
      <c r="AU99">
        <v>8061.13</v>
      </c>
      <c r="AV99">
        <v>680.41176000000007</v>
      </c>
      <c r="AW99">
        <v>1116.5197451189399</v>
      </c>
      <c r="AX99">
        <f t="shared" si="119"/>
        <v>0.39059585558200982</v>
      </c>
      <c r="AY99">
        <v>0.5</v>
      </c>
      <c r="AZ99">
        <f t="shared" si="120"/>
        <v>1513.0925996510621</v>
      </c>
      <c r="BA99">
        <f t="shared" si="121"/>
        <v>45.50889623372445</v>
      </c>
      <c r="BB99">
        <f t="shared" si="122"/>
        <v>295.503849267757</v>
      </c>
      <c r="BC99">
        <f t="shared" si="123"/>
        <v>3.2234515363064174E-2</v>
      </c>
      <c r="BD99">
        <f t="shared" si="124"/>
        <v>-0.45979459598741984</v>
      </c>
      <c r="BE99">
        <f t="shared" si="125"/>
        <v>207.20685221205525</v>
      </c>
      <c r="BF99" t="s">
        <v>843</v>
      </c>
      <c r="BG99">
        <v>544.83000000000004</v>
      </c>
      <c r="BH99">
        <f t="shared" si="126"/>
        <v>544.83000000000004</v>
      </c>
      <c r="BI99">
        <f t="shared" si="127"/>
        <v>0.51202833413218252</v>
      </c>
      <c r="BJ99">
        <f t="shared" si="128"/>
        <v>0.76284031477284542</v>
      </c>
      <c r="BK99">
        <f t="shared" si="129"/>
        <v>-8.8026362331779922</v>
      </c>
      <c r="BL99">
        <f t="shared" si="130"/>
        <v>0.46514304835830844</v>
      </c>
      <c r="BM99">
        <f t="shared" si="131"/>
        <v>-1.210182708890625</v>
      </c>
      <c r="BN99">
        <f t="shared" si="132"/>
        <v>0.61083348808916738</v>
      </c>
      <c r="BO99">
        <f t="shared" si="133"/>
        <v>0.38916651191083262</v>
      </c>
      <c r="BP99">
        <v>6201</v>
      </c>
      <c r="BQ99">
        <v>290.00000000000011</v>
      </c>
      <c r="BR99">
        <v>929.63</v>
      </c>
      <c r="BS99">
        <v>295</v>
      </c>
      <c r="BT99">
        <v>8061.13</v>
      </c>
      <c r="BU99">
        <v>933.51</v>
      </c>
      <c r="BV99">
        <v>-3.88</v>
      </c>
      <c r="BW99">
        <v>300.00000000000011</v>
      </c>
      <c r="BX99">
        <v>19.3</v>
      </c>
      <c r="BY99">
        <v>1116.5197451189399</v>
      </c>
      <c r="BZ99">
        <v>5.6228332285660132</v>
      </c>
      <c r="CA99">
        <v>-147.52873615137901</v>
      </c>
      <c r="CB99">
        <v>4.1640649719232634</v>
      </c>
      <c r="CC99">
        <v>0.97817981252804964</v>
      </c>
      <c r="CD99">
        <v>-4.1596576195773198E-3</v>
      </c>
      <c r="CE99">
        <v>289.99999999999989</v>
      </c>
      <c r="CF99">
        <v>913.57</v>
      </c>
      <c r="CG99">
        <v>625</v>
      </c>
      <c r="CH99">
        <v>8053.02</v>
      </c>
      <c r="CI99">
        <v>933.32</v>
      </c>
      <c r="CJ99">
        <v>-19.75</v>
      </c>
      <c r="CX99">
        <f t="shared" si="134"/>
        <v>1799.89</v>
      </c>
      <c r="CY99">
        <f t="shared" si="135"/>
        <v>1513.0925996510621</v>
      </c>
      <c r="CZ99">
        <f t="shared" si="136"/>
        <v>0.84065837337340732</v>
      </c>
      <c r="DA99">
        <f t="shared" si="137"/>
        <v>0.16087066061067615</v>
      </c>
      <c r="DB99">
        <v>6</v>
      </c>
      <c r="DC99">
        <v>0.5</v>
      </c>
      <c r="DD99" t="s">
        <v>422</v>
      </c>
      <c r="DE99">
        <v>2</v>
      </c>
      <c r="DF99">
        <v>1689016420</v>
      </c>
      <c r="DG99">
        <v>342.96300000000002</v>
      </c>
      <c r="DH99">
        <v>400.06299999999999</v>
      </c>
      <c r="DI99">
        <v>28.4847</v>
      </c>
      <c r="DJ99">
        <v>21.4146</v>
      </c>
      <c r="DK99">
        <v>343.34</v>
      </c>
      <c r="DL99">
        <v>28.4374</v>
      </c>
      <c r="DM99">
        <v>500.06</v>
      </c>
      <c r="DN99">
        <v>99.005899999999997</v>
      </c>
      <c r="DO99">
        <v>9.9925100000000003E-2</v>
      </c>
      <c r="DP99">
        <v>30.396100000000001</v>
      </c>
      <c r="DQ99">
        <v>30.086200000000002</v>
      </c>
      <c r="DR99">
        <v>999.9</v>
      </c>
      <c r="DS99">
        <v>0</v>
      </c>
      <c r="DT99">
        <v>0</v>
      </c>
      <c r="DU99">
        <v>9993.1200000000008</v>
      </c>
      <c r="DV99">
        <v>0</v>
      </c>
      <c r="DW99">
        <v>1681.57</v>
      </c>
      <c r="DX99">
        <v>-57.1</v>
      </c>
      <c r="DY99">
        <v>353.01900000000001</v>
      </c>
      <c r="DZ99">
        <v>408.81799999999998</v>
      </c>
      <c r="EA99">
        <v>7.0700900000000004</v>
      </c>
      <c r="EB99">
        <v>400.06299999999999</v>
      </c>
      <c r="EC99">
        <v>21.4146</v>
      </c>
      <c r="ED99">
        <v>2.82016</v>
      </c>
      <c r="EE99">
        <v>2.12018</v>
      </c>
      <c r="EF99">
        <v>23.002500000000001</v>
      </c>
      <c r="EG99">
        <v>18.371600000000001</v>
      </c>
      <c r="EH99">
        <v>1799.89</v>
      </c>
      <c r="EI99">
        <v>0.97799499999999995</v>
      </c>
      <c r="EJ99">
        <v>2.2004699999999999E-2</v>
      </c>
      <c r="EK99">
        <v>0</v>
      </c>
      <c r="EL99">
        <v>679.94299999999998</v>
      </c>
      <c r="EM99">
        <v>5.0005300000000004</v>
      </c>
      <c r="EN99">
        <v>14669</v>
      </c>
      <c r="EO99">
        <v>16034.2</v>
      </c>
      <c r="EP99">
        <v>47.061999999999998</v>
      </c>
      <c r="EQ99">
        <v>48.125</v>
      </c>
      <c r="ER99">
        <v>47.686999999999998</v>
      </c>
      <c r="ES99">
        <v>47.875</v>
      </c>
      <c r="ET99">
        <v>48.436999999999998</v>
      </c>
      <c r="EU99">
        <v>1755.39</v>
      </c>
      <c r="EV99">
        <v>39.5</v>
      </c>
      <c r="EW99">
        <v>0</v>
      </c>
      <c r="EX99">
        <v>172.4000000953674</v>
      </c>
      <c r="EY99">
        <v>0</v>
      </c>
      <c r="EZ99">
        <v>680.41176000000007</v>
      </c>
      <c r="FA99">
        <v>-5.3354615362694826</v>
      </c>
      <c r="FB99">
        <v>-243.62307644250001</v>
      </c>
      <c r="FC99">
        <v>14690.263999999999</v>
      </c>
      <c r="FD99">
        <v>15</v>
      </c>
      <c r="FE99">
        <v>1689016324</v>
      </c>
      <c r="FF99" t="s">
        <v>844</v>
      </c>
      <c r="FG99">
        <v>1689016320</v>
      </c>
      <c r="FH99">
        <v>1689016324</v>
      </c>
      <c r="FI99">
        <v>90</v>
      </c>
      <c r="FJ99">
        <v>-0.33200000000000002</v>
      </c>
      <c r="FK99">
        <v>1E-3</v>
      </c>
      <c r="FL99">
        <v>-0.38</v>
      </c>
      <c r="FM99">
        <v>3.6999999999999998E-2</v>
      </c>
      <c r="FN99">
        <v>400</v>
      </c>
      <c r="FO99">
        <v>20</v>
      </c>
      <c r="FP99">
        <v>7.0000000000000007E-2</v>
      </c>
      <c r="FQ99">
        <v>0.01</v>
      </c>
      <c r="FR99">
        <v>45.42180921165798</v>
      </c>
      <c r="FS99">
        <v>0.67431713969178275</v>
      </c>
      <c r="FT99">
        <v>8.2098461276061338E-2</v>
      </c>
      <c r="FU99">
        <v>1</v>
      </c>
      <c r="FV99">
        <v>0.43040068370157569</v>
      </c>
      <c r="FW99">
        <v>4.2830825446671279E-3</v>
      </c>
      <c r="FX99">
        <v>4.2551341999544562E-4</v>
      </c>
      <c r="FY99">
        <v>1</v>
      </c>
      <c r="FZ99">
        <v>2</v>
      </c>
      <c r="GA99">
        <v>2</v>
      </c>
      <c r="GB99" t="s">
        <v>424</v>
      </c>
      <c r="GC99">
        <v>3.1233200000000001</v>
      </c>
      <c r="GD99">
        <v>2.7671600000000001</v>
      </c>
      <c r="GE99">
        <v>7.8479300000000002E-2</v>
      </c>
      <c r="GF99">
        <v>8.8487999999999997E-2</v>
      </c>
      <c r="GG99">
        <v>0.120258</v>
      </c>
      <c r="GH99">
        <v>9.8688100000000001E-2</v>
      </c>
      <c r="GI99">
        <v>21979.599999999999</v>
      </c>
      <c r="GJ99">
        <v>22553.3</v>
      </c>
      <c r="GK99">
        <v>23715.4</v>
      </c>
      <c r="GL99">
        <v>25056.7</v>
      </c>
      <c r="GM99">
        <v>30066.1</v>
      </c>
      <c r="GN99">
        <v>31673.599999999999</v>
      </c>
      <c r="GO99">
        <v>37799.9</v>
      </c>
      <c r="GP99">
        <v>38981.699999999997</v>
      </c>
      <c r="GQ99">
        <v>2.1129699999999998</v>
      </c>
      <c r="GR99">
        <v>1.69333</v>
      </c>
      <c r="GS99">
        <v>5.7444000000000002E-3</v>
      </c>
      <c r="GT99">
        <v>0</v>
      </c>
      <c r="GU99">
        <v>29.992699999999999</v>
      </c>
      <c r="GV99">
        <v>999.9</v>
      </c>
      <c r="GW99">
        <v>28.2</v>
      </c>
      <c r="GX99">
        <v>47.6</v>
      </c>
      <c r="GY99">
        <v>31.355699999999999</v>
      </c>
      <c r="GZ99">
        <v>61.438400000000001</v>
      </c>
      <c r="HA99">
        <v>28.273199999999999</v>
      </c>
      <c r="HB99">
        <v>1</v>
      </c>
      <c r="HC99">
        <v>0.655694</v>
      </c>
      <c r="HD99">
        <v>2.7275900000000002</v>
      </c>
      <c r="HE99">
        <v>20.293900000000001</v>
      </c>
      <c r="HF99">
        <v>5.2490399999999999</v>
      </c>
      <c r="HG99">
        <v>12.0099</v>
      </c>
      <c r="HH99">
        <v>4.9791499999999997</v>
      </c>
      <c r="HI99">
        <v>3.2930000000000001</v>
      </c>
      <c r="HJ99">
        <v>9999</v>
      </c>
      <c r="HK99">
        <v>9999</v>
      </c>
      <c r="HL99">
        <v>9999</v>
      </c>
      <c r="HM99">
        <v>236</v>
      </c>
      <c r="HN99">
        <v>1.8756299999999999</v>
      </c>
      <c r="HO99">
        <v>1.87677</v>
      </c>
      <c r="HP99">
        <v>1.8827799999999999</v>
      </c>
      <c r="HQ99">
        <v>1.8859900000000001</v>
      </c>
      <c r="HR99">
        <v>1.87683</v>
      </c>
      <c r="HS99">
        <v>1.88317</v>
      </c>
      <c r="HT99">
        <v>1.8821699999999999</v>
      </c>
      <c r="HU99">
        <v>1.88567</v>
      </c>
      <c r="HV99">
        <v>0</v>
      </c>
      <c r="HW99">
        <v>0</v>
      </c>
      <c r="HX99">
        <v>0</v>
      </c>
      <c r="HY99">
        <v>0</v>
      </c>
      <c r="HZ99" t="s">
        <v>425</v>
      </c>
      <c r="IA99" t="s">
        <v>426</v>
      </c>
      <c r="IB99" t="s">
        <v>427</v>
      </c>
      <c r="IC99" t="s">
        <v>427</v>
      </c>
      <c r="ID99" t="s">
        <v>427</v>
      </c>
      <c r="IE99" t="s">
        <v>427</v>
      </c>
      <c r="IF99">
        <v>0</v>
      </c>
      <c r="IG99">
        <v>100</v>
      </c>
      <c r="IH99">
        <v>100</v>
      </c>
      <c r="II99">
        <v>-0.377</v>
      </c>
      <c r="IJ99">
        <v>4.7300000000000002E-2</v>
      </c>
      <c r="IK99">
        <v>-0.29514740354720231</v>
      </c>
      <c r="IL99">
        <v>-4.2852564239613137E-4</v>
      </c>
      <c r="IM99">
        <v>6.4980710991155998E-7</v>
      </c>
      <c r="IN99">
        <v>-2.7237938963984961E-10</v>
      </c>
      <c r="IO99">
        <v>-1.164546610683068E-2</v>
      </c>
      <c r="IP99">
        <v>6.6907473102813496E-3</v>
      </c>
      <c r="IQ99">
        <v>-3.3673306238274028E-4</v>
      </c>
      <c r="IR99">
        <v>6.1311374003140313E-6</v>
      </c>
      <c r="IS99">
        <v>3</v>
      </c>
      <c r="IT99">
        <v>2101</v>
      </c>
      <c r="IU99">
        <v>1</v>
      </c>
      <c r="IV99">
        <v>32</v>
      </c>
      <c r="IW99">
        <v>1.7</v>
      </c>
      <c r="IX99">
        <v>1.6</v>
      </c>
      <c r="IY99">
        <v>1.01196</v>
      </c>
      <c r="IZ99">
        <v>2.7355999999999998</v>
      </c>
      <c r="JA99">
        <v>1.6015600000000001</v>
      </c>
      <c r="JB99">
        <v>2.32666</v>
      </c>
      <c r="JC99">
        <v>1.5490699999999999</v>
      </c>
      <c r="JD99">
        <v>2.4621599999999999</v>
      </c>
      <c r="JE99">
        <v>49.357900000000001</v>
      </c>
      <c r="JF99">
        <v>24.157499999999999</v>
      </c>
      <c r="JG99">
        <v>18</v>
      </c>
      <c r="JH99">
        <v>582.702</v>
      </c>
      <c r="JI99">
        <v>365.88299999999998</v>
      </c>
      <c r="JJ99">
        <v>27.4253</v>
      </c>
      <c r="JK99">
        <v>35.017000000000003</v>
      </c>
      <c r="JL99">
        <v>30</v>
      </c>
      <c r="JM99">
        <v>35.174300000000002</v>
      </c>
      <c r="JN99">
        <v>35.173400000000001</v>
      </c>
      <c r="JO99">
        <v>20.241099999999999</v>
      </c>
      <c r="JP99">
        <v>36.416600000000003</v>
      </c>
      <c r="JQ99">
        <v>0</v>
      </c>
      <c r="JR99">
        <v>27.3597</v>
      </c>
      <c r="JS99">
        <v>400</v>
      </c>
      <c r="JT99">
        <v>21.405899999999999</v>
      </c>
      <c r="JU99">
        <v>98.595100000000002</v>
      </c>
      <c r="JV99">
        <v>98.662400000000005</v>
      </c>
    </row>
    <row r="100" spans="1:282" x14ac:dyDescent="0.25">
      <c r="A100">
        <v>84</v>
      </c>
      <c r="B100">
        <v>1689016577.5</v>
      </c>
      <c r="C100">
        <v>16754.900000095371</v>
      </c>
      <c r="D100" t="s">
        <v>845</v>
      </c>
      <c r="E100" t="s">
        <v>846</v>
      </c>
      <c r="F100" t="s">
        <v>414</v>
      </c>
      <c r="G100" t="s">
        <v>415</v>
      </c>
      <c r="H100" t="s">
        <v>31</v>
      </c>
      <c r="I100" t="s">
        <v>417</v>
      </c>
      <c r="J100" t="s">
        <v>416</v>
      </c>
      <c r="K100">
        <v>1689016577.5</v>
      </c>
      <c r="L100">
        <f t="shared" si="92"/>
        <v>5.7313516581632244E-3</v>
      </c>
      <c r="M100">
        <f t="shared" si="93"/>
        <v>5.7313516581632244</v>
      </c>
      <c r="N100">
        <f t="shared" si="94"/>
        <v>50.902964103104843</v>
      </c>
      <c r="O100">
        <f t="shared" si="95"/>
        <v>336.51400000000001</v>
      </c>
      <c r="P100">
        <f t="shared" si="96"/>
        <v>114.76405762286703</v>
      </c>
      <c r="Q100">
        <f t="shared" si="97"/>
        <v>11.373504176715967</v>
      </c>
      <c r="R100">
        <f t="shared" si="98"/>
        <v>33.349669433096011</v>
      </c>
      <c r="S100">
        <f t="shared" si="99"/>
        <v>0.40119919954919286</v>
      </c>
      <c r="T100">
        <f t="shared" si="100"/>
        <v>2.9088339205199163</v>
      </c>
      <c r="U100">
        <f t="shared" si="101"/>
        <v>0.37279861991280333</v>
      </c>
      <c r="V100">
        <f t="shared" si="102"/>
        <v>0.23538306330767331</v>
      </c>
      <c r="W100">
        <f t="shared" si="103"/>
        <v>289.59098932664716</v>
      </c>
      <c r="X100">
        <f t="shared" si="104"/>
        <v>30.31741071772565</v>
      </c>
      <c r="Y100">
        <f t="shared" si="105"/>
        <v>29.9589</v>
      </c>
      <c r="Z100">
        <f t="shared" si="106"/>
        <v>4.2504022548050067</v>
      </c>
      <c r="AA100">
        <f t="shared" si="107"/>
        <v>64.900564077957455</v>
      </c>
      <c r="AB100">
        <f t="shared" si="108"/>
        <v>2.7808503041764001</v>
      </c>
      <c r="AC100">
        <f t="shared" si="109"/>
        <v>4.2847860318071964</v>
      </c>
      <c r="AD100">
        <f t="shared" si="110"/>
        <v>1.4695519506286066</v>
      </c>
      <c r="AE100">
        <f t="shared" si="111"/>
        <v>-252.7526081249982</v>
      </c>
      <c r="AF100">
        <f t="shared" si="112"/>
        <v>22.001993921526665</v>
      </c>
      <c r="AG100">
        <f t="shared" si="113"/>
        <v>1.6823143072768609</v>
      </c>
      <c r="AH100">
        <f t="shared" si="114"/>
        <v>60.522689430452459</v>
      </c>
      <c r="AI100">
        <v>0</v>
      </c>
      <c r="AJ100">
        <v>0</v>
      </c>
      <c r="AK100">
        <f t="shared" si="115"/>
        <v>1</v>
      </c>
      <c r="AL100">
        <f t="shared" si="116"/>
        <v>0</v>
      </c>
      <c r="AM100">
        <f t="shared" si="117"/>
        <v>51724.735446348859</v>
      </c>
      <c r="AN100" t="s">
        <v>419</v>
      </c>
      <c r="AO100">
        <v>9967.0300000000007</v>
      </c>
      <c r="AP100">
        <v>178.94153846153841</v>
      </c>
      <c r="AQ100">
        <v>603.15</v>
      </c>
      <c r="AR100">
        <f t="shared" si="118"/>
        <v>0.7033216638290003</v>
      </c>
      <c r="AS100">
        <v>-3.2649104154664181</v>
      </c>
      <c r="AT100" t="s">
        <v>847</v>
      </c>
      <c r="AU100">
        <v>8062.54</v>
      </c>
      <c r="AV100">
        <v>728.99507692307691</v>
      </c>
      <c r="AW100">
        <v>1175.948142823087</v>
      </c>
      <c r="AX100">
        <f t="shared" si="119"/>
        <v>0.38007889091691949</v>
      </c>
      <c r="AY100">
        <v>0.5</v>
      </c>
      <c r="AZ100">
        <f t="shared" si="120"/>
        <v>1513.3109996511125</v>
      </c>
      <c r="BA100">
        <f t="shared" si="121"/>
        <v>50.902964103104843</v>
      </c>
      <c r="BB100">
        <f t="shared" si="122"/>
        <v>287.58878317988479</v>
      </c>
      <c r="BC100">
        <f t="shared" si="123"/>
        <v>3.5794277931673946E-2</v>
      </c>
      <c r="BD100">
        <f t="shared" si="124"/>
        <v>-0.48709472974545986</v>
      </c>
      <c r="BE100">
        <f t="shared" si="125"/>
        <v>209.16858574569989</v>
      </c>
      <c r="BF100" t="s">
        <v>848</v>
      </c>
      <c r="BG100">
        <v>567.51</v>
      </c>
      <c r="BH100">
        <f t="shared" si="126"/>
        <v>567.51</v>
      </c>
      <c r="BI100">
        <f t="shared" si="127"/>
        <v>0.51740218863938647</v>
      </c>
      <c r="BJ100">
        <f t="shared" si="128"/>
        <v>0.73459080626700413</v>
      </c>
      <c r="BK100">
        <f t="shared" si="129"/>
        <v>-16.07177729582175</v>
      </c>
      <c r="BL100">
        <f t="shared" si="130"/>
        <v>0.44829499016831953</v>
      </c>
      <c r="BM100">
        <f t="shared" si="131"/>
        <v>-1.3502751471428471</v>
      </c>
      <c r="BN100">
        <f t="shared" si="132"/>
        <v>0.5718661780600437</v>
      </c>
      <c r="BO100">
        <f t="shared" si="133"/>
        <v>0.4281338219399563</v>
      </c>
      <c r="BP100">
        <v>6203</v>
      </c>
      <c r="BQ100">
        <v>290.00000000000011</v>
      </c>
      <c r="BR100">
        <v>1019.67</v>
      </c>
      <c r="BS100">
        <v>265</v>
      </c>
      <c r="BT100">
        <v>8062.54</v>
      </c>
      <c r="BU100">
        <v>1022.31</v>
      </c>
      <c r="BV100">
        <v>-2.64</v>
      </c>
      <c r="BW100">
        <v>300.00000000000011</v>
      </c>
      <c r="BX100">
        <v>19.3</v>
      </c>
      <c r="BY100">
        <v>1175.948142823087</v>
      </c>
      <c r="BZ100">
        <v>4.2569048595561636</v>
      </c>
      <c r="CA100">
        <v>-123.8676226659541</v>
      </c>
      <c r="CB100">
        <v>3.1525866497161812</v>
      </c>
      <c r="CC100">
        <v>0.98218564618686299</v>
      </c>
      <c r="CD100">
        <v>-4.1597127919911023E-3</v>
      </c>
      <c r="CE100">
        <v>289.99999999999989</v>
      </c>
      <c r="CF100">
        <v>1013.18</v>
      </c>
      <c r="CG100">
        <v>635</v>
      </c>
      <c r="CH100">
        <v>8052.92</v>
      </c>
      <c r="CI100">
        <v>1022.13</v>
      </c>
      <c r="CJ100">
        <v>-8.9499999999999993</v>
      </c>
      <c r="CX100">
        <f t="shared" si="134"/>
        <v>1800.15</v>
      </c>
      <c r="CY100">
        <f t="shared" si="135"/>
        <v>1513.3109996511125</v>
      </c>
      <c r="CZ100">
        <f t="shared" si="136"/>
        <v>0.84065827828298334</v>
      </c>
      <c r="DA100">
        <f t="shared" si="137"/>
        <v>0.1608704770861579</v>
      </c>
      <c r="DB100">
        <v>6</v>
      </c>
      <c r="DC100">
        <v>0.5</v>
      </c>
      <c r="DD100" t="s">
        <v>422</v>
      </c>
      <c r="DE100">
        <v>2</v>
      </c>
      <c r="DF100">
        <v>1689016577.5</v>
      </c>
      <c r="DG100">
        <v>336.51400000000001</v>
      </c>
      <c r="DH100">
        <v>399.90499999999997</v>
      </c>
      <c r="DI100">
        <v>28.060099999999998</v>
      </c>
      <c r="DJ100">
        <v>21.376200000000001</v>
      </c>
      <c r="DK100">
        <v>336.94799999999998</v>
      </c>
      <c r="DL100">
        <v>28.010400000000001</v>
      </c>
      <c r="DM100">
        <v>500.05500000000001</v>
      </c>
      <c r="DN100">
        <v>99.003200000000007</v>
      </c>
      <c r="DO100">
        <v>0.100164</v>
      </c>
      <c r="DP100">
        <v>30.0992</v>
      </c>
      <c r="DQ100">
        <v>29.9589</v>
      </c>
      <c r="DR100">
        <v>999.9</v>
      </c>
      <c r="DS100">
        <v>0</v>
      </c>
      <c r="DT100">
        <v>0</v>
      </c>
      <c r="DU100">
        <v>9981.8799999999992</v>
      </c>
      <c r="DV100">
        <v>0</v>
      </c>
      <c r="DW100">
        <v>1642.78</v>
      </c>
      <c r="DX100">
        <v>-63.391199999999998</v>
      </c>
      <c r="DY100">
        <v>346.22899999999998</v>
      </c>
      <c r="DZ100">
        <v>408.64</v>
      </c>
      <c r="EA100">
        <v>6.6839199999999996</v>
      </c>
      <c r="EB100">
        <v>399.90499999999997</v>
      </c>
      <c r="EC100">
        <v>21.376200000000001</v>
      </c>
      <c r="ED100">
        <v>2.7780399999999998</v>
      </c>
      <c r="EE100">
        <v>2.1163099999999999</v>
      </c>
      <c r="EF100">
        <v>22.754200000000001</v>
      </c>
      <c r="EG100">
        <v>18.342500000000001</v>
      </c>
      <c r="EH100">
        <v>1800.15</v>
      </c>
      <c r="EI100">
        <v>0.97799899999999995</v>
      </c>
      <c r="EJ100">
        <v>2.2001199999999999E-2</v>
      </c>
      <c r="EK100">
        <v>0</v>
      </c>
      <c r="EL100">
        <v>730.24199999999996</v>
      </c>
      <c r="EM100">
        <v>5.0005300000000004</v>
      </c>
      <c r="EN100">
        <v>15579.1</v>
      </c>
      <c r="EO100">
        <v>16036.6</v>
      </c>
      <c r="EP100">
        <v>47.25</v>
      </c>
      <c r="EQ100">
        <v>48.436999999999998</v>
      </c>
      <c r="ER100">
        <v>47.75</v>
      </c>
      <c r="ES100">
        <v>48.25</v>
      </c>
      <c r="ET100">
        <v>48.561999999999998</v>
      </c>
      <c r="EU100">
        <v>1755.65</v>
      </c>
      <c r="EV100">
        <v>39.5</v>
      </c>
      <c r="EW100">
        <v>0</v>
      </c>
      <c r="EX100">
        <v>155.60000014305109</v>
      </c>
      <c r="EY100">
        <v>0</v>
      </c>
      <c r="EZ100">
        <v>728.99507692307691</v>
      </c>
      <c r="FA100">
        <v>11.48027350138922</v>
      </c>
      <c r="FB100">
        <v>2194.0683780862691</v>
      </c>
      <c r="FC100">
        <v>15379.27307692308</v>
      </c>
      <c r="FD100">
        <v>15</v>
      </c>
      <c r="FE100">
        <v>1689016491</v>
      </c>
      <c r="FF100" t="s">
        <v>849</v>
      </c>
      <c r="FG100">
        <v>1689016484.5</v>
      </c>
      <c r="FH100">
        <v>1689016491</v>
      </c>
      <c r="FI100">
        <v>91</v>
      </c>
      <c r="FJ100">
        <v>-5.8000000000000003E-2</v>
      </c>
      <c r="FK100">
        <v>3.0000000000000001E-3</v>
      </c>
      <c r="FL100">
        <v>-0.438</v>
      </c>
      <c r="FM100">
        <v>4.1000000000000002E-2</v>
      </c>
      <c r="FN100">
        <v>400</v>
      </c>
      <c r="FO100">
        <v>22</v>
      </c>
      <c r="FP100">
        <v>0.04</v>
      </c>
      <c r="FQ100">
        <v>0.01</v>
      </c>
      <c r="FR100">
        <v>50.928464714175533</v>
      </c>
      <c r="FS100">
        <v>0.44359415181082967</v>
      </c>
      <c r="FT100">
        <v>4.985028891637007E-2</v>
      </c>
      <c r="FU100">
        <v>1</v>
      </c>
      <c r="FV100">
        <v>0.40589637292809411</v>
      </c>
      <c r="FW100">
        <v>-9.6491895463715477E-3</v>
      </c>
      <c r="FX100">
        <v>7.9405157984370662E-4</v>
      </c>
      <c r="FY100">
        <v>1</v>
      </c>
      <c r="FZ100">
        <v>2</v>
      </c>
      <c r="GA100">
        <v>2</v>
      </c>
      <c r="GB100" t="s">
        <v>424</v>
      </c>
      <c r="GC100">
        <v>3.12331</v>
      </c>
      <c r="GD100">
        <v>2.7673000000000001</v>
      </c>
      <c r="GE100">
        <v>7.7310000000000004E-2</v>
      </c>
      <c r="GF100">
        <v>8.84601E-2</v>
      </c>
      <c r="GG100">
        <v>0.119005</v>
      </c>
      <c r="GH100">
        <v>9.8560599999999998E-2</v>
      </c>
      <c r="GI100">
        <v>22011.9</v>
      </c>
      <c r="GJ100">
        <v>22558.3</v>
      </c>
      <c r="GK100">
        <v>23720.2</v>
      </c>
      <c r="GL100">
        <v>25061.4</v>
      </c>
      <c r="GM100">
        <v>30115.200000000001</v>
      </c>
      <c r="GN100">
        <v>31684.2</v>
      </c>
      <c r="GO100">
        <v>37807.800000000003</v>
      </c>
      <c r="GP100">
        <v>38989.4</v>
      </c>
      <c r="GQ100">
        <v>2.1135700000000002</v>
      </c>
      <c r="GR100">
        <v>1.6930700000000001</v>
      </c>
      <c r="GS100">
        <v>-1.0795900000000001E-2</v>
      </c>
      <c r="GT100">
        <v>0</v>
      </c>
      <c r="GU100">
        <v>30.134599999999999</v>
      </c>
      <c r="GV100">
        <v>999.9</v>
      </c>
      <c r="GW100">
        <v>28.2</v>
      </c>
      <c r="GX100">
        <v>47.6</v>
      </c>
      <c r="GY100">
        <v>31.3565</v>
      </c>
      <c r="GZ100">
        <v>61.578400000000002</v>
      </c>
      <c r="HA100">
        <v>28.193100000000001</v>
      </c>
      <c r="HB100">
        <v>1</v>
      </c>
      <c r="HC100">
        <v>0.64865899999999999</v>
      </c>
      <c r="HD100">
        <v>2.2830599999999999</v>
      </c>
      <c r="HE100">
        <v>20.300999999999998</v>
      </c>
      <c r="HF100">
        <v>5.2527799999999996</v>
      </c>
      <c r="HG100">
        <v>12.0099</v>
      </c>
      <c r="HH100">
        <v>4.9794</v>
      </c>
      <c r="HI100">
        <v>3.2930000000000001</v>
      </c>
      <c r="HJ100">
        <v>9999</v>
      </c>
      <c r="HK100">
        <v>9999</v>
      </c>
      <c r="HL100">
        <v>9999</v>
      </c>
      <c r="HM100">
        <v>236.1</v>
      </c>
      <c r="HN100">
        <v>1.8756299999999999</v>
      </c>
      <c r="HO100">
        <v>1.8767400000000001</v>
      </c>
      <c r="HP100">
        <v>1.8827799999999999</v>
      </c>
      <c r="HQ100">
        <v>1.8859900000000001</v>
      </c>
      <c r="HR100">
        <v>1.87683</v>
      </c>
      <c r="HS100">
        <v>1.8832</v>
      </c>
      <c r="HT100">
        <v>1.8821699999999999</v>
      </c>
      <c r="HU100">
        <v>1.88567</v>
      </c>
      <c r="HV100">
        <v>0</v>
      </c>
      <c r="HW100">
        <v>0</v>
      </c>
      <c r="HX100">
        <v>0</v>
      </c>
      <c r="HY100">
        <v>0</v>
      </c>
      <c r="HZ100" t="s">
        <v>425</v>
      </c>
      <c r="IA100" t="s">
        <v>426</v>
      </c>
      <c r="IB100" t="s">
        <v>427</v>
      </c>
      <c r="IC100" t="s">
        <v>427</v>
      </c>
      <c r="ID100" t="s">
        <v>427</v>
      </c>
      <c r="IE100" t="s">
        <v>427</v>
      </c>
      <c r="IF100">
        <v>0</v>
      </c>
      <c r="IG100">
        <v>100</v>
      </c>
      <c r="IH100">
        <v>100</v>
      </c>
      <c r="II100">
        <v>-0.434</v>
      </c>
      <c r="IJ100">
        <v>4.9700000000000001E-2</v>
      </c>
      <c r="IK100">
        <v>-0.35295938497621598</v>
      </c>
      <c r="IL100">
        <v>-4.2852564239613137E-4</v>
      </c>
      <c r="IM100">
        <v>6.4980710991155998E-7</v>
      </c>
      <c r="IN100">
        <v>-2.7237938963984961E-10</v>
      </c>
      <c r="IO100">
        <v>-8.2776544580576896E-3</v>
      </c>
      <c r="IP100">
        <v>6.6907473102813496E-3</v>
      </c>
      <c r="IQ100">
        <v>-3.3673306238274028E-4</v>
      </c>
      <c r="IR100">
        <v>6.1311374003140313E-6</v>
      </c>
      <c r="IS100">
        <v>3</v>
      </c>
      <c r="IT100">
        <v>2101</v>
      </c>
      <c r="IU100">
        <v>1</v>
      </c>
      <c r="IV100">
        <v>32</v>
      </c>
      <c r="IW100">
        <v>1.6</v>
      </c>
      <c r="IX100">
        <v>1.4</v>
      </c>
      <c r="IY100">
        <v>1.01196</v>
      </c>
      <c r="IZ100">
        <v>2.7331500000000002</v>
      </c>
      <c r="JA100">
        <v>1.6015600000000001</v>
      </c>
      <c r="JB100">
        <v>2.32666</v>
      </c>
      <c r="JC100">
        <v>1.5502899999999999</v>
      </c>
      <c r="JD100">
        <v>2.4133300000000002</v>
      </c>
      <c r="JE100">
        <v>49.389400000000002</v>
      </c>
      <c r="JF100">
        <v>24.157499999999999</v>
      </c>
      <c r="JG100">
        <v>18</v>
      </c>
      <c r="JH100">
        <v>583.04</v>
      </c>
      <c r="JI100">
        <v>365.68799999999999</v>
      </c>
      <c r="JJ100">
        <v>27.310600000000001</v>
      </c>
      <c r="JK100">
        <v>35.018900000000002</v>
      </c>
      <c r="JL100">
        <v>29.9999</v>
      </c>
      <c r="JM100">
        <v>35.1648</v>
      </c>
      <c r="JN100">
        <v>35.165599999999998</v>
      </c>
      <c r="JO100">
        <v>20.2485</v>
      </c>
      <c r="JP100">
        <v>36.595599999999997</v>
      </c>
      <c r="JQ100">
        <v>0</v>
      </c>
      <c r="JR100">
        <v>27.343299999999999</v>
      </c>
      <c r="JS100">
        <v>400</v>
      </c>
      <c r="JT100">
        <v>21.4252</v>
      </c>
      <c r="JU100">
        <v>98.615600000000001</v>
      </c>
      <c r="JV100">
        <v>98.6815</v>
      </c>
    </row>
    <row r="101" spans="1:282" x14ac:dyDescent="0.25">
      <c r="A101">
        <v>85</v>
      </c>
      <c r="B101">
        <v>1689016685</v>
      </c>
      <c r="C101">
        <v>16862.400000095371</v>
      </c>
      <c r="D101" t="s">
        <v>850</v>
      </c>
      <c r="E101" t="s">
        <v>851</v>
      </c>
      <c r="F101" t="s">
        <v>414</v>
      </c>
      <c r="G101" t="s">
        <v>415</v>
      </c>
      <c r="H101" t="s">
        <v>31</v>
      </c>
      <c r="I101" t="s">
        <v>417</v>
      </c>
      <c r="J101" t="s">
        <v>416</v>
      </c>
      <c r="K101">
        <v>1689016685</v>
      </c>
      <c r="L101">
        <f t="shared" si="92"/>
        <v>5.475292315907888E-3</v>
      </c>
      <c r="M101">
        <f t="shared" si="93"/>
        <v>5.4752923159078879</v>
      </c>
      <c r="N101">
        <f t="shared" si="94"/>
        <v>51.339133095390707</v>
      </c>
      <c r="O101">
        <f t="shared" si="95"/>
        <v>336.33</v>
      </c>
      <c r="P101">
        <f t="shared" si="96"/>
        <v>106.18628484293943</v>
      </c>
      <c r="Q101">
        <f t="shared" si="97"/>
        <v>10.522765736249719</v>
      </c>
      <c r="R101">
        <f t="shared" si="98"/>
        <v>33.329368338929996</v>
      </c>
      <c r="S101">
        <f t="shared" si="99"/>
        <v>0.38842518029824624</v>
      </c>
      <c r="T101">
        <f t="shared" si="100"/>
        <v>2.9101491320515627</v>
      </c>
      <c r="U101">
        <f t="shared" si="101"/>
        <v>0.36175103240888828</v>
      </c>
      <c r="V101">
        <f t="shared" si="102"/>
        <v>0.22833813239940148</v>
      </c>
      <c r="W101">
        <f t="shared" si="103"/>
        <v>289.53615903071113</v>
      </c>
      <c r="X101">
        <f t="shared" si="104"/>
        <v>30.431745793969913</v>
      </c>
      <c r="Y101">
        <f t="shared" si="105"/>
        <v>30.036000000000001</v>
      </c>
      <c r="Z101">
        <f t="shared" si="106"/>
        <v>4.269267517256119</v>
      </c>
      <c r="AA101">
        <f t="shared" si="107"/>
        <v>65.704621569951044</v>
      </c>
      <c r="AB101">
        <f t="shared" si="108"/>
        <v>2.8230519026817</v>
      </c>
      <c r="AC101">
        <f t="shared" si="109"/>
        <v>4.2965804158482177</v>
      </c>
      <c r="AD101">
        <f t="shared" si="110"/>
        <v>1.4462156145744189</v>
      </c>
      <c r="AE101">
        <f t="shared" si="111"/>
        <v>-241.46039113153788</v>
      </c>
      <c r="AF101">
        <f t="shared" si="112"/>
        <v>17.430696756795413</v>
      </c>
      <c r="AG101">
        <f t="shared" si="113"/>
        <v>1.3330063269651826</v>
      </c>
      <c r="AH101">
        <f t="shared" si="114"/>
        <v>66.839470982933847</v>
      </c>
      <c r="AI101">
        <v>0</v>
      </c>
      <c r="AJ101">
        <v>0</v>
      </c>
      <c r="AK101">
        <f t="shared" si="115"/>
        <v>1</v>
      </c>
      <c r="AL101">
        <f t="shared" si="116"/>
        <v>0</v>
      </c>
      <c r="AM101">
        <f t="shared" si="117"/>
        <v>51753.789936668218</v>
      </c>
      <c r="AN101" t="s">
        <v>419</v>
      </c>
      <c r="AO101">
        <v>9967.0300000000007</v>
      </c>
      <c r="AP101">
        <v>178.94153846153841</v>
      </c>
      <c r="AQ101">
        <v>603.15</v>
      </c>
      <c r="AR101">
        <f t="shared" si="118"/>
        <v>0.7033216638290003</v>
      </c>
      <c r="AS101">
        <v>-3.2649104154664181</v>
      </c>
      <c r="AT101" t="s">
        <v>852</v>
      </c>
      <c r="AU101">
        <v>8061.05</v>
      </c>
      <c r="AV101">
        <v>736.01246153846137</v>
      </c>
      <c r="AW101">
        <v>1200.415743169433</v>
      </c>
      <c r="AX101">
        <f t="shared" si="119"/>
        <v>0.38686870300852372</v>
      </c>
      <c r="AY101">
        <v>0.5</v>
      </c>
      <c r="AZ101">
        <f t="shared" si="120"/>
        <v>1513.0251062335287</v>
      </c>
      <c r="BA101">
        <f t="shared" si="121"/>
        <v>51.339133095390707</v>
      </c>
      <c r="BB101">
        <f t="shared" si="122"/>
        <v>292.67103023394952</v>
      </c>
      <c r="BC101">
        <f t="shared" si="123"/>
        <v>3.6089317543967596E-2</v>
      </c>
      <c r="BD101">
        <f t="shared" si="124"/>
        <v>-0.49754907544988086</v>
      </c>
      <c r="BE101">
        <f t="shared" si="125"/>
        <v>209.92968595469964</v>
      </c>
      <c r="BF101" t="s">
        <v>853</v>
      </c>
      <c r="BG101">
        <v>569.5</v>
      </c>
      <c r="BH101">
        <f t="shared" si="126"/>
        <v>569.5</v>
      </c>
      <c r="BI101">
        <f t="shared" si="127"/>
        <v>0.52558103037172699</v>
      </c>
      <c r="BJ101">
        <f t="shared" si="128"/>
        <v>0.73607813191983651</v>
      </c>
      <c r="BK101">
        <f t="shared" si="129"/>
        <v>-17.749353437427441</v>
      </c>
      <c r="BL101">
        <f t="shared" si="130"/>
        <v>0.45464024396364905</v>
      </c>
      <c r="BM101">
        <f t="shared" si="131"/>
        <v>-1.4079533939595426</v>
      </c>
      <c r="BN101">
        <f t="shared" si="132"/>
        <v>0.56955081338176661</v>
      </c>
      <c r="BO101">
        <f t="shared" si="133"/>
        <v>0.43044918661823339</v>
      </c>
      <c r="BP101">
        <v>6205</v>
      </c>
      <c r="BQ101">
        <v>290.00000000000011</v>
      </c>
      <c r="BR101">
        <v>1034.78</v>
      </c>
      <c r="BS101">
        <v>295</v>
      </c>
      <c r="BT101">
        <v>8061.05</v>
      </c>
      <c r="BU101">
        <v>1038.5</v>
      </c>
      <c r="BV101">
        <v>-3.72</v>
      </c>
      <c r="BW101">
        <v>300.00000000000011</v>
      </c>
      <c r="BX101">
        <v>19.3</v>
      </c>
      <c r="BY101">
        <v>1200.415743169433</v>
      </c>
      <c r="BZ101">
        <v>3.8128524275813511</v>
      </c>
      <c r="CA101">
        <v>-130.5212450410898</v>
      </c>
      <c r="CB101">
        <v>2.8236313587343682</v>
      </c>
      <c r="CC101">
        <v>0.98706526669839967</v>
      </c>
      <c r="CD101">
        <v>-4.1596057842046763E-3</v>
      </c>
      <c r="CE101">
        <v>289.99999999999989</v>
      </c>
      <c r="CF101">
        <v>1028.83</v>
      </c>
      <c r="CG101">
        <v>625</v>
      </c>
      <c r="CH101">
        <v>8052.95</v>
      </c>
      <c r="CI101">
        <v>1038.3399999999999</v>
      </c>
      <c r="CJ101">
        <v>-9.51</v>
      </c>
      <c r="CX101">
        <f t="shared" si="134"/>
        <v>1799.81</v>
      </c>
      <c r="CY101">
        <f t="shared" si="135"/>
        <v>1513.0251062335287</v>
      </c>
      <c r="CZ101">
        <f t="shared" si="136"/>
        <v>0.84065823961058606</v>
      </c>
      <c r="DA101">
        <f t="shared" si="137"/>
        <v>0.16087040244843132</v>
      </c>
      <c r="DB101">
        <v>6</v>
      </c>
      <c r="DC101">
        <v>0.5</v>
      </c>
      <c r="DD101" t="s">
        <v>422</v>
      </c>
      <c r="DE101">
        <v>2</v>
      </c>
      <c r="DF101">
        <v>1689016685</v>
      </c>
      <c r="DG101">
        <v>336.33</v>
      </c>
      <c r="DH101">
        <v>400.14600000000002</v>
      </c>
      <c r="DI101">
        <v>28.4877</v>
      </c>
      <c r="DJ101">
        <v>22.104600000000001</v>
      </c>
      <c r="DK101">
        <v>336.85300000000001</v>
      </c>
      <c r="DL101">
        <v>28.437000000000001</v>
      </c>
      <c r="DM101">
        <v>500.00599999999997</v>
      </c>
      <c r="DN101">
        <v>98.997200000000007</v>
      </c>
      <c r="DO101">
        <v>0.100021</v>
      </c>
      <c r="DP101">
        <v>30.147099999999998</v>
      </c>
      <c r="DQ101">
        <v>30.036000000000001</v>
      </c>
      <c r="DR101">
        <v>999.9</v>
      </c>
      <c r="DS101">
        <v>0</v>
      </c>
      <c r="DT101">
        <v>0</v>
      </c>
      <c r="DU101">
        <v>9990</v>
      </c>
      <c r="DV101">
        <v>0</v>
      </c>
      <c r="DW101">
        <v>1689.05</v>
      </c>
      <c r="DX101">
        <v>-63.816200000000002</v>
      </c>
      <c r="DY101">
        <v>346.19200000000001</v>
      </c>
      <c r="DZ101">
        <v>409.19099999999997</v>
      </c>
      <c r="EA101">
        <v>6.3831199999999999</v>
      </c>
      <c r="EB101">
        <v>400.14600000000002</v>
      </c>
      <c r="EC101">
        <v>22.104600000000001</v>
      </c>
      <c r="ED101">
        <v>2.8201999999999998</v>
      </c>
      <c r="EE101">
        <v>2.1882899999999998</v>
      </c>
      <c r="EF101">
        <v>23.002800000000001</v>
      </c>
      <c r="EG101">
        <v>18.876899999999999</v>
      </c>
      <c r="EH101">
        <v>1799.81</v>
      </c>
      <c r="EI101">
        <v>0.97799499999999995</v>
      </c>
      <c r="EJ101">
        <v>2.2004699999999999E-2</v>
      </c>
      <c r="EK101">
        <v>0</v>
      </c>
      <c r="EL101">
        <v>736.13699999999994</v>
      </c>
      <c r="EM101">
        <v>5.0005300000000004</v>
      </c>
      <c r="EN101">
        <v>15775.3</v>
      </c>
      <c r="EO101">
        <v>16033.5</v>
      </c>
      <c r="EP101">
        <v>47.311999999999998</v>
      </c>
      <c r="EQ101">
        <v>48.5</v>
      </c>
      <c r="ER101">
        <v>47.875</v>
      </c>
      <c r="ES101">
        <v>48.375</v>
      </c>
      <c r="ET101">
        <v>48.686999999999998</v>
      </c>
      <c r="EU101">
        <v>1755.31</v>
      </c>
      <c r="EV101">
        <v>39.49</v>
      </c>
      <c r="EW101">
        <v>0</v>
      </c>
      <c r="EX101">
        <v>105.7999999523163</v>
      </c>
      <c r="EY101">
        <v>0</v>
      </c>
      <c r="EZ101">
        <v>736.01246153846137</v>
      </c>
      <c r="FA101">
        <v>3.369367528301348</v>
      </c>
      <c r="FB101">
        <v>186.54017094082849</v>
      </c>
      <c r="FC101">
        <v>15759.88846153846</v>
      </c>
      <c r="FD101">
        <v>15</v>
      </c>
      <c r="FE101">
        <v>1689016654.5</v>
      </c>
      <c r="FF101" t="s">
        <v>854</v>
      </c>
      <c r="FG101">
        <v>1689016654.5</v>
      </c>
      <c r="FH101">
        <v>1689016647</v>
      </c>
      <c r="FI101">
        <v>92</v>
      </c>
      <c r="FJ101">
        <v>-8.8999999999999996E-2</v>
      </c>
      <c r="FK101">
        <v>0</v>
      </c>
      <c r="FL101">
        <v>-0.52600000000000002</v>
      </c>
      <c r="FM101">
        <v>4.1000000000000002E-2</v>
      </c>
      <c r="FN101">
        <v>400</v>
      </c>
      <c r="FO101">
        <v>22</v>
      </c>
      <c r="FP101">
        <v>0.04</v>
      </c>
      <c r="FQ101">
        <v>0.02</v>
      </c>
      <c r="FR101">
        <v>51.345123405993959</v>
      </c>
      <c r="FS101">
        <v>-8.3453933673374031E-2</v>
      </c>
      <c r="FT101">
        <v>4.3252261305689182E-2</v>
      </c>
      <c r="FU101">
        <v>1</v>
      </c>
      <c r="FV101">
        <v>0.38300983785628112</v>
      </c>
      <c r="FW101">
        <v>3.9353313355659961E-2</v>
      </c>
      <c r="FX101">
        <v>3.3744426719287839E-3</v>
      </c>
      <c r="FY101">
        <v>1</v>
      </c>
      <c r="FZ101">
        <v>2</v>
      </c>
      <c r="GA101">
        <v>2</v>
      </c>
      <c r="GB101" t="s">
        <v>424</v>
      </c>
      <c r="GC101">
        <v>3.1232000000000002</v>
      </c>
      <c r="GD101">
        <v>2.7672300000000001</v>
      </c>
      <c r="GE101">
        <v>7.7287499999999995E-2</v>
      </c>
      <c r="GF101">
        <v>8.8498999999999994E-2</v>
      </c>
      <c r="GG101">
        <v>0.120245</v>
      </c>
      <c r="GH101">
        <v>0.10093299999999999</v>
      </c>
      <c r="GI101">
        <v>22010.9</v>
      </c>
      <c r="GJ101">
        <v>22555.1</v>
      </c>
      <c r="GK101">
        <v>23718.6</v>
      </c>
      <c r="GL101">
        <v>25059</v>
      </c>
      <c r="GM101">
        <v>30071</v>
      </c>
      <c r="GN101">
        <v>31597.200000000001</v>
      </c>
      <c r="GO101">
        <v>37805.5</v>
      </c>
      <c r="GP101">
        <v>38984.9</v>
      </c>
      <c r="GQ101">
        <v>2.1120299999999999</v>
      </c>
      <c r="GR101">
        <v>1.6931700000000001</v>
      </c>
      <c r="GS101">
        <v>-1.33887E-2</v>
      </c>
      <c r="GT101">
        <v>0</v>
      </c>
      <c r="GU101">
        <v>30.253799999999998</v>
      </c>
      <c r="GV101">
        <v>999.9</v>
      </c>
      <c r="GW101">
        <v>28.1</v>
      </c>
      <c r="GX101">
        <v>47.6</v>
      </c>
      <c r="GY101">
        <v>31.247199999999999</v>
      </c>
      <c r="GZ101">
        <v>61.068399999999997</v>
      </c>
      <c r="HA101">
        <v>28.325299999999999</v>
      </c>
      <c r="HB101">
        <v>1</v>
      </c>
      <c r="HC101">
        <v>0.65844800000000003</v>
      </c>
      <c r="HD101">
        <v>3.8059799999999999</v>
      </c>
      <c r="HE101">
        <v>20.271899999999999</v>
      </c>
      <c r="HF101">
        <v>5.2481400000000002</v>
      </c>
      <c r="HG101">
        <v>12.0099</v>
      </c>
      <c r="HH101">
        <v>4.9768999999999997</v>
      </c>
      <c r="HI101">
        <v>3.2922500000000001</v>
      </c>
      <c r="HJ101">
        <v>9999</v>
      </c>
      <c r="HK101">
        <v>9999</v>
      </c>
      <c r="HL101">
        <v>9999</v>
      </c>
      <c r="HM101">
        <v>236.1</v>
      </c>
      <c r="HN101">
        <v>1.8756200000000001</v>
      </c>
      <c r="HO101">
        <v>1.8767400000000001</v>
      </c>
      <c r="HP101">
        <v>1.8827799999999999</v>
      </c>
      <c r="HQ101">
        <v>1.8859900000000001</v>
      </c>
      <c r="HR101">
        <v>1.87683</v>
      </c>
      <c r="HS101">
        <v>1.88314</v>
      </c>
      <c r="HT101">
        <v>1.8821600000000001</v>
      </c>
      <c r="HU101">
        <v>1.88567</v>
      </c>
      <c r="HV101">
        <v>0</v>
      </c>
      <c r="HW101">
        <v>0</v>
      </c>
      <c r="HX101">
        <v>0</v>
      </c>
      <c r="HY101">
        <v>0</v>
      </c>
      <c r="HZ101" t="s">
        <v>425</v>
      </c>
      <c r="IA101" t="s">
        <v>426</v>
      </c>
      <c r="IB101" t="s">
        <v>427</v>
      </c>
      <c r="IC101" t="s">
        <v>427</v>
      </c>
      <c r="ID101" t="s">
        <v>427</v>
      </c>
      <c r="IE101" t="s">
        <v>427</v>
      </c>
      <c r="IF101">
        <v>0</v>
      </c>
      <c r="IG101">
        <v>100</v>
      </c>
      <c r="IH101">
        <v>100</v>
      </c>
      <c r="II101">
        <v>-0.52300000000000002</v>
      </c>
      <c r="IJ101">
        <v>5.0700000000000002E-2</v>
      </c>
      <c r="IK101">
        <v>-0.44148633782109359</v>
      </c>
      <c r="IL101">
        <v>-4.2852564239613137E-4</v>
      </c>
      <c r="IM101">
        <v>6.4980710991155998E-7</v>
      </c>
      <c r="IN101">
        <v>-2.7237938963984961E-10</v>
      </c>
      <c r="IO101">
        <v>-8.2792457421906104E-3</v>
      </c>
      <c r="IP101">
        <v>6.6907473102813496E-3</v>
      </c>
      <c r="IQ101">
        <v>-3.3673306238274028E-4</v>
      </c>
      <c r="IR101">
        <v>6.1311374003140313E-6</v>
      </c>
      <c r="IS101">
        <v>3</v>
      </c>
      <c r="IT101">
        <v>2101</v>
      </c>
      <c r="IU101">
        <v>1</v>
      </c>
      <c r="IV101">
        <v>32</v>
      </c>
      <c r="IW101">
        <v>0.5</v>
      </c>
      <c r="IX101">
        <v>0.6</v>
      </c>
      <c r="IY101">
        <v>1.01196</v>
      </c>
      <c r="IZ101">
        <v>2.7368199999999998</v>
      </c>
      <c r="JA101">
        <v>1.6015600000000001</v>
      </c>
      <c r="JB101">
        <v>2.32666</v>
      </c>
      <c r="JC101">
        <v>1.5502899999999999</v>
      </c>
      <c r="JD101">
        <v>2.4621599999999999</v>
      </c>
      <c r="JE101">
        <v>49.452599999999997</v>
      </c>
      <c r="JF101">
        <v>24.14</v>
      </c>
      <c r="JG101">
        <v>18</v>
      </c>
      <c r="JH101">
        <v>582.06500000000005</v>
      </c>
      <c r="JI101">
        <v>365.803</v>
      </c>
      <c r="JJ101">
        <v>26.366700000000002</v>
      </c>
      <c r="JK101">
        <v>35.028599999999997</v>
      </c>
      <c r="JL101">
        <v>30.000699999999998</v>
      </c>
      <c r="JM101">
        <v>35.177500000000002</v>
      </c>
      <c r="JN101">
        <v>35.175199999999997</v>
      </c>
      <c r="JO101">
        <v>20.247900000000001</v>
      </c>
      <c r="JP101">
        <v>34.693800000000003</v>
      </c>
      <c r="JQ101">
        <v>0</v>
      </c>
      <c r="JR101">
        <v>26.3155</v>
      </c>
      <c r="JS101">
        <v>400</v>
      </c>
      <c r="JT101">
        <v>21.8048</v>
      </c>
      <c r="JU101">
        <v>98.609300000000005</v>
      </c>
      <c r="JV101">
        <v>98.6708</v>
      </c>
    </row>
    <row r="102" spans="1:282" x14ac:dyDescent="0.25">
      <c r="A102">
        <v>86</v>
      </c>
      <c r="B102">
        <v>1689016853</v>
      </c>
      <c r="C102">
        <v>17030.400000095371</v>
      </c>
      <c r="D102" t="s">
        <v>855</v>
      </c>
      <c r="E102" t="s">
        <v>856</v>
      </c>
      <c r="F102" t="s">
        <v>414</v>
      </c>
      <c r="G102" t="s">
        <v>415</v>
      </c>
      <c r="H102" t="s">
        <v>31</v>
      </c>
      <c r="I102" t="s">
        <v>417</v>
      </c>
      <c r="J102" t="s">
        <v>416</v>
      </c>
      <c r="K102">
        <v>1689016853</v>
      </c>
      <c r="L102">
        <f t="shared" si="92"/>
        <v>5.2017864300905178E-3</v>
      </c>
      <c r="M102">
        <f t="shared" si="93"/>
        <v>5.2017864300905181</v>
      </c>
      <c r="N102">
        <f t="shared" si="94"/>
        <v>53.453839830261217</v>
      </c>
      <c r="O102">
        <f t="shared" si="95"/>
        <v>433.21300000000002</v>
      </c>
      <c r="P102">
        <f t="shared" si="96"/>
        <v>177.82270475864684</v>
      </c>
      <c r="Q102">
        <f t="shared" si="97"/>
        <v>17.621458717817738</v>
      </c>
      <c r="R102">
        <f t="shared" si="98"/>
        <v>42.929529195291202</v>
      </c>
      <c r="S102">
        <f t="shared" si="99"/>
        <v>0.3653305075128041</v>
      </c>
      <c r="T102">
        <f t="shared" si="100"/>
        <v>2.9114345644899533</v>
      </c>
      <c r="U102">
        <f t="shared" si="101"/>
        <v>0.34163997074669755</v>
      </c>
      <c r="V102">
        <f t="shared" si="102"/>
        <v>0.21552533308636745</v>
      </c>
      <c r="W102">
        <f t="shared" si="103"/>
        <v>289.58083432679513</v>
      </c>
      <c r="X102">
        <f t="shared" si="104"/>
        <v>30.505877585011149</v>
      </c>
      <c r="Y102">
        <f t="shared" si="105"/>
        <v>30.022400000000001</v>
      </c>
      <c r="Z102">
        <f t="shared" si="106"/>
        <v>4.2659345017411789</v>
      </c>
      <c r="AA102">
        <f t="shared" si="107"/>
        <v>65.414064640065135</v>
      </c>
      <c r="AB102">
        <f t="shared" si="108"/>
        <v>2.8109871979033598</v>
      </c>
      <c r="AC102">
        <f t="shared" si="109"/>
        <v>4.2972214207610522</v>
      </c>
      <c r="AD102">
        <f t="shared" si="110"/>
        <v>1.4549473038378191</v>
      </c>
      <c r="AE102">
        <f t="shared" si="111"/>
        <v>-229.39878156699183</v>
      </c>
      <c r="AF102">
        <f t="shared" si="112"/>
        <v>19.981168428651312</v>
      </c>
      <c r="AG102">
        <f t="shared" si="113"/>
        <v>1.5272949552444399</v>
      </c>
      <c r="AH102">
        <f t="shared" si="114"/>
        <v>81.690516143699043</v>
      </c>
      <c r="AI102">
        <v>0</v>
      </c>
      <c r="AJ102">
        <v>0</v>
      </c>
      <c r="AK102">
        <f t="shared" si="115"/>
        <v>1</v>
      </c>
      <c r="AL102">
        <f t="shared" si="116"/>
        <v>0</v>
      </c>
      <c r="AM102">
        <f t="shared" si="117"/>
        <v>51789.832416246747</v>
      </c>
      <c r="AN102" t="s">
        <v>419</v>
      </c>
      <c r="AO102">
        <v>9967.0300000000007</v>
      </c>
      <c r="AP102">
        <v>178.94153846153841</v>
      </c>
      <c r="AQ102">
        <v>603.15</v>
      </c>
      <c r="AR102">
        <f t="shared" si="118"/>
        <v>0.7033216638290003</v>
      </c>
      <c r="AS102">
        <v>-3.2649104154664181</v>
      </c>
      <c r="AT102" t="s">
        <v>857</v>
      </c>
      <c r="AU102">
        <v>8061.31</v>
      </c>
      <c r="AV102">
        <v>750.42091999999991</v>
      </c>
      <c r="AW102">
        <v>1240.975754545977</v>
      </c>
      <c r="AX102">
        <f t="shared" si="119"/>
        <v>0.39529767825758311</v>
      </c>
      <c r="AY102">
        <v>0.5</v>
      </c>
      <c r="AZ102">
        <f t="shared" si="120"/>
        <v>1513.2602996511891</v>
      </c>
      <c r="BA102">
        <f t="shared" si="121"/>
        <v>53.453839830261217</v>
      </c>
      <c r="BB102">
        <f t="shared" si="122"/>
        <v>299.09414152574476</v>
      </c>
      <c r="BC102">
        <f t="shared" si="123"/>
        <v>3.7481159228720577E-2</v>
      </c>
      <c r="BD102">
        <f t="shared" si="124"/>
        <v>-0.51397116519760833</v>
      </c>
      <c r="BE102">
        <f t="shared" si="125"/>
        <v>211.13649974059274</v>
      </c>
      <c r="BF102" t="s">
        <v>858</v>
      </c>
      <c r="BG102">
        <v>579</v>
      </c>
      <c r="BH102">
        <f t="shared" si="126"/>
        <v>579</v>
      </c>
      <c r="BI102">
        <f t="shared" si="127"/>
        <v>0.53343165821008909</v>
      </c>
      <c r="BJ102">
        <f t="shared" si="128"/>
        <v>0.74104652802945825</v>
      </c>
      <c r="BK102">
        <f t="shared" si="129"/>
        <v>-26.411004329025989</v>
      </c>
      <c r="BL102">
        <f t="shared" si="130"/>
        <v>0.4619011582833738</v>
      </c>
      <c r="BM102">
        <f t="shared" si="131"/>
        <v>-1.5035667893865137</v>
      </c>
      <c r="BN102">
        <f t="shared" si="132"/>
        <v>0.57176702873509488</v>
      </c>
      <c r="BO102">
        <f t="shared" si="133"/>
        <v>0.42823297126490512</v>
      </c>
      <c r="BP102">
        <v>6207</v>
      </c>
      <c r="BQ102">
        <v>290.00000000000011</v>
      </c>
      <c r="BR102">
        <v>1077.8699999999999</v>
      </c>
      <c r="BS102">
        <v>295</v>
      </c>
      <c r="BT102">
        <v>8061.31</v>
      </c>
      <c r="BU102">
        <v>1081.1400000000001</v>
      </c>
      <c r="BV102">
        <v>-3.27</v>
      </c>
      <c r="BW102">
        <v>300.00000000000011</v>
      </c>
      <c r="BX102">
        <v>19.3</v>
      </c>
      <c r="BY102">
        <v>1240.975754545977</v>
      </c>
      <c r="BZ102">
        <v>5.4248486740300903</v>
      </c>
      <c r="CA102">
        <v>-128.84780534614421</v>
      </c>
      <c r="CB102">
        <v>4.0175425674512164</v>
      </c>
      <c r="CC102">
        <v>0.97349910682851448</v>
      </c>
      <c r="CD102">
        <v>-4.1596743047831019E-3</v>
      </c>
      <c r="CE102">
        <v>289.99999999999989</v>
      </c>
      <c r="CF102">
        <v>1073.21</v>
      </c>
      <c r="CG102">
        <v>635</v>
      </c>
      <c r="CH102">
        <v>8052.95</v>
      </c>
      <c r="CI102">
        <v>1080.98</v>
      </c>
      <c r="CJ102">
        <v>-7.77</v>
      </c>
      <c r="CX102">
        <f t="shared" si="134"/>
        <v>1800.09</v>
      </c>
      <c r="CY102">
        <f t="shared" si="135"/>
        <v>1513.2602996511891</v>
      </c>
      <c r="CZ102">
        <f t="shared" si="136"/>
        <v>0.84065813356620456</v>
      </c>
      <c r="DA102">
        <f t="shared" si="137"/>
        <v>0.16087019778277484</v>
      </c>
      <c r="DB102">
        <v>6</v>
      </c>
      <c r="DC102">
        <v>0.5</v>
      </c>
      <c r="DD102" t="s">
        <v>422</v>
      </c>
      <c r="DE102">
        <v>2</v>
      </c>
      <c r="DF102">
        <v>1689016853</v>
      </c>
      <c r="DG102">
        <v>433.21300000000002</v>
      </c>
      <c r="DH102">
        <v>500.04</v>
      </c>
      <c r="DI102">
        <v>28.366399999999999</v>
      </c>
      <c r="DJ102">
        <v>22.3033</v>
      </c>
      <c r="DK102">
        <v>433.50400000000002</v>
      </c>
      <c r="DL102">
        <v>28.315999999999999</v>
      </c>
      <c r="DM102">
        <v>500.16300000000001</v>
      </c>
      <c r="DN102">
        <v>98.995699999999999</v>
      </c>
      <c r="DO102">
        <v>9.9962400000000007E-2</v>
      </c>
      <c r="DP102">
        <v>30.149699999999999</v>
      </c>
      <c r="DQ102">
        <v>30.022400000000001</v>
      </c>
      <c r="DR102">
        <v>999.9</v>
      </c>
      <c r="DS102">
        <v>0</v>
      </c>
      <c r="DT102">
        <v>0</v>
      </c>
      <c r="DU102">
        <v>9997.5</v>
      </c>
      <c r="DV102">
        <v>0</v>
      </c>
      <c r="DW102">
        <v>1568.4</v>
      </c>
      <c r="DX102">
        <v>-66.827399999999997</v>
      </c>
      <c r="DY102">
        <v>445.86</v>
      </c>
      <c r="DZ102">
        <v>511.447</v>
      </c>
      <c r="EA102">
        <v>6.0630800000000002</v>
      </c>
      <c r="EB102">
        <v>500.04</v>
      </c>
      <c r="EC102">
        <v>22.3033</v>
      </c>
      <c r="ED102">
        <v>2.8081499999999999</v>
      </c>
      <c r="EE102">
        <v>2.2079399999999998</v>
      </c>
      <c r="EF102">
        <v>22.932099999999998</v>
      </c>
      <c r="EG102">
        <v>19.02</v>
      </c>
      <c r="EH102">
        <v>1800.09</v>
      </c>
      <c r="EI102">
        <v>0.97799899999999995</v>
      </c>
      <c r="EJ102">
        <v>2.2001300000000001E-2</v>
      </c>
      <c r="EK102">
        <v>0</v>
      </c>
      <c r="EL102">
        <v>750.28700000000003</v>
      </c>
      <c r="EM102">
        <v>5.0005300000000004</v>
      </c>
      <c r="EN102">
        <v>15928.5</v>
      </c>
      <c r="EO102">
        <v>16036</v>
      </c>
      <c r="EP102">
        <v>47.25</v>
      </c>
      <c r="EQ102">
        <v>48.25</v>
      </c>
      <c r="ER102">
        <v>47.811999999999998</v>
      </c>
      <c r="ES102">
        <v>48.061999999999998</v>
      </c>
      <c r="ET102">
        <v>48.561999999999998</v>
      </c>
      <c r="EU102">
        <v>1755.6</v>
      </c>
      <c r="EV102">
        <v>39.49</v>
      </c>
      <c r="EW102">
        <v>0</v>
      </c>
      <c r="EX102">
        <v>166.20000004768369</v>
      </c>
      <c r="EY102">
        <v>0</v>
      </c>
      <c r="EZ102">
        <v>750.42091999999991</v>
      </c>
      <c r="FA102">
        <v>1.964384602766388</v>
      </c>
      <c r="FB102">
        <v>-5.7538460798817539</v>
      </c>
      <c r="FC102">
        <v>15930.3</v>
      </c>
      <c r="FD102">
        <v>15</v>
      </c>
      <c r="FE102">
        <v>1689016810.5</v>
      </c>
      <c r="FF102" t="s">
        <v>859</v>
      </c>
      <c r="FG102">
        <v>1689016798.5</v>
      </c>
      <c r="FH102">
        <v>1689016810.5</v>
      </c>
      <c r="FI102">
        <v>93</v>
      </c>
      <c r="FJ102">
        <v>0.23599999999999999</v>
      </c>
      <c r="FK102">
        <v>0</v>
      </c>
      <c r="FL102">
        <v>-0.29099999999999998</v>
      </c>
      <c r="FM102">
        <v>4.1000000000000002E-2</v>
      </c>
      <c r="FN102">
        <v>500</v>
      </c>
      <c r="FO102">
        <v>21</v>
      </c>
      <c r="FP102">
        <v>0.04</v>
      </c>
      <c r="FQ102">
        <v>0.02</v>
      </c>
      <c r="FR102">
        <v>53.414639405762117</v>
      </c>
      <c r="FS102">
        <v>-0.61164977501074425</v>
      </c>
      <c r="FT102">
        <v>5.1903627950366377E-2</v>
      </c>
      <c r="FU102">
        <v>1</v>
      </c>
      <c r="FV102">
        <v>0.36495473175824578</v>
      </c>
      <c r="FW102">
        <v>7.6061642167353472E-4</v>
      </c>
      <c r="FX102">
        <v>4.6831500015091858E-4</v>
      </c>
      <c r="FY102">
        <v>1</v>
      </c>
      <c r="FZ102">
        <v>2</v>
      </c>
      <c r="GA102">
        <v>2</v>
      </c>
      <c r="GB102" t="s">
        <v>424</v>
      </c>
      <c r="GC102">
        <v>3.1234600000000001</v>
      </c>
      <c r="GD102">
        <v>2.7672400000000001</v>
      </c>
      <c r="GE102">
        <v>9.4015299999999996E-2</v>
      </c>
      <c r="GF102">
        <v>0.10455</v>
      </c>
      <c r="GG102">
        <v>0.119897</v>
      </c>
      <c r="GH102">
        <v>0.10158200000000001</v>
      </c>
      <c r="GI102">
        <v>21612</v>
      </c>
      <c r="GJ102">
        <v>22158.3</v>
      </c>
      <c r="GK102">
        <v>23718.5</v>
      </c>
      <c r="GL102">
        <v>25059.4</v>
      </c>
      <c r="GM102">
        <v>30082.5</v>
      </c>
      <c r="GN102">
        <v>31576.2</v>
      </c>
      <c r="GO102">
        <v>37805</v>
      </c>
      <c r="GP102">
        <v>38987.1</v>
      </c>
      <c r="GQ102">
        <v>2.11233</v>
      </c>
      <c r="GR102">
        <v>1.69445</v>
      </c>
      <c r="GS102">
        <v>3.1665E-3</v>
      </c>
      <c r="GT102">
        <v>0</v>
      </c>
      <c r="GU102">
        <v>29.970800000000001</v>
      </c>
      <c r="GV102">
        <v>999.9</v>
      </c>
      <c r="GW102">
        <v>28</v>
      </c>
      <c r="GX102">
        <v>47.7</v>
      </c>
      <c r="GY102">
        <v>31.2927</v>
      </c>
      <c r="GZ102">
        <v>61.188400000000001</v>
      </c>
      <c r="HA102">
        <v>27.5761</v>
      </c>
      <c r="HB102">
        <v>1</v>
      </c>
      <c r="HC102">
        <v>0.65440299999999996</v>
      </c>
      <c r="HD102">
        <v>3.1299299999999999</v>
      </c>
      <c r="HE102">
        <v>20.287299999999998</v>
      </c>
      <c r="HF102">
        <v>5.2499399999999996</v>
      </c>
      <c r="HG102">
        <v>12.0099</v>
      </c>
      <c r="HH102">
        <v>4.9782500000000001</v>
      </c>
      <c r="HI102">
        <v>3.2930000000000001</v>
      </c>
      <c r="HJ102">
        <v>9999</v>
      </c>
      <c r="HK102">
        <v>9999</v>
      </c>
      <c r="HL102">
        <v>9999</v>
      </c>
      <c r="HM102">
        <v>236.1</v>
      </c>
      <c r="HN102">
        <v>1.8756200000000001</v>
      </c>
      <c r="HO102">
        <v>1.87679</v>
      </c>
      <c r="HP102">
        <v>1.8827799999999999</v>
      </c>
      <c r="HQ102">
        <v>1.8859900000000001</v>
      </c>
      <c r="HR102">
        <v>1.87683</v>
      </c>
      <c r="HS102">
        <v>1.88317</v>
      </c>
      <c r="HT102">
        <v>1.8821699999999999</v>
      </c>
      <c r="HU102">
        <v>1.88567</v>
      </c>
      <c r="HV102">
        <v>0</v>
      </c>
      <c r="HW102">
        <v>0</v>
      </c>
      <c r="HX102">
        <v>0</v>
      </c>
      <c r="HY102">
        <v>0</v>
      </c>
      <c r="HZ102" t="s">
        <v>425</v>
      </c>
      <c r="IA102" t="s">
        <v>426</v>
      </c>
      <c r="IB102" t="s">
        <v>427</v>
      </c>
      <c r="IC102" t="s">
        <v>427</v>
      </c>
      <c r="ID102" t="s">
        <v>427</v>
      </c>
      <c r="IE102" t="s">
        <v>427</v>
      </c>
      <c r="IF102">
        <v>0</v>
      </c>
      <c r="IG102">
        <v>100</v>
      </c>
      <c r="IH102">
        <v>100</v>
      </c>
      <c r="II102">
        <v>-0.29099999999999998</v>
      </c>
      <c r="IJ102">
        <v>5.04E-2</v>
      </c>
      <c r="IK102">
        <v>-0.20514493476992249</v>
      </c>
      <c r="IL102">
        <v>-4.2852564239613137E-4</v>
      </c>
      <c r="IM102">
        <v>6.4980710991155998E-7</v>
      </c>
      <c r="IN102">
        <v>-2.7237938963984961E-10</v>
      </c>
      <c r="IO102">
        <v>-8.2588259858466778E-3</v>
      </c>
      <c r="IP102">
        <v>6.6907473102813496E-3</v>
      </c>
      <c r="IQ102">
        <v>-3.3673306238274028E-4</v>
      </c>
      <c r="IR102">
        <v>6.1311374003140313E-6</v>
      </c>
      <c r="IS102">
        <v>3</v>
      </c>
      <c r="IT102">
        <v>2101</v>
      </c>
      <c r="IU102">
        <v>1</v>
      </c>
      <c r="IV102">
        <v>32</v>
      </c>
      <c r="IW102">
        <v>0.9</v>
      </c>
      <c r="IX102">
        <v>0.7</v>
      </c>
      <c r="IY102">
        <v>1.2133799999999999</v>
      </c>
      <c r="IZ102">
        <v>2.7355999999999998</v>
      </c>
      <c r="JA102">
        <v>1.6015600000000001</v>
      </c>
      <c r="JB102">
        <v>2.32666</v>
      </c>
      <c r="JC102">
        <v>1.5502899999999999</v>
      </c>
      <c r="JD102">
        <v>2.3742700000000001</v>
      </c>
      <c r="JE102">
        <v>49.420999999999999</v>
      </c>
      <c r="JF102">
        <v>24.148800000000001</v>
      </c>
      <c r="JG102">
        <v>18</v>
      </c>
      <c r="JH102">
        <v>582.05499999999995</v>
      </c>
      <c r="JI102">
        <v>366.43200000000002</v>
      </c>
      <c r="JJ102">
        <v>26.7105</v>
      </c>
      <c r="JK102">
        <v>34.983800000000002</v>
      </c>
      <c r="JL102">
        <v>30</v>
      </c>
      <c r="JM102">
        <v>35.152000000000001</v>
      </c>
      <c r="JN102">
        <v>35.152799999999999</v>
      </c>
      <c r="JO102">
        <v>24.273900000000001</v>
      </c>
      <c r="JP102">
        <v>32.219200000000001</v>
      </c>
      <c r="JQ102">
        <v>0</v>
      </c>
      <c r="JR102">
        <v>26.702100000000002</v>
      </c>
      <c r="JS102">
        <v>500</v>
      </c>
      <c r="JT102">
        <v>22.241</v>
      </c>
      <c r="JU102">
        <v>98.6083</v>
      </c>
      <c r="JV102">
        <v>98.674800000000005</v>
      </c>
    </row>
    <row r="103" spans="1:282" x14ac:dyDescent="0.25">
      <c r="A103">
        <v>87</v>
      </c>
      <c r="B103">
        <v>1689016979.5999999</v>
      </c>
      <c r="C103">
        <v>17157</v>
      </c>
      <c r="D103" t="s">
        <v>860</v>
      </c>
      <c r="E103" t="s">
        <v>861</v>
      </c>
      <c r="F103" t="s">
        <v>414</v>
      </c>
      <c r="G103" t="s">
        <v>415</v>
      </c>
      <c r="H103" t="s">
        <v>31</v>
      </c>
      <c r="I103" t="s">
        <v>417</v>
      </c>
      <c r="J103" t="s">
        <v>416</v>
      </c>
      <c r="K103">
        <v>1689016979.5999999</v>
      </c>
      <c r="L103">
        <f t="shared" si="92"/>
        <v>5.1230347676961491E-3</v>
      </c>
      <c r="M103">
        <f t="shared" si="93"/>
        <v>5.123034767696149</v>
      </c>
      <c r="N103">
        <f t="shared" si="94"/>
        <v>54.318081157282954</v>
      </c>
      <c r="O103">
        <f t="shared" si="95"/>
        <v>631.04700000000003</v>
      </c>
      <c r="P103">
        <f t="shared" si="96"/>
        <v>358.8177973275283</v>
      </c>
      <c r="Q103">
        <f t="shared" si="97"/>
        <v>35.558179866351225</v>
      </c>
      <c r="R103">
        <f t="shared" si="98"/>
        <v>62.535590199945304</v>
      </c>
      <c r="S103">
        <f t="shared" si="99"/>
        <v>0.35336275374882775</v>
      </c>
      <c r="T103">
        <f t="shared" si="100"/>
        <v>2.9108281320466811</v>
      </c>
      <c r="U103">
        <f t="shared" si="101"/>
        <v>0.33114400208430189</v>
      </c>
      <c r="V103">
        <f t="shared" si="102"/>
        <v>0.20884473996604708</v>
      </c>
      <c r="W103">
        <f t="shared" si="103"/>
        <v>289.53615903071113</v>
      </c>
      <c r="X103">
        <f t="shared" si="104"/>
        <v>30.475253616767535</v>
      </c>
      <c r="Y103">
        <f t="shared" si="105"/>
        <v>30.0625</v>
      </c>
      <c r="Z103">
        <f t="shared" si="106"/>
        <v>4.2757685158615413</v>
      </c>
      <c r="AA103">
        <f t="shared" si="107"/>
        <v>65.287803308074871</v>
      </c>
      <c r="AB103">
        <f t="shared" si="108"/>
        <v>2.7973623950071804</v>
      </c>
      <c r="AC103">
        <f t="shared" si="109"/>
        <v>4.284663066097063</v>
      </c>
      <c r="AD103">
        <f t="shared" si="110"/>
        <v>1.4784061208543609</v>
      </c>
      <c r="AE103">
        <f t="shared" si="111"/>
        <v>-225.92583325540016</v>
      </c>
      <c r="AF103">
        <f t="shared" si="112"/>
        <v>5.6808140984275459</v>
      </c>
      <c r="AG103">
        <f t="shared" si="113"/>
        <v>0.43428980889970492</v>
      </c>
      <c r="AH103">
        <f t="shared" si="114"/>
        <v>69.725429682638193</v>
      </c>
      <c r="AI103">
        <v>0</v>
      </c>
      <c r="AJ103">
        <v>0</v>
      </c>
      <c r="AK103">
        <f t="shared" si="115"/>
        <v>1</v>
      </c>
      <c r="AL103">
        <f t="shared" si="116"/>
        <v>0</v>
      </c>
      <c r="AM103">
        <f t="shared" si="117"/>
        <v>51781.373850677759</v>
      </c>
      <c r="AN103" t="s">
        <v>419</v>
      </c>
      <c r="AO103">
        <v>9967.0300000000007</v>
      </c>
      <c r="AP103">
        <v>178.94153846153841</v>
      </c>
      <c r="AQ103">
        <v>603.15</v>
      </c>
      <c r="AR103">
        <f t="shared" si="118"/>
        <v>0.7033216638290003</v>
      </c>
      <c r="AS103">
        <v>-3.2649104154664181</v>
      </c>
      <c r="AT103" t="s">
        <v>862</v>
      </c>
      <c r="AU103">
        <v>8062.67</v>
      </c>
      <c r="AV103">
        <v>750.52327999999989</v>
      </c>
      <c r="AW103">
        <v>1260.8526060338691</v>
      </c>
      <c r="AX103">
        <f t="shared" si="119"/>
        <v>0.40474939226969464</v>
      </c>
      <c r="AY103">
        <v>0.5</v>
      </c>
      <c r="AZ103">
        <f t="shared" si="120"/>
        <v>1513.0251062335287</v>
      </c>
      <c r="BA103">
        <f t="shared" si="121"/>
        <v>54.318081157282954</v>
      </c>
      <c r="BB103">
        <f t="shared" si="122"/>
        <v>306.19799611840546</v>
      </c>
      <c r="BC103">
        <f t="shared" si="123"/>
        <v>3.8058186434258477E-2</v>
      </c>
      <c r="BD103">
        <f t="shared" si="124"/>
        <v>-0.52163322095414044</v>
      </c>
      <c r="BE103">
        <f t="shared" si="125"/>
        <v>211.7043227920914</v>
      </c>
      <c r="BF103" t="s">
        <v>863</v>
      </c>
      <c r="BG103">
        <v>576.72</v>
      </c>
      <c r="BH103">
        <f t="shared" si="126"/>
        <v>576.72</v>
      </c>
      <c r="BI103">
        <f t="shared" si="127"/>
        <v>0.54259522703916419</v>
      </c>
      <c r="BJ103">
        <f t="shared" si="128"/>
        <v>0.74595088953939515</v>
      </c>
      <c r="BK103">
        <f t="shared" si="129"/>
        <v>-24.884699433744622</v>
      </c>
      <c r="BL103">
        <f t="shared" si="130"/>
        <v>0.471692490565775</v>
      </c>
      <c r="BM103">
        <f t="shared" si="131"/>
        <v>-1.5504231189745785</v>
      </c>
      <c r="BN103">
        <f t="shared" si="132"/>
        <v>0.57320646604747572</v>
      </c>
      <c r="BO103">
        <f t="shared" si="133"/>
        <v>0.42679353395252428</v>
      </c>
      <c r="BP103">
        <v>6209</v>
      </c>
      <c r="BQ103">
        <v>290.00000000000011</v>
      </c>
      <c r="BR103">
        <v>1085.93</v>
      </c>
      <c r="BS103">
        <v>265</v>
      </c>
      <c r="BT103">
        <v>8062.67</v>
      </c>
      <c r="BU103">
        <v>1090.0899999999999</v>
      </c>
      <c r="BV103">
        <v>-4.16</v>
      </c>
      <c r="BW103">
        <v>300.00000000000011</v>
      </c>
      <c r="BX103">
        <v>19.3</v>
      </c>
      <c r="BY103">
        <v>1260.8526060338691</v>
      </c>
      <c r="BZ103">
        <v>5.5304998395129594</v>
      </c>
      <c r="CA103">
        <v>-137.68121222572671</v>
      </c>
      <c r="CB103">
        <v>4.0958396186917341</v>
      </c>
      <c r="CC103">
        <v>0.97581956683638005</v>
      </c>
      <c r="CD103">
        <v>-4.1599248053392664E-3</v>
      </c>
      <c r="CE103">
        <v>289.99999999999989</v>
      </c>
      <c r="CF103">
        <v>1081.03</v>
      </c>
      <c r="CG103">
        <v>665</v>
      </c>
      <c r="CH103">
        <v>8052.08</v>
      </c>
      <c r="CI103">
        <v>1089.8599999999999</v>
      </c>
      <c r="CJ103">
        <v>-8.83</v>
      </c>
      <c r="CX103">
        <f t="shared" si="134"/>
        <v>1799.81</v>
      </c>
      <c r="CY103">
        <f t="shared" si="135"/>
        <v>1513.0251062335287</v>
      </c>
      <c r="CZ103">
        <f t="shared" si="136"/>
        <v>0.84065823961058606</v>
      </c>
      <c r="DA103">
        <f t="shared" si="137"/>
        <v>0.16087040244843132</v>
      </c>
      <c r="DB103">
        <v>6</v>
      </c>
      <c r="DC103">
        <v>0.5</v>
      </c>
      <c r="DD103" t="s">
        <v>422</v>
      </c>
      <c r="DE103">
        <v>2</v>
      </c>
      <c r="DF103">
        <v>1689016979.5999999</v>
      </c>
      <c r="DG103">
        <v>631.04700000000003</v>
      </c>
      <c r="DH103">
        <v>700.1</v>
      </c>
      <c r="DI103">
        <v>28.228200000000001</v>
      </c>
      <c r="DJ103">
        <v>22.254799999999999</v>
      </c>
      <c r="DK103">
        <v>631.33199999999999</v>
      </c>
      <c r="DL103">
        <v>28.1831</v>
      </c>
      <c r="DM103">
        <v>500.05900000000003</v>
      </c>
      <c r="DN103">
        <v>98.998500000000007</v>
      </c>
      <c r="DO103">
        <v>9.96499E-2</v>
      </c>
      <c r="DP103">
        <v>30.098700000000001</v>
      </c>
      <c r="DQ103">
        <v>30.0625</v>
      </c>
      <c r="DR103">
        <v>999.9</v>
      </c>
      <c r="DS103">
        <v>0</v>
      </c>
      <c r="DT103">
        <v>0</v>
      </c>
      <c r="DU103">
        <v>9993.75</v>
      </c>
      <c r="DV103">
        <v>0</v>
      </c>
      <c r="DW103">
        <v>1560.98</v>
      </c>
      <c r="DX103">
        <v>-69.053200000000004</v>
      </c>
      <c r="DY103">
        <v>649.37800000000004</v>
      </c>
      <c r="DZ103">
        <v>716.03499999999997</v>
      </c>
      <c r="EA103">
        <v>5.9734400000000001</v>
      </c>
      <c r="EB103">
        <v>700.1</v>
      </c>
      <c r="EC103">
        <v>22.254799999999999</v>
      </c>
      <c r="ED103">
        <v>2.7945500000000001</v>
      </c>
      <c r="EE103">
        <v>2.2031900000000002</v>
      </c>
      <c r="EF103">
        <v>22.851900000000001</v>
      </c>
      <c r="EG103">
        <v>18.985499999999998</v>
      </c>
      <c r="EH103">
        <v>1799.81</v>
      </c>
      <c r="EI103">
        <v>0.97799499999999995</v>
      </c>
      <c r="EJ103">
        <v>2.2004599999999999E-2</v>
      </c>
      <c r="EK103">
        <v>0</v>
      </c>
      <c r="EL103">
        <v>750.37300000000005</v>
      </c>
      <c r="EM103">
        <v>5.0005300000000004</v>
      </c>
      <c r="EN103">
        <v>15931.2</v>
      </c>
      <c r="EO103">
        <v>16033.5</v>
      </c>
      <c r="EP103">
        <v>47.25</v>
      </c>
      <c r="EQ103">
        <v>48.311999999999998</v>
      </c>
      <c r="ER103">
        <v>47.811999999999998</v>
      </c>
      <c r="ES103">
        <v>48.186999999999998</v>
      </c>
      <c r="ET103">
        <v>48.561999999999998</v>
      </c>
      <c r="EU103">
        <v>1755.31</v>
      </c>
      <c r="EV103">
        <v>39.49</v>
      </c>
      <c r="EW103">
        <v>0</v>
      </c>
      <c r="EX103">
        <v>124.7999999523163</v>
      </c>
      <c r="EY103">
        <v>0</v>
      </c>
      <c r="EZ103">
        <v>750.52327999999989</v>
      </c>
      <c r="FA103">
        <v>-2.2881538488506759</v>
      </c>
      <c r="FB103">
        <v>-13.253846377708671</v>
      </c>
      <c r="FC103">
        <v>15933.951999999999</v>
      </c>
      <c r="FD103">
        <v>15</v>
      </c>
      <c r="FE103">
        <v>1689016947</v>
      </c>
      <c r="FF103" t="s">
        <v>864</v>
      </c>
      <c r="FG103">
        <v>1689016798.5</v>
      </c>
      <c r="FH103">
        <v>1689016934.5</v>
      </c>
      <c r="FI103">
        <v>94</v>
      </c>
      <c r="FJ103">
        <v>0.23599999999999999</v>
      </c>
      <c r="FK103">
        <v>-5.0000000000000001E-3</v>
      </c>
      <c r="FL103">
        <v>-0.29099999999999998</v>
      </c>
      <c r="FM103">
        <v>3.5999999999999997E-2</v>
      </c>
      <c r="FN103">
        <v>500</v>
      </c>
      <c r="FO103">
        <v>22</v>
      </c>
      <c r="FP103">
        <v>0.04</v>
      </c>
      <c r="FQ103">
        <v>0.02</v>
      </c>
      <c r="FR103">
        <v>54.394550969843621</v>
      </c>
      <c r="FS103">
        <v>-0.39007854279424842</v>
      </c>
      <c r="FT103">
        <v>0.13887190333007879</v>
      </c>
      <c r="FU103">
        <v>1</v>
      </c>
      <c r="FV103">
        <v>0.35508722437537632</v>
      </c>
      <c r="FW103">
        <v>-4.3619215969891356E-3</v>
      </c>
      <c r="FX103">
        <v>1.577798378847963E-3</v>
      </c>
      <c r="FY103">
        <v>1</v>
      </c>
      <c r="FZ103">
        <v>2</v>
      </c>
      <c r="GA103">
        <v>2</v>
      </c>
      <c r="GB103" t="s">
        <v>424</v>
      </c>
      <c r="GC103">
        <v>3.1232500000000001</v>
      </c>
      <c r="GD103">
        <v>2.7669000000000001</v>
      </c>
      <c r="GE103">
        <v>0.12345100000000001</v>
      </c>
      <c r="GF103">
        <v>0.132494</v>
      </c>
      <c r="GG103">
        <v>0.11951000000000001</v>
      </c>
      <c r="GH103">
        <v>0.101427</v>
      </c>
      <c r="GI103">
        <v>20908.5</v>
      </c>
      <c r="GJ103">
        <v>21465.1</v>
      </c>
      <c r="GK103">
        <v>23717.4</v>
      </c>
      <c r="GL103">
        <v>25058.2</v>
      </c>
      <c r="GM103">
        <v>30094.6</v>
      </c>
      <c r="GN103">
        <v>31579.5</v>
      </c>
      <c r="GO103">
        <v>37803.800000000003</v>
      </c>
      <c r="GP103">
        <v>38984.5</v>
      </c>
      <c r="GQ103">
        <v>2.1122000000000001</v>
      </c>
      <c r="GR103">
        <v>1.6951000000000001</v>
      </c>
      <c r="GS103">
        <v>-5.5804799999999996E-3</v>
      </c>
      <c r="GT103">
        <v>0</v>
      </c>
      <c r="GU103">
        <v>30.153300000000002</v>
      </c>
      <c r="GV103">
        <v>999.9</v>
      </c>
      <c r="GW103">
        <v>27.9</v>
      </c>
      <c r="GX103">
        <v>47.7</v>
      </c>
      <c r="GY103">
        <v>31.179500000000001</v>
      </c>
      <c r="GZ103">
        <v>60.899299999999997</v>
      </c>
      <c r="HA103">
        <v>27.892600000000002</v>
      </c>
      <c r="HB103">
        <v>1</v>
      </c>
      <c r="HC103">
        <v>0.65655200000000002</v>
      </c>
      <c r="HD103">
        <v>3.36951</v>
      </c>
      <c r="HE103">
        <v>20.281700000000001</v>
      </c>
      <c r="HF103">
        <v>5.2478400000000001</v>
      </c>
      <c r="HG103">
        <v>12.0099</v>
      </c>
      <c r="HH103">
        <v>4.9775499999999999</v>
      </c>
      <c r="HI103">
        <v>3.2922500000000001</v>
      </c>
      <c r="HJ103">
        <v>9999</v>
      </c>
      <c r="HK103">
        <v>9999</v>
      </c>
      <c r="HL103">
        <v>9999</v>
      </c>
      <c r="HM103">
        <v>236.2</v>
      </c>
      <c r="HN103">
        <v>1.8756900000000001</v>
      </c>
      <c r="HO103">
        <v>1.8768199999999999</v>
      </c>
      <c r="HP103">
        <v>1.8827799999999999</v>
      </c>
      <c r="HQ103">
        <v>1.8859900000000001</v>
      </c>
      <c r="HR103">
        <v>1.87683</v>
      </c>
      <c r="HS103">
        <v>1.8831800000000001</v>
      </c>
      <c r="HT103">
        <v>1.8821699999999999</v>
      </c>
      <c r="HU103">
        <v>1.88568</v>
      </c>
      <c r="HV103">
        <v>0</v>
      </c>
      <c r="HW103">
        <v>0</v>
      </c>
      <c r="HX103">
        <v>0</v>
      </c>
      <c r="HY103">
        <v>0</v>
      </c>
      <c r="HZ103" t="s">
        <v>425</v>
      </c>
      <c r="IA103" t="s">
        <v>426</v>
      </c>
      <c r="IB103" t="s">
        <v>427</v>
      </c>
      <c r="IC103" t="s">
        <v>427</v>
      </c>
      <c r="ID103" t="s">
        <v>427</v>
      </c>
      <c r="IE103" t="s">
        <v>427</v>
      </c>
      <c r="IF103">
        <v>0</v>
      </c>
      <c r="IG103">
        <v>100</v>
      </c>
      <c r="IH103">
        <v>100</v>
      </c>
      <c r="II103">
        <v>-0.28499999999999998</v>
      </c>
      <c r="IJ103">
        <v>4.5100000000000001E-2</v>
      </c>
      <c r="IK103">
        <v>-0.20514493476992249</v>
      </c>
      <c r="IL103">
        <v>-4.2852564239613137E-4</v>
      </c>
      <c r="IM103">
        <v>6.4980710991155998E-7</v>
      </c>
      <c r="IN103">
        <v>-2.7237938963984961E-10</v>
      </c>
      <c r="IO103">
        <v>-1.3227745994943051E-2</v>
      </c>
      <c r="IP103">
        <v>6.6907473102813496E-3</v>
      </c>
      <c r="IQ103">
        <v>-3.3673306238274028E-4</v>
      </c>
      <c r="IR103">
        <v>6.1311374003140313E-6</v>
      </c>
      <c r="IS103">
        <v>3</v>
      </c>
      <c r="IT103">
        <v>2101</v>
      </c>
      <c r="IU103">
        <v>1</v>
      </c>
      <c r="IV103">
        <v>32</v>
      </c>
      <c r="IW103">
        <v>3</v>
      </c>
      <c r="IX103">
        <v>0.8</v>
      </c>
      <c r="IY103">
        <v>1.5966800000000001</v>
      </c>
      <c r="IZ103">
        <v>2.7331500000000002</v>
      </c>
      <c r="JA103">
        <v>1.6015600000000001</v>
      </c>
      <c r="JB103">
        <v>2.32666</v>
      </c>
      <c r="JC103">
        <v>1.5502899999999999</v>
      </c>
      <c r="JD103">
        <v>2.31934</v>
      </c>
      <c r="JE103">
        <v>49.389400000000002</v>
      </c>
      <c r="JF103">
        <v>24.1313</v>
      </c>
      <c r="JG103">
        <v>18</v>
      </c>
      <c r="JH103">
        <v>581.995</v>
      </c>
      <c r="JI103">
        <v>366.839</v>
      </c>
      <c r="JJ103">
        <v>26.707699999999999</v>
      </c>
      <c r="JK103">
        <v>35.000599999999999</v>
      </c>
      <c r="JL103">
        <v>30.000800000000002</v>
      </c>
      <c r="JM103">
        <v>35.155200000000001</v>
      </c>
      <c r="JN103">
        <v>35.155999999999999</v>
      </c>
      <c r="JO103">
        <v>31.956199999999999</v>
      </c>
      <c r="JP103">
        <v>31.9239</v>
      </c>
      <c r="JQ103">
        <v>0</v>
      </c>
      <c r="JR103">
        <v>26.6873</v>
      </c>
      <c r="JS103">
        <v>700</v>
      </c>
      <c r="JT103">
        <v>22.200600000000001</v>
      </c>
      <c r="JU103">
        <v>98.604600000000005</v>
      </c>
      <c r="JV103">
        <v>98.6691</v>
      </c>
    </row>
    <row r="104" spans="1:282" x14ac:dyDescent="0.25">
      <c r="A104">
        <v>88</v>
      </c>
      <c r="B104">
        <v>1689017095.0999999</v>
      </c>
      <c r="C104">
        <v>17272.5</v>
      </c>
      <c r="D104" t="s">
        <v>865</v>
      </c>
      <c r="E104" t="s">
        <v>866</v>
      </c>
      <c r="F104" t="s">
        <v>414</v>
      </c>
      <c r="G104" t="s">
        <v>415</v>
      </c>
      <c r="H104" t="s">
        <v>31</v>
      </c>
      <c r="I104" t="s">
        <v>417</v>
      </c>
      <c r="J104" t="s">
        <v>416</v>
      </c>
      <c r="K104">
        <v>1689017095.0999999</v>
      </c>
      <c r="L104">
        <f t="shared" si="92"/>
        <v>4.745481546808354E-3</v>
      </c>
      <c r="M104">
        <f t="shared" si="93"/>
        <v>4.745481546808354</v>
      </c>
      <c r="N104">
        <f t="shared" si="94"/>
        <v>53.834038825952028</v>
      </c>
      <c r="O104">
        <f t="shared" si="95"/>
        <v>830.74800000000005</v>
      </c>
      <c r="P104">
        <f t="shared" si="96"/>
        <v>534.8266706499237</v>
      </c>
      <c r="Q104">
        <f t="shared" si="97"/>
        <v>53.001575499595987</v>
      </c>
      <c r="R104">
        <f t="shared" si="98"/>
        <v>82.327518913055997</v>
      </c>
      <c r="S104">
        <f t="shared" si="99"/>
        <v>0.32489035324185811</v>
      </c>
      <c r="T104">
        <f t="shared" si="100"/>
        <v>2.9141465360074434</v>
      </c>
      <c r="U104">
        <f t="shared" si="101"/>
        <v>0.30602542130466864</v>
      </c>
      <c r="V104">
        <f t="shared" si="102"/>
        <v>0.19286948207309543</v>
      </c>
      <c r="W104">
        <f t="shared" si="103"/>
        <v>289.59418132665462</v>
      </c>
      <c r="X104">
        <f t="shared" si="104"/>
        <v>30.431504972780395</v>
      </c>
      <c r="Y104">
        <f t="shared" si="105"/>
        <v>29.994700000000002</v>
      </c>
      <c r="Z104">
        <f t="shared" si="106"/>
        <v>4.2591529457230788</v>
      </c>
      <c r="AA104">
        <f t="shared" si="107"/>
        <v>65.343381702593405</v>
      </c>
      <c r="AB104">
        <f t="shared" si="108"/>
        <v>2.7769736062895998</v>
      </c>
      <c r="AC104">
        <f t="shared" si="109"/>
        <v>4.2498161771437442</v>
      </c>
      <c r="AD104">
        <f t="shared" si="110"/>
        <v>1.482179339433479</v>
      </c>
      <c r="AE104">
        <f t="shared" si="111"/>
        <v>-209.27573621424841</v>
      </c>
      <c r="AF104">
        <f t="shared" si="112"/>
        <v>-6.001505279481238</v>
      </c>
      <c r="AG104">
        <f t="shared" si="113"/>
        <v>-0.45780757930355126</v>
      </c>
      <c r="AH104">
        <f t="shared" si="114"/>
        <v>73.859132253621411</v>
      </c>
      <c r="AI104">
        <v>0</v>
      </c>
      <c r="AJ104">
        <v>0</v>
      </c>
      <c r="AK104">
        <f t="shared" si="115"/>
        <v>1</v>
      </c>
      <c r="AL104">
        <f t="shared" si="116"/>
        <v>0</v>
      </c>
      <c r="AM104">
        <f t="shared" si="117"/>
        <v>51900.097282770395</v>
      </c>
      <c r="AN104" t="s">
        <v>419</v>
      </c>
      <c r="AO104">
        <v>9967.0300000000007</v>
      </c>
      <c r="AP104">
        <v>178.94153846153841</v>
      </c>
      <c r="AQ104">
        <v>603.15</v>
      </c>
      <c r="AR104">
        <f t="shared" si="118"/>
        <v>0.7033216638290003</v>
      </c>
      <c r="AS104">
        <v>-3.2649104154664181</v>
      </c>
      <c r="AT104" t="s">
        <v>867</v>
      </c>
      <c r="AU104">
        <v>8061.65</v>
      </c>
      <c r="AV104">
        <v>744.59992</v>
      </c>
      <c r="AW104">
        <v>1255.4125371007731</v>
      </c>
      <c r="AX104">
        <f t="shared" si="119"/>
        <v>0.40688825545779117</v>
      </c>
      <c r="AY104">
        <v>0.5</v>
      </c>
      <c r="AZ104">
        <f t="shared" si="120"/>
        <v>1513.3277996511165</v>
      </c>
      <c r="BA104">
        <f t="shared" si="121"/>
        <v>53.834038825952028</v>
      </c>
      <c r="BB104">
        <f t="shared" si="122"/>
        <v>307.87765416791024</v>
      </c>
      <c r="BC104">
        <f t="shared" si="123"/>
        <v>3.7730721166017084E-2</v>
      </c>
      <c r="BD104">
        <f t="shared" si="124"/>
        <v>-0.51956031808244996</v>
      </c>
      <c r="BE104">
        <f t="shared" si="125"/>
        <v>211.55040203105202</v>
      </c>
      <c r="BF104" t="s">
        <v>868</v>
      </c>
      <c r="BG104">
        <v>574.59</v>
      </c>
      <c r="BH104">
        <f t="shared" si="126"/>
        <v>574.59</v>
      </c>
      <c r="BI104">
        <f t="shared" si="127"/>
        <v>0.54230981209814288</v>
      </c>
      <c r="BJ104">
        <f t="shared" si="128"/>
        <v>0.75028746738618068</v>
      </c>
      <c r="BK104">
        <f t="shared" si="129"/>
        <v>-22.838324128178375</v>
      </c>
      <c r="BL104">
        <f t="shared" si="130"/>
        <v>0.47452520109365742</v>
      </c>
      <c r="BM104">
        <f t="shared" si="131"/>
        <v>-1.537599072718248</v>
      </c>
      <c r="BN104">
        <f t="shared" si="132"/>
        <v>0.57897894467330269</v>
      </c>
      <c r="BO104">
        <f t="shared" si="133"/>
        <v>0.42102105532669731</v>
      </c>
      <c r="BP104">
        <v>6211</v>
      </c>
      <c r="BQ104">
        <v>290.00000000000011</v>
      </c>
      <c r="BR104">
        <v>1079.17</v>
      </c>
      <c r="BS104">
        <v>295</v>
      </c>
      <c r="BT104">
        <v>8061.65</v>
      </c>
      <c r="BU104">
        <v>1082.6600000000001</v>
      </c>
      <c r="BV104">
        <v>-3.49</v>
      </c>
      <c r="BW104">
        <v>300.00000000000011</v>
      </c>
      <c r="BX104">
        <v>19.3</v>
      </c>
      <c r="BY104">
        <v>1255.4125371007731</v>
      </c>
      <c r="BZ104">
        <v>5.0392152714559879</v>
      </c>
      <c r="CA104">
        <v>-139.26842273139391</v>
      </c>
      <c r="CB104">
        <v>3.7320859540177991</v>
      </c>
      <c r="CC104">
        <v>0.98028893488338176</v>
      </c>
      <c r="CD104">
        <v>-4.1598978865406066E-3</v>
      </c>
      <c r="CE104">
        <v>289.99999999999989</v>
      </c>
      <c r="CF104">
        <v>1073.6300000000001</v>
      </c>
      <c r="CG104">
        <v>645</v>
      </c>
      <c r="CH104">
        <v>8052.9</v>
      </c>
      <c r="CI104">
        <v>1082.47</v>
      </c>
      <c r="CJ104">
        <v>-8.84</v>
      </c>
      <c r="CX104">
        <f t="shared" si="134"/>
        <v>1800.17</v>
      </c>
      <c r="CY104">
        <f t="shared" si="135"/>
        <v>1513.3277996511165</v>
      </c>
      <c r="CZ104">
        <f t="shared" si="136"/>
        <v>0.8406582709694731</v>
      </c>
      <c r="DA104">
        <f t="shared" si="137"/>
        <v>0.16087046297108307</v>
      </c>
      <c r="DB104">
        <v>6</v>
      </c>
      <c r="DC104">
        <v>0.5</v>
      </c>
      <c r="DD104" t="s">
        <v>422</v>
      </c>
      <c r="DE104">
        <v>2</v>
      </c>
      <c r="DF104">
        <v>1689017095.0999999</v>
      </c>
      <c r="DG104">
        <v>830.74800000000005</v>
      </c>
      <c r="DH104">
        <v>900.06200000000001</v>
      </c>
      <c r="DI104">
        <v>28.021799999999999</v>
      </c>
      <c r="DJ104">
        <v>22.488199999999999</v>
      </c>
      <c r="DK104">
        <v>831.25099999999998</v>
      </c>
      <c r="DL104">
        <v>27.976600000000001</v>
      </c>
      <c r="DM104">
        <v>500.12700000000001</v>
      </c>
      <c r="DN104">
        <v>99.000799999999998</v>
      </c>
      <c r="DO104">
        <v>9.9671999999999997E-2</v>
      </c>
      <c r="DP104">
        <v>29.956499999999998</v>
      </c>
      <c r="DQ104">
        <v>29.994700000000002</v>
      </c>
      <c r="DR104">
        <v>999.9</v>
      </c>
      <c r="DS104">
        <v>0</v>
      </c>
      <c r="DT104">
        <v>0</v>
      </c>
      <c r="DU104">
        <v>10012.5</v>
      </c>
      <c r="DV104">
        <v>0</v>
      </c>
      <c r="DW104">
        <v>1560.75</v>
      </c>
      <c r="DX104">
        <v>-69.313500000000005</v>
      </c>
      <c r="DY104">
        <v>854.69799999999998</v>
      </c>
      <c r="DZ104">
        <v>920.76800000000003</v>
      </c>
      <c r="EA104">
        <v>5.5336400000000001</v>
      </c>
      <c r="EB104">
        <v>900.06200000000001</v>
      </c>
      <c r="EC104">
        <v>22.488199999999999</v>
      </c>
      <c r="ED104">
        <v>2.7741799999999999</v>
      </c>
      <c r="EE104">
        <v>2.2263500000000001</v>
      </c>
      <c r="EF104">
        <v>22.731300000000001</v>
      </c>
      <c r="EG104">
        <v>19.153199999999998</v>
      </c>
      <c r="EH104">
        <v>1800.17</v>
      </c>
      <c r="EI104">
        <v>0.97799899999999995</v>
      </c>
      <c r="EJ104">
        <v>2.2001300000000001E-2</v>
      </c>
      <c r="EK104">
        <v>0</v>
      </c>
      <c r="EL104">
        <v>744.572</v>
      </c>
      <c r="EM104">
        <v>5.0005300000000004</v>
      </c>
      <c r="EN104">
        <v>15833.4</v>
      </c>
      <c r="EO104">
        <v>16036.7</v>
      </c>
      <c r="EP104">
        <v>47.186999999999998</v>
      </c>
      <c r="EQ104">
        <v>48.311999999999998</v>
      </c>
      <c r="ER104">
        <v>47.75</v>
      </c>
      <c r="ES104">
        <v>48.125</v>
      </c>
      <c r="ET104">
        <v>48.5</v>
      </c>
      <c r="EU104">
        <v>1755.67</v>
      </c>
      <c r="EV104">
        <v>39.5</v>
      </c>
      <c r="EW104">
        <v>0</v>
      </c>
      <c r="EX104">
        <v>113.5999999046326</v>
      </c>
      <c r="EY104">
        <v>0</v>
      </c>
      <c r="EZ104">
        <v>744.59992</v>
      </c>
      <c r="FA104">
        <v>-4.3664615477905073</v>
      </c>
      <c r="FB104">
        <v>-129.61538521085311</v>
      </c>
      <c r="FC104">
        <v>15842.472</v>
      </c>
      <c r="FD104">
        <v>15</v>
      </c>
      <c r="FE104">
        <v>1689017061.0999999</v>
      </c>
      <c r="FF104" t="s">
        <v>869</v>
      </c>
      <c r="FG104">
        <v>1689017061.0999999</v>
      </c>
      <c r="FH104">
        <v>1689017047.0999999</v>
      </c>
      <c r="FI104">
        <v>95</v>
      </c>
      <c r="FJ104">
        <v>-0.23400000000000001</v>
      </c>
      <c r="FK104">
        <v>1E-3</v>
      </c>
      <c r="FL104">
        <v>-0.497</v>
      </c>
      <c r="FM104">
        <v>3.6999999999999998E-2</v>
      </c>
      <c r="FN104">
        <v>900</v>
      </c>
      <c r="FO104">
        <v>22</v>
      </c>
      <c r="FP104">
        <v>0.03</v>
      </c>
      <c r="FQ104">
        <v>0.02</v>
      </c>
      <c r="FR104">
        <v>53.868241142797743</v>
      </c>
      <c r="FS104">
        <v>-0.43556502091360311</v>
      </c>
      <c r="FT104">
        <v>6.4468564923641739E-2</v>
      </c>
      <c r="FU104">
        <v>1</v>
      </c>
      <c r="FV104">
        <v>0.3267683281370638</v>
      </c>
      <c r="FW104">
        <v>-2.079660015042125E-2</v>
      </c>
      <c r="FX104">
        <v>1.5811107020360501E-3</v>
      </c>
      <c r="FY104">
        <v>1</v>
      </c>
      <c r="FZ104">
        <v>2</v>
      </c>
      <c r="GA104">
        <v>2</v>
      </c>
      <c r="GB104" t="s">
        <v>424</v>
      </c>
      <c r="GC104">
        <v>3.1234999999999999</v>
      </c>
      <c r="GD104">
        <v>2.76708</v>
      </c>
      <c r="GE104">
        <v>0.148732</v>
      </c>
      <c r="GF104">
        <v>0.156556</v>
      </c>
      <c r="GG104">
        <v>0.118899</v>
      </c>
      <c r="GH104">
        <v>0.10217900000000001</v>
      </c>
      <c r="GI104">
        <v>20302.3</v>
      </c>
      <c r="GJ104">
        <v>20866.2</v>
      </c>
      <c r="GK104">
        <v>23714.799999999999</v>
      </c>
      <c r="GL104">
        <v>25055.4</v>
      </c>
      <c r="GM104">
        <v>30112.5</v>
      </c>
      <c r="GN104">
        <v>31550.5</v>
      </c>
      <c r="GO104">
        <v>37800.1</v>
      </c>
      <c r="GP104">
        <v>38981.4</v>
      </c>
      <c r="GQ104">
        <v>2.1122299999999998</v>
      </c>
      <c r="GR104">
        <v>1.69492</v>
      </c>
      <c r="GS104">
        <v>-6.92904E-3</v>
      </c>
      <c r="GT104">
        <v>0</v>
      </c>
      <c r="GU104">
        <v>30.107399999999998</v>
      </c>
      <c r="GV104">
        <v>999.9</v>
      </c>
      <c r="GW104">
        <v>27.8</v>
      </c>
      <c r="GX104">
        <v>47.7</v>
      </c>
      <c r="GY104">
        <v>31.0686</v>
      </c>
      <c r="GZ104">
        <v>61.569299999999998</v>
      </c>
      <c r="HA104">
        <v>27.652200000000001</v>
      </c>
      <c r="HB104">
        <v>1</v>
      </c>
      <c r="HC104">
        <v>0.65881100000000004</v>
      </c>
      <c r="HD104">
        <v>3.0334699999999999</v>
      </c>
      <c r="HE104">
        <v>20.2883</v>
      </c>
      <c r="HF104">
        <v>5.2479899999999997</v>
      </c>
      <c r="HG104">
        <v>12.0099</v>
      </c>
      <c r="HH104">
        <v>4.9775499999999999</v>
      </c>
      <c r="HI104">
        <v>3.29223</v>
      </c>
      <c r="HJ104">
        <v>9999</v>
      </c>
      <c r="HK104">
        <v>9999</v>
      </c>
      <c r="HL104">
        <v>9999</v>
      </c>
      <c r="HM104">
        <v>236.2</v>
      </c>
      <c r="HN104">
        <v>1.87565</v>
      </c>
      <c r="HO104">
        <v>1.8768100000000001</v>
      </c>
      <c r="HP104">
        <v>1.8827799999999999</v>
      </c>
      <c r="HQ104">
        <v>1.8859900000000001</v>
      </c>
      <c r="HR104">
        <v>1.87683</v>
      </c>
      <c r="HS104">
        <v>1.8832100000000001</v>
      </c>
      <c r="HT104">
        <v>1.88218</v>
      </c>
      <c r="HU104">
        <v>1.88568</v>
      </c>
      <c r="HV104">
        <v>0</v>
      </c>
      <c r="HW104">
        <v>0</v>
      </c>
      <c r="HX104">
        <v>0</v>
      </c>
      <c r="HY104">
        <v>0</v>
      </c>
      <c r="HZ104" t="s">
        <v>425</v>
      </c>
      <c r="IA104" t="s">
        <v>426</v>
      </c>
      <c r="IB104" t="s">
        <v>427</v>
      </c>
      <c r="IC104" t="s">
        <v>427</v>
      </c>
      <c r="ID104" t="s">
        <v>427</v>
      </c>
      <c r="IE104" t="s">
        <v>427</v>
      </c>
      <c r="IF104">
        <v>0</v>
      </c>
      <c r="IG104">
        <v>100</v>
      </c>
      <c r="IH104">
        <v>100</v>
      </c>
      <c r="II104">
        <v>-0.503</v>
      </c>
      <c r="IJ104">
        <v>4.5199999999999997E-2</v>
      </c>
      <c r="IK104">
        <v>-0.43936303087656819</v>
      </c>
      <c r="IL104">
        <v>-4.2852564239613137E-4</v>
      </c>
      <c r="IM104">
        <v>6.4980710991155998E-7</v>
      </c>
      <c r="IN104">
        <v>-2.7237938963984961E-10</v>
      </c>
      <c r="IO104">
        <v>-1.2602574818879751E-2</v>
      </c>
      <c r="IP104">
        <v>6.6907473102813496E-3</v>
      </c>
      <c r="IQ104">
        <v>-3.3673306238274028E-4</v>
      </c>
      <c r="IR104">
        <v>6.1311374003140313E-6</v>
      </c>
      <c r="IS104">
        <v>3</v>
      </c>
      <c r="IT104">
        <v>2101</v>
      </c>
      <c r="IU104">
        <v>1</v>
      </c>
      <c r="IV104">
        <v>32</v>
      </c>
      <c r="IW104">
        <v>0.6</v>
      </c>
      <c r="IX104">
        <v>0.8</v>
      </c>
      <c r="IY104">
        <v>1.96289</v>
      </c>
      <c r="IZ104">
        <v>2.7209500000000002</v>
      </c>
      <c r="JA104">
        <v>1.6015600000000001</v>
      </c>
      <c r="JB104">
        <v>2.32666</v>
      </c>
      <c r="JC104">
        <v>1.5502899999999999</v>
      </c>
      <c r="JD104">
        <v>2.4475099999999999</v>
      </c>
      <c r="JE104">
        <v>49.357900000000001</v>
      </c>
      <c r="JF104">
        <v>24.148800000000001</v>
      </c>
      <c r="JG104">
        <v>18</v>
      </c>
      <c r="JH104">
        <v>582.20500000000004</v>
      </c>
      <c r="JI104">
        <v>366.846</v>
      </c>
      <c r="JJ104">
        <v>26.6175</v>
      </c>
      <c r="JK104">
        <v>35.031700000000001</v>
      </c>
      <c r="JL104">
        <v>30.0001</v>
      </c>
      <c r="JM104">
        <v>35.177500000000002</v>
      </c>
      <c r="JN104">
        <v>35.175199999999997</v>
      </c>
      <c r="JO104">
        <v>39.285400000000003</v>
      </c>
      <c r="JP104">
        <v>30.499300000000002</v>
      </c>
      <c r="JQ104">
        <v>0</v>
      </c>
      <c r="JR104">
        <v>26.624600000000001</v>
      </c>
      <c r="JS104">
        <v>900</v>
      </c>
      <c r="JT104">
        <v>22.4682</v>
      </c>
      <c r="JU104">
        <v>98.594499999999996</v>
      </c>
      <c r="JV104">
        <v>98.66</v>
      </c>
    </row>
    <row r="105" spans="1:282" x14ac:dyDescent="0.25">
      <c r="A105">
        <v>89</v>
      </c>
      <c r="B105">
        <v>1689017220.0999999</v>
      </c>
      <c r="C105">
        <v>17397.5</v>
      </c>
      <c r="D105" t="s">
        <v>870</v>
      </c>
      <c r="E105" t="s">
        <v>871</v>
      </c>
      <c r="F105" t="s">
        <v>414</v>
      </c>
      <c r="G105" t="s">
        <v>415</v>
      </c>
      <c r="H105" t="s">
        <v>31</v>
      </c>
      <c r="I105" t="s">
        <v>417</v>
      </c>
      <c r="J105" t="s">
        <v>416</v>
      </c>
      <c r="K105">
        <v>1689017220.0999999</v>
      </c>
      <c r="L105">
        <f t="shared" si="92"/>
        <v>4.4027607631945964E-3</v>
      </c>
      <c r="M105">
        <f t="shared" si="93"/>
        <v>4.4027607631945962</v>
      </c>
      <c r="N105">
        <f t="shared" si="94"/>
        <v>52.562446807497125</v>
      </c>
      <c r="O105">
        <f t="shared" si="95"/>
        <v>1131.17</v>
      </c>
      <c r="P105">
        <f t="shared" si="96"/>
        <v>809.23257628772728</v>
      </c>
      <c r="Q105">
        <f t="shared" si="97"/>
        <v>80.19495073781151</v>
      </c>
      <c r="R105">
        <f t="shared" si="98"/>
        <v>112.09895039351001</v>
      </c>
      <c r="S105">
        <f t="shared" si="99"/>
        <v>0.29609189299534394</v>
      </c>
      <c r="T105">
        <f t="shared" si="100"/>
        <v>2.9075638980475182</v>
      </c>
      <c r="U105">
        <f t="shared" si="101"/>
        <v>0.28030244178265362</v>
      </c>
      <c r="V105">
        <f t="shared" si="102"/>
        <v>0.1765374472963803</v>
      </c>
      <c r="W105">
        <f t="shared" si="103"/>
        <v>289.55906932657234</v>
      </c>
      <c r="X105">
        <f t="shared" si="104"/>
        <v>30.487581976544803</v>
      </c>
      <c r="Y105">
        <f t="shared" si="105"/>
        <v>30.0182</v>
      </c>
      <c r="Z105">
        <f t="shared" si="106"/>
        <v>4.2649056465279021</v>
      </c>
      <c r="AA105">
        <f t="shared" si="107"/>
        <v>65.155168842662377</v>
      </c>
      <c r="AB105">
        <f t="shared" si="108"/>
        <v>2.7635225036585997</v>
      </c>
      <c r="AC105">
        <f t="shared" si="109"/>
        <v>4.2414478432739431</v>
      </c>
      <c r="AD105">
        <f t="shared" si="110"/>
        <v>1.5013831428693023</v>
      </c>
      <c r="AE105">
        <f t="shared" si="111"/>
        <v>-194.16174965688171</v>
      </c>
      <c r="AF105">
        <f t="shared" si="112"/>
        <v>-15.048248147667643</v>
      </c>
      <c r="AG105">
        <f t="shared" si="113"/>
        <v>-1.1504497020282205</v>
      </c>
      <c r="AH105">
        <f t="shared" si="114"/>
        <v>79.198621819994798</v>
      </c>
      <c r="AI105">
        <v>0</v>
      </c>
      <c r="AJ105">
        <v>0</v>
      </c>
      <c r="AK105">
        <f t="shared" si="115"/>
        <v>1</v>
      </c>
      <c r="AL105">
        <f t="shared" si="116"/>
        <v>0</v>
      </c>
      <c r="AM105">
        <f t="shared" si="117"/>
        <v>51718.792657030077</v>
      </c>
      <c r="AN105" t="s">
        <v>419</v>
      </c>
      <c r="AO105">
        <v>9967.0300000000007</v>
      </c>
      <c r="AP105">
        <v>178.94153846153841</v>
      </c>
      <c r="AQ105">
        <v>603.15</v>
      </c>
      <c r="AR105">
        <f t="shared" si="118"/>
        <v>0.7033216638290003</v>
      </c>
      <c r="AS105">
        <v>-3.2649104154664181</v>
      </c>
      <c r="AT105" t="s">
        <v>872</v>
      </c>
      <c r="AU105">
        <v>8062.02</v>
      </c>
      <c r="AV105">
        <v>737.11364000000003</v>
      </c>
      <c r="AW105">
        <v>1244.365379286136</v>
      </c>
      <c r="AX105">
        <f t="shared" si="119"/>
        <v>0.4076389039183449</v>
      </c>
      <c r="AY105">
        <v>0.5</v>
      </c>
      <c r="AZ105">
        <f t="shared" si="120"/>
        <v>1513.1429996510738</v>
      </c>
      <c r="BA105">
        <f t="shared" si="121"/>
        <v>52.562446807497125</v>
      </c>
      <c r="BB105">
        <f t="shared" si="122"/>
        <v>308.40797692474013</v>
      </c>
      <c r="BC105">
        <f t="shared" si="123"/>
        <v>3.6894964478464472E-2</v>
      </c>
      <c r="BD105">
        <f t="shared" si="124"/>
        <v>-0.51529509737243462</v>
      </c>
      <c r="BE105">
        <f t="shared" si="125"/>
        <v>211.23439650999828</v>
      </c>
      <c r="BF105" t="s">
        <v>873</v>
      </c>
      <c r="BG105">
        <v>569.9</v>
      </c>
      <c r="BH105">
        <f t="shared" si="126"/>
        <v>569.9</v>
      </c>
      <c r="BI105">
        <f t="shared" si="127"/>
        <v>0.54201554504277627</v>
      </c>
      <c r="BJ105">
        <f t="shared" si="128"/>
        <v>0.7520797284258216</v>
      </c>
      <c r="BK105">
        <f t="shared" si="129"/>
        <v>-19.284673061237172</v>
      </c>
      <c r="BL105">
        <f t="shared" si="130"/>
        <v>0.476103236899169</v>
      </c>
      <c r="BM105">
        <f t="shared" si="131"/>
        <v>-1.5115572588077646</v>
      </c>
      <c r="BN105">
        <f t="shared" si="132"/>
        <v>0.58147104323001775</v>
      </c>
      <c r="BO105">
        <f t="shared" si="133"/>
        <v>0.41852895676998225</v>
      </c>
      <c r="BP105">
        <v>6213</v>
      </c>
      <c r="BQ105">
        <v>290.00000000000011</v>
      </c>
      <c r="BR105">
        <v>1070.29</v>
      </c>
      <c r="BS105">
        <v>295</v>
      </c>
      <c r="BT105">
        <v>8062.02</v>
      </c>
      <c r="BU105">
        <v>1073.1500000000001</v>
      </c>
      <c r="BV105">
        <v>-2.86</v>
      </c>
      <c r="BW105">
        <v>300.00000000000011</v>
      </c>
      <c r="BX105">
        <v>19.3</v>
      </c>
      <c r="BY105">
        <v>1244.365379286136</v>
      </c>
      <c r="BZ105">
        <v>4.111797222854694</v>
      </c>
      <c r="CA105">
        <v>-138.03374875144689</v>
      </c>
      <c r="CB105">
        <v>3.045385196017087</v>
      </c>
      <c r="CC105">
        <v>0.98655400961915762</v>
      </c>
      <c r="CD105">
        <v>-4.1600142380422639E-3</v>
      </c>
      <c r="CE105">
        <v>289.99999999999989</v>
      </c>
      <c r="CF105">
        <v>1064.69</v>
      </c>
      <c r="CG105">
        <v>645</v>
      </c>
      <c r="CH105">
        <v>8053.32</v>
      </c>
      <c r="CI105">
        <v>1072.97</v>
      </c>
      <c r="CJ105">
        <v>-8.2799999999999994</v>
      </c>
      <c r="CX105">
        <f t="shared" si="134"/>
        <v>1799.95</v>
      </c>
      <c r="CY105">
        <f t="shared" si="135"/>
        <v>1513.1429996510738</v>
      </c>
      <c r="CZ105">
        <f t="shared" si="136"/>
        <v>0.84065835142702505</v>
      </c>
      <c r="DA105">
        <f t="shared" si="137"/>
        <v>0.16087061825415835</v>
      </c>
      <c r="DB105">
        <v>6</v>
      </c>
      <c r="DC105">
        <v>0.5</v>
      </c>
      <c r="DD105" t="s">
        <v>422</v>
      </c>
      <c r="DE105">
        <v>2</v>
      </c>
      <c r="DF105">
        <v>1689017220.0999999</v>
      </c>
      <c r="DG105">
        <v>1131.17</v>
      </c>
      <c r="DH105">
        <v>1200.2</v>
      </c>
      <c r="DI105">
        <v>27.886199999999999</v>
      </c>
      <c r="DJ105">
        <v>22.751799999999999</v>
      </c>
      <c r="DK105">
        <v>1131.53</v>
      </c>
      <c r="DL105">
        <v>27.837</v>
      </c>
      <c r="DM105">
        <v>500.154</v>
      </c>
      <c r="DN105">
        <v>98.999499999999998</v>
      </c>
      <c r="DO105">
        <v>0.100503</v>
      </c>
      <c r="DP105">
        <v>29.9222</v>
      </c>
      <c r="DQ105">
        <v>30.0182</v>
      </c>
      <c r="DR105">
        <v>999.9</v>
      </c>
      <c r="DS105">
        <v>0</v>
      </c>
      <c r="DT105">
        <v>0</v>
      </c>
      <c r="DU105">
        <v>9975</v>
      </c>
      <c r="DV105">
        <v>0</v>
      </c>
      <c r="DW105">
        <v>1563.75</v>
      </c>
      <c r="DX105">
        <v>-69.032799999999995</v>
      </c>
      <c r="DY105">
        <v>1163.6199999999999</v>
      </c>
      <c r="DZ105">
        <v>1228.1400000000001</v>
      </c>
      <c r="EA105">
        <v>5.1343899999999998</v>
      </c>
      <c r="EB105">
        <v>1200.2</v>
      </c>
      <c r="EC105">
        <v>22.751799999999999</v>
      </c>
      <c r="ED105">
        <v>2.7607200000000001</v>
      </c>
      <c r="EE105">
        <v>2.2524199999999999</v>
      </c>
      <c r="EF105">
        <v>22.6511</v>
      </c>
      <c r="EG105">
        <v>19.3401</v>
      </c>
      <c r="EH105">
        <v>1799.95</v>
      </c>
      <c r="EI105">
        <v>0.97799499999999995</v>
      </c>
      <c r="EJ105">
        <v>2.2004699999999999E-2</v>
      </c>
      <c r="EK105">
        <v>0</v>
      </c>
      <c r="EL105">
        <v>736.11199999999997</v>
      </c>
      <c r="EM105">
        <v>5.0005300000000004</v>
      </c>
      <c r="EN105">
        <v>15691.2</v>
      </c>
      <c r="EO105">
        <v>16034.8</v>
      </c>
      <c r="EP105">
        <v>47.061999999999998</v>
      </c>
      <c r="EQ105">
        <v>48.25</v>
      </c>
      <c r="ER105">
        <v>47.625</v>
      </c>
      <c r="ES105">
        <v>48</v>
      </c>
      <c r="ET105">
        <v>48.375</v>
      </c>
      <c r="EU105">
        <v>1755.45</v>
      </c>
      <c r="EV105">
        <v>39.5</v>
      </c>
      <c r="EW105">
        <v>0</v>
      </c>
      <c r="EX105">
        <v>123</v>
      </c>
      <c r="EY105">
        <v>0</v>
      </c>
      <c r="EZ105">
        <v>737.11364000000003</v>
      </c>
      <c r="FA105">
        <v>-4.8790769263569249</v>
      </c>
      <c r="FB105">
        <v>-115.17692338127441</v>
      </c>
      <c r="FC105">
        <v>15705.544</v>
      </c>
      <c r="FD105">
        <v>15</v>
      </c>
      <c r="FE105">
        <v>1689017183.5999999</v>
      </c>
      <c r="FF105" t="s">
        <v>874</v>
      </c>
      <c r="FG105">
        <v>1689017172.5999999</v>
      </c>
      <c r="FH105">
        <v>1689017183.5999999</v>
      </c>
      <c r="FI105">
        <v>96</v>
      </c>
      <c r="FJ105">
        <v>0.128</v>
      </c>
      <c r="FK105">
        <v>4.0000000000000001E-3</v>
      </c>
      <c r="FL105">
        <v>-0.36099999999999999</v>
      </c>
      <c r="FM105">
        <v>4.1000000000000002E-2</v>
      </c>
      <c r="FN105">
        <v>1200</v>
      </c>
      <c r="FO105">
        <v>22</v>
      </c>
      <c r="FP105">
        <v>0.06</v>
      </c>
      <c r="FQ105">
        <v>0.02</v>
      </c>
      <c r="FR105">
        <v>52.658180053062672</v>
      </c>
      <c r="FS105">
        <v>-0.66855934653105331</v>
      </c>
      <c r="FT105">
        <v>7.6291592199231539E-2</v>
      </c>
      <c r="FU105">
        <v>1</v>
      </c>
      <c r="FV105">
        <v>0.29737187206585147</v>
      </c>
      <c r="FW105">
        <v>-1.571283229711181E-2</v>
      </c>
      <c r="FX105">
        <v>1.3613554367373E-3</v>
      </c>
      <c r="FY105">
        <v>1</v>
      </c>
      <c r="FZ105">
        <v>2</v>
      </c>
      <c r="GA105">
        <v>2</v>
      </c>
      <c r="GB105" t="s">
        <v>424</v>
      </c>
      <c r="GC105">
        <v>3.1234899999999999</v>
      </c>
      <c r="GD105">
        <v>2.7675900000000002</v>
      </c>
      <c r="GE105">
        <v>0.18130299999999999</v>
      </c>
      <c r="GF105">
        <v>0.18787599999999999</v>
      </c>
      <c r="GG105">
        <v>0.11849</v>
      </c>
      <c r="GH105">
        <v>0.103029</v>
      </c>
      <c r="GI105">
        <v>19525.8</v>
      </c>
      <c r="GJ105">
        <v>20091.599999999999</v>
      </c>
      <c r="GK105">
        <v>23717.3</v>
      </c>
      <c r="GL105">
        <v>25058.3</v>
      </c>
      <c r="GM105">
        <v>30129.1</v>
      </c>
      <c r="GN105">
        <v>31524.3</v>
      </c>
      <c r="GO105">
        <v>37803.4</v>
      </c>
      <c r="GP105">
        <v>38986</v>
      </c>
      <c r="GQ105">
        <v>2.1120299999999999</v>
      </c>
      <c r="GR105">
        <v>1.6972700000000001</v>
      </c>
      <c r="GS105">
        <v>3.8929300000000002E-3</v>
      </c>
      <c r="GT105">
        <v>0</v>
      </c>
      <c r="GU105">
        <v>29.954899999999999</v>
      </c>
      <c r="GV105">
        <v>999.9</v>
      </c>
      <c r="GW105">
        <v>27.6</v>
      </c>
      <c r="GX105">
        <v>47.7</v>
      </c>
      <c r="GY105">
        <v>30.846</v>
      </c>
      <c r="GZ105">
        <v>62.0593</v>
      </c>
      <c r="HA105">
        <v>28.161100000000001</v>
      </c>
      <c r="HB105">
        <v>1</v>
      </c>
      <c r="HC105">
        <v>0.65503599999999995</v>
      </c>
      <c r="HD105">
        <v>2.9079899999999999</v>
      </c>
      <c r="HE105">
        <v>20.2912</v>
      </c>
      <c r="HF105">
        <v>5.25068</v>
      </c>
      <c r="HG105">
        <v>12.0099</v>
      </c>
      <c r="HH105">
        <v>4.97865</v>
      </c>
      <c r="HI105">
        <v>3.2930000000000001</v>
      </c>
      <c r="HJ105">
        <v>9999</v>
      </c>
      <c r="HK105">
        <v>9999</v>
      </c>
      <c r="HL105">
        <v>9999</v>
      </c>
      <c r="HM105">
        <v>236.2</v>
      </c>
      <c r="HN105">
        <v>1.8756600000000001</v>
      </c>
      <c r="HO105">
        <v>1.8768100000000001</v>
      </c>
      <c r="HP105">
        <v>1.8827799999999999</v>
      </c>
      <c r="HQ105">
        <v>1.8859900000000001</v>
      </c>
      <c r="HR105">
        <v>1.87683</v>
      </c>
      <c r="HS105">
        <v>1.8832199999999999</v>
      </c>
      <c r="HT105">
        <v>1.8821699999999999</v>
      </c>
      <c r="HU105">
        <v>1.88567</v>
      </c>
      <c r="HV105">
        <v>0</v>
      </c>
      <c r="HW105">
        <v>0</v>
      </c>
      <c r="HX105">
        <v>0</v>
      </c>
      <c r="HY105">
        <v>0</v>
      </c>
      <c r="HZ105" t="s">
        <v>425</v>
      </c>
      <c r="IA105" t="s">
        <v>426</v>
      </c>
      <c r="IB105" t="s">
        <v>427</v>
      </c>
      <c r="IC105" t="s">
        <v>427</v>
      </c>
      <c r="ID105" t="s">
        <v>427</v>
      </c>
      <c r="IE105" t="s">
        <v>427</v>
      </c>
      <c r="IF105">
        <v>0</v>
      </c>
      <c r="IG105">
        <v>100</v>
      </c>
      <c r="IH105">
        <v>100</v>
      </c>
      <c r="II105">
        <v>-0.36</v>
      </c>
      <c r="IJ105">
        <v>4.9200000000000001E-2</v>
      </c>
      <c r="IK105">
        <v>-0.31230897157288118</v>
      </c>
      <c r="IL105">
        <v>-4.2852564239613137E-4</v>
      </c>
      <c r="IM105">
        <v>6.4980710991155998E-7</v>
      </c>
      <c r="IN105">
        <v>-2.7237938963984961E-10</v>
      </c>
      <c r="IO105">
        <v>-8.3340515508843315E-3</v>
      </c>
      <c r="IP105">
        <v>6.6907473102813496E-3</v>
      </c>
      <c r="IQ105">
        <v>-3.3673306238274028E-4</v>
      </c>
      <c r="IR105">
        <v>6.1311374003140313E-6</v>
      </c>
      <c r="IS105">
        <v>3</v>
      </c>
      <c r="IT105">
        <v>2101</v>
      </c>
      <c r="IU105">
        <v>1</v>
      </c>
      <c r="IV105">
        <v>32</v>
      </c>
      <c r="IW105">
        <v>0.8</v>
      </c>
      <c r="IX105">
        <v>0.6</v>
      </c>
      <c r="IY105">
        <v>2.4877899999999999</v>
      </c>
      <c r="IZ105">
        <v>2.7270500000000002</v>
      </c>
      <c r="JA105">
        <v>1.6015600000000001</v>
      </c>
      <c r="JB105">
        <v>2.32666</v>
      </c>
      <c r="JC105">
        <v>1.5502899999999999</v>
      </c>
      <c r="JD105">
        <v>2.4145500000000002</v>
      </c>
      <c r="JE105">
        <v>49.294899999999998</v>
      </c>
      <c r="JF105">
        <v>24.148800000000001</v>
      </c>
      <c r="JG105">
        <v>18</v>
      </c>
      <c r="JH105">
        <v>581.95500000000004</v>
      </c>
      <c r="JI105">
        <v>368.17500000000001</v>
      </c>
      <c r="JJ105">
        <v>26.738800000000001</v>
      </c>
      <c r="JK105">
        <v>35.009300000000003</v>
      </c>
      <c r="JL105">
        <v>30.0001</v>
      </c>
      <c r="JM105">
        <v>35.1648</v>
      </c>
      <c r="JN105">
        <v>35.162399999999998</v>
      </c>
      <c r="JO105">
        <v>49.806100000000001</v>
      </c>
      <c r="JP105">
        <v>28.805299999999999</v>
      </c>
      <c r="JQ105">
        <v>0</v>
      </c>
      <c r="JR105">
        <v>26.727699999999999</v>
      </c>
      <c r="JS105">
        <v>1200</v>
      </c>
      <c r="JT105">
        <v>22.745799999999999</v>
      </c>
      <c r="JU105">
        <v>98.603800000000007</v>
      </c>
      <c r="JV105">
        <v>98.671499999999995</v>
      </c>
    </row>
    <row r="106" spans="1:282" x14ac:dyDescent="0.25">
      <c r="A106">
        <v>90</v>
      </c>
      <c r="B106">
        <v>1689017341.5999999</v>
      </c>
      <c r="C106">
        <v>17519</v>
      </c>
      <c r="D106" t="s">
        <v>875</v>
      </c>
      <c r="E106" t="s">
        <v>876</v>
      </c>
      <c r="F106" t="s">
        <v>414</v>
      </c>
      <c r="G106" t="s">
        <v>415</v>
      </c>
      <c r="H106" t="s">
        <v>31</v>
      </c>
      <c r="I106" t="s">
        <v>417</v>
      </c>
      <c r="J106" t="s">
        <v>416</v>
      </c>
      <c r="K106">
        <v>1689017341.5999999</v>
      </c>
      <c r="L106">
        <f t="shared" si="92"/>
        <v>4.033372203481364E-3</v>
      </c>
      <c r="M106">
        <f t="shared" si="93"/>
        <v>4.0333722034813642</v>
      </c>
      <c r="N106">
        <f t="shared" si="94"/>
        <v>51.471496710103978</v>
      </c>
      <c r="O106">
        <f t="shared" si="95"/>
        <v>1431.43</v>
      </c>
      <c r="P106">
        <f t="shared" si="96"/>
        <v>1079.8846228387997</v>
      </c>
      <c r="Q106">
        <f t="shared" si="97"/>
        <v>107.01123991638829</v>
      </c>
      <c r="R106">
        <f t="shared" si="98"/>
        <v>141.84765290095402</v>
      </c>
      <c r="S106">
        <f t="shared" si="99"/>
        <v>0.26855486587371619</v>
      </c>
      <c r="T106">
        <f t="shared" si="100"/>
        <v>2.914489608838839</v>
      </c>
      <c r="U106">
        <f t="shared" si="101"/>
        <v>0.25552558552407156</v>
      </c>
      <c r="V106">
        <f t="shared" si="102"/>
        <v>0.16082142926646043</v>
      </c>
      <c r="W106">
        <f t="shared" si="103"/>
        <v>289.59098932664716</v>
      </c>
      <c r="X106">
        <f t="shared" si="104"/>
        <v>30.490396634527141</v>
      </c>
      <c r="Y106">
        <f t="shared" si="105"/>
        <v>29.998200000000001</v>
      </c>
      <c r="Z106">
        <f t="shared" si="106"/>
        <v>4.2600093021289194</v>
      </c>
      <c r="AA106">
        <f t="shared" si="107"/>
        <v>65.209716452208411</v>
      </c>
      <c r="AB106">
        <f t="shared" si="108"/>
        <v>2.75116645782462</v>
      </c>
      <c r="AC106">
        <f t="shared" si="109"/>
        <v>4.218951726068191</v>
      </c>
      <c r="AD106">
        <f t="shared" si="110"/>
        <v>1.5088428443042994</v>
      </c>
      <c r="AE106">
        <f t="shared" si="111"/>
        <v>-177.87171417352815</v>
      </c>
      <c r="AF106">
        <f t="shared" si="112"/>
        <v>-26.475724898904996</v>
      </c>
      <c r="AG106">
        <f t="shared" si="113"/>
        <v>-2.0181545093312869</v>
      </c>
      <c r="AH106">
        <f t="shared" si="114"/>
        <v>83.225395744882732</v>
      </c>
      <c r="AI106">
        <v>0</v>
      </c>
      <c r="AJ106">
        <v>0</v>
      </c>
      <c r="AK106">
        <f t="shared" si="115"/>
        <v>1</v>
      </c>
      <c r="AL106">
        <f t="shared" si="116"/>
        <v>0</v>
      </c>
      <c r="AM106">
        <f t="shared" si="117"/>
        <v>51931.478464296706</v>
      </c>
      <c r="AN106" t="s">
        <v>419</v>
      </c>
      <c r="AO106">
        <v>9967.0300000000007</v>
      </c>
      <c r="AP106">
        <v>178.94153846153841</v>
      </c>
      <c r="AQ106">
        <v>603.15</v>
      </c>
      <c r="AR106">
        <f t="shared" si="118"/>
        <v>0.7033216638290003</v>
      </c>
      <c r="AS106">
        <v>-3.2649104154664181</v>
      </c>
      <c r="AT106" t="s">
        <v>877</v>
      </c>
      <c r="AU106">
        <v>8061.79</v>
      </c>
      <c r="AV106">
        <v>730.60042307692311</v>
      </c>
      <c r="AW106">
        <v>1227.4470180556621</v>
      </c>
      <c r="AX106">
        <f t="shared" si="119"/>
        <v>0.4047804814954612</v>
      </c>
      <c r="AY106">
        <v>0.5</v>
      </c>
      <c r="AZ106">
        <f t="shared" si="120"/>
        <v>1513.3109996511125</v>
      </c>
      <c r="BA106">
        <f t="shared" si="121"/>
        <v>51.471496710103978</v>
      </c>
      <c r="BB106">
        <f t="shared" si="122"/>
        <v>306.27937754557752</v>
      </c>
      <c r="BC106">
        <f t="shared" si="123"/>
        <v>3.6169965815479863E-2</v>
      </c>
      <c r="BD106">
        <f t="shared" si="124"/>
        <v>-0.50861422845328186</v>
      </c>
      <c r="BE106">
        <f t="shared" si="125"/>
        <v>210.74131134659569</v>
      </c>
      <c r="BF106" t="s">
        <v>878</v>
      </c>
      <c r="BG106">
        <v>571.79999999999995</v>
      </c>
      <c r="BH106">
        <f t="shared" si="126"/>
        <v>571.79999999999995</v>
      </c>
      <c r="BI106">
        <f t="shared" si="127"/>
        <v>0.53415504572591654</v>
      </c>
      <c r="BJ106">
        <f t="shared" si="128"/>
        <v>0.75779585858889464</v>
      </c>
      <c r="BK106">
        <f t="shared" si="129"/>
        <v>-19.913780480244391</v>
      </c>
      <c r="BL106">
        <f t="shared" si="130"/>
        <v>0.4738617056832819</v>
      </c>
      <c r="BM106">
        <f t="shared" si="131"/>
        <v>-1.4716750717124938</v>
      </c>
      <c r="BN106">
        <f t="shared" si="132"/>
        <v>0.59308434303426072</v>
      </c>
      <c r="BO106">
        <f t="shared" si="133"/>
        <v>0.40691565696573928</v>
      </c>
      <c r="BP106">
        <v>6215</v>
      </c>
      <c r="BQ106">
        <v>290.00000000000011</v>
      </c>
      <c r="BR106">
        <v>1059.22</v>
      </c>
      <c r="BS106">
        <v>295</v>
      </c>
      <c r="BT106">
        <v>8061.79</v>
      </c>
      <c r="BU106">
        <v>1062.72</v>
      </c>
      <c r="BV106">
        <v>-3.5</v>
      </c>
      <c r="BW106">
        <v>300.00000000000011</v>
      </c>
      <c r="BX106">
        <v>19.3</v>
      </c>
      <c r="BY106">
        <v>1227.4470180556621</v>
      </c>
      <c r="BZ106">
        <v>4.3310416770284732</v>
      </c>
      <c r="CA106">
        <v>-132.79648377449419</v>
      </c>
      <c r="CB106">
        <v>3.2076862432978608</v>
      </c>
      <c r="CC106">
        <v>0.98392574086353846</v>
      </c>
      <c r="CD106">
        <v>-4.1599639599555023E-3</v>
      </c>
      <c r="CE106">
        <v>289.99999999999989</v>
      </c>
      <c r="CF106">
        <v>1055.75</v>
      </c>
      <c r="CG106">
        <v>655</v>
      </c>
      <c r="CH106">
        <v>8052.79</v>
      </c>
      <c r="CI106">
        <v>1062.54</v>
      </c>
      <c r="CJ106">
        <v>-6.79</v>
      </c>
      <c r="CX106">
        <f t="shared" si="134"/>
        <v>1800.15</v>
      </c>
      <c r="CY106">
        <f t="shared" si="135"/>
        <v>1513.3109996511125</v>
      </c>
      <c r="CZ106">
        <f t="shared" si="136"/>
        <v>0.84065827828298334</v>
      </c>
      <c r="DA106">
        <f t="shared" si="137"/>
        <v>0.1608704770861579</v>
      </c>
      <c r="DB106">
        <v>6</v>
      </c>
      <c r="DC106">
        <v>0.5</v>
      </c>
      <c r="DD106" t="s">
        <v>422</v>
      </c>
      <c r="DE106">
        <v>2</v>
      </c>
      <c r="DF106">
        <v>1689017341.5999999</v>
      </c>
      <c r="DG106">
        <v>1431.43</v>
      </c>
      <c r="DH106">
        <v>1500.12</v>
      </c>
      <c r="DI106">
        <v>27.762899999999998</v>
      </c>
      <c r="DJ106">
        <v>23.057500000000001</v>
      </c>
      <c r="DK106">
        <v>1431.76</v>
      </c>
      <c r="DL106">
        <v>27.715499999999999</v>
      </c>
      <c r="DM106">
        <v>500.029</v>
      </c>
      <c r="DN106">
        <v>98.995500000000007</v>
      </c>
      <c r="DO106">
        <v>9.9567799999999998E-2</v>
      </c>
      <c r="DP106">
        <v>29.829699999999999</v>
      </c>
      <c r="DQ106">
        <v>29.998200000000001</v>
      </c>
      <c r="DR106">
        <v>999.9</v>
      </c>
      <c r="DS106">
        <v>0</v>
      </c>
      <c r="DT106">
        <v>0</v>
      </c>
      <c r="DU106">
        <v>10015</v>
      </c>
      <c r="DV106">
        <v>0</v>
      </c>
      <c r="DW106">
        <v>1353.96</v>
      </c>
      <c r="DX106">
        <v>-68.690700000000007</v>
      </c>
      <c r="DY106">
        <v>1472.31</v>
      </c>
      <c r="DZ106">
        <v>1535.53</v>
      </c>
      <c r="EA106">
        <v>4.7053700000000003</v>
      </c>
      <c r="EB106">
        <v>1500.12</v>
      </c>
      <c r="EC106">
        <v>23.057500000000001</v>
      </c>
      <c r="ED106">
        <v>2.7484000000000002</v>
      </c>
      <c r="EE106">
        <v>2.2825899999999999</v>
      </c>
      <c r="EF106">
        <v>22.577400000000001</v>
      </c>
      <c r="EG106">
        <v>19.553999999999998</v>
      </c>
      <c r="EH106">
        <v>1800.15</v>
      </c>
      <c r="EI106">
        <v>0.97799899999999995</v>
      </c>
      <c r="EJ106">
        <v>2.2001199999999999E-2</v>
      </c>
      <c r="EK106">
        <v>0</v>
      </c>
      <c r="EL106">
        <v>730.29</v>
      </c>
      <c r="EM106">
        <v>5.0005300000000004</v>
      </c>
      <c r="EN106">
        <v>15383.4</v>
      </c>
      <c r="EO106">
        <v>16036.6</v>
      </c>
      <c r="EP106">
        <v>47.061999999999998</v>
      </c>
      <c r="EQ106">
        <v>48.25</v>
      </c>
      <c r="ER106">
        <v>47.625</v>
      </c>
      <c r="ES106">
        <v>48.061999999999998</v>
      </c>
      <c r="ET106">
        <v>48.375</v>
      </c>
      <c r="EU106">
        <v>1755.65</v>
      </c>
      <c r="EV106">
        <v>39.5</v>
      </c>
      <c r="EW106">
        <v>0</v>
      </c>
      <c r="EX106">
        <v>119.5999999046326</v>
      </c>
      <c r="EY106">
        <v>0</v>
      </c>
      <c r="EZ106">
        <v>730.60042307692311</v>
      </c>
      <c r="FA106">
        <v>-2.7706324890804228</v>
      </c>
      <c r="FB106">
        <v>-1171.0495736412511</v>
      </c>
      <c r="FC106">
        <v>15530.77692307693</v>
      </c>
      <c r="FD106">
        <v>15</v>
      </c>
      <c r="FE106">
        <v>1689017309.0999999</v>
      </c>
      <c r="FF106" t="s">
        <v>879</v>
      </c>
      <c r="FG106">
        <v>1689017306.0999999</v>
      </c>
      <c r="FH106">
        <v>1689017309.0999999</v>
      </c>
      <c r="FI106">
        <v>97</v>
      </c>
      <c r="FJ106">
        <v>6.4000000000000001E-2</v>
      </c>
      <c r="FK106">
        <v>-2E-3</v>
      </c>
      <c r="FL106">
        <v>-0.34899999999999998</v>
      </c>
      <c r="FM106">
        <v>0.04</v>
      </c>
      <c r="FN106">
        <v>1500</v>
      </c>
      <c r="FO106">
        <v>23</v>
      </c>
      <c r="FP106">
        <v>0.04</v>
      </c>
      <c r="FQ106">
        <v>0.02</v>
      </c>
      <c r="FR106">
        <v>51.481560163486883</v>
      </c>
      <c r="FS106">
        <v>-0.4673474596038551</v>
      </c>
      <c r="FT106">
        <v>8.809156457370261E-2</v>
      </c>
      <c r="FU106">
        <v>1</v>
      </c>
      <c r="FV106">
        <v>0.27150374111463987</v>
      </c>
      <c r="FW106">
        <v>-1.1367325955078671E-3</v>
      </c>
      <c r="FX106">
        <v>1.2926683544106771E-3</v>
      </c>
      <c r="FY106">
        <v>1</v>
      </c>
      <c r="FZ106">
        <v>2</v>
      </c>
      <c r="GA106">
        <v>2</v>
      </c>
      <c r="GB106" t="s">
        <v>424</v>
      </c>
      <c r="GC106">
        <v>3.1231300000000002</v>
      </c>
      <c r="GD106">
        <v>2.7669999999999999</v>
      </c>
      <c r="GE106">
        <v>0.209424</v>
      </c>
      <c r="GF106">
        <v>0.21510699999999999</v>
      </c>
      <c r="GG106">
        <v>0.118129</v>
      </c>
      <c r="GH106">
        <v>0.104005</v>
      </c>
      <c r="GI106">
        <v>18854.8</v>
      </c>
      <c r="GJ106">
        <v>19417.3</v>
      </c>
      <c r="GK106">
        <v>23719.8</v>
      </c>
      <c r="GL106">
        <v>25060.7</v>
      </c>
      <c r="GM106">
        <v>30145.200000000001</v>
      </c>
      <c r="GN106">
        <v>31492.9</v>
      </c>
      <c r="GO106">
        <v>37808.199999999997</v>
      </c>
      <c r="GP106">
        <v>38989.699999999997</v>
      </c>
      <c r="GQ106">
        <v>2.1112700000000002</v>
      </c>
      <c r="GR106">
        <v>1.7001999999999999</v>
      </c>
      <c r="GS106">
        <v>1.75089E-3</v>
      </c>
      <c r="GT106">
        <v>0</v>
      </c>
      <c r="GU106">
        <v>29.9697</v>
      </c>
      <c r="GV106">
        <v>999.9</v>
      </c>
      <c r="GW106">
        <v>27.3</v>
      </c>
      <c r="GX106">
        <v>47.7</v>
      </c>
      <c r="GY106">
        <v>30.514299999999999</v>
      </c>
      <c r="GZ106">
        <v>61.0593</v>
      </c>
      <c r="HA106">
        <v>27.604199999999999</v>
      </c>
      <c r="HB106">
        <v>1</v>
      </c>
      <c r="HC106">
        <v>0.65081800000000001</v>
      </c>
      <c r="HD106">
        <v>2.9098899999999999</v>
      </c>
      <c r="HE106">
        <v>20.3431</v>
      </c>
      <c r="HF106">
        <v>5.2473900000000002</v>
      </c>
      <c r="HG106">
        <v>12.0099</v>
      </c>
      <c r="HH106">
        <v>4.9775</v>
      </c>
      <c r="HI106">
        <v>3.29223</v>
      </c>
      <c r="HJ106">
        <v>9999</v>
      </c>
      <c r="HK106">
        <v>9999</v>
      </c>
      <c r="HL106">
        <v>9999</v>
      </c>
      <c r="HM106">
        <v>236.3</v>
      </c>
      <c r="HN106">
        <v>1.87561</v>
      </c>
      <c r="HO106">
        <v>1.8767</v>
      </c>
      <c r="HP106">
        <v>1.8827700000000001</v>
      </c>
      <c r="HQ106">
        <v>1.8859399999999999</v>
      </c>
      <c r="HR106">
        <v>1.8767499999999999</v>
      </c>
      <c r="HS106">
        <v>1.8830899999999999</v>
      </c>
      <c r="HT106">
        <v>1.8821399999999999</v>
      </c>
      <c r="HU106">
        <v>1.8855500000000001</v>
      </c>
      <c r="HV106">
        <v>0</v>
      </c>
      <c r="HW106">
        <v>0</v>
      </c>
      <c r="HX106">
        <v>0</v>
      </c>
      <c r="HY106">
        <v>0</v>
      </c>
      <c r="HZ106" t="s">
        <v>425</v>
      </c>
      <c r="IA106" t="s">
        <v>426</v>
      </c>
      <c r="IB106" t="s">
        <v>427</v>
      </c>
      <c r="IC106" t="s">
        <v>427</v>
      </c>
      <c r="ID106" t="s">
        <v>427</v>
      </c>
      <c r="IE106" t="s">
        <v>427</v>
      </c>
      <c r="IF106">
        <v>0</v>
      </c>
      <c r="IG106">
        <v>100</v>
      </c>
      <c r="IH106">
        <v>100</v>
      </c>
      <c r="II106">
        <v>-0.33</v>
      </c>
      <c r="IJ106">
        <v>4.7399999999999998E-2</v>
      </c>
      <c r="IK106">
        <v>-0.24838440897590641</v>
      </c>
      <c r="IL106">
        <v>-4.2852564239613137E-4</v>
      </c>
      <c r="IM106">
        <v>6.4980710991155998E-7</v>
      </c>
      <c r="IN106">
        <v>-2.7237938963984961E-10</v>
      </c>
      <c r="IO106">
        <v>-9.9368958695208575E-3</v>
      </c>
      <c r="IP106">
        <v>6.6907473102813496E-3</v>
      </c>
      <c r="IQ106">
        <v>-3.3673306238274028E-4</v>
      </c>
      <c r="IR106">
        <v>6.1311374003140313E-6</v>
      </c>
      <c r="IS106">
        <v>3</v>
      </c>
      <c r="IT106">
        <v>2101</v>
      </c>
      <c r="IU106">
        <v>1</v>
      </c>
      <c r="IV106">
        <v>32</v>
      </c>
      <c r="IW106">
        <v>0.6</v>
      </c>
      <c r="IX106">
        <v>0.5</v>
      </c>
      <c r="IY106">
        <v>2.98828</v>
      </c>
      <c r="IZ106">
        <v>2.7124000000000001</v>
      </c>
      <c r="JA106">
        <v>1.6003400000000001</v>
      </c>
      <c r="JB106">
        <v>2.32544</v>
      </c>
      <c r="JC106">
        <v>1.5490699999999999</v>
      </c>
      <c r="JD106">
        <v>2.4877899999999999</v>
      </c>
      <c r="JE106">
        <v>49.169199999999996</v>
      </c>
      <c r="JF106">
        <v>16.3735</v>
      </c>
      <c r="JG106">
        <v>18</v>
      </c>
      <c r="JH106">
        <v>581.32100000000003</v>
      </c>
      <c r="JI106">
        <v>369.87099999999998</v>
      </c>
      <c r="JJ106">
        <v>26.609100000000002</v>
      </c>
      <c r="JK106">
        <v>34.9998</v>
      </c>
      <c r="JL106">
        <v>30.0002</v>
      </c>
      <c r="JM106">
        <v>35.152000000000001</v>
      </c>
      <c r="JN106">
        <v>35.152799999999999</v>
      </c>
      <c r="JO106">
        <v>59.802700000000002</v>
      </c>
      <c r="JP106">
        <v>25.918800000000001</v>
      </c>
      <c r="JQ106">
        <v>0</v>
      </c>
      <c r="JR106">
        <v>26.603300000000001</v>
      </c>
      <c r="JS106">
        <v>1500</v>
      </c>
      <c r="JT106">
        <v>23.0152</v>
      </c>
      <c r="JU106">
        <v>98.615499999999997</v>
      </c>
      <c r="JV106">
        <v>98.680899999999994</v>
      </c>
    </row>
    <row r="107" spans="1:282" x14ac:dyDescent="0.25">
      <c r="A107">
        <v>91</v>
      </c>
      <c r="B107">
        <v>1689019001</v>
      </c>
      <c r="C107">
        <v>19178.400000095371</v>
      </c>
      <c r="D107" t="s">
        <v>880</v>
      </c>
      <c r="E107" t="s">
        <v>881</v>
      </c>
      <c r="F107" t="s">
        <v>414</v>
      </c>
      <c r="G107" t="s">
        <v>415</v>
      </c>
      <c r="H107" t="s">
        <v>416</v>
      </c>
      <c r="I107" t="s">
        <v>501</v>
      </c>
      <c r="J107" t="s">
        <v>418</v>
      </c>
      <c r="K107">
        <v>1689019001</v>
      </c>
      <c r="L107">
        <f t="shared" si="92"/>
        <v>3.3374987370278068E-3</v>
      </c>
      <c r="M107">
        <f t="shared" si="93"/>
        <v>3.3374987370278069</v>
      </c>
      <c r="N107">
        <f t="shared" si="94"/>
        <v>33.69902866818574</v>
      </c>
      <c r="O107">
        <f t="shared" si="95"/>
        <v>358.16500000000002</v>
      </c>
      <c r="P107">
        <f t="shared" si="96"/>
        <v>100.72188353975925</v>
      </c>
      <c r="Q107">
        <f t="shared" si="97"/>
        <v>9.9803869544128059</v>
      </c>
      <c r="R107">
        <f t="shared" si="98"/>
        <v>35.490056062307502</v>
      </c>
      <c r="S107">
        <f t="shared" si="99"/>
        <v>0.22194367328837861</v>
      </c>
      <c r="T107">
        <f t="shared" si="100"/>
        <v>2.911200745314876</v>
      </c>
      <c r="U107">
        <f t="shared" si="101"/>
        <v>0.21295371493890575</v>
      </c>
      <c r="V107">
        <f t="shared" si="102"/>
        <v>0.13387344101171467</v>
      </c>
      <c r="W107">
        <f t="shared" si="103"/>
        <v>289.54035532687215</v>
      </c>
      <c r="X107">
        <f t="shared" si="104"/>
        <v>30.85545843590409</v>
      </c>
      <c r="Y107">
        <f t="shared" si="105"/>
        <v>30.056100000000001</v>
      </c>
      <c r="Z107">
        <f t="shared" si="106"/>
        <v>4.2741976737293355</v>
      </c>
      <c r="AA107">
        <f t="shared" si="107"/>
        <v>65.121078536749053</v>
      </c>
      <c r="AB107">
        <f t="shared" si="108"/>
        <v>2.77649133187965</v>
      </c>
      <c r="AC107">
        <f t="shared" si="109"/>
        <v>4.2635831504430985</v>
      </c>
      <c r="AD107">
        <f t="shared" si="110"/>
        <v>1.4977063418496854</v>
      </c>
      <c r="AE107">
        <f t="shared" si="111"/>
        <v>-147.18369430292628</v>
      </c>
      <c r="AF107">
        <f t="shared" si="112"/>
        <v>-6.7958767433756266</v>
      </c>
      <c r="AG107">
        <f t="shared" si="113"/>
        <v>-0.51923093592258518</v>
      </c>
      <c r="AH107">
        <f t="shared" si="114"/>
        <v>135.04155334464767</v>
      </c>
      <c r="AI107">
        <v>0</v>
      </c>
      <c r="AJ107">
        <v>0</v>
      </c>
      <c r="AK107">
        <f t="shared" si="115"/>
        <v>1</v>
      </c>
      <c r="AL107">
        <f t="shared" si="116"/>
        <v>0</v>
      </c>
      <c r="AM107">
        <f t="shared" si="117"/>
        <v>51806.432909827148</v>
      </c>
      <c r="AN107" t="s">
        <v>419</v>
      </c>
      <c r="AO107">
        <v>9967.0300000000007</v>
      </c>
      <c r="AP107">
        <v>178.94153846153841</v>
      </c>
      <c r="AQ107">
        <v>603.15</v>
      </c>
      <c r="AR107">
        <f t="shared" si="118"/>
        <v>0.7033216638290003</v>
      </c>
      <c r="AS107">
        <v>-3.2649104154664181</v>
      </c>
      <c r="AT107" t="s">
        <v>882</v>
      </c>
      <c r="AU107">
        <v>8072.48</v>
      </c>
      <c r="AV107">
        <v>670.83942307692314</v>
      </c>
      <c r="AW107">
        <v>955.42574208970723</v>
      </c>
      <c r="AX107">
        <f t="shared" si="119"/>
        <v>0.29786335711484691</v>
      </c>
      <c r="AY107">
        <v>0.5</v>
      </c>
      <c r="AZ107">
        <f t="shared" si="120"/>
        <v>1513.049999651229</v>
      </c>
      <c r="BA107">
        <f t="shared" si="121"/>
        <v>33.69902866818574</v>
      </c>
      <c r="BB107">
        <f t="shared" si="122"/>
        <v>225.3410761893665</v>
      </c>
      <c r="BC107">
        <f t="shared" si="123"/>
        <v>2.4430084327796611E-2</v>
      </c>
      <c r="BD107">
        <f t="shared" si="124"/>
        <v>-0.36871075016171295</v>
      </c>
      <c r="BE107">
        <f t="shared" si="125"/>
        <v>200.91985880638484</v>
      </c>
      <c r="BF107" t="s">
        <v>883</v>
      </c>
      <c r="BG107">
        <v>527.49</v>
      </c>
      <c r="BH107">
        <f t="shared" si="126"/>
        <v>527.49</v>
      </c>
      <c r="BI107">
        <f t="shared" si="127"/>
        <v>0.44790057797032568</v>
      </c>
      <c r="BJ107">
        <f t="shared" si="128"/>
        <v>0.6650211492573268</v>
      </c>
      <c r="BK107">
        <f t="shared" si="129"/>
        <v>-4.6560367709451151</v>
      </c>
      <c r="BL107">
        <f t="shared" si="130"/>
        <v>0.36650625689877203</v>
      </c>
      <c r="BM107">
        <f t="shared" si="131"/>
        <v>-0.83043072929785866</v>
      </c>
      <c r="BN107">
        <f t="shared" si="132"/>
        <v>0.52291501357027892</v>
      </c>
      <c r="BO107">
        <f t="shared" si="133"/>
        <v>0.47708498642972108</v>
      </c>
      <c r="BP107">
        <v>6217</v>
      </c>
      <c r="BQ107">
        <v>290.00000000000011</v>
      </c>
      <c r="BR107">
        <v>861.87</v>
      </c>
      <c r="BS107">
        <v>285</v>
      </c>
      <c r="BT107">
        <v>8072.48</v>
      </c>
      <c r="BU107">
        <v>864.53</v>
      </c>
      <c r="BV107">
        <v>-2.66</v>
      </c>
      <c r="BW107">
        <v>300.00000000000011</v>
      </c>
      <c r="BX107">
        <v>19.3</v>
      </c>
      <c r="BY107">
        <v>955.42574208970723</v>
      </c>
      <c r="BZ107">
        <v>3.221195871576283</v>
      </c>
      <c r="CA107">
        <v>-73.375820610344604</v>
      </c>
      <c r="CB107">
        <v>2.388837744342315</v>
      </c>
      <c r="CC107">
        <v>0.97117799255103032</v>
      </c>
      <c r="CD107">
        <v>-4.1656529477196863E-3</v>
      </c>
      <c r="CE107">
        <v>289.99999999999989</v>
      </c>
      <c r="CF107">
        <v>860.71</v>
      </c>
      <c r="CG107">
        <v>675</v>
      </c>
      <c r="CH107">
        <v>8062.72</v>
      </c>
      <c r="CI107">
        <v>864.42</v>
      </c>
      <c r="CJ107">
        <v>-3.71</v>
      </c>
      <c r="CX107">
        <f t="shared" si="134"/>
        <v>1799.84</v>
      </c>
      <c r="CY107">
        <f t="shared" si="135"/>
        <v>1513.049999651229</v>
      </c>
      <c r="CZ107">
        <f t="shared" si="136"/>
        <v>0.84065805830030949</v>
      </c>
      <c r="DA107">
        <f t="shared" si="137"/>
        <v>0.16087005251959738</v>
      </c>
      <c r="DB107">
        <v>6</v>
      </c>
      <c r="DC107">
        <v>0.5</v>
      </c>
      <c r="DD107" t="s">
        <v>422</v>
      </c>
      <c r="DE107">
        <v>2</v>
      </c>
      <c r="DF107">
        <v>1689019001</v>
      </c>
      <c r="DG107">
        <v>358.16500000000002</v>
      </c>
      <c r="DH107">
        <v>400.03100000000001</v>
      </c>
      <c r="DI107">
        <v>28.020299999999999</v>
      </c>
      <c r="DJ107">
        <v>24.1282</v>
      </c>
      <c r="DK107">
        <v>358.358</v>
      </c>
      <c r="DL107">
        <v>27.973400000000002</v>
      </c>
      <c r="DM107">
        <v>500.08699999999999</v>
      </c>
      <c r="DN107">
        <v>98.988600000000005</v>
      </c>
      <c r="DO107">
        <v>9.9965499999999999E-2</v>
      </c>
      <c r="DP107">
        <v>30.012799999999999</v>
      </c>
      <c r="DQ107">
        <v>30.056100000000001</v>
      </c>
      <c r="DR107">
        <v>999.9</v>
      </c>
      <c r="DS107">
        <v>0</v>
      </c>
      <c r="DT107">
        <v>0</v>
      </c>
      <c r="DU107">
        <v>9996.8799999999992</v>
      </c>
      <c r="DV107">
        <v>0</v>
      </c>
      <c r="DW107">
        <v>735.19899999999996</v>
      </c>
      <c r="DX107">
        <v>-41.865699999999997</v>
      </c>
      <c r="DY107">
        <v>368.49</v>
      </c>
      <c r="DZ107">
        <v>409.92099999999999</v>
      </c>
      <c r="EA107">
        <v>3.8921000000000001</v>
      </c>
      <c r="EB107">
        <v>400.03100000000001</v>
      </c>
      <c r="EC107">
        <v>24.1282</v>
      </c>
      <c r="ED107">
        <v>2.7736900000000002</v>
      </c>
      <c r="EE107">
        <v>2.3884099999999999</v>
      </c>
      <c r="EF107">
        <v>22.728300000000001</v>
      </c>
      <c r="EG107">
        <v>20.285399999999999</v>
      </c>
      <c r="EH107">
        <v>1799.84</v>
      </c>
      <c r="EI107">
        <v>0.97800399999999998</v>
      </c>
      <c r="EJ107">
        <v>2.1996100000000001E-2</v>
      </c>
      <c r="EK107">
        <v>0</v>
      </c>
      <c r="EL107">
        <v>670.94600000000003</v>
      </c>
      <c r="EM107">
        <v>5.0005300000000004</v>
      </c>
      <c r="EN107">
        <v>13788.2</v>
      </c>
      <c r="EO107">
        <v>16033.9</v>
      </c>
      <c r="EP107">
        <v>47.686999999999998</v>
      </c>
      <c r="EQ107">
        <v>48.75</v>
      </c>
      <c r="ER107">
        <v>48.25</v>
      </c>
      <c r="ES107">
        <v>48.25</v>
      </c>
      <c r="ET107">
        <v>48.875</v>
      </c>
      <c r="EU107">
        <v>1755.36</v>
      </c>
      <c r="EV107">
        <v>39.479999999999997</v>
      </c>
      <c r="EW107">
        <v>0</v>
      </c>
      <c r="EX107">
        <v>1657.3999998569491</v>
      </c>
      <c r="EY107">
        <v>0</v>
      </c>
      <c r="EZ107">
        <v>670.83942307692314</v>
      </c>
      <c r="FA107">
        <v>-0.80140170003019862</v>
      </c>
      <c r="FB107">
        <v>188.48888886152531</v>
      </c>
      <c r="FC107">
        <v>13752.33461538462</v>
      </c>
      <c r="FD107">
        <v>15</v>
      </c>
      <c r="FE107">
        <v>1689018967.5</v>
      </c>
      <c r="FF107" t="s">
        <v>884</v>
      </c>
      <c r="FG107">
        <v>1689018967.5</v>
      </c>
      <c r="FH107">
        <v>1689018965.5</v>
      </c>
      <c r="FI107">
        <v>99</v>
      </c>
      <c r="FJ107">
        <v>0.13900000000000001</v>
      </c>
      <c r="FK107">
        <v>-3.0000000000000001E-3</v>
      </c>
      <c r="FL107">
        <v>-0.19600000000000001</v>
      </c>
      <c r="FM107">
        <v>0.04</v>
      </c>
      <c r="FN107">
        <v>400</v>
      </c>
      <c r="FO107">
        <v>24</v>
      </c>
      <c r="FP107">
        <v>0.05</v>
      </c>
      <c r="FQ107">
        <v>0.03</v>
      </c>
      <c r="FR107">
        <v>33.72092151139077</v>
      </c>
      <c r="FS107">
        <v>6.0817171171248012E-2</v>
      </c>
      <c r="FT107">
        <v>2.674906689368238E-2</v>
      </c>
      <c r="FU107">
        <v>1</v>
      </c>
      <c r="FV107">
        <v>0.2183616704439264</v>
      </c>
      <c r="FW107">
        <v>1.960634245710912E-2</v>
      </c>
      <c r="FX107">
        <v>1.4446114964257069E-3</v>
      </c>
      <c r="FY107">
        <v>1</v>
      </c>
      <c r="FZ107">
        <v>2</v>
      </c>
      <c r="GA107">
        <v>2</v>
      </c>
      <c r="GB107" t="s">
        <v>424</v>
      </c>
      <c r="GC107">
        <v>3.1235200000000001</v>
      </c>
      <c r="GD107">
        <v>2.7672400000000001</v>
      </c>
      <c r="GE107">
        <v>8.1116999999999995E-2</v>
      </c>
      <c r="GF107">
        <v>8.8436000000000001E-2</v>
      </c>
      <c r="GG107">
        <v>0.118812</v>
      </c>
      <c r="GH107">
        <v>0.107319</v>
      </c>
      <c r="GI107">
        <v>21934.3</v>
      </c>
      <c r="GJ107">
        <v>22566.3</v>
      </c>
      <c r="GK107">
        <v>23734.799999999999</v>
      </c>
      <c r="GL107">
        <v>25070</v>
      </c>
      <c r="GM107">
        <v>30142.1</v>
      </c>
      <c r="GN107">
        <v>31400</v>
      </c>
      <c r="GO107">
        <v>37833.4</v>
      </c>
      <c r="GP107">
        <v>39018.800000000003</v>
      </c>
      <c r="GQ107">
        <v>2.1272500000000001</v>
      </c>
      <c r="GR107">
        <v>1.6996500000000001</v>
      </c>
      <c r="GS107">
        <v>5.55627E-2</v>
      </c>
      <c r="GT107">
        <v>0</v>
      </c>
      <c r="GU107">
        <v>29.151299999999999</v>
      </c>
      <c r="GV107">
        <v>999.9</v>
      </c>
      <c r="GW107">
        <v>26.1</v>
      </c>
      <c r="GX107">
        <v>47.2</v>
      </c>
      <c r="GY107">
        <v>28.4435</v>
      </c>
      <c r="GZ107">
        <v>61.169499999999999</v>
      </c>
      <c r="HA107">
        <v>28.012799999999999</v>
      </c>
      <c r="HB107">
        <v>1</v>
      </c>
      <c r="HC107">
        <v>0.64759699999999998</v>
      </c>
      <c r="HD107">
        <v>2.6319599999999999</v>
      </c>
      <c r="HE107">
        <v>20.296399999999998</v>
      </c>
      <c r="HF107">
        <v>5.2476900000000004</v>
      </c>
      <c r="HG107">
        <v>12.0099</v>
      </c>
      <c r="HH107">
        <v>4.9766500000000002</v>
      </c>
      <c r="HI107">
        <v>3.29223</v>
      </c>
      <c r="HJ107">
        <v>9999</v>
      </c>
      <c r="HK107">
        <v>9999</v>
      </c>
      <c r="HL107">
        <v>9999</v>
      </c>
      <c r="HM107">
        <v>236.7</v>
      </c>
      <c r="HN107">
        <v>1.8756900000000001</v>
      </c>
      <c r="HO107">
        <v>1.8768100000000001</v>
      </c>
      <c r="HP107">
        <v>1.8827799999999999</v>
      </c>
      <c r="HQ107">
        <v>1.8859900000000001</v>
      </c>
      <c r="HR107">
        <v>1.87683</v>
      </c>
      <c r="HS107">
        <v>1.88324</v>
      </c>
      <c r="HT107">
        <v>1.8821699999999999</v>
      </c>
      <c r="HU107">
        <v>1.88567</v>
      </c>
      <c r="HV107">
        <v>0</v>
      </c>
      <c r="HW107">
        <v>0</v>
      </c>
      <c r="HX107">
        <v>0</v>
      </c>
      <c r="HY107">
        <v>0</v>
      </c>
      <c r="HZ107" t="s">
        <v>425</v>
      </c>
      <c r="IA107" t="s">
        <v>426</v>
      </c>
      <c r="IB107" t="s">
        <v>427</v>
      </c>
      <c r="IC107" t="s">
        <v>427</v>
      </c>
      <c r="ID107" t="s">
        <v>427</v>
      </c>
      <c r="IE107" t="s">
        <v>427</v>
      </c>
      <c r="IF107">
        <v>0</v>
      </c>
      <c r="IG107">
        <v>100</v>
      </c>
      <c r="IH107">
        <v>100</v>
      </c>
      <c r="II107">
        <v>-0.193</v>
      </c>
      <c r="IJ107">
        <v>4.6899999999999997E-2</v>
      </c>
      <c r="IK107">
        <v>-0.1107667015390587</v>
      </c>
      <c r="IL107">
        <v>-4.2852564239613137E-4</v>
      </c>
      <c r="IM107">
        <v>6.4980710991155998E-7</v>
      </c>
      <c r="IN107">
        <v>-2.7237938963984961E-10</v>
      </c>
      <c r="IO107">
        <v>-1.105780429100699E-2</v>
      </c>
      <c r="IP107">
        <v>6.6907473102813496E-3</v>
      </c>
      <c r="IQ107">
        <v>-3.3673306238274028E-4</v>
      </c>
      <c r="IR107">
        <v>6.1311374003140313E-6</v>
      </c>
      <c r="IS107">
        <v>3</v>
      </c>
      <c r="IT107">
        <v>2101</v>
      </c>
      <c r="IU107">
        <v>1</v>
      </c>
      <c r="IV107">
        <v>32</v>
      </c>
      <c r="IW107">
        <v>0.6</v>
      </c>
      <c r="IX107">
        <v>0.6</v>
      </c>
      <c r="IY107">
        <v>1.01929</v>
      </c>
      <c r="IZ107">
        <v>2.7258300000000002</v>
      </c>
      <c r="JA107">
        <v>1.6015600000000001</v>
      </c>
      <c r="JB107">
        <v>2.32666</v>
      </c>
      <c r="JC107">
        <v>1.5490699999999999</v>
      </c>
      <c r="JD107">
        <v>2.36572</v>
      </c>
      <c r="JE107">
        <v>49.075299999999999</v>
      </c>
      <c r="JF107">
        <v>24.148800000000001</v>
      </c>
      <c r="JG107">
        <v>18</v>
      </c>
      <c r="JH107">
        <v>594.87</v>
      </c>
      <c r="JI107">
        <v>371.12</v>
      </c>
      <c r="JJ107">
        <v>27.177099999999999</v>
      </c>
      <c r="JK107">
        <v>35.118400000000001</v>
      </c>
      <c r="JL107">
        <v>29.999099999999999</v>
      </c>
      <c r="JM107">
        <v>35.4148</v>
      </c>
      <c r="JN107">
        <v>35.420699999999997</v>
      </c>
      <c r="JO107">
        <v>20.388400000000001</v>
      </c>
      <c r="JP107">
        <v>10.286799999999999</v>
      </c>
      <c r="JQ107">
        <v>1.00349</v>
      </c>
      <c r="JR107">
        <v>27.139800000000001</v>
      </c>
      <c r="JS107">
        <v>400</v>
      </c>
      <c r="JT107">
        <v>24.011800000000001</v>
      </c>
      <c r="JU107">
        <v>98.68</v>
      </c>
      <c r="JV107">
        <v>98.740099999999998</v>
      </c>
    </row>
    <row r="108" spans="1:282" x14ac:dyDescent="0.25">
      <c r="A108">
        <v>92</v>
      </c>
      <c r="B108">
        <v>1689019106</v>
      </c>
      <c r="C108">
        <v>19283.400000095371</v>
      </c>
      <c r="D108" t="s">
        <v>885</v>
      </c>
      <c r="E108" t="s">
        <v>886</v>
      </c>
      <c r="F108" t="s">
        <v>414</v>
      </c>
      <c r="G108" t="s">
        <v>415</v>
      </c>
      <c r="H108" t="s">
        <v>416</v>
      </c>
      <c r="I108" t="s">
        <v>501</v>
      </c>
      <c r="J108" t="s">
        <v>418</v>
      </c>
      <c r="K108">
        <v>1689019106</v>
      </c>
      <c r="L108">
        <f t="shared" si="92"/>
        <v>3.5539542547823036E-3</v>
      </c>
      <c r="M108">
        <f t="shared" si="93"/>
        <v>3.5539542547823038</v>
      </c>
      <c r="N108">
        <f t="shared" si="94"/>
        <v>27.491452537738155</v>
      </c>
      <c r="O108">
        <f t="shared" si="95"/>
        <v>265.93099999999998</v>
      </c>
      <c r="P108">
        <f t="shared" si="96"/>
        <v>70.93349944989528</v>
      </c>
      <c r="Q108">
        <f t="shared" si="97"/>
        <v>7.0283108774769198</v>
      </c>
      <c r="R108">
        <f t="shared" si="98"/>
        <v>26.349267334237997</v>
      </c>
      <c r="S108">
        <f t="shared" si="99"/>
        <v>0.23949046925922088</v>
      </c>
      <c r="T108">
        <f t="shared" si="100"/>
        <v>2.9070502467708788</v>
      </c>
      <c r="U108">
        <f t="shared" si="101"/>
        <v>0.22904455478689953</v>
      </c>
      <c r="V108">
        <f t="shared" si="102"/>
        <v>0.14405340052588486</v>
      </c>
      <c r="W108">
        <f t="shared" si="103"/>
        <v>289.58026802579377</v>
      </c>
      <c r="X108">
        <f t="shared" si="104"/>
        <v>30.719378236136489</v>
      </c>
      <c r="Y108">
        <f t="shared" si="105"/>
        <v>30.069800000000001</v>
      </c>
      <c r="Z108">
        <f t="shared" si="106"/>
        <v>4.2775608718574532</v>
      </c>
      <c r="AA108">
        <f t="shared" si="107"/>
        <v>65.860944719902619</v>
      </c>
      <c r="AB108">
        <f t="shared" si="108"/>
        <v>2.7950152948624001</v>
      </c>
      <c r="AC108">
        <f t="shared" si="109"/>
        <v>4.2438129406573335</v>
      </c>
      <c r="AD108">
        <f t="shared" si="110"/>
        <v>1.4825455769950531</v>
      </c>
      <c r="AE108">
        <f t="shared" si="111"/>
        <v>-156.72938263589958</v>
      </c>
      <c r="AF108">
        <f t="shared" si="112"/>
        <v>-21.612362731449714</v>
      </c>
      <c r="AG108">
        <f t="shared" si="113"/>
        <v>-1.6530747043911842</v>
      </c>
      <c r="AH108">
        <f t="shared" si="114"/>
        <v>109.58544795405328</v>
      </c>
      <c r="AI108">
        <v>0</v>
      </c>
      <c r="AJ108">
        <v>0</v>
      </c>
      <c r="AK108">
        <f t="shared" si="115"/>
        <v>1</v>
      </c>
      <c r="AL108">
        <f t="shared" si="116"/>
        <v>0</v>
      </c>
      <c r="AM108">
        <f t="shared" si="117"/>
        <v>51702.193628986439</v>
      </c>
      <c r="AN108" t="s">
        <v>419</v>
      </c>
      <c r="AO108">
        <v>9967.0300000000007</v>
      </c>
      <c r="AP108">
        <v>178.94153846153841</v>
      </c>
      <c r="AQ108">
        <v>603.15</v>
      </c>
      <c r="AR108">
        <f t="shared" si="118"/>
        <v>0.7033216638290003</v>
      </c>
      <c r="AS108">
        <v>-3.2649104154664181</v>
      </c>
      <c r="AT108" t="s">
        <v>887</v>
      </c>
      <c r="AU108">
        <v>8073.69</v>
      </c>
      <c r="AV108">
        <v>665.80320000000006</v>
      </c>
      <c r="AW108">
        <v>898.11908502713914</v>
      </c>
      <c r="AX108">
        <f t="shared" si="119"/>
        <v>0.25866935565690496</v>
      </c>
      <c r="AY108">
        <v>0.5</v>
      </c>
      <c r="AZ108">
        <f t="shared" si="120"/>
        <v>1513.2600062309812</v>
      </c>
      <c r="BA108">
        <f t="shared" si="121"/>
        <v>27.491452537738155</v>
      </c>
      <c r="BB108">
        <f t="shared" si="122"/>
        <v>195.71699537656593</v>
      </c>
      <c r="BC108">
        <f t="shared" si="123"/>
        <v>2.0324572662042573E-2</v>
      </c>
      <c r="BD108">
        <f t="shared" si="124"/>
        <v>-0.32842981509320207</v>
      </c>
      <c r="BE108">
        <f t="shared" si="125"/>
        <v>198.25955519997024</v>
      </c>
      <c r="BF108" t="s">
        <v>888</v>
      </c>
      <c r="BG108">
        <v>518.91</v>
      </c>
      <c r="BH108">
        <f t="shared" si="126"/>
        <v>518.91</v>
      </c>
      <c r="BI108">
        <f t="shared" si="127"/>
        <v>0.42222583992375617</v>
      </c>
      <c r="BJ108">
        <f t="shared" si="128"/>
        <v>0.612632698424176</v>
      </c>
      <c r="BK108">
        <f t="shared" si="129"/>
        <v>-3.5015323483753455</v>
      </c>
      <c r="BL108">
        <f t="shared" si="130"/>
        <v>0.32302994738441554</v>
      </c>
      <c r="BM108">
        <f t="shared" si="131"/>
        <v>-0.69533993725015619</v>
      </c>
      <c r="BN108">
        <f t="shared" si="132"/>
        <v>0.47747026980238172</v>
      </c>
      <c r="BO108">
        <f t="shared" si="133"/>
        <v>0.52252973019761828</v>
      </c>
      <c r="BP108">
        <v>6219</v>
      </c>
      <c r="BQ108">
        <v>290.00000000000011</v>
      </c>
      <c r="BR108">
        <v>825.55</v>
      </c>
      <c r="BS108">
        <v>275</v>
      </c>
      <c r="BT108">
        <v>8073.69</v>
      </c>
      <c r="BU108">
        <v>827.86</v>
      </c>
      <c r="BV108">
        <v>-2.31</v>
      </c>
      <c r="BW108">
        <v>300.00000000000011</v>
      </c>
      <c r="BX108">
        <v>19.3</v>
      </c>
      <c r="BY108">
        <v>898.11908502713914</v>
      </c>
      <c r="BZ108">
        <v>2.5438069425425018</v>
      </c>
      <c r="CA108">
        <v>-56.72885148362586</v>
      </c>
      <c r="CB108">
        <v>1.8866297214736329</v>
      </c>
      <c r="CC108">
        <v>0.96996152364436605</v>
      </c>
      <c r="CD108">
        <v>-4.1658438264738614E-3</v>
      </c>
      <c r="CE108">
        <v>289.99999999999989</v>
      </c>
      <c r="CF108">
        <v>826.7</v>
      </c>
      <c r="CG108">
        <v>685</v>
      </c>
      <c r="CH108">
        <v>8063.02</v>
      </c>
      <c r="CI108">
        <v>827.76</v>
      </c>
      <c r="CJ108">
        <v>-1.06</v>
      </c>
      <c r="CX108">
        <f t="shared" si="134"/>
        <v>1800.09</v>
      </c>
      <c r="CY108">
        <f t="shared" si="135"/>
        <v>1513.2600062309812</v>
      </c>
      <c r="CZ108">
        <f t="shared" si="136"/>
        <v>0.84065797056312808</v>
      </c>
      <c r="DA108">
        <f t="shared" si="137"/>
        <v>0.1608698831868372</v>
      </c>
      <c r="DB108">
        <v>6</v>
      </c>
      <c r="DC108">
        <v>0.5</v>
      </c>
      <c r="DD108" t="s">
        <v>422</v>
      </c>
      <c r="DE108">
        <v>2</v>
      </c>
      <c r="DF108">
        <v>1689019106</v>
      </c>
      <c r="DG108">
        <v>265.93099999999998</v>
      </c>
      <c r="DH108">
        <v>300.04300000000001</v>
      </c>
      <c r="DI108">
        <v>28.2088</v>
      </c>
      <c r="DJ108">
        <v>24.065799999999999</v>
      </c>
      <c r="DK108">
        <v>265.87700000000001</v>
      </c>
      <c r="DL108">
        <v>28.157800000000002</v>
      </c>
      <c r="DM108">
        <v>500.17399999999998</v>
      </c>
      <c r="DN108">
        <v>98.982799999999997</v>
      </c>
      <c r="DO108">
        <v>0.100298</v>
      </c>
      <c r="DP108">
        <v>29.931899999999999</v>
      </c>
      <c r="DQ108">
        <v>30.069800000000001</v>
      </c>
      <c r="DR108">
        <v>999.9</v>
      </c>
      <c r="DS108">
        <v>0</v>
      </c>
      <c r="DT108">
        <v>0</v>
      </c>
      <c r="DU108">
        <v>9973.75</v>
      </c>
      <c r="DV108">
        <v>0</v>
      </c>
      <c r="DW108">
        <v>1834.83</v>
      </c>
      <c r="DX108">
        <v>-34.111800000000002</v>
      </c>
      <c r="DY108">
        <v>273.65100000000001</v>
      </c>
      <c r="DZ108">
        <v>307.44200000000001</v>
      </c>
      <c r="EA108">
        <v>4.1429499999999999</v>
      </c>
      <c r="EB108">
        <v>300.04300000000001</v>
      </c>
      <c r="EC108">
        <v>24.065799999999999</v>
      </c>
      <c r="ED108">
        <v>2.7921900000000002</v>
      </c>
      <c r="EE108">
        <v>2.3820999999999999</v>
      </c>
      <c r="EF108">
        <v>22.838000000000001</v>
      </c>
      <c r="EG108">
        <v>20.242599999999999</v>
      </c>
      <c r="EH108">
        <v>1800.09</v>
      </c>
      <c r="EI108">
        <v>0.97800399999999998</v>
      </c>
      <c r="EJ108">
        <v>2.1996100000000001E-2</v>
      </c>
      <c r="EK108">
        <v>0</v>
      </c>
      <c r="EL108">
        <v>665.63099999999997</v>
      </c>
      <c r="EM108">
        <v>5.0005300000000004</v>
      </c>
      <c r="EN108">
        <v>14944.8</v>
      </c>
      <c r="EO108">
        <v>16036.1</v>
      </c>
      <c r="EP108">
        <v>47.686999999999998</v>
      </c>
      <c r="EQ108">
        <v>48.875</v>
      </c>
      <c r="ER108">
        <v>48.25</v>
      </c>
      <c r="ES108">
        <v>48.311999999999998</v>
      </c>
      <c r="ET108">
        <v>48.875</v>
      </c>
      <c r="EU108">
        <v>1755.6</v>
      </c>
      <c r="EV108">
        <v>39.479999999999997</v>
      </c>
      <c r="EW108">
        <v>0</v>
      </c>
      <c r="EX108">
        <v>102.80000019073491</v>
      </c>
      <c r="EY108">
        <v>0</v>
      </c>
      <c r="EZ108">
        <v>665.80320000000006</v>
      </c>
      <c r="FA108">
        <v>-1.7486153640526401</v>
      </c>
      <c r="FB108">
        <v>-858.73076741284615</v>
      </c>
      <c r="FC108">
        <v>14974.34</v>
      </c>
      <c r="FD108">
        <v>15</v>
      </c>
      <c r="FE108">
        <v>1689019076.5</v>
      </c>
      <c r="FF108" t="s">
        <v>889</v>
      </c>
      <c r="FG108">
        <v>1689019070.5</v>
      </c>
      <c r="FH108">
        <v>1689019076.5</v>
      </c>
      <c r="FI108">
        <v>100</v>
      </c>
      <c r="FJ108">
        <v>0.23799999999999999</v>
      </c>
      <c r="FK108">
        <v>4.0000000000000001E-3</v>
      </c>
      <c r="FL108">
        <v>0.05</v>
      </c>
      <c r="FM108">
        <v>4.3999999999999997E-2</v>
      </c>
      <c r="FN108">
        <v>300</v>
      </c>
      <c r="FO108">
        <v>24</v>
      </c>
      <c r="FP108">
        <v>0.1</v>
      </c>
      <c r="FQ108">
        <v>0.02</v>
      </c>
      <c r="FR108">
        <v>27.44083852055433</v>
      </c>
      <c r="FS108">
        <v>-0.45082692431256249</v>
      </c>
      <c r="FT108">
        <v>6.784368653718538E-2</v>
      </c>
      <c r="FU108">
        <v>1</v>
      </c>
      <c r="FV108">
        <v>0.23889774780492551</v>
      </c>
      <c r="FW108">
        <v>4.3510775175716103E-2</v>
      </c>
      <c r="FX108">
        <v>4.0232747493708894E-3</v>
      </c>
      <c r="FY108">
        <v>1</v>
      </c>
      <c r="FZ108">
        <v>2</v>
      </c>
      <c r="GA108">
        <v>2</v>
      </c>
      <c r="GB108" t="s">
        <v>424</v>
      </c>
      <c r="GC108">
        <v>3.1232700000000002</v>
      </c>
      <c r="GD108">
        <v>2.7673700000000001</v>
      </c>
      <c r="GE108">
        <v>6.3648800000000005E-2</v>
      </c>
      <c r="GF108">
        <v>7.0449200000000003E-2</v>
      </c>
      <c r="GG108">
        <v>0.119392</v>
      </c>
      <c r="GH108">
        <v>0.107157</v>
      </c>
      <c r="GI108">
        <v>22362</v>
      </c>
      <c r="GJ108">
        <v>23021.200000000001</v>
      </c>
      <c r="GK108">
        <v>23745.9</v>
      </c>
      <c r="GL108">
        <v>25080</v>
      </c>
      <c r="GM108">
        <v>30136.400000000001</v>
      </c>
      <c r="GN108">
        <v>31414.7</v>
      </c>
      <c r="GO108">
        <v>37851</v>
      </c>
      <c r="GP108">
        <v>39029.699999999997</v>
      </c>
      <c r="GQ108">
        <v>2.1293500000000001</v>
      </c>
      <c r="GR108">
        <v>1.7030000000000001</v>
      </c>
      <c r="GS108">
        <v>2.6505399999999998E-2</v>
      </c>
      <c r="GT108">
        <v>0</v>
      </c>
      <c r="GU108">
        <v>29.638400000000001</v>
      </c>
      <c r="GV108">
        <v>999.9</v>
      </c>
      <c r="GW108">
        <v>26.2</v>
      </c>
      <c r="GX108">
        <v>47</v>
      </c>
      <c r="GY108">
        <v>28.263500000000001</v>
      </c>
      <c r="GZ108">
        <v>61.829500000000003</v>
      </c>
      <c r="HA108">
        <v>27.664300000000001</v>
      </c>
      <c r="HB108">
        <v>1</v>
      </c>
      <c r="HC108">
        <v>0.63882899999999998</v>
      </c>
      <c r="HD108">
        <v>4.1903600000000001</v>
      </c>
      <c r="HE108">
        <v>20.265499999999999</v>
      </c>
      <c r="HF108">
        <v>5.2524800000000003</v>
      </c>
      <c r="HG108">
        <v>12.0099</v>
      </c>
      <c r="HH108">
        <v>4.9788500000000004</v>
      </c>
      <c r="HI108">
        <v>3.2930000000000001</v>
      </c>
      <c r="HJ108">
        <v>9999</v>
      </c>
      <c r="HK108">
        <v>9999</v>
      </c>
      <c r="HL108">
        <v>9999</v>
      </c>
      <c r="HM108">
        <v>236.8</v>
      </c>
      <c r="HN108">
        <v>1.8757200000000001</v>
      </c>
      <c r="HO108">
        <v>1.8768</v>
      </c>
      <c r="HP108">
        <v>1.8827799999999999</v>
      </c>
      <c r="HQ108">
        <v>1.8859900000000001</v>
      </c>
      <c r="HR108">
        <v>1.87683</v>
      </c>
      <c r="HS108">
        <v>1.8831800000000001</v>
      </c>
      <c r="HT108">
        <v>1.8821699999999999</v>
      </c>
      <c r="HU108">
        <v>1.8856599999999999</v>
      </c>
      <c r="HV108">
        <v>0</v>
      </c>
      <c r="HW108">
        <v>0</v>
      </c>
      <c r="HX108">
        <v>0</v>
      </c>
      <c r="HY108">
        <v>0</v>
      </c>
      <c r="HZ108" t="s">
        <v>425</v>
      </c>
      <c r="IA108" t="s">
        <v>426</v>
      </c>
      <c r="IB108" t="s">
        <v>427</v>
      </c>
      <c r="IC108" t="s">
        <v>427</v>
      </c>
      <c r="ID108" t="s">
        <v>427</v>
      </c>
      <c r="IE108" t="s">
        <v>427</v>
      </c>
      <c r="IF108">
        <v>0</v>
      </c>
      <c r="IG108">
        <v>100</v>
      </c>
      <c r="IH108">
        <v>100</v>
      </c>
      <c r="II108">
        <v>5.3999999999999999E-2</v>
      </c>
      <c r="IJ108">
        <v>5.0999999999999997E-2</v>
      </c>
      <c r="IK108">
        <v>0.12756458209365371</v>
      </c>
      <c r="IL108">
        <v>-4.2852564239613137E-4</v>
      </c>
      <c r="IM108">
        <v>6.4980710991155998E-7</v>
      </c>
      <c r="IN108">
        <v>-2.7237938963984961E-10</v>
      </c>
      <c r="IO108">
        <v>-7.2578626336941886E-3</v>
      </c>
      <c r="IP108">
        <v>6.6907473102813496E-3</v>
      </c>
      <c r="IQ108">
        <v>-3.3673306238274028E-4</v>
      </c>
      <c r="IR108">
        <v>6.1311374003140313E-6</v>
      </c>
      <c r="IS108">
        <v>3</v>
      </c>
      <c r="IT108">
        <v>2101</v>
      </c>
      <c r="IU108">
        <v>1</v>
      </c>
      <c r="IV108">
        <v>32</v>
      </c>
      <c r="IW108">
        <v>0.6</v>
      </c>
      <c r="IX108">
        <v>0.5</v>
      </c>
      <c r="IY108">
        <v>0.80932599999999999</v>
      </c>
      <c r="IZ108">
        <v>2.7233900000000002</v>
      </c>
      <c r="JA108">
        <v>1.6015600000000001</v>
      </c>
      <c r="JB108">
        <v>2.32544</v>
      </c>
      <c r="JC108">
        <v>1.5502899999999999</v>
      </c>
      <c r="JD108">
        <v>2.323</v>
      </c>
      <c r="JE108">
        <v>48.9191</v>
      </c>
      <c r="JF108">
        <v>24.14</v>
      </c>
      <c r="JG108">
        <v>18</v>
      </c>
      <c r="JH108">
        <v>594.87900000000002</v>
      </c>
      <c r="JI108">
        <v>372.178</v>
      </c>
      <c r="JJ108">
        <v>25.95</v>
      </c>
      <c r="JK108">
        <v>34.948599999999999</v>
      </c>
      <c r="JL108">
        <v>30.0001</v>
      </c>
      <c r="JM108">
        <v>35.245800000000003</v>
      </c>
      <c r="JN108">
        <v>35.258099999999999</v>
      </c>
      <c r="JO108">
        <v>16.166</v>
      </c>
      <c r="JP108">
        <v>12.0205</v>
      </c>
      <c r="JQ108">
        <v>1.9773099999999999</v>
      </c>
      <c r="JR108">
        <v>25.9102</v>
      </c>
      <c r="JS108">
        <v>300</v>
      </c>
      <c r="JT108">
        <v>23.8279</v>
      </c>
      <c r="JU108">
        <v>98.725899999999996</v>
      </c>
      <c r="JV108">
        <v>98.772199999999998</v>
      </c>
    </row>
    <row r="109" spans="1:282" x14ac:dyDescent="0.25">
      <c r="A109">
        <v>93</v>
      </c>
      <c r="B109">
        <v>1689019236.5</v>
      </c>
      <c r="C109">
        <v>19413.900000095371</v>
      </c>
      <c r="D109" t="s">
        <v>890</v>
      </c>
      <c r="E109" t="s">
        <v>891</v>
      </c>
      <c r="F109" t="s">
        <v>414</v>
      </c>
      <c r="G109" t="s">
        <v>415</v>
      </c>
      <c r="H109" t="s">
        <v>416</v>
      </c>
      <c r="I109" t="s">
        <v>501</v>
      </c>
      <c r="J109" t="s">
        <v>418</v>
      </c>
      <c r="K109">
        <v>1689019236.5</v>
      </c>
      <c r="L109">
        <f t="shared" si="92"/>
        <v>4.3344342666922168E-3</v>
      </c>
      <c r="M109">
        <f t="shared" si="93"/>
        <v>4.3344342666922167</v>
      </c>
      <c r="N109">
        <f t="shared" si="94"/>
        <v>21.213922411668644</v>
      </c>
      <c r="O109">
        <f t="shared" si="95"/>
        <v>173.636</v>
      </c>
      <c r="P109">
        <f t="shared" si="96"/>
        <v>48.143263012379713</v>
      </c>
      <c r="Q109">
        <f t="shared" si="97"/>
        <v>4.770094582058821</v>
      </c>
      <c r="R109">
        <f t="shared" si="98"/>
        <v>17.204071577727998</v>
      </c>
      <c r="S109">
        <f t="shared" si="99"/>
        <v>0.28964598641017619</v>
      </c>
      <c r="T109">
        <f t="shared" si="100"/>
        <v>2.9106328188675219</v>
      </c>
      <c r="U109">
        <f t="shared" si="101"/>
        <v>0.27453271958738623</v>
      </c>
      <c r="V109">
        <f t="shared" si="102"/>
        <v>0.1728750742955753</v>
      </c>
      <c r="W109">
        <f t="shared" si="103"/>
        <v>289.57867202586056</v>
      </c>
      <c r="X109">
        <f t="shared" si="104"/>
        <v>30.413422209419178</v>
      </c>
      <c r="Y109">
        <f t="shared" si="105"/>
        <v>29.9785</v>
      </c>
      <c r="Z109">
        <f t="shared" si="106"/>
        <v>4.2551911928940127</v>
      </c>
      <c r="AA109">
        <f t="shared" si="107"/>
        <v>65.086874739895578</v>
      </c>
      <c r="AB109">
        <f t="shared" si="108"/>
        <v>2.7461259614432003</v>
      </c>
      <c r="AC109">
        <f t="shared" si="109"/>
        <v>4.2191701052131458</v>
      </c>
      <c r="AD109">
        <f t="shared" si="110"/>
        <v>1.5090652314508124</v>
      </c>
      <c r="AE109">
        <f t="shared" si="111"/>
        <v>-191.14855116112676</v>
      </c>
      <c r="AF109">
        <f t="shared" si="112"/>
        <v>-23.208177602903216</v>
      </c>
      <c r="AG109">
        <f t="shared" si="113"/>
        <v>-1.7712597021065999</v>
      </c>
      <c r="AH109">
        <f t="shared" si="114"/>
        <v>73.450683559723984</v>
      </c>
      <c r="AI109">
        <v>0</v>
      </c>
      <c r="AJ109">
        <v>0</v>
      </c>
      <c r="AK109">
        <f t="shared" si="115"/>
        <v>1</v>
      </c>
      <c r="AL109">
        <f t="shared" si="116"/>
        <v>0</v>
      </c>
      <c r="AM109">
        <f t="shared" si="117"/>
        <v>51821.293318797259</v>
      </c>
      <c r="AN109" t="s">
        <v>419</v>
      </c>
      <c r="AO109">
        <v>9967.0300000000007</v>
      </c>
      <c r="AP109">
        <v>178.94153846153841</v>
      </c>
      <c r="AQ109">
        <v>603.15</v>
      </c>
      <c r="AR109">
        <f t="shared" si="118"/>
        <v>0.7033216638290003</v>
      </c>
      <c r="AS109">
        <v>-3.2649104154664181</v>
      </c>
      <c r="AT109" t="s">
        <v>892</v>
      </c>
      <c r="AU109">
        <v>8072.68</v>
      </c>
      <c r="AV109">
        <v>669.85644000000002</v>
      </c>
      <c r="AW109">
        <v>845.70173477452511</v>
      </c>
      <c r="AX109">
        <f t="shared" si="119"/>
        <v>0.20792826542020482</v>
      </c>
      <c r="AY109">
        <v>0.5</v>
      </c>
      <c r="AZ109">
        <f t="shared" si="120"/>
        <v>1513.2516062310158</v>
      </c>
      <c r="BA109">
        <f t="shared" si="121"/>
        <v>21.213922411668644</v>
      </c>
      <c r="BB109">
        <f t="shared" si="122"/>
        <v>157.32389081397696</v>
      </c>
      <c r="BC109">
        <f t="shared" si="123"/>
        <v>1.6176313791004877E-2</v>
      </c>
      <c r="BD109">
        <f t="shared" si="124"/>
        <v>-0.28680529411376049</v>
      </c>
      <c r="BE109">
        <f t="shared" si="125"/>
        <v>195.58352923792907</v>
      </c>
      <c r="BF109" t="s">
        <v>893</v>
      </c>
      <c r="BG109">
        <v>519.01</v>
      </c>
      <c r="BH109">
        <f t="shared" si="126"/>
        <v>519.01</v>
      </c>
      <c r="BI109">
        <f t="shared" si="127"/>
        <v>0.3862966354936298</v>
      </c>
      <c r="BJ109">
        <f t="shared" si="128"/>
        <v>0.53826061714077134</v>
      </c>
      <c r="BK109">
        <f t="shared" si="129"/>
        <v>-2.8827161252023434</v>
      </c>
      <c r="BL109">
        <f t="shared" si="130"/>
        <v>0.26373094216917053</v>
      </c>
      <c r="BM109">
        <f t="shared" si="131"/>
        <v>-0.57177486251658316</v>
      </c>
      <c r="BN109">
        <f t="shared" si="132"/>
        <v>0.41704852893887484</v>
      </c>
      <c r="BO109">
        <f t="shared" si="133"/>
        <v>0.58295147106112521</v>
      </c>
      <c r="BP109">
        <v>6221</v>
      </c>
      <c r="BQ109">
        <v>290.00000000000011</v>
      </c>
      <c r="BR109">
        <v>795.68</v>
      </c>
      <c r="BS109">
        <v>285</v>
      </c>
      <c r="BT109">
        <v>8072.68</v>
      </c>
      <c r="BU109">
        <v>797.41</v>
      </c>
      <c r="BV109">
        <v>-1.73</v>
      </c>
      <c r="BW109">
        <v>300.00000000000011</v>
      </c>
      <c r="BX109">
        <v>19.3</v>
      </c>
      <c r="BY109">
        <v>845.70173477452511</v>
      </c>
      <c r="BZ109">
        <v>2.9624273605482152</v>
      </c>
      <c r="CA109">
        <v>-38.984095385520057</v>
      </c>
      <c r="CB109">
        <v>2.1969884629680019</v>
      </c>
      <c r="CC109">
        <v>0.918334338229986</v>
      </c>
      <c r="CD109">
        <v>-4.1656780867630784E-3</v>
      </c>
      <c r="CE109">
        <v>289.99999999999989</v>
      </c>
      <c r="CF109">
        <v>796.61</v>
      </c>
      <c r="CG109">
        <v>655</v>
      </c>
      <c r="CH109">
        <v>8063.47</v>
      </c>
      <c r="CI109">
        <v>797.36</v>
      </c>
      <c r="CJ109">
        <v>-0.75</v>
      </c>
      <c r="CX109">
        <f t="shared" si="134"/>
        <v>1800.08</v>
      </c>
      <c r="CY109">
        <f t="shared" si="135"/>
        <v>1513.2516062310158</v>
      </c>
      <c r="CZ109">
        <f t="shared" si="136"/>
        <v>0.84065797421837685</v>
      </c>
      <c r="DA109">
        <f t="shared" si="137"/>
        <v>0.16086989024146736</v>
      </c>
      <c r="DB109">
        <v>6</v>
      </c>
      <c r="DC109">
        <v>0.5</v>
      </c>
      <c r="DD109" t="s">
        <v>422</v>
      </c>
      <c r="DE109">
        <v>2</v>
      </c>
      <c r="DF109">
        <v>1689019236.5</v>
      </c>
      <c r="DG109">
        <v>173.636</v>
      </c>
      <c r="DH109">
        <v>199.995</v>
      </c>
      <c r="DI109">
        <v>27.715900000000001</v>
      </c>
      <c r="DJ109">
        <v>22.658899999999999</v>
      </c>
      <c r="DK109">
        <v>173.74199999999999</v>
      </c>
      <c r="DL109">
        <v>27.675899999999999</v>
      </c>
      <c r="DM109">
        <v>500.01600000000002</v>
      </c>
      <c r="DN109">
        <v>98.981200000000001</v>
      </c>
      <c r="DO109">
        <v>0.100048</v>
      </c>
      <c r="DP109">
        <v>29.8306</v>
      </c>
      <c r="DQ109">
        <v>29.9785</v>
      </c>
      <c r="DR109">
        <v>999.9</v>
      </c>
      <c r="DS109">
        <v>0</v>
      </c>
      <c r="DT109">
        <v>0</v>
      </c>
      <c r="DU109">
        <v>9994.3799999999992</v>
      </c>
      <c r="DV109">
        <v>0</v>
      </c>
      <c r="DW109">
        <v>1867.84</v>
      </c>
      <c r="DX109">
        <v>-26.1814</v>
      </c>
      <c r="DY109">
        <v>178.77</v>
      </c>
      <c r="DZ109">
        <v>204.63200000000001</v>
      </c>
      <c r="EA109">
        <v>5.0670200000000003</v>
      </c>
      <c r="EB109">
        <v>199.995</v>
      </c>
      <c r="EC109">
        <v>22.658899999999999</v>
      </c>
      <c r="ED109">
        <v>2.7443399999999998</v>
      </c>
      <c r="EE109">
        <v>2.2427999999999999</v>
      </c>
      <c r="EF109">
        <v>22.553100000000001</v>
      </c>
      <c r="EG109">
        <v>19.2714</v>
      </c>
      <c r="EH109">
        <v>1800.08</v>
      </c>
      <c r="EI109">
        <v>0.97800399999999998</v>
      </c>
      <c r="EJ109">
        <v>2.1996100000000001E-2</v>
      </c>
      <c r="EK109">
        <v>0</v>
      </c>
      <c r="EL109">
        <v>669.36300000000006</v>
      </c>
      <c r="EM109">
        <v>5.0005300000000004</v>
      </c>
      <c r="EN109">
        <v>14998.6</v>
      </c>
      <c r="EO109">
        <v>16036</v>
      </c>
      <c r="EP109">
        <v>47.875</v>
      </c>
      <c r="EQ109">
        <v>49.375</v>
      </c>
      <c r="ER109">
        <v>48.436999999999998</v>
      </c>
      <c r="ES109">
        <v>48.625</v>
      </c>
      <c r="ET109">
        <v>49.061999999999998</v>
      </c>
      <c r="EU109">
        <v>1755.59</v>
      </c>
      <c r="EV109">
        <v>39.479999999999997</v>
      </c>
      <c r="EW109">
        <v>0</v>
      </c>
      <c r="EX109">
        <v>128.4000000953674</v>
      </c>
      <c r="EY109">
        <v>0</v>
      </c>
      <c r="EZ109">
        <v>669.85644000000002</v>
      </c>
      <c r="FA109">
        <v>-2.1652307654878782</v>
      </c>
      <c r="FB109">
        <v>-107.2615383379209</v>
      </c>
      <c r="FC109">
        <v>14997.008</v>
      </c>
      <c r="FD109">
        <v>15</v>
      </c>
      <c r="FE109">
        <v>1689019263.5</v>
      </c>
      <c r="FF109" t="s">
        <v>894</v>
      </c>
      <c r="FG109">
        <v>1689019260.5</v>
      </c>
      <c r="FH109">
        <v>1689019263.5</v>
      </c>
      <c r="FI109">
        <v>101</v>
      </c>
      <c r="FJ109">
        <v>-0.17199999999999999</v>
      </c>
      <c r="FK109">
        <v>-3.0000000000000001E-3</v>
      </c>
      <c r="FL109">
        <v>-0.106</v>
      </c>
      <c r="FM109">
        <v>0.04</v>
      </c>
      <c r="FN109">
        <v>200</v>
      </c>
      <c r="FO109">
        <v>23</v>
      </c>
      <c r="FP109">
        <v>0.06</v>
      </c>
      <c r="FQ109">
        <v>0.02</v>
      </c>
      <c r="FR109">
        <v>21.06612427945343</v>
      </c>
      <c r="FS109">
        <v>0.5135047019001352</v>
      </c>
      <c r="FT109">
        <v>5.2273144963644678E-2</v>
      </c>
      <c r="FU109">
        <v>1</v>
      </c>
      <c r="FV109">
        <v>0.28868715221162983</v>
      </c>
      <c r="FW109">
        <v>3.2310516796921367E-2</v>
      </c>
      <c r="FX109">
        <v>2.4787958545347791E-3</v>
      </c>
      <c r="FY109">
        <v>1</v>
      </c>
      <c r="FZ109">
        <v>2</v>
      </c>
      <c r="GA109">
        <v>2</v>
      </c>
      <c r="GB109" t="s">
        <v>424</v>
      </c>
      <c r="GC109">
        <v>3.1231100000000001</v>
      </c>
      <c r="GD109">
        <v>2.7673000000000001</v>
      </c>
      <c r="GE109">
        <v>4.3893399999999999E-2</v>
      </c>
      <c r="GF109">
        <v>4.9871400000000003E-2</v>
      </c>
      <c r="GG109">
        <v>0.117976</v>
      </c>
      <c r="GH109">
        <v>0.10269399999999999</v>
      </c>
      <c r="GI109">
        <v>22830.3</v>
      </c>
      <c r="GJ109">
        <v>23525.3</v>
      </c>
      <c r="GK109">
        <v>23743.1</v>
      </c>
      <c r="GL109">
        <v>25074.799999999999</v>
      </c>
      <c r="GM109">
        <v>30182.1</v>
      </c>
      <c r="GN109">
        <v>31563.9</v>
      </c>
      <c r="GO109">
        <v>37847.5</v>
      </c>
      <c r="GP109">
        <v>39020.1</v>
      </c>
      <c r="GQ109">
        <v>2.1315300000000001</v>
      </c>
      <c r="GR109">
        <v>1.6997500000000001</v>
      </c>
      <c r="GS109">
        <v>-8.02428E-3</v>
      </c>
      <c r="GT109">
        <v>0</v>
      </c>
      <c r="GU109">
        <v>30.109100000000002</v>
      </c>
      <c r="GV109">
        <v>999.9</v>
      </c>
      <c r="GW109">
        <v>26.2</v>
      </c>
      <c r="GX109">
        <v>47</v>
      </c>
      <c r="GY109">
        <v>28.263999999999999</v>
      </c>
      <c r="GZ109">
        <v>61.819499999999998</v>
      </c>
      <c r="HA109">
        <v>28.181100000000001</v>
      </c>
      <c r="HB109">
        <v>1</v>
      </c>
      <c r="HC109">
        <v>0.63968000000000003</v>
      </c>
      <c r="HD109">
        <v>2.9136099999999998</v>
      </c>
      <c r="HE109">
        <v>20.292200000000001</v>
      </c>
      <c r="HF109">
        <v>5.2479899999999997</v>
      </c>
      <c r="HG109">
        <v>12.0099</v>
      </c>
      <c r="HH109">
        <v>4.9791499999999997</v>
      </c>
      <c r="HI109">
        <v>3.2930000000000001</v>
      </c>
      <c r="HJ109">
        <v>9999</v>
      </c>
      <c r="HK109">
        <v>9999</v>
      </c>
      <c r="HL109">
        <v>9999</v>
      </c>
      <c r="HM109">
        <v>236.8</v>
      </c>
      <c r="HN109">
        <v>1.87571</v>
      </c>
      <c r="HO109">
        <v>1.8768199999999999</v>
      </c>
      <c r="HP109">
        <v>1.8827799999999999</v>
      </c>
      <c r="HQ109">
        <v>1.8859900000000001</v>
      </c>
      <c r="HR109">
        <v>1.87683</v>
      </c>
      <c r="HS109">
        <v>1.88323</v>
      </c>
      <c r="HT109">
        <v>1.8821699999999999</v>
      </c>
      <c r="HU109">
        <v>1.88568</v>
      </c>
      <c r="HV109">
        <v>0</v>
      </c>
      <c r="HW109">
        <v>0</v>
      </c>
      <c r="HX109">
        <v>0</v>
      </c>
      <c r="HY109">
        <v>0</v>
      </c>
      <c r="HZ109" t="s">
        <v>425</v>
      </c>
      <c r="IA109" t="s">
        <v>426</v>
      </c>
      <c r="IB109" t="s">
        <v>427</v>
      </c>
      <c r="IC109" t="s">
        <v>427</v>
      </c>
      <c r="ID109" t="s">
        <v>427</v>
      </c>
      <c r="IE109" t="s">
        <v>427</v>
      </c>
      <c r="IF109">
        <v>0</v>
      </c>
      <c r="IG109">
        <v>100</v>
      </c>
      <c r="IH109">
        <v>100</v>
      </c>
      <c r="II109">
        <v>-0.106</v>
      </c>
      <c r="IJ109">
        <v>0.04</v>
      </c>
      <c r="IK109">
        <v>0.12756458209365371</v>
      </c>
      <c r="IL109">
        <v>-4.2852564239613137E-4</v>
      </c>
      <c r="IM109">
        <v>6.4980710991155998E-7</v>
      </c>
      <c r="IN109">
        <v>-2.7237938963984961E-10</v>
      </c>
      <c r="IO109">
        <v>-7.2578626336941886E-3</v>
      </c>
      <c r="IP109">
        <v>6.6907473102813496E-3</v>
      </c>
      <c r="IQ109">
        <v>-3.3673306238274028E-4</v>
      </c>
      <c r="IR109">
        <v>6.1311374003140313E-6</v>
      </c>
      <c r="IS109">
        <v>3</v>
      </c>
      <c r="IT109">
        <v>2101</v>
      </c>
      <c r="IU109">
        <v>1</v>
      </c>
      <c r="IV109">
        <v>32</v>
      </c>
      <c r="IW109">
        <v>2.8</v>
      </c>
      <c r="IX109">
        <v>2.7</v>
      </c>
      <c r="IY109">
        <v>0.58960000000000001</v>
      </c>
      <c r="IZ109">
        <v>2.7331500000000002</v>
      </c>
      <c r="JA109">
        <v>1.6015600000000001</v>
      </c>
      <c r="JB109">
        <v>2.32666</v>
      </c>
      <c r="JC109">
        <v>1.5502899999999999</v>
      </c>
      <c r="JD109">
        <v>2.4218799999999998</v>
      </c>
      <c r="JE109">
        <v>48.950299999999999</v>
      </c>
      <c r="JF109">
        <v>24.148800000000001</v>
      </c>
      <c r="JG109">
        <v>18</v>
      </c>
      <c r="JH109">
        <v>596.25400000000002</v>
      </c>
      <c r="JI109">
        <v>370.10899999999998</v>
      </c>
      <c r="JJ109">
        <v>26.617599999999999</v>
      </c>
      <c r="JK109">
        <v>35.01</v>
      </c>
      <c r="JL109">
        <v>30.000599999999999</v>
      </c>
      <c r="JM109">
        <v>35.226100000000002</v>
      </c>
      <c r="JN109">
        <v>35.239100000000001</v>
      </c>
      <c r="JO109">
        <v>11.7834</v>
      </c>
      <c r="JP109">
        <v>19.601500000000001</v>
      </c>
      <c r="JQ109">
        <v>1.6070800000000001</v>
      </c>
      <c r="JR109">
        <v>26.621700000000001</v>
      </c>
      <c r="JS109">
        <v>200</v>
      </c>
      <c r="JT109">
        <v>22.615600000000001</v>
      </c>
      <c r="JU109">
        <v>98.715900000000005</v>
      </c>
      <c r="JV109">
        <v>98.749499999999998</v>
      </c>
    </row>
    <row r="110" spans="1:282" x14ac:dyDescent="0.25">
      <c r="A110">
        <v>94</v>
      </c>
      <c r="B110">
        <v>1689019368.5</v>
      </c>
      <c r="C110">
        <v>19545.900000095371</v>
      </c>
      <c r="D110" t="s">
        <v>895</v>
      </c>
      <c r="E110" t="s">
        <v>896</v>
      </c>
      <c r="F110" t="s">
        <v>414</v>
      </c>
      <c r="G110" t="s">
        <v>415</v>
      </c>
      <c r="H110" t="s">
        <v>416</v>
      </c>
      <c r="I110" t="s">
        <v>501</v>
      </c>
      <c r="J110" t="s">
        <v>418</v>
      </c>
      <c r="K110">
        <v>1689019368.5</v>
      </c>
      <c r="L110">
        <f t="shared" si="92"/>
        <v>4.8104787326081686E-3</v>
      </c>
      <c r="M110">
        <f t="shared" si="93"/>
        <v>4.8104787326081686</v>
      </c>
      <c r="N110">
        <f t="shared" si="94"/>
        <v>13.596629347241031</v>
      </c>
      <c r="O110">
        <f t="shared" si="95"/>
        <v>103.268</v>
      </c>
      <c r="P110">
        <f t="shared" si="96"/>
        <v>32.214310195626361</v>
      </c>
      <c r="Q110">
        <f t="shared" si="97"/>
        <v>3.1917728568952741</v>
      </c>
      <c r="R110">
        <f t="shared" si="98"/>
        <v>10.2317261299176</v>
      </c>
      <c r="S110">
        <f t="shared" si="99"/>
        <v>0.3303793470021269</v>
      </c>
      <c r="T110">
        <f t="shared" si="100"/>
        <v>2.9085240932897607</v>
      </c>
      <c r="U110">
        <f t="shared" si="101"/>
        <v>0.31085682371396051</v>
      </c>
      <c r="V110">
        <f t="shared" si="102"/>
        <v>0.1959433320281192</v>
      </c>
      <c r="W110">
        <f t="shared" si="103"/>
        <v>289.5834473269731</v>
      </c>
      <c r="X110">
        <f t="shared" si="104"/>
        <v>30.237569489991902</v>
      </c>
      <c r="Y110">
        <f t="shared" si="105"/>
        <v>29.9437</v>
      </c>
      <c r="Z110">
        <f t="shared" si="106"/>
        <v>4.246691618950563</v>
      </c>
      <c r="AA110">
        <f t="shared" si="107"/>
        <v>65.794864133992249</v>
      </c>
      <c r="AB110">
        <f t="shared" si="108"/>
        <v>2.7677221443580802</v>
      </c>
      <c r="AC110">
        <f t="shared" si="109"/>
        <v>4.2065929929144188</v>
      </c>
      <c r="AD110">
        <f t="shared" si="110"/>
        <v>1.4789694745924828</v>
      </c>
      <c r="AE110">
        <f t="shared" si="111"/>
        <v>-212.14211210802023</v>
      </c>
      <c r="AF110">
        <f t="shared" si="112"/>
        <v>-25.872717901377072</v>
      </c>
      <c r="AG110">
        <f t="shared" si="113"/>
        <v>-1.9752021241197244</v>
      </c>
      <c r="AH110">
        <f t="shared" si="114"/>
        <v>49.593415193456067</v>
      </c>
      <c r="AI110">
        <v>0</v>
      </c>
      <c r="AJ110">
        <v>0</v>
      </c>
      <c r="AK110">
        <f t="shared" si="115"/>
        <v>1</v>
      </c>
      <c r="AL110">
        <f t="shared" si="116"/>
        <v>0</v>
      </c>
      <c r="AM110">
        <f t="shared" si="117"/>
        <v>51770.177618983354</v>
      </c>
      <c r="AN110" t="s">
        <v>419</v>
      </c>
      <c r="AO110">
        <v>9967.0300000000007</v>
      </c>
      <c r="AP110">
        <v>178.94153846153841</v>
      </c>
      <c r="AQ110">
        <v>603.15</v>
      </c>
      <c r="AR110">
        <f t="shared" si="118"/>
        <v>0.7033216638290003</v>
      </c>
      <c r="AS110">
        <v>-3.2649104154664181</v>
      </c>
      <c r="AT110" t="s">
        <v>897</v>
      </c>
      <c r="AU110">
        <v>8071.06</v>
      </c>
      <c r="AV110">
        <v>683.2558846153845</v>
      </c>
      <c r="AW110">
        <v>815.21162633721985</v>
      </c>
      <c r="AX110">
        <f t="shared" si="119"/>
        <v>0.16186685451815508</v>
      </c>
      <c r="AY110">
        <v>0.5</v>
      </c>
      <c r="AZ110">
        <f t="shared" si="120"/>
        <v>1513.2767996512812</v>
      </c>
      <c r="BA110">
        <f t="shared" si="121"/>
        <v>13.596629347241031</v>
      </c>
      <c r="BB110">
        <f t="shared" si="122"/>
        <v>122.47467778742661</v>
      </c>
      <c r="BC110">
        <f t="shared" si="123"/>
        <v>1.1142402874737136E-2</v>
      </c>
      <c r="BD110">
        <f t="shared" si="124"/>
        <v>-0.26013076787192263</v>
      </c>
      <c r="BE110">
        <f t="shared" si="125"/>
        <v>193.90628791553817</v>
      </c>
      <c r="BF110" t="s">
        <v>898</v>
      </c>
      <c r="BG110">
        <v>528.92999999999995</v>
      </c>
      <c r="BH110">
        <f t="shared" si="126"/>
        <v>528.92999999999995</v>
      </c>
      <c r="BI110">
        <f t="shared" si="127"/>
        <v>0.3511746117060367</v>
      </c>
      <c r="BJ110">
        <f t="shared" si="128"/>
        <v>0.46092983126482817</v>
      </c>
      <c r="BK110">
        <f t="shared" si="129"/>
        <v>-2.8572032651201806</v>
      </c>
      <c r="BL110">
        <f t="shared" si="130"/>
        <v>0.20738950995228575</v>
      </c>
      <c r="BM110">
        <f t="shared" si="131"/>
        <v>-0.49989956722726275</v>
      </c>
      <c r="BN110">
        <f t="shared" si="132"/>
        <v>0.35682036721592847</v>
      </c>
      <c r="BO110">
        <f t="shared" si="133"/>
        <v>0.64317963278407153</v>
      </c>
      <c r="BP110">
        <v>6223</v>
      </c>
      <c r="BQ110">
        <v>290.00000000000011</v>
      </c>
      <c r="BR110">
        <v>774.32</v>
      </c>
      <c r="BS110">
        <v>295</v>
      </c>
      <c r="BT110">
        <v>8071.06</v>
      </c>
      <c r="BU110">
        <v>776.5</v>
      </c>
      <c r="BV110">
        <v>-2.1800000000000002</v>
      </c>
      <c r="BW110">
        <v>300.00000000000011</v>
      </c>
      <c r="BX110">
        <v>19.3</v>
      </c>
      <c r="BY110">
        <v>815.21162633721985</v>
      </c>
      <c r="BZ110">
        <v>2.484702502374462</v>
      </c>
      <c r="CA110">
        <v>-31.24423531540927</v>
      </c>
      <c r="CB110">
        <v>1.842316273585521</v>
      </c>
      <c r="CC110">
        <v>0.91128429768598662</v>
      </c>
      <c r="CD110">
        <v>-4.1649305895439361E-3</v>
      </c>
      <c r="CE110">
        <v>289.99999999999989</v>
      </c>
      <c r="CF110">
        <v>774.84</v>
      </c>
      <c r="CG110">
        <v>635</v>
      </c>
      <c r="CH110">
        <v>8062.4</v>
      </c>
      <c r="CI110">
        <v>776.46</v>
      </c>
      <c r="CJ110">
        <v>-1.62</v>
      </c>
      <c r="CX110">
        <f t="shared" si="134"/>
        <v>1800.11</v>
      </c>
      <c r="CY110">
        <f t="shared" si="135"/>
        <v>1513.2767996512812</v>
      </c>
      <c r="CZ110">
        <f t="shared" si="136"/>
        <v>0.84065795959762535</v>
      </c>
      <c r="DA110">
        <f t="shared" si="137"/>
        <v>0.16086986202341697</v>
      </c>
      <c r="DB110">
        <v>6</v>
      </c>
      <c r="DC110">
        <v>0.5</v>
      </c>
      <c r="DD110" t="s">
        <v>422</v>
      </c>
      <c r="DE110">
        <v>2</v>
      </c>
      <c r="DF110">
        <v>1689019368.5</v>
      </c>
      <c r="DG110">
        <v>103.268</v>
      </c>
      <c r="DH110">
        <v>120.17700000000001</v>
      </c>
      <c r="DI110">
        <v>27.9344</v>
      </c>
      <c r="DJ110">
        <v>22.324100000000001</v>
      </c>
      <c r="DK110">
        <v>103.369</v>
      </c>
      <c r="DL110">
        <v>27.881</v>
      </c>
      <c r="DM110">
        <v>500.09100000000001</v>
      </c>
      <c r="DN110">
        <v>98.979500000000002</v>
      </c>
      <c r="DO110">
        <v>9.9848199999999998E-2</v>
      </c>
      <c r="DP110">
        <v>29.778700000000001</v>
      </c>
      <c r="DQ110">
        <v>29.9437</v>
      </c>
      <c r="DR110">
        <v>999.9</v>
      </c>
      <c r="DS110">
        <v>0</v>
      </c>
      <c r="DT110">
        <v>0</v>
      </c>
      <c r="DU110">
        <v>9982.5</v>
      </c>
      <c r="DV110">
        <v>0</v>
      </c>
      <c r="DW110">
        <v>1792.09</v>
      </c>
      <c r="DX110">
        <v>-16.909300000000002</v>
      </c>
      <c r="DY110">
        <v>106.236</v>
      </c>
      <c r="DZ110">
        <v>122.92100000000001</v>
      </c>
      <c r="EA110">
        <v>5.61022</v>
      </c>
      <c r="EB110">
        <v>120.17700000000001</v>
      </c>
      <c r="EC110">
        <v>22.324100000000001</v>
      </c>
      <c r="ED110">
        <v>2.7649300000000001</v>
      </c>
      <c r="EE110">
        <v>2.2096300000000002</v>
      </c>
      <c r="EF110">
        <v>22.676200000000001</v>
      </c>
      <c r="EG110">
        <v>19.032299999999999</v>
      </c>
      <c r="EH110">
        <v>1800.11</v>
      </c>
      <c r="EI110">
        <v>0.97800699999999996</v>
      </c>
      <c r="EJ110">
        <v>2.1992500000000002E-2</v>
      </c>
      <c r="EK110">
        <v>0</v>
      </c>
      <c r="EL110">
        <v>683.19600000000003</v>
      </c>
      <c r="EM110">
        <v>5.0005300000000004</v>
      </c>
      <c r="EN110">
        <v>15190.5</v>
      </c>
      <c r="EO110">
        <v>16036.3</v>
      </c>
      <c r="EP110">
        <v>48.186999999999998</v>
      </c>
      <c r="EQ110">
        <v>49.875</v>
      </c>
      <c r="ER110">
        <v>48.811999999999998</v>
      </c>
      <c r="ES110">
        <v>49.061999999999998</v>
      </c>
      <c r="ET110">
        <v>49.375</v>
      </c>
      <c r="EU110">
        <v>1755.63</v>
      </c>
      <c r="EV110">
        <v>39.479999999999997</v>
      </c>
      <c r="EW110">
        <v>0</v>
      </c>
      <c r="EX110">
        <v>129.80000019073489</v>
      </c>
      <c r="EY110">
        <v>0</v>
      </c>
      <c r="EZ110">
        <v>683.2558846153845</v>
      </c>
      <c r="FA110">
        <v>-2.6975384602757471</v>
      </c>
      <c r="FB110">
        <v>-71.073503873173351</v>
      </c>
      <c r="FC110">
        <v>15185.96538461538</v>
      </c>
      <c r="FD110">
        <v>15</v>
      </c>
      <c r="FE110">
        <v>1689019335.5</v>
      </c>
      <c r="FF110" t="s">
        <v>899</v>
      </c>
      <c r="FG110">
        <v>1689019330</v>
      </c>
      <c r="FH110">
        <v>1689019335.5</v>
      </c>
      <c r="FI110">
        <v>102</v>
      </c>
      <c r="FJ110">
        <v>-1.9E-2</v>
      </c>
      <c r="FK110">
        <v>6.0000000000000001E-3</v>
      </c>
      <c r="FL110">
        <v>-0.106</v>
      </c>
      <c r="FM110">
        <v>4.5999999999999999E-2</v>
      </c>
      <c r="FN110">
        <v>120</v>
      </c>
      <c r="FO110">
        <v>23</v>
      </c>
      <c r="FP110">
        <v>0.14000000000000001</v>
      </c>
      <c r="FQ110">
        <v>0.02</v>
      </c>
      <c r="FR110">
        <v>13.641844683257119</v>
      </c>
      <c r="FS110">
        <v>-0.69016884523415079</v>
      </c>
      <c r="FT110">
        <v>5.5952668494699348E-2</v>
      </c>
      <c r="FU110">
        <v>1</v>
      </c>
      <c r="FV110">
        <v>0.32986721332890379</v>
      </c>
      <c r="FW110">
        <v>3.062638681827853E-2</v>
      </c>
      <c r="FX110">
        <v>2.3745007991793181E-3</v>
      </c>
      <c r="FY110">
        <v>1</v>
      </c>
      <c r="FZ110">
        <v>2</v>
      </c>
      <c r="GA110">
        <v>2</v>
      </c>
      <c r="GB110" t="s">
        <v>424</v>
      </c>
      <c r="GC110">
        <v>3.1238800000000002</v>
      </c>
      <c r="GD110">
        <v>2.7669899999999998</v>
      </c>
      <c r="GE110">
        <v>2.7016200000000001E-2</v>
      </c>
      <c r="GF110">
        <v>3.1241600000000001E-2</v>
      </c>
      <c r="GG110">
        <v>0.118546</v>
      </c>
      <c r="GH110">
        <v>0.10158499999999999</v>
      </c>
      <c r="GI110">
        <v>23219.4</v>
      </c>
      <c r="GJ110">
        <v>23969.200000000001</v>
      </c>
      <c r="GK110">
        <v>23730.400000000001</v>
      </c>
      <c r="GL110">
        <v>25058.3</v>
      </c>
      <c r="GM110">
        <v>30147.3</v>
      </c>
      <c r="GN110">
        <v>31582.9</v>
      </c>
      <c r="GO110">
        <v>37828.400000000001</v>
      </c>
      <c r="GP110">
        <v>38995.5</v>
      </c>
      <c r="GQ110">
        <v>2.1301000000000001</v>
      </c>
      <c r="GR110">
        <v>1.6945699999999999</v>
      </c>
      <c r="GS110">
        <v>-2.8979000000000001E-2</v>
      </c>
      <c r="GT110">
        <v>0</v>
      </c>
      <c r="GU110">
        <v>30.415199999999999</v>
      </c>
      <c r="GV110">
        <v>999.9</v>
      </c>
      <c r="GW110">
        <v>26.2</v>
      </c>
      <c r="GX110">
        <v>47</v>
      </c>
      <c r="GY110">
        <v>28.2651</v>
      </c>
      <c r="GZ110">
        <v>61.789499999999997</v>
      </c>
      <c r="HA110">
        <v>27.656199999999998</v>
      </c>
      <c r="HB110">
        <v>1</v>
      </c>
      <c r="HC110">
        <v>0.66345299999999996</v>
      </c>
      <c r="HD110">
        <v>3.3519199999999998</v>
      </c>
      <c r="HE110">
        <v>20.2836</v>
      </c>
      <c r="HF110">
        <v>5.24634</v>
      </c>
      <c r="HG110">
        <v>12.0099</v>
      </c>
      <c r="HH110">
        <v>4.9768999999999997</v>
      </c>
      <c r="HI110">
        <v>3.2922500000000001</v>
      </c>
      <c r="HJ110">
        <v>9999</v>
      </c>
      <c r="HK110">
        <v>9999</v>
      </c>
      <c r="HL110">
        <v>9999</v>
      </c>
      <c r="HM110">
        <v>236.8</v>
      </c>
      <c r="HN110">
        <v>1.8756999999999999</v>
      </c>
      <c r="HO110">
        <v>1.8768199999999999</v>
      </c>
      <c r="HP110">
        <v>1.8827799999999999</v>
      </c>
      <c r="HQ110">
        <v>1.8859900000000001</v>
      </c>
      <c r="HR110">
        <v>1.87683</v>
      </c>
      <c r="HS110">
        <v>1.88323</v>
      </c>
      <c r="HT110">
        <v>1.8821699999999999</v>
      </c>
      <c r="HU110">
        <v>1.88568</v>
      </c>
      <c r="HV110">
        <v>0</v>
      </c>
      <c r="HW110">
        <v>0</v>
      </c>
      <c r="HX110">
        <v>0</v>
      </c>
      <c r="HY110">
        <v>0</v>
      </c>
      <c r="HZ110" t="s">
        <v>425</v>
      </c>
      <c r="IA110" t="s">
        <v>426</v>
      </c>
      <c r="IB110" t="s">
        <v>427</v>
      </c>
      <c r="IC110" t="s">
        <v>427</v>
      </c>
      <c r="ID110" t="s">
        <v>427</v>
      </c>
      <c r="IE110" t="s">
        <v>427</v>
      </c>
      <c r="IF110">
        <v>0</v>
      </c>
      <c r="IG110">
        <v>100</v>
      </c>
      <c r="IH110">
        <v>100</v>
      </c>
      <c r="II110">
        <v>-0.10100000000000001</v>
      </c>
      <c r="IJ110">
        <v>5.3400000000000003E-2</v>
      </c>
      <c r="IK110">
        <v>-6.3018669692643484E-2</v>
      </c>
      <c r="IL110">
        <v>-4.2852564239613137E-4</v>
      </c>
      <c r="IM110">
        <v>6.4980710991155998E-7</v>
      </c>
      <c r="IN110">
        <v>-2.7237938963984961E-10</v>
      </c>
      <c r="IO110">
        <v>-4.3085512415339169E-3</v>
      </c>
      <c r="IP110">
        <v>6.6907473102813496E-3</v>
      </c>
      <c r="IQ110">
        <v>-3.3673306238274028E-4</v>
      </c>
      <c r="IR110">
        <v>6.1311374003140313E-6</v>
      </c>
      <c r="IS110">
        <v>3</v>
      </c>
      <c r="IT110">
        <v>2101</v>
      </c>
      <c r="IU110">
        <v>1</v>
      </c>
      <c r="IV110">
        <v>32</v>
      </c>
      <c r="IW110">
        <v>0.6</v>
      </c>
      <c r="IX110">
        <v>0.6</v>
      </c>
      <c r="IY110">
        <v>0.40893600000000002</v>
      </c>
      <c r="IZ110">
        <v>2.7368199999999998</v>
      </c>
      <c r="JA110">
        <v>1.6015600000000001</v>
      </c>
      <c r="JB110">
        <v>2.3278799999999999</v>
      </c>
      <c r="JC110">
        <v>1.5502899999999999</v>
      </c>
      <c r="JD110">
        <v>2.4377399999999998</v>
      </c>
      <c r="JE110">
        <v>49.137900000000002</v>
      </c>
      <c r="JF110">
        <v>24.148800000000001</v>
      </c>
      <c r="JG110">
        <v>18</v>
      </c>
      <c r="JH110">
        <v>596.34500000000003</v>
      </c>
      <c r="JI110">
        <v>367.7</v>
      </c>
      <c r="JJ110">
        <v>26.335899999999999</v>
      </c>
      <c r="JK110">
        <v>35.215699999999998</v>
      </c>
      <c r="JL110">
        <v>30.0015</v>
      </c>
      <c r="JM110">
        <v>35.351900000000001</v>
      </c>
      <c r="JN110">
        <v>35.357399999999998</v>
      </c>
      <c r="JO110">
        <v>8.1607000000000003</v>
      </c>
      <c r="JP110">
        <v>21.741299999999999</v>
      </c>
      <c r="JQ110">
        <v>1.14344</v>
      </c>
      <c r="JR110">
        <v>26.331099999999999</v>
      </c>
      <c r="JS110">
        <v>120</v>
      </c>
      <c r="JT110">
        <v>22.241499999999998</v>
      </c>
      <c r="JU110">
        <v>98.665000000000006</v>
      </c>
      <c r="JV110">
        <v>98.686099999999996</v>
      </c>
    </row>
    <row r="111" spans="1:282" x14ac:dyDescent="0.25">
      <c r="A111">
        <v>95</v>
      </c>
      <c r="B111">
        <v>1689019480.5</v>
      </c>
      <c r="C111">
        <v>19657.900000095371</v>
      </c>
      <c r="D111" t="s">
        <v>900</v>
      </c>
      <c r="E111" t="s">
        <v>901</v>
      </c>
      <c r="F111" t="s">
        <v>414</v>
      </c>
      <c r="G111" t="s">
        <v>415</v>
      </c>
      <c r="H111" t="s">
        <v>416</v>
      </c>
      <c r="I111" t="s">
        <v>501</v>
      </c>
      <c r="J111" t="s">
        <v>418</v>
      </c>
      <c r="K111">
        <v>1689019480.5</v>
      </c>
      <c r="L111">
        <f t="shared" si="92"/>
        <v>4.915156214055816E-3</v>
      </c>
      <c r="M111">
        <f t="shared" si="93"/>
        <v>4.9151562140558163</v>
      </c>
      <c r="N111">
        <f t="shared" si="94"/>
        <v>8.3346060920440728</v>
      </c>
      <c r="O111">
        <f t="shared" si="95"/>
        <v>59.765999999999998</v>
      </c>
      <c r="P111">
        <f t="shared" si="96"/>
        <v>17.047822060551265</v>
      </c>
      <c r="Q111">
        <f t="shared" si="97"/>
        <v>1.6891446821223566</v>
      </c>
      <c r="R111">
        <f t="shared" si="98"/>
        <v>5.9217782021160001</v>
      </c>
      <c r="S111">
        <f t="shared" si="99"/>
        <v>0.33677438073427496</v>
      </c>
      <c r="T111">
        <f t="shared" si="100"/>
        <v>2.9046355521692577</v>
      </c>
      <c r="U111">
        <f t="shared" si="101"/>
        <v>0.3164882605945018</v>
      </c>
      <c r="V111">
        <f t="shared" si="102"/>
        <v>0.19952588032988591</v>
      </c>
      <c r="W111">
        <f t="shared" si="103"/>
        <v>289.55255702388331</v>
      </c>
      <c r="X111">
        <f t="shared" si="104"/>
        <v>30.288546024212444</v>
      </c>
      <c r="Y111">
        <f t="shared" si="105"/>
        <v>29.994700000000002</v>
      </c>
      <c r="Z111">
        <f t="shared" si="106"/>
        <v>4.2591529457230788</v>
      </c>
      <c r="AA111">
        <f t="shared" si="107"/>
        <v>65.672352123206025</v>
      </c>
      <c r="AB111">
        <f t="shared" si="108"/>
        <v>2.7749900905368001</v>
      </c>
      <c r="AC111">
        <f t="shared" si="109"/>
        <v>4.2255073875391584</v>
      </c>
      <c r="AD111">
        <f t="shared" si="110"/>
        <v>1.4841628551862787</v>
      </c>
      <c r="AE111">
        <f t="shared" si="111"/>
        <v>-216.7583890398615</v>
      </c>
      <c r="AF111">
        <f t="shared" si="112"/>
        <v>-21.610070240620029</v>
      </c>
      <c r="AG111">
        <f t="shared" si="113"/>
        <v>-1.6530428844226366</v>
      </c>
      <c r="AH111">
        <f t="shared" si="114"/>
        <v>49.531054858979147</v>
      </c>
      <c r="AI111">
        <v>0</v>
      </c>
      <c r="AJ111">
        <v>0</v>
      </c>
      <c r="AK111">
        <f t="shared" si="115"/>
        <v>1</v>
      </c>
      <c r="AL111">
        <f t="shared" si="116"/>
        <v>0</v>
      </c>
      <c r="AM111">
        <f t="shared" si="117"/>
        <v>51646.434708598135</v>
      </c>
      <c r="AN111" t="s">
        <v>419</v>
      </c>
      <c r="AO111">
        <v>9967.0300000000007</v>
      </c>
      <c r="AP111">
        <v>178.94153846153841</v>
      </c>
      <c r="AQ111">
        <v>603.15</v>
      </c>
      <c r="AR111">
        <f t="shared" si="118"/>
        <v>0.7033216638290003</v>
      </c>
      <c r="AS111">
        <v>-3.2649104154664181</v>
      </c>
      <c r="AT111" t="s">
        <v>902</v>
      </c>
      <c r="AU111">
        <v>8070.32</v>
      </c>
      <c r="AV111">
        <v>692.64088000000004</v>
      </c>
      <c r="AW111">
        <v>784.47583128303017</v>
      </c>
      <c r="AX111">
        <f t="shared" si="119"/>
        <v>0.11706536724379613</v>
      </c>
      <c r="AY111">
        <v>0.5</v>
      </c>
      <c r="AZ111">
        <f t="shared" si="120"/>
        <v>1513.1169062299914</v>
      </c>
      <c r="BA111">
        <f t="shared" si="121"/>
        <v>8.3346060920440728</v>
      </c>
      <c r="BB111">
        <f t="shared" si="122"/>
        <v>88.566793155305291</v>
      </c>
      <c r="BC111">
        <f t="shared" si="123"/>
        <v>7.6659750874182499E-3</v>
      </c>
      <c r="BD111">
        <f t="shared" si="124"/>
        <v>-0.23114266119131699</v>
      </c>
      <c r="BE111">
        <f t="shared" si="125"/>
        <v>192.11588944984823</v>
      </c>
      <c r="BF111" t="s">
        <v>903</v>
      </c>
      <c r="BG111">
        <v>547.61</v>
      </c>
      <c r="BH111">
        <f t="shared" si="126"/>
        <v>547.61</v>
      </c>
      <c r="BI111">
        <f t="shared" si="127"/>
        <v>0.30194152813558328</v>
      </c>
      <c r="BJ111">
        <f t="shared" si="128"/>
        <v>0.38770873276904538</v>
      </c>
      <c r="BK111">
        <f t="shared" si="129"/>
        <v>-3.2647791012428935</v>
      </c>
      <c r="BL111">
        <f t="shared" si="130"/>
        <v>0.15165937317129383</v>
      </c>
      <c r="BM111">
        <f t="shared" si="131"/>
        <v>-0.42744510711884987</v>
      </c>
      <c r="BN111">
        <f t="shared" si="132"/>
        <v>0.30652706948463243</v>
      </c>
      <c r="BO111">
        <f t="shared" si="133"/>
        <v>0.69347293051536751</v>
      </c>
      <c r="BP111">
        <v>6225</v>
      </c>
      <c r="BQ111">
        <v>290.00000000000011</v>
      </c>
      <c r="BR111">
        <v>753.52</v>
      </c>
      <c r="BS111">
        <v>275</v>
      </c>
      <c r="BT111">
        <v>8070.32</v>
      </c>
      <c r="BU111">
        <v>754.16</v>
      </c>
      <c r="BV111">
        <v>-0.64</v>
      </c>
      <c r="BW111">
        <v>300.00000000000011</v>
      </c>
      <c r="BX111">
        <v>19.3</v>
      </c>
      <c r="BY111">
        <v>784.47583128303017</v>
      </c>
      <c r="BZ111">
        <v>1.972021415772975</v>
      </c>
      <c r="CA111">
        <v>-24.46736219993603</v>
      </c>
      <c r="CB111">
        <v>1.4619251813323859</v>
      </c>
      <c r="CC111">
        <v>0.9091224889928442</v>
      </c>
      <c r="CD111">
        <v>-4.1643399332591813E-3</v>
      </c>
      <c r="CE111">
        <v>289.99999999999989</v>
      </c>
      <c r="CF111">
        <v>751.97</v>
      </c>
      <c r="CG111">
        <v>715</v>
      </c>
      <c r="CH111">
        <v>8058.53</v>
      </c>
      <c r="CI111">
        <v>754.11</v>
      </c>
      <c r="CJ111">
        <v>-2.14</v>
      </c>
      <c r="CX111">
        <f t="shared" si="134"/>
        <v>1799.92</v>
      </c>
      <c r="CY111">
        <f t="shared" si="135"/>
        <v>1513.1169062299914</v>
      </c>
      <c r="CZ111">
        <f t="shared" si="136"/>
        <v>0.84065786603293002</v>
      </c>
      <c r="DA111">
        <f t="shared" si="137"/>
        <v>0.16086968144355487</v>
      </c>
      <c r="DB111">
        <v>6</v>
      </c>
      <c r="DC111">
        <v>0.5</v>
      </c>
      <c r="DD111" t="s">
        <v>422</v>
      </c>
      <c r="DE111">
        <v>2</v>
      </c>
      <c r="DF111">
        <v>1689019480.5</v>
      </c>
      <c r="DG111">
        <v>59.765999999999998</v>
      </c>
      <c r="DH111">
        <v>70.119500000000002</v>
      </c>
      <c r="DI111">
        <v>28.006799999999998</v>
      </c>
      <c r="DJ111">
        <v>22.274100000000001</v>
      </c>
      <c r="DK111">
        <v>59.701999999999998</v>
      </c>
      <c r="DL111">
        <v>27.956700000000001</v>
      </c>
      <c r="DM111">
        <v>500.02600000000001</v>
      </c>
      <c r="DN111">
        <v>98.982500000000002</v>
      </c>
      <c r="DO111">
        <v>0.100226</v>
      </c>
      <c r="DP111">
        <v>29.8567</v>
      </c>
      <c r="DQ111">
        <v>29.994700000000002</v>
      </c>
      <c r="DR111">
        <v>999.9</v>
      </c>
      <c r="DS111">
        <v>0</v>
      </c>
      <c r="DT111">
        <v>0</v>
      </c>
      <c r="DU111">
        <v>9960</v>
      </c>
      <c r="DV111">
        <v>0</v>
      </c>
      <c r="DW111">
        <v>1750.61</v>
      </c>
      <c r="DX111">
        <v>-10.3535</v>
      </c>
      <c r="DY111">
        <v>61.488100000000003</v>
      </c>
      <c r="DZ111">
        <v>71.716899999999995</v>
      </c>
      <c r="EA111">
        <v>5.7326899999999998</v>
      </c>
      <c r="EB111">
        <v>70.119500000000002</v>
      </c>
      <c r="EC111">
        <v>22.274100000000001</v>
      </c>
      <c r="ED111">
        <v>2.7721800000000001</v>
      </c>
      <c r="EE111">
        <v>2.2047500000000002</v>
      </c>
      <c r="EF111">
        <v>22.7194</v>
      </c>
      <c r="EG111">
        <v>18.9968</v>
      </c>
      <c r="EH111">
        <v>1799.92</v>
      </c>
      <c r="EI111">
        <v>0.97800699999999996</v>
      </c>
      <c r="EJ111">
        <v>2.1992500000000002E-2</v>
      </c>
      <c r="EK111">
        <v>0</v>
      </c>
      <c r="EL111">
        <v>692.649</v>
      </c>
      <c r="EM111">
        <v>5.0005300000000004</v>
      </c>
      <c r="EN111">
        <v>15332.1</v>
      </c>
      <c r="EO111">
        <v>16034.6</v>
      </c>
      <c r="EP111">
        <v>48.5</v>
      </c>
      <c r="EQ111">
        <v>50.186999999999998</v>
      </c>
      <c r="ER111">
        <v>49.125</v>
      </c>
      <c r="ES111">
        <v>49.436999999999998</v>
      </c>
      <c r="ET111">
        <v>49.686999999999998</v>
      </c>
      <c r="EU111">
        <v>1755.44</v>
      </c>
      <c r="EV111">
        <v>39.47</v>
      </c>
      <c r="EW111">
        <v>0</v>
      </c>
      <c r="EX111">
        <v>109.80000019073491</v>
      </c>
      <c r="EY111">
        <v>0</v>
      </c>
      <c r="EZ111">
        <v>692.64088000000004</v>
      </c>
      <c r="FA111">
        <v>-2.0656153863197688</v>
      </c>
      <c r="FB111">
        <v>40.784615142578708</v>
      </c>
      <c r="FC111">
        <v>15339.028</v>
      </c>
      <c r="FD111">
        <v>15</v>
      </c>
      <c r="FE111">
        <v>1689019448.5</v>
      </c>
      <c r="FF111" t="s">
        <v>904</v>
      </c>
      <c r="FG111">
        <v>1689019431.5</v>
      </c>
      <c r="FH111">
        <v>1689019448.5</v>
      </c>
      <c r="FI111">
        <v>103</v>
      </c>
      <c r="FJ111">
        <v>0.15</v>
      </c>
      <c r="FK111">
        <v>-3.0000000000000001E-3</v>
      </c>
      <c r="FL111">
        <v>0.06</v>
      </c>
      <c r="FM111">
        <v>4.2000000000000003E-2</v>
      </c>
      <c r="FN111">
        <v>70</v>
      </c>
      <c r="FO111">
        <v>22</v>
      </c>
      <c r="FP111">
        <v>0.15</v>
      </c>
      <c r="FQ111">
        <v>0.02</v>
      </c>
      <c r="FR111">
        <v>8.3714793482825343</v>
      </c>
      <c r="FS111">
        <v>-0.41737114697185068</v>
      </c>
      <c r="FT111">
        <v>4.8634167109506153E-2</v>
      </c>
      <c r="FU111">
        <v>1</v>
      </c>
      <c r="FV111">
        <v>0.33188472522807289</v>
      </c>
      <c r="FW111">
        <v>4.2270734327392097E-2</v>
      </c>
      <c r="FX111">
        <v>3.1695196138036082E-3</v>
      </c>
      <c r="FY111">
        <v>1</v>
      </c>
      <c r="FZ111">
        <v>2</v>
      </c>
      <c r="GA111">
        <v>2</v>
      </c>
      <c r="GB111" t="s">
        <v>424</v>
      </c>
      <c r="GC111">
        <v>3.1243500000000002</v>
      </c>
      <c r="GD111">
        <v>2.7671800000000002</v>
      </c>
      <c r="GE111">
        <v>1.58278E-2</v>
      </c>
      <c r="GF111">
        <v>1.8566599999999999E-2</v>
      </c>
      <c r="GG111">
        <v>0.118727</v>
      </c>
      <c r="GH111">
        <v>0.101387</v>
      </c>
      <c r="GI111">
        <v>23469.200000000001</v>
      </c>
      <c r="GJ111">
        <v>24264.799999999999</v>
      </c>
      <c r="GK111">
        <v>23714.6</v>
      </c>
      <c r="GL111">
        <v>25041.4</v>
      </c>
      <c r="GM111">
        <v>30121.200000000001</v>
      </c>
      <c r="GN111">
        <v>31569.4</v>
      </c>
      <c r="GO111">
        <v>37803.599999999999</v>
      </c>
      <c r="GP111">
        <v>38970.6</v>
      </c>
      <c r="GQ111">
        <v>2.1285500000000002</v>
      </c>
      <c r="GR111">
        <v>1.6898299999999999</v>
      </c>
      <c r="GS111">
        <v>-2.9243499999999999E-2</v>
      </c>
      <c r="GT111">
        <v>0</v>
      </c>
      <c r="GU111">
        <v>30.470400000000001</v>
      </c>
      <c r="GV111">
        <v>999.9</v>
      </c>
      <c r="GW111">
        <v>26</v>
      </c>
      <c r="GX111">
        <v>47.1</v>
      </c>
      <c r="GY111">
        <v>28.193100000000001</v>
      </c>
      <c r="GZ111">
        <v>61.359499999999997</v>
      </c>
      <c r="HA111">
        <v>28.325299999999999</v>
      </c>
      <c r="HB111">
        <v>1</v>
      </c>
      <c r="HC111">
        <v>0.69317600000000001</v>
      </c>
      <c r="HD111">
        <v>4.2431599999999996</v>
      </c>
      <c r="HE111">
        <v>20.262599999999999</v>
      </c>
      <c r="HF111">
        <v>5.2484400000000004</v>
      </c>
      <c r="HG111">
        <v>12.0099</v>
      </c>
      <c r="HH111">
        <v>4.9748000000000001</v>
      </c>
      <c r="HI111">
        <v>3.2924500000000001</v>
      </c>
      <c r="HJ111">
        <v>9999</v>
      </c>
      <c r="HK111">
        <v>9999</v>
      </c>
      <c r="HL111">
        <v>9999</v>
      </c>
      <c r="HM111">
        <v>236.9</v>
      </c>
      <c r="HN111">
        <v>1.8756999999999999</v>
      </c>
      <c r="HO111">
        <v>1.87679</v>
      </c>
      <c r="HP111">
        <v>1.8827799999999999</v>
      </c>
      <c r="HQ111">
        <v>1.8859900000000001</v>
      </c>
      <c r="HR111">
        <v>1.87683</v>
      </c>
      <c r="HS111">
        <v>1.8832100000000001</v>
      </c>
      <c r="HT111">
        <v>1.8821699999999999</v>
      </c>
      <c r="HU111">
        <v>1.88568</v>
      </c>
      <c r="HV111">
        <v>0</v>
      </c>
      <c r="HW111">
        <v>0</v>
      </c>
      <c r="HX111">
        <v>0</v>
      </c>
      <c r="HY111">
        <v>0</v>
      </c>
      <c r="HZ111" t="s">
        <v>425</v>
      </c>
      <c r="IA111" t="s">
        <v>426</v>
      </c>
      <c r="IB111" t="s">
        <v>427</v>
      </c>
      <c r="IC111" t="s">
        <v>427</v>
      </c>
      <c r="ID111" t="s">
        <v>427</v>
      </c>
      <c r="IE111" t="s">
        <v>427</v>
      </c>
      <c r="IF111">
        <v>0</v>
      </c>
      <c r="IG111">
        <v>100</v>
      </c>
      <c r="IH111">
        <v>100</v>
      </c>
      <c r="II111">
        <v>6.4000000000000001E-2</v>
      </c>
      <c r="IJ111">
        <v>5.0099999999999999E-2</v>
      </c>
      <c r="IK111">
        <v>8.7344105950832071E-2</v>
      </c>
      <c r="IL111">
        <v>-4.2852564239613137E-4</v>
      </c>
      <c r="IM111">
        <v>6.4980710991155998E-7</v>
      </c>
      <c r="IN111">
        <v>-2.7237938963984961E-10</v>
      </c>
      <c r="IO111">
        <v>-7.7852447437733851E-3</v>
      </c>
      <c r="IP111">
        <v>6.6907473102813496E-3</v>
      </c>
      <c r="IQ111">
        <v>-3.3673306238274028E-4</v>
      </c>
      <c r="IR111">
        <v>6.1311374003140313E-6</v>
      </c>
      <c r="IS111">
        <v>3</v>
      </c>
      <c r="IT111">
        <v>2101</v>
      </c>
      <c r="IU111">
        <v>1</v>
      </c>
      <c r="IV111">
        <v>32</v>
      </c>
      <c r="IW111">
        <v>0.8</v>
      </c>
      <c r="IX111">
        <v>0.5</v>
      </c>
      <c r="IY111">
        <v>0.29663099999999998</v>
      </c>
      <c r="IZ111">
        <v>2.7612299999999999</v>
      </c>
      <c r="JA111">
        <v>1.6015600000000001</v>
      </c>
      <c r="JB111">
        <v>2.3278799999999999</v>
      </c>
      <c r="JC111">
        <v>1.5502899999999999</v>
      </c>
      <c r="JD111">
        <v>2.4328599999999998</v>
      </c>
      <c r="JE111">
        <v>49.263500000000001</v>
      </c>
      <c r="JF111">
        <v>24.14</v>
      </c>
      <c r="JG111">
        <v>18</v>
      </c>
      <c r="JH111">
        <v>596.74400000000003</v>
      </c>
      <c r="JI111">
        <v>365.83699999999999</v>
      </c>
      <c r="JJ111">
        <v>25.865400000000001</v>
      </c>
      <c r="JK111">
        <v>35.447299999999998</v>
      </c>
      <c r="JL111">
        <v>30.001000000000001</v>
      </c>
      <c r="JM111">
        <v>35.5229</v>
      </c>
      <c r="JN111">
        <v>35.525100000000002</v>
      </c>
      <c r="JO111">
        <v>5.9153000000000002</v>
      </c>
      <c r="JP111">
        <v>21.815899999999999</v>
      </c>
      <c r="JQ111">
        <v>0.41530499999999998</v>
      </c>
      <c r="JR111">
        <v>25.864100000000001</v>
      </c>
      <c r="JS111">
        <v>70</v>
      </c>
      <c r="JT111">
        <v>22.173100000000002</v>
      </c>
      <c r="JU111">
        <v>98.599800000000002</v>
      </c>
      <c r="JV111">
        <v>98.621700000000004</v>
      </c>
    </row>
    <row r="112" spans="1:282" x14ac:dyDescent="0.25">
      <c r="A112">
        <v>96</v>
      </c>
      <c r="B112">
        <v>1689019624.5</v>
      </c>
      <c r="C112">
        <v>19801.900000095371</v>
      </c>
      <c r="D112" t="s">
        <v>905</v>
      </c>
      <c r="E112" t="s">
        <v>906</v>
      </c>
      <c r="F112" t="s">
        <v>414</v>
      </c>
      <c r="G112" t="s">
        <v>415</v>
      </c>
      <c r="H112" t="s">
        <v>416</v>
      </c>
      <c r="I112" t="s">
        <v>501</v>
      </c>
      <c r="J112" t="s">
        <v>418</v>
      </c>
      <c r="K112">
        <v>1689019624.5</v>
      </c>
      <c r="L112">
        <f t="shared" si="92"/>
        <v>5.2475409254803488E-3</v>
      </c>
      <c r="M112">
        <f t="shared" si="93"/>
        <v>5.2475409254803491</v>
      </c>
      <c r="N112">
        <f t="shared" si="94"/>
        <v>3.6543237680512264</v>
      </c>
      <c r="O112">
        <f t="shared" si="95"/>
        <v>25.653099999999998</v>
      </c>
      <c r="P112">
        <f t="shared" si="96"/>
        <v>7.9514732980890246</v>
      </c>
      <c r="Q112">
        <f t="shared" si="97"/>
        <v>0.78790650591932543</v>
      </c>
      <c r="R112">
        <f t="shared" si="98"/>
        <v>2.5419496022022297</v>
      </c>
      <c r="S112">
        <f t="shared" si="99"/>
        <v>0.357976270853753</v>
      </c>
      <c r="T112">
        <f t="shared" si="100"/>
        <v>2.9105607673045988</v>
      </c>
      <c r="U112">
        <f t="shared" si="101"/>
        <v>0.33519166736426698</v>
      </c>
      <c r="V112">
        <f t="shared" si="102"/>
        <v>0.21142093423988656</v>
      </c>
      <c r="W112">
        <f t="shared" si="103"/>
        <v>289.5397763270426</v>
      </c>
      <c r="X112">
        <f t="shared" si="104"/>
        <v>30.322930003527308</v>
      </c>
      <c r="Y112">
        <f t="shared" si="105"/>
        <v>30.032499999999999</v>
      </c>
      <c r="Z112">
        <f t="shared" si="106"/>
        <v>4.2684095391132564</v>
      </c>
      <c r="AA112">
        <f t="shared" si="107"/>
        <v>65.148551763967433</v>
      </c>
      <c r="AB112">
        <f t="shared" si="108"/>
        <v>2.7722432146887601</v>
      </c>
      <c r="AC112">
        <f t="shared" si="109"/>
        <v>4.2552645294903408</v>
      </c>
      <c r="AD112">
        <f t="shared" si="110"/>
        <v>1.4961663244244963</v>
      </c>
      <c r="AE112">
        <f t="shared" si="111"/>
        <v>-231.41655481368338</v>
      </c>
      <c r="AF112">
        <f t="shared" si="112"/>
        <v>-8.4262899670677758</v>
      </c>
      <c r="AG112">
        <f t="shared" si="113"/>
        <v>-0.64375871326037803</v>
      </c>
      <c r="AH112">
        <f t="shared" si="114"/>
        <v>49.053172833031098</v>
      </c>
      <c r="AI112">
        <v>0</v>
      </c>
      <c r="AJ112">
        <v>0</v>
      </c>
      <c r="AK112">
        <f t="shared" si="115"/>
        <v>1</v>
      </c>
      <c r="AL112">
        <f t="shared" si="116"/>
        <v>0</v>
      </c>
      <c r="AM112">
        <f t="shared" si="117"/>
        <v>51794.07633864673</v>
      </c>
      <c r="AN112" t="s">
        <v>419</v>
      </c>
      <c r="AO112">
        <v>9967.0300000000007</v>
      </c>
      <c r="AP112">
        <v>178.94153846153841</v>
      </c>
      <c r="AQ112">
        <v>603.15</v>
      </c>
      <c r="AR112">
        <f t="shared" si="118"/>
        <v>0.7033216638290003</v>
      </c>
      <c r="AS112">
        <v>-3.2649104154664181</v>
      </c>
      <c r="AT112" t="s">
        <v>907</v>
      </c>
      <c r="AU112">
        <v>8078.1</v>
      </c>
      <c r="AV112">
        <v>701.63003999999989</v>
      </c>
      <c r="AW112">
        <v>764.42750748285289</v>
      </c>
      <c r="AX112">
        <f t="shared" si="119"/>
        <v>8.2149670005512765E-2</v>
      </c>
      <c r="AY112">
        <v>0.5</v>
      </c>
      <c r="AZ112">
        <f t="shared" si="120"/>
        <v>1513.0496996513173</v>
      </c>
      <c r="BA112">
        <f t="shared" si="121"/>
        <v>3.6543237680512264</v>
      </c>
      <c r="BB112">
        <f t="shared" si="122"/>
        <v>62.148266764147955</v>
      </c>
      <c r="BC112">
        <f t="shared" si="123"/>
        <v>4.5730382717184929E-3</v>
      </c>
      <c r="BD112">
        <f t="shared" si="124"/>
        <v>-0.21097815803870792</v>
      </c>
      <c r="BE112">
        <f t="shared" si="125"/>
        <v>190.88983914055208</v>
      </c>
      <c r="BF112" t="s">
        <v>908</v>
      </c>
      <c r="BG112">
        <v>566.54999999999995</v>
      </c>
      <c r="BH112">
        <f t="shared" si="126"/>
        <v>566.54999999999995</v>
      </c>
      <c r="BI112">
        <f t="shared" si="127"/>
        <v>0.25885712581750808</v>
      </c>
      <c r="BJ112">
        <f t="shared" si="128"/>
        <v>0.31735525821849514</v>
      </c>
      <c r="BK112">
        <f t="shared" si="129"/>
        <v>-4.4064892754877816</v>
      </c>
      <c r="BL112">
        <f t="shared" si="130"/>
        <v>0.10725699812725463</v>
      </c>
      <c r="BM112">
        <f t="shared" si="131"/>
        <v>-0.38018456043510679</v>
      </c>
      <c r="BN112">
        <f t="shared" si="132"/>
        <v>0.25625701764948439</v>
      </c>
      <c r="BO112">
        <f t="shared" si="133"/>
        <v>0.74374298235051561</v>
      </c>
      <c r="BP112">
        <v>6227</v>
      </c>
      <c r="BQ112">
        <v>290.00000000000011</v>
      </c>
      <c r="BR112">
        <v>742.93</v>
      </c>
      <c r="BS112">
        <v>165</v>
      </c>
      <c r="BT112">
        <v>8078.1</v>
      </c>
      <c r="BU112">
        <v>742.43</v>
      </c>
      <c r="BV112">
        <v>0.5</v>
      </c>
      <c r="BW112">
        <v>300.00000000000011</v>
      </c>
      <c r="BX112">
        <v>19.3</v>
      </c>
      <c r="BY112">
        <v>764.42750748285289</v>
      </c>
      <c r="BZ112">
        <v>3.412664015790571</v>
      </c>
      <c r="CA112">
        <v>-17.76732972388545</v>
      </c>
      <c r="CB112">
        <v>2.5296786506446312</v>
      </c>
      <c r="CC112">
        <v>0.63791675567867001</v>
      </c>
      <c r="CD112">
        <v>-4.1640451612903291E-3</v>
      </c>
      <c r="CE112">
        <v>289.99999999999989</v>
      </c>
      <c r="CF112">
        <v>741.28</v>
      </c>
      <c r="CG112">
        <v>765</v>
      </c>
      <c r="CH112">
        <v>8056.38</v>
      </c>
      <c r="CI112">
        <v>742.37</v>
      </c>
      <c r="CJ112">
        <v>-1.0900000000000001</v>
      </c>
      <c r="CX112">
        <f t="shared" si="134"/>
        <v>1799.84</v>
      </c>
      <c r="CY112">
        <f t="shared" si="135"/>
        <v>1513.0496996513173</v>
      </c>
      <c r="CZ112">
        <f t="shared" si="136"/>
        <v>0.84065789161887572</v>
      </c>
      <c r="DA112">
        <f t="shared" si="137"/>
        <v>0.16086973082443029</v>
      </c>
      <c r="DB112">
        <v>6</v>
      </c>
      <c r="DC112">
        <v>0.5</v>
      </c>
      <c r="DD112" t="s">
        <v>422</v>
      </c>
      <c r="DE112">
        <v>2</v>
      </c>
      <c r="DF112">
        <v>1689019624.5</v>
      </c>
      <c r="DG112">
        <v>25.653099999999998</v>
      </c>
      <c r="DH112">
        <v>30.199400000000001</v>
      </c>
      <c r="DI112">
        <v>27.9772</v>
      </c>
      <c r="DJ112">
        <v>21.8569</v>
      </c>
      <c r="DK112">
        <v>25.5151</v>
      </c>
      <c r="DL112">
        <v>27.929300000000001</v>
      </c>
      <c r="DM112">
        <v>500.04700000000003</v>
      </c>
      <c r="DN112">
        <v>98.989599999999996</v>
      </c>
      <c r="DO112">
        <v>9.9773299999999995E-2</v>
      </c>
      <c r="DP112">
        <v>29.9788</v>
      </c>
      <c r="DQ112">
        <v>30.032499999999999</v>
      </c>
      <c r="DR112">
        <v>999.9</v>
      </c>
      <c r="DS112">
        <v>0</v>
      </c>
      <c r="DT112">
        <v>0</v>
      </c>
      <c r="DU112">
        <v>9993.1200000000008</v>
      </c>
      <c r="DV112">
        <v>0</v>
      </c>
      <c r="DW112">
        <v>1734.24</v>
      </c>
      <c r="DX112">
        <v>-4.5463300000000002</v>
      </c>
      <c r="DY112">
        <v>26.391400000000001</v>
      </c>
      <c r="DZ112">
        <v>30.874199999999998</v>
      </c>
      <c r="EA112">
        <v>6.1202899999999998</v>
      </c>
      <c r="EB112">
        <v>30.199400000000001</v>
      </c>
      <c r="EC112">
        <v>21.8569</v>
      </c>
      <c r="ED112">
        <v>2.76945</v>
      </c>
      <c r="EE112">
        <v>2.1636000000000002</v>
      </c>
      <c r="EF112">
        <v>22.703099999999999</v>
      </c>
      <c r="EG112">
        <v>18.6953</v>
      </c>
      <c r="EH112">
        <v>1799.84</v>
      </c>
      <c r="EI112">
        <v>0.97800699999999996</v>
      </c>
      <c r="EJ112">
        <v>2.1992500000000002E-2</v>
      </c>
      <c r="EK112">
        <v>0</v>
      </c>
      <c r="EL112">
        <v>701.81799999999998</v>
      </c>
      <c r="EM112">
        <v>5.0005300000000004</v>
      </c>
      <c r="EN112">
        <v>15582.2</v>
      </c>
      <c r="EO112">
        <v>16033.8</v>
      </c>
      <c r="EP112">
        <v>48.625</v>
      </c>
      <c r="EQ112">
        <v>50.25</v>
      </c>
      <c r="ER112">
        <v>49.25</v>
      </c>
      <c r="ES112">
        <v>49.5</v>
      </c>
      <c r="ET112">
        <v>49.811999999999998</v>
      </c>
      <c r="EU112">
        <v>1755.37</v>
      </c>
      <c r="EV112">
        <v>39.47</v>
      </c>
      <c r="EW112">
        <v>0</v>
      </c>
      <c r="EX112">
        <v>142.20000004768369</v>
      </c>
      <c r="EY112">
        <v>0</v>
      </c>
      <c r="EZ112">
        <v>701.63003999999989</v>
      </c>
      <c r="FA112">
        <v>-1.315769239418265</v>
      </c>
      <c r="FB112">
        <v>31.861538373066761</v>
      </c>
      <c r="FC112">
        <v>15583.84</v>
      </c>
      <c r="FD112">
        <v>15</v>
      </c>
      <c r="FE112">
        <v>1689019593.5</v>
      </c>
      <c r="FF112" t="s">
        <v>909</v>
      </c>
      <c r="FG112">
        <v>1689019581.5</v>
      </c>
      <c r="FH112">
        <v>1689019593.5</v>
      </c>
      <c r="FI112">
        <v>104</v>
      </c>
      <c r="FJ112">
        <v>6.0999999999999999E-2</v>
      </c>
      <c r="FK112">
        <v>-2E-3</v>
      </c>
      <c r="FL112">
        <v>0.13600000000000001</v>
      </c>
      <c r="FM112">
        <v>3.9E-2</v>
      </c>
      <c r="FN112">
        <v>30</v>
      </c>
      <c r="FO112">
        <v>22</v>
      </c>
      <c r="FP112">
        <v>0.23</v>
      </c>
      <c r="FQ112">
        <v>0.02</v>
      </c>
      <c r="FR112">
        <v>3.708592148665931</v>
      </c>
      <c r="FS112">
        <v>-0.65632184176338682</v>
      </c>
      <c r="FT112">
        <v>5.3647455933567907E-2</v>
      </c>
      <c r="FU112">
        <v>1</v>
      </c>
      <c r="FV112">
        <v>0.35679307344759692</v>
      </c>
      <c r="FW112">
        <v>4.7405126823628782E-2</v>
      </c>
      <c r="FX112">
        <v>4.1351600019827591E-3</v>
      </c>
      <c r="FY112">
        <v>1</v>
      </c>
      <c r="FZ112">
        <v>2</v>
      </c>
      <c r="GA112">
        <v>2</v>
      </c>
      <c r="GB112" t="s">
        <v>424</v>
      </c>
      <c r="GC112">
        <v>3.1250100000000001</v>
      </c>
      <c r="GD112">
        <v>2.76702</v>
      </c>
      <c r="GE112">
        <v>6.8033399999999997E-3</v>
      </c>
      <c r="GF112">
        <v>8.0575000000000004E-3</v>
      </c>
      <c r="GG112">
        <v>0.118602</v>
      </c>
      <c r="GH112">
        <v>9.9995200000000006E-2</v>
      </c>
      <c r="GI112">
        <v>23669.4</v>
      </c>
      <c r="GJ112">
        <v>24510</v>
      </c>
      <c r="GK112">
        <v>23701.1</v>
      </c>
      <c r="GL112">
        <v>25028.2</v>
      </c>
      <c r="GM112">
        <v>30108.6</v>
      </c>
      <c r="GN112">
        <v>31602.5</v>
      </c>
      <c r="GO112">
        <v>37782.6</v>
      </c>
      <c r="GP112">
        <v>38951.300000000003</v>
      </c>
      <c r="GQ112">
        <v>2.1266799999999999</v>
      </c>
      <c r="GR112">
        <v>1.6857</v>
      </c>
      <c r="GS112">
        <v>-1.60597E-2</v>
      </c>
      <c r="GT112">
        <v>0</v>
      </c>
      <c r="GU112">
        <v>30.293800000000001</v>
      </c>
      <c r="GV112">
        <v>999.9</v>
      </c>
      <c r="GW112">
        <v>25.8</v>
      </c>
      <c r="GX112">
        <v>47.1</v>
      </c>
      <c r="GY112">
        <v>27.973400000000002</v>
      </c>
      <c r="GZ112">
        <v>60.999499999999998</v>
      </c>
      <c r="HA112">
        <v>28.209099999999999</v>
      </c>
      <c r="HB112">
        <v>1</v>
      </c>
      <c r="HC112">
        <v>0.71194400000000002</v>
      </c>
      <c r="HD112">
        <v>3.8587400000000001</v>
      </c>
      <c r="HE112">
        <v>20.270800000000001</v>
      </c>
      <c r="HF112">
        <v>5.2475399999999999</v>
      </c>
      <c r="HG112">
        <v>12.0099</v>
      </c>
      <c r="HH112">
        <v>4.9775999999999998</v>
      </c>
      <c r="HI112">
        <v>3.2922500000000001</v>
      </c>
      <c r="HJ112">
        <v>9999</v>
      </c>
      <c r="HK112">
        <v>9999</v>
      </c>
      <c r="HL112">
        <v>9999</v>
      </c>
      <c r="HM112">
        <v>236.9</v>
      </c>
      <c r="HN112">
        <v>1.87568</v>
      </c>
      <c r="HO112">
        <v>1.87683</v>
      </c>
      <c r="HP112">
        <v>1.8827799999999999</v>
      </c>
      <c r="HQ112">
        <v>1.8859900000000001</v>
      </c>
      <c r="HR112">
        <v>1.87683</v>
      </c>
      <c r="HS112">
        <v>1.8832199999999999</v>
      </c>
      <c r="HT112">
        <v>1.8821699999999999</v>
      </c>
      <c r="HU112">
        <v>1.88568</v>
      </c>
      <c r="HV112">
        <v>0</v>
      </c>
      <c r="HW112">
        <v>0</v>
      </c>
      <c r="HX112">
        <v>0</v>
      </c>
      <c r="HY112">
        <v>0</v>
      </c>
      <c r="HZ112" t="s">
        <v>425</v>
      </c>
      <c r="IA112" t="s">
        <v>426</v>
      </c>
      <c r="IB112" t="s">
        <v>427</v>
      </c>
      <c r="IC112" t="s">
        <v>427</v>
      </c>
      <c r="ID112" t="s">
        <v>427</v>
      </c>
      <c r="IE112" t="s">
        <v>427</v>
      </c>
      <c r="IF112">
        <v>0</v>
      </c>
      <c r="IG112">
        <v>100</v>
      </c>
      <c r="IH112">
        <v>100</v>
      </c>
      <c r="II112">
        <v>0.13800000000000001</v>
      </c>
      <c r="IJ112">
        <v>4.7899999999999998E-2</v>
      </c>
      <c r="IK112">
        <v>0.1485044392967034</v>
      </c>
      <c r="IL112">
        <v>-4.2852564239613137E-4</v>
      </c>
      <c r="IM112">
        <v>6.4980710991155998E-7</v>
      </c>
      <c r="IN112">
        <v>-2.7237938963984961E-10</v>
      </c>
      <c r="IO112">
        <v>-9.9561278019813428E-3</v>
      </c>
      <c r="IP112">
        <v>6.6907473102813496E-3</v>
      </c>
      <c r="IQ112">
        <v>-3.3673306238274028E-4</v>
      </c>
      <c r="IR112">
        <v>6.1311374003140313E-6</v>
      </c>
      <c r="IS112">
        <v>3</v>
      </c>
      <c r="IT112">
        <v>2101</v>
      </c>
      <c r="IU112">
        <v>1</v>
      </c>
      <c r="IV112">
        <v>32</v>
      </c>
      <c r="IW112">
        <v>0.7</v>
      </c>
      <c r="IX112">
        <v>0.5</v>
      </c>
      <c r="IY112">
        <v>0.20752000000000001</v>
      </c>
      <c r="IZ112">
        <v>2.7783199999999999</v>
      </c>
      <c r="JA112">
        <v>1.6015600000000001</v>
      </c>
      <c r="JB112">
        <v>2.3278799999999999</v>
      </c>
      <c r="JC112">
        <v>1.5502899999999999</v>
      </c>
      <c r="JD112">
        <v>2.4035600000000001</v>
      </c>
      <c r="JE112">
        <v>49.389400000000002</v>
      </c>
      <c r="JF112">
        <v>24.14</v>
      </c>
      <c r="JG112">
        <v>18</v>
      </c>
      <c r="JH112">
        <v>597.13300000000004</v>
      </c>
      <c r="JI112">
        <v>364.48399999999998</v>
      </c>
      <c r="JJ112">
        <v>26.472300000000001</v>
      </c>
      <c r="JK112">
        <v>35.668300000000002</v>
      </c>
      <c r="JL112">
        <v>30.001300000000001</v>
      </c>
      <c r="JM112">
        <v>35.72</v>
      </c>
      <c r="JN112">
        <v>35.716900000000003</v>
      </c>
      <c r="JO112">
        <v>4.1295999999999999</v>
      </c>
      <c r="JP112">
        <v>22.730799999999999</v>
      </c>
      <c r="JQ112">
        <v>0</v>
      </c>
      <c r="JR112">
        <v>26.434899999999999</v>
      </c>
      <c r="JS112">
        <v>30</v>
      </c>
      <c r="JT112">
        <v>21.8901</v>
      </c>
      <c r="JU112">
        <v>98.544499999999999</v>
      </c>
      <c r="JV112">
        <v>98.5715</v>
      </c>
    </row>
    <row r="113" spans="1:282" x14ac:dyDescent="0.25">
      <c r="A113">
        <v>97</v>
      </c>
      <c r="B113">
        <v>1689019725</v>
      </c>
      <c r="C113">
        <v>19902.400000095371</v>
      </c>
      <c r="D113" t="s">
        <v>910</v>
      </c>
      <c r="E113" t="s">
        <v>911</v>
      </c>
      <c r="F113" t="s">
        <v>414</v>
      </c>
      <c r="G113" t="s">
        <v>415</v>
      </c>
      <c r="H113" t="s">
        <v>416</v>
      </c>
      <c r="I113" t="s">
        <v>501</v>
      </c>
      <c r="J113" t="s">
        <v>418</v>
      </c>
      <c r="K113">
        <v>1689019725</v>
      </c>
      <c r="L113">
        <f t="shared" ref="L113:L144" si="138">(M113)/1000</f>
        <v>5.2867771854755077E-3</v>
      </c>
      <c r="M113">
        <f t="shared" ref="M113:M144" si="139">1000*DM113*AK113*(DI113-DJ113)/(100*DB113*(1000-AK113*DI113))</f>
        <v>5.2867771854755077</v>
      </c>
      <c r="N113">
        <f t="shared" ref="N113:N144" si="140">DM113*AK113*(DH113-DG113*(1000-AK113*DJ113)/(1000-AK113*DI113))/(100*DB113)</f>
        <v>1.1831945399674899</v>
      </c>
      <c r="O113">
        <f t="shared" ref="O113:O144" si="141">DG113 - IF(AK113&gt;1, N113*DB113*100/(AM113*DU113), 0)</f>
        <v>8.7638099999999994</v>
      </c>
      <c r="P113">
        <f t="shared" ref="P113:P144" si="142">((V113-L113/2)*O113-N113)/(V113+L113/2)</f>
        <v>3.1738769409023764</v>
      </c>
      <c r="Q113">
        <f t="shared" ref="Q113:Q144" si="143">P113*(DN113+DO113)/1000</f>
        <v>0.31450755946021575</v>
      </c>
      <c r="R113">
        <f t="shared" ref="R113:R144" si="144">(DG113 - IF(AK113&gt;1, N113*DB113*100/(AM113*DU113), 0))*(DN113+DO113)/1000</f>
        <v>0.86842828061549993</v>
      </c>
      <c r="S113">
        <f t="shared" ref="S113:S144" si="145">2/((1/U113-1/T113)+SIGN(U113)*SQRT((1/U113-1/T113)*(1/U113-1/T113) + 4*DC113/((DC113+1)*(DC113+1))*(2*1/U113*1/T113-1/T113*1/T113)))</f>
        <v>0.36852326421463993</v>
      </c>
      <c r="T113">
        <f t="shared" ref="T113:T144" si="146">IF(LEFT(DD113,1)&lt;&gt;"0",IF(LEFT(DD113,1)="1",3,DE113),$D$5+$E$5*(DU113*DN113/($K$5*1000))+$F$5*(DU113*DN113/($K$5*1000))*MAX(MIN(DB113,$J$5),$I$5)*MAX(MIN(DB113,$J$5),$I$5)+$G$5*MAX(MIN(DB113,$J$5),$I$5)*(DU113*DN113/($K$5*1000))+$H$5*(DU113*DN113/($K$5*1000))*(DU113*DN113/($K$5*1000)))</f>
        <v>2.9132293155753359</v>
      </c>
      <c r="U113">
        <f t="shared" ref="U113:U144" si="147">L113*(1000-(1000*0.61365*EXP(17.502*Y113/(240.97+Y113))/(DN113+DO113)+DI113)/2)/(1000*0.61365*EXP(17.502*Y113/(240.97+Y113))/(DN113+DO113)-DI113)</f>
        <v>0.34444528297775562</v>
      </c>
      <c r="V113">
        <f t="shared" ref="V113:V144" si="148">1/((DC113+1)/(S113/1.6)+1/(T113/1.37)) + DC113/((DC113+1)/(S113/1.6) + DC113/(T113/1.37))</f>
        <v>0.21731038146758086</v>
      </c>
      <c r="W113">
        <f t="shared" ref="W113:W144" si="149">(CX113*DA113)</f>
        <v>289.57010032711366</v>
      </c>
      <c r="X113">
        <f t="shared" ref="X113:X144" si="150">(DP113+(W113+2*0.95*0.0000000567*(((DP113+$B$7)+273)^4-(DP113+273)^4)-44100*L113)/(1.84*29.3*T113+8*0.95*0.0000000567*(DP113+273)^3))</f>
        <v>30.218902486074814</v>
      </c>
      <c r="Y113">
        <f t="shared" ref="Y113:Y144" si="151">($C$7*DQ113+$D$7*DR113+$E$7*X113)</f>
        <v>29.965199999999999</v>
      </c>
      <c r="Z113">
        <f t="shared" ref="Z113:Z144" si="152">0.61365*EXP(17.502*Y113/(240.97+Y113))</f>
        <v>4.2519410438172676</v>
      </c>
      <c r="AA113">
        <f t="shared" ref="AA113:AA144" si="153">(AB113/AC113*100)</f>
        <v>65.801856347434466</v>
      </c>
      <c r="AB113">
        <f t="shared" ref="AB113:AB144" si="154">DI113*(DN113+DO113)/1000</f>
        <v>2.7850060270050001</v>
      </c>
      <c r="AC113">
        <f t="shared" ref="AC113:AC144" si="155">0.61365*EXP(17.502*DP113/(240.97+DP113))</f>
        <v>4.2324125512510475</v>
      </c>
      <c r="AD113">
        <f t="shared" ref="AD113:AD144" si="156">(Z113-DI113*(DN113+DO113)/1000)</f>
        <v>1.4669350168122675</v>
      </c>
      <c r="AE113">
        <f t="shared" ref="AE113:AE144" si="157">(-L113*44100)</f>
        <v>-233.14687387946989</v>
      </c>
      <c r="AF113">
        <f t="shared" ref="AF113:AF144" si="158">2*29.3*T113*0.92*(DP113-Y113)</f>
        <v>-12.580347310789628</v>
      </c>
      <c r="AG113">
        <f t="shared" ref="AG113:AG144" si="159">2*0.95*0.0000000567*(((DP113+$B$7)+273)^4-(Y113+273)^4)</f>
        <v>-0.95947832807007349</v>
      </c>
      <c r="AH113">
        <f t="shared" ref="AH113:AH144" si="160">W113+AG113+AE113+AF113</f>
        <v>42.883400808784067</v>
      </c>
      <c r="AI113">
        <v>0</v>
      </c>
      <c r="AJ113">
        <v>0</v>
      </c>
      <c r="AK113">
        <f t="shared" ref="AK113:AK144" si="161">IF(AI113*$H$13&gt;=AM113,1,(AM113/(AM113-AI113*$H$13)))</f>
        <v>1</v>
      </c>
      <c r="AL113">
        <f t="shared" ref="AL113:AL144" si="162">(AK113-1)*100</f>
        <v>0</v>
      </c>
      <c r="AM113">
        <f t="shared" ref="AM113:AM144" si="163">MAX(0,($B$13+$C$13*DU113)/(1+$D$13*DU113)*DN113/(DP113+273)*$E$13)</f>
        <v>51886.05402712967</v>
      </c>
      <c r="AN113" t="s">
        <v>419</v>
      </c>
      <c r="AO113">
        <v>9967.0300000000007</v>
      </c>
      <c r="AP113">
        <v>178.94153846153841</v>
      </c>
      <c r="AQ113">
        <v>603.15</v>
      </c>
      <c r="AR113">
        <f t="shared" ref="AR113:AR144" si="164">1-AP113/AQ113</f>
        <v>0.7033216638290003</v>
      </c>
      <c r="AS113">
        <v>-3.2649104154664181</v>
      </c>
      <c r="AT113" t="s">
        <v>912</v>
      </c>
      <c r="AU113">
        <v>8068.4</v>
      </c>
      <c r="AV113">
        <v>706.26707692307673</v>
      </c>
      <c r="AW113">
        <v>761.87692325359308</v>
      </c>
      <c r="AX113">
        <f t="shared" ref="AX113:AX144" si="165">1-AV113/AW113</f>
        <v>7.2990590255752386E-2</v>
      </c>
      <c r="AY113">
        <v>0.5</v>
      </c>
      <c r="AZ113">
        <f t="shared" ref="AZ113:AZ144" si="166">CY113</f>
        <v>1513.2092996513543</v>
      </c>
      <c r="BA113">
        <f t="shared" ref="BA113:BA144" si="167">N113</f>
        <v>1.1831945399674899</v>
      </c>
      <c r="BB113">
        <f t="shared" ref="BB113:BB144" si="168">AX113*AY113*AZ113</f>
        <v>55.225019981023017</v>
      </c>
      <c r="BC113">
        <f t="shared" ref="BC113:BC144" si="169">(BA113-AS113)/AZ113</f>
        <v>2.9395173268223756E-3</v>
      </c>
      <c r="BD113">
        <f t="shared" ref="BD113:BD144" si="170">(AQ113-AW113)/AW113</f>
        <v>-0.20833669902449631</v>
      </c>
      <c r="BE113">
        <f t="shared" ref="BE113:BE144" si="171">AP113/(AR113+AP113/AW113)</f>
        <v>190.73039034102888</v>
      </c>
      <c r="BF113" t="s">
        <v>913</v>
      </c>
      <c r="BG113">
        <v>575.85</v>
      </c>
      <c r="BH113">
        <f t="shared" ref="BH113:BH144" si="172">IF(BG113&lt;&gt;0, BG113, BE113)</f>
        <v>575.85</v>
      </c>
      <c r="BI113">
        <f t="shared" ref="BI113:BI144" si="173">1-BH113/AW113</f>
        <v>0.24416925828277569</v>
      </c>
      <c r="BJ113">
        <f t="shared" ref="BJ113:BJ144" si="174">(AW113-AV113)/(AW113-BH113)</f>
        <v>0.29893439808553229</v>
      </c>
      <c r="BK113">
        <f t="shared" ref="BK113:BK144" si="175">(AQ113-AW113)/(AQ113-BH113)</f>
        <v>-5.8141730129521383</v>
      </c>
      <c r="BL113">
        <f t="shared" ref="BL113:BL144" si="176">(AW113-AV113)/(AW113-AP113)</f>
        <v>9.5396244217278978E-2</v>
      </c>
      <c r="BM113">
        <f t="shared" ref="BM113:BM144" si="177">(AQ113-AW113)/(AQ113-AP113)</f>
        <v>-0.37417198770138599</v>
      </c>
      <c r="BN113">
        <f t="shared" ref="BN113:BN144" si="178">(BJ113*BH113/AV113)</f>
        <v>0.24373410394196049</v>
      </c>
      <c r="BO113">
        <f t="shared" ref="BO113:BO144" si="179">(1-BN113)</f>
        <v>0.75626589605803951</v>
      </c>
      <c r="BP113">
        <v>6229</v>
      </c>
      <c r="BQ113">
        <v>290.00000000000011</v>
      </c>
      <c r="BR113">
        <v>740.19</v>
      </c>
      <c r="BS113">
        <v>285</v>
      </c>
      <c r="BT113">
        <v>8068.4</v>
      </c>
      <c r="BU113">
        <v>740.03</v>
      </c>
      <c r="BV113">
        <v>0.16</v>
      </c>
      <c r="BW113">
        <v>300.00000000000011</v>
      </c>
      <c r="BX113">
        <v>19.3</v>
      </c>
      <c r="BY113">
        <v>761.87692325359308</v>
      </c>
      <c r="BZ113">
        <v>2.3216447444033479</v>
      </c>
      <c r="CA113">
        <v>-17.623106965344011</v>
      </c>
      <c r="CB113">
        <v>1.720827617771022</v>
      </c>
      <c r="CC113">
        <v>0.78928262238318969</v>
      </c>
      <c r="CD113">
        <v>-4.163889432703005E-3</v>
      </c>
      <c r="CE113">
        <v>289.99999999999989</v>
      </c>
      <c r="CF113">
        <v>738.74</v>
      </c>
      <c r="CG113">
        <v>665</v>
      </c>
      <c r="CH113">
        <v>8058.62</v>
      </c>
      <c r="CI113">
        <v>740.01</v>
      </c>
      <c r="CJ113">
        <v>-1.27</v>
      </c>
      <c r="CX113">
        <f t="shared" ref="CX113:CX144" si="180">$B$11*DV113+$C$11*DW113+$F$11*EH113*(1-EK113)</f>
        <v>1800.03</v>
      </c>
      <c r="CY113">
        <f t="shared" ref="CY113:CY144" si="181">CX113*CZ113</f>
        <v>1513.2092996513543</v>
      </c>
      <c r="CZ113">
        <f t="shared" ref="CZ113:CZ144" si="182">($B$11*$D$9+$C$11*$D$9+$F$11*((EU113+EM113)/MAX(EU113+EM113+EV113, 0.1)*$I$9+EV113/MAX(EU113+EM113+EV113, 0.1)*$J$9))/($B$11+$C$11+$F$11)</f>
        <v>0.84065782217593832</v>
      </c>
      <c r="DA113">
        <f t="shared" ref="DA113:DA144" si="183">($B$11*$K$9+$C$11*$K$9+$F$11*((EU113+EM113)/MAX(EU113+EM113+EV113, 0.1)*$P$9+EV113/MAX(EU113+EM113+EV113, 0.1)*$Q$9))/($B$11+$C$11+$F$11)</f>
        <v>0.16086959679956095</v>
      </c>
      <c r="DB113">
        <v>6</v>
      </c>
      <c r="DC113">
        <v>0.5</v>
      </c>
      <c r="DD113" t="s">
        <v>422</v>
      </c>
      <c r="DE113">
        <v>2</v>
      </c>
      <c r="DF113">
        <v>1689019725</v>
      </c>
      <c r="DG113">
        <v>8.7638099999999994</v>
      </c>
      <c r="DH113">
        <v>10.238899999999999</v>
      </c>
      <c r="DI113">
        <v>28.1051</v>
      </c>
      <c r="DJ113">
        <v>21.9407</v>
      </c>
      <c r="DK113">
        <v>8.6604899999999994</v>
      </c>
      <c r="DL113">
        <v>28.0593</v>
      </c>
      <c r="DM113">
        <v>500.11599999999999</v>
      </c>
      <c r="DN113">
        <v>98.992400000000004</v>
      </c>
      <c r="DO113">
        <v>0.10015</v>
      </c>
      <c r="DP113">
        <v>29.885100000000001</v>
      </c>
      <c r="DQ113">
        <v>29.965199999999999</v>
      </c>
      <c r="DR113">
        <v>999.9</v>
      </c>
      <c r="DS113">
        <v>0</v>
      </c>
      <c r="DT113">
        <v>0</v>
      </c>
      <c r="DU113">
        <v>10008.1</v>
      </c>
      <c r="DV113">
        <v>0</v>
      </c>
      <c r="DW113">
        <v>1729.89</v>
      </c>
      <c r="DX113">
        <v>-1.47509</v>
      </c>
      <c r="DY113">
        <v>9.0172399999999993</v>
      </c>
      <c r="DZ113">
        <v>10.4686</v>
      </c>
      <c r="EA113">
        <v>6.1644800000000002</v>
      </c>
      <c r="EB113">
        <v>10.238899999999999</v>
      </c>
      <c r="EC113">
        <v>21.9407</v>
      </c>
      <c r="ED113">
        <v>2.7822</v>
      </c>
      <c r="EE113">
        <v>2.1719599999999999</v>
      </c>
      <c r="EF113">
        <v>22.7788</v>
      </c>
      <c r="EG113">
        <v>18.757000000000001</v>
      </c>
      <c r="EH113">
        <v>1800.03</v>
      </c>
      <c r="EI113">
        <v>0.97801099999999996</v>
      </c>
      <c r="EJ113">
        <v>2.1988899999999999E-2</v>
      </c>
      <c r="EK113">
        <v>0</v>
      </c>
      <c r="EL113">
        <v>706.22799999999995</v>
      </c>
      <c r="EM113">
        <v>5.0005300000000004</v>
      </c>
      <c r="EN113">
        <v>15683.1</v>
      </c>
      <c r="EO113">
        <v>16035.6</v>
      </c>
      <c r="EP113">
        <v>48.75</v>
      </c>
      <c r="EQ113">
        <v>50.311999999999998</v>
      </c>
      <c r="ER113">
        <v>49.375</v>
      </c>
      <c r="ES113">
        <v>49.561999999999998</v>
      </c>
      <c r="ET113">
        <v>49.936999999999998</v>
      </c>
      <c r="EU113">
        <v>1755.56</v>
      </c>
      <c r="EV113">
        <v>39.47</v>
      </c>
      <c r="EW113">
        <v>0</v>
      </c>
      <c r="EX113">
        <v>98.400000095367432</v>
      </c>
      <c r="EY113">
        <v>0</v>
      </c>
      <c r="EZ113">
        <v>706.26707692307673</v>
      </c>
      <c r="FA113">
        <v>4.2393150758872081E-2</v>
      </c>
      <c r="FB113">
        <v>-90.085469593420129</v>
      </c>
      <c r="FC113">
        <v>15670.83076923077</v>
      </c>
      <c r="FD113">
        <v>15</v>
      </c>
      <c r="FE113">
        <v>1689019692</v>
      </c>
      <c r="FF113" t="s">
        <v>914</v>
      </c>
      <c r="FG113">
        <v>1689019685</v>
      </c>
      <c r="FH113">
        <v>1689019692</v>
      </c>
      <c r="FI113">
        <v>105</v>
      </c>
      <c r="FJ113">
        <v>-4.2000000000000003E-2</v>
      </c>
      <c r="FK113">
        <v>-2E-3</v>
      </c>
      <c r="FL113">
        <v>0.10299999999999999</v>
      </c>
      <c r="FM113">
        <v>3.6999999999999998E-2</v>
      </c>
      <c r="FN113">
        <v>10</v>
      </c>
      <c r="FO113">
        <v>22</v>
      </c>
      <c r="FP113">
        <v>0.24</v>
      </c>
      <c r="FQ113">
        <v>0.02</v>
      </c>
      <c r="FR113">
        <v>1.157498852195237</v>
      </c>
      <c r="FS113">
        <v>-0.63759542442909733</v>
      </c>
      <c r="FT113">
        <v>5.3642533933030888E-2</v>
      </c>
      <c r="FU113">
        <v>1</v>
      </c>
      <c r="FV113">
        <v>0.36453659135857558</v>
      </c>
      <c r="FW113">
        <v>3.2928519379453257E-2</v>
      </c>
      <c r="FX113">
        <v>2.914033131344489E-3</v>
      </c>
      <c r="FY113">
        <v>1</v>
      </c>
      <c r="FZ113">
        <v>2</v>
      </c>
      <c r="GA113">
        <v>2</v>
      </c>
      <c r="GB113" t="s">
        <v>424</v>
      </c>
      <c r="GC113">
        <v>3.1255500000000001</v>
      </c>
      <c r="GD113">
        <v>2.7675200000000002</v>
      </c>
      <c r="GE113">
        <v>2.3108E-3</v>
      </c>
      <c r="GF113">
        <v>2.7340400000000001E-3</v>
      </c>
      <c r="GG113">
        <v>0.118953</v>
      </c>
      <c r="GH113">
        <v>0.100241</v>
      </c>
      <c r="GI113">
        <v>23769.1</v>
      </c>
      <c r="GJ113">
        <v>24634</v>
      </c>
      <c r="GK113">
        <v>23694.6</v>
      </c>
      <c r="GL113">
        <v>25021.599999999999</v>
      </c>
      <c r="GM113">
        <v>30089</v>
      </c>
      <c r="GN113">
        <v>31585.3</v>
      </c>
      <c r="GO113">
        <v>37773.1</v>
      </c>
      <c r="GP113">
        <v>38940.9</v>
      </c>
      <c r="GQ113">
        <v>2.1264699999999999</v>
      </c>
      <c r="GR113">
        <v>1.6831</v>
      </c>
      <c r="GS113">
        <v>-2.8953E-2</v>
      </c>
      <c r="GT113">
        <v>0</v>
      </c>
      <c r="GU113">
        <v>30.436199999999999</v>
      </c>
      <c r="GV113">
        <v>999.9</v>
      </c>
      <c r="GW113">
        <v>25.8</v>
      </c>
      <c r="GX113">
        <v>47.2</v>
      </c>
      <c r="GY113">
        <v>28.112200000000001</v>
      </c>
      <c r="GZ113">
        <v>61.639499999999998</v>
      </c>
      <c r="HA113">
        <v>28.185099999999998</v>
      </c>
      <c r="HB113">
        <v>1</v>
      </c>
      <c r="HC113">
        <v>0.72311499999999995</v>
      </c>
      <c r="HD113">
        <v>2.8639600000000001</v>
      </c>
      <c r="HE113">
        <v>20.288599999999999</v>
      </c>
      <c r="HF113">
        <v>5.2505300000000004</v>
      </c>
      <c r="HG113">
        <v>12.0099</v>
      </c>
      <c r="HH113">
        <v>4.9782999999999999</v>
      </c>
      <c r="HI113">
        <v>3.2929300000000001</v>
      </c>
      <c r="HJ113">
        <v>9999</v>
      </c>
      <c r="HK113">
        <v>9999</v>
      </c>
      <c r="HL113">
        <v>9999</v>
      </c>
      <c r="HM113">
        <v>236.9</v>
      </c>
      <c r="HN113">
        <v>1.8756999999999999</v>
      </c>
      <c r="HO113">
        <v>1.8768199999999999</v>
      </c>
      <c r="HP113">
        <v>1.8827799999999999</v>
      </c>
      <c r="HQ113">
        <v>1.8859900000000001</v>
      </c>
      <c r="HR113">
        <v>1.87683</v>
      </c>
      <c r="HS113">
        <v>1.88323</v>
      </c>
      <c r="HT113">
        <v>1.8821699999999999</v>
      </c>
      <c r="HU113">
        <v>1.88568</v>
      </c>
      <c r="HV113">
        <v>0</v>
      </c>
      <c r="HW113">
        <v>0</v>
      </c>
      <c r="HX113">
        <v>0</v>
      </c>
      <c r="HY113">
        <v>0</v>
      </c>
      <c r="HZ113" t="s">
        <v>425</v>
      </c>
      <c r="IA113" t="s">
        <v>426</v>
      </c>
      <c r="IB113" t="s">
        <v>427</v>
      </c>
      <c r="IC113" t="s">
        <v>427</v>
      </c>
      <c r="ID113" t="s">
        <v>427</v>
      </c>
      <c r="IE113" t="s">
        <v>427</v>
      </c>
      <c r="IF113">
        <v>0</v>
      </c>
      <c r="IG113">
        <v>100</v>
      </c>
      <c r="IH113">
        <v>100</v>
      </c>
      <c r="II113">
        <v>0.10299999999999999</v>
      </c>
      <c r="IJ113">
        <v>4.58E-2</v>
      </c>
      <c r="IK113">
        <v>0.1069795944694234</v>
      </c>
      <c r="IL113">
        <v>-4.2852564239613137E-4</v>
      </c>
      <c r="IM113">
        <v>6.4980710991155998E-7</v>
      </c>
      <c r="IN113">
        <v>-2.7237938963984961E-10</v>
      </c>
      <c r="IO113">
        <v>-1.2232268185354989E-2</v>
      </c>
      <c r="IP113">
        <v>6.6907473102813496E-3</v>
      </c>
      <c r="IQ113">
        <v>-3.3673306238274028E-4</v>
      </c>
      <c r="IR113">
        <v>6.1311374003140313E-6</v>
      </c>
      <c r="IS113">
        <v>3</v>
      </c>
      <c r="IT113">
        <v>2101</v>
      </c>
      <c r="IU113">
        <v>1</v>
      </c>
      <c r="IV113">
        <v>32</v>
      </c>
      <c r="IW113">
        <v>0.7</v>
      </c>
      <c r="IX113">
        <v>0.6</v>
      </c>
      <c r="IY113">
        <v>0.163574</v>
      </c>
      <c r="IZ113">
        <v>2.79541</v>
      </c>
      <c r="JA113">
        <v>1.6015600000000001</v>
      </c>
      <c r="JB113">
        <v>2.3278799999999999</v>
      </c>
      <c r="JC113">
        <v>1.5502899999999999</v>
      </c>
      <c r="JD113">
        <v>2.4352999999999998</v>
      </c>
      <c r="JE113">
        <v>49.452599999999997</v>
      </c>
      <c r="JF113">
        <v>24.148800000000001</v>
      </c>
      <c r="JG113">
        <v>18</v>
      </c>
      <c r="JH113">
        <v>598.11599999999999</v>
      </c>
      <c r="JI113">
        <v>363.678</v>
      </c>
      <c r="JJ113">
        <v>25.862100000000002</v>
      </c>
      <c r="JK113">
        <v>35.801699999999997</v>
      </c>
      <c r="JL113">
        <v>29.9983</v>
      </c>
      <c r="JM113">
        <v>35.848399999999998</v>
      </c>
      <c r="JN113">
        <v>35.846200000000003</v>
      </c>
      <c r="JO113">
        <v>3.2473299999999998</v>
      </c>
      <c r="JP113">
        <v>22.837</v>
      </c>
      <c r="JQ113">
        <v>0</v>
      </c>
      <c r="JR113">
        <v>26.232099999999999</v>
      </c>
      <c r="JS113">
        <v>10</v>
      </c>
      <c r="JT113">
        <v>21.7258</v>
      </c>
      <c r="JU113">
        <v>98.519000000000005</v>
      </c>
      <c r="JV113">
        <v>98.545400000000001</v>
      </c>
    </row>
    <row r="114" spans="1:282" x14ac:dyDescent="0.25">
      <c r="A114">
        <v>98</v>
      </c>
      <c r="B114">
        <v>1689019914.5</v>
      </c>
      <c r="C114">
        <v>20091.900000095371</v>
      </c>
      <c r="D114" t="s">
        <v>915</v>
      </c>
      <c r="E114" t="s">
        <v>916</v>
      </c>
      <c r="F114" t="s">
        <v>414</v>
      </c>
      <c r="G114" t="s">
        <v>415</v>
      </c>
      <c r="H114" t="s">
        <v>416</v>
      </c>
      <c r="I114" t="s">
        <v>501</v>
      </c>
      <c r="J114" t="s">
        <v>418</v>
      </c>
      <c r="K114">
        <v>1689019914.5</v>
      </c>
      <c r="L114">
        <f t="shared" si="138"/>
        <v>4.8276927950618781E-3</v>
      </c>
      <c r="M114">
        <f t="shared" si="139"/>
        <v>4.8276927950618784</v>
      </c>
      <c r="N114">
        <f t="shared" si="140"/>
        <v>38.77041319912248</v>
      </c>
      <c r="O114">
        <f t="shared" si="141"/>
        <v>351.40100000000001</v>
      </c>
      <c r="P114">
        <f t="shared" si="142"/>
        <v>151.85277067495218</v>
      </c>
      <c r="Q114">
        <f t="shared" si="143"/>
        <v>15.04730222782919</v>
      </c>
      <c r="R114">
        <f t="shared" si="144"/>
        <v>34.820813783370703</v>
      </c>
      <c r="S114">
        <f t="shared" si="145"/>
        <v>0.3382497681662896</v>
      </c>
      <c r="T114">
        <f t="shared" si="146"/>
        <v>2.9113603879437502</v>
      </c>
      <c r="U114">
        <f t="shared" si="147"/>
        <v>0.31783550329444105</v>
      </c>
      <c r="V114">
        <f t="shared" si="148"/>
        <v>0.2003785783304419</v>
      </c>
      <c r="W114">
        <f t="shared" si="149"/>
        <v>289.60114432649914</v>
      </c>
      <c r="X114">
        <f t="shared" si="150"/>
        <v>30.404010153894184</v>
      </c>
      <c r="Y114">
        <f t="shared" si="151"/>
        <v>29.822900000000001</v>
      </c>
      <c r="Z114">
        <f t="shared" si="152"/>
        <v>4.2173020686929128</v>
      </c>
      <c r="AA114">
        <f t="shared" si="153"/>
        <v>65.090760360610034</v>
      </c>
      <c r="AB114">
        <f t="shared" si="154"/>
        <v>2.76520471231792</v>
      </c>
      <c r="AC114">
        <f t="shared" si="155"/>
        <v>4.2482292371426897</v>
      </c>
      <c r="AD114">
        <f t="shared" si="156"/>
        <v>1.4520973563749928</v>
      </c>
      <c r="AE114">
        <f t="shared" si="157"/>
        <v>-212.90125226222881</v>
      </c>
      <c r="AF114">
        <f t="shared" si="158"/>
        <v>19.949267902945852</v>
      </c>
      <c r="AG114">
        <f t="shared" si="159"/>
        <v>1.5218847178373542</v>
      </c>
      <c r="AH114">
        <f t="shared" si="160"/>
        <v>98.171044685053516</v>
      </c>
      <c r="AI114">
        <v>0</v>
      </c>
      <c r="AJ114">
        <v>0</v>
      </c>
      <c r="AK114">
        <f t="shared" si="161"/>
        <v>1</v>
      </c>
      <c r="AL114">
        <f t="shared" si="162"/>
        <v>0</v>
      </c>
      <c r="AM114">
        <f t="shared" si="163"/>
        <v>51821.772792331358</v>
      </c>
      <c r="AN114" t="s">
        <v>419</v>
      </c>
      <c r="AO114">
        <v>9967.0300000000007</v>
      </c>
      <c r="AP114">
        <v>178.94153846153841</v>
      </c>
      <c r="AQ114">
        <v>603.15</v>
      </c>
      <c r="AR114">
        <f t="shared" si="164"/>
        <v>0.7033216638290003</v>
      </c>
      <c r="AS114">
        <v>-3.2649104154664181</v>
      </c>
      <c r="AT114" t="s">
        <v>917</v>
      </c>
      <c r="AU114">
        <v>8069.21</v>
      </c>
      <c r="AV114">
        <v>658.94396153846162</v>
      </c>
      <c r="AW114">
        <v>1016.729607226515</v>
      </c>
      <c r="AX114">
        <f t="shared" si="165"/>
        <v>0.35189852163746727</v>
      </c>
      <c r="AY114">
        <v>0.5</v>
      </c>
      <c r="AZ114">
        <f t="shared" si="166"/>
        <v>1513.3616996510359</v>
      </c>
      <c r="BA114">
        <f t="shared" si="167"/>
        <v>38.77041319912248</v>
      </c>
      <c r="BB114">
        <f t="shared" si="168"/>
        <v>266.27487240498215</v>
      </c>
      <c r="BC114">
        <f t="shared" si="169"/>
        <v>2.7776124917316045E-2</v>
      </c>
      <c r="BD114">
        <f t="shared" si="170"/>
        <v>-0.40677443076994463</v>
      </c>
      <c r="BE114">
        <f t="shared" si="171"/>
        <v>203.50017603364128</v>
      </c>
      <c r="BF114" t="s">
        <v>918</v>
      </c>
      <c r="BG114">
        <v>525.77</v>
      </c>
      <c r="BH114">
        <f t="shared" si="172"/>
        <v>525.77</v>
      </c>
      <c r="BI114">
        <f t="shared" si="173"/>
        <v>0.48288119450536982</v>
      </c>
      <c r="BJ114">
        <f t="shared" si="174"/>
        <v>0.72874762082612854</v>
      </c>
      <c r="BK114">
        <f t="shared" si="175"/>
        <v>-5.3447868599963169</v>
      </c>
      <c r="BL114">
        <f t="shared" si="176"/>
        <v>0.42705984845962575</v>
      </c>
      <c r="BM114">
        <f t="shared" si="177"/>
        <v>-0.97494426614358598</v>
      </c>
      <c r="BN114">
        <f t="shared" si="178"/>
        <v>0.58146619282645851</v>
      </c>
      <c r="BO114">
        <f t="shared" si="179"/>
        <v>0.41853380717354149</v>
      </c>
      <c r="BP114">
        <v>6231</v>
      </c>
      <c r="BQ114">
        <v>290.00000000000011</v>
      </c>
      <c r="BR114">
        <v>872.32</v>
      </c>
      <c r="BS114">
        <v>295</v>
      </c>
      <c r="BT114">
        <v>8069.21</v>
      </c>
      <c r="BU114">
        <v>875.53</v>
      </c>
      <c r="BV114">
        <v>-3.21</v>
      </c>
      <c r="BW114">
        <v>300.00000000000011</v>
      </c>
      <c r="BX114">
        <v>19.3</v>
      </c>
      <c r="BY114">
        <v>1016.729607226515</v>
      </c>
      <c r="BZ114">
        <v>5.8049650567129918</v>
      </c>
      <c r="CA114">
        <v>-113.93900274760951</v>
      </c>
      <c r="CB114">
        <v>4.3031323891424629</v>
      </c>
      <c r="CC114">
        <v>0.96159610154018182</v>
      </c>
      <c r="CD114">
        <v>-4.1644780867630786E-3</v>
      </c>
      <c r="CE114">
        <v>289.99999999999989</v>
      </c>
      <c r="CF114">
        <v>859.58</v>
      </c>
      <c r="CG114">
        <v>645</v>
      </c>
      <c r="CH114">
        <v>8060.07</v>
      </c>
      <c r="CI114">
        <v>875.37</v>
      </c>
      <c r="CJ114">
        <v>-15.79</v>
      </c>
      <c r="CX114">
        <f t="shared" si="180"/>
        <v>1800.21</v>
      </c>
      <c r="CY114">
        <f t="shared" si="181"/>
        <v>1513.3616996510359</v>
      </c>
      <c r="CZ114">
        <f t="shared" si="182"/>
        <v>0.84065842299011551</v>
      </c>
      <c r="DA114">
        <f t="shared" si="183"/>
        <v>0.16087075637092291</v>
      </c>
      <c r="DB114">
        <v>6</v>
      </c>
      <c r="DC114">
        <v>0.5</v>
      </c>
      <c r="DD114" t="s">
        <v>422</v>
      </c>
      <c r="DE114">
        <v>2</v>
      </c>
      <c r="DF114">
        <v>1689019914.5</v>
      </c>
      <c r="DG114">
        <v>351.40100000000001</v>
      </c>
      <c r="DH114">
        <v>399.94600000000003</v>
      </c>
      <c r="DI114">
        <v>27.9056</v>
      </c>
      <c r="DJ114">
        <v>22.2758</v>
      </c>
      <c r="DK114">
        <v>351.62900000000002</v>
      </c>
      <c r="DL114">
        <v>27.851600000000001</v>
      </c>
      <c r="DM114">
        <v>500.15699999999998</v>
      </c>
      <c r="DN114">
        <v>98.991500000000002</v>
      </c>
      <c r="DO114">
        <v>9.9890699999999999E-2</v>
      </c>
      <c r="DP114">
        <v>29.95</v>
      </c>
      <c r="DQ114">
        <v>29.822900000000001</v>
      </c>
      <c r="DR114">
        <v>999.9</v>
      </c>
      <c r="DS114">
        <v>0</v>
      </c>
      <c r="DT114">
        <v>0</v>
      </c>
      <c r="DU114">
        <v>9997.5</v>
      </c>
      <c r="DV114">
        <v>0</v>
      </c>
      <c r="DW114">
        <v>512.45799999999997</v>
      </c>
      <c r="DX114">
        <v>-48.544499999999999</v>
      </c>
      <c r="DY114">
        <v>361.48899999999998</v>
      </c>
      <c r="DZ114">
        <v>409.05799999999999</v>
      </c>
      <c r="EA114">
        <v>5.6297899999999998</v>
      </c>
      <c r="EB114">
        <v>399.94600000000003</v>
      </c>
      <c r="EC114">
        <v>22.2758</v>
      </c>
      <c r="ED114">
        <v>2.7624200000000001</v>
      </c>
      <c r="EE114">
        <v>2.20512</v>
      </c>
      <c r="EF114">
        <v>22.661200000000001</v>
      </c>
      <c r="EG114">
        <v>18.999500000000001</v>
      </c>
      <c r="EH114">
        <v>1800.21</v>
      </c>
      <c r="EI114">
        <v>0.97799400000000003</v>
      </c>
      <c r="EJ114">
        <v>2.2005799999999999E-2</v>
      </c>
      <c r="EK114">
        <v>0</v>
      </c>
      <c r="EL114">
        <v>658.54</v>
      </c>
      <c r="EM114">
        <v>5.0005300000000004</v>
      </c>
      <c r="EN114">
        <v>13409.7</v>
      </c>
      <c r="EO114">
        <v>16037.1</v>
      </c>
      <c r="EP114">
        <v>48.625</v>
      </c>
      <c r="EQ114">
        <v>49.75</v>
      </c>
      <c r="ER114">
        <v>49.186999999999998</v>
      </c>
      <c r="ES114">
        <v>49.311999999999998</v>
      </c>
      <c r="ET114">
        <v>49.811999999999998</v>
      </c>
      <c r="EU114">
        <v>1755.7</v>
      </c>
      <c r="EV114">
        <v>39.51</v>
      </c>
      <c r="EW114">
        <v>0</v>
      </c>
      <c r="EX114">
        <v>187.4000000953674</v>
      </c>
      <c r="EY114">
        <v>0</v>
      </c>
      <c r="EZ114">
        <v>658.94396153846162</v>
      </c>
      <c r="FA114">
        <v>-1.3984615243324161</v>
      </c>
      <c r="FB114">
        <v>-49.032478633980453</v>
      </c>
      <c r="FC114">
        <v>13411.369230769231</v>
      </c>
      <c r="FD114">
        <v>15</v>
      </c>
      <c r="FE114">
        <v>1689019830.5</v>
      </c>
      <c r="FF114" t="s">
        <v>919</v>
      </c>
      <c r="FG114">
        <v>1689019819</v>
      </c>
      <c r="FH114">
        <v>1689019830.5</v>
      </c>
      <c r="FI114">
        <v>106</v>
      </c>
      <c r="FJ114">
        <v>-0.253</v>
      </c>
      <c r="FK114">
        <v>8.9999999999999993E-3</v>
      </c>
      <c r="FL114">
        <v>-0.23100000000000001</v>
      </c>
      <c r="FM114">
        <v>4.4999999999999998E-2</v>
      </c>
      <c r="FN114">
        <v>400</v>
      </c>
      <c r="FO114">
        <v>21</v>
      </c>
      <c r="FP114">
        <v>0.04</v>
      </c>
      <c r="FQ114">
        <v>0.02</v>
      </c>
      <c r="FR114">
        <v>38.660594522793161</v>
      </c>
      <c r="FS114">
        <v>1.909326202740657</v>
      </c>
      <c r="FT114">
        <v>0.14672976513137109</v>
      </c>
      <c r="FU114">
        <v>0</v>
      </c>
      <c r="FV114">
        <v>0.33781717897368152</v>
      </c>
      <c r="FW114">
        <v>1.5635360004129011E-2</v>
      </c>
      <c r="FX114">
        <v>1.192231512194972E-3</v>
      </c>
      <c r="FY114">
        <v>1</v>
      </c>
      <c r="FZ114">
        <v>1</v>
      </c>
      <c r="GA114">
        <v>2</v>
      </c>
      <c r="GB114" t="s">
        <v>463</v>
      </c>
      <c r="GC114">
        <v>3.1256499999999998</v>
      </c>
      <c r="GD114">
        <v>2.7671800000000002</v>
      </c>
      <c r="GE114">
        <v>7.9807600000000006E-2</v>
      </c>
      <c r="GF114">
        <v>8.8297E-2</v>
      </c>
      <c r="GG114">
        <v>0.11831899999999999</v>
      </c>
      <c r="GH114">
        <v>0.10130699999999999</v>
      </c>
      <c r="GI114">
        <v>21922.3</v>
      </c>
      <c r="GJ114">
        <v>22522.9</v>
      </c>
      <c r="GK114">
        <v>23690.6</v>
      </c>
      <c r="GL114">
        <v>25021.200000000001</v>
      </c>
      <c r="GM114">
        <v>30104.7</v>
      </c>
      <c r="GN114">
        <v>31551.5</v>
      </c>
      <c r="GO114">
        <v>37765.9</v>
      </c>
      <c r="GP114">
        <v>38945.599999999999</v>
      </c>
      <c r="GQ114">
        <v>2.1253000000000002</v>
      </c>
      <c r="GR114">
        <v>1.6855500000000001</v>
      </c>
      <c r="GS114">
        <v>1.58697E-2</v>
      </c>
      <c r="GT114">
        <v>0</v>
      </c>
      <c r="GU114">
        <v>29.564499999999999</v>
      </c>
      <c r="GV114">
        <v>999.9</v>
      </c>
      <c r="GW114">
        <v>25.1</v>
      </c>
      <c r="GX114">
        <v>47.2</v>
      </c>
      <c r="GY114">
        <v>27.349699999999999</v>
      </c>
      <c r="GZ114">
        <v>60.919499999999999</v>
      </c>
      <c r="HA114">
        <v>27.7043</v>
      </c>
      <c r="HB114">
        <v>1</v>
      </c>
      <c r="HC114">
        <v>0.71721000000000001</v>
      </c>
      <c r="HD114">
        <v>1.77763</v>
      </c>
      <c r="HE114">
        <v>20.3063</v>
      </c>
      <c r="HF114">
        <v>5.2512800000000004</v>
      </c>
      <c r="HG114">
        <v>12.0099</v>
      </c>
      <c r="HH114">
        <v>4.9775499999999999</v>
      </c>
      <c r="HI114">
        <v>3.2930000000000001</v>
      </c>
      <c r="HJ114">
        <v>9999</v>
      </c>
      <c r="HK114">
        <v>9999</v>
      </c>
      <c r="HL114">
        <v>9999</v>
      </c>
      <c r="HM114">
        <v>237</v>
      </c>
      <c r="HN114">
        <v>1.87575</v>
      </c>
      <c r="HO114">
        <v>1.87683</v>
      </c>
      <c r="HP114">
        <v>1.88279</v>
      </c>
      <c r="HQ114">
        <v>1.8859900000000001</v>
      </c>
      <c r="HR114">
        <v>1.87683</v>
      </c>
      <c r="HS114">
        <v>1.88324</v>
      </c>
      <c r="HT114">
        <v>1.8821699999999999</v>
      </c>
      <c r="HU114">
        <v>1.88568</v>
      </c>
      <c r="HV114">
        <v>0</v>
      </c>
      <c r="HW114">
        <v>0</v>
      </c>
      <c r="HX114">
        <v>0</v>
      </c>
      <c r="HY114">
        <v>0</v>
      </c>
      <c r="HZ114" t="s">
        <v>425</v>
      </c>
      <c r="IA114" t="s">
        <v>426</v>
      </c>
      <c r="IB114" t="s">
        <v>427</v>
      </c>
      <c r="IC114" t="s">
        <v>427</v>
      </c>
      <c r="ID114" t="s">
        <v>427</v>
      </c>
      <c r="IE114" t="s">
        <v>427</v>
      </c>
      <c r="IF114">
        <v>0</v>
      </c>
      <c r="IG114">
        <v>100</v>
      </c>
      <c r="IH114">
        <v>100</v>
      </c>
      <c r="II114">
        <v>-0.22800000000000001</v>
      </c>
      <c r="IJ114">
        <v>5.3999999999999999E-2</v>
      </c>
      <c r="IK114">
        <v>-0.1457358194525083</v>
      </c>
      <c r="IL114">
        <v>-4.2852564239613137E-4</v>
      </c>
      <c r="IM114">
        <v>6.4980710991155998E-7</v>
      </c>
      <c r="IN114">
        <v>-2.7237938963984961E-10</v>
      </c>
      <c r="IO114">
        <v>-3.5878444117033569E-3</v>
      </c>
      <c r="IP114">
        <v>6.6907473102813496E-3</v>
      </c>
      <c r="IQ114">
        <v>-3.3673306238274028E-4</v>
      </c>
      <c r="IR114">
        <v>6.1311374003140313E-6</v>
      </c>
      <c r="IS114">
        <v>3</v>
      </c>
      <c r="IT114">
        <v>2101</v>
      </c>
      <c r="IU114">
        <v>1</v>
      </c>
      <c r="IV114">
        <v>32</v>
      </c>
      <c r="IW114">
        <v>1.6</v>
      </c>
      <c r="IX114">
        <v>1.4</v>
      </c>
      <c r="IY114">
        <v>1.01685</v>
      </c>
      <c r="IZ114">
        <v>2.7380399999999998</v>
      </c>
      <c r="JA114">
        <v>1.6015600000000001</v>
      </c>
      <c r="JB114">
        <v>2.3278799999999999</v>
      </c>
      <c r="JC114">
        <v>1.5502899999999999</v>
      </c>
      <c r="JD114">
        <v>2.4902299999999999</v>
      </c>
      <c r="JE114">
        <v>49.3264</v>
      </c>
      <c r="JF114">
        <v>24.157499999999999</v>
      </c>
      <c r="JG114">
        <v>18</v>
      </c>
      <c r="JH114">
        <v>598.01700000000005</v>
      </c>
      <c r="JI114">
        <v>365.61399999999998</v>
      </c>
      <c r="JJ114">
        <v>27.457000000000001</v>
      </c>
      <c r="JK114">
        <v>35.812199999999997</v>
      </c>
      <c r="JL114">
        <v>29.998899999999999</v>
      </c>
      <c r="JM114">
        <v>35.933199999999999</v>
      </c>
      <c r="JN114">
        <v>35.928899999999999</v>
      </c>
      <c r="JO114">
        <v>20.345600000000001</v>
      </c>
      <c r="JP114">
        <v>15.4346</v>
      </c>
      <c r="JQ114">
        <v>0</v>
      </c>
      <c r="JR114">
        <v>27.541399999999999</v>
      </c>
      <c r="JS114">
        <v>400</v>
      </c>
      <c r="JT114">
        <v>22.3888</v>
      </c>
      <c r="JU114">
        <v>98.500900000000001</v>
      </c>
      <c r="JV114">
        <v>98.552099999999996</v>
      </c>
    </row>
    <row r="115" spans="1:282" x14ac:dyDescent="0.25">
      <c r="A115">
        <v>99</v>
      </c>
      <c r="B115">
        <v>1689020041.5</v>
      </c>
      <c r="C115">
        <v>20218.900000095371</v>
      </c>
      <c r="D115" t="s">
        <v>920</v>
      </c>
      <c r="E115" t="s">
        <v>921</v>
      </c>
      <c r="F115" t="s">
        <v>414</v>
      </c>
      <c r="G115" t="s">
        <v>415</v>
      </c>
      <c r="H115" t="s">
        <v>416</v>
      </c>
      <c r="I115" t="s">
        <v>501</v>
      </c>
      <c r="J115" t="s">
        <v>418</v>
      </c>
      <c r="K115">
        <v>1689020041.5</v>
      </c>
      <c r="L115">
        <f t="shared" si="138"/>
        <v>4.6879383812418437E-3</v>
      </c>
      <c r="M115">
        <f t="shared" si="139"/>
        <v>4.6879383812418434</v>
      </c>
      <c r="N115">
        <f t="shared" si="140"/>
        <v>41.427751481980565</v>
      </c>
      <c r="O115">
        <f t="shared" si="141"/>
        <v>348.46499999999997</v>
      </c>
      <c r="P115">
        <f t="shared" si="142"/>
        <v>128.11618475016917</v>
      </c>
      <c r="Q115">
        <f t="shared" si="143"/>
        <v>12.693609978227757</v>
      </c>
      <c r="R115">
        <f t="shared" si="144"/>
        <v>34.525527041635499</v>
      </c>
      <c r="S115">
        <f t="shared" si="145"/>
        <v>0.32527277604450905</v>
      </c>
      <c r="T115">
        <f t="shared" si="146"/>
        <v>2.9124490305633568</v>
      </c>
      <c r="U115">
        <f t="shared" si="147"/>
        <v>0.30635446139657496</v>
      </c>
      <c r="V115">
        <f t="shared" si="148"/>
        <v>0.19307951825212838</v>
      </c>
      <c r="W115">
        <f t="shared" si="149"/>
        <v>289.56589132693199</v>
      </c>
      <c r="X115">
        <f t="shared" si="150"/>
        <v>30.785493908765428</v>
      </c>
      <c r="Y115">
        <f t="shared" si="151"/>
        <v>30.119599999999998</v>
      </c>
      <c r="Z115">
        <f t="shared" si="152"/>
        <v>4.2898056559228177</v>
      </c>
      <c r="AA115">
        <f t="shared" si="153"/>
        <v>65.264979828957379</v>
      </c>
      <c r="AB115">
        <f t="shared" si="154"/>
        <v>2.8281277860957399</v>
      </c>
      <c r="AC115">
        <f t="shared" si="155"/>
        <v>4.3333006361260367</v>
      </c>
      <c r="AD115">
        <f t="shared" si="156"/>
        <v>1.4616778698270778</v>
      </c>
      <c r="AE115">
        <f t="shared" si="157"/>
        <v>-206.73808261276531</v>
      </c>
      <c r="AF115">
        <f t="shared" si="158"/>
        <v>27.619105980675549</v>
      </c>
      <c r="AG115">
        <f t="shared" si="159"/>
        <v>2.1129176007042862</v>
      </c>
      <c r="AH115">
        <f t="shared" si="160"/>
        <v>112.55983229554653</v>
      </c>
      <c r="AI115">
        <v>0</v>
      </c>
      <c r="AJ115">
        <v>0</v>
      </c>
      <c r="AK115">
        <f t="shared" si="161"/>
        <v>1</v>
      </c>
      <c r="AL115">
        <f t="shared" si="162"/>
        <v>0</v>
      </c>
      <c r="AM115">
        <f t="shared" si="163"/>
        <v>51793.389433515462</v>
      </c>
      <c r="AN115" t="s">
        <v>419</v>
      </c>
      <c r="AO115">
        <v>9967.0300000000007</v>
      </c>
      <c r="AP115">
        <v>178.94153846153841</v>
      </c>
      <c r="AQ115">
        <v>603.15</v>
      </c>
      <c r="AR115">
        <f t="shared" si="164"/>
        <v>0.7033216638290003</v>
      </c>
      <c r="AS115">
        <v>-3.2649104154664181</v>
      </c>
      <c r="AT115" t="s">
        <v>922</v>
      </c>
      <c r="AU115">
        <v>8071.22</v>
      </c>
      <c r="AV115">
        <v>669.30623076923075</v>
      </c>
      <c r="AW115">
        <v>1036.402091799536</v>
      </c>
      <c r="AX115">
        <f t="shared" si="165"/>
        <v>0.35420216143418404</v>
      </c>
      <c r="AY115">
        <v>0.5</v>
      </c>
      <c r="AZ115">
        <f t="shared" si="166"/>
        <v>1513.18439965126</v>
      </c>
      <c r="BA115">
        <f t="shared" si="167"/>
        <v>41.427751481980565</v>
      </c>
      <c r="BB115">
        <f t="shared" si="168"/>
        <v>267.98659250248221</v>
      </c>
      <c r="BC115">
        <f t="shared" si="169"/>
        <v>2.9535502684105909E-2</v>
      </c>
      <c r="BD115">
        <f t="shared" si="170"/>
        <v>-0.41803475236842436</v>
      </c>
      <c r="BE115">
        <f t="shared" si="171"/>
        <v>204.27625899219538</v>
      </c>
      <c r="BF115" t="s">
        <v>923</v>
      </c>
      <c r="BG115">
        <v>529.11</v>
      </c>
      <c r="BH115">
        <f t="shared" si="172"/>
        <v>529.11</v>
      </c>
      <c r="BI115">
        <f t="shared" si="173"/>
        <v>0.48947420679044518</v>
      </c>
      <c r="BJ115">
        <f t="shared" si="174"/>
        <v>0.72363805185311003</v>
      </c>
      <c r="BK115">
        <f t="shared" si="175"/>
        <v>-5.851594972981311</v>
      </c>
      <c r="BL115">
        <f t="shared" si="176"/>
        <v>0.42811982382308122</v>
      </c>
      <c r="BM115">
        <f t="shared" si="177"/>
        <v>-1.0213188351507094</v>
      </c>
      <c r="BN115">
        <f t="shared" si="178"/>
        <v>0.57206120608790989</v>
      </c>
      <c r="BO115">
        <f t="shared" si="179"/>
        <v>0.42793879391209011</v>
      </c>
      <c r="BP115">
        <v>6233</v>
      </c>
      <c r="BQ115">
        <v>290.00000000000011</v>
      </c>
      <c r="BR115">
        <v>900.82</v>
      </c>
      <c r="BS115">
        <v>285</v>
      </c>
      <c r="BT115">
        <v>8071.22</v>
      </c>
      <c r="BU115">
        <v>903.69</v>
      </c>
      <c r="BV115">
        <v>-2.87</v>
      </c>
      <c r="BW115">
        <v>300.00000000000011</v>
      </c>
      <c r="BX115">
        <v>19.3</v>
      </c>
      <c r="BY115">
        <v>1036.402091799536</v>
      </c>
      <c r="BZ115">
        <v>5.5229735790586867</v>
      </c>
      <c r="CA115">
        <v>-107.1114890686263</v>
      </c>
      <c r="CB115">
        <v>4.0951316478730657</v>
      </c>
      <c r="CC115">
        <v>0.96068113997992921</v>
      </c>
      <c r="CD115">
        <v>-4.1653054505005624E-3</v>
      </c>
      <c r="CE115">
        <v>289.99999999999989</v>
      </c>
      <c r="CF115">
        <v>893.65</v>
      </c>
      <c r="CG115">
        <v>635</v>
      </c>
      <c r="CH115">
        <v>8062.51</v>
      </c>
      <c r="CI115">
        <v>903.55</v>
      </c>
      <c r="CJ115">
        <v>-9.9</v>
      </c>
      <c r="CX115">
        <f t="shared" si="180"/>
        <v>1800</v>
      </c>
      <c r="CY115">
        <f t="shared" si="181"/>
        <v>1513.18439965126</v>
      </c>
      <c r="CZ115">
        <f t="shared" si="182"/>
        <v>0.84065799980625555</v>
      </c>
      <c r="DA115">
        <f t="shared" si="183"/>
        <v>0.16086993962607332</v>
      </c>
      <c r="DB115">
        <v>6</v>
      </c>
      <c r="DC115">
        <v>0.5</v>
      </c>
      <c r="DD115" t="s">
        <v>422</v>
      </c>
      <c r="DE115">
        <v>2</v>
      </c>
      <c r="DF115">
        <v>1689020041.5</v>
      </c>
      <c r="DG115">
        <v>348.46499999999997</v>
      </c>
      <c r="DH115">
        <v>400.12299999999999</v>
      </c>
      <c r="DI115">
        <v>28.5442</v>
      </c>
      <c r="DJ115">
        <v>23.0809</v>
      </c>
      <c r="DK115">
        <v>348.57400000000001</v>
      </c>
      <c r="DL115">
        <v>28.491599999999998</v>
      </c>
      <c r="DM115">
        <v>500.15100000000001</v>
      </c>
      <c r="DN115">
        <v>98.978899999999996</v>
      </c>
      <c r="DO115">
        <v>9.9994700000000006E-2</v>
      </c>
      <c r="DP115">
        <v>30.295500000000001</v>
      </c>
      <c r="DQ115">
        <v>30.119599999999998</v>
      </c>
      <c r="DR115">
        <v>999.9</v>
      </c>
      <c r="DS115">
        <v>0</v>
      </c>
      <c r="DT115">
        <v>0</v>
      </c>
      <c r="DU115">
        <v>10005</v>
      </c>
      <c r="DV115">
        <v>0</v>
      </c>
      <c r="DW115">
        <v>1567.5</v>
      </c>
      <c r="DX115">
        <v>-51.658099999999997</v>
      </c>
      <c r="DY115">
        <v>358.70400000000001</v>
      </c>
      <c r="DZ115">
        <v>409.57600000000002</v>
      </c>
      <c r="EA115">
        <v>5.4632100000000001</v>
      </c>
      <c r="EB115">
        <v>400.12299999999999</v>
      </c>
      <c r="EC115">
        <v>23.0809</v>
      </c>
      <c r="ED115">
        <v>2.8252700000000002</v>
      </c>
      <c r="EE115">
        <v>2.2845300000000002</v>
      </c>
      <c r="EF115">
        <v>23.032499999999999</v>
      </c>
      <c r="EG115">
        <v>19.567699999999999</v>
      </c>
      <c r="EH115">
        <v>1800</v>
      </c>
      <c r="EI115">
        <v>0.97800699999999996</v>
      </c>
      <c r="EJ115">
        <v>2.1992500000000002E-2</v>
      </c>
      <c r="EK115">
        <v>0</v>
      </c>
      <c r="EL115">
        <v>670.55700000000002</v>
      </c>
      <c r="EM115">
        <v>5.0005300000000004</v>
      </c>
      <c r="EN115">
        <v>14969.1</v>
      </c>
      <c r="EO115">
        <v>16035.3</v>
      </c>
      <c r="EP115">
        <v>48.25</v>
      </c>
      <c r="EQ115">
        <v>49.186999999999998</v>
      </c>
      <c r="ER115">
        <v>48.75</v>
      </c>
      <c r="ES115">
        <v>48.686999999999998</v>
      </c>
      <c r="ET115">
        <v>49.436999999999998</v>
      </c>
      <c r="EU115">
        <v>1755.52</v>
      </c>
      <c r="EV115">
        <v>39.479999999999997</v>
      </c>
      <c r="EW115">
        <v>0</v>
      </c>
      <c r="EX115">
        <v>125</v>
      </c>
      <c r="EY115">
        <v>0</v>
      </c>
      <c r="EZ115">
        <v>669.30623076923075</v>
      </c>
      <c r="FA115">
        <v>8.7964444455429742</v>
      </c>
      <c r="FB115">
        <v>-988.6153856462239</v>
      </c>
      <c r="FC115">
        <v>14869.05384615384</v>
      </c>
      <c r="FD115">
        <v>15</v>
      </c>
      <c r="FE115">
        <v>1689019996.5</v>
      </c>
      <c r="FF115" t="s">
        <v>924</v>
      </c>
      <c r="FG115">
        <v>1689019991.5</v>
      </c>
      <c r="FH115">
        <v>1689019996.5</v>
      </c>
      <c r="FI115">
        <v>107</v>
      </c>
      <c r="FJ115">
        <v>0.11899999999999999</v>
      </c>
      <c r="FK115">
        <v>-3.0000000000000001E-3</v>
      </c>
      <c r="FL115">
        <v>-0.112</v>
      </c>
      <c r="FM115">
        <v>4.2999999999999997E-2</v>
      </c>
      <c r="FN115">
        <v>400</v>
      </c>
      <c r="FO115">
        <v>22</v>
      </c>
      <c r="FP115">
        <v>0.04</v>
      </c>
      <c r="FQ115">
        <v>0.02</v>
      </c>
      <c r="FR115">
        <v>41.470336717363089</v>
      </c>
      <c r="FS115">
        <v>-8.5577569429786893E-2</v>
      </c>
      <c r="FT115">
        <v>4.8198860696952041E-2</v>
      </c>
      <c r="FU115">
        <v>1</v>
      </c>
      <c r="FV115">
        <v>0.32578566047142821</v>
      </c>
      <c r="FW115">
        <v>4.9020934767315991E-2</v>
      </c>
      <c r="FX115">
        <v>4.8920625818274074E-3</v>
      </c>
      <c r="FY115">
        <v>1</v>
      </c>
      <c r="FZ115">
        <v>2</v>
      </c>
      <c r="GA115">
        <v>2</v>
      </c>
      <c r="GB115" t="s">
        <v>424</v>
      </c>
      <c r="GC115">
        <v>3.12479</v>
      </c>
      <c r="GD115">
        <v>2.7673299999999998</v>
      </c>
      <c r="GE115">
        <v>7.9290399999999997E-2</v>
      </c>
      <c r="GF115">
        <v>8.8362700000000002E-2</v>
      </c>
      <c r="GG115">
        <v>0.120231</v>
      </c>
      <c r="GH115">
        <v>0.103921</v>
      </c>
      <c r="GI115">
        <v>21952</v>
      </c>
      <c r="GJ115">
        <v>22540.5</v>
      </c>
      <c r="GK115">
        <v>23708.3</v>
      </c>
      <c r="GL115">
        <v>25041.3</v>
      </c>
      <c r="GM115">
        <v>30061.5</v>
      </c>
      <c r="GN115">
        <v>31483.200000000001</v>
      </c>
      <c r="GO115">
        <v>37793.4</v>
      </c>
      <c r="GP115">
        <v>38974.400000000001</v>
      </c>
      <c r="GQ115">
        <v>2.1265499999999999</v>
      </c>
      <c r="GR115">
        <v>1.69438</v>
      </c>
      <c r="GS115">
        <v>4.2922799999999997E-2</v>
      </c>
      <c r="GT115">
        <v>0</v>
      </c>
      <c r="GU115">
        <v>29.4208</v>
      </c>
      <c r="GV115">
        <v>999.9</v>
      </c>
      <c r="GW115">
        <v>24.8</v>
      </c>
      <c r="GX115">
        <v>47.1</v>
      </c>
      <c r="GY115">
        <v>26.891999999999999</v>
      </c>
      <c r="GZ115">
        <v>61.8095</v>
      </c>
      <c r="HA115">
        <v>27.367799999999999</v>
      </c>
      <c r="HB115">
        <v>1</v>
      </c>
      <c r="HC115">
        <v>0.69814299999999996</v>
      </c>
      <c r="HD115">
        <v>4.1809900000000004</v>
      </c>
      <c r="HE115">
        <v>20.2639</v>
      </c>
      <c r="HF115">
        <v>5.2523299999999997</v>
      </c>
      <c r="HG115">
        <v>12.0099</v>
      </c>
      <c r="HH115">
        <v>4.9794999999999998</v>
      </c>
      <c r="HI115">
        <v>3.2930000000000001</v>
      </c>
      <c r="HJ115">
        <v>9999</v>
      </c>
      <c r="HK115">
        <v>9999</v>
      </c>
      <c r="HL115">
        <v>9999</v>
      </c>
      <c r="HM115">
        <v>237</v>
      </c>
      <c r="HN115">
        <v>1.8757299999999999</v>
      </c>
      <c r="HO115">
        <v>1.87683</v>
      </c>
      <c r="HP115">
        <v>1.8828</v>
      </c>
      <c r="HQ115">
        <v>1.8859900000000001</v>
      </c>
      <c r="HR115">
        <v>1.87683</v>
      </c>
      <c r="HS115">
        <v>1.88324</v>
      </c>
      <c r="HT115">
        <v>1.8821699999999999</v>
      </c>
      <c r="HU115">
        <v>1.88568</v>
      </c>
      <c r="HV115">
        <v>0</v>
      </c>
      <c r="HW115">
        <v>0</v>
      </c>
      <c r="HX115">
        <v>0</v>
      </c>
      <c r="HY115">
        <v>0</v>
      </c>
      <c r="HZ115" t="s">
        <v>425</v>
      </c>
      <c r="IA115" t="s">
        <v>426</v>
      </c>
      <c r="IB115" t="s">
        <v>427</v>
      </c>
      <c r="IC115" t="s">
        <v>427</v>
      </c>
      <c r="ID115" t="s">
        <v>427</v>
      </c>
      <c r="IE115" t="s">
        <v>427</v>
      </c>
      <c r="IF115">
        <v>0</v>
      </c>
      <c r="IG115">
        <v>100</v>
      </c>
      <c r="IH115">
        <v>100</v>
      </c>
      <c r="II115">
        <v>-0.109</v>
      </c>
      <c r="IJ115">
        <v>5.2600000000000001E-2</v>
      </c>
      <c r="IK115">
        <v>-2.6728966176831691E-2</v>
      </c>
      <c r="IL115">
        <v>-4.2852564239613137E-4</v>
      </c>
      <c r="IM115">
        <v>6.4980710991155998E-7</v>
      </c>
      <c r="IN115">
        <v>-2.7237938963984961E-10</v>
      </c>
      <c r="IO115">
        <v>-6.4837241104775938E-3</v>
      </c>
      <c r="IP115">
        <v>6.6907473102813496E-3</v>
      </c>
      <c r="IQ115">
        <v>-3.3673306238274028E-4</v>
      </c>
      <c r="IR115">
        <v>6.1311374003140313E-6</v>
      </c>
      <c r="IS115">
        <v>3</v>
      </c>
      <c r="IT115">
        <v>2101</v>
      </c>
      <c r="IU115">
        <v>1</v>
      </c>
      <c r="IV115">
        <v>32</v>
      </c>
      <c r="IW115">
        <v>0.8</v>
      </c>
      <c r="IX115">
        <v>0.8</v>
      </c>
      <c r="IY115">
        <v>1.02051</v>
      </c>
      <c r="IZ115">
        <v>2.7416999999999998</v>
      </c>
      <c r="JA115">
        <v>1.6015600000000001</v>
      </c>
      <c r="JB115">
        <v>2.32666</v>
      </c>
      <c r="JC115">
        <v>1.5502899999999999</v>
      </c>
      <c r="JD115">
        <v>2.3034699999999999</v>
      </c>
      <c r="JE115">
        <v>48.950299999999999</v>
      </c>
      <c r="JF115">
        <v>24.14</v>
      </c>
      <c r="JG115">
        <v>18</v>
      </c>
      <c r="JH115">
        <v>597.27200000000005</v>
      </c>
      <c r="JI115">
        <v>369.85599999999999</v>
      </c>
      <c r="JJ115">
        <v>26.549399999999999</v>
      </c>
      <c r="JK115">
        <v>35.524299999999997</v>
      </c>
      <c r="JL115">
        <v>29.9999</v>
      </c>
      <c r="JM115">
        <v>35.745699999999999</v>
      </c>
      <c r="JN115">
        <v>35.747199999999999</v>
      </c>
      <c r="JO115">
        <v>20.406700000000001</v>
      </c>
      <c r="JP115">
        <v>8.4770000000000003</v>
      </c>
      <c r="JQ115">
        <v>1.9556</v>
      </c>
      <c r="JR115">
        <v>26.521899999999999</v>
      </c>
      <c r="JS115">
        <v>400</v>
      </c>
      <c r="JT115">
        <v>23.0352</v>
      </c>
      <c r="JU115">
        <v>98.573400000000007</v>
      </c>
      <c r="JV115">
        <v>98.627300000000005</v>
      </c>
    </row>
    <row r="116" spans="1:282" x14ac:dyDescent="0.25">
      <c r="A116">
        <v>100</v>
      </c>
      <c r="B116">
        <v>1689020193.5</v>
      </c>
      <c r="C116">
        <v>20370.900000095371</v>
      </c>
      <c r="D116" t="s">
        <v>925</v>
      </c>
      <c r="E116" t="s">
        <v>926</v>
      </c>
      <c r="F116" t="s">
        <v>414</v>
      </c>
      <c r="G116" t="s">
        <v>415</v>
      </c>
      <c r="H116" t="s">
        <v>416</v>
      </c>
      <c r="I116" t="s">
        <v>501</v>
      </c>
      <c r="J116" t="s">
        <v>418</v>
      </c>
      <c r="K116">
        <v>1689020193.5</v>
      </c>
      <c r="L116">
        <f t="shared" si="138"/>
        <v>4.9224089090107283E-3</v>
      </c>
      <c r="M116">
        <f t="shared" si="139"/>
        <v>4.9224089090107279</v>
      </c>
      <c r="N116">
        <f t="shared" si="140"/>
        <v>42.33972584371439</v>
      </c>
      <c r="O116">
        <f t="shared" si="141"/>
        <v>347.27600000000001</v>
      </c>
      <c r="P116">
        <f t="shared" si="142"/>
        <v>130.66602143389292</v>
      </c>
      <c r="Q116">
        <f t="shared" si="143"/>
        <v>12.945399412558718</v>
      </c>
      <c r="R116">
        <f t="shared" si="144"/>
        <v>34.405474943386004</v>
      </c>
      <c r="S116">
        <f t="shared" si="145"/>
        <v>0.33917998749589934</v>
      </c>
      <c r="T116">
        <f t="shared" si="146"/>
        <v>2.9099369654834693</v>
      </c>
      <c r="U116">
        <f t="shared" si="147"/>
        <v>0.31864755405220963</v>
      </c>
      <c r="V116">
        <f t="shared" si="148"/>
        <v>0.20089581820711067</v>
      </c>
      <c r="W116">
        <f t="shared" si="149"/>
        <v>289.56110332692077</v>
      </c>
      <c r="X116">
        <f t="shared" si="150"/>
        <v>30.420930714741292</v>
      </c>
      <c r="Y116">
        <f t="shared" si="151"/>
        <v>30.032699999999998</v>
      </c>
      <c r="Z116">
        <f t="shared" si="152"/>
        <v>4.2684585623874227</v>
      </c>
      <c r="AA116">
        <f t="shared" si="153"/>
        <v>65.577024341824284</v>
      </c>
      <c r="AB116">
        <f t="shared" si="154"/>
        <v>2.7925444939521502</v>
      </c>
      <c r="AC116">
        <f t="shared" si="155"/>
        <v>4.2584190453593012</v>
      </c>
      <c r="AD116">
        <f t="shared" si="156"/>
        <v>1.4759140684352725</v>
      </c>
      <c r="AE116">
        <f t="shared" si="157"/>
        <v>-217.0782328873731</v>
      </c>
      <c r="AF116">
        <f t="shared" si="158"/>
        <v>-6.4321013890084373</v>
      </c>
      <c r="AG116">
        <f t="shared" si="159"/>
        <v>-0.49154225063940593</v>
      </c>
      <c r="AH116">
        <f t="shared" si="160"/>
        <v>65.559226799899847</v>
      </c>
      <c r="AI116">
        <v>0</v>
      </c>
      <c r="AJ116">
        <v>0</v>
      </c>
      <c r="AK116">
        <f t="shared" si="161"/>
        <v>1</v>
      </c>
      <c r="AL116">
        <f t="shared" si="162"/>
        <v>0</v>
      </c>
      <c r="AM116">
        <f t="shared" si="163"/>
        <v>51773.785435141268</v>
      </c>
      <c r="AN116" t="s">
        <v>419</v>
      </c>
      <c r="AO116">
        <v>9967.0300000000007</v>
      </c>
      <c r="AP116">
        <v>178.94153846153841</v>
      </c>
      <c r="AQ116">
        <v>603.15</v>
      </c>
      <c r="AR116">
        <f t="shared" si="164"/>
        <v>0.7033216638290003</v>
      </c>
      <c r="AS116">
        <v>-3.2649104154664181</v>
      </c>
      <c r="AT116" t="s">
        <v>927</v>
      </c>
      <c r="AU116">
        <v>8071.29</v>
      </c>
      <c r="AV116">
        <v>677.25361538461539</v>
      </c>
      <c r="AW116">
        <v>1064.1500360075149</v>
      </c>
      <c r="AX116">
        <f t="shared" si="165"/>
        <v>0.36357318755018797</v>
      </c>
      <c r="AY116">
        <v>0.5</v>
      </c>
      <c r="AZ116">
        <f t="shared" si="166"/>
        <v>1513.1591996512543</v>
      </c>
      <c r="BA116">
        <f t="shared" si="167"/>
        <v>42.33972584371439</v>
      </c>
      <c r="BB116">
        <f t="shared" si="168"/>
        <v>275.07205674404889</v>
      </c>
      <c r="BC116">
        <f t="shared" si="169"/>
        <v>3.0138690145552132E-2</v>
      </c>
      <c r="BD116">
        <f t="shared" si="170"/>
        <v>-0.43320962308764083</v>
      </c>
      <c r="BE116">
        <f t="shared" si="171"/>
        <v>205.33155247063371</v>
      </c>
      <c r="BF116" t="s">
        <v>928</v>
      </c>
      <c r="BG116">
        <v>529.91</v>
      </c>
      <c r="BH116">
        <f t="shared" si="172"/>
        <v>529.91</v>
      </c>
      <c r="BI116">
        <f t="shared" si="173"/>
        <v>0.50203450446882492</v>
      </c>
      <c r="BJ116">
        <f t="shared" si="174"/>
        <v>0.7241996004534883</v>
      </c>
      <c r="BK116">
        <f t="shared" si="175"/>
        <v>-6.2943751502937584</v>
      </c>
      <c r="BL116">
        <f t="shared" si="176"/>
        <v>0.43706812767328257</v>
      </c>
      <c r="BM116">
        <f t="shared" si="177"/>
        <v>-1.0867299401233599</v>
      </c>
      <c r="BN116">
        <f t="shared" si="178"/>
        <v>0.56664239445716147</v>
      </c>
      <c r="BO116">
        <f t="shared" si="179"/>
        <v>0.43335760554283853</v>
      </c>
      <c r="BP116">
        <v>6235</v>
      </c>
      <c r="BQ116">
        <v>290.00000000000011</v>
      </c>
      <c r="BR116">
        <v>923.9</v>
      </c>
      <c r="BS116">
        <v>285</v>
      </c>
      <c r="BT116">
        <v>8071.29</v>
      </c>
      <c r="BU116">
        <v>926.8</v>
      </c>
      <c r="BV116">
        <v>-2.9</v>
      </c>
      <c r="BW116">
        <v>300.00000000000011</v>
      </c>
      <c r="BX116">
        <v>19.3</v>
      </c>
      <c r="BY116">
        <v>1064.1500360075149</v>
      </c>
      <c r="BZ116">
        <v>4.97496898248514</v>
      </c>
      <c r="CA116">
        <v>-110.8607692275295</v>
      </c>
      <c r="CB116">
        <v>3.6888382830059649</v>
      </c>
      <c r="CC116">
        <v>0.96993077545674999</v>
      </c>
      <c r="CD116">
        <v>-4.1655911012235857E-3</v>
      </c>
      <c r="CE116">
        <v>289.99999999999989</v>
      </c>
      <c r="CF116">
        <v>916.8</v>
      </c>
      <c r="CG116">
        <v>645</v>
      </c>
      <c r="CH116">
        <v>8062.24</v>
      </c>
      <c r="CI116">
        <v>926.64</v>
      </c>
      <c r="CJ116">
        <v>-9.84</v>
      </c>
      <c r="CX116">
        <f t="shared" si="180"/>
        <v>1799.97</v>
      </c>
      <c r="CY116">
        <f t="shared" si="181"/>
        <v>1513.1591996512543</v>
      </c>
      <c r="CZ116">
        <f t="shared" si="182"/>
        <v>0.84065801077309865</v>
      </c>
      <c r="DA116">
        <f t="shared" si="183"/>
        <v>0.1608699607920803</v>
      </c>
      <c r="DB116">
        <v>6</v>
      </c>
      <c r="DC116">
        <v>0.5</v>
      </c>
      <c r="DD116" t="s">
        <v>422</v>
      </c>
      <c r="DE116">
        <v>2</v>
      </c>
      <c r="DF116">
        <v>1689020193.5</v>
      </c>
      <c r="DG116">
        <v>347.27600000000001</v>
      </c>
      <c r="DH116">
        <v>400.12400000000002</v>
      </c>
      <c r="DI116">
        <v>28.186900000000001</v>
      </c>
      <c r="DJ116">
        <v>22.447700000000001</v>
      </c>
      <c r="DK116">
        <v>347.58699999999999</v>
      </c>
      <c r="DL116">
        <v>28.133199999999999</v>
      </c>
      <c r="DM116">
        <v>500.10399999999998</v>
      </c>
      <c r="DN116">
        <v>98.972800000000007</v>
      </c>
      <c r="DO116">
        <v>9.9623500000000004E-2</v>
      </c>
      <c r="DP116">
        <v>29.991700000000002</v>
      </c>
      <c r="DQ116">
        <v>30.032699999999998</v>
      </c>
      <c r="DR116">
        <v>999.9</v>
      </c>
      <c r="DS116">
        <v>0</v>
      </c>
      <c r="DT116">
        <v>0</v>
      </c>
      <c r="DU116">
        <v>9991.25</v>
      </c>
      <c r="DV116">
        <v>0</v>
      </c>
      <c r="DW116">
        <v>1669.17</v>
      </c>
      <c r="DX116">
        <v>-52.848100000000002</v>
      </c>
      <c r="DY116">
        <v>357.34800000000001</v>
      </c>
      <c r="DZ116">
        <v>409.31200000000001</v>
      </c>
      <c r="EA116">
        <v>5.7392599999999998</v>
      </c>
      <c r="EB116">
        <v>400.12400000000002</v>
      </c>
      <c r="EC116">
        <v>22.447700000000001</v>
      </c>
      <c r="ED116">
        <v>2.7897400000000001</v>
      </c>
      <c r="EE116">
        <v>2.2217099999999999</v>
      </c>
      <c r="EF116">
        <v>22.823499999999999</v>
      </c>
      <c r="EG116">
        <v>19.119700000000002</v>
      </c>
      <c r="EH116">
        <v>1799.97</v>
      </c>
      <c r="EI116">
        <v>0.97800699999999996</v>
      </c>
      <c r="EJ116">
        <v>2.1992500000000002E-2</v>
      </c>
      <c r="EK116">
        <v>0</v>
      </c>
      <c r="EL116">
        <v>677.86400000000003</v>
      </c>
      <c r="EM116">
        <v>5.0005300000000004</v>
      </c>
      <c r="EN116">
        <v>15075.9</v>
      </c>
      <c r="EO116">
        <v>16035</v>
      </c>
      <c r="EP116">
        <v>48.311999999999998</v>
      </c>
      <c r="EQ116">
        <v>49.5</v>
      </c>
      <c r="ER116">
        <v>48.811999999999998</v>
      </c>
      <c r="ES116">
        <v>48.875</v>
      </c>
      <c r="ET116">
        <v>49.5</v>
      </c>
      <c r="EU116">
        <v>1755.49</v>
      </c>
      <c r="EV116">
        <v>39.479999999999997</v>
      </c>
      <c r="EW116">
        <v>0</v>
      </c>
      <c r="EX116">
        <v>150.20000004768369</v>
      </c>
      <c r="EY116">
        <v>0</v>
      </c>
      <c r="EZ116">
        <v>677.25361538461539</v>
      </c>
      <c r="FA116">
        <v>3.1324444384033279</v>
      </c>
      <c r="FB116">
        <v>-42.601710007356928</v>
      </c>
      <c r="FC116">
        <v>15072.196153846149</v>
      </c>
      <c r="FD116">
        <v>15</v>
      </c>
      <c r="FE116">
        <v>1689020161</v>
      </c>
      <c r="FF116" t="s">
        <v>929</v>
      </c>
      <c r="FG116">
        <v>1689020151.5</v>
      </c>
      <c r="FH116">
        <v>1689020161</v>
      </c>
      <c r="FI116">
        <v>108</v>
      </c>
      <c r="FJ116">
        <v>-0.20300000000000001</v>
      </c>
      <c r="FK116">
        <v>2E-3</v>
      </c>
      <c r="FL116">
        <v>-0.314</v>
      </c>
      <c r="FM116">
        <v>4.5999999999999999E-2</v>
      </c>
      <c r="FN116">
        <v>399</v>
      </c>
      <c r="FO116">
        <v>23</v>
      </c>
      <c r="FP116">
        <v>0.04</v>
      </c>
      <c r="FQ116">
        <v>0.02</v>
      </c>
      <c r="FR116">
        <v>42.451743538933528</v>
      </c>
      <c r="FS116">
        <v>-0.69080335676131099</v>
      </c>
      <c r="FT116">
        <v>6.0103525326695759E-2</v>
      </c>
      <c r="FU116">
        <v>1</v>
      </c>
      <c r="FV116">
        <v>0.33690925566215219</v>
      </c>
      <c r="FW116">
        <v>4.2288002268237451E-2</v>
      </c>
      <c r="FX116">
        <v>3.2984606671951429E-3</v>
      </c>
      <c r="FY116">
        <v>1</v>
      </c>
      <c r="FZ116">
        <v>2</v>
      </c>
      <c r="GA116">
        <v>2</v>
      </c>
      <c r="GB116" t="s">
        <v>424</v>
      </c>
      <c r="GC116">
        <v>3.1244499999999999</v>
      </c>
      <c r="GD116">
        <v>2.7668599999999999</v>
      </c>
      <c r="GE116">
        <v>7.9125799999999996E-2</v>
      </c>
      <c r="GF116">
        <v>8.8372699999999998E-2</v>
      </c>
      <c r="GG116">
        <v>0.119202</v>
      </c>
      <c r="GH116">
        <v>0.101908</v>
      </c>
      <c r="GI116">
        <v>21963.9</v>
      </c>
      <c r="GJ116">
        <v>22546.2</v>
      </c>
      <c r="GK116">
        <v>23716.7</v>
      </c>
      <c r="GL116">
        <v>25047.5</v>
      </c>
      <c r="GM116">
        <v>30107.5</v>
      </c>
      <c r="GN116">
        <v>31560.1</v>
      </c>
      <c r="GO116">
        <v>37806.9</v>
      </c>
      <c r="GP116">
        <v>38981.800000000003</v>
      </c>
      <c r="GQ116">
        <v>2.1280299999999999</v>
      </c>
      <c r="GR116">
        <v>1.6956800000000001</v>
      </c>
      <c r="GS116">
        <v>-7.2270600000000004E-3</v>
      </c>
      <c r="GT116">
        <v>0</v>
      </c>
      <c r="GU116">
        <v>30.150300000000001</v>
      </c>
      <c r="GV116">
        <v>999.9</v>
      </c>
      <c r="GW116">
        <v>25</v>
      </c>
      <c r="GX116">
        <v>46.9</v>
      </c>
      <c r="GY116">
        <v>26.8368</v>
      </c>
      <c r="GZ116">
        <v>61.039499999999997</v>
      </c>
      <c r="HA116">
        <v>27.4239</v>
      </c>
      <c r="HB116">
        <v>1</v>
      </c>
      <c r="HC116">
        <v>0.68505099999999997</v>
      </c>
      <c r="HD116">
        <v>3.8305099999999999</v>
      </c>
      <c r="HE116">
        <v>20.273099999999999</v>
      </c>
      <c r="HF116">
        <v>5.2496400000000003</v>
      </c>
      <c r="HG116">
        <v>12.0099</v>
      </c>
      <c r="HH116">
        <v>4.9781000000000004</v>
      </c>
      <c r="HI116">
        <v>3.2922500000000001</v>
      </c>
      <c r="HJ116">
        <v>9999</v>
      </c>
      <c r="HK116">
        <v>9999</v>
      </c>
      <c r="HL116">
        <v>9999</v>
      </c>
      <c r="HM116">
        <v>237.1</v>
      </c>
      <c r="HN116">
        <v>1.8757299999999999</v>
      </c>
      <c r="HO116">
        <v>1.8768199999999999</v>
      </c>
      <c r="HP116">
        <v>1.88279</v>
      </c>
      <c r="HQ116">
        <v>1.8859900000000001</v>
      </c>
      <c r="HR116">
        <v>1.87683</v>
      </c>
      <c r="HS116">
        <v>1.88324</v>
      </c>
      <c r="HT116">
        <v>1.8821699999999999</v>
      </c>
      <c r="HU116">
        <v>1.88568</v>
      </c>
      <c r="HV116">
        <v>0</v>
      </c>
      <c r="HW116">
        <v>0</v>
      </c>
      <c r="HX116">
        <v>0</v>
      </c>
      <c r="HY116">
        <v>0</v>
      </c>
      <c r="HZ116" t="s">
        <v>425</v>
      </c>
      <c r="IA116" t="s">
        <v>426</v>
      </c>
      <c r="IB116" t="s">
        <v>427</v>
      </c>
      <c r="IC116" t="s">
        <v>427</v>
      </c>
      <c r="ID116" t="s">
        <v>427</v>
      </c>
      <c r="IE116" t="s">
        <v>427</v>
      </c>
      <c r="IF116">
        <v>0</v>
      </c>
      <c r="IG116">
        <v>100</v>
      </c>
      <c r="IH116">
        <v>100</v>
      </c>
      <c r="II116">
        <v>-0.311</v>
      </c>
      <c r="IJ116">
        <v>5.3699999999999998E-2</v>
      </c>
      <c r="IK116">
        <v>-0.22963121451803681</v>
      </c>
      <c r="IL116">
        <v>-4.2852564239613137E-4</v>
      </c>
      <c r="IM116">
        <v>6.4980710991155998E-7</v>
      </c>
      <c r="IN116">
        <v>-2.7237938963984961E-10</v>
      </c>
      <c r="IO116">
        <v>-4.5008196785275272E-3</v>
      </c>
      <c r="IP116">
        <v>6.6907473102813496E-3</v>
      </c>
      <c r="IQ116">
        <v>-3.3673306238274028E-4</v>
      </c>
      <c r="IR116">
        <v>6.1311374003140313E-6</v>
      </c>
      <c r="IS116">
        <v>3</v>
      </c>
      <c r="IT116">
        <v>2101</v>
      </c>
      <c r="IU116">
        <v>1</v>
      </c>
      <c r="IV116">
        <v>32</v>
      </c>
      <c r="IW116">
        <v>0.7</v>
      </c>
      <c r="IX116">
        <v>0.5</v>
      </c>
      <c r="IY116">
        <v>1.01685</v>
      </c>
      <c r="IZ116">
        <v>2.7477999999999998</v>
      </c>
      <c r="JA116">
        <v>1.6015600000000001</v>
      </c>
      <c r="JB116">
        <v>2.32666</v>
      </c>
      <c r="JC116">
        <v>1.5502899999999999</v>
      </c>
      <c r="JD116">
        <v>2.3010299999999999</v>
      </c>
      <c r="JE116">
        <v>48.856900000000003</v>
      </c>
      <c r="JF116">
        <v>24.14</v>
      </c>
      <c r="JG116">
        <v>18</v>
      </c>
      <c r="JH116">
        <v>597.44000000000005</v>
      </c>
      <c r="JI116">
        <v>370.09199999999998</v>
      </c>
      <c r="JJ116">
        <v>26.295999999999999</v>
      </c>
      <c r="JK116">
        <v>35.4328</v>
      </c>
      <c r="JL116">
        <v>30.000599999999999</v>
      </c>
      <c r="JM116">
        <v>35.644799999999996</v>
      </c>
      <c r="JN116">
        <v>35.653700000000001</v>
      </c>
      <c r="JO116">
        <v>20.346699999999998</v>
      </c>
      <c r="JP116">
        <v>14.9796</v>
      </c>
      <c r="JQ116">
        <v>2.9043800000000002</v>
      </c>
      <c r="JR116">
        <v>26.284199999999998</v>
      </c>
      <c r="JS116">
        <v>400</v>
      </c>
      <c r="JT116">
        <v>22.2727</v>
      </c>
      <c r="JU116">
        <v>98.608400000000003</v>
      </c>
      <c r="JV116">
        <v>98.648300000000006</v>
      </c>
    </row>
    <row r="117" spans="1:282" x14ac:dyDescent="0.25">
      <c r="A117">
        <v>101</v>
      </c>
      <c r="B117">
        <v>1689020302.5</v>
      </c>
      <c r="C117">
        <v>20479.900000095371</v>
      </c>
      <c r="D117" t="s">
        <v>930</v>
      </c>
      <c r="E117" t="s">
        <v>931</v>
      </c>
      <c r="F117" t="s">
        <v>414</v>
      </c>
      <c r="G117" t="s">
        <v>415</v>
      </c>
      <c r="H117" t="s">
        <v>416</v>
      </c>
      <c r="I117" t="s">
        <v>501</v>
      </c>
      <c r="J117" t="s">
        <v>418</v>
      </c>
      <c r="K117">
        <v>1689020302.5</v>
      </c>
      <c r="L117">
        <f t="shared" si="138"/>
        <v>4.8669973438118597E-3</v>
      </c>
      <c r="M117">
        <f t="shared" si="139"/>
        <v>4.8669973438118594</v>
      </c>
      <c r="N117">
        <f t="shared" si="140"/>
        <v>45.544573347523986</v>
      </c>
      <c r="O117">
        <f t="shared" si="141"/>
        <v>442.93700000000001</v>
      </c>
      <c r="P117">
        <f t="shared" si="142"/>
        <v>205.59799469487274</v>
      </c>
      <c r="Q117">
        <f t="shared" si="143"/>
        <v>20.369515914302635</v>
      </c>
      <c r="R117">
        <f t="shared" si="144"/>
        <v>43.883756181200098</v>
      </c>
      <c r="S117">
        <f t="shared" si="145"/>
        <v>0.33498599325463602</v>
      </c>
      <c r="T117">
        <f t="shared" si="146"/>
        <v>2.9118311916012596</v>
      </c>
      <c r="U117">
        <f t="shared" si="147"/>
        <v>0.31495429429273453</v>
      </c>
      <c r="V117">
        <f t="shared" si="148"/>
        <v>0.19854630441050594</v>
      </c>
      <c r="W117">
        <f t="shared" si="149"/>
        <v>289.56443632641304</v>
      </c>
      <c r="X117">
        <f t="shared" si="150"/>
        <v>30.323887795185406</v>
      </c>
      <c r="Y117">
        <f t="shared" si="151"/>
        <v>29.962800000000001</v>
      </c>
      <c r="Z117">
        <f t="shared" si="152"/>
        <v>4.2513547812397965</v>
      </c>
      <c r="AA117">
        <f t="shared" si="153"/>
        <v>65.574662945103199</v>
      </c>
      <c r="AB117">
        <f t="shared" si="154"/>
        <v>2.7746404615288802</v>
      </c>
      <c r="AC117">
        <f t="shared" si="155"/>
        <v>4.2312691166277308</v>
      </c>
      <c r="AD117">
        <f t="shared" si="156"/>
        <v>1.4767143197109163</v>
      </c>
      <c r="AE117">
        <f t="shared" si="157"/>
        <v>-214.634582862103</v>
      </c>
      <c r="AF117">
        <f t="shared" si="158"/>
        <v>-12.935369799812396</v>
      </c>
      <c r="AG117">
        <f t="shared" si="159"/>
        <v>-0.98699419203792726</v>
      </c>
      <c r="AH117">
        <f t="shared" si="160"/>
        <v>61.007489472459739</v>
      </c>
      <c r="AI117">
        <v>0</v>
      </c>
      <c r="AJ117">
        <v>0</v>
      </c>
      <c r="AK117">
        <f t="shared" si="161"/>
        <v>1</v>
      </c>
      <c r="AL117">
        <f t="shared" si="162"/>
        <v>0</v>
      </c>
      <c r="AM117">
        <f t="shared" si="163"/>
        <v>51846.708318056313</v>
      </c>
      <c r="AN117" t="s">
        <v>419</v>
      </c>
      <c r="AO117">
        <v>9967.0300000000007</v>
      </c>
      <c r="AP117">
        <v>178.94153846153841</v>
      </c>
      <c r="AQ117">
        <v>603.15</v>
      </c>
      <c r="AR117">
        <f t="shared" si="164"/>
        <v>0.7033216638290003</v>
      </c>
      <c r="AS117">
        <v>-3.2649104154664181</v>
      </c>
      <c r="AT117" t="s">
        <v>932</v>
      </c>
      <c r="AU117">
        <v>8070.31</v>
      </c>
      <c r="AV117">
        <v>688.51726923076922</v>
      </c>
      <c r="AW117">
        <v>1105.5886150293479</v>
      </c>
      <c r="AX117">
        <f t="shared" si="165"/>
        <v>0.37723918293741432</v>
      </c>
      <c r="AY117">
        <v>0.5</v>
      </c>
      <c r="AZ117">
        <f t="shared" si="166"/>
        <v>1513.1684996509912</v>
      </c>
      <c r="BA117">
        <f t="shared" si="167"/>
        <v>45.544573347523986</v>
      </c>
      <c r="BB117">
        <f t="shared" si="168"/>
        <v>285.41322422748652</v>
      </c>
      <c r="BC117">
        <f t="shared" si="169"/>
        <v>3.2256476244547916E-2</v>
      </c>
      <c r="BD117">
        <f t="shared" si="170"/>
        <v>-0.45445349942936114</v>
      </c>
      <c r="BE117">
        <f t="shared" si="171"/>
        <v>206.82734749994833</v>
      </c>
      <c r="BF117" t="s">
        <v>933</v>
      </c>
      <c r="BG117">
        <v>532.74</v>
      </c>
      <c r="BH117">
        <f t="shared" si="172"/>
        <v>532.74</v>
      </c>
      <c r="BI117">
        <f t="shared" si="173"/>
        <v>0.51813903222415292</v>
      </c>
      <c r="BJ117">
        <f t="shared" si="174"/>
        <v>0.72806555668675488</v>
      </c>
      <c r="BK117">
        <f t="shared" si="175"/>
        <v>-7.1358985233539007</v>
      </c>
      <c r="BL117">
        <f t="shared" si="176"/>
        <v>0.45008650687526186</v>
      </c>
      <c r="BM117">
        <f t="shared" si="177"/>
        <v>-1.1844144107997561</v>
      </c>
      <c r="BN117">
        <f t="shared" si="178"/>
        <v>0.5633404738019725</v>
      </c>
      <c r="BO117">
        <f t="shared" si="179"/>
        <v>0.4366595261980275</v>
      </c>
      <c r="BP117">
        <v>6237</v>
      </c>
      <c r="BQ117">
        <v>290.00000000000011</v>
      </c>
      <c r="BR117">
        <v>961.04</v>
      </c>
      <c r="BS117">
        <v>295</v>
      </c>
      <c r="BT117">
        <v>8070.31</v>
      </c>
      <c r="BU117">
        <v>964.6</v>
      </c>
      <c r="BV117">
        <v>-3.56</v>
      </c>
      <c r="BW117">
        <v>300.00000000000011</v>
      </c>
      <c r="BX117">
        <v>19.3</v>
      </c>
      <c r="BY117">
        <v>1105.5886150293479</v>
      </c>
      <c r="BZ117">
        <v>5.0840366126933549</v>
      </c>
      <c r="CA117">
        <v>-113.7783306739331</v>
      </c>
      <c r="CB117">
        <v>3.7692303842506121</v>
      </c>
      <c r="CC117">
        <v>0.97018739602032</v>
      </c>
      <c r="CD117">
        <v>-4.1650780867630664E-3</v>
      </c>
      <c r="CE117">
        <v>289.99999999999989</v>
      </c>
      <c r="CF117">
        <v>955.53</v>
      </c>
      <c r="CG117">
        <v>635</v>
      </c>
      <c r="CH117">
        <v>8061.54</v>
      </c>
      <c r="CI117">
        <v>964.45</v>
      </c>
      <c r="CJ117">
        <v>-8.92</v>
      </c>
      <c r="CX117">
        <f t="shared" si="180"/>
        <v>1799.98</v>
      </c>
      <c r="CY117">
        <f t="shared" si="181"/>
        <v>1513.1684996509912</v>
      </c>
      <c r="CZ117">
        <f t="shared" si="182"/>
        <v>0.84065850712285206</v>
      </c>
      <c r="DA117">
        <f t="shared" si="183"/>
        <v>0.16087091874710444</v>
      </c>
      <c r="DB117">
        <v>6</v>
      </c>
      <c r="DC117">
        <v>0.5</v>
      </c>
      <c r="DD117" t="s">
        <v>422</v>
      </c>
      <c r="DE117">
        <v>2</v>
      </c>
      <c r="DF117">
        <v>1689020302.5</v>
      </c>
      <c r="DG117">
        <v>442.93700000000001</v>
      </c>
      <c r="DH117">
        <v>500.16699999999997</v>
      </c>
      <c r="DI117">
        <v>28.005600000000001</v>
      </c>
      <c r="DJ117">
        <v>22.329799999999999</v>
      </c>
      <c r="DK117">
        <v>443.16500000000002</v>
      </c>
      <c r="DL117">
        <v>27.951899999999998</v>
      </c>
      <c r="DM117">
        <v>500.09100000000001</v>
      </c>
      <c r="DN117">
        <v>98.974599999999995</v>
      </c>
      <c r="DO117">
        <v>9.9887299999999998E-2</v>
      </c>
      <c r="DP117">
        <v>29.880400000000002</v>
      </c>
      <c r="DQ117">
        <v>29.962800000000001</v>
      </c>
      <c r="DR117">
        <v>999.9</v>
      </c>
      <c r="DS117">
        <v>0</v>
      </c>
      <c r="DT117">
        <v>0</v>
      </c>
      <c r="DU117">
        <v>10001.9</v>
      </c>
      <c r="DV117">
        <v>0</v>
      </c>
      <c r="DW117">
        <v>496.43700000000001</v>
      </c>
      <c r="DX117">
        <v>-57.23</v>
      </c>
      <c r="DY117">
        <v>455.69900000000001</v>
      </c>
      <c r="DZ117">
        <v>511.59100000000001</v>
      </c>
      <c r="EA117">
        <v>5.6757099999999996</v>
      </c>
      <c r="EB117">
        <v>500.16699999999997</v>
      </c>
      <c r="EC117">
        <v>22.329799999999999</v>
      </c>
      <c r="ED117">
        <v>2.7718400000000001</v>
      </c>
      <c r="EE117">
        <v>2.2100900000000001</v>
      </c>
      <c r="EF117">
        <v>22.717300000000002</v>
      </c>
      <c r="EG117">
        <v>19.035599999999999</v>
      </c>
      <c r="EH117">
        <v>1799.98</v>
      </c>
      <c r="EI117">
        <v>0.97799100000000005</v>
      </c>
      <c r="EJ117">
        <v>2.2009299999999999E-2</v>
      </c>
      <c r="EK117">
        <v>0</v>
      </c>
      <c r="EL117">
        <v>688.16899999999998</v>
      </c>
      <c r="EM117">
        <v>5.0005300000000004</v>
      </c>
      <c r="EN117">
        <v>13901.1</v>
      </c>
      <c r="EO117">
        <v>16035</v>
      </c>
      <c r="EP117">
        <v>48.436999999999998</v>
      </c>
      <c r="EQ117">
        <v>49.811999999999998</v>
      </c>
      <c r="ER117">
        <v>49.061999999999998</v>
      </c>
      <c r="ES117">
        <v>49.186999999999998</v>
      </c>
      <c r="ET117">
        <v>49.625</v>
      </c>
      <c r="EU117">
        <v>1755.47</v>
      </c>
      <c r="EV117">
        <v>39.51</v>
      </c>
      <c r="EW117">
        <v>0</v>
      </c>
      <c r="EX117">
        <v>106.80000019073491</v>
      </c>
      <c r="EY117">
        <v>0</v>
      </c>
      <c r="EZ117">
        <v>688.51726923076922</v>
      </c>
      <c r="FA117">
        <v>-0.66800001509315909</v>
      </c>
      <c r="FB117">
        <v>-4568.7316232518451</v>
      </c>
      <c r="FC117">
        <v>14331.053846153851</v>
      </c>
      <c r="FD117">
        <v>15</v>
      </c>
      <c r="FE117">
        <v>1689020269</v>
      </c>
      <c r="FF117" t="s">
        <v>934</v>
      </c>
      <c r="FG117">
        <v>1689020268.5</v>
      </c>
      <c r="FH117">
        <v>1689020269</v>
      </c>
      <c r="FI117">
        <v>109</v>
      </c>
      <c r="FJ117">
        <v>8.6999999999999994E-2</v>
      </c>
      <c r="FK117">
        <v>0</v>
      </c>
      <c r="FL117">
        <v>-0.22800000000000001</v>
      </c>
      <c r="FM117">
        <v>4.4999999999999998E-2</v>
      </c>
      <c r="FN117">
        <v>500</v>
      </c>
      <c r="FO117">
        <v>22</v>
      </c>
      <c r="FP117">
        <v>0.04</v>
      </c>
      <c r="FQ117">
        <v>0.02</v>
      </c>
      <c r="FR117">
        <v>45.657232266176791</v>
      </c>
      <c r="FS117">
        <v>-0.43340845677345391</v>
      </c>
      <c r="FT117">
        <v>5.731080237770915E-2</v>
      </c>
      <c r="FU117">
        <v>1</v>
      </c>
      <c r="FV117">
        <v>0.33155968840664152</v>
      </c>
      <c r="FW117">
        <v>4.0935971599994882E-2</v>
      </c>
      <c r="FX117">
        <v>3.2256036174037172E-3</v>
      </c>
      <c r="FY117">
        <v>1</v>
      </c>
      <c r="FZ117">
        <v>2</v>
      </c>
      <c r="GA117">
        <v>2</v>
      </c>
      <c r="GB117" t="s">
        <v>424</v>
      </c>
      <c r="GC117">
        <v>3.12466</v>
      </c>
      <c r="GD117">
        <v>2.7671999999999999</v>
      </c>
      <c r="GE117">
        <v>9.5441700000000004E-2</v>
      </c>
      <c r="GF117">
        <v>0.10441499999999999</v>
      </c>
      <c r="GG117">
        <v>0.118661</v>
      </c>
      <c r="GH117">
        <v>0.101521</v>
      </c>
      <c r="GI117">
        <v>21570.400000000001</v>
      </c>
      <c r="GJ117">
        <v>22144.5</v>
      </c>
      <c r="GK117">
        <v>23712</v>
      </c>
      <c r="GL117">
        <v>25042.3</v>
      </c>
      <c r="GM117">
        <v>30120.3</v>
      </c>
      <c r="GN117">
        <v>31568.2</v>
      </c>
      <c r="GO117">
        <v>37799.9</v>
      </c>
      <c r="GP117">
        <v>38975.1</v>
      </c>
      <c r="GQ117">
        <v>2.1279699999999999</v>
      </c>
      <c r="GR117">
        <v>1.69425</v>
      </c>
      <c r="GS117">
        <v>-1.9565200000000001E-2</v>
      </c>
      <c r="GT117">
        <v>0</v>
      </c>
      <c r="GU117">
        <v>30.281099999999999</v>
      </c>
      <c r="GV117">
        <v>999.9</v>
      </c>
      <c r="GW117">
        <v>25.1</v>
      </c>
      <c r="GX117">
        <v>46.9</v>
      </c>
      <c r="GY117">
        <v>26.941800000000001</v>
      </c>
      <c r="GZ117">
        <v>61.719499999999996</v>
      </c>
      <c r="HA117">
        <v>27.692299999999999</v>
      </c>
      <c r="HB117">
        <v>1</v>
      </c>
      <c r="HC117">
        <v>0.68950999999999996</v>
      </c>
      <c r="HD117">
        <v>3.1718700000000002</v>
      </c>
      <c r="HE117">
        <v>20.2865</v>
      </c>
      <c r="HF117">
        <v>5.2490399999999999</v>
      </c>
      <c r="HG117">
        <v>12.0099</v>
      </c>
      <c r="HH117">
        <v>4.9767000000000001</v>
      </c>
      <c r="HI117">
        <v>3.2923300000000002</v>
      </c>
      <c r="HJ117">
        <v>9999</v>
      </c>
      <c r="HK117">
        <v>9999</v>
      </c>
      <c r="HL117">
        <v>9999</v>
      </c>
      <c r="HM117">
        <v>237.1</v>
      </c>
      <c r="HN117">
        <v>1.8757299999999999</v>
      </c>
      <c r="HO117">
        <v>1.87683</v>
      </c>
      <c r="HP117">
        <v>1.8828100000000001</v>
      </c>
      <c r="HQ117">
        <v>1.8859900000000001</v>
      </c>
      <c r="HR117">
        <v>1.87683</v>
      </c>
      <c r="HS117">
        <v>1.88324</v>
      </c>
      <c r="HT117">
        <v>1.8821699999999999</v>
      </c>
      <c r="HU117">
        <v>1.88568</v>
      </c>
      <c r="HV117">
        <v>0</v>
      </c>
      <c r="HW117">
        <v>0</v>
      </c>
      <c r="HX117">
        <v>0</v>
      </c>
      <c r="HY117">
        <v>0</v>
      </c>
      <c r="HZ117" t="s">
        <v>425</v>
      </c>
      <c r="IA117" t="s">
        <v>426</v>
      </c>
      <c r="IB117" t="s">
        <v>427</v>
      </c>
      <c r="IC117" t="s">
        <v>427</v>
      </c>
      <c r="ID117" t="s">
        <v>427</v>
      </c>
      <c r="IE117" t="s">
        <v>427</v>
      </c>
      <c r="IF117">
        <v>0</v>
      </c>
      <c r="IG117">
        <v>100</v>
      </c>
      <c r="IH117">
        <v>100</v>
      </c>
      <c r="II117">
        <v>-0.22800000000000001</v>
      </c>
      <c r="IJ117">
        <v>5.3699999999999998E-2</v>
      </c>
      <c r="IK117">
        <v>-0.14228334168358001</v>
      </c>
      <c r="IL117">
        <v>-4.2852564239613137E-4</v>
      </c>
      <c r="IM117">
        <v>6.4980710991155998E-7</v>
      </c>
      <c r="IN117">
        <v>-2.7237938963984961E-10</v>
      </c>
      <c r="IO117">
        <v>-4.1612637722084397E-3</v>
      </c>
      <c r="IP117">
        <v>6.6907473102813496E-3</v>
      </c>
      <c r="IQ117">
        <v>-3.3673306238274028E-4</v>
      </c>
      <c r="IR117">
        <v>6.1311374003140313E-6</v>
      </c>
      <c r="IS117">
        <v>3</v>
      </c>
      <c r="IT117">
        <v>2101</v>
      </c>
      <c r="IU117">
        <v>1</v>
      </c>
      <c r="IV117">
        <v>32</v>
      </c>
      <c r="IW117">
        <v>0.6</v>
      </c>
      <c r="IX117">
        <v>0.6</v>
      </c>
      <c r="IY117">
        <v>1.2206999999999999</v>
      </c>
      <c r="IZ117">
        <v>2.7270500000000002</v>
      </c>
      <c r="JA117">
        <v>1.6003400000000001</v>
      </c>
      <c r="JB117">
        <v>2.32666</v>
      </c>
      <c r="JC117">
        <v>1.5502899999999999</v>
      </c>
      <c r="JD117">
        <v>2.4853499999999999</v>
      </c>
      <c r="JE117">
        <v>48.887999999999998</v>
      </c>
      <c r="JF117">
        <v>24.148800000000001</v>
      </c>
      <c r="JG117">
        <v>18</v>
      </c>
      <c r="JH117">
        <v>597.74699999999996</v>
      </c>
      <c r="JI117">
        <v>369.45499999999998</v>
      </c>
      <c r="JJ117">
        <v>26.5246</v>
      </c>
      <c r="JK117">
        <v>35.515999999999998</v>
      </c>
      <c r="JL117">
        <v>30.000399999999999</v>
      </c>
      <c r="JM117">
        <v>35.683900000000001</v>
      </c>
      <c r="JN117">
        <v>35.691499999999998</v>
      </c>
      <c r="JO117">
        <v>24.4221</v>
      </c>
      <c r="JP117">
        <v>15.0228</v>
      </c>
      <c r="JQ117">
        <v>3.3119100000000001</v>
      </c>
      <c r="JR117">
        <v>26.542000000000002</v>
      </c>
      <c r="JS117">
        <v>500</v>
      </c>
      <c r="JT117">
        <v>22.2301</v>
      </c>
      <c r="JU117">
        <v>98.589799999999997</v>
      </c>
      <c r="JV117">
        <v>98.630099999999999</v>
      </c>
    </row>
    <row r="118" spans="1:282" x14ac:dyDescent="0.25">
      <c r="A118">
        <v>102</v>
      </c>
      <c r="B118">
        <v>1689020409.5</v>
      </c>
      <c r="C118">
        <v>20586.900000095371</v>
      </c>
      <c r="D118" t="s">
        <v>935</v>
      </c>
      <c r="E118" t="s">
        <v>936</v>
      </c>
      <c r="F118" t="s">
        <v>414</v>
      </c>
      <c r="G118" t="s">
        <v>415</v>
      </c>
      <c r="H118" t="s">
        <v>416</v>
      </c>
      <c r="I118" t="s">
        <v>501</v>
      </c>
      <c r="J118" t="s">
        <v>418</v>
      </c>
      <c r="K118">
        <v>1689020409.5</v>
      </c>
      <c r="L118">
        <f t="shared" si="138"/>
        <v>4.2753476393675265E-3</v>
      </c>
      <c r="M118">
        <f t="shared" si="139"/>
        <v>4.275347639367526</v>
      </c>
      <c r="N118">
        <f t="shared" si="140"/>
        <v>48.044094103547053</v>
      </c>
      <c r="O118">
        <f t="shared" si="141"/>
        <v>639.08600000000001</v>
      </c>
      <c r="P118">
        <f t="shared" si="142"/>
        <v>351.37290043910178</v>
      </c>
      <c r="Q118">
        <f t="shared" si="143"/>
        <v>34.811404609275655</v>
      </c>
      <c r="R118">
        <f t="shared" si="144"/>
        <v>63.315871253364804</v>
      </c>
      <c r="S118">
        <f t="shared" si="145"/>
        <v>0.29218658186950297</v>
      </c>
      <c r="T118">
        <f t="shared" si="146"/>
        <v>2.9188854065708369</v>
      </c>
      <c r="U118">
        <f t="shared" si="147"/>
        <v>0.27685559194670611</v>
      </c>
      <c r="V118">
        <f t="shared" si="148"/>
        <v>0.17434511060165053</v>
      </c>
      <c r="W118">
        <f t="shared" si="149"/>
        <v>289.59738603121752</v>
      </c>
      <c r="X118">
        <f t="shared" si="150"/>
        <v>30.580825597164644</v>
      </c>
      <c r="Y118">
        <f t="shared" si="151"/>
        <v>29.956099999999999</v>
      </c>
      <c r="Z118">
        <f t="shared" si="152"/>
        <v>4.2497185043812173</v>
      </c>
      <c r="AA118">
        <f t="shared" si="153"/>
        <v>65.170487712523979</v>
      </c>
      <c r="AB118">
        <f t="shared" si="154"/>
        <v>2.7740211231463205</v>
      </c>
      <c r="AC118">
        <f t="shared" si="155"/>
        <v>4.2565603243340924</v>
      </c>
      <c r="AD118">
        <f t="shared" si="156"/>
        <v>1.4756973812348968</v>
      </c>
      <c r="AE118">
        <f t="shared" si="157"/>
        <v>-188.54283089610792</v>
      </c>
      <c r="AF118">
        <f t="shared" si="158"/>
        <v>4.4061626010936683</v>
      </c>
      <c r="AG118">
        <f t="shared" si="159"/>
        <v>0.33554748979439514</v>
      </c>
      <c r="AH118">
        <f t="shared" si="160"/>
        <v>105.79626522599769</v>
      </c>
      <c r="AI118">
        <v>0</v>
      </c>
      <c r="AJ118">
        <v>0</v>
      </c>
      <c r="AK118">
        <f t="shared" si="161"/>
        <v>1</v>
      </c>
      <c r="AL118">
        <f t="shared" si="162"/>
        <v>0</v>
      </c>
      <c r="AM118">
        <f t="shared" si="163"/>
        <v>52029.62179283952</v>
      </c>
      <c r="AN118" t="s">
        <v>419</v>
      </c>
      <c r="AO118">
        <v>9967.0300000000007</v>
      </c>
      <c r="AP118">
        <v>178.94153846153841</v>
      </c>
      <c r="AQ118">
        <v>603.15</v>
      </c>
      <c r="AR118">
        <f t="shared" si="164"/>
        <v>0.7033216638290003</v>
      </c>
      <c r="AS118">
        <v>-3.2649104154664181</v>
      </c>
      <c r="AT118" t="s">
        <v>937</v>
      </c>
      <c r="AU118">
        <v>8069.95</v>
      </c>
      <c r="AV118">
        <v>695.85246153846151</v>
      </c>
      <c r="AW118">
        <v>1141.633414955623</v>
      </c>
      <c r="AX118">
        <f t="shared" si="165"/>
        <v>0.39047644154186723</v>
      </c>
      <c r="AY118">
        <v>0.5</v>
      </c>
      <c r="AZ118">
        <f t="shared" si="166"/>
        <v>1513.3446062337914</v>
      </c>
      <c r="BA118">
        <f t="shared" si="167"/>
        <v>48.044094103547053</v>
      </c>
      <c r="BB118">
        <f t="shared" si="168"/>
        <v>295.46270833437455</v>
      </c>
      <c r="BC118">
        <f t="shared" si="169"/>
        <v>3.390437598129379E-2</v>
      </c>
      <c r="BD118">
        <f t="shared" si="170"/>
        <v>-0.47167804297017246</v>
      </c>
      <c r="BE118">
        <f t="shared" si="171"/>
        <v>208.05623204065486</v>
      </c>
      <c r="BF118" t="s">
        <v>938</v>
      </c>
      <c r="BG118">
        <v>536.24</v>
      </c>
      <c r="BH118">
        <f t="shared" si="172"/>
        <v>536.24</v>
      </c>
      <c r="BI118">
        <f t="shared" si="173"/>
        <v>0.53028704926191694</v>
      </c>
      <c r="BJ118">
        <f t="shared" si="174"/>
        <v>0.73634919443224944</v>
      </c>
      <c r="BK118">
        <f t="shared" si="175"/>
        <v>-8.047876475199871</v>
      </c>
      <c r="BL118">
        <f t="shared" si="176"/>
        <v>0.46305673113249818</v>
      </c>
      <c r="BM118">
        <f t="shared" si="177"/>
        <v>-1.2693839557153683</v>
      </c>
      <c r="BN118">
        <f t="shared" si="178"/>
        <v>0.5674477189451238</v>
      </c>
      <c r="BO118">
        <f t="shared" si="179"/>
        <v>0.4325522810548762</v>
      </c>
      <c r="BP118">
        <v>6239</v>
      </c>
      <c r="BQ118">
        <v>290.00000000000011</v>
      </c>
      <c r="BR118">
        <v>986.55</v>
      </c>
      <c r="BS118">
        <v>285</v>
      </c>
      <c r="BT118">
        <v>8069.95</v>
      </c>
      <c r="BU118">
        <v>990.37</v>
      </c>
      <c r="BV118">
        <v>-3.82</v>
      </c>
      <c r="BW118">
        <v>300.00000000000011</v>
      </c>
      <c r="BX118">
        <v>19.3</v>
      </c>
      <c r="BY118">
        <v>1141.633414955623</v>
      </c>
      <c r="BZ118">
        <v>5.6275024739892956</v>
      </c>
      <c r="CA118">
        <v>-122.06561614621739</v>
      </c>
      <c r="CB118">
        <v>4.1719626817460043</v>
      </c>
      <c r="CC118">
        <v>0.96832805880037121</v>
      </c>
      <c r="CD118">
        <v>-4.1649034482758628E-3</v>
      </c>
      <c r="CE118">
        <v>289.99999999999989</v>
      </c>
      <c r="CF118">
        <v>980.44</v>
      </c>
      <c r="CG118">
        <v>635</v>
      </c>
      <c r="CH118">
        <v>8061.18</v>
      </c>
      <c r="CI118">
        <v>990.21</v>
      </c>
      <c r="CJ118">
        <v>-9.77</v>
      </c>
      <c r="CX118">
        <f t="shared" si="180"/>
        <v>1800.19</v>
      </c>
      <c r="CY118">
        <f t="shared" si="181"/>
        <v>1513.3446062337914</v>
      </c>
      <c r="CZ118">
        <f t="shared" si="182"/>
        <v>0.84065826731277882</v>
      </c>
      <c r="DA118">
        <f t="shared" si="183"/>
        <v>0.16087045591366328</v>
      </c>
      <c r="DB118">
        <v>6</v>
      </c>
      <c r="DC118">
        <v>0.5</v>
      </c>
      <c r="DD118" t="s">
        <v>422</v>
      </c>
      <c r="DE118">
        <v>2</v>
      </c>
      <c r="DF118">
        <v>1689020409.5</v>
      </c>
      <c r="DG118">
        <v>639.08600000000001</v>
      </c>
      <c r="DH118">
        <v>700.00099999999998</v>
      </c>
      <c r="DI118">
        <v>27.9999</v>
      </c>
      <c r="DJ118">
        <v>23.014500000000002</v>
      </c>
      <c r="DK118">
        <v>639.33600000000001</v>
      </c>
      <c r="DL118">
        <v>27.9513</v>
      </c>
      <c r="DM118">
        <v>500.137</v>
      </c>
      <c r="DN118">
        <v>98.972700000000003</v>
      </c>
      <c r="DO118">
        <v>9.9836800000000003E-2</v>
      </c>
      <c r="DP118">
        <v>29.984100000000002</v>
      </c>
      <c r="DQ118">
        <v>29.956099999999999</v>
      </c>
      <c r="DR118">
        <v>999.9</v>
      </c>
      <c r="DS118">
        <v>0</v>
      </c>
      <c r="DT118">
        <v>0</v>
      </c>
      <c r="DU118">
        <v>10042.5</v>
      </c>
      <c r="DV118">
        <v>0</v>
      </c>
      <c r="DW118">
        <v>504.20499999999998</v>
      </c>
      <c r="DX118">
        <v>-60.915500000000002</v>
      </c>
      <c r="DY118">
        <v>657.49599999999998</v>
      </c>
      <c r="DZ118">
        <v>716.49099999999999</v>
      </c>
      <c r="EA118">
        <v>4.9853699999999996</v>
      </c>
      <c r="EB118">
        <v>700.00099999999998</v>
      </c>
      <c r="EC118">
        <v>23.014500000000002</v>
      </c>
      <c r="ED118">
        <v>2.7712300000000001</v>
      </c>
      <c r="EE118">
        <v>2.2778100000000001</v>
      </c>
      <c r="EF118">
        <v>22.713699999999999</v>
      </c>
      <c r="EG118">
        <v>19.520299999999999</v>
      </c>
      <c r="EH118">
        <v>1800.19</v>
      </c>
      <c r="EI118">
        <v>0.97799400000000003</v>
      </c>
      <c r="EJ118">
        <v>2.20057E-2</v>
      </c>
      <c r="EK118">
        <v>0</v>
      </c>
      <c r="EL118">
        <v>695.75599999999997</v>
      </c>
      <c r="EM118">
        <v>5.0005300000000004</v>
      </c>
      <c r="EN118">
        <v>14039.6</v>
      </c>
      <c r="EO118">
        <v>16036.9</v>
      </c>
      <c r="EP118">
        <v>48.436999999999998</v>
      </c>
      <c r="EQ118">
        <v>49.625</v>
      </c>
      <c r="ER118">
        <v>49</v>
      </c>
      <c r="ES118">
        <v>49.125</v>
      </c>
      <c r="ET118">
        <v>49.625</v>
      </c>
      <c r="EU118">
        <v>1755.68</v>
      </c>
      <c r="EV118">
        <v>39.5</v>
      </c>
      <c r="EW118">
        <v>0</v>
      </c>
      <c r="EX118">
        <v>105.2000000476837</v>
      </c>
      <c r="EY118">
        <v>0</v>
      </c>
      <c r="EZ118">
        <v>695.85246153846151</v>
      </c>
      <c r="FA118">
        <v>-0.97825642942433588</v>
      </c>
      <c r="FB118">
        <v>104.50598299007819</v>
      </c>
      <c r="FC118">
        <v>14030.95384615384</v>
      </c>
      <c r="FD118">
        <v>15</v>
      </c>
      <c r="FE118">
        <v>1689020377</v>
      </c>
      <c r="FF118" t="s">
        <v>939</v>
      </c>
      <c r="FG118">
        <v>1689020377</v>
      </c>
      <c r="FH118">
        <v>1689020375.5</v>
      </c>
      <c r="FI118">
        <v>110</v>
      </c>
      <c r="FJ118">
        <v>-2.8000000000000001E-2</v>
      </c>
      <c r="FK118">
        <v>-5.0000000000000001E-3</v>
      </c>
      <c r="FL118">
        <v>-0.245</v>
      </c>
      <c r="FM118">
        <v>0.04</v>
      </c>
      <c r="FN118">
        <v>700</v>
      </c>
      <c r="FO118">
        <v>22</v>
      </c>
      <c r="FP118">
        <v>0.06</v>
      </c>
      <c r="FQ118">
        <v>0.02</v>
      </c>
      <c r="FR118">
        <v>48.083635795882188</v>
      </c>
      <c r="FS118">
        <v>-0.44838228159557358</v>
      </c>
      <c r="FT118">
        <v>4.2563099340840738E-2</v>
      </c>
      <c r="FU118">
        <v>1</v>
      </c>
      <c r="FV118">
        <v>0.29113392915134828</v>
      </c>
      <c r="FW118">
        <v>2.83306632412939E-3</v>
      </c>
      <c r="FX118">
        <v>6.1410689708669161E-4</v>
      </c>
      <c r="FY118">
        <v>1</v>
      </c>
      <c r="FZ118">
        <v>2</v>
      </c>
      <c r="GA118">
        <v>2</v>
      </c>
      <c r="GB118" t="s">
        <v>424</v>
      </c>
      <c r="GC118">
        <v>3.1246499999999999</v>
      </c>
      <c r="GD118">
        <v>2.7675900000000002</v>
      </c>
      <c r="GE118">
        <v>0.124357</v>
      </c>
      <c r="GF118">
        <v>0.13231000000000001</v>
      </c>
      <c r="GG118">
        <v>0.11866</v>
      </c>
      <c r="GH118">
        <v>0.10372099999999999</v>
      </c>
      <c r="GI118">
        <v>20879.5</v>
      </c>
      <c r="GJ118">
        <v>21455.599999999999</v>
      </c>
      <c r="GK118">
        <v>23710.9</v>
      </c>
      <c r="GL118">
        <v>25044</v>
      </c>
      <c r="GM118">
        <v>30118.3</v>
      </c>
      <c r="GN118">
        <v>31494.9</v>
      </c>
      <c r="GO118">
        <v>37797.4</v>
      </c>
      <c r="GP118">
        <v>38980.199999999997</v>
      </c>
      <c r="GQ118">
        <v>2.1263299999999998</v>
      </c>
      <c r="GR118">
        <v>1.69685</v>
      </c>
      <c r="GS118">
        <v>1.6056000000000001E-2</v>
      </c>
      <c r="GT118">
        <v>0</v>
      </c>
      <c r="GU118">
        <v>29.694800000000001</v>
      </c>
      <c r="GV118">
        <v>999.9</v>
      </c>
      <c r="GW118">
        <v>25</v>
      </c>
      <c r="GX118">
        <v>46.8</v>
      </c>
      <c r="GY118">
        <v>26.698899999999998</v>
      </c>
      <c r="GZ118">
        <v>59.539499999999997</v>
      </c>
      <c r="HA118">
        <v>27.5</v>
      </c>
      <c r="HB118">
        <v>1</v>
      </c>
      <c r="HC118">
        <v>0.68755299999999997</v>
      </c>
      <c r="HD118">
        <v>2.57124</v>
      </c>
      <c r="HE118">
        <v>20.296800000000001</v>
      </c>
      <c r="HF118">
        <v>5.2487399999999997</v>
      </c>
      <c r="HG118">
        <v>12.0099</v>
      </c>
      <c r="HH118">
        <v>4.9756499999999999</v>
      </c>
      <c r="HI118">
        <v>3.2923300000000002</v>
      </c>
      <c r="HJ118">
        <v>9999</v>
      </c>
      <c r="HK118">
        <v>9999</v>
      </c>
      <c r="HL118">
        <v>9999</v>
      </c>
      <c r="HM118">
        <v>237.1</v>
      </c>
      <c r="HN118">
        <v>1.8757299999999999</v>
      </c>
      <c r="HO118">
        <v>1.87683</v>
      </c>
      <c r="HP118">
        <v>1.88283</v>
      </c>
      <c r="HQ118">
        <v>1.8859999999999999</v>
      </c>
      <c r="HR118">
        <v>1.87683</v>
      </c>
      <c r="HS118">
        <v>1.88324</v>
      </c>
      <c r="HT118">
        <v>1.8822000000000001</v>
      </c>
      <c r="HU118">
        <v>1.88568</v>
      </c>
      <c r="HV118">
        <v>0</v>
      </c>
      <c r="HW118">
        <v>0</v>
      </c>
      <c r="HX118">
        <v>0</v>
      </c>
      <c r="HY118">
        <v>0</v>
      </c>
      <c r="HZ118" t="s">
        <v>425</v>
      </c>
      <c r="IA118" t="s">
        <v>426</v>
      </c>
      <c r="IB118" t="s">
        <v>427</v>
      </c>
      <c r="IC118" t="s">
        <v>427</v>
      </c>
      <c r="ID118" t="s">
        <v>427</v>
      </c>
      <c r="IE118" t="s">
        <v>427</v>
      </c>
      <c r="IF118">
        <v>0</v>
      </c>
      <c r="IG118">
        <v>100</v>
      </c>
      <c r="IH118">
        <v>100</v>
      </c>
      <c r="II118">
        <v>-0.25</v>
      </c>
      <c r="IJ118">
        <v>4.8599999999999997E-2</v>
      </c>
      <c r="IK118">
        <v>-0.1702907465717764</v>
      </c>
      <c r="IL118">
        <v>-4.2852564239613137E-4</v>
      </c>
      <c r="IM118">
        <v>6.4980710991155998E-7</v>
      </c>
      <c r="IN118">
        <v>-2.7237938963984961E-10</v>
      </c>
      <c r="IO118">
        <v>-9.2680335169691066E-3</v>
      </c>
      <c r="IP118">
        <v>6.6907473102813496E-3</v>
      </c>
      <c r="IQ118">
        <v>-3.3673306238274028E-4</v>
      </c>
      <c r="IR118">
        <v>6.1311374003140313E-6</v>
      </c>
      <c r="IS118">
        <v>3</v>
      </c>
      <c r="IT118">
        <v>2101</v>
      </c>
      <c r="IU118">
        <v>1</v>
      </c>
      <c r="IV118">
        <v>32</v>
      </c>
      <c r="IW118">
        <v>0.5</v>
      </c>
      <c r="IX118">
        <v>0.6</v>
      </c>
      <c r="IY118">
        <v>1.6076699999999999</v>
      </c>
      <c r="IZ118">
        <v>2.7209500000000002</v>
      </c>
      <c r="JA118">
        <v>1.6015600000000001</v>
      </c>
      <c r="JB118">
        <v>2.32544</v>
      </c>
      <c r="JC118">
        <v>1.5502899999999999</v>
      </c>
      <c r="JD118">
        <v>2.4548299999999998</v>
      </c>
      <c r="JE118">
        <v>48.825800000000001</v>
      </c>
      <c r="JF118">
        <v>24.157499999999999</v>
      </c>
      <c r="JG118">
        <v>18</v>
      </c>
      <c r="JH118">
        <v>596.45699999999999</v>
      </c>
      <c r="JI118">
        <v>370.90499999999997</v>
      </c>
      <c r="JJ118">
        <v>27.023399999999999</v>
      </c>
      <c r="JK118">
        <v>35.487499999999997</v>
      </c>
      <c r="JL118">
        <v>29.999199999999998</v>
      </c>
      <c r="JM118">
        <v>35.671199999999999</v>
      </c>
      <c r="JN118">
        <v>35.671700000000001</v>
      </c>
      <c r="JO118">
        <v>32.173099999999998</v>
      </c>
      <c r="JP118">
        <v>8.01797</v>
      </c>
      <c r="JQ118">
        <v>4.4291200000000002</v>
      </c>
      <c r="JR118">
        <v>27.0413</v>
      </c>
      <c r="JS118">
        <v>700</v>
      </c>
      <c r="JT118">
        <v>22.9374</v>
      </c>
      <c r="JU118">
        <v>98.584000000000003</v>
      </c>
      <c r="JV118">
        <v>98.640500000000003</v>
      </c>
    </row>
    <row r="119" spans="1:282" x14ac:dyDescent="0.25">
      <c r="A119">
        <v>103</v>
      </c>
      <c r="B119">
        <v>1689020529</v>
      </c>
      <c r="C119">
        <v>20706.400000095371</v>
      </c>
      <c r="D119" t="s">
        <v>940</v>
      </c>
      <c r="E119" t="s">
        <v>941</v>
      </c>
      <c r="F119" t="s">
        <v>414</v>
      </c>
      <c r="G119" t="s">
        <v>415</v>
      </c>
      <c r="H119" t="s">
        <v>416</v>
      </c>
      <c r="I119" t="s">
        <v>501</v>
      </c>
      <c r="J119" t="s">
        <v>418</v>
      </c>
      <c r="K119">
        <v>1689020529</v>
      </c>
      <c r="L119">
        <f t="shared" si="138"/>
        <v>4.0499221003967977E-3</v>
      </c>
      <c r="M119">
        <f t="shared" si="139"/>
        <v>4.049922100396798</v>
      </c>
      <c r="N119">
        <f t="shared" si="140"/>
        <v>48.400237880164724</v>
      </c>
      <c r="O119">
        <f t="shared" si="141"/>
        <v>838.06799999999998</v>
      </c>
      <c r="P119">
        <f t="shared" si="142"/>
        <v>529.65375392358328</v>
      </c>
      <c r="Q119">
        <f t="shared" si="143"/>
        <v>52.472117961373861</v>
      </c>
      <c r="R119">
        <f t="shared" si="144"/>
        <v>83.026321686369599</v>
      </c>
      <c r="S119">
        <f t="shared" si="145"/>
        <v>0.27742047277521892</v>
      </c>
      <c r="T119">
        <f t="shared" si="146"/>
        <v>2.9188181850255046</v>
      </c>
      <c r="U119">
        <f t="shared" si="147"/>
        <v>0.26356010227235427</v>
      </c>
      <c r="V119">
        <f t="shared" si="148"/>
        <v>0.16591263798719114</v>
      </c>
      <c r="W119">
        <f t="shared" si="149"/>
        <v>289.52700832701277</v>
      </c>
      <c r="X119">
        <f t="shared" si="150"/>
        <v>30.712193498426309</v>
      </c>
      <c r="Y119">
        <f t="shared" si="151"/>
        <v>29.994599999999998</v>
      </c>
      <c r="Z119">
        <f t="shared" si="152"/>
        <v>4.2591284806018264</v>
      </c>
      <c r="AA119">
        <f t="shared" si="153"/>
        <v>65.294299983670356</v>
      </c>
      <c r="AB119">
        <f t="shared" si="154"/>
        <v>2.7909837147018401</v>
      </c>
      <c r="AC119">
        <f t="shared" si="155"/>
        <v>4.2744676264235091</v>
      </c>
      <c r="AD119">
        <f t="shared" si="156"/>
        <v>1.4681447658999862</v>
      </c>
      <c r="AE119">
        <f t="shared" si="157"/>
        <v>-178.60156462749879</v>
      </c>
      <c r="AF119">
        <f t="shared" si="158"/>
        <v>9.8506938070430703</v>
      </c>
      <c r="AG119">
        <f t="shared" si="159"/>
        <v>0.75060290059922408</v>
      </c>
      <c r="AH119">
        <f t="shared" si="160"/>
        <v>121.52674040715628</v>
      </c>
      <c r="AI119">
        <v>0</v>
      </c>
      <c r="AJ119">
        <v>0</v>
      </c>
      <c r="AK119">
        <f t="shared" si="161"/>
        <v>1</v>
      </c>
      <c r="AL119">
        <f t="shared" si="162"/>
        <v>0</v>
      </c>
      <c r="AM119">
        <f t="shared" si="163"/>
        <v>52015.07463550094</v>
      </c>
      <c r="AN119" t="s">
        <v>419</v>
      </c>
      <c r="AO119">
        <v>9967.0300000000007</v>
      </c>
      <c r="AP119">
        <v>178.94153846153841</v>
      </c>
      <c r="AQ119">
        <v>603.15</v>
      </c>
      <c r="AR119">
        <f t="shared" si="164"/>
        <v>0.7033216638290003</v>
      </c>
      <c r="AS119">
        <v>-3.2649104154664181</v>
      </c>
      <c r="AT119" t="s">
        <v>942</v>
      </c>
      <c r="AU119">
        <v>8071.01</v>
      </c>
      <c r="AV119">
        <v>695.75134615384627</v>
      </c>
      <c r="AW119">
        <v>1154.133439076805</v>
      </c>
      <c r="AX119">
        <f t="shared" si="165"/>
        <v>0.39716559403184781</v>
      </c>
      <c r="AY119">
        <v>0.5</v>
      </c>
      <c r="AZ119">
        <f t="shared" si="166"/>
        <v>1512.9824996513021</v>
      </c>
      <c r="BA119">
        <f t="shared" si="167"/>
        <v>48.400237880164724</v>
      </c>
      <c r="BB119">
        <f t="shared" si="168"/>
        <v>300.45229661689967</v>
      </c>
      <c r="BC119">
        <f t="shared" si="169"/>
        <v>3.414788228385883E-2</v>
      </c>
      <c r="BD119">
        <f t="shared" si="170"/>
        <v>-0.47740011719748665</v>
      </c>
      <c r="BE119">
        <f t="shared" si="171"/>
        <v>208.46771104660726</v>
      </c>
      <c r="BF119" t="s">
        <v>943</v>
      </c>
      <c r="BG119">
        <v>540.49</v>
      </c>
      <c r="BH119">
        <f t="shared" si="172"/>
        <v>540.49</v>
      </c>
      <c r="BI119">
        <f t="shared" si="173"/>
        <v>0.53169193292558981</v>
      </c>
      <c r="BJ119">
        <f t="shared" si="174"/>
        <v>0.74698442732895676</v>
      </c>
      <c r="BK119">
        <f t="shared" si="175"/>
        <v>-8.7932243708395355</v>
      </c>
      <c r="BL119">
        <f t="shared" si="176"/>
        <v>0.47004296552684344</v>
      </c>
      <c r="BM119">
        <f t="shared" si="177"/>
        <v>-1.2988506572418974</v>
      </c>
      <c r="BN119">
        <f t="shared" si="178"/>
        <v>0.58029009265869591</v>
      </c>
      <c r="BO119">
        <f t="shared" si="179"/>
        <v>0.41970990734130409</v>
      </c>
      <c r="BP119">
        <v>6241</v>
      </c>
      <c r="BQ119">
        <v>290.00000000000011</v>
      </c>
      <c r="BR119">
        <v>993.3</v>
      </c>
      <c r="BS119">
        <v>295</v>
      </c>
      <c r="BT119">
        <v>8071.01</v>
      </c>
      <c r="BU119">
        <v>997.37</v>
      </c>
      <c r="BV119">
        <v>-4.07</v>
      </c>
      <c r="BW119">
        <v>300.00000000000011</v>
      </c>
      <c r="BX119">
        <v>19.3</v>
      </c>
      <c r="BY119">
        <v>1154.133439076805</v>
      </c>
      <c r="BZ119">
        <v>4.5994820360721862</v>
      </c>
      <c r="CA119">
        <v>-126.52218842344951</v>
      </c>
      <c r="CB119">
        <v>3.4103006440015382</v>
      </c>
      <c r="CC119">
        <v>0.98006281283889218</v>
      </c>
      <c r="CD119">
        <v>-4.1652947719688516E-3</v>
      </c>
      <c r="CE119">
        <v>289.99999999999989</v>
      </c>
      <c r="CF119">
        <v>987.35</v>
      </c>
      <c r="CG119">
        <v>625</v>
      </c>
      <c r="CH119">
        <v>8062.64</v>
      </c>
      <c r="CI119">
        <v>997.21</v>
      </c>
      <c r="CJ119">
        <v>-9.86</v>
      </c>
      <c r="CX119">
        <f t="shared" si="180"/>
        <v>1799.76</v>
      </c>
      <c r="CY119">
        <f t="shared" si="181"/>
        <v>1512.9824996513021</v>
      </c>
      <c r="CZ119">
        <f t="shared" si="182"/>
        <v>0.84065792086239388</v>
      </c>
      <c r="DA119">
        <f t="shared" si="183"/>
        <v>0.16086978726442011</v>
      </c>
      <c r="DB119">
        <v>6</v>
      </c>
      <c r="DC119">
        <v>0.5</v>
      </c>
      <c r="DD119" t="s">
        <v>422</v>
      </c>
      <c r="DE119">
        <v>2</v>
      </c>
      <c r="DF119">
        <v>1689020529</v>
      </c>
      <c r="DG119">
        <v>838.06799999999998</v>
      </c>
      <c r="DH119">
        <v>900.19500000000005</v>
      </c>
      <c r="DI119">
        <v>28.1722</v>
      </c>
      <c r="DJ119">
        <v>23.4512</v>
      </c>
      <c r="DK119">
        <v>838.15200000000004</v>
      </c>
      <c r="DL119">
        <v>28.123899999999999</v>
      </c>
      <c r="DM119">
        <v>500.21100000000001</v>
      </c>
      <c r="DN119">
        <v>98.968900000000005</v>
      </c>
      <c r="DO119">
        <v>9.9817199999999995E-2</v>
      </c>
      <c r="DP119">
        <v>30.057200000000002</v>
      </c>
      <c r="DQ119">
        <v>29.994599999999998</v>
      </c>
      <c r="DR119">
        <v>999.9</v>
      </c>
      <c r="DS119">
        <v>0</v>
      </c>
      <c r="DT119">
        <v>0</v>
      </c>
      <c r="DU119">
        <v>10042.5</v>
      </c>
      <c r="DV119">
        <v>0</v>
      </c>
      <c r="DW119">
        <v>694.755</v>
      </c>
      <c r="DX119">
        <v>-62.127899999999997</v>
      </c>
      <c r="DY119">
        <v>862.36199999999997</v>
      </c>
      <c r="DZ119">
        <v>921.81299999999999</v>
      </c>
      <c r="EA119">
        <v>4.7210200000000002</v>
      </c>
      <c r="EB119">
        <v>900.19500000000005</v>
      </c>
      <c r="EC119">
        <v>23.4512</v>
      </c>
      <c r="ED119">
        <v>2.7881800000000001</v>
      </c>
      <c r="EE119">
        <v>2.3209399999999998</v>
      </c>
      <c r="EF119">
        <v>22.8142</v>
      </c>
      <c r="EG119">
        <v>19.822500000000002</v>
      </c>
      <c r="EH119">
        <v>1799.76</v>
      </c>
      <c r="EI119">
        <v>0.97800699999999996</v>
      </c>
      <c r="EJ119">
        <v>2.1992500000000002E-2</v>
      </c>
      <c r="EK119">
        <v>0</v>
      </c>
      <c r="EL119">
        <v>695.83900000000006</v>
      </c>
      <c r="EM119">
        <v>5.0005300000000004</v>
      </c>
      <c r="EN119">
        <v>14298.5</v>
      </c>
      <c r="EO119">
        <v>16033.2</v>
      </c>
      <c r="EP119">
        <v>48.186999999999998</v>
      </c>
      <c r="EQ119">
        <v>49.125</v>
      </c>
      <c r="ER119">
        <v>48.686999999999998</v>
      </c>
      <c r="ES119">
        <v>48.75</v>
      </c>
      <c r="ET119">
        <v>49.375</v>
      </c>
      <c r="EU119">
        <v>1755.29</v>
      </c>
      <c r="EV119">
        <v>39.47</v>
      </c>
      <c r="EW119">
        <v>0</v>
      </c>
      <c r="EX119">
        <v>117.6000001430511</v>
      </c>
      <c r="EY119">
        <v>0</v>
      </c>
      <c r="EZ119">
        <v>695.75134615384627</v>
      </c>
      <c r="FA119">
        <v>-1.047829054038341</v>
      </c>
      <c r="FB119">
        <v>196.90598330588961</v>
      </c>
      <c r="FC119">
        <v>14208.634615384621</v>
      </c>
      <c r="FD119">
        <v>15</v>
      </c>
      <c r="FE119">
        <v>1689020492</v>
      </c>
      <c r="FF119" t="s">
        <v>944</v>
      </c>
      <c r="FG119">
        <v>1689020488.5</v>
      </c>
      <c r="FH119">
        <v>1689020492</v>
      </c>
      <c r="FI119">
        <v>111</v>
      </c>
      <c r="FJ119">
        <v>0.14899999999999999</v>
      </c>
      <c r="FK119">
        <v>-1E-3</v>
      </c>
      <c r="FL119">
        <v>-7.9000000000000001E-2</v>
      </c>
      <c r="FM119">
        <v>0.04</v>
      </c>
      <c r="FN119">
        <v>901</v>
      </c>
      <c r="FO119">
        <v>23</v>
      </c>
      <c r="FP119">
        <v>0.06</v>
      </c>
      <c r="FQ119">
        <v>0.02</v>
      </c>
      <c r="FR119">
        <v>48.518761839646743</v>
      </c>
      <c r="FS119">
        <v>-0.45392173502358091</v>
      </c>
      <c r="FT119">
        <v>0.12175378758940519</v>
      </c>
      <c r="FU119">
        <v>1</v>
      </c>
      <c r="FV119">
        <v>0.27083445481665602</v>
      </c>
      <c r="FW119">
        <v>2.5228531815213739E-2</v>
      </c>
      <c r="FX119">
        <v>2.1007551898795909E-3</v>
      </c>
      <c r="FY119">
        <v>1</v>
      </c>
      <c r="FZ119">
        <v>2</v>
      </c>
      <c r="GA119">
        <v>2</v>
      </c>
      <c r="GB119" t="s">
        <v>424</v>
      </c>
      <c r="GC119">
        <v>3.1242399999999999</v>
      </c>
      <c r="GD119">
        <v>2.76749</v>
      </c>
      <c r="GE119">
        <v>0.149393</v>
      </c>
      <c r="GF119">
        <v>0.15643199999999999</v>
      </c>
      <c r="GG119">
        <v>0.119204</v>
      </c>
      <c r="GH119">
        <v>0.105143</v>
      </c>
      <c r="GI119">
        <v>20291.7</v>
      </c>
      <c r="GJ119">
        <v>20869.900000000001</v>
      </c>
      <c r="GK119">
        <v>23721.8</v>
      </c>
      <c r="GL119">
        <v>25057.4</v>
      </c>
      <c r="GM119">
        <v>30113.200000000001</v>
      </c>
      <c r="GN119">
        <v>31461.599999999999</v>
      </c>
      <c r="GO119">
        <v>37814.199999999997</v>
      </c>
      <c r="GP119">
        <v>39000.6</v>
      </c>
      <c r="GQ119">
        <v>2.1279300000000001</v>
      </c>
      <c r="GR119">
        <v>1.7033</v>
      </c>
      <c r="GS119">
        <v>4.4617799999999999E-2</v>
      </c>
      <c r="GT119">
        <v>0</v>
      </c>
      <c r="GU119">
        <v>29.268000000000001</v>
      </c>
      <c r="GV119">
        <v>999.9</v>
      </c>
      <c r="GW119">
        <v>25.2</v>
      </c>
      <c r="GX119">
        <v>46.7</v>
      </c>
      <c r="GY119">
        <v>26.777899999999999</v>
      </c>
      <c r="GZ119">
        <v>61.669499999999999</v>
      </c>
      <c r="HA119">
        <v>27.447900000000001</v>
      </c>
      <c r="HB119">
        <v>1</v>
      </c>
      <c r="HC119">
        <v>0.66800300000000001</v>
      </c>
      <c r="HD119">
        <v>2.5393300000000001</v>
      </c>
      <c r="HE119">
        <v>20.298500000000001</v>
      </c>
      <c r="HF119">
        <v>5.2526299999999999</v>
      </c>
      <c r="HG119">
        <v>12.0099</v>
      </c>
      <c r="HH119">
        <v>4.97865</v>
      </c>
      <c r="HI119">
        <v>3.2930000000000001</v>
      </c>
      <c r="HJ119">
        <v>9999</v>
      </c>
      <c r="HK119">
        <v>9999</v>
      </c>
      <c r="HL119">
        <v>9999</v>
      </c>
      <c r="HM119">
        <v>237.2</v>
      </c>
      <c r="HN119">
        <v>1.8757600000000001</v>
      </c>
      <c r="HO119">
        <v>1.87683</v>
      </c>
      <c r="HP119">
        <v>1.8828499999999999</v>
      </c>
      <c r="HQ119">
        <v>1.88602</v>
      </c>
      <c r="HR119">
        <v>1.87683</v>
      </c>
      <c r="HS119">
        <v>1.88324</v>
      </c>
      <c r="HT119">
        <v>1.8822300000000001</v>
      </c>
      <c r="HU119">
        <v>1.88571</v>
      </c>
      <c r="HV119">
        <v>0</v>
      </c>
      <c r="HW119">
        <v>0</v>
      </c>
      <c r="HX119">
        <v>0</v>
      </c>
      <c r="HY119">
        <v>0</v>
      </c>
      <c r="HZ119" t="s">
        <v>425</v>
      </c>
      <c r="IA119" t="s">
        <v>426</v>
      </c>
      <c r="IB119" t="s">
        <v>427</v>
      </c>
      <c r="IC119" t="s">
        <v>427</v>
      </c>
      <c r="ID119" t="s">
        <v>427</v>
      </c>
      <c r="IE119" t="s">
        <v>427</v>
      </c>
      <c r="IF119">
        <v>0</v>
      </c>
      <c r="IG119">
        <v>100</v>
      </c>
      <c r="IH119">
        <v>100</v>
      </c>
      <c r="II119">
        <v>-8.4000000000000005E-2</v>
      </c>
      <c r="IJ119">
        <v>4.8300000000000003E-2</v>
      </c>
      <c r="IK119">
        <v>-2.1101857258800549E-2</v>
      </c>
      <c r="IL119">
        <v>-4.2852564239613137E-4</v>
      </c>
      <c r="IM119">
        <v>6.4980710991155998E-7</v>
      </c>
      <c r="IN119">
        <v>-2.7237938963984961E-10</v>
      </c>
      <c r="IO119">
        <v>-9.8422828187931573E-3</v>
      </c>
      <c r="IP119">
        <v>6.6907473102813496E-3</v>
      </c>
      <c r="IQ119">
        <v>-3.3673306238274028E-4</v>
      </c>
      <c r="IR119">
        <v>6.1311374003140313E-6</v>
      </c>
      <c r="IS119">
        <v>3</v>
      </c>
      <c r="IT119">
        <v>2101</v>
      </c>
      <c r="IU119">
        <v>1</v>
      </c>
      <c r="IV119">
        <v>32</v>
      </c>
      <c r="IW119">
        <v>0.7</v>
      </c>
      <c r="IX119">
        <v>0.6</v>
      </c>
      <c r="IY119">
        <v>1.9751000000000001</v>
      </c>
      <c r="IZ119">
        <v>2.7197300000000002</v>
      </c>
      <c r="JA119">
        <v>1.6015600000000001</v>
      </c>
      <c r="JB119">
        <v>2.32544</v>
      </c>
      <c r="JC119">
        <v>1.5502899999999999</v>
      </c>
      <c r="JD119">
        <v>2.50122</v>
      </c>
      <c r="JE119">
        <v>48.5779</v>
      </c>
      <c r="JF119">
        <v>24.157499999999999</v>
      </c>
      <c r="JG119">
        <v>18</v>
      </c>
      <c r="JH119">
        <v>596.22900000000004</v>
      </c>
      <c r="JI119">
        <v>373.88</v>
      </c>
      <c r="JJ119">
        <v>27.148599999999998</v>
      </c>
      <c r="JK119">
        <v>35.2729</v>
      </c>
      <c r="JL119">
        <v>29.999099999999999</v>
      </c>
      <c r="JM119">
        <v>35.514800000000001</v>
      </c>
      <c r="JN119">
        <v>35.514600000000002</v>
      </c>
      <c r="JO119">
        <v>39.529299999999999</v>
      </c>
      <c r="JP119">
        <v>6.9858599999999997</v>
      </c>
      <c r="JQ119">
        <v>7.6238000000000001</v>
      </c>
      <c r="JR119">
        <v>27.147200000000002</v>
      </c>
      <c r="JS119">
        <v>900</v>
      </c>
      <c r="JT119">
        <v>23.268000000000001</v>
      </c>
      <c r="JU119">
        <v>98.628500000000003</v>
      </c>
      <c r="JV119">
        <v>98.692599999999999</v>
      </c>
    </row>
    <row r="120" spans="1:282" x14ac:dyDescent="0.25">
      <c r="A120">
        <v>104</v>
      </c>
      <c r="B120">
        <v>1689020646.0999999</v>
      </c>
      <c r="C120">
        <v>20823.5</v>
      </c>
      <c r="D120" t="s">
        <v>945</v>
      </c>
      <c r="E120" t="s">
        <v>946</v>
      </c>
      <c r="F120" t="s">
        <v>414</v>
      </c>
      <c r="G120" t="s">
        <v>415</v>
      </c>
      <c r="H120" t="s">
        <v>416</v>
      </c>
      <c r="I120" t="s">
        <v>501</v>
      </c>
      <c r="J120" t="s">
        <v>418</v>
      </c>
      <c r="K120">
        <v>1689020646.0999999</v>
      </c>
      <c r="L120">
        <f t="shared" si="138"/>
        <v>3.6723392273966707E-3</v>
      </c>
      <c r="M120">
        <f t="shared" si="139"/>
        <v>3.6723392273966708</v>
      </c>
      <c r="N120">
        <f t="shared" si="140"/>
        <v>48.248761478836308</v>
      </c>
      <c r="O120">
        <f t="shared" si="141"/>
        <v>1137.5</v>
      </c>
      <c r="P120">
        <f t="shared" si="142"/>
        <v>794.5949926721845</v>
      </c>
      <c r="Q120">
        <f t="shared" si="143"/>
        <v>78.718635264707757</v>
      </c>
      <c r="R120">
        <f t="shared" si="144"/>
        <v>112.68941843249999</v>
      </c>
      <c r="S120">
        <f t="shared" si="145"/>
        <v>0.25159228005651951</v>
      </c>
      <c r="T120">
        <f t="shared" si="146"/>
        <v>2.9096282203613772</v>
      </c>
      <c r="U120">
        <f t="shared" si="147"/>
        <v>0.24010093355481746</v>
      </c>
      <c r="V120">
        <f t="shared" si="148"/>
        <v>0.15105179127828414</v>
      </c>
      <c r="W120">
        <f t="shared" si="149"/>
        <v>289.56429532692823</v>
      </c>
      <c r="X120">
        <f t="shared" si="150"/>
        <v>30.716599206786164</v>
      </c>
      <c r="Y120">
        <f t="shared" si="151"/>
        <v>29.976800000000001</v>
      </c>
      <c r="Z120">
        <f t="shared" si="152"/>
        <v>4.2547756396540564</v>
      </c>
      <c r="AA120">
        <f t="shared" si="153"/>
        <v>65.71459162515113</v>
      </c>
      <c r="AB120">
        <f t="shared" si="154"/>
        <v>2.7934394183443798</v>
      </c>
      <c r="AC120">
        <f t="shared" si="155"/>
        <v>4.2508662829082224</v>
      </c>
      <c r="AD120">
        <f t="shared" si="156"/>
        <v>1.4613362213096766</v>
      </c>
      <c r="AE120">
        <f t="shared" si="157"/>
        <v>-161.95015992819319</v>
      </c>
      <c r="AF120">
        <f t="shared" si="158"/>
        <v>-2.509822025858242</v>
      </c>
      <c r="AG120">
        <f t="shared" si="159"/>
        <v>-0.19173895427200138</v>
      </c>
      <c r="AH120">
        <f t="shared" si="160"/>
        <v>124.91257441860479</v>
      </c>
      <c r="AI120">
        <v>0</v>
      </c>
      <c r="AJ120">
        <v>0</v>
      </c>
      <c r="AK120">
        <f t="shared" si="161"/>
        <v>1</v>
      </c>
      <c r="AL120">
        <f t="shared" si="162"/>
        <v>0</v>
      </c>
      <c r="AM120">
        <f t="shared" si="163"/>
        <v>51770.183445040915</v>
      </c>
      <c r="AN120" t="s">
        <v>419</v>
      </c>
      <c r="AO120">
        <v>9967.0300000000007</v>
      </c>
      <c r="AP120">
        <v>178.94153846153841</v>
      </c>
      <c r="AQ120">
        <v>603.15</v>
      </c>
      <c r="AR120">
        <f t="shared" si="164"/>
        <v>0.7033216638290003</v>
      </c>
      <c r="AS120">
        <v>-3.2649104154664181</v>
      </c>
      <c r="AT120" t="s">
        <v>947</v>
      </c>
      <c r="AU120">
        <v>8072.23</v>
      </c>
      <c r="AV120">
        <v>693.99440000000004</v>
      </c>
      <c r="AW120">
        <v>1148.9468507619511</v>
      </c>
      <c r="AX120">
        <f t="shared" si="165"/>
        <v>0.39597345208809143</v>
      </c>
      <c r="AY120">
        <v>0.5</v>
      </c>
      <c r="AZ120">
        <f t="shared" si="166"/>
        <v>1513.1759996512581</v>
      </c>
      <c r="BA120">
        <f t="shared" si="167"/>
        <v>48.248761478836308</v>
      </c>
      <c r="BB120">
        <f t="shared" si="168"/>
        <v>299.58876209937864</v>
      </c>
      <c r="BC120">
        <f t="shared" si="169"/>
        <v>3.4043410618576485E-2</v>
      </c>
      <c r="BD120">
        <f t="shared" si="170"/>
        <v>-0.47504099114766979</v>
      </c>
      <c r="BE120">
        <f t="shared" si="171"/>
        <v>208.29786734928851</v>
      </c>
      <c r="BF120" t="s">
        <v>948</v>
      </c>
      <c r="BG120">
        <v>537.16</v>
      </c>
      <c r="BH120">
        <f t="shared" si="172"/>
        <v>537.16</v>
      </c>
      <c r="BI120">
        <f t="shared" si="173"/>
        <v>0.53247619796880097</v>
      </c>
      <c r="BJ120">
        <f t="shared" si="174"/>
        <v>0.74364535654097441</v>
      </c>
      <c r="BK120">
        <f t="shared" si="175"/>
        <v>-8.2709024210024396</v>
      </c>
      <c r="BL120">
        <f t="shared" si="176"/>
        <v>0.46902057647809176</v>
      </c>
      <c r="BM120">
        <f t="shared" si="177"/>
        <v>-1.2866241488501415</v>
      </c>
      <c r="BN120">
        <f t="shared" si="178"/>
        <v>0.57559043663688025</v>
      </c>
      <c r="BO120">
        <f t="shared" si="179"/>
        <v>0.42440956336311975</v>
      </c>
      <c r="BP120">
        <v>6243</v>
      </c>
      <c r="BQ120">
        <v>290.00000000000011</v>
      </c>
      <c r="BR120">
        <v>994.61</v>
      </c>
      <c r="BS120">
        <v>295</v>
      </c>
      <c r="BT120">
        <v>8072.23</v>
      </c>
      <c r="BU120">
        <v>997.62</v>
      </c>
      <c r="BV120">
        <v>-3.01</v>
      </c>
      <c r="BW120">
        <v>300.00000000000011</v>
      </c>
      <c r="BX120">
        <v>19.3</v>
      </c>
      <c r="BY120">
        <v>1148.9468507619511</v>
      </c>
      <c r="BZ120">
        <v>5.223948060986519</v>
      </c>
      <c r="CA120">
        <v>-122.15684144974411</v>
      </c>
      <c r="CB120">
        <v>3.8739252236746462</v>
      </c>
      <c r="CC120">
        <v>0.97261174158939501</v>
      </c>
      <c r="CD120">
        <v>-4.1657590656284851E-3</v>
      </c>
      <c r="CE120">
        <v>289.99999999999989</v>
      </c>
      <c r="CF120">
        <v>989.04</v>
      </c>
      <c r="CG120">
        <v>655</v>
      </c>
      <c r="CH120">
        <v>8062.98</v>
      </c>
      <c r="CI120">
        <v>997.44</v>
      </c>
      <c r="CJ120">
        <v>-8.4</v>
      </c>
      <c r="CX120">
        <f t="shared" si="180"/>
        <v>1799.99</v>
      </c>
      <c r="CY120">
        <f t="shared" si="181"/>
        <v>1513.1759996512581</v>
      </c>
      <c r="CZ120">
        <f t="shared" si="182"/>
        <v>0.84065800346182928</v>
      </c>
      <c r="DA120">
        <f t="shared" si="183"/>
        <v>0.16086994668133059</v>
      </c>
      <c r="DB120">
        <v>6</v>
      </c>
      <c r="DC120">
        <v>0.5</v>
      </c>
      <c r="DD120" t="s">
        <v>422</v>
      </c>
      <c r="DE120">
        <v>2</v>
      </c>
      <c r="DF120">
        <v>1689020646.0999999</v>
      </c>
      <c r="DG120">
        <v>1137.5</v>
      </c>
      <c r="DH120">
        <v>1200.3900000000001</v>
      </c>
      <c r="DI120">
        <v>28.197299999999998</v>
      </c>
      <c r="DJ120">
        <v>23.9162</v>
      </c>
      <c r="DK120">
        <v>1137.46</v>
      </c>
      <c r="DL120">
        <v>28.1492</v>
      </c>
      <c r="DM120">
        <v>500.16899999999998</v>
      </c>
      <c r="DN120">
        <v>98.967699999999994</v>
      </c>
      <c r="DO120">
        <v>9.9920599999999998E-2</v>
      </c>
      <c r="DP120">
        <v>29.960799999999999</v>
      </c>
      <c r="DQ120">
        <v>29.976800000000001</v>
      </c>
      <c r="DR120">
        <v>999.9</v>
      </c>
      <c r="DS120">
        <v>0</v>
      </c>
      <c r="DT120">
        <v>0</v>
      </c>
      <c r="DU120">
        <v>9990</v>
      </c>
      <c r="DV120">
        <v>0</v>
      </c>
      <c r="DW120">
        <v>645.60199999999998</v>
      </c>
      <c r="DX120">
        <v>-62.890099999999997</v>
      </c>
      <c r="DY120">
        <v>1170.5</v>
      </c>
      <c r="DZ120">
        <v>1229.8</v>
      </c>
      <c r="EA120">
        <v>4.2811300000000001</v>
      </c>
      <c r="EB120">
        <v>1200.3900000000001</v>
      </c>
      <c r="EC120">
        <v>23.9162</v>
      </c>
      <c r="ED120">
        <v>2.7906200000000001</v>
      </c>
      <c r="EE120">
        <v>2.36693</v>
      </c>
      <c r="EF120">
        <v>22.828700000000001</v>
      </c>
      <c r="EG120">
        <v>20.139299999999999</v>
      </c>
      <c r="EH120">
        <v>1799.99</v>
      </c>
      <c r="EI120">
        <v>0.97800699999999996</v>
      </c>
      <c r="EJ120">
        <v>2.1992500000000002E-2</v>
      </c>
      <c r="EK120">
        <v>0</v>
      </c>
      <c r="EL120">
        <v>693.52099999999996</v>
      </c>
      <c r="EM120">
        <v>5.0005300000000004</v>
      </c>
      <c r="EN120">
        <v>14147.9</v>
      </c>
      <c r="EO120">
        <v>16035.2</v>
      </c>
      <c r="EP120">
        <v>47.936999999999998</v>
      </c>
      <c r="EQ120">
        <v>48.75</v>
      </c>
      <c r="ER120">
        <v>48.436999999999998</v>
      </c>
      <c r="ES120">
        <v>48.375</v>
      </c>
      <c r="ET120">
        <v>49.125</v>
      </c>
      <c r="EU120">
        <v>1755.51</v>
      </c>
      <c r="EV120">
        <v>39.479999999999997</v>
      </c>
      <c r="EW120">
        <v>0</v>
      </c>
      <c r="EX120">
        <v>115.4000000953674</v>
      </c>
      <c r="EY120">
        <v>0</v>
      </c>
      <c r="EZ120">
        <v>693.99440000000004</v>
      </c>
      <c r="FA120">
        <v>-3.2476923088351661</v>
      </c>
      <c r="FB120">
        <v>226.8461533923566</v>
      </c>
      <c r="FC120">
        <v>14111.531999999999</v>
      </c>
      <c r="FD120">
        <v>15</v>
      </c>
      <c r="FE120">
        <v>1689020603</v>
      </c>
      <c r="FF120" t="s">
        <v>949</v>
      </c>
      <c r="FG120">
        <v>1689020598.5</v>
      </c>
      <c r="FH120">
        <v>1689020603</v>
      </c>
      <c r="FI120">
        <v>112</v>
      </c>
      <c r="FJ120">
        <v>0.112</v>
      </c>
      <c r="FK120">
        <v>0</v>
      </c>
      <c r="FL120">
        <v>4.2999999999999997E-2</v>
      </c>
      <c r="FM120">
        <v>0.04</v>
      </c>
      <c r="FN120">
        <v>1200</v>
      </c>
      <c r="FO120">
        <v>23</v>
      </c>
      <c r="FP120">
        <v>0.1</v>
      </c>
      <c r="FQ120">
        <v>0.02</v>
      </c>
      <c r="FR120">
        <v>48.17244721764159</v>
      </c>
      <c r="FS120">
        <v>-0.2022184172732566</v>
      </c>
      <c r="FT120">
        <v>0.1105313790212054</v>
      </c>
      <c r="FU120">
        <v>1</v>
      </c>
      <c r="FV120">
        <v>0.24540098723064471</v>
      </c>
      <c r="FW120">
        <v>5.5730497373336473E-3</v>
      </c>
      <c r="FX120">
        <v>1.249308468193984E-3</v>
      </c>
      <c r="FY120">
        <v>1</v>
      </c>
      <c r="FZ120">
        <v>2</v>
      </c>
      <c r="GA120">
        <v>2</v>
      </c>
      <c r="GB120" t="s">
        <v>424</v>
      </c>
      <c r="GC120">
        <v>3.1234600000000001</v>
      </c>
      <c r="GD120">
        <v>2.7671399999999999</v>
      </c>
      <c r="GE120">
        <v>0.18179100000000001</v>
      </c>
      <c r="GF120">
        <v>0.187809</v>
      </c>
      <c r="GG120">
        <v>0.11933000000000001</v>
      </c>
      <c r="GH120">
        <v>0.106656</v>
      </c>
      <c r="GI120">
        <v>19528.7</v>
      </c>
      <c r="GJ120">
        <v>20104.8</v>
      </c>
      <c r="GK120">
        <v>23735.1</v>
      </c>
      <c r="GL120">
        <v>25072.7</v>
      </c>
      <c r="GM120">
        <v>30125.1</v>
      </c>
      <c r="GN120">
        <v>31427.3</v>
      </c>
      <c r="GO120">
        <v>37834.5</v>
      </c>
      <c r="GP120">
        <v>39023.9</v>
      </c>
      <c r="GQ120">
        <v>2.1294</v>
      </c>
      <c r="GR120">
        <v>1.7103999999999999</v>
      </c>
      <c r="GS120">
        <v>5.0812999999999997E-2</v>
      </c>
      <c r="GT120">
        <v>0</v>
      </c>
      <c r="GU120">
        <v>29.1493</v>
      </c>
      <c r="GV120">
        <v>999.9</v>
      </c>
      <c r="GW120">
        <v>25.6</v>
      </c>
      <c r="GX120">
        <v>46.5</v>
      </c>
      <c r="GY120">
        <v>26.927900000000001</v>
      </c>
      <c r="GZ120">
        <v>61.0886</v>
      </c>
      <c r="HA120">
        <v>27.307700000000001</v>
      </c>
      <c r="HB120">
        <v>1</v>
      </c>
      <c r="HC120">
        <v>0.64360300000000004</v>
      </c>
      <c r="HD120">
        <v>1.7842100000000001</v>
      </c>
      <c r="HE120">
        <v>20.308599999999998</v>
      </c>
      <c r="HF120">
        <v>5.2443900000000001</v>
      </c>
      <c r="HG120">
        <v>12.0099</v>
      </c>
      <c r="HH120">
        <v>4.9768999999999997</v>
      </c>
      <c r="HI120">
        <v>3.29223</v>
      </c>
      <c r="HJ120">
        <v>9999</v>
      </c>
      <c r="HK120">
        <v>9999</v>
      </c>
      <c r="HL120">
        <v>9999</v>
      </c>
      <c r="HM120">
        <v>237.2</v>
      </c>
      <c r="HN120">
        <v>1.87575</v>
      </c>
      <c r="HO120">
        <v>1.87683</v>
      </c>
      <c r="HP120">
        <v>1.8828400000000001</v>
      </c>
      <c r="HQ120">
        <v>1.8859999999999999</v>
      </c>
      <c r="HR120">
        <v>1.87683</v>
      </c>
      <c r="HS120">
        <v>1.88324</v>
      </c>
      <c r="HT120">
        <v>1.8822000000000001</v>
      </c>
      <c r="HU120">
        <v>1.88568</v>
      </c>
      <c r="HV120">
        <v>0</v>
      </c>
      <c r="HW120">
        <v>0</v>
      </c>
      <c r="HX120">
        <v>0</v>
      </c>
      <c r="HY120">
        <v>0</v>
      </c>
      <c r="HZ120" t="s">
        <v>425</v>
      </c>
      <c r="IA120" t="s">
        <v>426</v>
      </c>
      <c r="IB120" t="s">
        <v>427</v>
      </c>
      <c r="IC120" t="s">
        <v>427</v>
      </c>
      <c r="ID120" t="s">
        <v>427</v>
      </c>
      <c r="IE120" t="s">
        <v>427</v>
      </c>
      <c r="IF120">
        <v>0</v>
      </c>
      <c r="IG120">
        <v>100</v>
      </c>
      <c r="IH120">
        <v>100</v>
      </c>
      <c r="II120">
        <v>0.04</v>
      </c>
      <c r="IJ120">
        <v>4.8099999999999997E-2</v>
      </c>
      <c r="IK120">
        <v>9.1692357641127806E-2</v>
      </c>
      <c r="IL120">
        <v>-4.2852564239613137E-4</v>
      </c>
      <c r="IM120">
        <v>6.4980710991155998E-7</v>
      </c>
      <c r="IN120">
        <v>-2.7237938963984961E-10</v>
      </c>
      <c r="IO120">
        <v>-1.01466428432437E-2</v>
      </c>
      <c r="IP120">
        <v>6.6907473102813496E-3</v>
      </c>
      <c r="IQ120">
        <v>-3.3673306238274028E-4</v>
      </c>
      <c r="IR120">
        <v>6.1311374003140313E-6</v>
      </c>
      <c r="IS120">
        <v>3</v>
      </c>
      <c r="IT120">
        <v>2101</v>
      </c>
      <c r="IU120">
        <v>1</v>
      </c>
      <c r="IV120">
        <v>32</v>
      </c>
      <c r="IW120">
        <v>0.8</v>
      </c>
      <c r="IX120">
        <v>0.7</v>
      </c>
      <c r="IY120">
        <v>2.50244</v>
      </c>
      <c r="IZ120">
        <v>2.7185100000000002</v>
      </c>
      <c r="JA120">
        <v>1.6015600000000001</v>
      </c>
      <c r="JB120">
        <v>2.32422</v>
      </c>
      <c r="JC120">
        <v>1.5502899999999999</v>
      </c>
      <c r="JD120">
        <v>2.4255399999999998</v>
      </c>
      <c r="JE120">
        <v>48.270299999999999</v>
      </c>
      <c r="JF120">
        <v>24.1663</v>
      </c>
      <c r="JG120">
        <v>18</v>
      </c>
      <c r="JH120">
        <v>595.54999999999995</v>
      </c>
      <c r="JI120">
        <v>377.04500000000002</v>
      </c>
      <c r="JJ120">
        <v>27.159099999999999</v>
      </c>
      <c r="JK120">
        <v>35.030500000000004</v>
      </c>
      <c r="JL120">
        <v>29.997299999999999</v>
      </c>
      <c r="JM120">
        <v>35.317799999999998</v>
      </c>
      <c r="JN120">
        <v>35.3217</v>
      </c>
      <c r="JO120">
        <v>50.070399999999999</v>
      </c>
      <c r="JP120">
        <v>7.09666</v>
      </c>
      <c r="JQ120">
        <v>12.2239</v>
      </c>
      <c r="JR120">
        <v>27.257400000000001</v>
      </c>
      <c r="JS120">
        <v>1200</v>
      </c>
      <c r="JT120">
        <v>23.4495</v>
      </c>
      <c r="JU120">
        <v>98.682299999999998</v>
      </c>
      <c r="JV120">
        <v>98.752200000000002</v>
      </c>
    </row>
    <row r="121" spans="1:282" x14ac:dyDescent="0.25">
      <c r="A121">
        <v>105</v>
      </c>
      <c r="B121">
        <v>1689020758.5999999</v>
      </c>
      <c r="C121">
        <v>20936</v>
      </c>
      <c r="D121" t="s">
        <v>950</v>
      </c>
      <c r="E121" t="s">
        <v>951</v>
      </c>
      <c r="F121" t="s">
        <v>414</v>
      </c>
      <c r="G121" t="s">
        <v>415</v>
      </c>
      <c r="H121" t="s">
        <v>416</v>
      </c>
      <c r="I121" t="s">
        <v>501</v>
      </c>
      <c r="J121" t="s">
        <v>418</v>
      </c>
      <c r="K121">
        <v>1689020758.5999999</v>
      </c>
      <c r="L121">
        <f t="shared" si="138"/>
        <v>3.5347009751401921E-3</v>
      </c>
      <c r="M121">
        <f t="shared" si="139"/>
        <v>3.5347009751401921</v>
      </c>
      <c r="N121">
        <f t="shared" si="140"/>
        <v>47.367056462400164</v>
      </c>
      <c r="O121">
        <f t="shared" si="141"/>
        <v>1436.99</v>
      </c>
      <c r="P121">
        <f t="shared" si="142"/>
        <v>1068.0907669105134</v>
      </c>
      <c r="Q121">
        <f t="shared" si="143"/>
        <v>105.80663665717437</v>
      </c>
      <c r="R121">
        <f t="shared" si="144"/>
        <v>142.35033530884502</v>
      </c>
      <c r="S121">
        <f t="shared" si="145"/>
        <v>0.23317529970124967</v>
      </c>
      <c r="T121">
        <f t="shared" si="146"/>
        <v>2.9121433698421337</v>
      </c>
      <c r="U121">
        <f t="shared" si="147"/>
        <v>0.22327731196045308</v>
      </c>
      <c r="V121">
        <f t="shared" si="148"/>
        <v>0.14040260193394818</v>
      </c>
      <c r="W121">
        <f t="shared" si="149"/>
        <v>289.57706332695813</v>
      </c>
      <c r="X121">
        <f t="shared" si="150"/>
        <v>30.825447481631791</v>
      </c>
      <c r="Y121">
        <f t="shared" si="151"/>
        <v>30.142199999999999</v>
      </c>
      <c r="Z121">
        <f t="shared" si="152"/>
        <v>4.2953725946147117</v>
      </c>
      <c r="AA121">
        <f t="shared" si="153"/>
        <v>65.196975581086576</v>
      </c>
      <c r="AB121">
        <f t="shared" si="154"/>
        <v>2.7831615916621506</v>
      </c>
      <c r="AC121">
        <f t="shared" si="155"/>
        <v>4.2688507662455688</v>
      </c>
      <c r="AD121">
        <f t="shared" si="156"/>
        <v>1.5122110029525611</v>
      </c>
      <c r="AE121">
        <f t="shared" si="157"/>
        <v>-155.88031300368246</v>
      </c>
      <c r="AF121">
        <f t="shared" si="158"/>
        <v>-16.940243174996414</v>
      </c>
      <c r="AG121">
        <f t="shared" si="159"/>
        <v>-1.2945696168736822</v>
      </c>
      <c r="AH121">
        <f t="shared" si="160"/>
        <v>115.46193753140558</v>
      </c>
      <c r="AI121">
        <v>0</v>
      </c>
      <c r="AJ121">
        <v>0</v>
      </c>
      <c r="AK121">
        <f t="shared" si="161"/>
        <v>1</v>
      </c>
      <c r="AL121">
        <f t="shared" si="162"/>
        <v>0</v>
      </c>
      <c r="AM121">
        <f t="shared" si="163"/>
        <v>51828.972178245967</v>
      </c>
      <c r="AN121" t="s">
        <v>419</v>
      </c>
      <c r="AO121">
        <v>9967.0300000000007</v>
      </c>
      <c r="AP121">
        <v>178.94153846153841</v>
      </c>
      <c r="AQ121">
        <v>603.15</v>
      </c>
      <c r="AR121">
        <f t="shared" si="164"/>
        <v>0.7033216638290003</v>
      </c>
      <c r="AS121">
        <v>-3.2649104154664181</v>
      </c>
      <c r="AT121" t="s">
        <v>952</v>
      </c>
      <c r="AU121">
        <v>8074.52</v>
      </c>
      <c r="AV121">
        <v>692.13676923076923</v>
      </c>
      <c r="AW121">
        <v>1154.777932016623</v>
      </c>
      <c r="AX121">
        <f t="shared" si="165"/>
        <v>0.40063214749690423</v>
      </c>
      <c r="AY121">
        <v>0.5</v>
      </c>
      <c r="AZ121">
        <f t="shared" si="166"/>
        <v>1513.2431996512735</v>
      </c>
      <c r="BA121">
        <f t="shared" si="167"/>
        <v>47.367056462400164</v>
      </c>
      <c r="BB121">
        <f t="shared" si="168"/>
        <v>303.12693638068816</v>
      </c>
      <c r="BC121">
        <f t="shared" si="169"/>
        <v>3.3459239657931197E-2</v>
      </c>
      <c r="BD121">
        <f t="shared" si="170"/>
        <v>-0.47769178534031975</v>
      </c>
      <c r="BE121">
        <f t="shared" si="171"/>
        <v>208.48872873956839</v>
      </c>
      <c r="BF121" t="s">
        <v>953</v>
      </c>
      <c r="BG121">
        <v>537.49</v>
      </c>
      <c r="BH121">
        <f t="shared" si="172"/>
        <v>537.49</v>
      </c>
      <c r="BI121">
        <f t="shared" si="173"/>
        <v>0.53455120235856501</v>
      </c>
      <c r="BJ121">
        <f t="shared" si="174"/>
        <v>0.74947384970648556</v>
      </c>
      <c r="BK121">
        <f t="shared" si="175"/>
        <v>-8.4012782823122656</v>
      </c>
      <c r="BL121">
        <f t="shared" si="176"/>
        <v>0.4740970574999756</v>
      </c>
      <c r="BM121">
        <f t="shared" si="177"/>
        <v>-1.3003699407976301</v>
      </c>
      <c r="BN121">
        <f t="shared" si="178"/>
        <v>0.58201603698419835</v>
      </c>
      <c r="BO121">
        <f t="shared" si="179"/>
        <v>0.41798396301580165</v>
      </c>
      <c r="BP121">
        <v>6245</v>
      </c>
      <c r="BQ121">
        <v>290.00000000000011</v>
      </c>
      <c r="BR121">
        <v>993.24</v>
      </c>
      <c r="BS121">
        <v>275</v>
      </c>
      <c r="BT121">
        <v>8074.52</v>
      </c>
      <c r="BU121">
        <v>996.92</v>
      </c>
      <c r="BV121">
        <v>-3.68</v>
      </c>
      <c r="BW121">
        <v>300.00000000000011</v>
      </c>
      <c r="BX121">
        <v>19.3</v>
      </c>
      <c r="BY121">
        <v>1154.777932016623</v>
      </c>
      <c r="BZ121">
        <v>4.915530816896295</v>
      </c>
      <c r="CA121">
        <v>-127.4608359770442</v>
      </c>
      <c r="CB121">
        <v>3.646003705658877</v>
      </c>
      <c r="CC121">
        <v>0.97760242558886035</v>
      </c>
      <c r="CD121">
        <v>-4.1664896551724187E-3</v>
      </c>
      <c r="CE121">
        <v>289.99999999999989</v>
      </c>
      <c r="CF121">
        <v>987.18</v>
      </c>
      <c r="CG121">
        <v>625</v>
      </c>
      <c r="CH121">
        <v>8065.72</v>
      </c>
      <c r="CI121">
        <v>996.75</v>
      </c>
      <c r="CJ121">
        <v>-9.57</v>
      </c>
      <c r="CX121">
        <f t="shared" si="180"/>
        <v>1800.07</v>
      </c>
      <c r="CY121">
        <f t="shared" si="181"/>
        <v>1513.2431996512735</v>
      </c>
      <c r="CZ121">
        <f t="shared" si="182"/>
        <v>0.84065797421837685</v>
      </c>
      <c r="DA121">
        <f t="shared" si="183"/>
        <v>0.16086989024146736</v>
      </c>
      <c r="DB121">
        <v>6</v>
      </c>
      <c r="DC121">
        <v>0.5</v>
      </c>
      <c r="DD121" t="s">
        <v>422</v>
      </c>
      <c r="DE121">
        <v>2</v>
      </c>
      <c r="DF121">
        <v>1689020758.5999999</v>
      </c>
      <c r="DG121">
        <v>1436.99</v>
      </c>
      <c r="DH121">
        <v>1499.92</v>
      </c>
      <c r="DI121">
        <v>28.095300000000002</v>
      </c>
      <c r="DJ121">
        <v>23.973199999999999</v>
      </c>
      <c r="DK121">
        <v>1436.64</v>
      </c>
      <c r="DL121">
        <v>28.0444</v>
      </c>
      <c r="DM121">
        <v>500.04500000000002</v>
      </c>
      <c r="DN121">
        <v>98.961600000000004</v>
      </c>
      <c r="DO121">
        <v>9.9865499999999996E-2</v>
      </c>
      <c r="DP121">
        <v>30.034300000000002</v>
      </c>
      <c r="DQ121">
        <v>30.142199999999999</v>
      </c>
      <c r="DR121">
        <v>999.9</v>
      </c>
      <c r="DS121">
        <v>0</v>
      </c>
      <c r="DT121">
        <v>0</v>
      </c>
      <c r="DU121">
        <v>10005</v>
      </c>
      <c r="DV121">
        <v>0</v>
      </c>
      <c r="DW121">
        <v>1666.64</v>
      </c>
      <c r="DX121">
        <v>-62.937899999999999</v>
      </c>
      <c r="DY121">
        <v>1478.53</v>
      </c>
      <c r="DZ121">
        <v>1536.77</v>
      </c>
      <c r="EA121">
        <v>4.12209</v>
      </c>
      <c r="EB121">
        <v>1499.92</v>
      </c>
      <c r="EC121">
        <v>23.973199999999999</v>
      </c>
      <c r="ED121">
        <v>2.7803499999999999</v>
      </c>
      <c r="EE121">
        <v>2.37242</v>
      </c>
      <c r="EF121">
        <v>22.767900000000001</v>
      </c>
      <c r="EG121">
        <v>20.1768</v>
      </c>
      <c r="EH121">
        <v>1800.07</v>
      </c>
      <c r="EI121">
        <v>0.97800399999999998</v>
      </c>
      <c r="EJ121">
        <v>2.1996100000000001E-2</v>
      </c>
      <c r="EK121">
        <v>0</v>
      </c>
      <c r="EL121">
        <v>691.77499999999998</v>
      </c>
      <c r="EM121">
        <v>5.0005300000000004</v>
      </c>
      <c r="EN121">
        <v>15401.4</v>
      </c>
      <c r="EO121">
        <v>16035.9</v>
      </c>
      <c r="EP121">
        <v>47.625</v>
      </c>
      <c r="EQ121">
        <v>48.561999999999998</v>
      </c>
      <c r="ER121">
        <v>48.186999999999998</v>
      </c>
      <c r="ES121">
        <v>48.125</v>
      </c>
      <c r="ET121">
        <v>48.875</v>
      </c>
      <c r="EU121">
        <v>1755.59</v>
      </c>
      <c r="EV121">
        <v>39.479999999999997</v>
      </c>
      <c r="EW121">
        <v>0</v>
      </c>
      <c r="EX121">
        <v>110.3999998569489</v>
      </c>
      <c r="EY121">
        <v>0</v>
      </c>
      <c r="EZ121">
        <v>692.13676923076923</v>
      </c>
      <c r="FA121">
        <v>-1.446153851309613</v>
      </c>
      <c r="FB121">
        <v>260.12991305125729</v>
      </c>
      <c r="FC121">
        <v>15323.24615384615</v>
      </c>
      <c r="FD121">
        <v>15</v>
      </c>
      <c r="FE121">
        <v>1689020721.0999999</v>
      </c>
      <c r="FF121" t="s">
        <v>954</v>
      </c>
      <c r="FG121">
        <v>1689020709.5999999</v>
      </c>
      <c r="FH121">
        <v>1689020721.0999999</v>
      </c>
      <c r="FI121">
        <v>113</v>
      </c>
      <c r="FJ121">
        <v>0.33900000000000002</v>
      </c>
      <c r="FK121">
        <v>3.0000000000000001E-3</v>
      </c>
      <c r="FL121">
        <v>0.33100000000000002</v>
      </c>
      <c r="FM121">
        <v>4.3999999999999997E-2</v>
      </c>
      <c r="FN121">
        <v>1500</v>
      </c>
      <c r="FO121">
        <v>24</v>
      </c>
      <c r="FP121">
        <v>0.06</v>
      </c>
      <c r="FQ121">
        <v>0.02</v>
      </c>
      <c r="FR121">
        <v>47.230010977921523</v>
      </c>
      <c r="FS121">
        <v>0.49281630881934868</v>
      </c>
      <c r="FT121">
        <v>0.1079940741320182</v>
      </c>
      <c r="FU121">
        <v>1</v>
      </c>
      <c r="FV121">
        <v>0.23587589214229979</v>
      </c>
      <c r="FW121">
        <v>-3.3974860306350413E-2</v>
      </c>
      <c r="FX121">
        <v>2.6078704793025351E-3</v>
      </c>
      <c r="FY121">
        <v>1</v>
      </c>
      <c r="FZ121">
        <v>2</v>
      </c>
      <c r="GA121">
        <v>2</v>
      </c>
      <c r="GB121" t="s">
        <v>424</v>
      </c>
      <c r="GC121">
        <v>3.1225100000000001</v>
      </c>
      <c r="GD121">
        <v>2.7672099999999999</v>
      </c>
      <c r="GE121">
        <v>0.209812</v>
      </c>
      <c r="GF121">
        <v>0.21506700000000001</v>
      </c>
      <c r="GG121">
        <v>0.119072</v>
      </c>
      <c r="GH121">
        <v>0.106879</v>
      </c>
      <c r="GI121">
        <v>18870</v>
      </c>
      <c r="GJ121">
        <v>19440.099999999999</v>
      </c>
      <c r="GK121">
        <v>23749.599999999999</v>
      </c>
      <c r="GL121">
        <v>25087.599999999999</v>
      </c>
      <c r="GM121">
        <v>30152.3</v>
      </c>
      <c r="GN121">
        <v>31435.200000000001</v>
      </c>
      <c r="GO121">
        <v>37857.5</v>
      </c>
      <c r="GP121">
        <v>39043.199999999997</v>
      </c>
      <c r="GQ121">
        <v>2.1314299999999999</v>
      </c>
      <c r="GR121">
        <v>1.7176</v>
      </c>
      <c r="GS121">
        <v>4.6514E-2</v>
      </c>
      <c r="GT121">
        <v>0</v>
      </c>
      <c r="GU121">
        <v>29.385000000000002</v>
      </c>
      <c r="GV121">
        <v>999.9</v>
      </c>
      <c r="GW121">
        <v>26.3</v>
      </c>
      <c r="GX121">
        <v>46.3</v>
      </c>
      <c r="GY121">
        <v>27.384499999999999</v>
      </c>
      <c r="GZ121">
        <v>61.0486</v>
      </c>
      <c r="HA121">
        <v>27.872599999999998</v>
      </c>
      <c r="HB121">
        <v>1</v>
      </c>
      <c r="HC121">
        <v>0.63181399999999999</v>
      </c>
      <c r="HD121">
        <v>4.2623199999999999</v>
      </c>
      <c r="HE121">
        <v>20.264099999999999</v>
      </c>
      <c r="HF121">
        <v>5.2491899999999996</v>
      </c>
      <c r="HG121">
        <v>12.0099</v>
      </c>
      <c r="HH121">
        <v>4.9789500000000002</v>
      </c>
      <c r="HI121">
        <v>3.2926199999999999</v>
      </c>
      <c r="HJ121">
        <v>9999</v>
      </c>
      <c r="HK121">
        <v>9999</v>
      </c>
      <c r="HL121">
        <v>9999</v>
      </c>
      <c r="HM121">
        <v>237.2</v>
      </c>
      <c r="HN121">
        <v>1.87575</v>
      </c>
      <c r="HO121">
        <v>1.87683</v>
      </c>
      <c r="HP121">
        <v>1.8828400000000001</v>
      </c>
      <c r="HQ121">
        <v>1.88605</v>
      </c>
      <c r="HR121">
        <v>1.87683</v>
      </c>
      <c r="HS121">
        <v>1.88324</v>
      </c>
      <c r="HT121">
        <v>1.8822000000000001</v>
      </c>
      <c r="HU121">
        <v>1.8856900000000001</v>
      </c>
      <c r="HV121">
        <v>0</v>
      </c>
      <c r="HW121">
        <v>0</v>
      </c>
      <c r="HX121">
        <v>0</v>
      </c>
      <c r="HY121">
        <v>0</v>
      </c>
      <c r="HZ121" t="s">
        <v>425</v>
      </c>
      <c r="IA121" t="s">
        <v>426</v>
      </c>
      <c r="IB121" t="s">
        <v>427</v>
      </c>
      <c r="IC121" t="s">
        <v>427</v>
      </c>
      <c r="ID121" t="s">
        <v>427</v>
      </c>
      <c r="IE121" t="s">
        <v>427</v>
      </c>
      <c r="IF121">
        <v>0</v>
      </c>
      <c r="IG121">
        <v>100</v>
      </c>
      <c r="IH121">
        <v>100</v>
      </c>
      <c r="II121">
        <v>0.35</v>
      </c>
      <c r="IJ121">
        <v>5.0900000000000001E-2</v>
      </c>
      <c r="IK121">
        <v>0.43140496141721529</v>
      </c>
      <c r="IL121">
        <v>-4.2852564239613137E-4</v>
      </c>
      <c r="IM121">
        <v>6.4980710991155998E-7</v>
      </c>
      <c r="IN121">
        <v>-2.7237938963984961E-10</v>
      </c>
      <c r="IO121">
        <v>-7.2097815296207806E-3</v>
      </c>
      <c r="IP121">
        <v>6.6907473102813496E-3</v>
      </c>
      <c r="IQ121">
        <v>-3.3673306238274028E-4</v>
      </c>
      <c r="IR121">
        <v>6.1311374003140313E-6</v>
      </c>
      <c r="IS121">
        <v>3</v>
      </c>
      <c r="IT121">
        <v>2101</v>
      </c>
      <c r="IU121">
        <v>1</v>
      </c>
      <c r="IV121">
        <v>32</v>
      </c>
      <c r="IW121">
        <v>0.8</v>
      </c>
      <c r="IX121">
        <v>0.6</v>
      </c>
      <c r="IY121">
        <v>2.9992700000000001</v>
      </c>
      <c r="IZ121">
        <v>2.7124000000000001</v>
      </c>
      <c r="JA121">
        <v>1.6015600000000001</v>
      </c>
      <c r="JB121">
        <v>2.323</v>
      </c>
      <c r="JC121">
        <v>1.5502899999999999</v>
      </c>
      <c r="JD121">
        <v>2.2863799999999999</v>
      </c>
      <c r="JE121">
        <v>47.9955</v>
      </c>
      <c r="JF121">
        <v>24.1313</v>
      </c>
      <c r="JG121">
        <v>18</v>
      </c>
      <c r="JH121">
        <v>595.11800000000005</v>
      </c>
      <c r="JI121">
        <v>380.19499999999999</v>
      </c>
      <c r="JJ121">
        <v>26.1418</v>
      </c>
      <c r="JK121">
        <v>34.7986</v>
      </c>
      <c r="JL121">
        <v>30.000699999999998</v>
      </c>
      <c r="JM121">
        <v>35.105400000000003</v>
      </c>
      <c r="JN121">
        <v>35.114800000000002</v>
      </c>
      <c r="JO121">
        <v>60.043199999999999</v>
      </c>
      <c r="JP121">
        <v>10.0448</v>
      </c>
      <c r="JQ121">
        <v>15.9871</v>
      </c>
      <c r="JR121">
        <v>25.989899999999999</v>
      </c>
      <c r="JS121">
        <v>1500</v>
      </c>
      <c r="JT121">
        <v>23.858599999999999</v>
      </c>
      <c r="JU121">
        <v>98.7423</v>
      </c>
      <c r="JV121">
        <v>98.8048</v>
      </c>
    </row>
    <row r="122" spans="1:282" x14ac:dyDescent="0.25">
      <c r="A122">
        <v>106</v>
      </c>
      <c r="B122">
        <v>1689022042.5999999</v>
      </c>
      <c r="C122">
        <v>22220</v>
      </c>
      <c r="D122" t="s">
        <v>955</v>
      </c>
      <c r="E122" t="s">
        <v>956</v>
      </c>
      <c r="F122" t="s">
        <v>414</v>
      </c>
      <c r="G122" t="s">
        <v>415</v>
      </c>
      <c r="H122" t="s">
        <v>418</v>
      </c>
      <c r="I122" t="s">
        <v>417</v>
      </c>
      <c r="J122" t="s">
        <v>418</v>
      </c>
      <c r="K122">
        <v>1689022042.5999999</v>
      </c>
      <c r="L122">
        <f t="shared" si="138"/>
        <v>4.3147185038170596E-3</v>
      </c>
      <c r="M122">
        <f t="shared" si="139"/>
        <v>4.3147185038170592</v>
      </c>
      <c r="N122">
        <f t="shared" si="140"/>
        <v>45.731774664256463</v>
      </c>
      <c r="O122">
        <f t="shared" si="141"/>
        <v>343.43599999999998</v>
      </c>
      <c r="P122">
        <f t="shared" si="142"/>
        <v>82.457488544481023</v>
      </c>
      <c r="Q122">
        <f t="shared" si="143"/>
        <v>8.169197630893084</v>
      </c>
      <c r="R122">
        <f t="shared" si="144"/>
        <v>34.024763633808</v>
      </c>
      <c r="S122">
        <f t="shared" si="145"/>
        <v>0.29998398485007677</v>
      </c>
      <c r="T122">
        <f t="shared" si="146"/>
        <v>2.9083846232048884</v>
      </c>
      <c r="U122">
        <f t="shared" si="147"/>
        <v>0.28379320012179343</v>
      </c>
      <c r="V122">
        <f t="shared" si="148"/>
        <v>0.17875257109069148</v>
      </c>
      <c r="W122">
        <f t="shared" si="149"/>
        <v>289.55152732689834</v>
      </c>
      <c r="X122">
        <f t="shared" si="150"/>
        <v>30.866046805786304</v>
      </c>
      <c r="Y122">
        <f t="shared" si="151"/>
        <v>30.049399999999999</v>
      </c>
      <c r="Z122">
        <f t="shared" si="152"/>
        <v>4.2725537372375122</v>
      </c>
      <c r="AA122">
        <f t="shared" si="153"/>
        <v>65.147634436067719</v>
      </c>
      <c r="AB122">
        <f t="shared" si="154"/>
        <v>2.8202125912991995</v>
      </c>
      <c r="AC122">
        <f t="shared" si="155"/>
        <v>4.32895624793069</v>
      </c>
      <c r="AD122">
        <f t="shared" si="156"/>
        <v>1.4523411459383126</v>
      </c>
      <c r="AE122">
        <f t="shared" si="157"/>
        <v>-190.27908601833232</v>
      </c>
      <c r="AF122">
        <f t="shared" si="158"/>
        <v>35.843755750902368</v>
      </c>
      <c r="AG122">
        <f t="shared" si="159"/>
        <v>2.7447610075944255</v>
      </c>
      <c r="AH122">
        <f t="shared" si="160"/>
        <v>137.86095806706282</v>
      </c>
      <c r="AI122">
        <v>0</v>
      </c>
      <c r="AJ122">
        <v>0</v>
      </c>
      <c r="AK122">
        <f t="shared" si="161"/>
        <v>1</v>
      </c>
      <c r="AL122">
        <f t="shared" si="162"/>
        <v>0</v>
      </c>
      <c r="AM122">
        <f t="shared" si="163"/>
        <v>51680.820874786354</v>
      </c>
      <c r="AN122" t="s">
        <v>419</v>
      </c>
      <c r="AO122">
        <v>9967.0300000000007</v>
      </c>
      <c r="AP122">
        <v>178.94153846153841</v>
      </c>
      <c r="AQ122">
        <v>603.15</v>
      </c>
      <c r="AR122">
        <f t="shared" si="164"/>
        <v>0.7033216638290003</v>
      </c>
      <c r="AS122">
        <v>-3.2649104154664181</v>
      </c>
      <c r="AT122" t="s">
        <v>957</v>
      </c>
      <c r="AU122">
        <v>8055.99</v>
      </c>
      <c r="AV122">
        <v>692.09247999999991</v>
      </c>
      <c r="AW122">
        <v>1106.987368647244</v>
      </c>
      <c r="AX122">
        <f t="shared" si="165"/>
        <v>0.37479640725643704</v>
      </c>
      <c r="AY122">
        <v>0.5</v>
      </c>
      <c r="AZ122">
        <f t="shared" si="166"/>
        <v>1513.1087996512426</v>
      </c>
      <c r="BA122">
        <f t="shared" si="167"/>
        <v>45.731774664256463</v>
      </c>
      <c r="BB122">
        <f t="shared" si="168"/>
        <v>283.55387094869286</v>
      </c>
      <c r="BC122">
        <f t="shared" si="169"/>
        <v>3.2381468596981364E-2</v>
      </c>
      <c r="BD122">
        <f t="shared" si="170"/>
        <v>-0.45514283443264691</v>
      </c>
      <c r="BE122">
        <f t="shared" si="171"/>
        <v>206.87624915923058</v>
      </c>
      <c r="BF122" t="s">
        <v>958</v>
      </c>
      <c r="BG122">
        <v>553.29</v>
      </c>
      <c r="BH122">
        <f t="shared" si="172"/>
        <v>553.29</v>
      </c>
      <c r="BI122">
        <f t="shared" si="173"/>
        <v>0.50018399877847841</v>
      </c>
      <c r="BJ122">
        <f t="shared" si="174"/>
        <v>0.74931706766258832</v>
      </c>
      <c r="BK122">
        <f t="shared" si="175"/>
        <v>-10.105041489114399</v>
      </c>
      <c r="BL122">
        <f t="shared" si="176"/>
        <v>0.44706293067899672</v>
      </c>
      <c r="BM122">
        <f t="shared" si="177"/>
        <v>-1.1877117368663397</v>
      </c>
      <c r="BN122">
        <f t="shared" si="178"/>
        <v>0.59903792101170283</v>
      </c>
      <c r="BO122">
        <f t="shared" si="179"/>
        <v>0.40096207898829717</v>
      </c>
      <c r="BP122">
        <v>6247</v>
      </c>
      <c r="BQ122">
        <v>290.00000000000011</v>
      </c>
      <c r="BR122">
        <v>959.11</v>
      </c>
      <c r="BS122">
        <v>275</v>
      </c>
      <c r="BT122">
        <v>8055.99</v>
      </c>
      <c r="BU122">
        <v>962.73</v>
      </c>
      <c r="BV122">
        <v>-3.62</v>
      </c>
      <c r="BW122">
        <v>300.00000000000011</v>
      </c>
      <c r="BX122">
        <v>19.3</v>
      </c>
      <c r="BY122">
        <v>1106.987368647244</v>
      </c>
      <c r="BZ122">
        <v>3.8473682835788252</v>
      </c>
      <c r="CA122">
        <v>-116.2104288456799</v>
      </c>
      <c r="CB122">
        <v>2.847022623355822</v>
      </c>
      <c r="CC122">
        <v>0.98347232353641922</v>
      </c>
      <c r="CD122">
        <v>-4.1578832035595098E-3</v>
      </c>
      <c r="CE122">
        <v>289.99999999999989</v>
      </c>
      <c r="CF122">
        <v>955.63</v>
      </c>
      <c r="CG122">
        <v>635</v>
      </c>
      <c r="CH122">
        <v>8046.24</v>
      </c>
      <c r="CI122">
        <v>962.56</v>
      </c>
      <c r="CJ122">
        <v>-6.93</v>
      </c>
      <c r="CX122">
        <f t="shared" si="180"/>
        <v>1799.91</v>
      </c>
      <c r="CY122">
        <f t="shared" si="181"/>
        <v>1513.1087996512426</v>
      </c>
      <c r="CZ122">
        <f t="shared" si="182"/>
        <v>0.84065803270788131</v>
      </c>
      <c r="DA122">
        <f t="shared" si="183"/>
        <v>0.16087000312621094</v>
      </c>
      <c r="DB122">
        <v>6</v>
      </c>
      <c r="DC122">
        <v>0.5</v>
      </c>
      <c r="DD122" t="s">
        <v>422</v>
      </c>
      <c r="DE122">
        <v>2</v>
      </c>
      <c r="DF122">
        <v>1689022042.5999999</v>
      </c>
      <c r="DG122">
        <v>343.43599999999998</v>
      </c>
      <c r="DH122">
        <v>400.08699999999999</v>
      </c>
      <c r="DI122">
        <v>28.4664</v>
      </c>
      <c r="DJ122">
        <v>23.436599999999999</v>
      </c>
      <c r="DK122">
        <v>343.733</v>
      </c>
      <c r="DL122">
        <v>28.417899999999999</v>
      </c>
      <c r="DM122">
        <v>500.04700000000003</v>
      </c>
      <c r="DN122">
        <v>98.971599999999995</v>
      </c>
      <c r="DO122">
        <v>0.10002800000000001</v>
      </c>
      <c r="DP122">
        <v>30.277999999999999</v>
      </c>
      <c r="DQ122">
        <v>30.049399999999999</v>
      </c>
      <c r="DR122">
        <v>999.9</v>
      </c>
      <c r="DS122">
        <v>0</v>
      </c>
      <c r="DT122">
        <v>0</v>
      </c>
      <c r="DU122">
        <v>9982.5</v>
      </c>
      <c r="DV122">
        <v>0</v>
      </c>
      <c r="DW122">
        <v>1647.7</v>
      </c>
      <c r="DX122">
        <v>-56.650500000000001</v>
      </c>
      <c r="DY122">
        <v>353.49900000000002</v>
      </c>
      <c r="DZ122">
        <v>409.68900000000002</v>
      </c>
      <c r="EA122">
        <v>5.0298400000000001</v>
      </c>
      <c r="EB122">
        <v>400.08699999999999</v>
      </c>
      <c r="EC122">
        <v>23.436599999999999</v>
      </c>
      <c r="ED122">
        <v>2.8173699999999999</v>
      </c>
      <c r="EE122">
        <v>2.31955</v>
      </c>
      <c r="EF122">
        <v>22.9862</v>
      </c>
      <c r="EG122">
        <v>19.812799999999999</v>
      </c>
      <c r="EH122">
        <v>1799.91</v>
      </c>
      <c r="EI122">
        <v>0.97800600000000004</v>
      </c>
      <c r="EJ122">
        <v>2.1994099999999999E-2</v>
      </c>
      <c r="EK122">
        <v>0</v>
      </c>
      <c r="EL122">
        <v>691.976</v>
      </c>
      <c r="EM122">
        <v>5.0005300000000004</v>
      </c>
      <c r="EN122">
        <v>15240.1</v>
      </c>
      <c r="EO122">
        <v>16034.5</v>
      </c>
      <c r="EP122">
        <v>49.561999999999998</v>
      </c>
      <c r="EQ122">
        <v>50.936999999999998</v>
      </c>
      <c r="ER122">
        <v>50.186999999999998</v>
      </c>
      <c r="ES122">
        <v>50.375</v>
      </c>
      <c r="ET122">
        <v>50.686999999999998</v>
      </c>
      <c r="EU122">
        <v>1755.43</v>
      </c>
      <c r="EV122">
        <v>39.479999999999997</v>
      </c>
      <c r="EW122">
        <v>0</v>
      </c>
      <c r="EX122">
        <v>1281.7999999523161</v>
      </c>
      <c r="EY122">
        <v>0</v>
      </c>
      <c r="EZ122">
        <v>692.09247999999991</v>
      </c>
      <c r="FA122">
        <v>-1.7989230827684271</v>
      </c>
      <c r="FB122">
        <v>-119.5999996027294</v>
      </c>
      <c r="FC122">
        <v>15249.196</v>
      </c>
      <c r="FD122">
        <v>15</v>
      </c>
      <c r="FE122">
        <v>1689022009.0999999</v>
      </c>
      <c r="FF122" t="s">
        <v>959</v>
      </c>
      <c r="FG122">
        <v>1689022009.0999999</v>
      </c>
      <c r="FH122">
        <v>1689022003.5999999</v>
      </c>
      <c r="FI122">
        <v>115</v>
      </c>
      <c r="FJ122">
        <v>0.14099999999999999</v>
      </c>
      <c r="FK122">
        <v>-3.0000000000000001E-3</v>
      </c>
      <c r="FL122">
        <v>-0.29899999999999999</v>
      </c>
      <c r="FM122">
        <v>0.04</v>
      </c>
      <c r="FN122">
        <v>400</v>
      </c>
      <c r="FO122">
        <v>23</v>
      </c>
      <c r="FP122">
        <v>0.02</v>
      </c>
      <c r="FQ122">
        <v>0.02</v>
      </c>
      <c r="FR122">
        <v>45.762726200848377</v>
      </c>
      <c r="FS122">
        <v>-7.9279971881939193E-2</v>
      </c>
      <c r="FT122">
        <v>3.583928018935028E-2</v>
      </c>
      <c r="FU122">
        <v>1</v>
      </c>
      <c r="FV122">
        <v>0.29694824367949768</v>
      </c>
      <c r="FW122">
        <v>3.7233076444662297E-2</v>
      </c>
      <c r="FX122">
        <v>2.7989052790860962E-3</v>
      </c>
      <c r="FY122">
        <v>1</v>
      </c>
      <c r="FZ122">
        <v>2</v>
      </c>
      <c r="GA122">
        <v>2</v>
      </c>
      <c r="GB122" t="s">
        <v>424</v>
      </c>
      <c r="GC122">
        <v>3.1255500000000001</v>
      </c>
      <c r="GD122">
        <v>2.7671800000000002</v>
      </c>
      <c r="GE122">
        <v>7.8349699999999994E-2</v>
      </c>
      <c r="GF122">
        <v>8.8289199999999998E-2</v>
      </c>
      <c r="GG122">
        <v>0.11992800000000001</v>
      </c>
      <c r="GH122">
        <v>0.104973</v>
      </c>
      <c r="GI122">
        <v>21957.200000000001</v>
      </c>
      <c r="GJ122">
        <v>22522.7</v>
      </c>
      <c r="GK122">
        <v>23691.1</v>
      </c>
      <c r="GL122">
        <v>25021.1</v>
      </c>
      <c r="GM122">
        <v>30051.599999999999</v>
      </c>
      <c r="GN122">
        <v>31418.9</v>
      </c>
      <c r="GO122">
        <v>37768.199999999997</v>
      </c>
      <c r="GP122">
        <v>38940.800000000003</v>
      </c>
      <c r="GQ122">
        <v>2.1311200000000001</v>
      </c>
      <c r="GR122">
        <v>1.69743</v>
      </c>
      <c r="GS122">
        <v>1.80453E-2</v>
      </c>
      <c r="GT122">
        <v>0</v>
      </c>
      <c r="GU122">
        <v>29.755700000000001</v>
      </c>
      <c r="GV122">
        <v>999.9</v>
      </c>
      <c r="GW122">
        <v>28.9</v>
      </c>
      <c r="GX122">
        <v>45.3</v>
      </c>
      <c r="GY122">
        <v>28.5855</v>
      </c>
      <c r="GZ122">
        <v>61.048699999999997</v>
      </c>
      <c r="HA122">
        <v>27.648199999999999</v>
      </c>
      <c r="HB122">
        <v>1</v>
      </c>
      <c r="HC122">
        <v>0.72397599999999995</v>
      </c>
      <c r="HD122">
        <v>3.3355399999999999</v>
      </c>
      <c r="HE122">
        <v>20.282900000000001</v>
      </c>
      <c r="HF122">
        <v>5.2491899999999996</v>
      </c>
      <c r="HG122">
        <v>12.0099</v>
      </c>
      <c r="HH122">
        <v>4.9780499999999996</v>
      </c>
      <c r="HI122">
        <v>3.2923300000000002</v>
      </c>
      <c r="HJ122">
        <v>9999</v>
      </c>
      <c r="HK122">
        <v>9999</v>
      </c>
      <c r="HL122">
        <v>9999</v>
      </c>
      <c r="HM122">
        <v>237.6</v>
      </c>
      <c r="HN122">
        <v>1.8757600000000001</v>
      </c>
      <c r="HO122">
        <v>1.8768100000000001</v>
      </c>
      <c r="HP122">
        <v>1.88287</v>
      </c>
      <c r="HQ122">
        <v>1.8860600000000001</v>
      </c>
      <c r="HR122">
        <v>1.87683</v>
      </c>
      <c r="HS122">
        <v>1.8832599999999999</v>
      </c>
      <c r="HT122">
        <v>1.8822399999999999</v>
      </c>
      <c r="HU122">
        <v>1.8856900000000001</v>
      </c>
      <c r="HV122">
        <v>0</v>
      </c>
      <c r="HW122">
        <v>0</v>
      </c>
      <c r="HX122">
        <v>0</v>
      </c>
      <c r="HY122">
        <v>0</v>
      </c>
      <c r="HZ122" t="s">
        <v>425</v>
      </c>
      <c r="IA122" t="s">
        <v>426</v>
      </c>
      <c r="IB122" t="s">
        <v>427</v>
      </c>
      <c r="IC122" t="s">
        <v>427</v>
      </c>
      <c r="ID122" t="s">
        <v>427</v>
      </c>
      <c r="IE122" t="s">
        <v>427</v>
      </c>
      <c r="IF122">
        <v>0</v>
      </c>
      <c r="IG122">
        <v>100</v>
      </c>
      <c r="IH122">
        <v>100</v>
      </c>
      <c r="II122">
        <v>-0.29699999999999999</v>
      </c>
      <c r="IJ122">
        <v>4.8500000000000001E-2</v>
      </c>
      <c r="IK122">
        <v>-0.2145397393028822</v>
      </c>
      <c r="IL122">
        <v>-4.2852564239613137E-4</v>
      </c>
      <c r="IM122">
        <v>6.4980710991155998E-7</v>
      </c>
      <c r="IN122">
        <v>-2.7237938963984961E-10</v>
      </c>
      <c r="IO122">
        <v>-1.037223916852755E-2</v>
      </c>
      <c r="IP122">
        <v>6.6907473102813496E-3</v>
      </c>
      <c r="IQ122">
        <v>-3.3673306238274028E-4</v>
      </c>
      <c r="IR122">
        <v>6.1311374003140313E-6</v>
      </c>
      <c r="IS122">
        <v>3</v>
      </c>
      <c r="IT122">
        <v>2101</v>
      </c>
      <c r="IU122">
        <v>1</v>
      </c>
      <c r="IV122">
        <v>32</v>
      </c>
      <c r="IW122">
        <v>0.6</v>
      </c>
      <c r="IX122">
        <v>0.7</v>
      </c>
      <c r="IY122">
        <v>1.01807</v>
      </c>
      <c r="IZ122">
        <v>2.7136200000000001</v>
      </c>
      <c r="JA122">
        <v>1.6015600000000001</v>
      </c>
      <c r="JB122">
        <v>2.32422</v>
      </c>
      <c r="JC122">
        <v>1.5502899999999999</v>
      </c>
      <c r="JD122">
        <v>2.36206</v>
      </c>
      <c r="JE122">
        <v>47.541699999999999</v>
      </c>
      <c r="JF122">
        <v>24.14</v>
      </c>
      <c r="JG122">
        <v>18</v>
      </c>
      <c r="JH122">
        <v>603.13099999999997</v>
      </c>
      <c r="JI122">
        <v>373.411</v>
      </c>
      <c r="JJ122">
        <v>26.8338</v>
      </c>
      <c r="JK122">
        <v>35.8733</v>
      </c>
      <c r="JL122">
        <v>29.999500000000001</v>
      </c>
      <c r="JM122">
        <v>36.038499999999999</v>
      </c>
      <c r="JN122">
        <v>36.04</v>
      </c>
      <c r="JO122">
        <v>20.3507</v>
      </c>
      <c r="JP122">
        <v>20.4832</v>
      </c>
      <c r="JQ122">
        <v>12.232699999999999</v>
      </c>
      <c r="JR122">
        <v>26.8001</v>
      </c>
      <c r="JS122">
        <v>400</v>
      </c>
      <c r="JT122">
        <v>23.337900000000001</v>
      </c>
      <c r="JU122">
        <v>98.505399999999995</v>
      </c>
      <c r="JV122">
        <v>98.544499999999999</v>
      </c>
    </row>
    <row r="123" spans="1:282" x14ac:dyDescent="0.25">
      <c r="A123">
        <v>107</v>
      </c>
      <c r="B123">
        <v>1689022232.0999999</v>
      </c>
      <c r="C123">
        <v>22409.5</v>
      </c>
      <c r="D123" t="s">
        <v>960</v>
      </c>
      <c r="E123" t="s">
        <v>961</v>
      </c>
      <c r="F123" t="s">
        <v>414</v>
      </c>
      <c r="G123" t="s">
        <v>415</v>
      </c>
      <c r="H123" t="s">
        <v>418</v>
      </c>
      <c r="I123" t="s">
        <v>417</v>
      </c>
      <c r="J123" t="s">
        <v>418</v>
      </c>
      <c r="K123">
        <v>1689022232.0999999</v>
      </c>
      <c r="L123">
        <f t="shared" si="138"/>
        <v>5.2343244549404953E-3</v>
      </c>
      <c r="M123">
        <f t="shared" si="139"/>
        <v>5.234324454940495</v>
      </c>
      <c r="N123">
        <f t="shared" si="140"/>
        <v>39.997859087064832</v>
      </c>
      <c r="O123">
        <f t="shared" si="141"/>
        <v>250.428</v>
      </c>
      <c r="P123">
        <f t="shared" si="142"/>
        <v>62.608556520060596</v>
      </c>
      <c r="Q123">
        <f t="shared" si="143"/>
        <v>6.2027812071491812</v>
      </c>
      <c r="R123">
        <f t="shared" si="144"/>
        <v>24.810507995759998</v>
      </c>
      <c r="S123">
        <f t="shared" si="145"/>
        <v>0.36858401972603988</v>
      </c>
      <c r="T123">
        <f t="shared" si="146"/>
        <v>2.9077369680047669</v>
      </c>
      <c r="U123">
        <f t="shared" si="147"/>
        <v>0.34445607622010405</v>
      </c>
      <c r="V123">
        <f t="shared" si="148"/>
        <v>0.21732109190796361</v>
      </c>
      <c r="W123">
        <f t="shared" si="149"/>
        <v>289.5653123271025</v>
      </c>
      <c r="X123">
        <f t="shared" si="150"/>
        <v>30.540993304289689</v>
      </c>
      <c r="Y123">
        <f t="shared" si="151"/>
        <v>30.010200000000001</v>
      </c>
      <c r="Z123">
        <f t="shared" si="152"/>
        <v>4.2629465205437258</v>
      </c>
      <c r="AA123">
        <f t="shared" si="153"/>
        <v>65.256713021734456</v>
      </c>
      <c r="AB123">
        <f t="shared" si="154"/>
        <v>2.8111997319839999</v>
      </c>
      <c r="AC123">
        <f t="shared" si="155"/>
        <v>4.3079088752872048</v>
      </c>
      <c r="AD123">
        <f t="shared" si="156"/>
        <v>1.4517467885597259</v>
      </c>
      <c r="AE123">
        <f t="shared" si="157"/>
        <v>-230.83370846287585</v>
      </c>
      <c r="AF123">
        <f t="shared" si="158"/>
        <v>28.656078138606592</v>
      </c>
      <c r="AG123">
        <f t="shared" si="159"/>
        <v>2.1934996466976879</v>
      </c>
      <c r="AH123">
        <f t="shared" si="160"/>
        <v>89.581181649530905</v>
      </c>
      <c r="AI123">
        <v>0</v>
      </c>
      <c r="AJ123">
        <v>0</v>
      </c>
      <c r="AK123">
        <f t="shared" si="161"/>
        <v>1</v>
      </c>
      <c r="AL123">
        <f t="shared" si="162"/>
        <v>0</v>
      </c>
      <c r="AM123">
        <f t="shared" si="163"/>
        <v>51676.935433920306</v>
      </c>
      <c r="AN123" t="s">
        <v>419</v>
      </c>
      <c r="AO123">
        <v>9967.0300000000007</v>
      </c>
      <c r="AP123">
        <v>178.94153846153841</v>
      </c>
      <c r="AQ123">
        <v>603.15</v>
      </c>
      <c r="AR123">
        <f t="shared" si="164"/>
        <v>0.7033216638290003</v>
      </c>
      <c r="AS123">
        <v>-3.2649104154664181</v>
      </c>
      <c r="AT123" t="s">
        <v>962</v>
      </c>
      <c r="AU123">
        <v>8054.18</v>
      </c>
      <c r="AV123">
        <v>664.10973076923074</v>
      </c>
      <c r="AW123">
        <v>1009.1354451358241</v>
      </c>
      <c r="AX123">
        <f t="shared" si="165"/>
        <v>0.34190228480197205</v>
      </c>
      <c r="AY123">
        <v>0.5</v>
      </c>
      <c r="AZ123">
        <f t="shared" si="166"/>
        <v>1513.1840996513483</v>
      </c>
      <c r="BA123">
        <f t="shared" si="167"/>
        <v>39.997859087064832</v>
      </c>
      <c r="BB123">
        <f t="shared" si="168"/>
        <v>258.68055049840547</v>
      </c>
      <c r="BC123">
        <f t="shared" si="169"/>
        <v>2.8590552539178408E-2</v>
      </c>
      <c r="BD123">
        <f t="shared" si="170"/>
        <v>-0.40231016271674086</v>
      </c>
      <c r="BE123">
        <f t="shared" si="171"/>
        <v>203.19412006247831</v>
      </c>
      <c r="BF123" t="s">
        <v>963</v>
      </c>
      <c r="BG123">
        <v>536.92999999999995</v>
      </c>
      <c r="BH123">
        <f t="shared" si="172"/>
        <v>536.92999999999995</v>
      </c>
      <c r="BI123">
        <f t="shared" si="173"/>
        <v>0.46793068999005172</v>
      </c>
      <c r="BJ123">
        <f t="shared" si="174"/>
        <v>0.7306686484044056</v>
      </c>
      <c r="BK123">
        <f t="shared" si="175"/>
        <v>-6.1308584285083647</v>
      </c>
      <c r="BL123">
        <f t="shared" si="176"/>
        <v>0.41559653906488986</v>
      </c>
      <c r="BM123">
        <f t="shared" si="177"/>
        <v>-0.95704230807525925</v>
      </c>
      <c r="BN123">
        <f t="shared" si="178"/>
        <v>0.59074261257000416</v>
      </c>
      <c r="BO123">
        <f t="shared" si="179"/>
        <v>0.40925738742999584</v>
      </c>
      <c r="BP123">
        <v>6249</v>
      </c>
      <c r="BQ123">
        <v>290.00000000000011</v>
      </c>
      <c r="BR123">
        <v>886.82</v>
      </c>
      <c r="BS123">
        <v>295</v>
      </c>
      <c r="BT123">
        <v>8054.18</v>
      </c>
      <c r="BU123">
        <v>888.49</v>
      </c>
      <c r="BV123">
        <v>-1.67</v>
      </c>
      <c r="BW123">
        <v>300.00000000000011</v>
      </c>
      <c r="BX123">
        <v>19.3</v>
      </c>
      <c r="BY123">
        <v>1009.1354451358241</v>
      </c>
      <c r="BZ123">
        <v>3.6638870058040469</v>
      </c>
      <c r="CA123">
        <v>-97.16921404109651</v>
      </c>
      <c r="CB123">
        <v>2.7108520521310679</v>
      </c>
      <c r="CC123">
        <v>0.97867203292850313</v>
      </c>
      <c r="CD123">
        <v>-4.1573321468298128E-3</v>
      </c>
      <c r="CE123">
        <v>289.99999999999989</v>
      </c>
      <c r="CF123">
        <v>883.12</v>
      </c>
      <c r="CG123">
        <v>665</v>
      </c>
      <c r="CH123">
        <v>8044.06</v>
      </c>
      <c r="CI123">
        <v>888.34</v>
      </c>
      <c r="CJ123">
        <v>-5.22</v>
      </c>
      <c r="CX123">
        <f t="shared" si="180"/>
        <v>1800</v>
      </c>
      <c r="CY123">
        <f t="shared" si="181"/>
        <v>1513.1840996513483</v>
      </c>
      <c r="CZ123">
        <f t="shared" si="182"/>
        <v>0.84065783313963793</v>
      </c>
      <c r="DA123">
        <f t="shared" si="183"/>
        <v>0.16086961795950139</v>
      </c>
      <c r="DB123">
        <v>6</v>
      </c>
      <c r="DC123">
        <v>0.5</v>
      </c>
      <c r="DD123" t="s">
        <v>422</v>
      </c>
      <c r="DE123">
        <v>2</v>
      </c>
      <c r="DF123">
        <v>1689022232.0999999</v>
      </c>
      <c r="DG123">
        <v>250.428</v>
      </c>
      <c r="DH123">
        <v>299.98899999999998</v>
      </c>
      <c r="DI123">
        <v>28.3752</v>
      </c>
      <c r="DJ123">
        <v>22.273399999999999</v>
      </c>
      <c r="DK123">
        <v>250.57900000000001</v>
      </c>
      <c r="DL123">
        <v>28.326000000000001</v>
      </c>
      <c r="DM123">
        <v>500.09500000000003</v>
      </c>
      <c r="DN123">
        <v>98.972099999999998</v>
      </c>
      <c r="DO123">
        <v>0.10032000000000001</v>
      </c>
      <c r="DP123">
        <v>30.193000000000001</v>
      </c>
      <c r="DQ123">
        <v>30.010200000000001</v>
      </c>
      <c r="DR123">
        <v>999.9</v>
      </c>
      <c r="DS123">
        <v>0</v>
      </c>
      <c r="DT123">
        <v>0</v>
      </c>
      <c r="DU123">
        <v>9978.75</v>
      </c>
      <c r="DV123">
        <v>0</v>
      </c>
      <c r="DW123">
        <v>1658.81</v>
      </c>
      <c r="DX123">
        <v>-49.5608</v>
      </c>
      <c r="DY123">
        <v>257.74099999999999</v>
      </c>
      <c r="DZ123">
        <v>306.82299999999998</v>
      </c>
      <c r="EA123">
        <v>6.1017700000000001</v>
      </c>
      <c r="EB123">
        <v>299.98899999999998</v>
      </c>
      <c r="EC123">
        <v>22.273399999999999</v>
      </c>
      <c r="ED123">
        <v>2.8083499999999999</v>
      </c>
      <c r="EE123">
        <v>2.20445</v>
      </c>
      <c r="EF123">
        <v>22.933299999999999</v>
      </c>
      <c r="EG123">
        <v>18.994700000000002</v>
      </c>
      <c r="EH123">
        <v>1800</v>
      </c>
      <c r="EI123">
        <v>0.97800900000000002</v>
      </c>
      <c r="EJ123">
        <v>2.19905E-2</v>
      </c>
      <c r="EK123">
        <v>0</v>
      </c>
      <c r="EL123">
        <v>664.45299999999997</v>
      </c>
      <c r="EM123">
        <v>5.0005300000000004</v>
      </c>
      <c r="EN123">
        <v>14702.2</v>
      </c>
      <c r="EO123">
        <v>16035.3</v>
      </c>
      <c r="EP123">
        <v>49.75</v>
      </c>
      <c r="EQ123">
        <v>51.25</v>
      </c>
      <c r="ER123">
        <v>50.375</v>
      </c>
      <c r="ES123">
        <v>50.5</v>
      </c>
      <c r="ET123">
        <v>50.811999999999998</v>
      </c>
      <c r="EU123">
        <v>1755.53</v>
      </c>
      <c r="EV123">
        <v>39.47</v>
      </c>
      <c r="EW123">
        <v>0</v>
      </c>
      <c r="EX123">
        <v>187.79999995231631</v>
      </c>
      <c r="EY123">
        <v>0</v>
      </c>
      <c r="EZ123">
        <v>664.10973076923074</v>
      </c>
      <c r="FA123">
        <v>2.0637606782896349</v>
      </c>
      <c r="FB123">
        <v>190.15384603391271</v>
      </c>
      <c r="FC123">
        <v>14679.7</v>
      </c>
      <c r="FD123">
        <v>15</v>
      </c>
      <c r="FE123">
        <v>1689022116.0999999</v>
      </c>
      <c r="FF123" t="s">
        <v>964</v>
      </c>
      <c r="FG123">
        <v>1689022115.0999999</v>
      </c>
      <c r="FH123">
        <v>1689022116.0999999</v>
      </c>
      <c r="FI123">
        <v>116</v>
      </c>
      <c r="FJ123">
        <v>0.13500000000000001</v>
      </c>
      <c r="FK123">
        <v>1E-3</v>
      </c>
      <c r="FL123">
        <v>-0.157</v>
      </c>
      <c r="FM123">
        <v>4.1000000000000002E-2</v>
      </c>
      <c r="FN123">
        <v>300</v>
      </c>
      <c r="FO123">
        <v>23</v>
      </c>
      <c r="FP123">
        <v>0.04</v>
      </c>
      <c r="FQ123">
        <v>0.02</v>
      </c>
      <c r="FR123">
        <v>39.935696950283052</v>
      </c>
      <c r="FS123">
        <v>0.94732577906769544</v>
      </c>
      <c r="FT123">
        <v>7.858802633381981E-2</v>
      </c>
      <c r="FU123">
        <v>0</v>
      </c>
      <c r="FV123">
        <v>0.36878842796467032</v>
      </c>
      <c r="FW123">
        <v>-1.3943614022226131E-2</v>
      </c>
      <c r="FX123">
        <v>1.037170580255038E-3</v>
      </c>
      <c r="FY123">
        <v>1</v>
      </c>
      <c r="FZ123">
        <v>1</v>
      </c>
      <c r="GA123">
        <v>2</v>
      </c>
      <c r="GB123" t="s">
        <v>463</v>
      </c>
      <c r="GC123">
        <v>3.1256300000000001</v>
      </c>
      <c r="GD123">
        <v>2.7674300000000001</v>
      </c>
      <c r="GE123">
        <v>6.0404600000000003E-2</v>
      </c>
      <c r="GF123">
        <v>7.0275000000000004E-2</v>
      </c>
      <c r="GG123">
        <v>0.119661</v>
      </c>
      <c r="GH123">
        <v>0.10125199999999999</v>
      </c>
      <c r="GI123">
        <v>22388.5</v>
      </c>
      <c r="GJ123">
        <v>22971.3</v>
      </c>
      <c r="GK123">
        <v>23695.4</v>
      </c>
      <c r="GL123">
        <v>25025</v>
      </c>
      <c r="GM123">
        <v>30066.7</v>
      </c>
      <c r="GN123">
        <v>31551.9</v>
      </c>
      <c r="GO123">
        <v>37775.599999999999</v>
      </c>
      <c r="GP123">
        <v>38943.699999999997</v>
      </c>
      <c r="GQ123">
        <v>2.13307</v>
      </c>
      <c r="GR123">
        <v>1.6958500000000001</v>
      </c>
      <c r="GS123">
        <v>-2.63602E-2</v>
      </c>
      <c r="GT123">
        <v>0</v>
      </c>
      <c r="GU123">
        <v>30.439</v>
      </c>
      <c r="GV123">
        <v>999.9</v>
      </c>
      <c r="GW123">
        <v>29.1</v>
      </c>
      <c r="GX123">
        <v>45.1</v>
      </c>
      <c r="GY123">
        <v>28.487300000000001</v>
      </c>
      <c r="GZ123">
        <v>61.878700000000002</v>
      </c>
      <c r="HA123">
        <v>27.580100000000002</v>
      </c>
      <c r="HB123">
        <v>1</v>
      </c>
      <c r="HC123">
        <v>0.72173799999999999</v>
      </c>
      <c r="HD123">
        <v>3.92164</v>
      </c>
      <c r="HE123">
        <v>20.271000000000001</v>
      </c>
      <c r="HF123">
        <v>5.2526299999999999</v>
      </c>
      <c r="HG123">
        <v>12.0099</v>
      </c>
      <c r="HH123">
        <v>4.9793500000000002</v>
      </c>
      <c r="HI123">
        <v>3.2930000000000001</v>
      </c>
      <c r="HJ123">
        <v>9999</v>
      </c>
      <c r="HK123">
        <v>9999</v>
      </c>
      <c r="HL123">
        <v>9999</v>
      </c>
      <c r="HM123">
        <v>237.6</v>
      </c>
      <c r="HN123">
        <v>1.8757600000000001</v>
      </c>
      <c r="HO123">
        <v>1.8768199999999999</v>
      </c>
      <c r="HP123">
        <v>1.8828800000000001</v>
      </c>
      <c r="HQ123">
        <v>1.88605</v>
      </c>
      <c r="HR123">
        <v>1.87683</v>
      </c>
      <c r="HS123">
        <v>1.8832599999999999</v>
      </c>
      <c r="HT123">
        <v>1.8822099999999999</v>
      </c>
      <c r="HU123">
        <v>1.8856900000000001</v>
      </c>
      <c r="HV123">
        <v>0</v>
      </c>
      <c r="HW123">
        <v>0</v>
      </c>
      <c r="HX123">
        <v>0</v>
      </c>
      <c r="HY123">
        <v>0</v>
      </c>
      <c r="HZ123" t="s">
        <v>425</v>
      </c>
      <c r="IA123" t="s">
        <v>426</v>
      </c>
      <c r="IB123" t="s">
        <v>427</v>
      </c>
      <c r="IC123" t="s">
        <v>427</v>
      </c>
      <c r="ID123" t="s">
        <v>427</v>
      </c>
      <c r="IE123" t="s">
        <v>427</v>
      </c>
      <c r="IF123">
        <v>0</v>
      </c>
      <c r="IG123">
        <v>100</v>
      </c>
      <c r="IH123">
        <v>100</v>
      </c>
      <c r="II123">
        <v>-0.151</v>
      </c>
      <c r="IJ123">
        <v>4.9200000000000001E-2</v>
      </c>
      <c r="IK123">
        <v>-8.0047566150921082E-2</v>
      </c>
      <c r="IL123">
        <v>-4.2852564239613137E-4</v>
      </c>
      <c r="IM123">
        <v>6.4980710991155998E-7</v>
      </c>
      <c r="IN123">
        <v>-2.7237938963984961E-10</v>
      </c>
      <c r="IO123">
        <v>-9.471663630483981E-3</v>
      </c>
      <c r="IP123">
        <v>6.6907473102813496E-3</v>
      </c>
      <c r="IQ123">
        <v>-3.3673306238274028E-4</v>
      </c>
      <c r="IR123">
        <v>6.1311374003140313E-6</v>
      </c>
      <c r="IS123">
        <v>3</v>
      </c>
      <c r="IT123">
        <v>2101</v>
      </c>
      <c r="IU123">
        <v>1</v>
      </c>
      <c r="IV123">
        <v>32</v>
      </c>
      <c r="IW123">
        <v>1.9</v>
      </c>
      <c r="IX123">
        <v>1.9</v>
      </c>
      <c r="IY123">
        <v>0.80688499999999996</v>
      </c>
      <c r="IZ123">
        <v>2.7124000000000001</v>
      </c>
      <c r="JA123">
        <v>1.6015600000000001</v>
      </c>
      <c r="JB123">
        <v>2.32544</v>
      </c>
      <c r="JC123">
        <v>1.5502899999999999</v>
      </c>
      <c r="JD123">
        <v>2.3852500000000001</v>
      </c>
      <c r="JE123">
        <v>47.511699999999998</v>
      </c>
      <c r="JF123">
        <v>24.122499999999999</v>
      </c>
      <c r="JG123">
        <v>18</v>
      </c>
      <c r="JH123">
        <v>604.51199999999994</v>
      </c>
      <c r="JI123">
        <v>372.49700000000001</v>
      </c>
      <c r="JJ123">
        <v>26.3414</v>
      </c>
      <c r="JK123">
        <v>35.851900000000001</v>
      </c>
      <c r="JL123">
        <v>30.000399999999999</v>
      </c>
      <c r="JM123">
        <v>36.035200000000003</v>
      </c>
      <c r="JN123">
        <v>36.0471</v>
      </c>
      <c r="JO123">
        <v>16.127099999999999</v>
      </c>
      <c r="JP123">
        <v>26.526900000000001</v>
      </c>
      <c r="JQ123">
        <v>11.0701</v>
      </c>
      <c r="JR123">
        <v>26.3231</v>
      </c>
      <c r="JS123">
        <v>300</v>
      </c>
      <c r="JT123">
        <v>22.19</v>
      </c>
      <c r="JU123">
        <v>98.524199999999993</v>
      </c>
      <c r="JV123">
        <v>98.555099999999996</v>
      </c>
    </row>
    <row r="124" spans="1:282" x14ac:dyDescent="0.25">
      <c r="A124">
        <v>108</v>
      </c>
      <c r="B124">
        <v>1689022406.5</v>
      </c>
      <c r="C124">
        <v>22583.900000095371</v>
      </c>
      <c r="D124" t="s">
        <v>965</v>
      </c>
      <c r="E124" t="s">
        <v>966</v>
      </c>
      <c r="F124" t="s">
        <v>414</v>
      </c>
      <c r="G124" t="s">
        <v>415</v>
      </c>
      <c r="H124" t="s">
        <v>418</v>
      </c>
      <c r="I124" t="s">
        <v>417</v>
      </c>
      <c r="J124" t="s">
        <v>418</v>
      </c>
      <c r="K124">
        <v>1689022406.5</v>
      </c>
      <c r="L124">
        <f t="shared" si="138"/>
        <v>5.7645382517642922E-3</v>
      </c>
      <c r="M124">
        <f t="shared" si="139"/>
        <v>5.764538251764292</v>
      </c>
      <c r="N124">
        <f t="shared" si="140"/>
        <v>29.315324354492173</v>
      </c>
      <c r="O124">
        <f t="shared" si="141"/>
        <v>163.69200000000001</v>
      </c>
      <c r="P124">
        <f t="shared" si="142"/>
        <v>40.302881448220241</v>
      </c>
      <c r="Q124">
        <f t="shared" si="143"/>
        <v>3.9927077230156311</v>
      </c>
      <c r="R124">
        <f t="shared" si="144"/>
        <v>16.2165653946</v>
      </c>
      <c r="S124">
        <f t="shared" si="145"/>
        <v>0.41388617521387694</v>
      </c>
      <c r="T124">
        <f t="shared" si="146"/>
        <v>2.9069955973562904</v>
      </c>
      <c r="U124">
        <f t="shared" si="147"/>
        <v>0.3837157547952002</v>
      </c>
      <c r="V124">
        <f t="shared" si="148"/>
        <v>0.24234951067082605</v>
      </c>
      <c r="W124">
        <f t="shared" si="149"/>
        <v>289.5389003263532</v>
      </c>
      <c r="X124">
        <f t="shared" si="150"/>
        <v>30.394643228149793</v>
      </c>
      <c r="Y124">
        <f t="shared" si="151"/>
        <v>29.93</v>
      </c>
      <c r="Z124">
        <f t="shared" si="152"/>
        <v>4.2433495836612156</v>
      </c>
      <c r="AA124">
        <f t="shared" si="153"/>
        <v>65.211930920759514</v>
      </c>
      <c r="AB124">
        <f t="shared" si="154"/>
        <v>2.8080300777299998</v>
      </c>
      <c r="AC124">
        <f t="shared" si="155"/>
        <v>4.3060066433887689</v>
      </c>
      <c r="AD124">
        <f t="shared" si="156"/>
        <v>1.4353195059312158</v>
      </c>
      <c r="AE124">
        <f t="shared" si="157"/>
        <v>-254.21613690280529</v>
      </c>
      <c r="AF124">
        <f t="shared" si="158"/>
        <v>40.011112978385135</v>
      </c>
      <c r="AG124">
        <f t="shared" si="159"/>
        <v>3.0621276906291124</v>
      </c>
      <c r="AH124">
        <f t="shared" si="160"/>
        <v>78.396004092562151</v>
      </c>
      <c r="AI124">
        <v>0</v>
      </c>
      <c r="AJ124">
        <v>0</v>
      </c>
      <c r="AK124">
        <f t="shared" si="161"/>
        <v>1</v>
      </c>
      <c r="AL124">
        <f t="shared" si="162"/>
        <v>0</v>
      </c>
      <c r="AM124">
        <f t="shared" si="163"/>
        <v>51657.104650598951</v>
      </c>
      <c r="AN124" t="s">
        <v>419</v>
      </c>
      <c r="AO124">
        <v>9967.0300000000007</v>
      </c>
      <c r="AP124">
        <v>178.94153846153841</v>
      </c>
      <c r="AQ124">
        <v>603.15</v>
      </c>
      <c r="AR124">
        <f t="shared" si="164"/>
        <v>0.7033216638290003</v>
      </c>
      <c r="AS124">
        <v>-3.2649104154664181</v>
      </c>
      <c r="AT124" t="s">
        <v>967</v>
      </c>
      <c r="AU124">
        <v>8054.28</v>
      </c>
      <c r="AV124">
        <v>641.02871999999991</v>
      </c>
      <c r="AW124">
        <v>869.72560753602556</v>
      </c>
      <c r="AX124">
        <f t="shared" si="165"/>
        <v>0.26295291935112153</v>
      </c>
      <c r="AY124">
        <v>0.5</v>
      </c>
      <c r="AZ124">
        <f t="shared" si="166"/>
        <v>1513.0340996509601</v>
      </c>
      <c r="BA124">
        <f t="shared" si="167"/>
        <v>29.315324354492173</v>
      </c>
      <c r="BB124">
        <f t="shared" si="168"/>
        <v>198.92836679050785</v>
      </c>
      <c r="BC124">
        <f t="shared" si="169"/>
        <v>2.1533047257477202E-2</v>
      </c>
      <c r="BD124">
        <f t="shared" si="170"/>
        <v>-0.30650541415153576</v>
      </c>
      <c r="BE124">
        <f t="shared" si="171"/>
        <v>196.84098101693249</v>
      </c>
      <c r="BF124" t="s">
        <v>968</v>
      </c>
      <c r="BG124">
        <v>526.01</v>
      </c>
      <c r="BH124">
        <f t="shared" si="172"/>
        <v>526.01</v>
      </c>
      <c r="BI124">
        <f t="shared" si="173"/>
        <v>0.39520005454339602</v>
      </c>
      <c r="BJ124">
        <f t="shared" si="174"/>
        <v>0.66536660693260907</v>
      </c>
      <c r="BK124">
        <f t="shared" si="175"/>
        <v>-3.4557377176046882</v>
      </c>
      <c r="BL124">
        <f t="shared" si="176"/>
        <v>0.33106856074783808</v>
      </c>
      <c r="BM124">
        <f t="shared" si="177"/>
        <v>-0.6284070962876257</v>
      </c>
      <c r="BN124">
        <f t="shared" si="178"/>
        <v>0.54598098024784558</v>
      </c>
      <c r="BO124">
        <f t="shared" si="179"/>
        <v>0.45401901975215442</v>
      </c>
      <c r="BP124">
        <v>6251</v>
      </c>
      <c r="BQ124">
        <v>290.00000000000011</v>
      </c>
      <c r="BR124">
        <v>799.31</v>
      </c>
      <c r="BS124">
        <v>265</v>
      </c>
      <c r="BT124">
        <v>8054.28</v>
      </c>
      <c r="BU124">
        <v>802.45</v>
      </c>
      <c r="BV124">
        <v>-3.14</v>
      </c>
      <c r="BW124">
        <v>300.00000000000011</v>
      </c>
      <c r="BX124">
        <v>19.3</v>
      </c>
      <c r="BY124">
        <v>869.72560753602556</v>
      </c>
      <c r="BZ124">
        <v>3.0183495770933271</v>
      </c>
      <c r="CA124">
        <v>-54.185332575948472</v>
      </c>
      <c r="CB124">
        <v>2.232900588075033</v>
      </c>
      <c r="CC124">
        <v>0.95461008802995928</v>
      </c>
      <c r="CD124">
        <v>-4.1564518353726376E-3</v>
      </c>
      <c r="CE124">
        <v>289.99999999999989</v>
      </c>
      <c r="CF124">
        <v>803.04</v>
      </c>
      <c r="CG124">
        <v>695</v>
      </c>
      <c r="CH124">
        <v>8041.96</v>
      </c>
      <c r="CI124">
        <v>802.35</v>
      </c>
      <c r="CJ124">
        <v>0.69</v>
      </c>
      <c r="CX124">
        <f t="shared" si="180"/>
        <v>1799.82</v>
      </c>
      <c r="CY124">
        <f t="shared" si="181"/>
        <v>1513.0340996509601</v>
      </c>
      <c r="CZ124">
        <f t="shared" si="182"/>
        <v>0.84065856566265529</v>
      </c>
      <c r="DA124">
        <f t="shared" si="183"/>
        <v>0.16087103172892467</v>
      </c>
      <c r="DB124">
        <v>6</v>
      </c>
      <c r="DC124">
        <v>0.5</v>
      </c>
      <c r="DD124" t="s">
        <v>422</v>
      </c>
      <c r="DE124">
        <v>2</v>
      </c>
      <c r="DF124">
        <v>1689022406.5</v>
      </c>
      <c r="DG124">
        <v>163.69200000000001</v>
      </c>
      <c r="DH124">
        <v>199.99799999999999</v>
      </c>
      <c r="DI124">
        <v>28.3446</v>
      </c>
      <c r="DJ124">
        <v>21.624099999999999</v>
      </c>
      <c r="DK124">
        <v>163.82499999999999</v>
      </c>
      <c r="DL124">
        <v>28.292200000000001</v>
      </c>
      <c r="DM124">
        <v>500.065</v>
      </c>
      <c r="DN124">
        <v>98.967299999999994</v>
      </c>
      <c r="DO124">
        <v>0.10025000000000001</v>
      </c>
      <c r="DP124">
        <v>30.185300000000002</v>
      </c>
      <c r="DQ124">
        <v>29.93</v>
      </c>
      <c r="DR124">
        <v>999.9</v>
      </c>
      <c r="DS124">
        <v>0</v>
      </c>
      <c r="DT124">
        <v>0</v>
      </c>
      <c r="DU124">
        <v>9975</v>
      </c>
      <c r="DV124">
        <v>0</v>
      </c>
      <c r="DW124">
        <v>483.89600000000002</v>
      </c>
      <c r="DX124">
        <v>-36.305900000000001</v>
      </c>
      <c r="DY124">
        <v>168.46700000000001</v>
      </c>
      <c r="DZ124">
        <v>204.41800000000001</v>
      </c>
      <c r="EA124">
        <v>6.7204600000000001</v>
      </c>
      <c r="EB124">
        <v>199.99799999999999</v>
      </c>
      <c r="EC124">
        <v>21.624099999999999</v>
      </c>
      <c r="ED124">
        <v>2.80518</v>
      </c>
      <c r="EE124">
        <v>2.1400800000000002</v>
      </c>
      <c r="EF124">
        <v>22.9146</v>
      </c>
      <c r="EG124">
        <v>18.520700000000001</v>
      </c>
      <c r="EH124">
        <v>1799.82</v>
      </c>
      <c r="EI124">
        <v>0.977989</v>
      </c>
      <c r="EJ124">
        <v>2.20109E-2</v>
      </c>
      <c r="EK124">
        <v>0</v>
      </c>
      <c r="EL124">
        <v>641.24800000000005</v>
      </c>
      <c r="EM124">
        <v>5.0005300000000004</v>
      </c>
      <c r="EN124">
        <v>12823.9</v>
      </c>
      <c r="EO124">
        <v>16033.6</v>
      </c>
      <c r="EP124">
        <v>49.811999999999998</v>
      </c>
      <c r="EQ124">
        <v>51.186999999999998</v>
      </c>
      <c r="ER124">
        <v>50.436999999999998</v>
      </c>
      <c r="ES124">
        <v>50.561999999999998</v>
      </c>
      <c r="ET124">
        <v>50.936999999999998</v>
      </c>
      <c r="EU124">
        <v>1755.31</v>
      </c>
      <c r="EV124">
        <v>39.51</v>
      </c>
      <c r="EW124">
        <v>0</v>
      </c>
      <c r="EX124">
        <v>172.79999995231631</v>
      </c>
      <c r="EY124">
        <v>0</v>
      </c>
      <c r="EZ124">
        <v>641.02871999999991</v>
      </c>
      <c r="FA124">
        <v>0.77261539786199185</v>
      </c>
      <c r="FB124">
        <v>70.215384420285858</v>
      </c>
      <c r="FC124">
        <v>12807.987999999999</v>
      </c>
      <c r="FD124">
        <v>15</v>
      </c>
      <c r="FE124">
        <v>1689022332.0999999</v>
      </c>
      <c r="FF124" t="s">
        <v>969</v>
      </c>
      <c r="FG124">
        <v>1689022324.5999999</v>
      </c>
      <c r="FH124">
        <v>1689022332.0999999</v>
      </c>
      <c r="FI124">
        <v>117</v>
      </c>
      <c r="FJ124">
        <v>1E-3</v>
      </c>
      <c r="FK124">
        <v>3.0000000000000001E-3</v>
      </c>
      <c r="FL124">
        <v>-0.14099999999999999</v>
      </c>
      <c r="FM124">
        <v>4.2999999999999997E-2</v>
      </c>
      <c r="FN124">
        <v>200</v>
      </c>
      <c r="FO124">
        <v>22</v>
      </c>
      <c r="FP124">
        <v>7.0000000000000007E-2</v>
      </c>
      <c r="FQ124">
        <v>0.02</v>
      </c>
      <c r="FR124">
        <v>29.258437889042529</v>
      </c>
      <c r="FS124">
        <v>0.63462630703611678</v>
      </c>
      <c r="FT124">
        <v>5.8184213392396503E-2</v>
      </c>
      <c r="FU124">
        <v>1</v>
      </c>
      <c r="FV124">
        <v>0.41198980556291032</v>
      </c>
      <c r="FW124">
        <v>3.3799591985261397E-2</v>
      </c>
      <c r="FX124">
        <v>2.6953023242261179E-3</v>
      </c>
      <c r="FY124">
        <v>1</v>
      </c>
      <c r="FZ124">
        <v>2</v>
      </c>
      <c r="GA124">
        <v>2</v>
      </c>
      <c r="GB124" t="s">
        <v>424</v>
      </c>
      <c r="GC124">
        <v>3.1256300000000001</v>
      </c>
      <c r="GD124">
        <v>2.7673399999999999</v>
      </c>
      <c r="GE124">
        <v>4.1503199999999997E-2</v>
      </c>
      <c r="GF124">
        <v>4.9743900000000001E-2</v>
      </c>
      <c r="GG124">
        <v>0.119549</v>
      </c>
      <c r="GH124">
        <v>9.9131700000000003E-2</v>
      </c>
      <c r="GI124">
        <v>22835.5</v>
      </c>
      <c r="GJ124">
        <v>23477.200000000001</v>
      </c>
      <c r="GK124">
        <v>23692.7</v>
      </c>
      <c r="GL124">
        <v>25024.2</v>
      </c>
      <c r="GM124">
        <v>30066.6</v>
      </c>
      <c r="GN124">
        <v>31627.1</v>
      </c>
      <c r="GO124">
        <v>37770.800000000003</v>
      </c>
      <c r="GP124">
        <v>38944.6</v>
      </c>
      <c r="GQ124">
        <v>2.1328999999999998</v>
      </c>
      <c r="GR124">
        <v>1.6943299999999999</v>
      </c>
      <c r="GS124">
        <v>-1.6190099999999999E-2</v>
      </c>
      <c r="GT124">
        <v>0</v>
      </c>
      <c r="GU124">
        <v>30.1934</v>
      </c>
      <c r="GV124">
        <v>999.9</v>
      </c>
      <c r="GW124">
        <v>28.9</v>
      </c>
      <c r="GX124">
        <v>45</v>
      </c>
      <c r="GY124">
        <v>28.1464</v>
      </c>
      <c r="GZ124">
        <v>61.008699999999997</v>
      </c>
      <c r="HA124">
        <v>27.796500000000002</v>
      </c>
      <c r="HB124">
        <v>1</v>
      </c>
      <c r="HC124">
        <v>0.72170000000000001</v>
      </c>
      <c r="HD124">
        <v>3.07755</v>
      </c>
      <c r="HE124">
        <v>20.288599999999999</v>
      </c>
      <c r="HF124">
        <v>5.2529300000000001</v>
      </c>
      <c r="HG124">
        <v>12.0099</v>
      </c>
      <c r="HH124">
        <v>4.9792500000000004</v>
      </c>
      <c r="HI124">
        <v>3.2930000000000001</v>
      </c>
      <c r="HJ124">
        <v>9999</v>
      </c>
      <c r="HK124">
        <v>9999</v>
      </c>
      <c r="HL124">
        <v>9999</v>
      </c>
      <c r="HM124">
        <v>237.7</v>
      </c>
      <c r="HN124">
        <v>1.8757600000000001</v>
      </c>
      <c r="HO124">
        <v>1.8768100000000001</v>
      </c>
      <c r="HP124">
        <v>1.8828800000000001</v>
      </c>
      <c r="HQ124">
        <v>1.8860399999999999</v>
      </c>
      <c r="HR124">
        <v>1.87683</v>
      </c>
      <c r="HS124">
        <v>1.8832500000000001</v>
      </c>
      <c r="HT124">
        <v>1.8822399999999999</v>
      </c>
      <c r="HU124">
        <v>1.8856900000000001</v>
      </c>
      <c r="HV124">
        <v>0</v>
      </c>
      <c r="HW124">
        <v>0</v>
      </c>
      <c r="HX124">
        <v>0</v>
      </c>
      <c r="HY124">
        <v>0</v>
      </c>
      <c r="HZ124" t="s">
        <v>425</v>
      </c>
      <c r="IA124" t="s">
        <v>426</v>
      </c>
      <c r="IB124" t="s">
        <v>427</v>
      </c>
      <c r="IC124" t="s">
        <v>427</v>
      </c>
      <c r="ID124" t="s">
        <v>427</v>
      </c>
      <c r="IE124" t="s">
        <v>427</v>
      </c>
      <c r="IF124">
        <v>0</v>
      </c>
      <c r="IG124">
        <v>100</v>
      </c>
      <c r="IH124">
        <v>100</v>
      </c>
      <c r="II124">
        <v>-0.13300000000000001</v>
      </c>
      <c r="IJ124">
        <v>5.2400000000000002E-2</v>
      </c>
      <c r="IK124">
        <v>-7.9175746099268654E-2</v>
      </c>
      <c r="IL124">
        <v>-4.2852564239613137E-4</v>
      </c>
      <c r="IM124">
        <v>6.4980710991155998E-7</v>
      </c>
      <c r="IN124">
        <v>-2.7237938963984961E-10</v>
      </c>
      <c r="IO124">
        <v>-6.2959136921705901E-3</v>
      </c>
      <c r="IP124">
        <v>6.6907473102813496E-3</v>
      </c>
      <c r="IQ124">
        <v>-3.3673306238274028E-4</v>
      </c>
      <c r="IR124">
        <v>6.1311374003140313E-6</v>
      </c>
      <c r="IS124">
        <v>3</v>
      </c>
      <c r="IT124">
        <v>2101</v>
      </c>
      <c r="IU124">
        <v>1</v>
      </c>
      <c r="IV124">
        <v>32</v>
      </c>
      <c r="IW124">
        <v>1.4</v>
      </c>
      <c r="IX124">
        <v>1.2</v>
      </c>
      <c r="IY124">
        <v>0.58837899999999999</v>
      </c>
      <c r="IZ124">
        <v>2.7294900000000002</v>
      </c>
      <c r="JA124">
        <v>1.6015600000000001</v>
      </c>
      <c r="JB124">
        <v>2.32544</v>
      </c>
      <c r="JC124">
        <v>1.5502899999999999</v>
      </c>
      <c r="JD124">
        <v>2.2997999999999998</v>
      </c>
      <c r="JE124">
        <v>47.421599999999998</v>
      </c>
      <c r="JF124">
        <v>24.14</v>
      </c>
      <c r="JG124">
        <v>18</v>
      </c>
      <c r="JH124">
        <v>604.64800000000002</v>
      </c>
      <c r="JI124">
        <v>371.72500000000002</v>
      </c>
      <c r="JJ124">
        <v>26.763999999999999</v>
      </c>
      <c r="JK124">
        <v>35.876100000000001</v>
      </c>
      <c r="JL124">
        <v>29.999199999999998</v>
      </c>
      <c r="JM124">
        <v>36.064999999999998</v>
      </c>
      <c r="JN124">
        <v>36.073099999999997</v>
      </c>
      <c r="JO124">
        <v>11.7654</v>
      </c>
      <c r="JP124">
        <v>27.7257</v>
      </c>
      <c r="JQ124">
        <v>9.1512899999999995</v>
      </c>
      <c r="JR124">
        <v>26.813500000000001</v>
      </c>
      <c r="JS124">
        <v>200</v>
      </c>
      <c r="JT124">
        <v>21.697700000000001</v>
      </c>
      <c r="JU124">
        <v>98.512</v>
      </c>
      <c r="JV124">
        <v>98.555199999999999</v>
      </c>
    </row>
    <row r="125" spans="1:282" x14ac:dyDescent="0.25">
      <c r="A125">
        <v>109</v>
      </c>
      <c r="B125">
        <v>1689022532</v>
      </c>
      <c r="C125">
        <v>22709.400000095371</v>
      </c>
      <c r="D125" t="s">
        <v>970</v>
      </c>
      <c r="E125" t="s">
        <v>971</v>
      </c>
      <c r="F125" t="s">
        <v>414</v>
      </c>
      <c r="G125" t="s">
        <v>415</v>
      </c>
      <c r="H125" t="s">
        <v>418</v>
      </c>
      <c r="I125" t="s">
        <v>417</v>
      </c>
      <c r="J125" t="s">
        <v>418</v>
      </c>
      <c r="K125">
        <v>1689022532</v>
      </c>
      <c r="L125">
        <f t="shared" si="138"/>
        <v>5.7996850181121539E-3</v>
      </c>
      <c r="M125">
        <f t="shared" si="139"/>
        <v>5.7996850181121538</v>
      </c>
      <c r="N125">
        <f t="shared" si="140"/>
        <v>17.867890818179514</v>
      </c>
      <c r="O125">
        <f t="shared" si="141"/>
        <v>98.082400000000007</v>
      </c>
      <c r="P125">
        <f t="shared" si="142"/>
        <v>24.015669848843174</v>
      </c>
      <c r="Q125">
        <f t="shared" si="143"/>
        <v>2.3793258905182131</v>
      </c>
      <c r="R125">
        <f t="shared" si="144"/>
        <v>9.7174051439337621</v>
      </c>
      <c r="S125">
        <f t="shared" si="145"/>
        <v>0.42049499861093659</v>
      </c>
      <c r="T125">
        <f t="shared" si="146"/>
        <v>2.9159604016455996</v>
      </c>
      <c r="U125">
        <f t="shared" si="147"/>
        <v>0.38948023765200823</v>
      </c>
      <c r="V125">
        <f t="shared" si="148"/>
        <v>0.24602079711380759</v>
      </c>
      <c r="W125">
        <f t="shared" si="149"/>
        <v>289.57330502301488</v>
      </c>
      <c r="X125">
        <f t="shared" si="150"/>
        <v>30.604857965848275</v>
      </c>
      <c r="Y125">
        <f t="shared" si="151"/>
        <v>30.062100000000001</v>
      </c>
      <c r="Z125">
        <f t="shared" si="152"/>
        <v>4.2756703234908127</v>
      </c>
      <c r="AA125">
        <f t="shared" si="153"/>
        <v>65.437322700457059</v>
      </c>
      <c r="AB125">
        <f t="shared" si="154"/>
        <v>2.8534568971801204</v>
      </c>
      <c r="AC125">
        <f t="shared" si="155"/>
        <v>4.360595420815085</v>
      </c>
      <c r="AD125">
        <f t="shared" si="156"/>
        <v>1.4222134263106923</v>
      </c>
      <c r="AE125">
        <f t="shared" si="157"/>
        <v>-255.76610929874599</v>
      </c>
      <c r="AF125">
        <f t="shared" si="158"/>
        <v>53.92140321051653</v>
      </c>
      <c r="AG125">
        <f t="shared" si="159"/>
        <v>4.1211922635076279</v>
      </c>
      <c r="AH125">
        <f t="shared" si="160"/>
        <v>91.849791198293048</v>
      </c>
      <c r="AI125">
        <v>0</v>
      </c>
      <c r="AJ125">
        <v>0</v>
      </c>
      <c r="AK125">
        <f t="shared" si="161"/>
        <v>1</v>
      </c>
      <c r="AL125">
        <f t="shared" si="162"/>
        <v>0</v>
      </c>
      <c r="AM125">
        <f t="shared" si="163"/>
        <v>51874.313597039494</v>
      </c>
      <c r="AN125" t="s">
        <v>419</v>
      </c>
      <c r="AO125">
        <v>9967.0300000000007</v>
      </c>
      <c r="AP125">
        <v>178.94153846153841</v>
      </c>
      <c r="AQ125">
        <v>603.15</v>
      </c>
      <c r="AR125">
        <f t="shared" si="164"/>
        <v>0.7033216638290003</v>
      </c>
      <c r="AS125">
        <v>-3.2649104154664181</v>
      </c>
      <c r="AT125" t="s">
        <v>972</v>
      </c>
      <c r="AU125">
        <v>8054.13</v>
      </c>
      <c r="AV125">
        <v>647.20816000000002</v>
      </c>
      <c r="AW125">
        <v>789.73212959688306</v>
      </c>
      <c r="AX125">
        <f t="shared" si="165"/>
        <v>0.1804712816605728</v>
      </c>
      <c r="AY125">
        <v>0.5</v>
      </c>
      <c r="AZ125">
        <f t="shared" si="166"/>
        <v>1513.2261062295413</v>
      </c>
      <c r="BA125">
        <f t="shared" si="167"/>
        <v>17.867890818179514</v>
      </c>
      <c r="BB125">
        <f t="shared" si="168"/>
        <v>136.54692741674171</v>
      </c>
      <c r="BC125">
        <f t="shared" si="169"/>
        <v>1.3965395618439255E-2</v>
      </c>
      <c r="BD125">
        <f t="shared" si="170"/>
        <v>-0.23626002109363778</v>
      </c>
      <c r="BE125">
        <f t="shared" si="171"/>
        <v>192.42954694714706</v>
      </c>
      <c r="BF125" t="s">
        <v>973</v>
      </c>
      <c r="BG125">
        <v>532.66999999999996</v>
      </c>
      <c r="BH125">
        <f t="shared" si="172"/>
        <v>532.66999999999996</v>
      </c>
      <c r="BI125">
        <f t="shared" si="173"/>
        <v>0.32550547199858748</v>
      </c>
      <c r="BJ125">
        <f t="shared" si="174"/>
        <v>0.55443394101023258</v>
      </c>
      <c r="BK125">
        <f t="shared" si="175"/>
        <v>-2.6473060385482836</v>
      </c>
      <c r="BL125">
        <f t="shared" si="176"/>
        <v>0.23334342680681744</v>
      </c>
      <c r="BM125">
        <f t="shared" si="177"/>
        <v>-0.43983594509221335</v>
      </c>
      <c r="BN125">
        <f t="shared" si="178"/>
        <v>0.45631428280805447</v>
      </c>
      <c r="BO125">
        <f t="shared" si="179"/>
        <v>0.54368571719194558</v>
      </c>
      <c r="BP125">
        <v>6253</v>
      </c>
      <c r="BQ125">
        <v>290.00000000000011</v>
      </c>
      <c r="BR125">
        <v>753.55</v>
      </c>
      <c r="BS125">
        <v>275</v>
      </c>
      <c r="BT125">
        <v>8054.13</v>
      </c>
      <c r="BU125">
        <v>754.74</v>
      </c>
      <c r="BV125">
        <v>-1.19</v>
      </c>
      <c r="BW125">
        <v>300.00000000000011</v>
      </c>
      <c r="BX125">
        <v>19.3</v>
      </c>
      <c r="BY125">
        <v>789.73212959688306</v>
      </c>
      <c r="BZ125">
        <v>2.7771070848746051</v>
      </c>
      <c r="CA125">
        <v>-28.180171784122521</v>
      </c>
      <c r="CB125">
        <v>2.054578428751098</v>
      </c>
      <c r="CC125">
        <v>0.87044412663890558</v>
      </c>
      <c r="CD125">
        <v>-4.1564447163515124E-3</v>
      </c>
      <c r="CE125">
        <v>289.99999999999989</v>
      </c>
      <c r="CF125">
        <v>753.87</v>
      </c>
      <c r="CG125">
        <v>715</v>
      </c>
      <c r="CH125">
        <v>8041.93</v>
      </c>
      <c r="CI125">
        <v>754.69</v>
      </c>
      <c r="CJ125">
        <v>-0.82</v>
      </c>
      <c r="CX125">
        <f t="shared" si="180"/>
        <v>1800.05</v>
      </c>
      <c r="CY125">
        <f t="shared" si="181"/>
        <v>1513.2261062295413</v>
      </c>
      <c r="CZ125">
        <f t="shared" si="182"/>
        <v>0.84065781852145294</v>
      </c>
      <c r="DA125">
        <f t="shared" si="183"/>
        <v>0.1608695897464042</v>
      </c>
      <c r="DB125">
        <v>6</v>
      </c>
      <c r="DC125">
        <v>0.5</v>
      </c>
      <c r="DD125" t="s">
        <v>422</v>
      </c>
      <c r="DE125">
        <v>2</v>
      </c>
      <c r="DF125">
        <v>1689022532</v>
      </c>
      <c r="DG125">
        <v>98.082400000000007</v>
      </c>
      <c r="DH125">
        <v>120.20099999999999</v>
      </c>
      <c r="DI125">
        <v>28.801300000000001</v>
      </c>
      <c r="DJ125">
        <v>22.043800000000001</v>
      </c>
      <c r="DK125">
        <v>98.077799999999996</v>
      </c>
      <c r="DL125">
        <v>28.752300000000002</v>
      </c>
      <c r="DM125">
        <v>500.12400000000002</v>
      </c>
      <c r="DN125">
        <v>98.974000000000004</v>
      </c>
      <c r="DO125">
        <v>9.9892400000000006E-2</v>
      </c>
      <c r="DP125">
        <v>30.405100000000001</v>
      </c>
      <c r="DQ125">
        <v>30.062100000000001</v>
      </c>
      <c r="DR125">
        <v>999.9</v>
      </c>
      <c r="DS125">
        <v>0</v>
      </c>
      <c r="DT125">
        <v>0</v>
      </c>
      <c r="DU125">
        <v>10025.6</v>
      </c>
      <c r="DV125">
        <v>0</v>
      </c>
      <c r="DW125">
        <v>1609.85</v>
      </c>
      <c r="DX125">
        <v>-22.118300000000001</v>
      </c>
      <c r="DY125">
        <v>100.991</v>
      </c>
      <c r="DZ125">
        <v>122.91</v>
      </c>
      <c r="EA125">
        <v>6.7575000000000003</v>
      </c>
      <c r="EB125">
        <v>120.20099999999999</v>
      </c>
      <c r="EC125">
        <v>22.043800000000001</v>
      </c>
      <c r="ED125">
        <v>2.8505799999999999</v>
      </c>
      <c r="EE125">
        <v>2.1817600000000001</v>
      </c>
      <c r="EF125">
        <v>23.1799</v>
      </c>
      <c r="EG125">
        <v>18.829000000000001</v>
      </c>
      <c r="EH125">
        <v>1800.05</v>
      </c>
      <c r="EI125">
        <v>0.97800900000000002</v>
      </c>
      <c r="EJ125">
        <v>2.19905E-2</v>
      </c>
      <c r="EK125">
        <v>0</v>
      </c>
      <c r="EL125">
        <v>646.51700000000005</v>
      </c>
      <c r="EM125">
        <v>5.0005300000000004</v>
      </c>
      <c r="EN125">
        <v>14348.1</v>
      </c>
      <c r="EO125">
        <v>16035.8</v>
      </c>
      <c r="EP125">
        <v>49.686999999999998</v>
      </c>
      <c r="EQ125">
        <v>50.875</v>
      </c>
      <c r="ER125">
        <v>50.25</v>
      </c>
      <c r="ES125">
        <v>50.25</v>
      </c>
      <c r="ET125">
        <v>50.75</v>
      </c>
      <c r="EU125">
        <v>1755.57</v>
      </c>
      <c r="EV125">
        <v>39.47</v>
      </c>
      <c r="EW125">
        <v>0</v>
      </c>
      <c r="EX125">
        <v>123.5999999046326</v>
      </c>
      <c r="EY125">
        <v>0</v>
      </c>
      <c r="EZ125">
        <v>647.20816000000002</v>
      </c>
      <c r="FA125">
        <v>-5.1427692293150953</v>
      </c>
      <c r="FB125">
        <v>55.469230516336673</v>
      </c>
      <c r="FC125">
        <v>14348.348</v>
      </c>
      <c r="FD125">
        <v>15</v>
      </c>
      <c r="FE125">
        <v>1689022496</v>
      </c>
      <c r="FF125" t="s">
        <v>974</v>
      </c>
      <c r="FG125">
        <v>1689022484.5</v>
      </c>
      <c r="FH125">
        <v>1689022496</v>
      </c>
      <c r="FI125">
        <v>118</v>
      </c>
      <c r="FJ125">
        <v>0.12</v>
      </c>
      <c r="FK125">
        <v>-4.0000000000000001E-3</v>
      </c>
      <c r="FL125">
        <v>-2E-3</v>
      </c>
      <c r="FM125">
        <v>3.7999999999999999E-2</v>
      </c>
      <c r="FN125">
        <v>120</v>
      </c>
      <c r="FO125">
        <v>22</v>
      </c>
      <c r="FP125">
        <v>0.1</v>
      </c>
      <c r="FQ125">
        <v>0.01</v>
      </c>
      <c r="FR125">
        <v>17.783079968421411</v>
      </c>
      <c r="FS125">
        <v>0.52813666364612477</v>
      </c>
      <c r="FT125">
        <v>4.7321312507579552E-2</v>
      </c>
      <c r="FU125">
        <v>1</v>
      </c>
      <c r="FV125">
        <v>0.41869348195821648</v>
      </c>
      <c r="FW125">
        <v>4.4452462622038467E-2</v>
      </c>
      <c r="FX125">
        <v>3.6506980115855029E-3</v>
      </c>
      <c r="FY125">
        <v>1</v>
      </c>
      <c r="FZ125">
        <v>2</v>
      </c>
      <c r="GA125">
        <v>2</v>
      </c>
      <c r="GB125" t="s">
        <v>424</v>
      </c>
      <c r="GC125">
        <v>3.12534</v>
      </c>
      <c r="GD125">
        <v>2.76742</v>
      </c>
      <c r="GE125">
        <v>2.5637900000000002E-2</v>
      </c>
      <c r="GF125">
        <v>3.1186800000000001E-2</v>
      </c>
      <c r="GG125">
        <v>0.120925</v>
      </c>
      <c r="GH125">
        <v>0.10052899999999999</v>
      </c>
      <c r="GI125">
        <v>23220.3</v>
      </c>
      <c r="GJ125">
        <v>23944</v>
      </c>
      <c r="GK125">
        <v>23699.9</v>
      </c>
      <c r="GL125">
        <v>25032.9</v>
      </c>
      <c r="GM125">
        <v>30028.799999999999</v>
      </c>
      <c r="GN125">
        <v>31588.6</v>
      </c>
      <c r="GO125">
        <v>37782.199999999997</v>
      </c>
      <c r="GP125">
        <v>38957.4</v>
      </c>
      <c r="GQ125">
        <v>2.1337000000000002</v>
      </c>
      <c r="GR125">
        <v>1.69865</v>
      </c>
      <c r="GS125">
        <v>7.3164700000000003E-3</v>
      </c>
      <c r="GT125">
        <v>0</v>
      </c>
      <c r="GU125">
        <v>29.943100000000001</v>
      </c>
      <c r="GV125">
        <v>999.9</v>
      </c>
      <c r="GW125">
        <v>28.7</v>
      </c>
      <c r="GX125">
        <v>44.9</v>
      </c>
      <c r="GY125">
        <v>27.807500000000001</v>
      </c>
      <c r="GZ125">
        <v>60.498600000000003</v>
      </c>
      <c r="HA125">
        <v>27.656199999999998</v>
      </c>
      <c r="HB125">
        <v>1</v>
      </c>
      <c r="HC125">
        <v>0.71194599999999997</v>
      </c>
      <c r="HD125">
        <v>3.8735400000000002</v>
      </c>
      <c r="HE125">
        <v>20.271999999999998</v>
      </c>
      <c r="HF125">
        <v>5.24979</v>
      </c>
      <c r="HG125">
        <v>12.0099</v>
      </c>
      <c r="HH125">
        <v>4.9773500000000004</v>
      </c>
      <c r="HI125">
        <v>3.29278</v>
      </c>
      <c r="HJ125">
        <v>9999</v>
      </c>
      <c r="HK125">
        <v>9999</v>
      </c>
      <c r="HL125">
        <v>9999</v>
      </c>
      <c r="HM125">
        <v>237.7</v>
      </c>
      <c r="HN125">
        <v>1.8757600000000001</v>
      </c>
      <c r="HO125">
        <v>1.8768199999999999</v>
      </c>
      <c r="HP125">
        <v>1.88293</v>
      </c>
      <c r="HQ125">
        <v>1.8861000000000001</v>
      </c>
      <c r="HR125">
        <v>1.8768499999999999</v>
      </c>
      <c r="HS125">
        <v>1.8832800000000001</v>
      </c>
      <c r="HT125">
        <v>1.8822700000000001</v>
      </c>
      <c r="HU125">
        <v>1.8857200000000001</v>
      </c>
      <c r="HV125">
        <v>0</v>
      </c>
      <c r="HW125">
        <v>0</v>
      </c>
      <c r="HX125">
        <v>0</v>
      </c>
      <c r="HY125">
        <v>0</v>
      </c>
      <c r="HZ125" t="s">
        <v>425</v>
      </c>
      <c r="IA125" t="s">
        <v>426</v>
      </c>
      <c r="IB125" t="s">
        <v>427</v>
      </c>
      <c r="IC125" t="s">
        <v>427</v>
      </c>
      <c r="ID125" t="s">
        <v>427</v>
      </c>
      <c r="IE125" t="s">
        <v>427</v>
      </c>
      <c r="IF125">
        <v>0</v>
      </c>
      <c r="IG125">
        <v>100</v>
      </c>
      <c r="IH125">
        <v>100</v>
      </c>
      <c r="II125">
        <v>5.0000000000000001E-3</v>
      </c>
      <c r="IJ125">
        <v>4.9000000000000002E-2</v>
      </c>
      <c r="IK125">
        <v>4.0664298387880583E-2</v>
      </c>
      <c r="IL125">
        <v>-4.2852564239613137E-4</v>
      </c>
      <c r="IM125">
        <v>6.4980710991155998E-7</v>
      </c>
      <c r="IN125">
        <v>-2.7237938963984961E-10</v>
      </c>
      <c r="IO125">
        <v>-1.076154922529296E-2</v>
      </c>
      <c r="IP125">
        <v>6.6907473102813496E-3</v>
      </c>
      <c r="IQ125">
        <v>-3.3673306238274028E-4</v>
      </c>
      <c r="IR125">
        <v>6.1311374003140313E-6</v>
      </c>
      <c r="IS125">
        <v>3</v>
      </c>
      <c r="IT125">
        <v>2101</v>
      </c>
      <c r="IU125">
        <v>1</v>
      </c>
      <c r="IV125">
        <v>32</v>
      </c>
      <c r="IW125">
        <v>0.8</v>
      </c>
      <c r="IX125">
        <v>0.6</v>
      </c>
      <c r="IY125">
        <v>0.40893600000000002</v>
      </c>
      <c r="IZ125">
        <v>2.7380399999999998</v>
      </c>
      <c r="JA125">
        <v>1.6015600000000001</v>
      </c>
      <c r="JB125">
        <v>2.32544</v>
      </c>
      <c r="JC125">
        <v>1.5502899999999999</v>
      </c>
      <c r="JD125">
        <v>2.3022499999999999</v>
      </c>
      <c r="JE125">
        <v>47.242100000000001</v>
      </c>
      <c r="JF125">
        <v>24.1313</v>
      </c>
      <c r="JG125">
        <v>18</v>
      </c>
      <c r="JH125">
        <v>604.33900000000006</v>
      </c>
      <c r="JI125">
        <v>373.75099999999998</v>
      </c>
      <c r="JJ125">
        <v>26.6343</v>
      </c>
      <c r="JK125">
        <v>35.723799999999997</v>
      </c>
      <c r="JL125">
        <v>29.9999</v>
      </c>
      <c r="JM125">
        <v>35.964500000000001</v>
      </c>
      <c r="JN125">
        <v>35.970999999999997</v>
      </c>
      <c r="JO125">
        <v>8.1790500000000002</v>
      </c>
      <c r="JP125">
        <v>23.6158</v>
      </c>
      <c r="JQ125">
        <v>8.3182100000000005</v>
      </c>
      <c r="JR125">
        <v>26.602599999999999</v>
      </c>
      <c r="JS125">
        <v>120</v>
      </c>
      <c r="JT125">
        <v>21.940300000000001</v>
      </c>
      <c r="JU125">
        <v>98.541899999999998</v>
      </c>
      <c r="JV125">
        <v>98.588200000000001</v>
      </c>
    </row>
    <row r="126" spans="1:282" x14ac:dyDescent="0.25">
      <c r="A126">
        <v>110</v>
      </c>
      <c r="B126">
        <v>1689022656</v>
      </c>
      <c r="C126">
        <v>22833.400000095371</v>
      </c>
      <c r="D126" t="s">
        <v>975</v>
      </c>
      <c r="E126" t="s">
        <v>976</v>
      </c>
      <c r="F126" t="s">
        <v>414</v>
      </c>
      <c r="G126" t="s">
        <v>415</v>
      </c>
      <c r="H126" t="s">
        <v>418</v>
      </c>
      <c r="I126" t="s">
        <v>417</v>
      </c>
      <c r="J126" t="s">
        <v>418</v>
      </c>
      <c r="K126">
        <v>1689022656</v>
      </c>
      <c r="L126">
        <f t="shared" si="138"/>
        <v>6.29403076061868E-3</v>
      </c>
      <c r="M126">
        <f t="shared" si="139"/>
        <v>6.2940307606186803</v>
      </c>
      <c r="N126">
        <f t="shared" si="140"/>
        <v>10.894644994675328</v>
      </c>
      <c r="O126">
        <f t="shared" si="141"/>
        <v>56.621899999999997</v>
      </c>
      <c r="P126">
        <f t="shared" si="142"/>
        <v>15.187261599880449</v>
      </c>
      <c r="Q126">
        <f t="shared" si="143"/>
        <v>1.5046092419115824</v>
      </c>
      <c r="R126">
        <f t="shared" si="144"/>
        <v>5.6095586076731596</v>
      </c>
      <c r="S126">
        <f t="shared" si="145"/>
        <v>0.46162582151006015</v>
      </c>
      <c r="T126">
        <f t="shared" si="146"/>
        <v>2.9116452219384694</v>
      </c>
      <c r="U126">
        <f t="shared" si="147"/>
        <v>0.42448329025592835</v>
      </c>
      <c r="V126">
        <f t="shared" si="148"/>
        <v>0.2683896845747587</v>
      </c>
      <c r="W126">
        <f t="shared" si="149"/>
        <v>289.54673932688718</v>
      </c>
      <c r="X126">
        <f t="shared" si="150"/>
        <v>30.360089837235428</v>
      </c>
      <c r="Y126">
        <f t="shared" si="151"/>
        <v>29.986999999999998</v>
      </c>
      <c r="Z126">
        <f t="shared" si="152"/>
        <v>4.2572694897055063</v>
      </c>
      <c r="AA126">
        <f t="shared" si="153"/>
        <v>65.583983501481512</v>
      </c>
      <c r="AB126">
        <f t="shared" si="154"/>
        <v>2.84092516715112</v>
      </c>
      <c r="AC126">
        <f t="shared" si="155"/>
        <v>4.3317362189305637</v>
      </c>
      <c r="AD126">
        <f t="shared" si="156"/>
        <v>1.4163443225543864</v>
      </c>
      <c r="AE126">
        <f t="shared" si="157"/>
        <v>-277.56675654328376</v>
      </c>
      <c r="AF126">
        <f t="shared" si="158"/>
        <v>47.437124919395778</v>
      </c>
      <c r="AG126">
        <f t="shared" si="159"/>
        <v>3.6275448592963451</v>
      </c>
      <c r="AH126">
        <f t="shared" si="160"/>
        <v>63.044652562295532</v>
      </c>
      <c r="AI126">
        <v>0</v>
      </c>
      <c r="AJ126">
        <v>0</v>
      </c>
      <c r="AK126">
        <f t="shared" si="161"/>
        <v>1</v>
      </c>
      <c r="AL126">
        <f t="shared" si="162"/>
        <v>0</v>
      </c>
      <c r="AM126">
        <f t="shared" si="163"/>
        <v>51771.466141050791</v>
      </c>
      <c r="AN126" t="s">
        <v>419</v>
      </c>
      <c r="AO126">
        <v>9967.0300000000007</v>
      </c>
      <c r="AP126">
        <v>178.94153846153841</v>
      </c>
      <c r="AQ126">
        <v>603.15</v>
      </c>
      <c r="AR126">
        <f t="shared" si="164"/>
        <v>0.7033216638290003</v>
      </c>
      <c r="AS126">
        <v>-3.2649104154664181</v>
      </c>
      <c r="AT126" t="s">
        <v>977</v>
      </c>
      <c r="AU126">
        <v>8053.82</v>
      </c>
      <c r="AV126">
        <v>658.40095999999994</v>
      </c>
      <c r="AW126">
        <v>753.70519201528725</v>
      </c>
      <c r="AX126">
        <f t="shared" si="165"/>
        <v>0.12644762570954171</v>
      </c>
      <c r="AY126">
        <v>0.5</v>
      </c>
      <c r="AZ126">
        <f t="shared" si="166"/>
        <v>1513.0835996512369</v>
      </c>
      <c r="BA126">
        <f t="shared" si="167"/>
        <v>10.894644994675328</v>
      </c>
      <c r="BB126">
        <f t="shared" si="168"/>
        <v>95.662914337972836</v>
      </c>
      <c r="BC126">
        <f t="shared" si="169"/>
        <v>9.3580787032557216E-3</v>
      </c>
      <c r="BD126">
        <f t="shared" si="170"/>
        <v>-0.19975342296996357</v>
      </c>
      <c r="BE126">
        <f t="shared" si="171"/>
        <v>190.21410432441002</v>
      </c>
      <c r="BF126" t="s">
        <v>978</v>
      </c>
      <c r="BG126">
        <v>555.16999999999996</v>
      </c>
      <c r="BH126">
        <f t="shared" si="172"/>
        <v>555.16999999999996</v>
      </c>
      <c r="BI126">
        <f t="shared" si="173"/>
        <v>0.26341226532410622</v>
      </c>
      <c r="BJ126">
        <f t="shared" si="174"/>
        <v>0.48003697000957313</v>
      </c>
      <c r="BK126">
        <f t="shared" si="175"/>
        <v>-3.1378739477967326</v>
      </c>
      <c r="BL126">
        <f t="shared" si="176"/>
        <v>0.1658146464655928</v>
      </c>
      <c r="BM126">
        <f t="shared" si="177"/>
        <v>-0.35490850764568482</v>
      </c>
      <c r="BN126">
        <f t="shared" si="178"/>
        <v>0.4047717740876543</v>
      </c>
      <c r="BO126">
        <f t="shared" si="179"/>
        <v>0.5952282259123457</v>
      </c>
      <c r="BP126">
        <v>6255</v>
      </c>
      <c r="BQ126">
        <v>290.00000000000011</v>
      </c>
      <c r="BR126">
        <v>725.23</v>
      </c>
      <c r="BS126">
        <v>285</v>
      </c>
      <c r="BT126">
        <v>8053.82</v>
      </c>
      <c r="BU126">
        <v>725.17</v>
      </c>
      <c r="BV126">
        <v>0.06</v>
      </c>
      <c r="BW126">
        <v>300.00000000000011</v>
      </c>
      <c r="BX126">
        <v>19.3</v>
      </c>
      <c r="BY126">
        <v>753.70519201528725</v>
      </c>
      <c r="BZ126">
        <v>2.4485820082940579</v>
      </c>
      <c r="CA126">
        <v>-22.98487377443071</v>
      </c>
      <c r="CB126">
        <v>1.811599454844063</v>
      </c>
      <c r="CC126">
        <v>0.85183267428557186</v>
      </c>
      <c r="CD126">
        <v>-4.1566958843159089E-3</v>
      </c>
      <c r="CE126">
        <v>289.99999999999989</v>
      </c>
      <c r="CF126">
        <v>723.97</v>
      </c>
      <c r="CG126">
        <v>765</v>
      </c>
      <c r="CH126">
        <v>8040.9</v>
      </c>
      <c r="CI126">
        <v>725.12</v>
      </c>
      <c r="CJ126">
        <v>-1.1499999999999999</v>
      </c>
      <c r="CX126">
        <f t="shared" si="180"/>
        <v>1799.88</v>
      </c>
      <c r="CY126">
        <f t="shared" si="181"/>
        <v>1513.0835996512369</v>
      </c>
      <c r="CZ126">
        <f t="shared" si="182"/>
        <v>0.84065804367582109</v>
      </c>
      <c r="DA126">
        <f t="shared" si="183"/>
        <v>0.1608700242943347</v>
      </c>
      <c r="DB126">
        <v>6</v>
      </c>
      <c r="DC126">
        <v>0.5</v>
      </c>
      <c r="DD126" t="s">
        <v>422</v>
      </c>
      <c r="DE126">
        <v>2</v>
      </c>
      <c r="DF126">
        <v>1689022656</v>
      </c>
      <c r="DG126">
        <v>56.621899999999997</v>
      </c>
      <c r="DH126">
        <v>70.123400000000004</v>
      </c>
      <c r="DI126">
        <v>28.675799999999999</v>
      </c>
      <c r="DJ126">
        <v>21.339400000000001</v>
      </c>
      <c r="DK126">
        <v>56.599600000000002</v>
      </c>
      <c r="DL126">
        <v>28.6279</v>
      </c>
      <c r="DM126">
        <v>499.99</v>
      </c>
      <c r="DN126">
        <v>98.971000000000004</v>
      </c>
      <c r="DO126">
        <v>9.9476400000000006E-2</v>
      </c>
      <c r="DP126">
        <v>30.289200000000001</v>
      </c>
      <c r="DQ126">
        <v>29.986999999999998</v>
      </c>
      <c r="DR126">
        <v>999.9</v>
      </c>
      <c r="DS126">
        <v>0</v>
      </c>
      <c r="DT126">
        <v>0</v>
      </c>
      <c r="DU126">
        <v>10001.200000000001</v>
      </c>
      <c r="DV126">
        <v>0</v>
      </c>
      <c r="DW126">
        <v>1555.04</v>
      </c>
      <c r="DX126">
        <v>-13.5015</v>
      </c>
      <c r="DY126">
        <v>58.293500000000002</v>
      </c>
      <c r="DZ126">
        <v>71.6524</v>
      </c>
      <c r="EA126">
        <v>7.3364700000000003</v>
      </c>
      <c r="EB126">
        <v>70.123400000000004</v>
      </c>
      <c r="EC126">
        <v>21.339400000000001</v>
      </c>
      <c r="ED126">
        <v>2.8380800000000002</v>
      </c>
      <c r="EE126">
        <v>2.11198</v>
      </c>
      <c r="EF126">
        <v>23.107199999999999</v>
      </c>
      <c r="EG126">
        <v>18.309799999999999</v>
      </c>
      <c r="EH126">
        <v>1799.88</v>
      </c>
      <c r="EI126">
        <v>0.97800600000000004</v>
      </c>
      <c r="EJ126">
        <v>2.1994099999999999E-2</v>
      </c>
      <c r="EK126">
        <v>0</v>
      </c>
      <c r="EL126">
        <v>657.84100000000001</v>
      </c>
      <c r="EM126">
        <v>5.0005300000000004</v>
      </c>
      <c r="EN126">
        <v>14445.6</v>
      </c>
      <c r="EO126">
        <v>16034.2</v>
      </c>
      <c r="EP126">
        <v>49.625</v>
      </c>
      <c r="EQ126">
        <v>50.936999999999998</v>
      </c>
      <c r="ER126">
        <v>50.25</v>
      </c>
      <c r="ES126">
        <v>50.25</v>
      </c>
      <c r="ET126">
        <v>50.75</v>
      </c>
      <c r="EU126">
        <v>1755.4</v>
      </c>
      <c r="EV126">
        <v>39.479999999999997</v>
      </c>
      <c r="EW126">
        <v>0</v>
      </c>
      <c r="EX126">
        <v>122</v>
      </c>
      <c r="EY126">
        <v>0</v>
      </c>
      <c r="EZ126">
        <v>658.40095999999994</v>
      </c>
      <c r="FA126">
        <v>-2.8903077061351148</v>
      </c>
      <c r="FB126">
        <v>-159.69999937216039</v>
      </c>
      <c r="FC126">
        <v>14498.031999999999</v>
      </c>
      <c r="FD126">
        <v>15</v>
      </c>
      <c r="FE126">
        <v>1689022623.5</v>
      </c>
      <c r="FF126" t="s">
        <v>979</v>
      </c>
      <c r="FG126">
        <v>1689022616.5</v>
      </c>
      <c r="FH126">
        <v>1689022623.5</v>
      </c>
      <c r="FI126">
        <v>119</v>
      </c>
      <c r="FJ126">
        <v>4.0000000000000001E-3</v>
      </c>
      <c r="FK126">
        <v>-1E-3</v>
      </c>
      <c r="FL126">
        <v>1.7999999999999999E-2</v>
      </c>
      <c r="FM126">
        <v>3.7999999999999999E-2</v>
      </c>
      <c r="FN126">
        <v>70</v>
      </c>
      <c r="FO126">
        <v>21</v>
      </c>
      <c r="FP126">
        <v>0.1</v>
      </c>
      <c r="FQ126">
        <v>0.01</v>
      </c>
      <c r="FR126">
        <v>10.97345359910185</v>
      </c>
      <c r="FS126">
        <v>-0.1217289227338292</v>
      </c>
      <c r="FT126">
        <v>1.705484454173407E-2</v>
      </c>
      <c r="FU126">
        <v>1</v>
      </c>
      <c r="FV126">
        <v>0.46140123042658071</v>
      </c>
      <c r="FW126">
        <v>4.0413651979090047E-2</v>
      </c>
      <c r="FX126">
        <v>4.1783050256636841E-3</v>
      </c>
      <c r="FY126">
        <v>1</v>
      </c>
      <c r="FZ126">
        <v>2</v>
      </c>
      <c r="GA126">
        <v>2</v>
      </c>
      <c r="GB126" t="s">
        <v>424</v>
      </c>
      <c r="GC126">
        <v>3.12486</v>
      </c>
      <c r="GD126">
        <v>2.7667899999999999</v>
      </c>
      <c r="GE126">
        <v>1.4997E-2</v>
      </c>
      <c r="GF126">
        <v>1.8542199999999998E-2</v>
      </c>
      <c r="GG126">
        <v>0.120575</v>
      </c>
      <c r="GH126">
        <v>9.8237099999999994E-2</v>
      </c>
      <c r="GI126">
        <v>23478.5</v>
      </c>
      <c r="GJ126">
        <v>24260.799999999999</v>
      </c>
      <c r="GK126">
        <v>23705</v>
      </c>
      <c r="GL126">
        <v>25037.8</v>
      </c>
      <c r="GM126">
        <v>30047.1</v>
      </c>
      <c r="GN126">
        <v>31674.9</v>
      </c>
      <c r="GO126">
        <v>37790.1</v>
      </c>
      <c r="GP126">
        <v>38964.5</v>
      </c>
      <c r="GQ126">
        <v>2.13497</v>
      </c>
      <c r="GR126">
        <v>1.69872</v>
      </c>
      <c r="GS126">
        <v>-1.3046E-2</v>
      </c>
      <c r="GT126">
        <v>0</v>
      </c>
      <c r="GU126">
        <v>30.199300000000001</v>
      </c>
      <c r="GV126">
        <v>999.9</v>
      </c>
      <c r="GW126">
        <v>28.6</v>
      </c>
      <c r="GX126">
        <v>44.8</v>
      </c>
      <c r="GY126">
        <v>27.567499999999999</v>
      </c>
      <c r="GZ126">
        <v>60.848599999999998</v>
      </c>
      <c r="HA126">
        <v>27.552099999999999</v>
      </c>
      <c r="HB126">
        <v>1</v>
      </c>
      <c r="HC126">
        <v>0.70127300000000004</v>
      </c>
      <c r="HD126">
        <v>3.1653500000000001</v>
      </c>
      <c r="HE126">
        <v>20.287199999999999</v>
      </c>
      <c r="HF126">
        <v>5.2475399999999999</v>
      </c>
      <c r="HG126">
        <v>12.0099</v>
      </c>
      <c r="HH126">
        <v>4.9777500000000003</v>
      </c>
      <c r="HI126">
        <v>3.29223</v>
      </c>
      <c r="HJ126">
        <v>9999</v>
      </c>
      <c r="HK126">
        <v>9999</v>
      </c>
      <c r="HL126">
        <v>9999</v>
      </c>
      <c r="HM126">
        <v>237.7</v>
      </c>
      <c r="HN126">
        <v>1.8757699999999999</v>
      </c>
      <c r="HO126">
        <v>1.8768199999999999</v>
      </c>
      <c r="HP126">
        <v>1.8829199999999999</v>
      </c>
      <c r="HQ126">
        <v>1.88608</v>
      </c>
      <c r="HR126">
        <v>1.8768499999999999</v>
      </c>
      <c r="HS126">
        <v>1.88327</v>
      </c>
      <c r="HT126">
        <v>1.88229</v>
      </c>
      <c r="HU126">
        <v>1.88574</v>
      </c>
      <c r="HV126">
        <v>0</v>
      </c>
      <c r="HW126">
        <v>0</v>
      </c>
      <c r="HX126">
        <v>0</v>
      </c>
      <c r="HY126">
        <v>0</v>
      </c>
      <c r="HZ126" t="s">
        <v>425</v>
      </c>
      <c r="IA126" t="s">
        <v>426</v>
      </c>
      <c r="IB126" t="s">
        <v>427</v>
      </c>
      <c r="IC126" t="s">
        <v>427</v>
      </c>
      <c r="ID126" t="s">
        <v>427</v>
      </c>
      <c r="IE126" t="s">
        <v>427</v>
      </c>
      <c r="IF126">
        <v>0</v>
      </c>
      <c r="IG126">
        <v>100</v>
      </c>
      <c r="IH126">
        <v>100</v>
      </c>
      <c r="II126">
        <v>2.1999999999999999E-2</v>
      </c>
      <c r="IJ126">
        <v>4.7899999999999998E-2</v>
      </c>
      <c r="IK126">
        <v>4.4487820769927057E-2</v>
      </c>
      <c r="IL126">
        <v>-4.2852564239613137E-4</v>
      </c>
      <c r="IM126">
        <v>6.4980710991155998E-7</v>
      </c>
      <c r="IN126">
        <v>-2.7237938963984961E-10</v>
      </c>
      <c r="IO126">
        <v>-1.144859387877592E-2</v>
      </c>
      <c r="IP126">
        <v>6.6907473102813496E-3</v>
      </c>
      <c r="IQ126">
        <v>-3.3673306238274028E-4</v>
      </c>
      <c r="IR126">
        <v>6.1311374003140313E-6</v>
      </c>
      <c r="IS126">
        <v>3</v>
      </c>
      <c r="IT126">
        <v>2101</v>
      </c>
      <c r="IU126">
        <v>1</v>
      </c>
      <c r="IV126">
        <v>32</v>
      </c>
      <c r="IW126">
        <v>0.7</v>
      </c>
      <c r="IX126">
        <v>0.5</v>
      </c>
      <c r="IY126">
        <v>0.29663099999999998</v>
      </c>
      <c r="IZ126">
        <v>2.7490199999999998</v>
      </c>
      <c r="JA126">
        <v>1.6015600000000001</v>
      </c>
      <c r="JB126">
        <v>2.32666</v>
      </c>
      <c r="JC126">
        <v>1.5502899999999999</v>
      </c>
      <c r="JD126">
        <v>2.3962400000000001</v>
      </c>
      <c r="JE126">
        <v>47.122900000000001</v>
      </c>
      <c r="JF126">
        <v>24.14</v>
      </c>
      <c r="JG126">
        <v>18</v>
      </c>
      <c r="JH126">
        <v>604.75699999999995</v>
      </c>
      <c r="JI126">
        <v>373.483</v>
      </c>
      <c r="JJ126">
        <v>26.849599999999999</v>
      </c>
      <c r="JK126">
        <v>35.664700000000003</v>
      </c>
      <c r="JL126">
        <v>30</v>
      </c>
      <c r="JM126">
        <v>35.907699999999998</v>
      </c>
      <c r="JN126">
        <v>35.9178</v>
      </c>
      <c r="JO126">
        <v>5.9178300000000004</v>
      </c>
      <c r="JP126">
        <v>27.0106</v>
      </c>
      <c r="JQ126">
        <v>7.2762700000000002</v>
      </c>
      <c r="JR126">
        <v>26.858499999999999</v>
      </c>
      <c r="JS126">
        <v>70</v>
      </c>
      <c r="JT126">
        <v>21.216999999999999</v>
      </c>
      <c r="JU126">
        <v>98.562700000000007</v>
      </c>
      <c r="JV126">
        <v>98.606800000000007</v>
      </c>
    </row>
    <row r="127" spans="1:282" x14ac:dyDescent="0.25">
      <c r="A127">
        <v>111</v>
      </c>
      <c r="B127">
        <v>1689022771.5</v>
      </c>
      <c r="C127">
        <v>22948.900000095371</v>
      </c>
      <c r="D127" t="s">
        <v>980</v>
      </c>
      <c r="E127" t="s">
        <v>981</v>
      </c>
      <c r="F127" t="s">
        <v>414</v>
      </c>
      <c r="G127" t="s">
        <v>415</v>
      </c>
      <c r="H127" t="s">
        <v>418</v>
      </c>
      <c r="I127" t="s">
        <v>417</v>
      </c>
      <c r="J127" t="s">
        <v>418</v>
      </c>
      <c r="K127">
        <v>1689022771.5</v>
      </c>
      <c r="L127">
        <f t="shared" si="138"/>
        <v>6.4273461407156375E-3</v>
      </c>
      <c r="M127">
        <f t="shared" si="139"/>
        <v>6.4273461407156374</v>
      </c>
      <c r="N127">
        <f t="shared" si="140"/>
        <v>4.7669358193924758</v>
      </c>
      <c r="O127">
        <f t="shared" si="141"/>
        <v>24.325099999999999</v>
      </c>
      <c r="P127">
        <f t="shared" si="142"/>
        <v>6.6459666692023616</v>
      </c>
      <c r="Q127">
        <f t="shared" si="143"/>
        <v>0.65843428736975163</v>
      </c>
      <c r="R127">
        <f t="shared" si="144"/>
        <v>2.4099548915763997</v>
      </c>
      <c r="S127">
        <f t="shared" si="145"/>
        <v>0.47435875719865339</v>
      </c>
      <c r="T127">
        <f t="shared" si="146"/>
        <v>2.9116787870144738</v>
      </c>
      <c r="U127">
        <f t="shared" si="147"/>
        <v>0.43523235596295595</v>
      </c>
      <c r="V127">
        <f t="shared" si="148"/>
        <v>0.27526613501070218</v>
      </c>
      <c r="W127">
        <f t="shared" si="149"/>
        <v>289.54993132689458</v>
      </c>
      <c r="X127">
        <f t="shared" si="150"/>
        <v>30.343418503381322</v>
      </c>
      <c r="Y127">
        <f t="shared" si="151"/>
        <v>30.007400000000001</v>
      </c>
      <c r="Z127">
        <f t="shared" si="152"/>
        <v>4.2622610117639477</v>
      </c>
      <c r="AA127">
        <f t="shared" si="153"/>
        <v>65.76493727327545</v>
      </c>
      <c r="AB127">
        <f t="shared" si="154"/>
        <v>2.8517203462523999</v>
      </c>
      <c r="AC127">
        <f t="shared" si="155"/>
        <v>4.336232139023477</v>
      </c>
      <c r="AD127">
        <f t="shared" si="156"/>
        <v>1.4105406655115478</v>
      </c>
      <c r="AE127">
        <f t="shared" si="157"/>
        <v>-283.44596480555964</v>
      </c>
      <c r="AF127">
        <f t="shared" si="158"/>
        <v>47.076630586980897</v>
      </c>
      <c r="AG127">
        <f t="shared" si="159"/>
        <v>3.6006219896806351</v>
      </c>
      <c r="AH127">
        <f t="shared" si="160"/>
        <v>56.78121909799647</v>
      </c>
      <c r="AI127">
        <v>0</v>
      </c>
      <c r="AJ127">
        <v>0</v>
      </c>
      <c r="AK127">
        <f t="shared" si="161"/>
        <v>1</v>
      </c>
      <c r="AL127">
        <f t="shared" si="162"/>
        <v>0</v>
      </c>
      <c r="AM127">
        <f t="shared" si="163"/>
        <v>51769.370481068181</v>
      </c>
      <c r="AN127" t="s">
        <v>419</v>
      </c>
      <c r="AO127">
        <v>9967.0300000000007</v>
      </c>
      <c r="AP127">
        <v>178.94153846153841</v>
      </c>
      <c r="AQ127">
        <v>603.15</v>
      </c>
      <c r="AR127">
        <f t="shared" si="164"/>
        <v>0.7033216638290003</v>
      </c>
      <c r="AS127">
        <v>-3.2649104154664181</v>
      </c>
      <c r="AT127" t="s">
        <v>982</v>
      </c>
      <c r="AU127">
        <v>8061.34</v>
      </c>
      <c r="AV127">
        <v>675.15842307692321</v>
      </c>
      <c r="AW127">
        <v>740.98287367315663</v>
      </c>
      <c r="AX127">
        <f t="shared" si="165"/>
        <v>8.8833970304782239E-2</v>
      </c>
      <c r="AY127">
        <v>0.5</v>
      </c>
      <c r="AZ127">
        <f t="shared" si="166"/>
        <v>1513.1003996512407</v>
      </c>
      <c r="BA127">
        <f t="shared" si="167"/>
        <v>4.7669358193924758</v>
      </c>
      <c r="BB127">
        <f t="shared" si="168"/>
        <v>67.207357985386224</v>
      </c>
      <c r="BC127">
        <f t="shared" si="169"/>
        <v>5.3082044236523757E-3</v>
      </c>
      <c r="BD127">
        <f t="shared" si="170"/>
        <v>-0.18601357544189875</v>
      </c>
      <c r="BE127">
        <f t="shared" si="171"/>
        <v>189.39344249152768</v>
      </c>
      <c r="BF127" t="s">
        <v>983</v>
      </c>
      <c r="BG127">
        <v>579.65</v>
      </c>
      <c r="BH127">
        <f t="shared" si="172"/>
        <v>579.65</v>
      </c>
      <c r="BI127">
        <f t="shared" si="173"/>
        <v>0.21772820857978381</v>
      </c>
      <c r="BJ127">
        <f t="shared" si="174"/>
        <v>0.40800395540952672</v>
      </c>
      <c r="BK127">
        <f t="shared" si="175"/>
        <v>-5.8652286669428362</v>
      </c>
      <c r="BL127">
        <f t="shared" si="176"/>
        <v>0.11711674297309359</v>
      </c>
      <c r="BM127">
        <f t="shared" si="177"/>
        <v>-0.3249177849335752</v>
      </c>
      <c r="BN127">
        <f t="shared" si="178"/>
        <v>0.35028740613991705</v>
      </c>
      <c r="BO127">
        <f t="shared" si="179"/>
        <v>0.64971259386008295</v>
      </c>
      <c r="BP127">
        <v>6257</v>
      </c>
      <c r="BQ127">
        <v>290.00000000000011</v>
      </c>
      <c r="BR127">
        <v>721.15</v>
      </c>
      <c r="BS127">
        <v>185</v>
      </c>
      <c r="BT127">
        <v>8061.34</v>
      </c>
      <c r="BU127">
        <v>719.81</v>
      </c>
      <c r="BV127">
        <v>1.34</v>
      </c>
      <c r="BW127">
        <v>300.00000000000011</v>
      </c>
      <c r="BX127">
        <v>19.3</v>
      </c>
      <c r="BY127">
        <v>740.98287367315663</v>
      </c>
      <c r="BZ127">
        <v>2.0124976257361209</v>
      </c>
      <c r="CA127">
        <v>-17.069623351327738</v>
      </c>
      <c r="CB127">
        <v>1.4889481375789519</v>
      </c>
      <c r="CC127">
        <v>0.82437240901455122</v>
      </c>
      <c r="CD127">
        <v>-4.1566582869855401E-3</v>
      </c>
      <c r="CE127">
        <v>289.99999999999989</v>
      </c>
      <c r="CF127">
        <v>719.1</v>
      </c>
      <c r="CG127">
        <v>655</v>
      </c>
      <c r="CH127">
        <v>8043.99</v>
      </c>
      <c r="CI127">
        <v>719.76</v>
      </c>
      <c r="CJ127">
        <v>-0.66</v>
      </c>
      <c r="CX127">
        <f t="shared" si="180"/>
        <v>1799.9</v>
      </c>
      <c r="CY127">
        <f t="shared" si="181"/>
        <v>1513.1003996512407</v>
      </c>
      <c r="CZ127">
        <f t="shared" si="182"/>
        <v>0.84065803636382053</v>
      </c>
      <c r="DA127">
        <f t="shared" si="183"/>
        <v>0.16087001018217378</v>
      </c>
      <c r="DB127">
        <v>6</v>
      </c>
      <c r="DC127">
        <v>0.5</v>
      </c>
      <c r="DD127" t="s">
        <v>422</v>
      </c>
      <c r="DE127">
        <v>2</v>
      </c>
      <c r="DF127">
        <v>1689022771.5</v>
      </c>
      <c r="DG127">
        <v>24.325099999999999</v>
      </c>
      <c r="DH127">
        <v>30.232399999999998</v>
      </c>
      <c r="DI127">
        <v>28.784099999999999</v>
      </c>
      <c r="DJ127">
        <v>21.2941</v>
      </c>
      <c r="DK127">
        <v>24.2637</v>
      </c>
      <c r="DL127">
        <v>28.735099999999999</v>
      </c>
      <c r="DM127">
        <v>500.05399999999997</v>
      </c>
      <c r="DN127">
        <v>98.972899999999996</v>
      </c>
      <c r="DO127">
        <v>9.9863999999999994E-2</v>
      </c>
      <c r="DP127">
        <v>30.307300000000001</v>
      </c>
      <c r="DQ127">
        <v>30.007400000000001</v>
      </c>
      <c r="DR127">
        <v>999.9</v>
      </c>
      <c r="DS127">
        <v>0</v>
      </c>
      <c r="DT127">
        <v>0</v>
      </c>
      <c r="DU127">
        <v>10001.200000000001</v>
      </c>
      <c r="DV127">
        <v>0</v>
      </c>
      <c r="DW127">
        <v>1563.34</v>
      </c>
      <c r="DX127">
        <v>-5.9072899999999997</v>
      </c>
      <c r="DY127">
        <v>25.046099999999999</v>
      </c>
      <c r="DZ127">
        <v>30.8902</v>
      </c>
      <c r="EA127">
        <v>7.4899800000000001</v>
      </c>
      <c r="EB127">
        <v>30.232399999999998</v>
      </c>
      <c r="EC127">
        <v>21.2941</v>
      </c>
      <c r="ED127">
        <v>2.8488500000000001</v>
      </c>
      <c r="EE127">
        <v>2.1075400000000002</v>
      </c>
      <c r="EF127">
        <v>23.169899999999998</v>
      </c>
      <c r="EG127">
        <v>18.276299999999999</v>
      </c>
      <c r="EH127">
        <v>1799.9</v>
      </c>
      <c r="EI127">
        <v>0.97800600000000004</v>
      </c>
      <c r="EJ127">
        <v>2.1994099999999999E-2</v>
      </c>
      <c r="EK127">
        <v>0</v>
      </c>
      <c r="EL127">
        <v>674.89800000000002</v>
      </c>
      <c r="EM127">
        <v>5.0005300000000004</v>
      </c>
      <c r="EN127">
        <v>14768.9</v>
      </c>
      <c r="EO127">
        <v>16034.4</v>
      </c>
      <c r="EP127">
        <v>49.686999999999998</v>
      </c>
      <c r="EQ127">
        <v>51.061999999999998</v>
      </c>
      <c r="ER127">
        <v>50.311999999999998</v>
      </c>
      <c r="ES127">
        <v>50.311999999999998</v>
      </c>
      <c r="ET127">
        <v>50.75</v>
      </c>
      <c r="EU127">
        <v>1755.42</v>
      </c>
      <c r="EV127">
        <v>39.479999999999997</v>
      </c>
      <c r="EW127">
        <v>0</v>
      </c>
      <c r="EX127">
        <v>113.5999999046326</v>
      </c>
      <c r="EY127">
        <v>0</v>
      </c>
      <c r="EZ127">
        <v>675.15842307692321</v>
      </c>
      <c r="FA127">
        <v>-2.1921025761116169</v>
      </c>
      <c r="FB127">
        <v>-67.750427366680668</v>
      </c>
      <c r="FC127">
        <v>14782.55</v>
      </c>
      <c r="FD127">
        <v>15</v>
      </c>
      <c r="FE127">
        <v>1689022740.5</v>
      </c>
      <c r="FF127" t="s">
        <v>984</v>
      </c>
      <c r="FG127">
        <v>1689022729.5</v>
      </c>
      <c r="FH127">
        <v>1689022740.5</v>
      </c>
      <c r="FI127">
        <v>120</v>
      </c>
      <c r="FJ127">
        <v>2.7E-2</v>
      </c>
      <c r="FK127">
        <v>1E-3</v>
      </c>
      <c r="FL127">
        <v>5.8999999999999997E-2</v>
      </c>
      <c r="FM127">
        <v>3.7999999999999999E-2</v>
      </c>
      <c r="FN127">
        <v>30</v>
      </c>
      <c r="FO127">
        <v>21</v>
      </c>
      <c r="FP127">
        <v>0.31</v>
      </c>
      <c r="FQ127">
        <v>0.01</v>
      </c>
      <c r="FR127">
        <v>4.7419116586138061</v>
      </c>
      <c r="FS127">
        <v>-0.12931938811844351</v>
      </c>
      <c r="FT127">
        <v>3.0804979169567419E-2</v>
      </c>
      <c r="FU127">
        <v>1</v>
      </c>
      <c r="FV127">
        <v>0.46848741683017109</v>
      </c>
      <c r="FW127">
        <v>4.6823739408016547E-2</v>
      </c>
      <c r="FX127">
        <v>3.594108797426894E-3</v>
      </c>
      <c r="FY127">
        <v>1</v>
      </c>
      <c r="FZ127">
        <v>2</v>
      </c>
      <c r="GA127">
        <v>2</v>
      </c>
      <c r="GB127" t="s">
        <v>424</v>
      </c>
      <c r="GC127">
        <v>3.1249799999999999</v>
      </c>
      <c r="GD127">
        <v>2.7671800000000002</v>
      </c>
      <c r="GE127">
        <v>6.4658199999999997E-3</v>
      </c>
      <c r="GF127">
        <v>8.0600700000000008E-3</v>
      </c>
      <c r="GG127">
        <v>0.120893</v>
      </c>
      <c r="GH127">
        <v>9.8093100000000003E-2</v>
      </c>
      <c r="GI127">
        <v>23681.200000000001</v>
      </c>
      <c r="GJ127">
        <v>24518.7</v>
      </c>
      <c r="GK127">
        <v>23704.799999999999</v>
      </c>
      <c r="GL127">
        <v>25037.1</v>
      </c>
      <c r="GM127">
        <v>30036.3</v>
      </c>
      <c r="GN127">
        <v>31677.7</v>
      </c>
      <c r="GO127">
        <v>37790.1</v>
      </c>
      <c r="GP127">
        <v>38961.599999999999</v>
      </c>
      <c r="GQ127">
        <v>2.1354000000000002</v>
      </c>
      <c r="GR127">
        <v>1.6990700000000001</v>
      </c>
      <c r="GS127">
        <v>-2.5779E-2</v>
      </c>
      <c r="GT127">
        <v>0</v>
      </c>
      <c r="GU127">
        <v>30.4267</v>
      </c>
      <c r="GV127">
        <v>999.9</v>
      </c>
      <c r="GW127">
        <v>28.5</v>
      </c>
      <c r="GX127">
        <v>44.7</v>
      </c>
      <c r="GY127">
        <v>27.3279</v>
      </c>
      <c r="GZ127">
        <v>60.898600000000002</v>
      </c>
      <c r="HA127">
        <v>27.8125</v>
      </c>
      <c r="HB127">
        <v>1</v>
      </c>
      <c r="HC127">
        <v>0.70580799999999999</v>
      </c>
      <c r="HD127">
        <v>3.8900999999999999</v>
      </c>
      <c r="HE127">
        <v>20.272200000000002</v>
      </c>
      <c r="HF127">
        <v>5.2502399999999998</v>
      </c>
      <c r="HG127">
        <v>12.0099</v>
      </c>
      <c r="HH127">
        <v>4.9794</v>
      </c>
      <c r="HI127">
        <v>3.2930000000000001</v>
      </c>
      <c r="HJ127">
        <v>9999</v>
      </c>
      <c r="HK127">
        <v>9999</v>
      </c>
      <c r="HL127">
        <v>9999</v>
      </c>
      <c r="HM127">
        <v>237.8</v>
      </c>
      <c r="HN127">
        <v>1.8757600000000001</v>
      </c>
      <c r="HO127">
        <v>1.87683</v>
      </c>
      <c r="HP127">
        <v>1.8829100000000001</v>
      </c>
      <c r="HQ127">
        <v>1.88609</v>
      </c>
      <c r="HR127">
        <v>1.87683</v>
      </c>
      <c r="HS127">
        <v>1.88331</v>
      </c>
      <c r="HT127">
        <v>1.8822700000000001</v>
      </c>
      <c r="HU127">
        <v>1.8857600000000001</v>
      </c>
      <c r="HV127">
        <v>0</v>
      </c>
      <c r="HW127">
        <v>0</v>
      </c>
      <c r="HX127">
        <v>0</v>
      </c>
      <c r="HY127">
        <v>0</v>
      </c>
      <c r="HZ127" t="s">
        <v>425</v>
      </c>
      <c r="IA127" t="s">
        <v>426</v>
      </c>
      <c r="IB127" t="s">
        <v>427</v>
      </c>
      <c r="IC127" t="s">
        <v>427</v>
      </c>
      <c r="ID127" t="s">
        <v>427</v>
      </c>
      <c r="IE127" t="s">
        <v>427</v>
      </c>
      <c r="IF127">
        <v>0</v>
      </c>
      <c r="IG127">
        <v>100</v>
      </c>
      <c r="IH127">
        <v>100</v>
      </c>
      <c r="II127">
        <v>6.0999999999999999E-2</v>
      </c>
      <c r="IJ127">
        <v>4.9000000000000002E-2</v>
      </c>
      <c r="IK127">
        <v>7.148446816802001E-2</v>
      </c>
      <c r="IL127">
        <v>-4.2852564239613137E-4</v>
      </c>
      <c r="IM127">
        <v>6.4980710991155998E-7</v>
      </c>
      <c r="IN127">
        <v>-2.7237938963984961E-10</v>
      </c>
      <c r="IO127">
        <v>-1.067659043813764E-2</v>
      </c>
      <c r="IP127">
        <v>6.6907473102813496E-3</v>
      </c>
      <c r="IQ127">
        <v>-3.3673306238274028E-4</v>
      </c>
      <c r="IR127">
        <v>6.1311374003140313E-6</v>
      </c>
      <c r="IS127">
        <v>3</v>
      </c>
      <c r="IT127">
        <v>2101</v>
      </c>
      <c r="IU127">
        <v>1</v>
      </c>
      <c r="IV127">
        <v>32</v>
      </c>
      <c r="IW127">
        <v>0.7</v>
      </c>
      <c r="IX127">
        <v>0.5</v>
      </c>
      <c r="IY127">
        <v>0.20874000000000001</v>
      </c>
      <c r="IZ127">
        <v>2.7758799999999999</v>
      </c>
      <c r="JA127">
        <v>1.6015600000000001</v>
      </c>
      <c r="JB127">
        <v>2.32666</v>
      </c>
      <c r="JC127">
        <v>1.5490699999999999</v>
      </c>
      <c r="JD127">
        <v>2.3120099999999999</v>
      </c>
      <c r="JE127">
        <v>47.004100000000001</v>
      </c>
      <c r="JF127">
        <v>24.1313</v>
      </c>
      <c r="JG127">
        <v>18</v>
      </c>
      <c r="JH127">
        <v>604.93799999999999</v>
      </c>
      <c r="JI127">
        <v>373.61799999999999</v>
      </c>
      <c r="JJ127">
        <v>26.3552</v>
      </c>
      <c r="JK127">
        <v>35.651499999999999</v>
      </c>
      <c r="JL127">
        <v>30.0002</v>
      </c>
      <c r="JM127">
        <v>35.8934</v>
      </c>
      <c r="JN127">
        <v>35.904600000000002</v>
      </c>
      <c r="JO127">
        <v>4.1541199999999998</v>
      </c>
      <c r="JP127">
        <v>26.179300000000001</v>
      </c>
      <c r="JQ127">
        <v>6.2728400000000004</v>
      </c>
      <c r="JR127">
        <v>26.354900000000001</v>
      </c>
      <c r="JS127">
        <v>30</v>
      </c>
      <c r="JT127">
        <v>21.169799999999999</v>
      </c>
      <c r="JU127">
        <v>98.5625</v>
      </c>
      <c r="JV127">
        <v>98.601200000000006</v>
      </c>
    </row>
    <row r="128" spans="1:282" x14ac:dyDescent="0.25">
      <c r="A128">
        <v>112</v>
      </c>
      <c r="B128">
        <v>1689022914.5</v>
      </c>
      <c r="C128">
        <v>23091.900000095371</v>
      </c>
      <c r="D128" t="s">
        <v>985</v>
      </c>
      <c r="E128" t="s">
        <v>986</v>
      </c>
      <c r="F128" t="s">
        <v>414</v>
      </c>
      <c r="G128" t="s">
        <v>415</v>
      </c>
      <c r="H128" t="s">
        <v>418</v>
      </c>
      <c r="I128" t="s">
        <v>417</v>
      </c>
      <c r="J128" t="s">
        <v>418</v>
      </c>
      <c r="K128">
        <v>1689022914.5</v>
      </c>
      <c r="L128">
        <f t="shared" si="138"/>
        <v>6.7275060391994105E-3</v>
      </c>
      <c r="M128">
        <f t="shared" si="139"/>
        <v>6.7275060391994108</v>
      </c>
      <c r="N128">
        <f t="shared" si="140"/>
        <v>1.5237633873714864</v>
      </c>
      <c r="O128">
        <f t="shared" si="141"/>
        <v>8.3336400000000008</v>
      </c>
      <c r="P128">
        <f t="shared" si="142"/>
        <v>2.8800283455405089</v>
      </c>
      <c r="Q128">
        <f t="shared" si="143"/>
        <v>0.2853178555522064</v>
      </c>
      <c r="R128">
        <f t="shared" si="144"/>
        <v>0.82559475410227212</v>
      </c>
      <c r="S128">
        <f t="shared" si="145"/>
        <v>0.49485235888337542</v>
      </c>
      <c r="T128">
        <f t="shared" si="146"/>
        <v>2.9174979548134319</v>
      </c>
      <c r="U128">
        <f t="shared" si="147"/>
        <v>0.452510839700694</v>
      </c>
      <c r="V128">
        <f t="shared" si="148"/>
        <v>0.28632097352453423</v>
      </c>
      <c r="W128">
        <f t="shared" si="149"/>
        <v>289.56110332692077</v>
      </c>
      <c r="X128">
        <f t="shared" si="150"/>
        <v>30.289536888855942</v>
      </c>
      <c r="Y128">
        <f t="shared" si="151"/>
        <v>30.0032</v>
      </c>
      <c r="Z128">
        <f t="shared" si="152"/>
        <v>4.2612329287233823</v>
      </c>
      <c r="AA128">
        <f t="shared" si="153"/>
        <v>65.430757513198699</v>
      </c>
      <c r="AB128">
        <f t="shared" si="154"/>
        <v>2.8411830930841604</v>
      </c>
      <c r="AC128">
        <f t="shared" si="155"/>
        <v>4.3422744914897811</v>
      </c>
      <c r="AD128">
        <f t="shared" si="156"/>
        <v>1.4200498356392219</v>
      </c>
      <c r="AE128">
        <f t="shared" si="157"/>
        <v>-296.68301632869401</v>
      </c>
      <c r="AF128">
        <f t="shared" si="158"/>
        <v>51.65342837458406</v>
      </c>
      <c r="AG128">
        <f t="shared" si="159"/>
        <v>3.9431874654123065</v>
      </c>
      <c r="AH128">
        <f t="shared" si="160"/>
        <v>48.474702838223102</v>
      </c>
      <c r="AI128">
        <v>0</v>
      </c>
      <c r="AJ128">
        <v>0</v>
      </c>
      <c r="AK128">
        <f t="shared" si="161"/>
        <v>1</v>
      </c>
      <c r="AL128">
        <f t="shared" si="162"/>
        <v>0</v>
      </c>
      <c r="AM128">
        <f t="shared" si="163"/>
        <v>51930.464217162036</v>
      </c>
      <c r="AN128" t="s">
        <v>419</v>
      </c>
      <c r="AO128">
        <v>9967.0300000000007</v>
      </c>
      <c r="AP128">
        <v>178.94153846153841</v>
      </c>
      <c r="AQ128">
        <v>603.15</v>
      </c>
      <c r="AR128">
        <f t="shared" si="164"/>
        <v>0.7033216638290003</v>
      </c>
      <c r="AS128">
        <v>-3.2649104154664181</v>
      </c>
      <c r="AT128" t="s">
        <v>987</v>
      </c>
      <c r="AU128">
        <v>8058.21</v>
      </c>
      <c r="AV128">
        <v>684.24160000000006</v>
      </c>
      <c r="AW128">
        <v>737.47974128056273</v>
      </c>
      <c r="AX128">
        <f t="shared" si="165"/>
        <v>7.2189293211118888E-2</v>
      </c>
      <c r="AY128">
        <v>0.5</v>
      </c>
      <c r="AZ128">
        <f t="shared" si="166"/>
        <v>1513.1591996512543</v>
      </c>
      <c r="BA128">
        <f t="shared" si="167"/>
        <v>1.5237633873714864</v>
      </c>
      <c r="BB128">
        <f t="shared" si="168"/>
        <v>54.616946569363193</v>
      </c>
      <c r="BC128">
        <f t="shared" si="169"/>
        <v>3.1646860448930787E-3</v>
      </c>
      <c r="BD128">
        <f t="shared" si="170"/>
        <v>-0.18214702555396581</v>
      </c>
      <c r="BE128">
        <f t="shared" si="171"/>
        <v>189.16377411833568</v>
      </c>
      <c r="BF128" t="s">
        <v>988</v>
      </c>
      <c r="BG128">
        <v>587.84</v>
      </c>
      <c r="BH128">
        <f t="shared" si="172"/>
        <v>587.84</v>
      </c>
      <c r="BI128">
        <f t="shared" si="173"/>
        <v>0.20290691785068926</v>
      </c>
      <c r="BJ128">
        <f t="shared" si="174"/>
        <v>0.35577541651014594</v>
      </c>
      <c r="BK128">
        <f t="shared" si="175"/>
        <v>-8.7739870202849932</v>
      </c>
      <c r="BL128">
        <f t="shared" si="176"/>
        <v>9.5316920153110316E-2</v>
      </c>
      <c r="BM128">
        <f t="shared" si="177"/>
        <v>-0.31665974033944044</v>
      </c>
      <c r="BN128">
        <f t="shared" si="178"/>
        <v>0.30565084151756367</v>
      </c>
      <c r="BO128">
        <f t="shared" si="179"/>
        <v>0.69434915848243639</v>
      </c>
      <c r="BP128">
        <v>6259</v>
      </c>
      <c r="BQ128">
        <v>290.00000000000011</v>
      </c>
      <c r="BR128">
        <v>720.45</v>
      </c>
      <c r="BS128">
        <v>225</v>
      </c>
      <c r="BT128">
        <v>8058.21</v>
      </c>
      <c r="BU128">
        <v>719.4</v>
      </c>
      <c r="BV128">
        <v>1.05</v>
      </c>
      <c r="BW128">
        <v>300.00000000000011</v>
      </c>
      <c r="BX128">
        <v>19.3</v>
      </c>
      <c r="BY128">
        <v>737.47974128056273</v>
      </c>
      <c r="BZ128">
        <v>2.6901802553732632</v>
      </c>
      <c r="CA128">
        <v>-14.5664150439961</v>
      </c>
      <c r="CB128">
        <v>1.990387852595473</v>
      </c>
      <c r="CC128">
        <v>0.65668893839985065</v>
      </c>
      <c r="CD128">
        <v>-4.1567341490544992E-3</v>
      </c>
      <c r="CE128">
        <v>289.99999999999989</v>
      </c>
      <c r="CF128">
        <v>718.78</v>
      </c>
      <c r="CG128">
        <v>705</v>
      </c>
      <c r="CH128">
        <v>8042.68</v>
      </c>
      <c r="CI128">
        <v>719.37</v>
      </c>
      <c r="CJ128">
        <v>-0.59</v>
      </c>
      <c r="CX128">
        <f t="shared" si="180"/>
        <v>1799.97</v>
      </c>
      <c r="CY128">
        <f t="shared" si="181"/>
        <v>1513.1591996512543</v>
      </c>
      <c r="CZ128">
        <f t="shared" si="182"/>
        <v>0.84065801077309865</v>
      </c>
      <c r="DA128">
        <f t="shared" si="183"/>
        <v>0.1608699607920803</v>
      </c>
      <c r="DB128">
        <v>6</v>
      </c>
      <c r="DC128">
        <v>0.5</v>
      </c>
      <c r="DD128" t="s">
        <v>422</v>
      </c>
      <c r="DE128">
        <v>2</v>
      </c>
      <c r="DF128">
        <v>1689022914.5</v>
      </c>
      <c r="DG128">
        <v>8.3336400000000008</v>
      </c>
      <c r="DH128">
        <v>10.229100000000001</v>
      </c>
      <c r="DI128">
        <v>28.679200000000002</v>
      </c>
      <c r="DJ128">
        <v>20.839099999999998</v>
      </c>
      <c r="DK128">
        <v>8.2958499999999997</v>
      </c>
      <c r="DL128">
        <v>28.628699999999998</v>
      </c>
      <c r="DM128">
        <v>500.08800000000002</v>
      </c>
      <c r="DN128">
        <v>98.968199999999996</v>
      </c>
      <c r="DO128">
        <v>9.9524799999999997E-2</v>
      </c>
      <c r="DP128">
        <v>30.331600000000002</v>
      </c>
      <c r="DQ128">
        <v>30.0032</v>
      </c>
      <c r="DR128">
        <v>999.9</v>
      </c>
      <c r="DS128">
        <v>0</v>
      </c>
      <c r="DT128">
        <v>0</v>
      </c>
      <c r="DU128">
        <v>10035</v>
      </c>
      <c r="DV128">
        <v>0</v>
      </c>
      <c r="DW128">
        <v>1488.5</v>
      </c>
      <c r="DX128">
        <v>-1.8955</v>
      </c>
      <c r="DY128">
        <v>8.5797000000000008</v>
      </c>
      <c r="DZ128">
        <v>10.4468</v>
      </c>
      <c r="EA128">
        <v>7.8400800000000004</v>
      </c>
      <c r="EB128">
        <v>10.229100000000001</v>
      </c>
      <c r="EC128">
        <v>20.839099999999998</v>
      </c>
      <c r="ED128">
        <v>2.83833</v>
      </c>
      <c r="EE128">
        <v>2.0624099999999999</v>
      </c>
      <c r="EF128">
        <v>23.108699999999999</v>
      </c>
      <c r="EG128">
        <v>17.931799999999999</v>
      </c>
      <c r="EH128">
        <v>1799.97</v>
      </c>
      <c r="EI128">
        <v>0.97800600000000004</v>
      </c>
      <c r="EJ128">
        <v>2.1994099999999999E-2</v>
      </c>
      <c r="EK128">
        <v>0</v>
      </c>
      <c r="EL128">
        <v>684.05799999999999</v>
      </c>
      <c r="EM128">
        <v>5.0005300000000004</v>
      </c>
      <c r="EN128">
        <v>14899.5</v>
      </c>
      <c r="EO128">
        <v>16035</v>
      </c>
      <c r="EP128">
        <v>49.686999999999998</v>
      </c>
      <c r="EQ128">
        <v>51.125</v>
      </c>
      <c r="ER128">
        <v>50.311999999999998</v>
      </c>
      <c r="ES128">
        <v>50.311999999999998</v>
      </c>
      <c r="ET128">
        <v>50.811999999999998</v>
      </c>
      <c r="EU128">
        <v>1755.49</v>
      </c>
      <c r="EV128">
        <v>39.479999999999997</v>
      </c>
      <c r="EW128">
        <v>0</v>
      </c>
      <c r="EX128">
        <v>141.20000004768369</v>
      </c>
      <c r="EY128">
        <v>0</v>
      </c>
      <c r="EZ128">
        <v>684.24160000000006</v>
      </c>
      <c r="FA128">
        <v>-1.1403076837582209</v>
      </c>
      <c r="FB128">
        <v>-70.31538381844156</v>
      </c>
      <c r="FC128">
        <v>14889.5</v>
      </c>
      <c r="FD128">
        <v>15</v>
      </c>
      <c r="FE128">
        <v>1689022881.5</v>
      </c>
      <c r="FF128" t="s">
        <v>989</v>
      </c>
      <c r="FG128">
        <v>1689022868.5</v>
      </c>
      <c r="FH128">
        <v>1689022881.5</v>
      </c>
      <c r="FI128">
        <v>121</v>
      </c>
      <c r="FJ128">
        <v>-0.03</v>
      </c>
      <c r="FK128">
        <v>2E-3</v>
      </c>
      <c r="FL128">
        <v>3.6999999999999998E-2</v>
      </c>
      <c r="FM128">
        <v>0.04</v>
      </c>
      <c r="FN128">
        <v>10</v>
      </c>
      <c r="FO128">
        <v>21</v>
      </c>
      <c r="FP128">
        <v>0.34</v>
      </c>
      <c r="FQ128">
        <v>0.01</v>
      </c>
      <c r="FR128">
        <v>1.5378748834995839</v>
      </c>
      <c r="FS128">
        <v>-0.1464850088641339</v>
      </c>
      <c r="FT128">
        <v>3.7183067551068372E-2</v>
      </c>
      <c r="FU128">
        <v>1</v>
      </c>
      <c r="FV128">
        <v>0.49181760514148959</v>
      </c>
      <c r="FW128">
        <v>4.3112503256969387E-2</v>
      </c>
      <c r="FX128">
        <v>3.605386467333614E-3</v>
      </c>
      <c r="FY128">
        <v>1</v>
      </c>
      <c r="FZ128">
        <v>2</v>
      </c>
      <c r="GA128">
        <v>2</v>
      </c>
      <c r="GB128" t="s">
        <v>424</v>
      </c>
      <c r="GC128">
        <v>3.1251600000000002</v>
      </c>
      <c r="GD128">
        <v>2.7671299999999999</v>
      </c>
      <c r="GE128">
        <v>2.21258E-3</v>
      </c>
      <c r="GF128">
        <v>2.73018E-3</v>
      </c>
      <c r="GG128">
        <v>0.120574</v>
      </c>
      <c r="GH128">
        <v>9.6582600000000005E-2</v>
      </c>
      <c r="GI128">
        <v>23778.9</v>
      </c>
      <c r="GJ128">
        <v>24646.7</v>
      </c>
      <c r="GK128">
        <v>23701.599999999999</v>
      </c>
      <c r="GL128">
        <v>25033.8</v>
      </c>
      <c r="GM128">
        <v>30043</v>
      </c>
      <c r="GN128">
        <v>31727.3</v>
      </c>
      <c r="GO128">
        <v>37784.800000000003</v>
      </c>
      <c r="GP128">
        <v>38957.4</v>
      </c>
      <c r="GQ128">
        <v>2.1352799999999998</v>
      </c>
      <c r="GR128">
        <v>1.6987000000000001</v>
      </c>
      <c r="GS128">
        <v>-2.4933400000000001E-2</v>
      </c>
      <c r="GT128">
        <v>0</v>
      </c>
      <c r="GU128">
        <v>30.408799999999999</v>
      </c>
      <c r="GV128">
        <v>999.9</v>
      </c>
      <c r="GW128">
        <v>28.3</v>
      </c>
      <c r="GX128">
        <v>44.6</v>
      </c>
      <c r="GY128">
        <v>26.998000000000001</v>
      </c>
      <c r="GZ128">
        <v>60.608699999999999</v>
      </c>
      <c r="HA128">
        <v>27.127400000000002</v>
      </c>
      <c r="HB128">
        <v>1</v>
      </c>
      <c r="HC128">
        <v>0.70815300000000003</v>
      </c>
      <c r="HD128">
        <v>3.3872399999999998</v>
      </c>
      <c r="HE128">
        <v>20.282599999999999</v>
      </c>
      <c r="HF128">
        <v>5.2493400000000001</v>
      </c>
      <c r="HG128">
        <v>12.0099</v>
      </c>
      <c r="HH128">
        <v>4.9783999999999997</v>
      </c>
      <c r="HI128">
        <v>3.2923300000000002</v>
      </c>
      <c r="HJ128">
        <v>9999</v>
      </c>
      <c r="HK128">
        <v>9999</v>
      </c>
      <c r="HL128">
        <v>9999</v>
      </c>
      <c r="HM128">
        <v>237.8</v>
      </c>
      <c r="HN128">
        <v>1.8757600000000001</v>
      </c>
      <c r="HO128">
        <v>1.87683</v>
      </c>
      <c r="HP128">
        <v>1.88293</v>
      </c>
      <c r="HQ128">
        <v>1.88611</v>
      </c>
      <c r="HR128">
        <v>1.8768800000000001</v>
      </c>
      <c r="HS128">
        <v>1.88331</v>
      </c>
      <c r="HT128">
        <v>1.8823000000000001</v>
      </c>
      <c r="HU128">
        <v>1.88575</v>
      </c>
      <c r="HV128">
        <v>0</v>
      </c>
      <c r="HW128">
        <v>0</v>
      </c>
      <c r="HX128">
        <v>0</v>
      </c>
      <c r="HY128">
        <v>0</v>
      </c>
      <c r="HZ128" t="s">
        <v>425</v>
      </c>
      <c r="IA128" t="s">
        <v>426</v>
      </c>
      <c r="IB128" t="s">
        <v>427</v>
      </c>
      <c r="IC128" t="s">
        <v>427</v>
      </c>
      <c r="ID128" t="s">
        <v>427</v>
      </c>
      <c r="IE128" t="s">
        <v>427</v>
      </c>
      <c r="IF128">
        <v>0</v>
      </c>
      <c r="IG128">
        <v>100</v>
      </c>
      <c r="IH128">
        <v>100</v>
      </c>
      <c r="II128">
        <v>3.7999999999999999E-2</v>
      </c>
      <c r="IJ128">
        <v>5.0500000000000003E-2</v>
      </c>
      <c r="IK128">
        <v>4.1299777148442483E-2</v>
      </c>
      <c r="IL128">
        <v>-4.2852564239613137E-4</v>
      </c>
      <c r="IM128">
        <v>6.4980710991155998E-7</v>
      </c>
      <c r="IN128">
        <v>-2.7237938963984961E-10</v>
      </c>
      <c r="IO128">
        <v>-8.9735437183230734E-3</v>
      </c>
      <c r="IP128">
        <v>6.6907473102813496E-3</v>
      </c>
      <c r="IQ128">
        <v>-3.3673306238274028E-4</v>
      </c>
      <c r="IR128">
        <v>6.1311374003140313E-6</v>
      </c>
      <c r="IS128">
        <v>3</v>
      </c>
      <c r="IT128">
        <v>2101</v>
      </c>
      <c r="IU128">
        <v>1</v>
      </c>
      <c r="IV128">
        <v>32</v>
      </c>
      <c r="IW128">
        <v>0.8</v>
      </c>
      <c r="IX128">
        <v>0.6</v>
      </c>
      <c r="IY128">
        <v>0.164795</v>
      </c>
      <c r="IZ128">
        <v>2.7807599999999999</v>
      </c>
      <c r="JA128">
        <v>1.6003400000000001</v>
      </c>
      <c r="JB128">
        <v>2.32666</v>
      </c>
      <c r="JC128">
        <v>1.5502899999999999</v>
      </c>
      <c r="JD128">
        <v>2.4450699999999999</v>
      </c>
      <c r="JE128">
        <v>46.944800000000001</v>
      </c>
      <c r="JF128">
        <v>24.148800000000001</v>
      </c>
      <c r="JG128">
        <v>18</v>
      </c>
      <c r="JH128">
        <v>604.96299999999997</v>
      </c>
      <c r="JI128">
        <v>373.44900000000001</v>
      </c>
      <c r="JJ128">
        <v>26.786000000000001</v>
      </c>
      <c r="JK128">
        <v>35.681199999999997</v>
      </c>
      <c r="JL128">
        <v>30.000299999999999</v>
      </c>
      <c r="JM128">
        <v>35.906500000000001</v>
      </c>
      <c r="JN128">
        <v>35.914499999999997</v>
      </c>
      <c r="JO128">
        <v>3.2776700000000001</v>
      </c>
      <c r="JP128">
        <v>26.825600000000001</v>
      </c>
      <c r="JQ128">
        <v>4.9121300000000003</v>
      </c>
      <c r="JR128">
        <v>26.780100000000001</v>
      </c>
      <c r="JS128">
        <v>10</v>
      </c>
      <c r="JT128">
        <v>20.7563</v>
      </c>
      <c r="JU128">
        <v>98.548900000000003</v>
      </c>
      <c r="JV128">
        <v>98.589600000000004</v>
      </c>
    </row>
    <row r="129" spans="1:282" x14ac:dyDescent="0.25">
      <c r="A129">
        <v>113</v>
      </c>
      <c r="B129">
        <v>1689023074</v>
      </c>
      <c r="C129">
        <v>23251.400000095371</v>
      </c>
      <c r="D129" t="s">
        <v>990</v>
      </c>
      <c r="E129" t="s">
        <v>991</v>
      </c>
      <c r="F129" t="s">
        <v>414</v>
      </c>
      <c r="G129" t="s">
        <v>415</v>
      </c>
      <c r="H129" t="s">
        <v>418</v>
      </c>
      <c r="I129" t="s">
        <v>417</v>
      </c>
      <c r="J129" t="s">
        <v>418</v>
      </c>
      <c r="K129">
        <v>1689023074</v>
      </c>
      <c r="L129">
        <f t="shared" si="138"/>
        <v>6.1362878327070542E-3</v>
      </c>
      <c r="M129">
        <f t="shared" si="139"/>
        <v>6.1362878327070538</v>
      </c>
      <c r="N129">
        <f t="shared" si="140"/>
        <v>42.873029841019921</v>
      </c>
      <c r="O129">
        <f t="shared" si="141"/>
        <v>346.00299999999999</v>
      </c>
      <c r="P129">
        <f t="shared" si="142"/>
        <v>174.94828672087161</v>
      </c>
      <c r="Q129">
        <f t="shared" si="143"/>
        <v>17.331824034921407</v>
      </c>
      <c r="R129">
        <f t="shared" si="144"/>
        <v>34.277918486408794</v>
      </c>
      <c r="S129">
        <f t="shared" si="145"/>
        <v>0.44613886708095368</v>
      </c>
      <c r="T129">
        <f t="shared" si="146"/>
        <v>2.9104049854164553</v>
      </c>
      <c r="U129">
        <f t="shared" si="147"/>
        <v>0.41133253755549948</v>
      </c>
      <c r="V129">
        <f t="shared" si="148"/>
        <v>0.25998338490398892</v>
      </c>
      <c r="W129">
        <f t="shared" si="149"/>
        <v>289.59142732699189</v>
      </c>
      <c r="X129">
        <f t="shared" si="150"/>
        <v>30.371964947138018</v>
      </c>
      <c r="Y129">
        <f t="shared" si="151"/>
        <v>29.906300000000002</v>
      </c>
      <c r="Z129">
        <f t="shared" si="152"/>
        <v>4.2375735189233277</v>
      </c>
      <c r="AA129">
        <f t="shared" si="153"/>
        <v>65.032277971982751</v>
      </c>
      <c r="AB129">
        <f t="shared" si="154"/>
        <v>2.8122509691351998</v>
      </c>
      <c r="AC129">
        <f t="shared" si="155"/>
        <v>4.3243925275795743</v>
      </c>
      <c r="AD129">
        <f t="shared" si="156"/>
        <v>1.4253225497881279</v>
      </c>
      <c r="AE129">
        <f t="shared" si="157"/>
        <v>-270.61029342238106</v>
      </c>
      <c r="AF129">
        <f t="shared" si="158"/>
        <v>55.434802737613197</v>
      </c>
      <c r="AG129">
        <f t="shared" si="159"/>
        <v>4.2386245898327273</v>
      </c>
      <c r="AH129">
        <f t="shared" si="160"/>
        <v>78.654561232056764</v>
      </c>
      <c r="AI129">
        <v>0</v>
      </c>
      <c r="AJ129">
        <v>0</v>
      </c>
      <c r="AK129">
        <f t="shared" si="161"/>
        <v>1</v>
      </c>
      <c r="AL129">
        <f t="shared" si="162"/>
        <v>0</v>
      </c>
      <c r="AM129">
        <f t="shared" si="163"/>
        <v>51741.241184469116</v>
      </c>
      <c r="AN129" t="s">
        <v>419</v>
      </c>
      <c r="AO129">
        <v>9967.0300000000007</v>
      </c>
      <c r="AP129">
        <v>178.94153846153841</v>
      </c>
      <c r="AQ129">
        <v>603.15</v>
      </c>
      <c r="AR129">
        <f t="shared" si="164"/>
        <v>0.7033216638290003</v>
      </c>
      <c r="AS129">
        <v>-3.2649104154664181</v>
      </c>
      <c r="AT129" t="s">
        <v>992</v>
      </c>
      <c r="AU129">
        <v>8055.39</v>
      </c>
      <c r="AV129">
        <v>666.94692307692321</v>
      </c>
      <c r="AW129">
        <v>1050.4407591020649</v>
      </c>
      <c r="AX129">
        <f t="shared" si="165"/>
        <v>0.36507897537502154</v>
      </c>
      <c r="AY129">
        <v>0.5</v>
      </c>
      <c r="AZ129">
        <f t="shared" si="166"/>
        <v>1513.3187996512913</v>
      </c>
      <c r="BA129">
        <f t="shared" si="167"/>
        <v>42.873029841019921</v>
      </c>
      <c r="BB129">
        <f t="shared" si="168"/>
        <v>276.2404383962255</v>
      </c>
      <c r="BC129">
        <f t="shared" si="169"/>
        <v>3.0487918518634499E-2</v>
      </c>
      <c r="BD129">
        <f t="shared" si="170"/>
        <v>-0.42581245560617514</v>
      </c>
      <c r="BE129">
        <f t="shared" si="171"/>
        <v>204.81577873692154</v>
      </c>
      <c r="BF129" t="s">
        <v>993</v>
      </c>
      <c r="BG129">
        <v>539.54</v>
      </c>
      <c r="BH129">
        <f t="shared" si="172"/>
        <v>539.54</v>
      </c>
      <c r="BI129">
        <f t="shared" si="173"/>
        <v>0.48636798855633878</v>
      </c>
      <c r="BJ129">
        <f t="shared" si="174"/>
        <v>0.7506229520957306</v>
      </c>
      <c r="BK129">
        <f t="shared" si="175"/>
        <v>-7.0317679468961618</v>
      </c>
      <c r="BL129">
        <f t="shared" si="176"/>
        <v>0.44003921855866368</v>
      </c>
      <c r="BM129">
        <f t="shared" si="177"/>
        <v>-1.0544126288285049</v>
      </c>
      <c r="BN129">
        <f t="shared" si="178"/>
        <v>0.60723139062599785</v>
      </c>
      <c r="BO129">
        <f t="shared" si="179"/>
        <v>0.39276860937400215</v>
      </c>
      <c r="BP129">
        <v>6261</v>
      </c>
      <c r="BQ129">
        <v>290.00000000000011</v>
      </c>
      <c r="BR129">
        <v>890.74</v>
      </c>
      <c r="BS129">
        <v>275</v>
      </c>
      <c r="BT129">
        <v>8055.39</v>
      </c>
      <c r="BU129">
        <v>893.86</v>
      </c>
      <c r="BV129">
        <v>-3.12</v>
      </c>
      <c r="BW129">
        <v>300.00000000000011</v>
      </c>
      <c r="BX129">
        <v>19.3</v>
      </c>
      <c r="BY129">
        <v>1050.4407591020649</v>
      </c>
      <c r="BZ129">
        <v>5.3461299118977914</v>
      </c>
      <c r="CA129">
        <v>-126.1286802350439</v>
      </c>
      <c r="CB129">
        <v>3.9557961258607559</v>
      </c>
      <c r="CC129">
        <v>0.97319606991457885</v>
      </c>
      <c r="CD129">
        <v>-4.1576204671857657E-3</v>
      </c>
      <c r="CE129">
        <v>289.99999999999989</v>
      </c>
      <c r="CF129">
        <v>877.34</v>
      </c>
      <c r="CG129">
        <v>625</v>
      </c>
      <c r="CH129">
        <v>8045.94</v>
      </c>
      <c r="CI129">
        <v>893.68</v>
      </c>
      <c r="CJ129">
        <v>-16.34</v>
      </c>
      <c r="CX129">
        <f t="shared" si="180"/>
        <v>1800.16</v>
      </c>
      <c r="CY129">
        <f t="shared" si="181"/>
        <v>1513.3187996512913</v>
      </c>
      <c r="CZ129">
        <f t="shared" si="182"/>
        <v>0.84065794132259974</v>
      </c>
      <c r="DA129">
        <f t="shared" si="183"/>
        <v>0.16086982675261746</v>
      </c>
      <c r="DB129">
        <v>6</v>
      </c>
      <c r="DC129">
        <v>0.5</v>
      </c>
      <c r="DD129" t="s">
        <v>422</v>
      </c>
      <c r="DE129">
        <v>2</v>
      </c>
      <c r="DF129">
        <v>1689023074</v>
      </c>
      <c r="DG129">
        <v>346.00299999999999</v>
      </c>
      <c r="DH129">
        <v>399.98700000000002</v>
      </c>
      <c r="DI129">
        <v>28.387</v>
      </c>
      <c r="DJ129">
        <v>21.234000000000002</v>
      </c>
      <c r="DK129">
        <v>346.238</v>
      </c>
      <c r="DL129">
        <v>28.334800000000001</v>
      </c>
      <c r="DM129">
        <v>500.10599999999999</v>
      </c>
      <c r="DN129">
        <v>98.968299999999999</v>
      </c>
      <c r="DO129">
        <v>9.9969600000000006E-2</v>
      </c>
      <c r="DP129">
        <v>30.259599999999999</v>
      </c>
      <c r="DQ129">
        <v>29.906300000000002</v>
      </c>
      <c r="DR129">
        <v>999.9</v>
      </c>
      <c r="DS129">
        <v>0</v>
      </c>
      <c r="DT129">
        <v>0</v>
      </c>
      <c r="DU129">
        <v>9994.3799999999992</v>
      </c>
      <c r="DV129">
        <v>0</v>
      </c>
      <c r="DW129">
        <v>1428.71</v>
      </c>
      <c r="DX129">
        <v>-53.9846</v>
      </c>
      <c r="DY129">
        <v>356.11200000000002</v>
      </c>
      <c r="DZ129">
        <v>408.66500000000002</v>
      </c>
      <c r="EA129">
        <v>7.1529400000000001</v>
      </c>
      <c r="EB129">
        <v>399.98700000000002</v>
      </c>
      <c r="EC129">
        <v>21.234000000000002</v>
      </c>
      <c r="ED129">
        <v>2.8094100000000002</v>
      </c>
      <c r="EE129">
        <v>2.1014900000000001</v>
      </c>
      <c r="EF129">
        <v>22.939499999999999</v>
      </c>
      <c r="EG129">
        <v>18.230499999999999</v>
      </c>
      <c r="EH129">
        <v>1800.16</v>
      </c>
      <c r="EI129">
        <v>0.97800900000000002</v>
      </c>
      <c r="EJ129">
        <v>2.19905E-2</v>
      </c>
      <c r="EK129">
        <v>0</v>
      </c>
      <c r="EL129">
        <v>665.34699999999998</v>
      </c>
      <c r="EM129">
        <v>5.0005300000000004</v>
      </c>
      <c r="EN129">
        <v>14580.7</v>
      </c>
      <c r="EO129">
        <v>16036.8</v>
      </c>
      <c r="EP129">
        <v>49.686999999999998</v>
      </c>
      <c r="EQ129">
        <v>50.936999999999998</v>
      </c>
      <c r="ER129">
        <v>50.311999999999998</v>
      </c>
      <c r="ES129">
        <v>50.311999999999998</v>
      </c>
      <c r="ET129">
        <v>50.811999999999998</v>
      </c>
      <c r="EU129">
        <v>1755.68</v>
      </c>
      <c r="EV129">
        <v>39.479999999999997</v>
      </c>
      <c r="EW129">
        <v>0</v>
      </c>
      <c r="EX129">
        <v>157.79999995231631</v>
      </c>
      <c r="EY129">
        <v>0</v>
      </c>
      <c r="EZ129">
        <v>666.94692307692321</v>
      </c>
      <c r="FA129">
        <v>-11.54591451349804</v>
      </c>
      <c r="FB129">
        <v>1547.1076904549841</v>
      </c>
      <c r="FC129">
        <v>14447.85</v>
      </c>
      <c r="FD129">
        <v>15</v>
      </c>
      <c r="FE129">
        <v>1689023021</v>
      </c>
      <c r="FF129" t="s">
        <v>994</v>
      </c>
      <c r="FG129">
        <v>1689023008.5</v>
      </c>
      <c r="FH129">
        <v>1689023021</v>
      </c>
      <c r="FI129">
        <v>122</v>
      </c>
      <c r="FJ129">
        <v>-0.19600000000000001</v>
      </c>
      <c r="FK129">
        <v>2E-3</v>
      </c>
      <c r="FL129">
        <v>-0.23899999999999999</v>
      </c>
      <c r="FM129">
        <v>4.2000000000000003E-2</v>
      </c>
      <c r="FN129">
        <v>400</v>
      </c>
      <c r="FO129">
        <v>21</v>
      </c>
      <c r="FP129">
        <v>7.0000000000000007E-2</v>
      </c>
      <c r="FQ129">
        <v>0.01</v>
      </c>
      <c r="FR129">
        <v>42.797066455080873</v>
      </c>
      <c r="FS129">
        <v>0.63154291444352506</v>
      </c>
      <c r="FT129">
        <v>5.9831689117749658E-2</v>
      </c>
      <c r="FU129">
        <v>1</v>
      </c>
      <c r="FV129">
        <v>0.45108612615887927</v>
      </c>
      <c r="FW129">
        <v>-3.2620896421686717E-2</v>
      </c>
      <c r="FX129">
        <v>2.3714374827912841E-3</v>
      </c>
      <c r="FY129">
        <v>1</v>
      </c>
      <c r="FZ129">
        <v>2</v>
      </c>
      <c r="GA129">
        <v>2</v>
      </c>
      <c r="GB129" t="s">
        <v>424</v>
      </c>
      <c r="GC129">
        <v>3.1251899999999999</v>
      </c>
      <c r="GD129">
        <v>2.76722</v>
      </c>
      <c r="GE129">
        <v>7.8826900000000005E-2</v>
      </c>
      <c r="GF129">
        <v>8.8278400000000007E-2</v>
      </c>
      <c r="GG129">
        <v>0.119717</v>
      </c>
      <c r="GH129">
        <v>9.7888600000000006E-2</v>
      </c>
      <c r="GI129">
        <v>21954.3</v>
      </c>
      <c r="GJ129">
        <v>22533.599999999999</v>
      </c>
      <c r="GK129">
        <v>23699.5</v>
      </c>
      <c r="GL129">
        <v>25032</v>
      </c>
      <c r="GM129">
        <v>30069.5</v>
      </c>
      <c r="GN129">
        <v>31680.7</v>
      </c>
      <c r="GO129">
        <v>37781.5</v>
      </c>
      <c r="GP129">
        <v>38956.699999999997</v>
      </c>
      <c r="GQ129">
        <v>2.1350500000000001</v>
      </c>
      <c r="GR129">
        <v>1.7013799999999999</v>
      </c>
      <c r="GS129">
        <v>-1.4729799999999999E-2</v>
      </c>
      <c r="GT129">
        <v>0</v>
      </c>
      <c r="GU129">
        <v>30.145900000000001</v>
      </c>
      <c r="GV129">
        <v>999.9</v>
      </c>
      <c r="GW129">
        <v>28.2</v>
      </c>
      <c r="GX129">
        <v>44.5</v>
      </c>
      <c r="GY129">
        <v>26.7653</v>
      </c>
      <c r="GZ129">
        <v>60.868600000000001</v>
      </c>
      <c r="HA129">
        <v>27.287700000000001</v>
      </c>
      <c r="HB129">
        <v>1</v>
      </c>
      <c r="HC129">
        <v>0.70662100000000005</v>
      </c>
      <c r="HD129">
        <v>2.30965</v>
      </c>
      <c r="HE129">
        <v>20.301300000000001</v>
      </c>
      <c r="HF129">
        <v>5.2518799999999999</v>
      </c>
      <c r="HG129">
        <v>12.0099</v>
      </c>
      <c r="HH129">
        <v>4.9791499999999997</v>
      </c>
      <c r="HI129">
        <v>3.2930000000000001</v>
      </c>
      <c r="HJ129">
        <v>9999</v>
      </c>
      <c r="HK129">
        <v>9999</v>
      </c>
      <c r="HL129">
        <v>9999</v>
      </c>
      <c r="HM129">
        <v>237.9</v>
      </c>
      <c r="HN129">
        <v>1.8757600000000001</v>
      </c>
      <c r="HO129">
        <v>1.8768199999999999</v>
      </c>
      <c r="HP129">
        <v>1.88293</v>
      </c>
      <c r="HQ129">
        <v>1.8860600000000001</v>
      </c>
      <c r="HR129">
        <v>1.87686</v>
      </c>
      <c r="HS129">
        <v>1.8833</v>
      </c>
      <c r="HT129">
        <v>1.8823099999999999</v>
      </c>
      <c r="HU129">
        <v>1.8856900000000001</v>
      </c>
      <c r="HV129">
        <v>0</v>
      </c>
      <c r="HW129">
        <v>0</v>
      </c>
      <c r="HX129">
        <v>0</v>
      </c>
      <c r="HY129">
        <v>0</v>
      </c>
      <c r="HZ129" t="s">
        <v>425</v>
      </c>
      <c r="IA129" t="s">
        <v>426</v>
      </c>
      <c r="IB129" t="s">
        <v>427</v>
      </c>
      <c r="IC129" t="s">
        <v>427</v>
      </c>
      <c r="ID129" t="s">
        <v>427</v>
      </c>
      <c r="IE129" t="s">
        <v>427</v>
      </c>
      <c r="IF129">
        <v>0</v>
      </c>
      <c r="IG129">
        <v>100</v>
      </c>
      <c r="IH129">
        <v>100</v>
      </c>
      <c r="II129">
        <v>-0.23499999999999999</v>
      </c>
      <c r="IJ129">
        <v>5.2200000000000003E-2</v>
      </c>
      <c r="IK129">
        <v>-0.1540638584647524</v>
      </c>
      <c r="IL129">
        <v>-4.2852564239613137E-4</v>
      </c>
      <c r="IM129">
        <v>6.4980710991155998E-7</v>
      </c>
      <c r="IN129">
        <v>-2.7237938963984961E-10</v>
      </c>
      <c r="IO129">
        <v>-6.574661272959163E-3</v>
      </c>
      <c r="IP129">
        <v>6.6907473102813496E-3</v>
      </c>
      <c r="IQ129">
        <v>-3.3673306238274028E-4</v>
      </c>
      <c r="IR129">
        <v>6.1311374003140313E-6</v>
      </c>
      <c r="IS129">
        <v>3</v>
      </c>
      <c r="IT129">
        <v>2101</v>
      </c>
      <c r="IU129">
        <v>1</v>
      </c>
      <c r="IV129">
        <v>32</v>
      </c>
      <c r="IW129">
        <v>1.1000000000000001</v>
      </c>
      <c r="IX129">
        <v>0.9</v>
      </c>
      <c r="IY129">
        <v>1.0144</v>
      </c>
      <c r="IZ129">
        <v>2.7270500000000002</v>
      </c>
      <c r="JA129">
        <v>1.6015600000000001</v>
      </c>
      <c r="JB129">
        <v>2.3278799999999999</v>
      </c>
      <c r="JC129">
        <v>1.5502899999999999</v>
      </c>
      <c r="JD129">
        <v>2.4352999999999998</v>
      </c>
      <c r="JE129">
        <v>46.796900000000001</v>
      </c>
      <c r="JF129">
        <v>24.148800000000001</v>
      </c>
      <c r="JG129">
        <v>18</v>
      </c>
      <c r="JH129">
        <v>604.79999999999995</v>
      </c>
      <c r="JI129">
        <v>375.07499999999999</v>
      </c>
      <c r="JJ129">
        <v>27.3142</v>
      </c>
      <c r="JK129">
        <v>35.681199999999997</v>
      </c>
      <c r="JL129">
        <v>29.999500000000001</v>
      </c>
      <c r="JM129">
        <v>35.906500000000001</v>
      </c>
      <c r="JN129">
        <v>35.914299999999997</v>
      </c>
      <c r="JO129">
        <v>20.293099999999999</v>
      </c>
      <c r="JP129">
        <v>22.720300000000002</v>
      </c>
      <c r="JQ129">
        <v>3.7790300000000001</v>
      </c>
      <c r="JR129">
        <v>27.373000000000001</v>
      </c>
      <c r="JS129">
        <v>400</v>
      </c>
      <c r="JT129">
        <v>21.247699999999998</v>
      </c>
      <c r="JU129">
        <v>98.540300000000002</v>
      </c>
      <c r="JV129">
        <v>98.585800000000006</v>
      </c>
    </row>
    <row r="130" spans="1:282" x14ac:dyDescent="0.25">
      <c r="A130">
        <v>114</v>
      </c>
      <c r="B130">
        <v>1689023253</v>
      </c>
      <c r="C130">
        <v>23430.400000095371</v>
      </c>
      <c r="D130" t="s">
        <v>995</v>
      </c>
      <c r="E130" t="s">
        <v>996</v>
      </c>
      <c r="F130" t="s">
        <v>414</v>
      </c>
      <c r="G130" t="s">
        <v>415</v>
      </c>
      <c r="H130" t="s">
        <v>418</v>
      </c>
      <c r="I130" t="s">
        <v>417</v>
      </c>
      <c r="J130" t="s">
        <v>418</v>
      </c>
      <c r="K130">
        <v>1689023253</v>
      </c>
      <c r="L130">
        <f t="shared" si="138"/>
        <v>5.8256688600892793E-3</v>
      </c>
      <c r="M130">
        <f t="shared" si="139"/>
        <v>5.8256688600892792</v>
      </c>
      <c r="N130">
        <f t="shared" si="140"/>
        <v>50.33235353897436</v>
      </c>
      <c r="O130">
        <f t="shared" si="141"/>
        <v>337.23200000000003</v>
      </c>
      <c r="P130">
        <f t="shared" si="142"/>
        <v>124.69870146102724</v>
      </c>
      <c r="Q130">
        <f t="shared" si="143"/>
        <v>12.353174482602764</v>
      </c>
      <c r="R130">
        <f t="shared" si="144"/>
        <v>33.407611212527996</v>
      </c>
      <c r="S130">
        <f t="shared" si="145"/>
        <v>0.41527696235227962</v>
      </c>
      <c r="T130">
        <f t="shared" si="146"/>
        <v>2.9144831243609648</v>
      </c>
      <c r="U130">
        <f t="shared" si="147"/>
        <v>0.38498332097244026</v>
      </c>
      <c r="V130">
        <f t="shared" si="148"/>
        <v>0.24315192746612554</v>
      </c>
      <c r="W130">
        <f t="shared" si="149"/>
        <v>289.56589132693199</v>
      </c>
      <c r="X130">
        <f t="shared" si="150"/>
        <v>30.489249032405493</v>
      </c>
      <c r="Y130">
        <f t="shared" si="151"/>
        <v>30.017499999999998</v>
      </c>
      <c r="Z130">
        <f t="shared" si="152"/>
        <v>4.2647341916850943</v>
      </c>
      <c r="AA130">
        <f t="shared" si="153"/>
        <v>65.057899296449818</v>
      </c>
      <c r="AB130">
        <f t="shared" si="154"/>
        <v>2.8192674701609999</v>
      </c>
      <c r="AC130">
        <f t="shared" si="155"/>
        <v>4.3334744906447451</v>
      </c>
      <c r="AD130">
        <f t="shared" si="156"/>
        <v>1.4454667215240944</v>
      </c>
      <c r="AE130">
        <f t="shared" si="157"/>
        <v>-256.91199672993724</v>
      </c>
      <c r="AF130">
        <f t="shared" si="158"/>
        <v>43.790908677692919</v>
      </c>
      <c r="AG130">
        <f t="shared" si="159"/>
        <v>3.3460765249722346</v>
      </c>
      <c r="AH130">
        <f t="shared" si="160"/>
        <v>79.790879799659933</v>
      </c>
      <c r="AI130">
        <v>0</v>
      </c>
      <c r="AJ130">
        <v>0</v>
      </c>
      <c r="AK130">
        <f t="shared" si="161"/>
        <v>1</v>
      </c>
      <c r="AL130">
        <f t="shared" si="162"/>
        <v>0</v>
      </c>
      <c r="AM130">
        <f t="shared" si="163"/>
        <v>51850.748151121144</v>
      </c>
      <c r="AN130" t="s">
        <v>419</v>
      </c>
      <c r="AO130">
        <v>9967.0300000000007</v>
      </c>
      <c r="AP130">
        <v>178.94153846153841</v>
      </c>
      <c r="AQ130">
        <v>603.15</v>
      </c>
      <c r="AR130">
        <f t="shared" si="164"/>
        <v>0.7033216638290003</v>
      </c>
      <c r="AS130">
        <v>-3.2649104154664181</v>
      </c>
      <c r="AT130" t="s">
        <v>997</v>
      </c>
      <c r="AU130">
        <v>8055.84</v>
      </c>
      <c r="AV130">
        <v>703.88311538461551</v>
      </c>
      <c r="AW130">
        <v>1155.6535074474291</v>
      </c>
      <c r="AX130">
        <f t="shared" si="165"/>
        <v>0.39092201005876726</v>
      </c>
      <c r="AY130">
        <v>0.5</v>
      </c>
      <c r="AZ130">
        <f t="shared" si="166"/>
        <v>1513.18439965126</v>
      </c>
      <c r="BA130">
        <f t="shared" si="167"/>
        <v>50.33235353897436</v>
      </c>
      <c r="BB130">
        <f t="shared" si="168"/>
        <v>295.76854355061977</v>
      </c>
      <c r="BC130">
        <f t="shared" si="169"/>
        <v>3.5420180096221721E-2</v>
      </c>
      <c r="BD130">
        <f t="shared" si="170"/>
        <v>-0.4780875096963807</v>
      </c>
      <c r="BE130">
        <f t="shared" si="171"/>
        <v>208.51725153072172</v>
      </c>
      <c r="BF130" t="s">
        <v>998</v>
      </c>
      <c r="BG130">
        <v>554.64</v>
      </c>
      <c r="BH130">
        <f t="shared" si="172"/>
        <v>554.64</v>
      </c>
      <c r="BI130">
        <f t="shared" si="173"/>
        <v>0.52006375922739045</v>
      </c>
      <c r="BJ130">
        <f t="shared" si="174"/>
        <v>0.75168092973739054</v>
      </c>
      <c r="BK130">
        <f t="shared" si="175"/>
        <v>-11.389476550142842</v>
      </c>
      <c r="BL130">
        <f t="shared" si="176"/>
        <v>0.46254208651899886</v>
      </c>
      <c r="BM130">
        <f t="shared" si="177"/>
        <v>-1.3024339624053809</v>
      </c>
      <c r="BN130">
        <f t="shared" si="178"/>
        <v>0.59230332672738883</v>
      </c>
      <c r="BO130">
        <f t="shared" si="179"/>
        <v>0.40769667327261117</v>
      </c>
      <c r="BP130">
        <v>6263</v>
      </c>
      <c r="BQ130">
        <v>290.00000000000011</v>
      </c>
      <c r="BR130">
        <v>989.02</v>
      </c>
      <c r="BS130">
        <v>295</v>
      </c>
      <c r="BT130">
        <v>8055.84</v>
      </c>
      <c r="BU130">
        <v>992.34</v>
      </c>
      <c r="BV130">
        <v>-3.32</v>
      </c>
      <c r="BW130">
        <v>300.00000000000011</v>
      </c>
      <c r="BX130">
        <v>19.3</v>
      </c>
      <c r="BY130">
        <v>1155.6535074474291</v>
      </c>
      <c r="BZ130">
        <v>4.2110609300839901</v>
      </c>
      <c r="CA130">
        <v>-131.56522942221329</v>
      </c>
      <c r="CB130">
        <v>3.1163351904010561</v>
      </c>
      <c r="CC130">
        <v>0.98453341036220643</v>
      </c>
      <c r="CD130">
        <v>-4.1582865406006664E-3</v>
      </c>
      <c r="CE130">
        <v>289.99999999999989</v>
      </c>
      <c r="CF130">
        <v>980.46</v>
      </c>
      <c r="CG130">
        <v>665</v>
      </c>
      <c r="CH130">
        <v>8045.69</v>
      </c>
      <c r="CI130">
        <v>992.13</v>
      </c>
      <c r="CJ130">
        <v>-11.67</v>
      </c>
      <c r="CX130">
        <f t="shared" si="180"/>
        <v>1800</v>
      </c>
      <c r="CY130">
        <f t="shared" si="181"/>
        <v>1513.18439965126</v>
      </c>
      <c r="CZ130">
        <f t="shared" si="182"/>
        <v>0.84065799980625555</v>
      </c>
      <c r="DA130">
        <f t="shared" si="183"/>
        <v>0.16086993962607332</v>
      </c>
      <c r="DB130">
        <v>6</v>
      </c>
      <c r="DC130">
        <v>0.5</v>
      </c>
      <c r="DD130" t="s">
        <v>422</v>
      </c>
      <c r="DE130">
        <v>2</v>
      </c>
      <c r="DF130">
        <v>1689023253</v>
      </c>
      <c r="DG130">
        <v>337.23200000000003</v>
      </c>
      <c r="DH130">
        <v>399.96199999999999</v>
      </c>
      <c r="DI130">
        <v>28.459</v>
      </c>
      <c r="DJ130">
        <v>21.67</v>
      </c>
      <c r="DK130">
        <v>337.53699999999998</v>
      </c>
      <c r="DL130">
        <v>28.4068</v>
      </c>
      <c r="DM130">
        <v>500.21</v>
      </c>
      <c r="DN130">
        <v>98.964500000000001</v>
      </c>
      <c r="DO130">
        <v>9.9679000000000004E-2</v>
      </c>
      <c r="DP130">
        <v>30.296199999999999</v>
      </c>
      <c r="DQ130">
        <v>30.017499999999998</v>
      </c>
      <c r="DR130">
        <v>999.9</v>
      </c>
      <c r="DS130">
        <v>0</v>
      </c>
      <c r="DT130">
        <v>0</v>
      </c>
      <c r="DU130">
        <v>10018.1</v>
      </c>
      <c r="DV130">
        <v>0</v>
      </c>
      <c r="DW130">
        <v>1435.66</v>
      </c>
      <c r="DX130">
        <v>-62.729900000000001</v>
      </c>
      <c r="DY130">
        <v>347.11</v>
      </c>
      <c r="DZ130">
        <v>408.82100000000003</v>
      </c>
      <c r="EA130">
        <v>6.7890300000000003</v>
      </c>
      <c r="EB130">
        <v>399.96199999999999</v>
      </c>
      <c r="EC130">
        <v>21.67</v>
      </c>
      <c r="ED130">
        <v>2.81643</v>
      </c>
      <c r="EE130">
        <v>2.1445599999999998</v>
      </c>
      <c r="EF130">
        <v>22.980699999999999</v>
      </c>
      <c r="EG130">
        <v>18.554099999999998</v>
      </c>
      <c r="EH130">
        <v>1800</v>
      </c>
      <c r="EI130">
        <v>0.97800600000000004</v>
      </c>
      <c r="EJ130">
        <v>2.1994099999999999E-2</v>
      </c>
      <c r="EK130">
        <v>0</v>
      </c>
      <c r="EL130">
        <v>704.95299999999997</v>
      </c>
      <c r="EM130">
        <v>5.0005300000000004</v>
      </c>
      <c r="EN130">
        <v>15377.7</v>
      </c>
      <c r="EO130">
        <v>16035.3</v>
      </c>
      <c r="EP130">
        <v>49.686999999999998</v>
      </c>
      <c r="EQ130">
        <v>50.875</v>
      </c>
      <c r="ER130">
        <v>50.25</v>
      </c>
      <c r="ES130">
        <v>50.186999999999998</v>
      </c>
      <c r="ET130">
        <v>50.75</v>
      </c>
      <c r="EU130">
        <v>1755.52</v>
      </c>
      <c r="EV130">
        <v>39.479999999999997</v>
      </c>
      <c r="EW130">
        <v>0</v>
      </c>
      <c r="EX130">
        <v>177</v>
      </c>
      <c r="EY130">
        <v>0</v>
      </c>
      <c r="EZ130">
        <v>703.88311538461551</v>
      </c>
      <c r="FA130">
        <v>10.159760678921421</v>
      </c>
      <c r="FB130">
        <v>201.24444505509621</v>
      </c>
      <c r="FC130">
        <v>15334.538461538459</v>
      </c>
      <c r="FD130">
        <v>15</v>
      </c>
      <c r="FE130">
        <v>1689023142.5</v>
      </c>
      <c r="FF130" t="s">
        <v>999</v>
      </c>
      <c r="FG130">
        <v>1689023141.5</v>
      </c>
      <c r="FH130">
        <v>1689023142.5</v>
      </c>
      <c r="FI130">
        <v>123</v>
      </c>
      <c r="FJ130">
        <v>-7.0000000000000007E-2</v>
      </c>
      <c r="FK130">
        <v>0</v>
      </c>
      <c r="FL130">
        <v>-0.309</v>
      </c>
      <c r="FM130">
        <v>4.2000000000000003E-2</v>
      </c>
      <c r="FN130">
        <v>400</v>
      </c>
      <c r="FO130">
        <v>21</v>
      </c>
      <c r="FP130">
        <v>0.03</v>
      </c>
      <c r="FQ130">
        <v>0.01</v>
      </c>
      <c r="FR130">
        <v>50.206851183429393</v>
      </c>
      <c r="FS130">
        <v>0.68490762938455219</v>
      </c>
      <c r="FT130">
        <v>6.1197294833534317E-2</v>
      </c>
      <c r="FU130">
        <v>1</v>
      </c>
      <c r="FV130">
        <v>0.4160673605126069</v>
      </c>
      <c r="FW130">
        <v>-3.813684356603154E-3</v>
      </c>
      <c r="FX130">
        <v>3.5753939439297469E-4</v>
      </c>
      <c r="FY130">
        <v>1</v>
      </c>
      <c r="FZ130">
        <v>2</v>
      </c>
      <c r="GA130">
        <v>2</v>
      </c>
      <c r="GB130" t="s">
        <v>424</v>
      </c>
      <c r="GC130">
        <v>3.12527</v>
      </c>
      <c r="GD130">
        <v>2.7671399999999999</v>
      </c>
      <c r="GE130">
        <v>7.7253299999999997E-2</v>
      </c>
      <c r="GF130">
        <v>8.8285299999999997E-2</v>
      </c>
      <c r="GG130">
        <v>0.119937</v>
      </c>
      <c r="GH130">
        <v>9.9326600000000001E-2</v>
      </c>
      <c r="GI130">
        <v>21995.4</v>
      </c>
      <c r="GJ130">
        <v>22536.799999999999</v>
      </c>
      <c r="GK130">
        <v>23703.1</v>
      </c>
      <c r="GL130">
        <v>25035.5</v>
      </c>
      <c r="GM130">
        <v>30066.7</v>
      </c>
      <c r="GN130">
        <v>31633.8</v>
      </c>
      <c r="GO130">
        <v>37787.300000000003</v>
      </c>
      <c r="GP130">
        <v>38961</v>
      </c>
      <c r="GQ130">
        <v>2.13557</v>
      </c>
      <c r="GR130">
        <v>1.7042200000000001</v>
      </c>
      <c r="GS130">
        <v>-1.9166599999999999E-2</v>
      </c>
      <c r="GT130">
        <v>0</v>
      </c>
      <c r="GU130">
        <v>30.3293</v>
      </c>
      <c r="GV130">
        <v>999.9</v>
      </c>
      <c r="GW130">
        <v>28.3</v>
      </c>
      <c r="GX130">
        <v>44.3</v>
      </c>
      <c r="GY130">
        <v>26.583600000000001</v>
      </c>
      <c r="GZ130">
        <v>60.6387</v>
      </c>
      <c r="HA130">
        <v>26.9712</v>
      </c>
      <c r="HB130">
        <v>1</v>
      </c>
      <c r="HC130">
        <v>0.704627</v>
      </c>
      <c r="HD130">
        <v>3.3669699999999998</v>
      </c>
      <c r="HE130">
        <v>20.283999999999999</v>
      </c>
      <c r="HF130">
        <v>5.2530799999999997</v>
      </c>
      <c r="HG130">
        <v>12.0099</v>
      </c>
      <c r="HH130">
        <v>4.9794499999999999</v>
      </c>
      <c r="HI130">
        <v>3.2930000000000001</v>
      </c>
      <c r="HJ130">
        <v>9999</v>
      </c>
      <c r="HK130">
        <v>9999</v>
      </c>
      <c r="HL130">
        <v>9999</v>
      </c>
      <c r="HM130">
        <v>237.9</v>
      </c>
      <c r="HN130">
        <v>1.8757699999999999</v>
      </c>
      <c r="HO130">
        <v>1.87683</v>
      </c>
      <c r="HP130">
        <v>1.88293</v>
      </c>
      <c r="HQ130">
        <v>1.88608</v>
      </c>
      <c r="HR130">
        <v>1.87687</v>
      </c>
      <c r="HS130">
        <v>1.8833500000000001</v>
      </c>
      <c r="HT130">
        <v>1.88232</v>
      </c>
      <c r="HU130">
        <v>1.88574</v>
      </c>
      <c r="HV130">
        <v>0</v>
      </c>
      <c r="HW130">
        <v>0</v>
      </c>
      <c r="HX130">
        <v>0</v>
      </c>
      <c r="HY130">
        <v>0</v>
      </c>
      <c r="HZ130" t="s">
        <v>425</v>
      </c>
      <c r="IA130" t="s">
        <v>426</v>
      </c>
      <c r="IB130" t="s">
        <v>427</v>
      </c>
      <c r="IC130" t="s">
        <v>427</v>
      </c>
      <c r="ID130" t="s">
        <v>427</v>
      </c>
      <c r="IE130" t="s">
        <v>427</v>
      </c>
      <c r="IF130">
        <v>0</v>
      </c>
      <c r="IG130">
        <v>100</v>
      </c>
      <c r="IH130">
        <v>100</v>
      </c>
      <c r="II130">
        <v>-0.30499999999999999</v>
      </c>
      <c r="IJ130">
        <v>5.2200000000000003E-2</v>
      </c>
      <c r="IK130">
        <v>-0.22366170902120419</v>
      </c>
      <c r="IL130">
        <v>-4.2852564239613137E-4</v>
      </c>
      <c r="IM130">
        <v>6.4980710991155998E-7</v>
      </c>
      <c r="IN130">
        <v>-2.7237938963984961E-10</v>
      </c>
      <c r="IO130">
        <v>-6.7057600843415163E-3</v>
      </c>
      <c r="IP130">
        <v>6.6907473102813496E-3</v>
      </c>
      <c r="IQ130">
        <v>-3.3673306238274028E-4</v>
      </c>
      <c r="IR130">
        <v>6.1311374003140313E-6</v>
      </c>
      <c r="IS130">
        <v>3</v>
      </c>
      <c r="IT130">
        <v>2101</v>
      </c>
      <c r="IU130">
        <v>1</v>
      </c>
      <c r="IV130">
        <v>32</v>
      </c>
      <c r="IW130">
        <v>1.9</v>
      </c>
      <c r="IX130">
        <v>1.8</v>
      </c>
      <c r="IY130">
        <v>1.0144</v>
      </c>
      <c r="IZ130">
        <v>2.7258300000000002</v>
      </c>
      <c r="JA130">
        <v>1.6003400000000001</v>
      </c>
      <c r="JB130">
        <v>2.3278799999999999</v>
      </c>
      <c r="JC130">
        <v>1.5502899999999999</v>
      </c>
      <c r="JD130">
        <v>2.4609399999999999</v>
      </c>
      <c r="JE130">
        <v>46.590800000000002</v>
      </c>
      <c r="JF130">
        <v>24.14</v>
      </c>
      <c r="JG130">
        <v>18</v>
      </c>
      <c r="JH130">
        <v>604.71400000000006</v>
      </c>
      <c r="JI130">
        <v>376.52100000000002</v>
      </c>
      <c r="JJ130">
        <v>26.793399999999998</v>
      </c>
      <c r="JK130">
        <v>35.618699999999997</v>
      </c>
      <c r="JL130">
        <v>30.0002</v>
      </c>
      <c r="JM130">
        <v>35.853999999999999</v>
      </c>
      <c r="JN130">
        <v>35.865099999999998</v>
      </c>
      <c r="JO130">
        <v>20.299800000000001</v>
      </c>
      <c r="JP130">
        <v>21.0763</v>
      </c>
      <c r="JQ130">
        <v>3.9841000000000002</v>
      </c>
      <c r="JR130">
        <v>26.781300000000002</v>
      </c>
      <c r="JS130">
        <v>400</v>
      </c>
      <c r="JT130">
        <v>21.638999999999999</v>
      </c>
      <c r="JU130">
        <v>98.555400000000006</v>
      </c>
      <c r="JV130">
        <v>98.597899999999996</v>
      </c>
    </row>
    <row r="131" spans="1:282" x14ac:dyDescent="0.25">
      <c r="A131">
        <v>115</v>
      </c>
      <c r="B131">
        <v>1689023354.5</v>
      </c>
      <c r="C131">
        <v>23531.900000095371</v>
      </c>
      <c r="D131" t="s">
        <v>1000</v>
      </c>
      <c r="E131" t="s">
        <v>1001</v>
      </c>
      <c r="F131" t="s">
        <v>414</v>
      </c>
      <c r="G131" t="s">
        <v>415</v>
      </c>
      <c r="H131" t="s">
        <v>418</v>
      </c>
      <c r="I131" t="s">
        <v>417</v>
      </c>
      <c r="J131" t="s">
        <v>418</v>
      </c>
      <c r="K131">
        <v>1689023354.5</v>
      </c>
      <c r="L131">
        <f t="shared" si="138"/>
        <v>5.7354171121084437E-3</v>
      </c>
      <c r="M131">
        <f t="shared" si="139"/>
        <v>5.7354171121084434</v>
      </c>
      <c r="N131">
        <f t="shared" si="140"/>
        <v>50.597040047738233</v>
      </c>
      <c r="O131">
        <f t="shared" si="141"/>
        <v>337.14499999999998</v>
      </c>
      <c r="P131">
        <f t="shared" si="142"/>
        <v>123.59426234571627</v>
      </c>
      <c r="Q131">
        <f t="shared" si="143"/>
        <v>12.244079417352239</v>
      </c>
      <c r="R131">
        <f t="shared" si="144"/>
        <v>33.39985268585</v>
      </c>
      <c r="S131">
        <f t="shared" si="145"/>
        <v>0.41527779282035987</v>
      </c>
      <c r="T131">
        <f t="shared" si="146"/>
        <v>2.9081878220577795</v>
      </c>
      <c r="U131">
        <f t="shared" si="147"/>
        <v>0.38492359505568924</v>
      </c>
      <c r="V131">
        <f t="shared" si="148"/>
        <v>0.24311930055951136</v>
      </c>
      <c r="W131">
        <f t="shared" si="149"/>
        <v>289.5547193269058</v>
      </c>
      <c r="X131">
        <f t="shared" si="150"/>
        <v>30.424862045480847</v>
      </c>
      <c r="Y131">
        <f t="shared" si="151"/>
        <v>29.9787</v>
      </c>
      <c r="Z131">
        <f t="shared" si="152"/>
        <v>4.2552400838358402</v>
      </c>
      <c r="AA131">
        <f t="shared" si="153"/>
        <v>65.681806581601521</v>
      </c>
      <c r="AB131">
        <f t="shared" si="154"/>
        <v>2.8319314504529998</v>
      </c>
      <c r="AC131">
        <f t="shared" si="155"/>
        <v>4.3115918971179257</v>
      </c>
      <c r="AD131">
        <f t="shared" si="156"/>
        <v>1.4233086333828404</v>
      </c>
      <c r="AE131">
        <f t="shared" si="157"/>
        <v>-252.93189464398236</v>
      </c>
      <c r="AF131">
        <f t="shared" si="158"/>
        <v>35.935402050948753</v>
      </c>
      <c r="AG131">
        <f t="shared" si="159"/>
        <v>2.7500483864853864</v>
      </c>
      <c r="AH131">
        <f t="shared" si="160"/>
        <v>75.308275120357578</v>
      </c>
      <c r="AI131">
        <v>0</v>
      </c>
      <c r="AJ131">
        <v>0</v>
      </c>
      <c r="AK131">
        <f t="shared" si="161"/>
        <v>1</v>
      </c>
      <c r="AL131">
        <f t="shared" si="162"/>
        <v>0</v>
      </c>
      <c r="AM131">
        <f t="shared" si="163"/>
        <v>51687.077129488018</v>
      </c>
      <c r="AN131" t="s">
        <v>419</v>
      </c>
      <c r="AO131">
        <v>9967.0300000000007</v>
      </c>
      <c r="AP131">
        <v>178.94153846153841</v>
      </c>
      <c r="AQ131">
        <v>603.15</v>
      </c>
      <c r="AR131">
        <f t="shared" si="164"/>
        <v>0.7033216638290003</v>
      </c>
      <c r="AS131">
        <v>-3.2649104154664181</v>
      </c>
      <c r="AT131" t="s">
        <v>1002</v>
      </c>
      <c r="AU131">
        <v>8055.61</v>
      </c>
      <c r="AV131">
        <v>710.96668</v>
      </c>
      <c r="AW131">
        <v>1162.1437747534881</v>
      </c>
      <c r="AX131">
        <f t="shared" si="165"/>
        <v>0.38822829374032575</v>
      </c>
      <c r="AY131">
        <v>0.5</v>
      </c>
      <c r="AZ131">
        <f t="shared" si="166"/>
        <v>1513.1255996512464</v>
      </c>
      <c r="BA131">
        <f t="shared" si="167"/>
        <v>50.597040047738233</v>
      </c>
      <c r="BB131">
        <f t="shared" si="168"/>
        <v>293.71908488370531</v>
      </c>
      <c r="BC131">
        <f t="shared" si="169"/>
        <v>3.5596483514401617E-2</v>
      </c>
      <c r="BD131">
        <f t="shared" si="170"/>
        <v>-0.48100225367731364</v>
      </c>
      <c r="BE131">
        <f t="shared" si="171"/>
        <v>208.72757944277774</v>
      </c>
      <c r="BF131" t="s">
        <v>1003</v>
      </c>
      <c r="BG131">
        <v>557.92999999999995</v>
      </c>
      <c r="BH131">
        <f t="shared" si="172"/>
        <v>557.92999999999995</v>
      </c>
      <c r="BI131">
        <f t="shared" si="173"/>
        <v>0.5199131018721439</v>
      </c>
      <c r="BJ131">
        <f t="shared" si="174"/>
        <v>0.7467176578977579</v>
      </c>
      <c r="BK131">
        <f t="shared" si="175"/>
        <v>-12.361649154212467</v>
      </c>
      <c r="BL131">
        <f t="shared" si="176"/>
        <v>0.45888534230257449</v>
      </c>
      <c r="BM131">
        <f t="shared" si="177"/>
        <v>-1.3177336744444121</v>
      </c>
      <c r="BN131">
        <f t="shared" si="178"/>
        <v>0.58598552448462993</v>
      </c>
      <c r="BO131">
        <f t="shared" si="179"/>
        <v>0.41401447551537007</v>
      </c>
      <c r="BP131">
        <v>6265</v>
      </c>
      <c r="BQ131">
        <v>290.00000000000011</v>
      </c>
      <c r="BR131">
        <v>1003.46</v>
      </c>
      <c r="BS131">
        <v>295</v>
      </c>
      <c r="BT131">
        <v>8055.61</v>
      </c>
      <c r="BU131">
        <v>1006.45</v>
      </c>
      <c r="BV131">
        <v>-2.99</v>
      </c>
      <c r="BW131">
        <v>300.00000000000011</v>
      </c>
      <c r="BX131">
        <v>19.3</v>
      </c>
      <c r="BY131">
        <v>1162.1437747534881</v>
      </c>
      <c r="BZ131">
        <v>4.6485725663832964</v>
      </c>
      <c r="CA131">
        <v>-125.4179216189966</v>
      </c>
      <c r="CB131">
        <v>3.440020724462225</v>
      </c>
      <c r="CC131">
        <v>0.9793696036766214</v>
      </c>
      <c r="CD131">
        <v>-4.1581325917686377E-3</v>
      </c>
      <c r="CE131">
        <v>289.99999999999989</v>
      </c>
      <c r="CF131">
        <v>997.23</v>
      </c>
      <c r="CG131">
        <v>645</v>
      </c>
      <c r="CH131">
        <v>8046.15</v>
      </c>
      <c r="CI131">
        <v>1006.27</v>
      </c>
      <c r="CJ131">
        <v>-9.0399999999999991</v>
      </c>
      <c r="CX131">
        <f t="shared" si="180"/>
        <v>1799.93</v>
      </c>
      <c r="CY131">
        <f t="shared" si="181"/>
        <v>1513.1255996512464</v>
      </c>
      <c r="CZ131">
        <f t="shared" si="182"/>
        <v>0.84065802539612444</v>
      </c>
      <c r="DA131">
        <f t="shared" si="183"/>
        <v>0.16086998901452043</v>
      </c>
      <c r="DB131">
        <v>6</v>
      </c>
      <c r="DC131">
        <v>0.5</v>
      </c>
      <c r="DD131" t="s">
        <v>422</v>
      </c>
      <c r="DE131">
        <v>2</v>
      </c>
      <c r="DF131">
        <v>1689023354.5</v>
      </c>
      <c r="DG131">
        <v>337.14499999999998</v>
      </c>
      <c r="DH131">
        <v>400.17</v>
      </c>
      <c r="DI131">
        <v>28.586099999999998</v>
      </c>
      <c r="DJ131">
        <v>21.901599999999998</v>
      </c>
      <c r="DK131">
        <v>337.464</v>
      </c>
      <c r="DL131">
        <v>28.533300000000001</v>
      </c>
      <c r="DM131">
        <v>500.09399999999999</v>
      </c>
      <c r="DN131">
        <v>98.9666</v>
      </c>
      <c r="DO131">
        <v>0.10013</v>
      </c>
      <c r="DP131">
        <v>30.207899999999999</v>
      </c>
      <c r="DQ131">
        <v>29.9787</v>
      </c>
      <c r="DR131">
        <v>999.9</v>
      </c>
      <c r="DS131">
        <v>0</v>
      </c>
      <c r="DT131">
        <v>0</v>
      </c>
      <c r="DU131">
        <v>9981.8799999999992</v>
      </c>
      <c r="DV131">
        <v>0</v>
      </c>
      <c r="DW131">
        <v>1443.4</v>
      </c>
      <c r="DX131">
        <v>-63.024900000000002</v>
      </c>
      <c r="DY131">
        <v>347.06700000000001</v>
      </c>
      <c r="DZ131">
        <v>409.13099999999997</v>
      </c>
      <c r="EA131">
        <v>6.6844700000000001</v>
      </c>
      <c r="EB131">
        <v>400.17</v>
      </c>
      <c r="EC131">
        <v>21.901599999999998</v>
      </c>
      <c r="ED131">
        <v>2.8290700000000002</v>
      </c>
      <c r="EE131">
        <v>2.1675300000000002</v>
      </c>
      <c r="EF131">
        <v>23.0547</v>
      </c>
      <c r="EG131">
        <v>18.724299999999999</v>
      </c>
      <c r="EH131">
        <v>1799.93</v>
      </c>
      <c r="EI131">
        <v>0.97800600000000004</v>
      </c>
      <c r="EJ131">
        <v>2.1994099999999999E-2</v>
      </c>
      <c r="EK131">
        <v>0</v>
      </c>
      <c r="EL131">
        <v>711.08699999999999</v>
      </c>
      <c r="EM131">
        <v>5.0005300000000004</v>
      </c>
      <c r="EN131">
        <v>15474.9</v>
      </c>
      <c r="EO131">
        <v>16034.7</v>
      </c>
      <c r="EP131">
        <v>49.75</v>
      </c>
      <c r="EQ131">
        <v>51</v>
      </c>
      <c r="ER131">
        <v>50.311999999999998</v>
      </c>
      <c r="ES131">
        <v>50.311999999999998</v>
      </c>
      <c r="ET131">
        <v>50.811999999999998</v>
      </c>
      <c r="EU131">
        <v>1755.45</v>
      </c>
      <c r="EV131">
        <v>39.479999999999997</v>
      </c>
      <c r="EW131">
        <v>0</v>
      </c>
      <c r="EX131">
        <v>99.799999952316284</v>
      </c>
      <c r="EY131">
        <v>0</v>
      </c>
      <c r="EZ131">
        <v>710.96668</v>
      </c>
      <c r="FA131">
        <v>0.82792306425143591</v>
      </c>
      <c r="FB131">
        <v>83.407692594302375</v>
      </c>
      <c r="FC131">
        <v>15475.291999999999</v>
      </c>
      <c r="FD131">
        <v>15</v>
      </c>
      <c r="FE131">
        <v>1689023319.5</v>
      </c>
      <c r="FF131" t="s">
        <v>1004</v>
      </c>
      <c r="FG131">
        <v>1689023314.5</v>
      </c>
      <c r="FH131">
        <v>1689023319.5</v>
      </c>
      <c r="FI131">
        <v>124</v>
      </c>
      <c r="FJ131">
        <v>-1.4E-2</v>
      </c>
      <c r="FK131">
        <v>0</v>
      </c>
      <c r="FL131">
        <v>-0.32300000000000001</v>
      </c>
      <c r="FM131">
        <v>4.2999999999999997E-2</v>
      </c>
      <c r="FN131">
        <v>400</v>
      </c>
      <c r="FO131">
        <v>22</v>
      </c>
      <c r="FP131">
        <v>0.02</v>
      </c>
      <c r="FQ131">
        <v>0.01</v>
      </c>
      <c r="FR131">
        <v>50.660545387535542</v>
      </c>
      <c r="FS131">
        <v>-0.43430238512129837</v>
      </c>
      <c r="FT131">
        <v>6.8650454580667916E-2</v>
      </c>
      <c r="FU131">
        <v>1</v>
      </c>
      <c r="FV131">
        <v>0.4120804995090982</v>
      </c>
      <c r="FW131">
        <v>1.104570612998459E-2</v>
      </c>
      <c r="FX131">
        <v>1.4102676557509861E-3</v>
      </c>
      <c r="FY131">
        <v>1</v>
      </c>
      <c r="FZ131">
        <v>2</v>
      </c>
      <c r="GA131">
        <v>2</v>
      </c>
      <c r="GB131" t="s">
        <v>424</v>
      </c>
      <c r="GC131">
        <v>3.1250399999999998</v>
      </c>
      <c r="GD131">
        <v>2.76728</v>
      </c>
      <c r="GE131">
        <v>7.7240500000000004E-2</v>
      </c>
      <c r="GF131">
        <v>8.8322700000000004E-2</v>
      </c>
      <c r="GG131">
        <v>0.120306</v>
      </c>
      <c r="GH131">
        <v>0.100082</v>
      </c>
      <c r="GI131">
        <v>21994.799999999999</v>
      </c>
      <c r="GJ131">
        <v>22534.6</v>
      </c>
      <c r="GK131">
        <v>23702.2</v>
      </c>
      <c r="GL131">
        <v>25034.2</v>
      </c>
      <c r="GM131">
        <v>30053.1</v>
      </c>
      <c r="GN131">
        <v>31605.3</v>
      </c>
      <c r="GO131">
        <v>37786.199999999997</v>
      </c>
      <c r="GP131">
        <v>38958.6</v>
      </c>
      <c r="GQ131">
        <v>2.1348199999999999</v>
      </c>
      <c r="GR131">
        <v>1.70475</v>
      </c>
      <c r="GS131">
        <v>-3.1538299999999998E-2</v>
      </c>
      <c r="GT131">
        <v>0</v>
      </c>
      <c r="GU131">
        <v>30.491700000000002</v>
      </c>
      <c r="GV131">
        <v>999.9</v>
      </c>
      <c r="GW131">
        <v>28.5</v>
      </c>
      <c r="GX131">
        <v>44.2</v>
      </c>
      <c r="GY131">
        <v>26.6311</v>
      </c>
      <c r="GZ131">
        <v>61.038699999999999</v>
      </c>
      <c r="HA131">
        <v>27.387799999999999</v>
      </c>
      <c r="HB131">
        <v>1</v>
      </c>
      <c r="HC131">
        <v>0.71160100000000004</v>
      </c>
      <c r="HD131">
        <v>4.2697099999999999</v>
      </c>
      <c r="HE131">
        <v>20.263400000000001</v>
      </c>
      <c r="HF131">
        <v>5.2499399999999996</v>
      </c>
      <c r="HG131">
        <v>12.0099</v>
      </c>
      <c r="HH131">
        <v>4.9783499999999998</v>
      </c>
      <c r="HI131">
        <v>3.2923300000000002</v>
      </c>
      <c r="HJ131">
        <v>9999</v>
      </c>
      <c r="HK131">
        <v>9999</v>
      </c>
      <c r="HL131">
        <v>9999</v>
      </c>
      <c r="HM131">
        <v>237.9</v>
      </c>
      <c r="HN131">
        <v>1.8757600000000001</v>
      </c>
      <c r="HO131">
        <v>1.87683</v>
      </c>
      <c r="HP131">
        <v>1.88293</v>
      </c>
      <c r="HQ131">
        <v>1.8860600000000001</v>
      </c>
      <c r="HR131">
        <v>1.8768499999999999</v>
      </c>
      <c r="HS131">
        <v>1.8833299999999999</v>
      </c>
      <c r="HT131">
        <v>1.8823099999999999</v>
      </c>
      <c r="HU131">
        <v>1.8856999999999999</v>
      </c>
      <c r="HV131">
        <v>0</v>
      </c>
      <c r="HW131">
        <v>0</v>
      </c>
      <c r="HX131">
        <v>0</v>
      </c>
      <c r="HY131">
        <v>0</v>
      </c>
      <c r="HZ131" t="s">
        <v>425</v>
      </c>
      <c r="IA131" t="s">
        <v>426</v>
      </c>
      <c r="IB131" t="s">
        <v>427</v>
      </c>
      <c r="IC131" t="s">
        <v>427</v>
      </c>
      <c r="ID131" t="s">
        <v>427</v>
      </c>
      <c r="IE131" t="s">
        <v>427</v>
      </c>
      <c r="IF131">
        <v>0</v>
      </c>
      <c r="IG131">
        <v>100</v>
      </c>
      <c r="IH131">
        <v>100</v>
      </c>
      <c r="II131">
        <v>-0.31900000000000001</v>
      </c>
      <c r="IJ131">
        <v>5.28E-2</v>
      </c>
      <c r="IK131">
        <v>-0.2376129434309229</v>
      </c>
      <c r="IL131">
        <v>-4.2852564239613137E-4</v>
      </c>
      <c r="IM131">
        <v>6.4980710991155998E-7</v>
      </c>
      <c r="IN131">
        <v>-2.7237938963984961E-10</v>
      </c>
      <c r="IO131">
        <v>-6.3701535551415871E-3</v>
      </c>
      <c r="IP131">
        <v>6.6907473102813496E-3</v>
      </c>
      <c r="IQ131">
        <v>-3.3673306238274028E-4</v>
      </c>
      <c r="IR131">
        <v>6.1311374003140313E-6</v>
      </c>
      <c r="IS131">
        <v>3</v>
      </c>
      <c r="IT131">
        <v>2101</v>
      </c>
      <c r="IU131">
        <v>1</v>
      </c>
      <c r="IV131">
        <v>32</v>
      </c>
      <c r="IW131">
        <v>0.7</v>
      </c>
      <c r="IX131">
        <v>0.6</v>
      </c>
      <c r="IY131">
        <v>1.0144</v>
      </c>
      <c r="IZ131">
        <v>2.7294900000000002</v>
      </c>
      <c r="JA131">
        <v>1.6015600000000001</v>
      </c>
      <c r="JB131">
        <v>2.3278799999999999</v>
      </c>
      <c r="JC131">
        <v>1.5502899999999999</v>
      </c>
      <c r="JD131">
        <v>2.3901400000000002</v>
      </c>
      <c r="JE131">
        <v>46.5321</v>
      </c>
      <c r="JF131">
        <v>24.1313</v>
      </c>
      <c r="JG131">
        <v>18</v>
      </c>
      <c r="JH131">
        <v>604.25900000000001</v>
      </c>
      <c r="JI131">
        <v>376.88299999999998</v>
      </c>
      <c r="JJ131">
        <v>26.007200000000001</v>
      </c>
      <c r="JK131">
        <v>35.638399999999997</v>
      </c>
      <c r="JL131">
        <v>29.9999</v>
      </c>
      <c r="JM131">
        <v>35.863799999999998</v>
      </c>
      <c r="JN131">
        <v>35.872199999999999</v>
      </c>
      <c r="JO131">
        <v>20.2988</v>
      </c>
      <c r="JP131">
        <v>20.338899999999999</v>
      </c>
      <c r="JQ131">
        <v>4.0604399999999998</v>
      </c>
      <c r="JR131">
        <v>26.020399999999999</v>
      </c>
      <c r="JS131">
        <v>400</v>
      </c>
      <c r="JT131">
        <v>21.777999999999999</v>
      </c>
      <c r="JU131">
        <v>98.552099999999996</v>
      </c>
      <c r="JV131">
        <v>98.592100000000002</v>
      </c>
    </row>
    <row r="132" spans="1:282" x14ac:dyDescent="0.25">
      <c r="A132">
        <v>116</v>
      </c>
      <c r="B132">
        <v>1689023488</v>
      </c>
      <c r="C132">
        <v>23665.400000095371</v>
      </c>
      <c r="D132" t="s">
        <v>1005</v>
      </c>
      <c r="E132" t="s">
        <v>1006</v>
      </c>
      <c r="F132" t="s">
        <v>414</v>
      </c>
      <c r="G132" t="s">
        <v>415</v>
      </c>
      <c r="H132" t="s">
        <v>418</v>
      </c>
      <c r="I132" t="s">
        <v>417</v>
      </c>
      <c r="J132" t="s">
        <v>418</v>
      </c>
      <c r="K132">
        <v>1689023488</v>
      </c>
      <c r="L132">
        <f t="shared" si="138"/>
        <v>5.6065775996258565E-3</v>
      </c>
      <c r="M132">
        <f t="shared" si="139"/>
        <v>5.6065775996258562</v>
      </c>
      <c r="N132">
        <f t="shared" si="140"/>
        <v>52.422712518584916</v>
      </c>
      <c r="O132">
        <f t="shared" si="141"/>
        <v>434.37599999999998</v>
      </c>
      <c r="P132">
        <f t="shared" si="142"/>
        <v>201.31672810878962</v>
      </c>
      <c r="Q132">
        <f t="shared" si="143"/>
        <v>19.942721358844071</v>
      </c>
      <c r="R132">
        <f t="shared" si="144"/>
        <v>43.029904242672004</v>
      </c>
      <c r="S132">
        <f t="shared" si="145"/>
        <v>0.39612495324697694</v>
      </c>
      <c r="T132">
        <f t="shared" si="146"/>
        <v>2.9075445471177694</v>
      </c>
      <c r="U132">
        <f t="shared" si="147"/>
        <v>0.36840027046492146</v>
      </c>
      <c r="V132">
        <f t="shared" si="148"/>
        <v>0.23257921636654311</v>
      </c>
      <c r="W132">
        <f t="shared" si="149"/>
        <v>289.56212032709499</v>
      </c>
      <c r="X132">
        <f t="shared" si="150"/>
        <v>30.451119150512199</v>
      </c>
      <c r="Y132">
        <f t="shared" si="151"/>
        <v>30.024899999999999</v>
      </c>
      <c r="Z132">
        <f t="shared" si="152"/>
        <v>4.2665470182476195</v>
      </c>
      <c r="AA132">
        <f t="shared" si="153"/>
        <v>65.266832264207054</v>
      </c>
      <c r="AB132">
        <f t="shared" si="154"/>
        <v>2.8128292654056004</v>
      </c>
      <c r="AC132">
        <f t="shared" si="155"/>
        <v>4.3097376842482094</v>
      </c>
      <c r="AD132">
        <f t="shared" si="156"/>
        <v>1.4537177528420191</v>
      </c>
      <c r="AE132">
        <f t="shared" si="157"/>
        <v>-247.25007214350026</v>
      </c>
      <c r="AF132">
        <f t="shared" si="158"/>
        <v>27.509895555049344</v>
      </c>
      <c r="AG132">
        <f t="shared" si="159"/>
        <v>2.1061339687759966</v>
      </c>
      <c r="AH132">
        <f t="shared" si="160"/>
        <v>71.928077707420087</v>
      </c>
      <c r="AI132">
        <v>0</v>
      </c>
      <c r="AJ132">
        <v>0</v>
      </c>
      <c r="AK132">
        <f t="shared" si="161"/>
        <v>1</v>
      </c>
      <c r="AL132">
        <f t="shared" si="162"/>
        <v>0</v>
      </c>
      <c r="AM132">
        <f t="shared" si="163"/>
        <v>51669.983043322813</v>
      </c>
      <c r="AN132" t="s">
        <v>419</v>
      </c>
      <c r="AO132">
        <v>9967.0300000000007</v>
      </c>
      <c r="AP132">
        <v>178.94153846153841</v>
      </c>
      <c r="AQ132">
        <v>603.15</v>
      </c>
      <c r="AR132">
        <f t="shared" si="164"/>
        <v>0.7033216638290003</v>
      </c>
      <c r="AS132">
        <v>-3.2649104154664181</v>
      </c>
      <c r="AT132" t="s">
        <v>1007</v>
      </c>
      <c r="AU132">
        <v>8054.68</v>
      </c>
      <c r="AV132">
        <v>720.04884615384606</v>
      </c>
      <c r="AW132">
        <v>1209.9750319057571</v>
      </c>
      <c r="AX132">
        <f t="shared" si="165"/>
        <v>0.40490602932546338</v>
      </c>
      <c r="AY132">
        <v>0.5</v>
      </c>
      <c r="AZ132">
        <f t="shared" si="166"/>
        <v>1513.1672996513446</v>
      </c>
      <c r="BA132">
        <f t="shared" si="167"/>
        <v>52.422712518584916</v>
      </c>
      <c r="BB132">
        <f t="shared" si="168"/>
        <v>306.34528150347978</v>
      </c>
      <c r="BC132">
        <f t="shared" si="169"/>
        <v>3.6802026416300801E-2</v>
      </c>
      <c r="BD132">
        <f t="shared" si="170"/>
        <v>-0.5015186395623259</v>
      </c>
      <c r="BE132">
        <f t="shared" si="171"/>
        <v>210.22013212154499</v>
      </c>
      <c r="BF132" t="s">
        <v>1008</v>
      </c>
      <c r="BG132">
        <v>561.85</v>
      </c>
      <c r="BH132">
        <f t="shared" si="172"/>
        <v>561.85</v>
      </c>
      <c r="BI132">
        <f t="shared" si="173"/>
        <v>0.53565157529319862</v>
      </c>
      <c r="BJ132">
        <f t="shared" si="174"/>
        <v>0.75591307484502546</v>
      </c>
      <c r="BK132">
        <f t="shared" si="175"/>
        <v>-14.693100046144256</v>
      </c>
      <c r="BL132">
        <f t="shared" si="176"/>
        <v>0.47517969965775625</v>
      </c>
      <c r="BM132">
        <f t="shared" si="177"/>
        <v>-1.4304878071149421</v>
      </c>
      <c r="BN132">
        <f t="shared" si="178"/>
        <v>0.58983465270484414</v>
      </c>
      <c r="BO132">
        <f t="shared" si="179"/>
        <v>0.41016534729515586</v>
      </c>
      <c r="BP132">
        <v>6267</v>
      </c>
      <c r="BQ132">
        <v>290.00000000000011</v>
      </c>
      <c r="BR132">
        <v>1032.96</v>
      </c>
      <c r="BS132">
        <v>295</v>
      </c>
      <c r="BT132">
        <v>8054.68</v>
      </c>
      <c r="BU132">
        <v>1036.82</v>
      </c>
      <c r="BV132">
        <v>-3.86</v>
      </c>
      <c r="BW132">
        <v>300.00000000000011</v>
      </c>
      <c r="BX132">
        <v>19.3</v>
      </c>
      <c r="BY132">
        <v>1209.9750319057571</v>
      </c>
      <c r="BZ132">
        <v>4.5571189586978518</v>
      </c>
      <c r="CA132">
        <v>-139.46721482568029</v>
      </c>
      <c r="CB132">
        <v>3.3719296745712679</v>
      </c>
      <c r="CC132">
        <v>0.98389650255726879</v>
      </c>
      <c r="CD132">
        <v>-4.1578182424916654E-3</v>
      </c>
      <c r="CE132">
        <v>289.99999999999989</v>
      </c>
      <c r="CF132">
        <v>1025.95</v>
      </c>
      <c r="CG132">
        <v>635</v>
      </c>
      <c r="CH132">
        <v>8045.5</v>
      </c>
      <c r="CI132">
        <v>1036.6300000000001</v>
      </c>
      <c r="CJ132">
        <v>-10.68</v>
      </c>
      <c r="CX132">
        <f t="shared" si="180"/>
        <v>1799.98</v>
      </c>
      <c r="CY132">
        <f t="shared" si="181"/>
        <v>1513.1672996513446</v>
      </c>
      <c r="CZ132">
        <f t="shared" si="182"/>
        <v>0.84065784044897418</v>
      </c>
      <c r="DA132">
        <f t="shared" si="183"/>
        <v>0.16086963206652016</v>
      </c>
      <c r="DB132">
        <v>6</v>
      </c>
      <c r="DC132">
        <v>0.5</v>
      </c>
      <c r="DD132" t="s">
        <v>422</v>
      </c>
      <c r="DE132">
        <v>2</v>
      </c>
      <c r="DF132">
        <v>1689023488</v>
      </c>
      <c r="DG132">
        <v>434.37599999999998</v>
      </c>
      <c r="DH132">
        <v>500.18700000000001</v>
      </c>
      <c r="DI132">
        <v>28.3948</v>
      </c>
      <c r="DJ132">
        <v>21.8598</v>
      </c>
      <c r="DK132">
        <v>434.733</v>
      </c>
      <c r="DL132">
        <v>28.341699999999999</v>
      </c>
      <c r="DM132">
        <v>500.142</v>
      </c>
      <c r="DN132">
        <v>98.961200000000005</v>
      </c>
      <c r="DO132">
        <v>0.10022200000000001</v>
      </c>
      <c r="DP132">
        <v>30.200399999999998</v>
      </c>
      <c r="DQ132">
        <v>30.024899999999999</v>
      </c>
      <c r="DR132">
        <v>999.9</v>
      </c>
      <c r="DS132">
        <v>0</v>
      </c>
      <c r="DT132">
        <v>0</v>
      </c>
      <c r="DU132">
        <v>9978.75</v>
      </c>
      <c r="DV132">
        <v>0</v>
      </c>
      <c r="DW132">
        <v>1414.39</v>
      </c>
      <c r="DX132">
        <v>-65.811599999999999</v>
      </c>
      <c r="DY132">
        <v>447.07</v>
      </c>
      <c r="DZ132">
        <v>511.36599999999999</v>
      </c>
      <c r="EA132">
        <v>6.5350799999999998</v>
      </c>
      <c r="EB132">
        <v>500.18700000000001</v>
      </c>
      <c r="EC132">
        <v>21.8598</v>
      </c>
      <c r="ED132">
        <v>2.80999</v>
      </c>
      <c r="EE132">
        <v>2.1632699999999998</v>
      </c>
      <c r="EF132">
        <v>22.942900000000002</v>
      </c>
      <c r="EG132">
        <v>18.692799999999998</v>
      </c>
      <c r="EH132">
        <v>1799.98</v>
      </c>
      <c r="EI132">
        <v>0.97800900000000002</v>
      </c>
      <c r="EJ132">
        <v>2.19905E-2</v>
      </c>
      <c r="EK132">
        <v>0</v>
      </c>
      <c r="EL132">
        <v>719.92200000000003</v>
      </c>
      <c r="EM132">
        <v>5.0005300000000004</v>
      </c>
      <c r="EN132">
        <v>15661.7</v>
      </c>
      <c r="EO132">
        <v>16035.2</v>
      </c>
      <c r="EP132">
        <v>49.875</v>
      </c>
      <c r="EQ132">
        <v>51.25</v>
      </c>
      <c r="ER132">
        <v>50.5</v>
      </c>
      <c r="ES132">
        <v>50.5</v>
      </c>
      <c r="ET132">
        <v>50.936999999999998</v>
      </c>
      <c r="EU132">
        <v>1755.51</v>
      </c>
      <c r="EV132">
        <v>39.47</v>
      </c>
      <c r="EW132">
        <v>0</v>
      </c>
      <c r="EX132">
        <v>131.39999985694891</v>
      </c>
      <c r="EY132">
        <v>0</v>
      </c>
      <c r="EZ132">
        <v>720.04884615384606</v>
      </c>
      <c r="FA132">
        <v>-0.35562391999928572</v>
      </c>
      <c r="FB132">
        <v>-18.02051312053354</v>
      </c>
      <c r="FC132">
        <v>15660.196153846149</v>
      </c>
      <c r="FD132">
        <v>15</v>
      </c>
      <c r="FE132">
        <v>1689023451</v>
      </c>
      <c r="FF132" t="s">
        <v>1009</v>
      </c>
      <c r="FG132">
        <v>1689023447.5</v>
      </c>
      <c r="FH132">
        <v>1689023451</v>
      </c>
      <c r="FI132">
        <v>125</v>
      </c>
      <c r="FJ132">
        <v>-3.4000000000000002E-2</v>
      </c>
      <c r="FK132">
        <v>1E-3</v>
      </c>
      <c r="FL132">
        <v>-0.35799999999999998</v>
      </c>
      <c r="FM132">
        <v>4.3999999999999997E-2</v>
      </c>
      <c r="FN132">
        <v>500</v>
      </c>
      <c r="FO132">
        <v>21</v>
      </c>
      <c r="FP132">
        <v>0.03</v>
      </c>
      <c r="FQ132">
        <v>0.01</v>
      </c>
      <c r="FR132">
        <v>52.335043884160463</v>
      </c>
      <c r="FS132">
        <v>-0.46109229805612501</v>
      </c>
      <c r="FT132">
        <v>5.0691278387611512E-2</v>
      </c>
      <c r="FU132">
        <v>1</v>
      </c>
      <c r="FV132">
        <v>0.39988800503997157</v>
      </c>
      <c r="FW132">
        <v>-9.1932901688932187E-3</v>
      </c>
      <c r="FX132">
        <v>1.316153036413651E-3</v>
      </c>
      <c r="FY132">
        <v>1</v>
      </c>
      <c r="FZ132">
        <v>2</v>
      </c>
      <c r="GA132">
        <v>2</v>
      </c>
      <c r="GB132" t="s">
        <v>424</v>
      </c>
      <c r="GC132">
        <v>3.1254400000000002</v>
      </c>
      <c r="GD132">
        <v>2.7673299999999998</v>
      </c>
      <c r="GE132">
        <v>9.4006000000000006E-2</v>
      </c>
      <c r="GF132">
        <v>0.104337</v>
      </c>
      <c r="GG132">
        <v>0.119722</v>
      </c>
      <c r="GH132">
        <v>9.9925399999999998E-2</v>
      </c>
      <c r="GI132">
        <v>21589.9</v>
      </c>
      <c r="GJ132">
        <v>22132.6</v>
      </c>
      <c r="GK132">
        <v>23696.7</v>
      </c>
      <c r="GL132">
        <v>25027.8</v>
      </c>
      <c r="GM132">
        <v>30066.1</v>
      </c>
      <c r="GN132">
        <v>31602.7</v>
      </c>
      <c r="GO132">
        <v>37777.599999999999</v>
      </c>
      <c r="GP132">
        <v>38948.800000000003</v>
      </c>
      <c r="GQ132">
        <v>2.13415</v>
      </c>
      <c r="GR132">
        <v>1.7037800000000001</v>
      </c>
      <c r="GS132">
        <v>-3.93465E-2</v>
      </c>
      <c r="GT132">
        <v>0</v>
      </c>
      <c r="GU132">
        <v>30.664899999999999</v>
      </c>
      <c r="GV132">
        <v>999.9</v>
      </c>
      <c r="GW132">
        <v>28.6</v>
      </c>
      <c r="GX132">
        <v>44.1</v>
      </c>
      <c r="GY132">
        <v>26.590499999999999</v>
      </c>
      <c r="GZ132">
        <v>61.7087</v>
      </c>
      <c r="HA132">
        <v>27.343800000000002</v>
      </c>
      <c r="HB132">
        <v>1</v>
      </c>
      <c r="HC132">
        <v>0.71854899999999999</v>
      </c>
      <c r="HD132">
        <v>3.9496099999999998</v>
      </c>
      <c r="HE132">
        <v>20.270399999999999</v>
      </c>
      <c r="HF132">
        <v>5.2466400000000002</v>
      </c>
      <c r="HG132">
        <v>12.0099</v>
      </c>
      <c r="HH132">
        <v>4.9789500000000002</v>
      </c>
      <c r="HI132">
        <v>3.2925499999999999</v>
      </c>
      <c r="HJ132">
        <v>9999</v>
      </c>
      <c r="HK132">
        <v>9999</v>
      </c>
      <c r="HL132">
        <v>9999</v>
      </c>
      <c r="HM132">
        <v>238</v>
      </c>
      <c r="HN132">
        <v>1.8757600000000001</v>
      </c>
      <c r="HO132">
        <v>1.87683</v>
      </c>
      <c r="HP132">
        <v>1.8829199999999999</v>
      </c>
      <c r="HQ132">
        <v>1.88602</v>
      </c>
      <c r="HR132">
        <v>1.87683</v>
      </c>
      <c r="HS132">
        <v>1.8833299999999999</v>
      </c>
      <c r="HT132">
        <v>1.88228</v>
      </c>
      <c r="HU132">
        <v>1.88574</v>
      </c>
      <c r="HV132">
        <v>0</v>
      </c>
      <c r="HW132">
        <v>0</v>
      </c>
      <c r="HX132">
        <v>0</v>
      </c>
      <c r="HY132">
        <v>0</v>
      </c>
      <c r="HZ132" t="s">
        <v>425</v>
      </c>
      <c r="IA132" t="s">
        <v>426</v>
      </c>
      <c r="IB132" t="s">
        <v>427</v>
      </c>
      <c r="IC132" t="s">
        <v>427</v>
      </c>
      <c r="ID132" t="s">
        <v>427</v>
      </c>
      <c r="IE132" t="s">
        <v>427</v>
      </c>
      <c r="IF132">
        <v>0</v>
      </c>
      <c r="IG132">
        <v>100</v>
      </c>
      <c r="IH132">
        <v>100</v>
      </c>
      <c r="II132">
        <v>-0.35699999999999998</v>
      </c>
      <c r="IJ132">
        <v>5.3100000000000001E-2</v>
      </c>
      <c r="IK132">
        <v>-0.27176508174415592</v>
      </c>
      <c r="IL132">
        <v>-4.2852564239613137E-4</v>
      </c>
      <c r="IM132">
        <v>6.4980710991155998E-7</v>
      </c>
      <c r="IN132">
        <v>-2.7237938963984961E-10</v>
      </c>
      <c r="IO132">
        <v>-5.553919727337089E-3</v>
      </c>
      <c r="IP132">
        <v>6.6907473102813496E-3</v>
      </c>
      <c r="IQ132">
        <v>-3.3673306238274028E-4</v>
      </c>
      <c r="IR132">
        <v>6.1311374003140313E-6</v>
      </c>
      <c r="IS132">
        <v>3</v>
      </c>
      <c r="IT132">
        <v>2101</v>
      </c>
      <c r="IU132">
        <v>1</v>
      </c>
      <c r="IV132">
        <v>32</v>
      </c>
      <c r="IW132">
        <v>0.7</v>
      </c>
      <c r="IX132">
        <v>0.6</v>
      </c>
      <c r="IY132">
        <v>1.2158199999999999</v>
      </c>
      <c r="IZ132">
        <v>2.7221700000000002</v>
      </c>
      <c r="JA132">
        <v>1.6015600000000001</v>
      </c>
      <c r="JB132">
        <v>2.3278799999999999</v>
      </c>
      <c r="JC132">
        <v>1.5502899999999999</v>
      </c>
      <c r="JD132">
        <v>2.4011200000000001</v>
      </c>
      <c r="JE132">
        <v>46.473500000000001</v>
      </c>
      <c r="JF132">
        <v>24.1313</v>
      </c>
      <c r="JG132">
        <v>18</v>
      </c>
      <c r="JH132">
        <v>604.35599999999999</v>
      </c>
      <c r="JI132">
        <v>376.685</v>
      </c>
      <c r="JJ132">
        <v>26.2851</v>
      </c>
      <c r="JK132">
        <v>35.741500000000002</v>
      </c>
      <c r="JL132">
        <v>30.000699999999998</v>
      </c>
      <c r="JM132">
        <v>35.9298</v>
      </c>
      <c r="JN132">
        <v>35.939300000000003</v>
      </c>
      <c r="JO132">
        <v>24.319600000000001</v>
      </c>
      <c r="JP132">
        <v>20.708400000000001</v>
      </c>
      <c r="JQ132">
        <v>3.8944899999999998</v>
      </c>
      <c r="JR132">
        <v>26.266400000000001</v>
      </c>
      <c r="JS132">
        <v>500</v>
      </c>
      <c r="JT132">
        <v>21.786100000000001</v>
      </c>
      <c r="JU132">
        <v>98.529399999999995</v>
      </c>
      <c r="JV132">
        <v>98.567099999999996</v>
      </c>
    </row>
    <row r="133" spans="1:282" x14ac:dyDescent="0.25">
      <c r="A133">
        <v>117</v>
      </c>
      <c r="B133">
        <v>1689023594</v>
      </c>
      <c r="C133">
        <v>23771.400000095371</v>
      </c>
      <c r="D133" t="s">
        <v>1010</v>
      </c>
      <c r="E133" t="s">
        <v>1011</v>
      </c>
      <c r="F133" t="s">
        <v>414</v>
      </c>
      <c r="G133" t="s">
        <v>415</v>
      </c>
      <c r="H133" t="s">
        <v>418</v>
      </c>
      <c r="I133" t="s">
        <v>417</v>
      </c>
      <c r="J133" t="s">
        <v>418</v>
      </c>
      <c r="K133">
        <v>1689023594</v>
      </c>
      <c r="L133">
        <f t="shared" si="138"/>
        <v>5.408152989719456E-3</v>
      </c>
      <c r="M133">
        <f t="shared" si="139"/>
        <v>5.408152989719456</v>
      </c>
      <c r="N133">
        <f t="shared" si="140"/>
        <v>52.940765563423874</v>
      </c>
      <c r="O133">
        <f t="shared" si="141"/>
        <v>632.54300000000001</v>
      </c>
      <c r="P133">
        <f t="shared" si="142"/>
        <v>384.97279917587326</v>
      </c>
      <c r="Q133">
        <f t="shared" si="143"/>
        <v>38.132947011569186</v>
      </c>
      <c r="R133">
        <f t="shared" si="144"/>
        <v>62.655670097147706</v>
      </c>
      <c r="S133">
        <f t="shared" si="145"/>
        <v>0.38228948570167892</v>
      </c>
      <c r="T133">
        <f t="shared" si="146"/>
        <v>2.9132093861834232</v>
      </c>
      <c r="U133">
        <f t="shared" si="147"/>
        <v>0.35644650794666871</v>
      </c>
      <c r="V133">
        <f t="shared" si="148"/>
        <v>0.22495520839637465</v>
      </c>
      <c r="W133">
        <f t="shared" si="149"/>
        <v>289.55254432707255</v>
      </c>
      <c r="X133">
        <f t="shared" si="150"/>
        <v>30.470973669063991</v>
      </c>
      <c r="Y133">
        <f t="shared" si="151"/>
        <v>29.995200000000001</v>
      </c>
      <c r="Z133">
        <f t="shared" si="152"/>
        <v>4.2592752731664429</v>
      </c>
      <c r="AA133">
        <f t="shared" si="153"/>
        <v>65.319243312141779</v>
      </c>
      <c r="AB133">
        <f t="shared" si="154"/>
        <v>2.8100222566449302</v>
      </c>
      <c r="AC133">
        <f t="shared" si="155"/>
        <v>4.3019822553924065</v>
      </c>
      <c r="AD133">
        <f t="shared" si="156"/>
        <v>1.4492530165215127</v>
      </c>
      <c r="AE133">
        <f t="shared" si="157"/>
        <v>-238.49954684662802</v>
      </c>
      <c r="AF133">
        <f t="shared" si="158"/>
        <v>27.296496941572617</v>
      </c>
      <c r="AG133">
        <f t="shared" si="159"/>
        <v>2.0851020832548324</v>
      </c>
      <c r="AH133">
        <f t="shared" si="160"/>
        <v>80.434596505271955</v>
      </c>
      <c r="AI133">
        <v>0</v>
      </c>
      <c r="AJ133">
        <v>0</v>
      </c>
      <c r="AK133">
        <f t="shared" si="161"/>
        <v>1</v>
      </c>
      <c r="AL133">
        <f t="shared" si="162"/>
        <v>0</v>
      </c>
      <c r="AM133">
        <f t="shared" si="163"/>
        <v>51836.066050085574</v>
      </c>
      <c r="AN133" t="s">
        <v>419</v>
      </c>
      <c r="AO133">
        <v>9967.0300000000007</v>
      </c>
      <c r="AP133">
        <v>178.94153846153841</v>
      </c>
      <c r="AQ133">
        <v>603.15</v>
      </c>
      <c r="AR133">
        <f t="shared" si="164"/>
        <v>0.7033216638290003</v>
      </c>
      <c r="AS133">
        <v>-3.2649104154664181</v>
      </c>
      <c r="AT133" t="s">
        <v>1012</v>
      </c>
      <c r="AU133">
        <v>8054.81</v>
      </c>
      <c r="AV133">
        <v>718.82684615384619</v>
      </c>
      <c r="AW133">
        <v>1218.7234456833351</v>
      </c>
      <c r="AX133">
        <f t="shared" si="165"/>
        <v>0.41018050592207833</v>
      </c>
      <c r="AY133">
        <v>0.5</v>
      </c>
      <c r="AZ133">
        <f t="shared" si="166"/>
        <v>1513.1168996513331</v>
      </c>
      <c r="BA133">
        <f t="shared" si="167"/>
        <v>52.940765563423874</v>
      </c>
      <c r="BB133">
        <f t="shared" si="168"/>
        <v>310.32552770911525</v>
      </c>
      <c r="BC133">
        <f t="shared" si="169"/>
        <v>3.7145627011265114E-2</v>
      </c>
      <c r="BD133">
        <f t="shared" si="170"/>
        <v>-0.50509690928132156</v>
      </c>
      <c r="BE133">
        <f t="shared" si="171"/>
        <v>210.48263757072755</v>
      </c>
      <c r="BF133" t="s">
        <v>1013</v>
      </c>
      <c r="BG133">
        <v>563.16999999999996</v>
      </c>
      <c r="BH133">
        <f t="shared" si="172"/>
        <v>563.16999999999996</v>
      </c>
      <c r="BI133">
        <f t="shared" si="173"/>
        <v>0.53790172660194291</v>
      </c>
      <c r="BJ133">
        <f t="shared" si="174"/>
        <v>0.76255658912509749</v>
      </c>
      <c r="BK133">
        <f t="shared" si="175"/>
        <v>-15.397034659413077</v>
      </c>
      <c r="BL133">
        <f t="shared" si="176"/>
        <v>0.48077062704925055</v>
      </c>
      <c r="BM133">
        <f t="shared" si="177"/>
        <v>-1.4511107191281782</v>
      </c>
      <c r="BN133">
        <f t="shared" si="178"/>
        <v>0.59743037783770914</v>
      </c>
      <c r="BO133">
        <f t="shared" si="179"/>
        <v>0.40256962216229086</v>
      </c>
      <c r="BP133">
        <v>6269</v>
      </c>
      <c r="BQ133">
        <v>290.00000000000011</v>
      </c>
      <c r="BR133">
        <v>1035.68</v>
      </c>
      <c r="BS133">
        <v>275</v>
      </c>
      <c r="BT133">
        <v>8054.81</v>
      </c>
      <c r="BU133">
        <v>1038.52</v>
      </c>
      <c r="BV133">
        <v>-2.84</v>
      </c>
      <c r="BW133">
        <v>300.00000000000011</v>
      </c>
      <c r="BX133">
        <v>19.399999999999999</v>
      </c>
      <c r="BY133">
        <v>1218.7234456833351</v>
      </c>
      <c r="BZ133">
        <v>4.5995714222693183</v>
      </c>
      <c r="CA133">
        <v>-145.1490324268332</v>
      </c>
      <c r="CB133">
        <v>3.4031116373058952</v>
      </c>
      <c r="CC133">
        <v>0.98484176653231881</v>
      </c>
      <c r="CD133">
        <v>-4.1576578420467166E-3</v>
      </c>
      <c r="CE133">
        <v>289.99999999999989</v>
      </c>
      <c r="CF133">
        <v>1027.3900000000001</v>
      </c>
      <c r="CG133">
        <v>635</v>
      </c>
      <c r="CH133">
        <v>8044.94</v>
      </c>
      <c r="CI133">
        <v>1038.3</v>
      </c>
      <c r="CJ133">
        <v>-10.91</v>
      </c>
      <c r="CX133">
        <f t="shared" si="180"/>
        <v>1799.92</v>
      </c>
      <c r="CY133">
        <f t="shared" si="181"/>
        <v>1513.1168996513331</v>
      </c>
      <c r="CZ133">
        <f t="shared" si="182"/>
        <v>0.84065786237795737</v>
      </c>
      <c r="DA133">
        <f t="shared" si="183"/>
        <v>0.16086967438945762</v>
      </c>
      <c r="DB133">
        <v>6</v>
      </c>
      <c r="DC133">
        <v>0.5</v>
      </c>
      <c r="DD133" t="s">
        <v>422</v>
      </c>
      <c r="DE133">
        <v>2</v>
      </c>
      <c r="DF133">
        <v>1689023594</v>
      </c>
      <c r="DG133">
        <v>632.54300000000001</v>
      </c>
      <c r="DH133">
        <v>700.15899999999999</v>
      </c>
      <c r="DI133">
        <v>28.3687</v>
      </c>
      <c r="DJ133">
        <v>22.064699999999998</v>
      </c>
      <c r="DK133">
        <v>632.95600000000002</v>
      </c>
      <c r="DL133">
        <v>28.319199999999999</v>
      </c>
      <c r="DM133">
        <v>500.13299999999998</v>
      </c>
      <c r="DN133">
        <v>98.953699999999998</v>
      </c>
      <c r="DO133">
        <v>9.99139E-2</v>
      </c>
      <c r="DP133">
        <v>30.169</v>
      </c>
      <c r="DQ133">
        <v>29.995200000000001</v>
      </c>
      <c r="DR133">
        <v>999.9</v>
      </c>
      <c r="DS133">
        <v>0</v>
      </c>
      <c r="DT133">
        <v>0</v>
      </c>
      <c r="DU133">
        <v>10011.9</v>
      </c>
      <c r="DV133">
        <v>0</v>
      </c>
      <c r="DW133">
        <v>1356.95</v>
      </c>
      <c r="DX133">
        <v>-67.615799999999993</v>
      </c>
      <c r="DY133">
        <v>651.01199999999994</v>
      </c>
      <c r="DZ133">
        <v>715.95600000000002</v>
      </c>
      <c r="EA133">
        <v>6.3039300000000003</v>
      </c>
      <c r="EB133">
        <v>700.15899999999999</v>
      </c>
      <c r="EC133">
        <v>22.064699999999998</v>
      </c>
      <c r="ED133">
        <v>2.8071799999999998</v>
      </c>
      <c r="EE133">
        <v>2.1833900000000002</v>
      </c>
      <c r="EF133">
        <v>22.926400000000001</v>
      </c>
      <c r="EG133">
        <v>18.840900000000001</v>
      </c>
      <c r="EH133">
        <v>1799.92</v>
      </c>
      <c r="EI133">
        <v>0.97800900000000002</v>
      </c>
      <c r="EJ133">
        <v>2.19905E-2</v>
      </c>
      <c r="EK133">
        <v>0</v>
      </c>
      <c r="EL133">
        <v>718.66</v>
      </c>
      <c r="EM133">
        <v>5.0005300000000004</v>
      </c>
      <c r="EN133">
        <v>15594.4</v>
      </c>
      <c r="EO133">
        <v>16034.6</v>
      </c>
      <c r="EP133">
        <v>50</v>
      </c>
      <c r="EQ133">
        <v>51.375</v>
      </c>
      <c r="ER133">
        <v>50.625</v>
      </c>
      <c r="ES133">
        <v>50.686999999999998</v>
      </c>
      <c r="ET133">
        <v>51.061999999999998</v>
      </c>
      <c r="EU133">
        <v>1755.45</v>
      </c>
      <c r="EV133">
        <v>39.47</v>
      </c>
      <c r="EW133">
        <v>0</v>
      </c>
      <c r="EX133">
        <v>104</v>
      </c>
      <c r="EY133">
        <v>0</v>
      </c>
      <c r="EZ133">
        <v>718.82684615384619</v>
      </c>
      <c r="FA133">
        <v>-2.769709395417761</v>
      </c>
      <c r="FB133">
        <v>-226.45128227325529</v>
      </c>
      <c r="FC133">
        <v>15577.34230769231</v>
      </c>
      <c r="FD133">
        <v>15</v>
      </c>
      <c r="FE133">
        <v>1689023559.5</v>
      </c>
      <c r="FF133" t="s">
        <v>1014</v>
      </c>
      <c r="FG133">
        <v>1689023556</v>
      </c>
      <c r="FH133">
        <v>1689023559.5</v>
      </c>
      <c r="FI133">
        <v>126</v>
      </c>
      <c r="FJ133">
        <v>-6.0999999999999999E-2</v>
      </c>
      <c r="FK133">
        <v>-4.0000000000000001E-3</v>
      </c>
      <c r="FL133">
        <v>-0.40799999999999997</v>
      </c>
      <c r="FM133">
        <v>0.04</v>
      </c>
      <c r="FN133">
        <v>700</v>
      </c>
      <c r="FO133">
        <v>22</v>
      </c>
      <c r="FP133">
        <v>7.0000000000000007E-2</v>
      </c>
      <c r="FQ133">
        <v>0.01</v>
      </c>
      <c r="FR133">
        <v>52.902344059444353</v>
      </c>
      <c r="FS133">
        <v>-0.65767955313168003</v>
      </c>
      <c r="FT133">
        <v>9.6350182995163985E-2</v>
      </c>
      <c r="FU133">
        <v>1</v>
      </c>
      <c r="FV133">
        <v>0.38333753714083169</v>
      </c>
      <c r="FW133">
        <v>-7.6592709073921902E-3</v>
      </c>
      <c r="FX133">
        <v>8.8294347358122249E-4</v>
      </c>
      <c r="FY133">
        <v>1</v>
      </c>
      <c r="FZ133">
        <v>2</v>
      </c>
      <c r="GA133">
        <v>2</v>
      </c>
      <c r="GB133" t="s">
        <v>424</v>
      </c>
      <c r="GC133">
        <v>3.12568</v>
      </c>
      <c r="GD133">
        <v>2.7673199999999998</v>
      </c>
      <c r="GE133">
        <v>0.123381</v>
      </c>
      <c r="GF133">
        <v>0.132188</v>
      </c>
      <c r="GG133">
        <v>0.119626</v>
      </c>
      <c r="GH133">
        <v>0.100565</v>
      </c>
      <c r="GI133">
        <v>20883.900000000001</v>
      </c>
      <c r="GJ133">
        <v>21437.9</v>
      </c>
      <c r="GK133">
        <v>23690.799999999999</v>
      </c>
      <c r="GL133">
        <v>25021.5</v>
      </c>
      <c r="GM133">
        <v>30062</v>
      </c>
      <c r="GN133">
        <v>31572.9</v>
      </c>
      <c r="GO133">
        <v>37768.400000000001</v>
      </c>
      <c r="GP133">
        <v>38940</v>
      </c>
      <c r="GQ133">
        <v>2.1331500000000001</v>
      </c>
      <c r="GR133">
        <v>1.7034</v>
      </c>
      <c r="GS133">
        <v>-3.5740399999999999E-2</v>
      </c>
      <c r="GT133">
        <v>0</v>
      </c>
      <c r="GU133">
        <v>30.576599999999999</v>
      </c>
      <c r="GV133">
        <v>999.9</v>
      </c>
      <c r="GW133">
        <v>28.8</v>
      </c>
      <c r="GX133">
        <v>44</v>
      </c>
      <c r="GY133">
        <v>26.636800000000001</v>
      </c>
      <c r="GZ133">
        <v>60.618699999999997</v>
      </c>
      <c r="HA133">
        <v>26.9511</v>
      </c>
      <c r="HB133">
        <v>1</v>
      </c>
      <c r="HC133">
        <v>0.726433</v>
      </c>
      <c r="HD133">
        <v>3.85859</v>
      </c>
      <c r="HE133">
        <v>20.324000000000002</v>
      </c>
      <c r="HF133">
        <v>5.2487399999999997</v>
      </c>
      <c r="HG133">
        <v>12.0099</v>
      </c>
      <c r="HH133">
        <v>4.9766500000000002</v>
      </c>
      <c r="HI133">
        <v>3.2922799999999999</v>
      </c>
      <c r="HJ133">
        <v>9999</v>
      </c>
      <c r="HK133">
        <v>9999</v>
      </c>
      <c r="HL133">
        <v>9999</v>
      </c>
      <c r="HM133">
        <v>238</v>
      </c>
      <c r="HN133">
        <v>1.87575</v>
      </c>
      <c r="HO133">
        <v>1.87677</v>
      </c>
      <c r="HP133">
        <v>1.8828199999999999</v>
      </c>
      <c r="HQ133">
        <v>1.8859900000000001</v>
      </c>
      <c r="HR133">
        <v>1.87683</v>
      </c>
      <c r="HS133">
        <v>1.88324</v>
      </c>
      <c r="HT133">
        <v>1.88219</v>
      </c>
      <c r="HU133">
        <v>1.88568</v>
      </c>
      <c r="HV133">
        <v>0</v>
      </c>
      <c r="HW133">
        <v>0</v>
      </c>
      <c r="HX133">
        <v>0</v>
      </c>
      <c r="HY133">
        <v>0</v>
      </c>
      <c r="HZ133" t="s">
        <v>425</v>
      </c>
      <c r="IA133" t="s">
        <v>426</v>
      </c>
      <c r="IB133" t="s">
        <v>427</v>
      </c>
      <c r="IC133" t="s">
        <v>427</v>
      </c>
      <c r="ID133" t="s">
        <v>427</v>
      </c>
      <c r="IE133" t="s">
        <v>427</v>
      </c>
      <c r="IF133">
        <v>0</v>
      </c>
      <c r="IG133">
        <v>100</v>
      </c>
      <c r="IH133">
        <v>100</v>
      </c>
      <c r="II133">
        <v>-0.41299999999999998</v>
      </c>
      <c r="IJ133">
        <v>4.9500000000000002E-2</v>
      </c>
      <c r="IK133">
        <v>-0.3327775027718971</v>
      </c>
      <c r="IL133">
        <v>-4.2852564239613137E-4</v>
      </c>
      <c r="IM133">
        <v>6.4980710991155998E-7</v>
      </c>
      <c r="IN133">
        <v>-2.7237938963984961E-10</v>
      </c>
      <c r="IO133">
        <v>-9.2163463679041709E-3</v>
      </c>
      <c r="IP133">
        <v>6.6907473102813496E-3</v>
      </c>
      <c r="IQ133">
        <v>-3.3673306238274028E-4</v>
      </c>
      <c r="IR133">
        <v>6.1311374003140313E-6</v>
      </c>
      <c r="IS133">
        <v>3</v>
      </c>
      <c r="IT133">
        <v>2101</v>
      </c>
      <c r="IU133">
        <v>1</v>
      </c>
      <c r="IV133">
        <v>32</v>
      </c>
      <c r="IW133">
        <v>0.6</v>
      </c>
      <c r="IX133">
        <v>0.6</v>
      </c>
      <c r="IY133">
        <v>1.5979000000000001</v>
      </c>
      <c r="IZ133">
        <v>2.7136200000000001</v>
      </c>
      <c r="JA133">
        <v>1.6015600000000001</v>
      </c>
      <c r="JB133">
        <v>2.3278799999999999</v>
      </c>
      <c r="JC133">
        <v>1.5502899999999999</v>
      </c>
      <c r="JD133">
        <v>2.4462899999999999</v>
      </c>
      <c r="JE133">
        <v>46.444200000000002</v>
      </c>
      <c r="JF133">
        <v>16.233499999999999</v>
      </c>
      <c r="JG133">
        <v>18</v>
      </c>
      <c r="JH133">
        <v>604.36099999999999</v>
      </c>
      <c r="JI133">
        <v>376.93099999999998</v>
      </c>
      <c r="JJ133">
        <v>26.293700000000001</v>
      </c>
      <c r="JK133">
        <v>35.839100000000002</v>
      </c>
      <c r="JL133">
        <v>30.0002</v>
      </c>
      <c r="JM133">
        <v>36.012099999999997</v>
      </c>
      <c r="JN133">
        <v>36.019300000000001</v>
      </c>
      <c r="JO133">
        <v>31.986499999999999</v>
      </c>
      <c r="JP133">
        <v>20.3</v>
      </c>
      <c r="JQ133">
        <v>3.9868700000000001</v>
      </c>
      <c r="JR133">
        <v>26.2941</v>
      </c>
      <c r="JS133">
        <v>700</v>
      </c>
      <c r="JT133">
        <v>22.014800000000001</v>
      </c>
      <c r="JU133">
        <v>98.505200000000002</v>
      </c>
      <c r="JV133">
        <v>98.543899999999994</v>
      </c>
    </row>
    <row r="134" spans="1:282" x14ac:dyDescent="0.25">
      <c r="A134">
        <v>118</v>
      </c>
      <c r="B134">
        <v>1689023705.5</v>
      </c>
      <c r="C134">
        <v>23882.900000095371</v>
      </c>
      <c r="D134" t="s">
        <v>1015</v>
      </c>
      <c r="E134" t="s">
        <v>1016</v>
      </c>
      <c r="F134" t="s">
        <v>414</v>
      </c>
      <c r="G134" t="s">
        <v>415</v>
      </c>
      <c r="H134" t="s">
        <v>418</v>
      </c>
      <c r="I134" t="s">
        <v>417</v>
      </c>
      <c r="J134" t="s">
        <v>418</v>
      </c>
      <c r="K134">
        <v>1689023705.5</v>
      </c>
      <c r="L134">
        <f t="shared" si="138"/>
        <v>4.9170998392130188E-3</v>
      </c>
      <c r="M134">
        <f t="shared" si="139"/>
        <v>4.9170998392130185</v>
      </c>
      <c r="N134">
        <f t="shared" si="140"/>
        <v>52.527493136141715</v>
      </c>
      <c r="O134">
        <f t="shared" si="141"/>
        <v>832.21</v>
      </c>
      <c r="P134">
        <f t="shared" si="142"/>
        <v>554.61391869329191</v>
      </c>
      <c r="Q134">
        <f t="shared" si="143"/>
        <v>54.936373702256347</v>
      </c>
      <c r="R134">
        <f t="shared" si="144"/>
        <v>82.433199055788009</v>
      </c>
      <c r="S134">
        <f t="shared" si="145"/>
        <v>0.34024394801353419</v>
      </c>
      <c r="T134">
        <f t="shared" si="146"/>
        <v>2.9133088929065378</v>
      </c>
      <c r="U134">
        <f t="shared" si="147"/>
        <v>0.319609060061262</v>
      </c>
      <c r="V134">
        <f t="shared" si="148"/>
        <v>0.20150525434885441</v>
      </c>
      <c r="W134">
        <f t="shared" si="149"/>
        <v>289.54368832636436</v>
      </c>
      <c r="X134">
        <f t="shared" si="150"/>
        <v>30.713562910638689</v>
      </c>
      <c r="Y134">
        <f t="shared" si="151"/>
        <v>30.058299999999999</v>
      </c>
      <c r="Z134">
        <f t="shared" si="152"/>
        <v>4.274737593976063</v>
      </c>
      <c r="AA134">
        <f t="shared" si="153"/>
        <v>64.782127399656559</v>
      </c>
      <c r="AB134">
        <f t="shared" si="154"/>
        <v>2.8052902878588002</v>
      </c>
      <c r="AC134">
        <f t="shared" si="155"/>
        <v>4.3303460390429729</v>
      </c>
      <c r="AD134">
        <f t="shared" si="156"/>
        <v>1.4694473061172628</v>
      </c>
      <c r="AE134">
        <f t="shared" si="157"/>
        <v>-216.84410290929412</v>
      </c>
      <c r="AF134">
        <f t="shared" si="158"/>
        <v>35.386138225445315</v>
      </c>
      <c r="AG134">
        <f t="shared" si="159"/>
        <v>2.705332542844197</v>
      </c>
      <c r="AH134">
        <f t="shared" si="160"/>
        <v>110.79105618535974</v>
      </c>
      <c r="AI134">
        <v>0</v>
      </c>
      <c r="AJ134">
        <v>0</v>
      </c>
      <c r="AK134">
        <f t="shared" si="161"/>
        <v>1</v>
      </c>
      <c r="AL134">
        <f t="shared" si="162"/>
        <v>0</v>
      </c>
      <c r="AM134">
        <f t="shared" si="163"/>
        <v>51819.29941335466</v>
      </c>
      <c r="AN134" t="s">
        <v>419</v>
      </c>
      <c r="AO134">
        <v>9967.0300000000007</v>
      </c>
      <c r="AP134">
        <v>178.94153846153841</v>
      </c>
      <c r="AQ134">
        <v>603.15</v>
      </c>
      <c r="AR134">
        <f t="shared" si="164"/>
        <v>0.7033216638290003</v>
      </c>
      <c r="AS134">
        <v>-3.2649104154664181</v>
      </c>
      <c r="AT134" t="s">
        <v>1017</v>
      </c>
      <c r="AU134">
        <v>8054.3</v>
      </c>
      <c r="AV134">
        <v>713.53556000000015</v>
      </c>
      <c r="AW134">
        <v>1217.094574077996</v>
      </c>
      <c r="AX134">
        <f t="shared" si="165"/>
        <v>0.41373860733827073</v>
      </c>
      <c r="AY134">
        <v>0.5</v>
      </c>
      <c r="AZ134">
        <f t="shared" si="166"/>
        <v>1513.0592996509658</v>
      </c>
      <c r="BA134">
        <f t="shared" si="167"/>
        <v>52.527493136141715</v>
      </c>
      <c r="BB134">
        <f t="shared" si="168"/>
        <v>313.0055237289049</v>
      </c>
      <c r="BC134">
        <f t="shared" si="169"/>
        <v>3.6873904125554358E-2</v>
      </c>
      <c r="BD134">
        <f t="shared" si="170"/>
        <v>-0.50443456667538489</v>
      </c>
      <c r="BE134">
        <f t="shared" si="171"/>
        <v>210.43399802121584</v>
      </c>
      <c r="BF134" t="s">
        <v>1018</v>
      </c>
      <c r="BG134">
        <v>557.26</v>
      </c>
      <c r="BH134">
        <f t="shared" si="172"/>
        <v>557.26</v>
      </c>
      <c r="BI134">
        <f t="shared" si="173"/>
        <v>0.54213911402723203</v>
      </c>
      <c r="BJ134">
        <f t="shared" si="174"/>
        <v>0.76315948551442903</v>
      </c>
      <c r="BK134">
        <f t="shared" si="175"/>
        <v>-13.378613512268384</v>
      </c>
      <c r="BL134">
        <f t="shared" si="176"/>
        <v>0.48505277815710601</v>
      </c>
      <c r="BM134">
        <f t="shared" si="177"/>
        <v>-1.4472709286642358</v>
      </c>
      <c r="BN134">
        <f t="shared" si="178"/>
        <v>0.59601550187319408</v>
      </c>
      <c r="BO134">
        <f t="shared" si="179"/>
        <v>0.40398449812680592</v>
      </c>
      <c r="BP134">
        <v>6271</v>
      </c>
      <c r="BQ134">
        <v>290.00000000000011</v>
      </c>
      <c r="BR134">
        <v>1029.53</v>
      </c>
      <c r="BS134">
        <v>275</v>
      </c>
      <c r="BT134">
        <v>8054.3</v>
      </c>
      <c r="BU134">
        <v>1033.08</v>
      </c>
      <c r="BV134">
        <v>-3.55</v>
      </c>
      <c r="BW134">
        <v>300.00000000000011</v>
      </c>
      <c r="BX134">
        <v>19.399999999999999</v>
      </c>
      <c r="BY134">
        <v>1217.094574077996</v>
      </c>
      <c r="BZ134">
        <v>4.7423299791380629</v>
      </c>
      <c r="CA134">
        <v>-148.21119331991719</v>
      </c>
      <c r="CB134">
        <v>3.508506245492661</v>
      </c>
      <c r="CC134">
        <v>0.98455175733169098</v>
      </c>
      <c r="CD134">
        <v>-4.1574887652947746E-3</v>
      </c>
      <c r="CE134">
        <v>289.99999999999989</v>
      </c>
      <c r="CF134">
        <v>1020.98</v>
      </c>
      <c r="CG134">
        <v>625</v>
      </c>
      <c r="CH134">
        <v>8044.74</v>
      </c>
      <c r="CI134">
        <v>1032.8599999999999</v>
      </c>
      <c r="CJ134">
        <v>-11.88</v>
      </c>
      <c r="CX134">
        <f t="shared" si="180"/>
        <v>1799.85</v>
      </c>
      <c r="CY134">
        <f t="shared" si="181"/>
        <v>1513.0592996509658</v>
      </c>
      <c r="CZ134">
        <f t="shared" si="182"/>
        <v>0.84065855468564932</v>
      </c>
      <c r="DA134">
        <f t="shared" si="183"/>
        <v>0.16087101054330327</v>
      </c>
      <c r="DB134">
        <v>6</v>
      </c>
      <c r="DC134">
        <v>0.5</v>
      </c>
      <c r="DD134" t="s">
        <v>422</v>
      </c>
      <c r="DE134">
        <v>2</v>
      </c>
      <c r="DF134">
        <v>1689023705.5</v>
      </c>
      <c r="DG134">
        <v>832.21</v>
      </c>
      <c r="DH134">
        <v>900.13199999999995</v>
      </c>
      <c r="DI134">
        <v>28.321000000000002</v>
      </c>
      <c r="DJ134">
        <v>22.589400000000001</v>
      </c>
      <c r="DK134">
        <v>832.53200000000004</v>
      </c>
      <c r="DL134">
        <v>28.27</v>
      </c>
      <c r="DM134">
        <v>500.15800000000002</v>
      </c>
      <c r="DN134">
        <v>98.953400000000002</v>
      </c>
      <c r="DO134">
        <v>9.9962800000000004E-2</v>
      </c>
      <c r="DP134">
        <v>30.2836</v>
      </c>
      <c r="DQ134">
        <v>30.058299999999999</v>
      </c>
      <c r="DR134">
        <v>999.9</v>
      </c>
      <c r="DS134">
        <v>0</v>
      </c>
      <c r="DT134">
        <v>0</v>
      </c>
      <c r="DU134">
        <v>10012.5</v>
      </c>
      <c r="DV134">
        <v>0</v>
      </c>
      <c r="DW134">
        <v>1395.36</v>
      </c>
      <c r="DX134">
        <v>-67.921400000000006</v>
      </c>
      <c r="DY134">
        <v>856.46600000000001</v>
      </c>
      <c r="DZ134">
        <v>920.93499999999995</v>
      </c>
      <c r="EA134">
        <v>5.7316500000000001</v>
      </c>
      <c r="EB134">
        <v>900.13199999999995</v>
      </c>
      <c r="EC134">
        <v>22.589400000000001</v>
      </c>
      <c r="ED134">
        <v>2.80246</v>
      </c>
      <c r="EE134">
        <v>2.23529</v>
      </c>
      <c r="EF134">
        <v>22.898599999999998</v>
      </c>
      <c r="EG134">
        <v>19.217500000000001</v>
      </c>
      <c r="EH134">
        <v>1799.85</v>
      </c>
      <c r="EI134">
        <v>0.977989</v>
      </c>
      <c r="EJ134">
        <v>2.20109E-2</v>
      </c>
      <c r="EK134">
        <v>0</v>
      </c>
      <c r="EL134">
        <v>712.91600000000005</v>
      </c>
      <c r="EM134">
        <v>5.0005300000000004</v>
      </c>
      <c r="EN134">
        <v>15579.4</v>
      </c>
      <c r="EO134">
        <v>16033.8</v>
      </c>
      <c r="EP134">
        <v>50.061999999999998</v>
      </c>
      <c r="EQ134">
        <v>51.25</v>
      </c>
      <c r="ER134">
        <v>50.625</v>
      </c>
      <c r="ES134">
        <v>50.625</v>
      </c>
      <c r="ET134">
        <v>51.061999999999998</v>
      </c>
      <c r="EU134">
        <v>1755.34</v>
      </c>
      <c r="EV134">
        <v>39.51</v>
      </c>
      <c r="EW134">
        <v>0</v>
      </c>
      <c r="EX134">
        <v>109.3999998569489</v>
      </c>
      <c r="EY134">
        <v>0</v>
      </c>
      <c r="EZ134">
        <v>713.53556000000015</v>
      </c>
      <c r="FA134">
        <v>-3.3520769284204941</v>
      </c>
      <c r="FB134">
        <v>-157.2230764658739</v>
      </c>
      <c r="FC134">
        <v>15581.052</v>
      </c>
      <c r="FD134">
        <v>15</v>
      </c>
      <c r="FE134">
        <v>1689023670.5</v>
      </c>
      <c r="FF134" t="s">
        <v>1019</v>
      </c>
      <c r="FG134">
        <v>1689023670.5</v>
      </c>
      <c r="FH134">
        <v>1689023665</v>
      </c>
      <c r="FI134">
        <v>127</v>
      </c>
      <c r="FJ134">
        <v>7.4999999999999997E-2</v>
      </c>
      <c r="FK134">
        <v>2E-3</v>
      </c>
      <c r="FL134">
        <v>-0.316</v>
      </c>
      <c r="FM134">
        <v>4.2000000000000003E-2</v>
      </c>
      <c r="FN134">
        <v>900</v>
      </c>
      <c r="FO134">
        <v>22</v>
      </c>
      <c r="FP134">
        <v>0.03</v>
      </c>
      <c r="FQ134">
        <v>0.02</v>
      </c>
      <c r="FR134">
        <v>52.35511467038075</v>
      </c>
      <c r="FS134">
        <v>-0.55535978876549652</v>
      </c>
      <c r="FT134">
        <v>7.7608884289404614E-2</v>
      </c>
      <c r="FU134">
        <v>1</v>
      </c>
      <c r="FV134">
        <v>0.34235158283124267</v>
      </c>
      <c r="FW134">
        <v>-1.27752598846309E-2</v>
      </c>
      <c r="FX134">
        <v>1.0475310855062011E-3</v>
      </c>
      <c r="FY134">
        <v>1</v>
      </c>
      <c r="FZ134">
        <v>2</v>
      </c>
      <c r="GA134">
        <v>2</v>
      </c>
      <c r="GB134" t="s">
        <v>424</v>
      </c>
      <c r="GC134">
        <v>3.1257799999999998</v>
      </c>
      <c r="GD134">
        <v>2.7673700000000001</v>
      </c>
      <c r="GE134">
        <v>0.14854600000000001</v>
      </c>
      <c r="GF134">
        <v>0.15620800000000001</v>
      </c>
      <c r="GG134">
        <v>0.119474</v>
      </c>
      <c r="GH134">
        <v>0.102252</v>
      </c>
      <c r="GI134">
        <v>20281</v>
      </c>
      <c r="GJ134">
        <v>20841.2</v>
      </c>
      <c r="GK134">
        <v>23687.9</v>
      </c>
      <c r="GL134">
        <v>25019</v>
      </c>
      <c r="GM134">
        <v>30063.5</v>
      </c>
      <c r="GN134">
        <v>31511.8</v>
      </c>
      <c r="GO134">
        <v>37763.9</v>
      </c>
      <c r="GP134">
        <v>38937.699999999997</v>
      </c>
      <c r="GQ134">
        <v>2.1321500000000002</v>
      </c>
      <c r="GR134">
        <v>1.70492</v>
      </c>
      <c r="GS134">
        <v>-8.4191600000000002E-3</v>
      </c>
      <c r="GT134">
        <v>0</v>
      </c>
      <c r="GU134">
        <v>30.1952</v>
      </c>
      <c r="GV134">
        <v>999.9</v>
      </c>
      <c r="GW134">
        <v>29</v>
      </c>
      <c r="GX134">
        <v>43.9</v>
      </c>
      <c r="GY134">
        <v>26.682700000000001</v>
      </c>
      <c r="GZ134">
        <v>61.608699999999999</v>
      </c>
      <c r="HA134">
        <v>26.991199999999999</v>
      </c>
      <c r="HB134">
        <v>1</v>
      </c>
      <c r="HC134">
        <v>0.72955800000000004</v>
      </c>
      <c r="HD134">
        <v>3.8551199999999999</v>
      </c>
      <c r="HE134">
        <v>20.324200000000001</v>
      </c>
      <c r="HF134">
        <v>5.2485900000000001</v>
      </c>
      <c r="HG134">
        <v>12.0099</v>
      </c>
      <c r="HH134">
        <v>4.9770500000000002</v>
      </c>
      <c r="HI134">
        <v>3.2922500000000001</v>
      </c>
      <c r="HJ134">
        <v>9999</v>
      </c>
      <c r="HK134">
        <v>9999</v>
      </c>
      <c r="HL134">
        <v>9999</v>
      </c>
      <c r="HM134">
        <v>238</v>
      </c>
      <c r="HN134">
        <v>1.87574</v>
      </c>
      <c r="HO134">
        <v>1.87673</v>
      </c>
      <c r="HP134">
        <v>1.8828</v>
      </c>
      <c r="HQ134">
        <v>1.8859900000000001</v>
      </c>
      <c r="HR134">
        <v>1.87683</v>
      </c>
      <c r="HS134">
        <v>1.8832500000000001</v>
      </c>
      <c r="HT134">
        <v>1.8821699999999999</v>
      </c>
      <c r="HU134">
        <v>1.88568</v>
      </c>
      <c r="HV134">
        <v>0</v>
      </c>
      <c r="HW134">
        <v>0</v>
      </c>
      <c r="HX134">
        <v>0</v>
      </c>
      <c r="HY134">
        <v>0</v>
      </c>
      <c r="HZ134" t="s">
        <v>425</v>
      </c>
      <c r="IA134" t="s">
        <v>426</v>
      </c>
      <c r="IB134" t="s">
        <v>427</v>
      </c>
      <c r="IC134" t="s">
        <v>427</v>
      </c>
      <c r="ID134" t="s">
        <v>427</v>
      </c>
      <c r="IE134" t="s">
        <v>427</v>
      </c>
      <c r="IF134">
        <v>0</v>
      </c>
      <c r="IG134">
        <v>100</v>
      </c>
      <c r="IH134">
        <v>100</v>
      </c>
      <c r="II134">
        <v>-0.32200000000000001</v>
      </c>
      <c r="IJ134">
        <v>5.0999999999999997E-2</v>
      </c>
      <c r="IK134">
        <v>-0.25810708463291371</v>
      </c>
      <c r="IL134">
        <v>-4.2852564239613137E-4</v>
      </c>
      <c r="IM134">
        <v>6.4980710991155998E-7</v>
      </c>
      <c r="IN134">
        <v>-2.7237938963984961E-10</v>
      </c>
      <c r="IO134">
        <v>-7.5651080180645491E-3</v>
      </c>
      <c r="IP134">
        <v>6.6907473102813496E-3</v>
      </c>
      <c r="IQ134">
        <v>-3.3673306238274028E-4</v>
      </c>
      <c r="IR134">
        <v>6.1311374003140313E-6</v>
      </c>
      <c r="IS134">
        <v>3</v>
      </c>
      <c r="IT134">
        <v>2101</v>
      </c>
      <c r="IU134">
        <v>1</v>
      </c>
      <c r="IV134">
        <v>32</v>
      </c>
      <c r="IW134">
        <v>0.6</v>
      </c>
      <c r="IX134">
        <v>0.7</v>
      </c>
      <c r="IY134">
        <v>1.96411</v>
      </c>
      <c r="IZ134">
        <v>2.7050800000000002</v>
      </c>
      <c r="JA134">
        <v>1.6015600000000001</v>
      </c>
      <c r="JB134">
        <v>2.32666</v>
      </c>
      <c r="JC134">
        <v>1.5502899999999999</v>
      </c>
      <c r="JD134">
        <v>2.4084500000000002</v>
      </c>
      <c r="JE134">
        <v>46.24</v>
      </c>
      <c r="JF134">
        <v>16.1722</v>
      </c>
      <c r="JG134">
        <v>18</v>
      </c>
      <c r="JH134">
        <v>603.90099999999995</v>
      </c>
      <c r="JI134">
        <v>378.02699999999999</v>
      </c>
      <c r="JJ134">
        <v>26.492599999999999</v>
      </c>
      <c r="JK134">
        <v>35.854700000000001</v>
      </c>
      <c r="JL134">
        <v>29.999600000000001</v>
      </c>
      <c r="JM134">
        <v>36.041800000000002</v>
      </c>
      <c r="JN134">
        <v>36.046599999999998</v>
      </c>
      <c r="JO134">
        <v>39.3065</v>
      </c>
      <c r="JP134">
        <v>17.971699999999998</v>
      </c>
      <c r="JQ134">
        <v>4.5838000000000001</v>
      </c>
      <c r="JR134">
        <v>26.4983</v>
      </c>
      <c r="JS134">
        <v>900</v>
      </c>
      <c r="JT134">
        <v>22.533200000000001</v>
      </c>
      <c r="JU134">
        <v>98.493399999999994</v>
      </c>
      <c r="JV134">
        <v>98.536500000000004</v>
      </c>
    </row>
    <row r="135" spans="1:282" x14ac:dyDescent="0.25">
      <c r="A135">
        <v>119</v>
      </c>
      <c r="B135">
        <v>1689023841</v>
      </c>
      <c r="C135">
        <v>24018.400000095371</v>
      </c>
      <c r="D135" t="s">
        <v>1020</v>
      </c>
      <c r="E135" t="s">
        <v>1021</v>
      </c>
      <c r="F135" t="s">
        <v>414</v>
      </c>
      <c r="G135" t="s">
        <v>415</v>
      </c>
      <c r="H135" t="s">
        <v>418</v>
      </c>
      <c r="I135" t="s">
        <v>417</v>
      </c>
      <c r="J135" t="s">
        <v>418</v>
      </c>
      <c r="K135">
        <v>1689023841</v>
      </c>
      <c r="L135">
        <f t="shared" si="138"/>
        <v>4.6524344985082646E-3</v>
      </c>
      <c r="M135">
        <f t="shared" si="139"/>
        <v>4.6524344985082644</v>
      </c>
      <c r="N135">
        <f t="shared" si="140"/>
        <v>50.871351443539574</v>
      </c>
      <c r="O135">
        <f t="shared" si="141"/>
        <v>1132.7</v>
      </c>
      <c r="P135">
        <f t="shared" si="142"/>
        <v>843.4689568657883</v>
      </c>
      <c r="Q135">
        <f t="shared" si="143"/>
        <v>83.546888154653459</v>
      </c>
      <c r="R135">
        <f t="shared" si="144"/>
        <v>112.19566463289999</v>
      </c>
      <c r="S135">
        <f t="shared" si="145"/>
        <v>0.32296182138074414</v>
      </c>
      <c r="T135">
        <f t="shared" si="146"/>
        <v>2.9132841483019223</v>
      </c>
      <c r="U135">
        <f t="shared" si="147"/>
        <v>0.30430811007661041</v>
      </c>
      <c r="V135">
        <f t="shared" si="148"/>
        <v>0.19177868722999541</v>
      </c>
      <c r="W135">
        <f t="shared" si="149"/>
        <v>289.56284032640934</v>
      </c>
      <c r="X135">
        <f t="shared" si="150"/>
        <v>30.606071611332716</v>
      </c>
      <c r="Y135">
        <f t="shared" si="151"/>
        <v>29.9955</v>
      </c>
      <c r="Z135">
        <f t="shared" si="152"/>
        <v>4.2593486711021713</v>
      </c>
      <c r="AA135">
        <f t="shared" si="153"/>
        <v>65.294084560599117</v>
      </c>
      <c r="AB135">
        <f t="shared" si="154"/>
        <v>2.7989485242024998</v>
      </c>
      <c r="AC135">
        <f t="shared" si="155"/>
        <v>4.2866800921373045</v>
      </c>
      <c r="AD135">
        <f t="shared" si="156"/>
        <v>1.4604001468996715</v>
      </c>
      <c r="AE135">
        <f t="shared" si="157"/>
        <v>-205.17236138421447</v>
      </c>
      <c r="AF135">
        <f t="shared" si="158"/>
        <v>17.496592615362367</v>
      </c>
      <c r="AG135">
        <f t="shared" si="159"/>
        <v>1.3360720559687005</v>
      </c>
      <c r="AH135">
        <f t="shared" si="160"/>
        <v>103.22314361352596</v>
      </c>
      <c r="AI135">
        <v>0</v>
      </c>
      <c r="AJ135">
        <v>0</v>
      </c>
      <c r="AK135">
        <f t="shared" si="161"/>
        <v>1</v>
      </c>
      <c r="AL135">
        <f t="shared" si="162"/>
        <v>0</v>
      </c>
      <c r="AM135">
        <f t="shared" si="163"/>
        <v>51848.774558514095</v>
      </c>
      <c r="AN135" t="s">
        <v>419</v>
      </c>
      <c r="AO135">
        <v>9967.0300000000007</v>
      </c>
      <c r="AP135">
        <v>178.94153846153841</v>
      </c>
      <c r="AQ135">
        <v>603.15</v>
      </c>
      <c r="AR135">
        <f t="shared" si="164"/>
        <v>0.7033216638290003</v>
      </c>
      <c r="AS135">
        <v>-3.2649104154664181</v>
      </c>
      <c r="AT135" t="s">
        <v>1022</v>
      </c>
      <c r="AU135">
        <v>8054.14</v>
      </c>
      <c r="AV135">
        <v>706.89643999999998</v>
      </c>
      <c r="AW135">
        <v>1207.2352688834401</v>
      </c>
      <c r="AX135">
        <f t="shared" si="165"/>
        <v>0.41445014222140686</v>
      </c>
      <c r="AY135">
        <v>0.5</v>
      </c>
      <c r="AZ135">
        <f t="shared" si="166"/>
        <v>1513.1600996509892</v>
      </c>
      <c r="BA135">
        <f t="shared" si="167"/>
        <v>50.871351443539574</v>
      </c>
      <c r="BB135">
        <f t="shared" si="168"/>
        <v>313.56470925205531</v>
      </c>
      <c r="BC135">
        <f t="shared" si="169"/>
        <v>3.577695570448397E-2</v>
      </c>
      <c r="BD135">
        <f t="shared" si="170"/>
        <v>-0.50038735982436344</v>
      </c>
      <c r="BE135">
        <f t="shared" si="171"/>
        <v>210.1372764807536</v>
      </c>
      <c r="BF135" t="s">
        <v>1023</v>
      </c>
      <c r="BG135">
        <v>555.20000000000005</v>
      </c>
      <c r="BH135">
        <f t="shared" si="172"/>
        <v>555.20000000000005</v>
      </c>
      <c r="BI135">
        <f t="shared" si="173"/>
        <v>0.54010621267427106</v>
      </c>
      <c r="BJ135">
        <f t="shared" si="174"/>
        <v>0.76734933332706323</v>
      </c>
      <c r="BK135">
        <f t="shared" si="175"/>
        <v>-12.598232927704712</v>
      </c>
      <c r="BL135">
        <f t="shared" si="176"/>
        <v>0.48657189485941393</v>
      </c>
      <c r="BM135">
        <f t="shared" si="177"/>
        <v>-1.424029277239369</v>
      </c>
      <c r="BN135">
        <f t="shared" si="178"/>
        <v>0.60268000481539497</v>
      </c>
      <c r="BO135">
        <f t="shared" si="179"/>
        <v>0.39731999518460503</v>
      </c>
      <c r="BP135">
        <v>6273</v>
      </c>
      <c r="BQ135">
        <v>290.00000000000011</v>
      </c>
      <c r="BR135">
        <v>1020.3</v>
      </c>
      <c r="BS135">
        <v>295</v>
      </c>
      <c r="BT135">
        <v>8054.14</v>
      </c>
      <c r="BU135">
        <v>1023.22</v>
      </c>
      <c r="BV135">
        <v>-2.92</v>
      </c>
      <c r="BW135">
        <v>300.00000000000011</v>
      </c>
      <c r="BX135">
        <v>19.399999999999999</v>
      </c>
      <c r="BY135">
        <v>1207.2352688834401</v>
      </c>
      <c r="BZ135">
        <v>4.7635771836833412</v>
      </c>
      <c r="CA135">
        <v>-148.2058140900497</v>
      </c>
      <c r="CB135">
        <v>3.5244562896115199</v>
      </c>
      <c r="CC135">
        <v>0.98441205976961632</v>
      </c>
      <c r="CD135">
        <v>-4.1575332591768628E-3</v>
      </c>
      <c r="CE135">
        <v>289.99999999999989</v>
      </c>
      <c r="CF135">
        <v>1011.5</v>
      </c>
      <c r="CG135">
        <v>635</v>
      </c>
      <c r="CH135">
        <v>8044.95</v>
      </c>
      <c r="CI135">
        <v>1023.01</v>
      </c>
      <c r="CJ135">
        <v>-11.51</v>
      </c>
      <c r="CX135">
        <f t="shared" si="180"/>
        <v>1799.97</v>
      </c>
      <c r="CY135">
        <f t="shared" si="181"/>
        <v>1513.1600996509892</v>
      </c>
      <c r="CZ135">
        <f t="shared" si="182"/>
        <v>0.84065851078128484</v>
      </c>
      <c r="DA135">
        <f t="shared" si="183"/>
        <v>0.16087092580787976</v>
      </c>
      <c r="DB135">
        <v>6</v>
      </c>
      <c r="DC135">
        <v>0.5</v>
      </c>
      <c r="DD135" t="s">
        <v>422</v>
      </c>
      <c r="DE135">
        <v>2</v>
      </c>
      <c r="DF135">
        <v>1689023841</v>
      </c>
      <c r="DG135">
        <v>1132.7</v>
      </c>
      <c r="DH135">
        <v>1200.05</v>
      </c>
      <c r="DI135">
        <v>28.2575</v>
      </c>
      <c r="DJ135">
        <v>22.8339</v>
      </c>
      <c r="DK135">
        <v>1132.93</v>
      </c>
      <c r="DL135">
        <v>28.2044</v>
      </c>
      <c r="DM135">
        <v>500.14400000000001</v>
      </c>
      <c r="DN135">
        <v>98.951999999999998</v>
      </c>
      <c r="DO135">
        <v>9.9527000000000004E-2</v>
      </c>
      <c r="DP135">
        <v>30.1069</v>
      </c>
      <c r="DQ135">
        <v>29.9955</v>
      </c>
      <c r="DR135">
        <v>999.9</v>
      </c>
      <c r="DS135">
        <v>0</v>
      </c>
      <c r="DT135">
        <v>0</v>
      </c>
      <c r="DU135">
        <v>10012.5</v>
      </c>
      <c r="DV135">
        <v>0</v>
      </c>
      <c r="DW135">
        <v>1411.2</v>
      </c>
      <c r="DX135">
        <v>-67.340299999999999</v>
      </c>
      <c r="DY135">
        <v>1165.6400000000001</v>
      </c>
      <c r="DZ135">
        <v>1228.0899999999999</v>
      </c>
      <c r="EA135">
        <v>5.4235300000000004</v>
      </c>
      <c r="EB135">
        <v>1200.05</v>
      </c>
      <c r="EC135">
        <v>22.8339</v>
      </c>
      <c r="ED135">
        <v>2.7961299999999998</v>
      </c>
      <c r="EE135">
        <v>2.2594699999999999</v>
      </c>
      <c r="EF135">
        <v>22.8613</v>
      </c>
      <c r="EG135">
        <v>19.3903</v>
      </c>
      <c r="EH135">
        <v>1799.97</v>
      </c>
      <c r="EI135">
        <v>0.977989</v>
      </c>
      <c r="EJ135">
        <v>2.20109E-2</v>
      </c>
      <c r="EK135">
        <v>0</v>
      </c>
      <c r="EL135">
        <v>706.15499999999997</v>
      </c>
      <c r="EM135">
        <v>5.0005300000000004</v>
      </c>
      <c r="EN135">
        <v>15484.6</v>
      </c>
      <c r="EO135">
        <v>16035</v>
      </c>
      <c r="EP135">
        <v>50</v>
      </c>
      <c r="EQ135">
        <v>51.186999999999998</v>
      </c>
      <c r="ER135">
        <v>50.561999999999998</v>
      </c>
      <c r="ES135">
        <v>50.561999999999998</v>
      </c>
      <c r="ET135">
        <v>51</v>
      </c>
      <c r="EU135">
        <v>1755.46</v>
      </c>
      <c r="EV135">
        <v>39.51</v>
      </c>
      <c r="EW135">
        <v>0</v>
      </c>
      <c r="EX135">
        <v>133.39999985694891</v>
      </c>
      <c r="EY135">
        <v>0</v>
      </c>
      <c r="EZ135">
        <v>706.89643999999998</v>
      </c>
      <c r="FA135">
        <v>-2.216000012074399</v>
      </c>
      <c r="FB135">
        <v>110.47692293227919</v>
      </c>
      <c r="FC135">
        <v>15492.32</v>
      </c>
      <c r="FD135">
        <v>15</v>
      </c>
      <c r="FE135">
        <v>1689023808</v>
      </c>
      <c r="FF135" t="s">
        <v>1024</v>
      </c>
      <c r="FG135">
        <v>1689023801</v>
      </c>
      <c r="FH135">
        <v>1689023808</v>
      </c>
      <c r="FI135">
        <v>128</v>
      </c>
      <c r="FJ135">
        <v>7.8E-2</v>
      </c>
      <c r="FK135">
        <v>2E-3</v>
      </c>
      <c r="FL135">
        <v>-0.23</v>
      </c>
      <c r="FM135">
        <v>4.4999999999999998E-2</v>
      </c>
      <c r="FN135">
        <v>1200</v>
      </c>
      <c r="FO135">
        <v>23</v>
      </c>
      <c r="FP135">
        <v>0.04</v>
      </c>
      <c r="FQ135">
        <v>0.01</v>
      </c>
      <c r="FR135">
        <v>50.837660146279958</v>
      </c>
      <c r="FS135">
        <v>-0.26091284692350519</v>
      </c>
      <c r="FT135">
        <v>0.1049608222079691</v>
      </c>
      <c r="FU135">
        <v>1</v>
      </c>
      <c r="FV135">
        <v>0.32764067008186443</v>
      </c>
      <c r="FW135">
        <v>-1.347832456551896E-2</v>
      </c>
      <c r="FX135">
        <v>1.392893963530997E-3</v>
      </c>
      <c r="FY135">
        <v>1</v>
      </c>
      <c r="FZ135">
        <v>2</v>
      </c>
      <c r="GA135">
        <v>2</v>
      </c>
      <c r="GB135" t="s">
        <v>424</v>
      </c>
      <c r="GC135">
        <v>3.1257199999999998</v>
      </c>
      <c r="GD135">
        <v>2.76694</v>
      </c>
      <c r="GE135">
        <v>0.18104600000000001</v>
      </c>
      <c r="GF135">
        <v>0.187441</v>
      </c>
      <c r="GG135">
        <v>0.119279</v>
      </c>
      <c r="GH135">
        <v>0.103033</v>
      </c>
      <c r="GI135">
        <v>19507</v>
      </c>
      <c r="GJ135">
        <v>20070.099999999999</v>
      </c>
      <c r="GK135">
        <v>23690.5</v>
      </c>
      <c r="GL135">
        <v>25022.400000000001</v>
      </c>
      <c r="GM135">
        <v>30073.5</v>
      </c>
      <c r="GN135">
        <v>31487.8</v>
      </c>
      <c r="GO135">
        <v>37768.1</v>
      </c>
      <c r="GP135">
        <v>38942</v>
      </c>
      <c r="GQ135">
        <v>2.1320999999999999</v>
      </c>
      <c r="GR135">
        <v>1.7073700000000001</v>
      </c>
      <c r="GS135">
        <v>-2.1569399999999999E-2</v>
      </c>
      <c r="GT135">
        <v>0</v>
      </c>
      <c r="GU135">
        <v>30.346399999999999</v>
      </c>
      <c r="GV135">
        <v>999.9</v>
      </c>
      <c r="GW135">
        <v>29.5</v>
      </c>
      <c r="GX135">
        <v>43.8</v>
      </c>
      <c r="GY135">
        <v>27.004200000000001</v>
      </c>
      <c r="GZ135">
        <v>60.8187</v>
      </c>
      <c r="HA135">
        <v>26.847000000000001</v>
      </c>
      <c r="HB135">
        <v>1</v>
      </c>
      <c r="HC135">
        <v>0.72478699999999996</v>
      </c>
      <c r="HD135">
        <v>3.7257799999999999</v>
      </c>
      <c r="HE135">
        <v>20.328199999999999</v>
      </c>
      <c r="HF135">
        <v>5.2475399999999999</v>
      </c>
      <c r="HG135">
        <v>12.0099</v>
      </c>
      <c r="HH135">
        <v>4.9770500000000002</v>
      </c>
      <c r="HI135">
        <v>3.29223</v>
      </c>
      <c r="HJ135">
        <v>9999</v>
      </c>
      <c r="HK135">
        <v>9999</v>
      </c>
      <c r="HL135">
        <v>9999</v>
      </c>
      <c r="HM135">
        <v>238.1</v>
      </c>
      <c r="HN135">
        <v>1.8757200000000001</v>
      </c>
      <c r="HO135">
        <v>1.8767</v>
      </c>
      <c r="HP135">
        <v>1.88279</v>
      </c>
      <c r="HQ135">
        <v>1.8859900000000001</v>
      </c>
      <c r="HR135">
        <v>1.87683</v>
      </c>
      <c r="HS135">
        <v>1.88324</v>
      </c>
      <c r="HT135">
        <v>1.88218</v>
      </c>
      <c r="HU135">
        <v>1.88568</v>
      </c>
      <c r="HV135">
        <v>0</v>
      </c>
      <c r="HW135">
        <v>0</v>
      </c>
      <c r="HX135">
        <v>0</v>
      </c>
      <c r="HY135">
        <v>0</v>
      </c>
      <c r="HZ135" t="s">
        <v>425</v>
      </c>
      <c r="IA135" t="s">
        <v>426</v>
      </c>
      <c r="IB135" t="s">
        <v>427</v>
      </c>
      <c r="IC135" t="s">
        <v>427</v>
      </c>
      <c r="ID135" t="s">
        <v>427</v>
      </c>
      <c r="IE135" t="s">
        <v>427</v>
      </c>
      <c r="IF135">
        <v>0</v>
      </c>
      <c r="IG135">
        <v>100</v>
      </c>
      <c r="IH135">
        <v>100</v>
      </c>
      <c r="II135">
        <v>-0.23</v>
      </c>
      <c r="IJ135">
        <v>5.3100000000000001E-2</v>
      </c>
      <c r="IK135">
        <v>-0.1807997473022202</v>
      </c>
      <c r="IL135">
        <v>-4.2852564239613137E-4</v>
      </c>
      <c r="IM135">
        <v>6.4980710991155998E-7</v>
      </c>
      <c r="IN135">
        <v>-2.7237938963984961E-10</v>
      </c>
      <c r="IO135">
        <v>-5.3082141759745721E-3</v>
      </c>
      <c r="IP135">
        <v>6.6907473102813496E-3</v>
      </c>
      <c r="IQ135">
        <v>-3.3673306238274028E-4</v>
      </c>
      <c r="IR135">
        <v>6.1311374003140313E-6</v>
      </c>
      <c r="IS135">
        <v>3</v>
      </c>
      <c r="IT135">
        <v>2101</v>
      </c>
      <c r="IU135">
        <v>1</v>
      </c>
      <c r="IV135">
        <v>32</v>
      </c>
      <c r="IW135">
        <v>0.7</v>
      </c>
      <c r="IX135">
        <v>0.6</v>
      </c>
      <c r="IY135">
        <v>2.4865699999999999</v>
      </c>
      <c r="IZ135">
        <v>2.7075200000000001</v>
      </c>
      <c r="JA135">
        <v>1.6015600000000001</v>
      </c>
      <c r="JB135">
        <v>2.32666</v>
      </c>
      <c r="JC135">
        <v>1.5502899999999999</v>
      </c>
      <c r="JD135">
        <v>2.4719199999999999</v>
      </c>
      <c r="JE135">
        <v>45.9499</v>
      </c>
      <c r="JF135">
        <v>16.145900000000001</v>
      </c>
      <c r="JG135">
        <v>18</v>
      </c>
      <c r="JH135">
        <v>603.89400000000001</v>
      </c>
      <c r="JI135">
        <v>379.57</v>
      </c>
      <c r="JJ135">
        <v>26.324999999999999</v>
      </c>
      <c r="JK135">
        <v>35.849600000000002</v>
      </c>
      <c r="JL135">
        <v>30.0002</v>
      </c>
      <c r="JM135">
        <v>36.045200000000001</v>
      </c>
      <c r="JN135">
        <v>36.053199999999997</v>
      </c>
      <c r="JO135">
        <v>49.762599999999999</v>
      </c>
      <c r="JP135">
        <v>18.383199999999999</v>
      </c>
      <c r="JQ135">
        <v>6.3383000000000003</v>
      </c>
      <c r="JR135">
        <v>26.322299999999998</v>
      </c>
      <c r="JS135">
        <v>1200</v>
      </c>
      <c r="JT135">
        <v>22.7804</v>
      </c>
      <c r="JU135">
        <v>98.504400000000004</v>
      </c>
      <c r="JV135">
        <v>98.548299999999998</v>
      </c>
    </row>
    <row r="136" spans="1:282" x14ac:dyDescent="0.25">
      <c r="A136">
        <v>120</v>
      </c>
      <c r="B136">
        <v>1689023953</v>
      </c>
      <c r="C136">
        <v>24130.400000095371</v>
      </c>
      <c r="D136" t="s">
        <v>1025</v>
      </c>
      <c r="E136" t="s">
        <v>1026</v>
      </c>
      <c r="F136" t="s">
        <v>414</v>
      </c>
      <c r="G136" t="s">
        <v>415</v>
      </c>
      <c r="H136" t="s">
        <v>418</v>
      </c>
      <c r="I136" t="s">
        <v>417</v>
      </c>
      <c r="J136" t="s">
        <v>418</v>
      </c>
      <c r="K136">
        <v>1689023953</v>
      </c>
      <c r="L136">
        <f t="shared" si="138"/>
        <v>4.2311599432230959E-3</v>
      </c>
      <c r="M136">
        <f t="shared" si="139"/>
        <v>4.231159943223096</v>
      </c>
      <c r="N136">
        <f t="shared" si="140"/>
        <v>49.754357880971909</v>
      </c>
      <c r="O136">
        <f t="shared" si="141"/>
        <v>1433.19</v>
      </c>
      <c r="P136">
        <f t="shared" si="142"/>
        <v>1116.3147599884478</v>
      </c>
      <c r="Q136">
        <f t="shared" si="143"/>
        <v>110.57442784067331</v>
      </c>
      <c r="R136">
        <f t="shared" si="144"/>
        <v>141.96189992024699</v>
      </c>
      <c r="S136">
        <f t="shared" si="145"/>
        <v>0.29167077678494913</v>
      </c>
      <c r="T136">
        <f t="shared" si="146"/>
        <v>2.9136354575743986</v>
      </c>
      <c r="U136">
        <f t="shared" si="147"/>
        <v>0.27636636951023485</v>
      </c>
      <c r="V136">
        <f t="shared" si="148"/>
        <v>0.17403707240338898</v>
      </c>
      <c r="W136">
        <f t="shared" si="149"/>
        <v>289.56124432640553</v>
      </c>
      <c r="X136">
        <f t="shared" si="150"/>
        <v>30.660708081297074</v>
      </c>
      <c r="Y136">
        <f t="shared" si="151"/>
        <v>29.979700000000001</v>
      </c>
      <c r="Z136">
        <f t="shared" si="152"/>
        <v>4.2554845458885309</v>
      </c>
      <c r="AA136">
        <f t="shared" si="153"/>
        <v>65.360717302916072</v>
      </c>
      <c r="AB136">
        <f t="shared" si="154"/>
        <v>2.7929405835313199</v>
      </c>
      <c r="AC136">
        <f t="shared" si="155"/>
        <v>4.2731180115226683</v>
      </c>
      <c r="AD136">
        <f t="shared" si="156"/>
        <v>1.462543962357211</v>
      </c>
      <c r="AE136">
        <f t="shared" si="157"/>
        <v>-186.59415349613852</v>
      </c>
      <c r="AF136">
        <f t="shared" si="158"/>
        <v>11.309753864789942</v>
      </c>
      <c r="AG136">
        <f t="shared" si="159"/>
        <v>0.8632260675767981</v>
      </c>
      <c r="AH136">
        <f t="shared" si="160"/>
        <v>115.14007076263377</v>
      </c>
      <c r="AI136">
        <v>0</v>
      </c>
      <c r="AJ136">
        <v>0</v>
      </c>
      <c r="AK136">
        <f t="shared" si="161"/>
        <v>1</v>
      </c>
      <c r="AL136">
        <f t="shared" si="162"/>
        <v>0</v>
      </c>
      <c r="AM136">
        <f t="shared" si="163"/>
        <v>51868.230572052598</v>
      </c>
      <c r="AN136" t="s">
        <v>419</v>
      </c>
      <c r="AO136">
        <v>9967.0300000000007</v>
      </c>
      <c r="AP136">
        <v>178.94153846153841</v>
      </c>
      <c r="AQ136">
        <v>603.15</v>
      </c>
      <c r="AR136">
        <f t="shared" si="164"/>
        <v>0.7033216638290003</v>
      </c>
      <c r="AS136">
        <v>-3.2649104154664181</v>
      </c>
      <c r="AT136" t="s">
        <v>1027</v>
      </c>
      <c r="AU136">
        <v>8054.18</v>
      </c>
      <c r="AV136">
        <v>702.60192307692296</v>
      </c>
      <c r="AW136">
        <v>1186.900420945934</v>
      </c>
      <c r="AX136">
        <f t="shared" si="165"/>
        <v>0.40803633508111459</v>
      </c>
      <c r="AY136">
        <v>0.5</v>
      </c>
      <c r="AZ136">
        <f t="shared" si="166"/>
        <v>1513.1516996509872</v>
      </c>
      <c r="BA136">
        <f t="shared" si="167"/>
        <v>49.754357880971909</v>
      </c>
      <c r="BB136">
        <f t="shared" si="168"/>
        <v>308.71043697367412</v>
      </c>
      <c r="BC136">
        <f t="shared" si="169"/>
        <v>3.503896424176596E-2</v>
      </c>
      <c r="BD136">
        <f t="shared" si="170"/>
        <v>-0.49182762988717921</v>
      </c>
      <c r="BE136">
        <f t="shared" si="171"/>
        <v>209.51246687142216</v>
      </c>
      <c r="BF136" t="s">
        <v>1028</v>
      </c>
      <c r="BG136">
        <v>558.01</v>
      </c>
      <c r="BH136">
        <f t="shared" si="172"/>
        <v>558.01</v>
      </c>
      <c r="BI136">
        <f t="shared" si="173"/>
        <v>0.52985946406921136</v>
      </c>
      <c r="BJ136">
        <f t="shared" si="174"/>
        <v>0.77008407464779371</v>
      </c>
      <c r="BK136">
        <f t="shared" si="175"/>
        <v>-12.931998691757514</v>
      </c>
      <c r="BL136">
        <f t="shared" si="176"/>
        <v>0.48047445812007966</v>
      </c>
      <c r="BM136">
        <f t="shared" si="177"/>
        <v>-1.3760932981602192</v>
      </c>
      <c r="BN136">
        <f t="shared" si="178"/>
        <v>0.61160466599970997</v>
      </c>
      <c r="BO136">
        <f t="shared" si="179"/>
        <v>0.38839533400029003</v>
      </c>
      <c r="BP136">
        <v>6275</v>
      </c>
      <c r="BQ136">
        <v>290.00000000000011</v>
      </c>
      <c r="BR136">
        <v>1011.87</v>
      </c>
      <c r="BS136">
        <v>285</v>
      </c>
      <c r="BT136">
        <v>8054.18</v>
      </c>
      <c r="BU136">
        <v>1014.57</v>
      </c>
      <c r="BV136">
        <v>-2.7</v>
      </c>
      <c r="BW136">
        <v>300.00000000000011</v>
      </c>
      <c r="BX136">
        <v>19.3</v>
      </c>
      <c r="BY136">
        <v>1186.900420945934</v>
      </c>
      <c r="BZ136">
        <v>4.2550163715719744</v>
      </c>
      <c r="CA136">
        <v>-138.8019534916485</v>
      </c>
      <c r="CB136">
        <v>3.148194152362128</v>
      </c>
      <c r="CC136">
        <v>0.98580031072431251</v>
      </c>
      <c r="CD136">
        <v>-4.1575675194660718E-3</v>
      </c>
      <c r="CE136">
        <v>289.99999999999989</v>
      </c>
      <c r="CF136">
        <v>1003.19</v>
      </c>
      <c r="CG136">
        <v>705</v>
      </c>
      <c r="CH136">
        <v>8042.69</v>
      </c>
      <c r="CI136">
        <v>1014.32</v>
      </c>
      <c r="CJ136">
        <v>-11.13</v>
      </c>
      <c r="CX136">
        <f t="shared" si="180"/>
        <v>1799.96</v>
      </c>
      <c r="CY136">
        <f t="shared" si="181"/>
        <v>1513.1516996509872</v>
      </c>
      <c r="CZ136">
        <f t="shared" si="182"/>
        <v>0.84065851443975825</v>
      </c>
      <c r="DA136">
        <f t="shared" si="183"/>
        <v>0.1608709328687335</v>
      </c>
      <c r="DB136">
        <v>6</v>
      </c>
      <c r="DC136">
        <v>0.5</v>
      </c>
      <c r="DD136" t="s">
        <v>422</v>
      </c>
      <c r="DE136">
        <v>2</v>
      </c>
      <c r="DF136">
        <v>1689023953</v>
      </c>
      <c r="DG136">
        <v>1433.19</v>
      </c>
      <c r="DH136">
        <v>1500.15</v>
      </c>
      <c r="DI136">
        <v>28.196400000000001</v>
      </c>
      <c r="DJ136">
        <v>23.2638</v>
      </c>
      <c r="DK136">
        <v>1433.34</v>
      </c>
      <c r="DL136">
        <v>28.142900000000001</v>
      </c>
      <c r="DM136">
        <v>500.16500000000002</v>
      </c>
      <c r="DN136">
        <v>98.953100000000006</v>
      </c>
      <c r="DO136">
        <v>9.9991300000000005E-2</v>
      </c>
      <c r="DP136">
        <v>30.0517</v>
      </c>
      <c r="DQ136">
        <v>29.979700000000001</v>
      </c>
      <c r="DR136">
        <v>999.9</v>
      </c>
      <c r="DS136">
        <v>0</v>
      </c>
      <c r="DT136">
        <v>0</v>
      </c>
      <c r="DU136">
        <v>10014.4</v>
      </c>
      <c r="DV136">
        <v>0</v>
      </c>
      <c r="DW136">
        <v>1383.6</v>
      </c>
      <c r="DX136">
        <v>-66.959999999999994</v>
      </c>
      <c r="DY136">
        <v>1474.77</v>
      </c>
      <c r="DZ136">
        <v>1535.88</v>
      </c>
      <c r="EA136">
        <v>4.9325999999999999</v>
      </c>
      <c r="EB136">
        <v>1500.15</v>
      </c>
      <c r="EC136">
        <v>23.2638</v>
      </c>
      <c r="ED136">
        <v>2.7901199999999999</v>
      </c>
      <c r="EE136">
        <v>2.3020200000000002</v>
      </c>
      <c r="EF136">
        <v>22.825700000000001</v>
      </c>
      <c r="EG136">
        <v>19.6906</v>
      </c>
      <c r="EH136">
        <v>1799.96</v>
      </c>
      <c r="EI136">
        <v>0.977989</v>
      </c>
      <c r="EJ136">
        <v>2.20109E-2</v>
      </c>
      <c r="EK136">
        <v>0</v>
      </c>
      <c r="EL136">
        <v>701.995</v>
      </c>
      <c r="EM136">
        <v>5.0005300000000004</v>
      </c>
      <c r="EN136">
        <v>15437.4</v>
      </c>
      <c r="EO136">
        <v>16034.9</v>
      </c>
      <c r="EP136">
        <v>49.936999999999998</v>
      </c>
      <c r="EQ136">
        <v>51.186999999999998</v>
      </c>
      <c r="ER136">
        <v>50.5</v>
      </c>
      <c r="ES136">
        <v>50.5</v>
      </c>
      <c r="ET136">
        <v>51</v>
      </c>
      <c r="EU136">
        <v>1755.45</v>
      </c>
      <c r="EV136">
        <v>39.51</v>
      </c>
      <c r="EW136">
        <v>0</v>
      </c>
      <c r="EX136">
        <v>110</v>
      </c>
      <c r="EY136">
        <v>0</v>
      </c>
      <c r="EZ136">
        <v>702.60192307692296</v>
      </c>
      <c r="FA136">
        <v>-3.396444434663549</v>
      </c>
      <c r="FB136">
        <v>240.96410363690131</v>
      </c>
      <c r="FC136">
        <v>15405.51538461539</v>
      </c>
      <c r="FD136">
        <v>15</v>
      </c>
      <c r="FE136">
        <v>1689023917.5</v>
      </c>
      <c r="FF136" t="s">
        <v>1029</v>
      </c>
      <c r="FG136">
        <v>1689023907.5</v>
      </c>
      <c r="FH136">
        <v>1689023917.5</v>
      </c>
      <c r="FI136">
        <v>129</v>
      </c>
      <c r="FJ136">
        <v>0.111</v>
      </c>
      <c r="FK136">
        <v>1E-3</v>
      </c>
      <c r="FL136">
        <v>-0.16900000000000001</v>
      </c>
      <c r="FM136">
        <v>4.4999999999999998E-2</v>
      </c>
      <c r="FN136">
        <v>1500</v>
      </c>
      <c r="FO136">
        <v>23</v>
      </c>
      <c r="FP136">
        <v>0.04</v>
      </c>
      <c r="FQ136">
        <v>0.02</v>
      </c>
      <c r="FR136">
        <v>49.701022780443637</v>
      </c>
      <c r="FS136">
        <v>-0.59662096595821479</v>
      </c>
      <c r="FT136">
        <v>7.9273938126504059E-2</v>
      </c>
      <c r="FU136">
        <v>1</v>
      </c>
      <c r="FV136">
        <v>0.29473758015903601</v>
      </c>
      <c r="FW136">
        <v>-1.852689918931287E-2</v>
      </c>
      <c r="FX136">
        <v>1.4352345355954691E-3</v>
      </c>
      <c r="FY136">
        <v>1</v>
      </c>
      <c r="FZ136">
        <v>2</v>
      </c>
      <c r="GA136">
        <v>2</v>
      </c>
      <c r="GB136" t="s">
        <v>424</v>
      </c>
      <c r="GC136">
        <v>3.12581</v>
      </c>
      <c r="GD136">
        <v>2.76742</v>
      </c>
      <c r="GE136">
        <v>0.209119</v>
      </c>
      <c r="GF136">
        <v>0.214647</v>
      </c>
      <c r="GG136">
        <v>0.11909599999999999</v>
      </c>
      <c r="GH136">
        <v>0.10440000000000001</v>
      </c>
      <c r="GI136">
        <v>18835.400000000001</v>
      </c>
      <c r="GJ136">
        <v>19395.2</v>
      </c>
      <c r="GK136">
        <v>23690.2</v>
      </c>
      <c r="GL136">
        <v>25022.3</v>
      </c>
      <c r="GM136">
        <v>30079.5</v>
      </c>
      <c r="GN136">
        <v>31439.8</v>
      </c>
      <c r="GO136">
        <v>37767.9</v>
      </c>
      <c r="GP136">
        <v>38942</v>
      </c>
      <c r="GQ136">
        <v>2.1313499999999999</v>
      </c>
      <c r="GR136">
        <v>1.7094</v>
      </c>
      <c r="GS136">
        <v>-2.3469299999999998E-2</v>
      </c>
      <c r="GT136">
        <v>0</v>
      </c>
      <c r="GU136">
        <v>30.361499999999999</v>
      </c>
      <c r="GV136">
        <v>999.9</v>
      </c>
      <c r="GW136">
        <v>29.8</v>
      </c>
      <c r="GX136">
        <v>43.7</v>
      </c>
      <c r="GY136">
        <v>27.134399999999999</v>
      </c>
      <c r="GZ136">
        <v>61.048699999999997</v>
      </c>
      <c r="HA136">
        <v>26.742799999999999</v>
      </c>
      <c r="HB136">
        <v>1</v>
      </c>
      <c r="HC136">
        <v>0.72742899999999999</v>
      </c>
      <c r="HD136">
        <v>4.1013900000000003</v>
      </c>
      <c r="HE136">
        <v>20.32</v>
      </c>
      <c r="HF136">
        <v>5.2487399999999997</v>
      </c>
      <c r="HG136">
        <v>12.0099</v>
      </c>
      <c r="HH136">
        <v>4.9781500000000003</v>
      </c>
      <c r="HI136">
        <v>3.2924000000000002</v>
      </c>
      <c r="HJ136">
        <v>9999</v>
      </c>
      <c r="HK136">
        <v>9999</v>
      </c>
      <c r="HL136">
        <v>9999</v>
      </c>
      <c r="HM136">
        <v>238.1</v>
      </c>
      <c r="HN136">
        <v>1.8757600000000001</v>
      </c>
      <c r="HO136">
        <v>1.8767</v>
      </c>
      <c r="HP136">
        <v>1.8828199999999999</v>
      </c>
      <c r="HQ136">
        <v>1.8859900000000001</v>
      </c>
      <c r="HR136">
        <v>1.87683</v>
      </c>
      <c r="HS136">
        <v>1.8832500000000001</v>
      </c>
      <c r="HT136">
        <v>1.8822300000000001</v>
      </c>
      <c r="HU136">
        <v>1.88568</v>
      </c>
      <c r="HV136">
        <v>0</v>
      </c>
      <c r="HW136">
        <v>0</v>
      </c>
      <c r="HX136">
        <v>0</v>
      </c>
      <c r="HY136">
        <v>0</v>
      </c>
      <c r="HZ136" t="s">
        <v>425</v>
      </c>
      <c r="IA136" t="s">
        <v>426</v>
      </c>
      <c r="IB136" t="s">
        <v>427</v>
      </c>
      <c r="IC136" t="s">
        <v>427</v>
      </c>
      <c r="ID136" t="s">
        <v>427</v>
      </c>
      <c r="IE136" t="s">
        <v>427</v>
      </c>
      <c r="IF136">
        <v>0</v>
      </c>
      <c r="IG136">
        <v>100</v>
      </c>
      <c r="IH136">
        <v>100</v>
      </c>
      <c r="II136">
        <v>-0.15</v>
      </c>
      <c r="IJ136">
        <v>5.3499999999999999E-2</v>
      </c>
      <c r="IK136">
        <v>-6.8364049904973315E-2</v>
      </c>
      <c r="IL136">
        <v>-4.2852564239613137E-4</v>
      </c>
      <c r="IM136">
        <v>6.4980710991155998E-7</v>
      </c>
      <c r="IN136">
        <v>-2.7237938963984961E-10</v>
      </c>
      <c r="IO136">
        <v>-4.8122608436030178E-3</v>
      </c>
      <c r="IP136">
        <v>6.6907473102813496E-3</v>
      </c>
      <c r="IQ136">
        <v>-3.3673306238274028E-4</v>
      </c>
      <c r="IR136">
        <v>6.1311374003140313E-6</v>
      </c>
      <c r="IS136">
        <v>3</v>
      </c>
      <c r="IT136">
        <v>2101</v>
      </c>
      <c r="IU136">
        <v>1</v>
      </c>
      <c r="IV136">
        <v>32</v>
      </c>
      <c r="IW136">
        <v>0.8</v>
      </c>
      <c r="IX136">
        <v>0.6</v>
      </c>
      <c r="IY136">
        <v>2.9834000000000001</v>
      </c>
      <c r="IZ136">
        <v>2.6977500000000001</v>
      </c>
      <c r="JA136">
        <v>1.6015600000000001</v>
      </c>
      <c r="JB136">
        <v>2.32666</v>
      </c>
      <c r="JC136">
        <v>1.5502899999999999</v>
      </c>
      <c r="JD136">
        <v>2.4633799999999999</v>
      </c>
      <c r="JE136">
        <v>45.776800000000001</v>
      </c>
      <c r="JF136">
        <v>16.119599999999998</v>
      </c>
      <c r="JG136">
        <v>18</v>
      </c>
      <c r="JH136">
        <v>603.49800000000005</v>
      </c>
      <c r="JI136">
        <v>380.91699999999997</v>
      </c>
      <c r="JJ136">
        <v>25.9587</v>
      </c>
      <c r="JK136">
        <v>35.866199999999999</v>
      </c>
      <c r="JL136">
        <v>29.9999</v>
      </c>
      <c r="JM136">
        <v>36.061700000000002</v>
      </c>
      <c r="JN136">
        <v>36.069800000000001</v>
      </c>
      <c r="JO136">
        <v>59.7181</v>
      </c>
      <c r="JP136">
        <v>16.9849</v>
      </c>
      <c r="JQ136">
        <v>7.6692600000000004</v>
      </c>
      <c r="JR136">
        <v>26.287199999999999</v>
      </c>
      <c r="JS136">
        <v>1500</v>
      </c>
      <c r="JT136">
        <v>23.247299999999999</v>
      </c>
      <c r="JU136">
        <v>98.503500000000003</v>
      </c>
      <c r="JV136">
        <v>98.548299999999998</v>
      </c>
    </row>
    <row r="137" spans="1:282" x14ac:dyDescent="0.25">
      <c r="A137">
        <v>121</v>
      </c>
      <c r="B137">
        <v>1689026080</v>
      </c>
      <c r="C137">
        <v>26257.400000095371</v>
      </c>
      <c r="D137" t="s">
        <v>1030</v>
      </c>
      <c r="E137" t="s">
        <v>1031</v>
      </c>
      <c r="F137" t="s">
        <v>414</v>
      </c>
      <c r="G137" t="s">
        <v>415</v>
      </c>
      <c r="H137" t="s">
        <v>577</v>
      </c>
      <c r="I137" t="s">
        <v>655</v>
      </c>
      <c r="J137" t="s">
        <v>418</v>
      </c>
      <c r="K137">
        <v>1689026080</v>
      </c>
      <c r="L137">
        <f t="shared" si="138"/>
        <v>4.1168006303041469E-3</v>
      </c>
      <c r="M137">
        <f t="shared" si="139"/>
        <v>4.1168006303041471</v>
      </c>
      <c r="N137">
        <f t="shared" si="140"/>
        <v>41.330921979125442</v>
      </c>
      <c r="O137">
        <f t="shared" si="141"/>
        <v>348.733</v>
      </c>
      <c r="P137">
        <f t="shared" si="142"/>
        <v>99.146925148328378</v>
      </c>
      <c r="Q137">
        <f t="shared" si="143"/>
        <v>9.8194720359583112</v>
      </c>
      <c r="R137">
        <f t="shared" si="144"/>
        <v>34.538377628885904</v>
      </c>
      <c r="S137">
        <f t="shared" si="145"/>
        <v>0.2833551516258051</v>
      </c>
      <c r="T137">
        <f t="shared" si="146"/>
        <v>2.9130702744375663</v>
      </c>
      <c r="U137">
        <f t="shared" si="147"/>
        <v>0.26888507287220126</v>
      </c>
      <c r="V137">
        <f t="shared" si="148"/>
        <v>0.16929164891635803</v>
      </c>
      <c r="W137">
        <f t="shared" si="149"/>
        <v>289.5638573265835</v>
      </c>
      <c r="X137">
        <f t="shared" si="150"/>
        <v>30.581016635321504</v>
      </c>
      <c r="Y137">
        <f t="shared" si="151"/>
        <v>29.908999999999999</v>
      </c>
      <c r="Z137">
        <f t="shared" si="152"/>
        <v>4.2382312055651363</v>
      </c>
      <c r="AA137">
        <f t="shared" si="153"/>
        <v>65.364675557360187</v>
      </c>
      <c r="AB137">
        <f t="shared" si="154"/>
        <v>2.7755650465370398</v>
      </c>
      <c r="AC137">
        <f t="shared" si="155"/>
        <v>4.246276789213721</v>
      </c>
      <c r="AD137">
        <f t="shared" si="156"/>
        <v>1.4626661590280965</v>
      </c>
      <c r="AE137">
        <f t="shared" si="157"/>
        <v>-181.55090779641287</v>
      </c>
      <c r="AF137">
        <f t="shared" si="158"/>
        <v>5.1826316729709738</v>
      </c>
      <c r="AG137">
        <f t="shared" si="159"/>
        <v>0.39529206138045542</v>
      </c>
      <c r="AH137">
        <f t="shared" si="160"/>
        <v>113.59087326452207</v>
      </c>
      <c r="AI137">
        <v>0</v>
      </c>
      <c r="AJ137">
        <v>0</v>
      </c>
      <c r="AK137">
        <f t="shared" si="161"/>
        <v>1</v>
      </c>
      <c r="AL137">
        <f t="shared" si="162"/>
        <v>0</v>
      </c>
      <c r="AM137">
        <f t="shared" si="163"/>
        <v>51870.653732701692</v>
      </c>
      <c r="AN137" t="s">
        <v>419</v>
      </c>
      <c r="AO137">
        <v>9967.0300000000007</v>
      </c>
      <c r="AP137">
        <v>178.94153846153841</v>
      </c>
      <c r="AQ137">
        <v>603.15</v>
      </c>
      <c r="AR137">
        <f t="shared" si="164"/>
        <v>0.7033216638290003</v>
      </c>
      <c r="AS137">
        <v>-3.2649104154664181</v>
      </c>
      <c r="AT137" t="s">
        <v>1032</v>
      </c>
      <c r="AU137">
        <v>8053.9</v>
      </c>
      <c r="AV137">
        <v>711.09584000000007</v>
      </c>
      <c r="AW137">
        <v>1081.58012922332</v>
      </c>
      <c r="AX137">
        <f t="shared" si="165"/>
        <v>0.34253984444903196</v>
      </c>
      <c r="AY137">
        <v>0.5</v>
      </c>
      <c r="AZ137">
        <f t="shared" si="166"/>
        <v>1513.1681996510797</v>
      </c>
      <c r="BA137">
        <f t="shared" si="167"/>
        <v>41.330921979125442</v>
      </c>
      <c r="BB137">
        <f t="shared" si="168"/>
        <v>259.16019986685131</v>
      </c>
      <c r="BC137">
        <f t="shared" si="169"/>
        <v>2.9471827655957333E-2</v>
      </c>
      <c r="BD137">
        <f t="shared" si="170"/>
        <v>-0.44234367505150035</v>
      </c>
      <c r="BE137">
        <f t="shared" si="171"/>
        <v>205.97202732004575</v>
      </c>
      <c r="BF137" t="s">
        <v>1033</v>
      </c>
      <c r="BG137">
        <v>561.44000000000005</v>
      </c>
      <c r="BH137">
        <f t="shared" si="172"/>
        <v>561.44000000000005</v>
      </c>
      <c r="BI137">
        <f t="shared" si="173"/>
        <v>0.48090762317982971</v>
      </c>
      <c r="BJ137">
        <f t="shared" si="174"/>
        <v>0.71227784285079465</v>
      </c>
      <c r="BK137">
        <f t="shared" si="175"/>
        <v>-11.470393891712321</v>
      </c>
      <c r="BL137">
        <f t="shared" si="176"/>
        <v>0.41044587835608692</v>
      </c>
      <c r="BM137">
        <f t="shared" si="177"/>
        <v>-1.1278184491846643</v>
      </c>
      <c r="BN137">
        <f t="shared" si="178"/>
        <v>0.5623732408421207</v>
      </c>
      <c r="BO137">
        <f t="shared" si="179"/>
        <v>0.4376267591578793</v>
      </c>
      <c r="BP137">
        <v>6277</v>
      </c>
      <c r="BQ137">
        <v>290.00000000000011</v>
      </c>
      <c r="BR137">
        <v>959.24</v>
      </c>
      <c r="BS137">
        <v>295</v>
      </c>
      <c r="BT137">
        <v>8053.9</v>
      </c>
      <c r="BU137">
        <v>961.42</v>
      </c>
      <c r="BV137">
        <v>-2.1800000000000002</v>
      </c>
      <c r="BW137">
        <v>300.00000000000011</v>
      </c>
      <c r="BX137">
        <v>19.3</v>
      </c>
      <c r="BY137">
        <v>1081.58012922332</v>
      </c>
      <c r="BZ137">
        <v>5.1632000659093329</v>
      </c>
      <c r="CA137">
        <v>-96.774583174577685</v>
      </c>
      <c r="CB137">
        <v>3.8200842720586792</v>
      </c>
      <c r="CC137">
        <v>0.95819435689263888</v>
      </c>
      <c r="CD137">
        <v>-4.1568829810901082E-3</v>
      </c>
      <c r="CE137">
        <v>289.99999999999989</v>
      </c>
      <c r="CF137">
        <v>957.05</v>
      </c>
      <c r="CG137">
        <v>615</v>
      </c>
      <c r="CH137">
        <v>8045.65</v>
      </c>
      <c r="CI137">
        <v>961.3</v>
      </c>
      <c r="CJ137">
        <v>-4.25</v>
      </c>
      <c r="CX137">
        <f t="shared" si="180"/>
        <v>1799.98</v>
      </c>
      <c r="CY137">
        <f t="shared" si="181"/>
        <v>1513.1681996510797</v>
      </c>
      <c r="CZ137">
        <f t="shared" si="182"/>
        <v>0.84065834045438259</v>
      </c>
      <c r="DA137">
        <f t="shared" si="183"/>
        <v>0.16087059707695836</v>
      </c>
      <c r="DB137">
        <v>6</v>
      </c>
      <c r="DC137">
        <v>0.5</v>
      </c>
      <c r="DD137" t="s">
        <v>422</v>
      </c>
      <c r="DE137">
        <v>2</v>
      </c>
      <c r="DF137">
        <v>1689026080</v>
      </c>
      <c r="DG137">
        <v>348.733</v>
      </c>
      <c r="DH137">
        <v>400.041</v>
      </c>
      <c r="DI137">
        <v>28.024799999999999</v>
      </c>
      <c r="DJ137">
        <v>23.2242</v>
      </c>
      <c r="DK137">
        <v>348.863</v>
      </c>
      <c r="DL137">
        <v>27.9741</v>
      </c>
      <c r="DM137">
        <v>500.11599999999999</v>
      </c>
      <c r="DN137">
        <v>98.939899999999994</v>
      </c>
      <c r="DO137">
        <v>9.9702299999999994E-2</v>
      </c>
      <c r="DP137">
        <v>29.942</v>
      </c>
      <c r="DQ137">
        <v>29.908999999999999</v>
      </c>
      <c r="DR137">
        <v>999.9</v>
      </c>
      <c r="DS137">
        <v>0</v>
      </c>
      <c r="DT137">
        <v>0</v>
      </c>
      <c r="DU137">
        <v>10012.5</v>
      </c>
      <c r="DV137">
        <v>0</v>
      </c>
      <c r="DW137">
        <v>397.81599999999997</v>
      </c>
      <c r="DX137">
        <v>-51.308399999999999</v>
      </c>
      <c r="DY137">
        <v>358.78800000000001</v>
      </c>
      <c r="DZ137">
        <v>409.553</v>
      </c>
      <c r="EA137">
        <v>4.8006099999999998</v>
      </c>
      <c r="EB137">
        <v>400.041</v>
      </c>
      <c r="EC137">
        <v>23.2242</v>
      </c>
      <c r="ED137">
        <v>2.77277</v>
      </c>
      <c r="EE137">
        <v>2.2978000000000001</v>
      </c>
      <c r="EF137">
        <v>22.722899999999999</v>
      </c>
      <c r="EG137">
        <v>19.661000000000001</v>
      </c>
      <c r="EH137">
        <v>1799.98</v>
      </c>
      <c r="EI137">
        <v>0.977993</v>
      </c>
      <c r="EJ137">
        <v>2.20073E-2</v>
      </c>
      <c r="EK137">
        <v>0</v>
      </c>
      <c r="EL137">
        <v>710.923</v>
      </c>
      <c r="EM137">
        <v>5.0005300000000004</v>
      </c>
      <c r="EN137">
        <v>14156.5</v>
      </c>
      <c r="EO137">
        <v>16035.1</v>
      </c>
      <c r="EP137">
        <v>48.936999999999998</v>
      </c>
      <c r="EQ137">
        <v>50.186999999999998</v>
      </c>
      <c r="ER137">
        <v>49.561999999999998</v>
      </c>
      <c r="ES137">
        <v>49.561999999999998</v>
      </c>
      <c r="ET137">
        <v>50.061999999999998</v>
      </c>
      <c r="EU137">
        <v>1755.48</v>
      </c>
      <c r="EV137">
        <v>39.5</v>
      </c>
      <c r="EW137">
        <v>0</v>
      </c>
      <c r="EX137">
        <v>2124.7999999523158</v>
      </c>
      <c r="EY137">
        <v>0</v>
      </c>
      <c r="EZ137">
        <v>711.09584000000007</v>
      </c>
      <c r="FA137">
        <v>2.9099230784849528</v>
      </c>
      <c r="FB137">
        <v>-69.238461752923314</v>
      </c>
      <c r="FC137">
        <v>14171.096</v>
      </c>
      <c r="FD137">
        <v>15</v>
      </c>
      <c r="FE137">
        <v>1689026045</v>
      </c>
      <c r="FF137" t="s">
        <v>1034</v>
      </c>
      <c r="FG137">
        <v>1689026041</v>
      </c>
      <c r="FH137">
        <v>1689026045</v>
      </c>
      <c r="FI137">
        <v>133</v>
      </c>
      <c r="FJ137">
        <v>8.2000000000000003E-2</v>
      </c>
      <c r="FK137">
        <v>0</v>
      </c>
      <c r="FL137">
        <v>-0.13300000000000001</v>
      </c>
      <c r="FM137">
        <v>4.2999999999999997E-2</v>
      </c>
      <c r="FN137">
        <v>400</v>
      </c>
      <c r="FO137">
        <v>23</v>
      </c>
      <c r="FP137">
        <v>7.0000000000000007E-2</v>
      </c>
      <c r="FQ137">
        <v>0.01</v>
      </c>
      <c r="FR137">
        <v>41.406882752314139</v>
      </c>
      <c r="FS137">
        <v>0.42968427451453078</v>
      </c>
      <c r="FT137">
        <v>4.8867987101669112E-2</v>
      </c>
      <c r="FU137">
        <v>1</v>
      </c>
      <c r="FV137">
        <v>0.28459603220463348</v>
      </c>
      <c r="FW137">
        <v>3.715311520042717E-3</v>
      </c>
      <c r="FX137">
        <v>1.3327758384012759E-3</v>
      </c>
      <c r="FY137">
        <v>1</v>
      </c>
      <c r="FZ137">
        <v>2</v>
      </c>
      <c r="GA137">
        <v>2</v>
      </c>
      <c r="GB137" t="s">
        <v>424</v>
      </c>
      <c r="GC137">
        <v>3.1255700000000002</v>
      </c>
      <c r="GD137">
        <v>2.7671199999999998</v>
      </c>
      <c r="GE137">
        <v>7.9267299999999999E-2</v>
      </c>
      <c r="GF137">
        <v>8.8271000000000002E-2</v>
      </c>
      <c r="GG137">
        <v>0.118615</v>
      </c>
      <c r="GH137">
        <v>0.10428800000000001</v>
      </c>
      <c r="GI137">
        <v>21936.9</v>
      </c>
      <c r="GJ137">
        <v>22537.4</v>
      </c>
      <c r="GK137">
        <v>23692.6</v>
      </c>
      <c r="GL137">
        <v>25036.6</v>
      </c>
      <c r="GM137">
        <v>30097.599999999999</v>
      </c>
      <c r="GN137">
        <v>31464.1</v>
      </c>
      <c r="GO137">
        <v>37769.599999999999</v>
      </c>
      <c r="GP137">
        <v>38967</v>
      </c>
      <c r="GQ137">
        <v>2.1259299999999999</v>
      </c>
      <c r="GR137">
        <v>1.6993499999999999</v>
      </c>
      <c r="GS137">
        <v>-3.74392E-3</v>
      </c>
      <c r="GT137">
        <v>0</v>
      </c>
      <c r="GU137">
        <v>29.969899999999999</v>
      </c>
      <c r="GV137">
        <v>999.9</v>
      </c>
      <c r="GW137">
        <v>29.9</v>
      </c>
      <c r="GX137">
        <v>44.8</v>
      </c>
      <c r="GY137">
        <v>28.828499999999998</v>
      </c>
      <c r="GZ137">
        <v>60.828000000000003</v>
      </c>
      <c r="HA137">
        <v>27.644200000000001</v>
      </c>
      <c r="HB137">
        <v>1</v>
      </c>
      <c r="HC137">
        <v>0.71463399999999999</v>
      </c>
      <c r="HD137">
        <v>3.1508699999999998</v>
      </c>
      <c r="HE137">
        <v>20.2881</v>
      </c>
      <c r="HF137">
        <v>5.2484400000000004</v>
      </c>
      <c r="HG137">
        <v>12.0099</v>
      </c>
      <c r="HH137">
        <v>4.9775499999999999</v>
      </c>
      <c r="HI137">
        <v>3.2922500000000001</v>
      </c>
      <c r="HJ137">
        <v>9999</v>
      </c>
      <c r="HK137">
        <v>9999</v>
      </c>
      <c r="HL137">
        <v>9999</v>
      </c>
      <c r="HM137">
        <v>238.7</v>
      </c>
      <c r="HN137">
        <v>1.8757600000000001</v>
      </c>
      <c r="HO137">
        <v>1.87683</v>
      </c>
      <c r="HP137">
        <v>1.88293</v>
      </c>
      <c r="HQ137">
        <v>1.8861399999999999</v>
      </c>
      <c r="HR137">
        <v>1.8769400000000001</v>
      </c>
      <c r="HS137">
        <v>1.8833500000000001</v>
      </c>
      <c r="HT137">
        <v>1.88232</v>
      </c>
      <c r="HU137">
        <v>1.8858299999999999</v>
      </c>
      <c r="HV137">
        <v>0</v>
      </c>
      <c r="HW137">
        <v>0</v>
      </c>
      <c r="HX137">
        <v>0</v>
      </c>
      <c r="HY137">
        <v>0</v>
      </c>
      <c r="HZ137" t="s">
        <v>425</v>
      </c>
      <c r="IA137" t="s">
        <v>426</v>
      </c>
      <c r="IB137" t="s">
        <v>427</v>
      </c>
      <c r="IC137" t="s">
        <v>427</v>
      </c>
      <c r="ID137" t="s">
        <v>427</v>
      </c>
      <c r="IE137" t="s">
        <v>427</v>
      </c>
      <c r="IF137">
        <v>0</v>
      </c>
      <c r="IG137">
        <v>100</v>
      </c>
      <c r="IH137">
        <v>100</v>
      </c>
      <c r="II137">
        <v>-0.13</v>
      </c>
      <c r="IJ137">
        <v>5.0700000000000002E-2</v>
      </c>
      <c r="IK137">
        <v>-4.7817557551749892E-2</v>
      </c>
      <c r="IL137">
        <v>-4.2852564239613137E-4</v>
      </c>
      <c r="IM137">
        <v>6.4980710991155998E-7</v>
      </c>
      <c r="IN137">
        <v>-2.7237938963984961E-10</v>
      </c>
      <c r="IO137">
        <v>-7.2000003078376961E-3</v>
      </c>
      <c r="IP137">
        <v>6.6907473102813496E-3</v>
      </c>
      <c r="IQ137">
        <v>-3.3673306238274028E-4</v>
      </c>
      <c r="IR137">
        <v>6.1311374003140313E-6</v>
      </c>
      <c r="IS137">
        <v>3</v>
      </c>
      <c r="IT137">
        <v>2101</v>
      </c>
      <c r="IU137">
        <v>1</v>
      </c>
      <c r="IV137">
        <v>32</v>
      </c>
      <c r="IW137">
        <v>0.7</v>
      </c>
      <c r="IX137">
        <v>0.6</v>
      </c>
      <c r="IY137">
        <v>1.00952</v>
      </c>
      <c r="IZ137">
        <v>2.6965300000000001</v>
      </c>
      <c r="JA137">
        <v>1.6003400000000001</v>
      </c>
      <c r="JB137">
        <v>2.3303199999999999</v>
      </c>
      <c r="JC137">
        <v>1.5490699999999999</v>
      </c>
      <c r="JD137">
        <v>2.4487299999999999</v>
      </c>
      <c r="JE137">
        <v>47.843699999999998</v>
      </c>
      <c r="JF137">
        <v>24.157499999999999</v>
      </c>
      <c r="JG137">
        <v>18</v>
      </c>
      <c r="JH137">
        <v>598.60599999999999</v>
      </c>
      <c r="JI137">
        <v>374.07600000000002</v>
      </c>
      <c r="JJ137">
        <v>26.585799999999999</v>
      </c>
      <c r="JK137">
        <v>35.811399999999999</v>
      </c>
      <c r="JL137">
        <v>29.9999</v>
      </c>
      <c r="JM137">
        <v>35.949300000000001</v>
      </c>
      <c r="JN137">
        <v>35.954000000000001</v>
      </c>
      <c r="JO137">
        <v>20.2058</v>
      </c>
      <c r="JP137">
        <v>22.299299999999999</v>
      </c>
      <c r="JQ137">
        <v>7.0726100000000001</v>
      </c>
      <c r="JR137">
        <v>26.633600000000001</v>
      </c>
      <c r="JS137">
        <v>400</v>
      </c>
      <c r="JT137">
        <v>23.2013</v>
      </c>
      <c r="JU137">
        <v>98.51</v>
      </c>
      <c r="JV137">
        <v>98.608800000000002</v>
      </c>
    </row>
    <row r="138" spans="1:282" x14ac:dyDescent="0.25">
      <c r="A138">
        <v>122</v>
      </c>
      <c r="B138">
        <v>1689026225</v>
      </c>
      <c r="C138">
        <v>26402.400000095371</v>
      </c>
      <c r="D138" t="s">
        <v>1035</v>
      </c>
      <c r="E138" t="s">
        <v>1036</v>
      </c>
      <c r="F138" t="s">
        <v>414</v>
      </c>
      <c r="G138" t="s">
        <v>415</v>
      </c>
      <c r="H138" t="s">
        <v>577</v>
      </c>
      <c r="I138" t="s">
        <v>655</v>
      </c>
      <c r="J138" t="s">
        <v>418</v>
      </c>
      <c r="K138">
        <v>1689026225</v>
      </c>
      <c r="L138">
        <f t="shared" si="138"/>
        <v>4.276354794400858E-3</v>
      </c>
      <c r="M138">
        <f t="shared" si="139"/>
        <v>4.2763547944008584</v>
      </c>
      <c r="N138">
        <f t="shared" si="140"/>
        <v>33.234722934628238</v>
      </c>
      <c r="O138">
        <f t="shared" si="141"/>
        <v>258.79599999999999</v>
      </c>
      <c r="P138">
        <f t="shared" si="142"/>
        <v>66.881796551643902</v>
      </c>
      <c r="Q138">
        <f t="shared" si="143"/>
        <v>6.6244773523390146</v>
      </c>
      <c r="R138">
        <f t="shared" si="144"/>
        <v>25.633106903043998</v>
      </c>
      <c r="S138">
        <f t="shared" si="145"/>
        <v>0.29657688860793791</v>
      </c>
      <c r="T138">
        <f t="shared" si="146"/>
        <v>2.9040074815769117</v>
      </c>
      <c r="U138">
        <f t="shared" si="147"/>
        <v>0.28071887041465976</v>
      </c>
      <c r="V138">
        <f t="shared" si="148"/>
        <v>0.17680337999118351</v>
      </c>
      <c r="W138">
        <f t="shared" si="149"/>
        <v>289.54935232706509</v>
      </c>
      <c r="X138">
        <f t="shared" si="150"/>
        <v>30.698068339349522</v>
      </c>
      <c r="Y138">
        <f t="shared" si="151"/>
        <v>29.9908</v>
      </c>
      <c r="Z138">
        <f t="shared" si="152"/>
        <v>4.2581988967422122</v>
      </c>
      <c r="AA138">
        <f t="shared" si="153"/>
        <v>65.421016707042455</v>
      </c>
      <c r="AB138">
        <f t="shared" si="154"/>
        <v>2.8031344964851002</v>
      </c>
      <c r="AC138">
        <f t="shared" si="155"/>
        <v>4.2847614384191433</v>
      </c>
      <c r="AD138">
        <f t="shared" si="156"/>
        <v>1.455064400257112</v>
      </c>
      <c r="AE138">
        <f t="shared" si="157"/>
        <v>-188.58724643307784</v>
      </c>
      <c r="AF138">
        <f t="shared" si="158"/>
        <v>16.955540200855651</v>
      </c>
      <c r="AG138">
        <f t="shared" si="159"/>
        <v>1.2988119487706484</v>
      </c>
      <c r="AH138">
        <f t="shared" si="160"/>
        <v>119.21645804361357</v>
      </c>
      <c r="AI138">
        <v>0</v>
      </c>
      <c r="AJ138">
        <v>0</v>
      </c>
      <c r="AK138">
        <f t="shared" si="161"/>
        <v>1</v>
      </c>
      <c r="AL138">
        <f t="shared" si="162"/>
        <v>0</v>
      </c>
      <c r="AM138">
        <f t="shared" si="163"/>
        <v>51586.570792226943</v>
      </c>
      <c r="AN138" t="s">
        <v>419</v>
      </c>
      <c r="AO138">
        <v>9967.0300000000007</v>
      </c>
      <c r="AP138">
        <v>178.94153846153841</v>
      </c>
      <c r="AQ138">
        <v>603.15</v>
      </c>
      <c r="AR138">
        <f t="shared" si="164"/>
        <v>0.7033216638290003</v>
      </c>
      <c r="AS138">
        <v>-3.2649104154664181</v>
      </c>
      <c r="AT138" t="s">
        <v>1037</v>
      </c>
      <c r="AU138">
        <v>8054.66</v>
      </c>
      <c r="AV138">
        <v>671.54442307692307</v>
      </c>
      <c r="AW138">
        <v>955.14170558616763</v>
      </c>
      <c r="AX138">
        <f t="shared" si="165"/>
        <v>0.29691644794758676</v>
      </c>
      <c r="AY138">
        <v>0.5</v>
      </c>
      <c r="AZ138">
        <f t="shared" si="166"/>
        <v>1513.1000996513289</v>
      </c>
      <c r="BA138">
        <f t="shared" si="167"/>
        <v>33.234722934628238</v>
      </c>
      <c r="BB138">
        <f t="shared" si="168"/>
        <v>224.63215348880607</v>
      </c>
      <c r="BC138">
        <f t="shared" si="169"/>
        <v>2.4122418178748019E-2</v>
      </c>
      <c r="BD138">
        <f t="shared" si="170"/>
        <v>-0.36852301970224555</v>
      </c>
      <c r="BE138">
        <f t="shared" si="171"/>
        <v>200.90729480483839</v>
      </c>
      <c r="BF138" t="s">
        <v>1038</v>
      </c>
      <c r="BG138">
        <v>544.94000000000005</v>
      </c>
      <c r="BH138">
        <f t="shared" si="172"/>
        <v>544.94000000000005</v>
      </c>
      <c r="BI138">
        <f t="shared" si="173"/>
        <v>0.42946685626550885</v>
      </c>
      <c r="BJ138">
        <f t="shared" si="174"/>
        <v>0.69136056395472911</v>
      </c>
      <c r="BK138">
        <f t="shared" si="175"/>
        <v>-6.0469284587900383</v>
      </c>
      <c r="BL138">
        <f t="shared" si="176"/>
        <v>0.36536617037820002</v>
      </c>
      <c r="BM138">
        <f t="shared" si="177"/>
        <v>-0.82976116108012554</v>
      </c>
      <c r="BN138">
        <f t="shared" si="178"/>
        <v>0.56102025834013181</v>
      </c>
      <c r="BO138">
        <f t="shared" si="179"/>
        <v>0.43897974165986819</v>
      </c>
      <c r="BP138">
        <v>6279</v>
      </c>
      <c r="BQ138">
        <v>290.00000000000011</v>
      </c>
      <c r="BR138">
        <v>863.11</v>
      </c>
      <c r="BS138">
        <v>275</v>
      </c>
      <c r="BT138">
        <v>8054.66</v>
      </c>
      <c r="BU138">
        <v>865.15</v>
      </c>
      <c r="BV138">
        <v>-2.04</v>
      </c>
      <c r="BW138">
        <v>300.00000000000011</v>
      </c>
      <c r="BX138">
        <v>19.3</v>
      </c>
      <c r="BY138">
        <v>955.14170558616763</v>
      </c>
      <c r="BZ138">
        <v>3.369494416992882</v>
      </c>
      <c r="CA138">
        <v>-72.486935195290613</v>
      </c>
      <c r="CB138">
        <v>2.4930512226586319</v>
      </c>
      <c r="CC138">
        <v>0.96794100902974234</v>
      </c>
      <c r="CD138">
        <v>-4.1564538375973344E-3</v>
      </c>
      <c r="CE138">
        <v>289.99999999999989</v>
      </c>
      <c r="CF138">
        <v>862.1</v>
      </c>
      <c r="CG138">
        <v>665</v>
      </c>
      <c r="CH138">
        <v>8044.24</v>
      </c>
      <c r="CI138">
        <v>865.03</v>
      </c>
      <c r="CJ138">
        <v>-2.93</v>
      </c>
      <c r="CX138">
        <f t="shared" si="180"/>
        <v>1799.9</v>
      </c>
      <c r="CY138">
        <f t="shared" si="181"/>
        <v>1513.1000996513289</v>
      </c>
      <c r="CZ138">
        <f t="shared" si="182"/>
        <v>0.8406578696879432</v>
      </c>
      <c r="DA138">
        <f t="shared" si="183"/>
        <v>0.16086968849773048</v>
      </c>
      <c r="DB138">
        <v>6</v>
      </c>
      <c r="DC138">
        <v>0.5</v>
      </c>
      <c r="DD138" t="s">
        <v>422</v>
      </c>
      <c r="DE138">
        <v>2</v>
      </c>
      <c r="DF138">
        <v>1689026225</v>
      </c>
      <c r="DG138">
        <v>258.79599999999999</v>
      </c>
      <c r="DH138">
        <v>299.995</v>
      </c>
      <c r="DI138">
        <v>28.300899999999999</v>
      </c>
      <c r="DJ138">
        <v>23.315799999999999</v>
      </c>
      <c r="DK138">
        <v>258.78399999999999</v>
      </c>
      <c r="DL138">
        <v>28.251899999999999</v>
      </c>
      <c r="DM138">
        <v>500.13</v>
      </c>
      <c r="DN138">
        <v>98.946899999999999</v>
      </c>
      <c r="DO138">
        <v>0.10063900000000001</v>
      </c>
      <c r="DP138">
        <v>30.0991</v>
      </c>
      <c r="DQ138">
        <v>29.9908</v>
      </c>
      <c r="DR138">
        <v>999.9</v>
      </c>
      <c r="DS138">
        <v>0</v>
      </c>
      <c r="DT138">
        <v>0</v>
      </c>
      <c r="DU138">
        <v>9960</v>
      </c>
      <c r="DV138">
        <v>0</v>
      </c>
      <c r="DW138">
        <v>1146.67</v>
      </c>
      <c r="DX138">
        <v>-41.198799999999999</v>
      </c>
      <c r="DY138">
        <v>266.33300000000003</v>
      </c>
      <c r="DZ138">
        <v>307.15600000000001</v>
      </c>
      <c r="EA138">
        <v>4.9850899999999996</v>
      </c>
      <c r="EB138">
        <v>299.995</v>
      </c>
      <c r="EC138">
        <v>23.315799999999999</v>
      </c>
      <c r="ED138">
        <v>2.8002899999999999</v>
      </c>
      <c r="EE138">
        <v>2.3070300000000001</v>
      </c>
      <c r="EF138">
        <v>22.8858</v>
      </c>
      <c r="EG138">
        <v>19.7255</v>
      </c>
      <c r="EH138">
        <v>1799.9</v>
      </c>
      <c r="EI138">
        <v>0.97800900000000002</v>
      </c>
      <c r="EJ138">
        <v>2.19905E-2</v>
      </c>
      <c r="EK138">
        <v>0</v>
      </c>
      <c r="EL138">
        <v>671.327</v>
      </c>
      <c r="EM138">
        <v>5.0005300000000004</v>
      </c>
      <c r="EN138">
        <v>15469</v>
      </c>
      <c r="EO138">
        <v>16034.4</v>
      </c>
      <c r="EP138">
        <v>48.811999999999998</v>
      </c>
      <c r="EQ138">
        <v>49.875</v>
      </c>
      <c r="ER138">
        <v>49.375</v>
      </c>
      <c r="ES138">
        <v>49.25</v>
      </c>
      <c r="ET138">
        <v>49.875</v>
      </c>
      <c r="EU138">
        <v>1755.43</v>
      </c>
      <c r="EV138">
        <v>39.47</v>
      </c>
      <c r="EW138">
        <v>0</v>
      </c>
      <c r="EX138">
        <v>142.79999995231631</v>
      </c>
      <c r="EY138">
        <v>0</v>
      </c>
      <c r="EZ138">
        <v>671.54442307692307</v>
      </c>
      <c r="FA138">
        <v>-0.88776068660710328</v>
      </c>
      <c r="FB138">
        <v>73.637606162681706</v>
      </c>
      <c r="FC138">
        <v>15445.934615384611</v>
      </c>
      <c r="FD138">
        <v>15</v>
      </c>
      <c r="FE138">
        <v>1689026155.5</v>
      </c>
      <c r="FF138" t="s">
        <v>1039</v>
      </c>
      <c r="FG138">
        <v>1689026155.5</v>
      </c>
      <c r="FH138">
        <v>1689026152.5</v>
      </c>
      <c r="FI138">
        <v>134</v>
      </c>
      <c r="FJ138">
        <v>0.13200000000000001</v>
      </c>
      <c r="FK138">
        <v>-2E-3</v>
      </c>
      <c r="FL138">
        <v>7.0000000000000001E-3</v>
      </c>
      <c r="FM138">
        <v>4.1000000000000002E-2</v>
      </c>
      <c r="FN138">
        <v>300</v>
      </c>
      <c r="FO138">
        <v>23</v>
      </c>
      <c r="FP138">
        <v>0.06</v>
      </c>
      <c r="FQ138">
        <v>0.03</v>
      </c>
      <c r="FR138">
        <v>33.209701448360804</v>
      </c>
      <c r="FS138">
        <v>0.64417702912622443</v>
      </c>
      <c r="FT138">
        <v>5.8034428925478762E-2</v>
      </c>
      <c r="FU138">
        <v>1</v>
      </c>
      <c r="FV138">
        <v>0.29377683195922361</v>
      </c>
      <c r="FW138">
        <v>4.6212654362183893E-2</v>
      </c>
      <c r="FX138">
        <v>3.5831661014304019E-3</v>
      </c>
      <c r="FY138">
        <v>1</v>
      </c>
      <c r="FZ138">
        <v>2</v>
      </c>
      <c r="GA138">
        <v>2</v>
      </c>
      <c r="GB138" t="s">
        <v>424</v>
      </c>
      <c r="GC138">
        <v>3.1253099999999998</v>
      </c>
      <c r="GD138">
        <v>2.7675999999999998</v>
      </c>
      <c r="GE138">
        <v>6.2085500000000002E-2</v>
      </c>
      <c r="GF138">
        <v>7.0292800000000003E-2</v>
      </c>
      <c r="GG138">
        <v>0.119454</v>
      </c>
      <c r="GH138">
        <v>0.1046</v>
      </c>
      <c r="GI138">
        <v>22351.4</v>
      </c>
      <c r="GJ138">
        <v>22989.5</v>
      </c>
      <c r="GK138">
        <v>23697.9</v>
      </c>
      <c r="GL138">
        <v>25044.6</v>
      </c>
      <c r="GM138">
        <v>30075.4</v>
      </c>
      <c r="GN138">
        <v>31462</v>
      </c>
      <c r="GO138">
        <v>37777.699999999997</v>
      </c>
      <c r="GP138">
        <v>38977.699999999997</v>
      </c>
      <c r="GQ138">
        <v>2.1265999999999998</v>
      </c>
      <c r="GR138">
        <v>1.7016</v>
      </c>
      <c r="GS138">
        <v>1.8082600000000001E-2</v>
      </c>
      <c r="GT138">
        <v>0</v>
      </c>
      <c r="GU138">
        <v>29.6965</v>
      </c>
      <c r="GV138">
        <v>999.9</v>
      </c>
      <c r="GW138">
        <v>29.6</v>
      </c>
      <c r="GX138">
        <v>44.9</v>
      </c>
      <c r="GY138">
        <v>28.686699999999998</v>
      </c>
      <c r="GZ138">
        <v>61.328000000000003</v>
      </c>
      <c r="HA138">
        <v>27.536100000000001</v>
      </c>
      <c r="HB138">
        <v>1</v>
      </c>
      <c r="HC138">
        <v>0.70248999999999995</v>
      </c>
      <c r="HD138">
        <v>2.68628</v>
      </c>
      <c r="HE138">
        <v>20.2972</v>
      </c>
      <c r="HF138">
        <v>5.2518799999999999</v>
      </c>
      <c r="HG138">
        <v>12.0099</v>
      </c>
      <c r="HH138">
        <v>4.97905</v>
      </c>
      <c r="HI138">
        <v>3.2930000000000001</v>
      </c>
      <c r="HJ138">
        <v>9999</v>
      </c>
      <c r="HK138">
        <v>9999</v>
      </c>
      <c r="HL138">
        <v>9999</v>
      </c>
      <c r="HM138">
        <v>238.7</v>
      </c>
      <c r="HN138">
        <v>1.87582</v>
      </c>
      <c r="HO138">
        <v>1.87683</v>
      </c>
      <c r="HP138">
        <v>1.88293</v>
      </c>
      <c r="HQ138">
        <v>1.8861399999999999</v>
      </c>
      <c r="HR138">
        <v>1.87693</v>
      </c>
      <c r="HS138">
        <v>1.8833500000000001</v>
      </c>
      <c r="HT138">
        <v>1.8823099999999999</v>
      </c>
      <c r="HU138">
        <v>1.8858200000000001</v>
      </c>
      <c r="HV138">
        <v>0</v>
      </c>
      <c r="HW138">
        <v>0</v>
      </c>
      <c r="HX138">
        <v>0</v>
      </c>
      <c r="HY138">
        <v>0</v>
      </c>
      <c r="HZ138" t="s">
        <v>425</v>
      </c>
      <c r="IA138" t="s">
        <v>426</v>
      </c>
      <c r="IB138" t="s">
        <v>427</v>
      </c>
      <c r="IC138" t="s">
        <v>427</v>
      </c>
      <c r="ID138" t="s">
        <v>427</v>
      </c>
      <c r="IE138" t="s">
        <v>427</v>
      </c>
      <c r="IF138">
        <v>0</v>
      </c>
      <c r="IG138">
        <v>100</v>
      </c>
      <c r="IH138">
        <v>100</v>
      </c>
      <c r="II138">
        <v>1.2E-2</v>
      </c>
      <c r="IJ138">
        <v>4.9000000000000002E-2</v>
      </c>
      <c r="IK138">
        <v>8.412306328753931E-2</v>
      </c>
      <c r="IL138">
        <v>-4.2852564239613137E-4</v>
      </c>
      <c r="IM138">
        <v>6.4980710991155998E-7</v>
      </c>
      <c r="IN138">
        <v>-2.7237938963984961E-10</v>
      </c>
      <c r="IO138">
        <v>-9.5435957169907864E-3</v>
      </c>
      <c r="IP138">
        <v>6.6907473102813496E-3</v>
      </c>
      <c r="IQ138">
        <v>-3.3673306238274028E-4</v>
      </c>
      <c r="IR138">
        <v>6.1311374003140313E-6</v>
      </c>
      <c r="IS138">
        <v>3</v>
      </c>
      <c r="IT138">
        <v>2101</v>
      </c>
      <c r="IU138">
        <v>1</v>
      </c>
      <c r="IV138">
        <v>32</v>
      </c>
      <c r="IW138">
        <v>1.2</v>
      </c>
      <c r="IX138">
        <v>1.2</v>
      </c>
      <c r="IY138">
        <v>0.80200199999999999</v>
      </c>
      <c r="IZ138">
        <v>2.7148400000000001</v>
      </c>
      <c r="JA138">
        <v>1.6015600000000001</v>
      </c>
      <c r="JB138">
        <v>2.3290999999999999</v>
      </c>
      <c r="JC138">
        <v>1.5502899999999999</v>
      </c>
      <c r="JD138">
        <v>2.2888199999999999</v>
      </c>
      <c r="JE138">
        <v>47.752800000000001</v>
      </c>
      <c r="JF138">
        <v>24.148800000000001</v>
      </c>
      <c r="JG138">
        <v>18</v>
      </c>
      <c r="JH138">
        <v>598.57100000000003</v>
      </c>
      <c r="JI138">
        <v>375.09500000000003</v>
      </c>
      <c r="JJ138">
        <v>26.9849</v>
      </c>
      <c r="JK138">
        <v>35.707500000000003</v>
      </c>
      <c r="JL138">
        <v>30</v>
      </c>
      <c r="JM138">
        <v>35.89</v>
      </c>
      <c r="JN138">
        <v>35.8947</v>
      </c>
      <c r="JO138">
        <v>16.041799999999999</v>
      </c>
      <c r="JP138">
        <v>21.322800000000001</v>
      </c>
      <c r="JQ138">
        <v>6.8492300000000004</v>
      </c>
      <c r="JR138">
        <v>26.9678</v>
      </c>
      <c r="JS138">
        <v>300</v>
      </c>
      <c r="JT138">
        <v>23.1767</v>
      </c>
      <c r="JU138">
        <v>98.531499999999994</v>
      </c>
      <c r="JV138">
        <v>98.637699999999995</v>
      </c>
    </row>
    <row r="139" spans="1:282" x14ac:dyDescent="0.25">
      <c r="A139">
        <v>123</v>
      </c>
      <c r="B139">
        <v>1689026350</v>
      </c>
      <c r="C139">
        <v>26527.400000095371</v>
      </c>
      <c r="D139" t="s">
        <v>1040</v>
      </c>
      <c r="E139" t="s">
        <v>1041</v>
      </c>
      <c r="F139" t="s">
        <v>414</v>
      </c>
      <c r="G139" t="s">
        <v>415</v>
      </c>
      <c r="H139" t="s">
        <v>577</v>
      </c>
      <c r="I139" t="s">
        <v>655</v>
      </c>
      <c r="J139" t="s">
        <v>418</v>
      </c>
      <c r="K139">
        <v>1689026350</v>
      </c>
      <c r="L139">
        <f t="shared" si="138"/>
        <v>4.6638563236684853E-3</v>
      </c>
      <c r="M139">
        <f t="shared" si="139"/>
        <v>4.6638563236684849</v>
      </c>
      <c r="N139">
        <f t="shared" si="140"/>
        <v>23.737913203176412</v>
      </c>
      <c r="O139">
        <f t="shared" si="141"/>
        <v>170.59299999999999</v>
      </c>
      <c r="P139">
        <f t="shared" si="142"/>
        <v>45.785307647211376</v>
      </c>
      <c r="Q139">
        <f t="shared" si="143"/>
        <v>4.5345819515489634</v>
      </c>
      <c r="R139">
        <f t="shared" si="144"/>
        <v>16.895549655822997</v>
      </c>
      <c r="S139">
        <f t="shared" si="145"/>
        <v>0.32734252275380765</v>
      </c>
      <c r="T139">
        <f t="shared" si="146"/>
        <v>2.910225037865684</v>
      </c>
      <c r="U139">
        <f t="shared" si="147"/>
        <v>0.30817657449351954</v>
      </c>
      <c r="V139">
        <f t="shared" si="148"/>
        <v>0.19423876377638452</v>
      </c>
      <c r="W139">
        <f t="shared" si="149"/>
        <v>289.55964832640183</v>
      </c>
      <c r="X139">
        <f t="shared" si="150"/>
        <v>30.558373604063036</v>
      </c>
      <c r="Y139">
        <f t="shared" si="151"/>
        <v>29.960100000000001</v>
      </c>
      <c r="Z139">
        <f t="shared" si="152"/>
        <v>4.2506953200496218</v>
      </c>
      <c r="AA139">
        <f t="shared" si="153"/>
        <v>65.610910743144217</v>
      </c>
      <c r="AB139">
        <f t="shared" si="154"/>
        <v>2.8052418159973</v>
      </c>
      <c r="AC139">
        <f t="shared" si="155"/>
        <v>4.2755721330852339</v>
      </c>
      <c r="AD139">
        <f t="shared" si="156"/>
        <v>1.4454535040523218</v>
      </c>
      <c r="AE139">
        <f t="shared" si="157"/>
        <v>-205.67606387378021</v>
      </c>
      <c r="AF139">
        <f t="shared" si="158"/>
        <v>15.940638907727378</v>
      </c>
      <c r="AG139">
        <f t="shared" si="159"/>
        <v>1.2180500260407532</v>
      </c>
      <c r="AH139">
        <f t="shared" si="160"/>
        <v>101.04227338638977</v>
      </c>
      <c r="AI139">
        <v>0</v>
      </c>
      <c r="AJ139">
        <v>0</v>
      </c>
      <c r="AK139">
        <f t="shared" si="161"/>
        <v>1</v>
      </c>
      <c r="AL139">
        <f t="shared" si="162"/>
        <v>0</v>
      </c>
      <c r="AM139">
        <f t="shared" si="163"/>
        <v>51769.303788322351</v>
      </c>
      <c r="AN139" t="s">
        <v>419</v>
      </c>
      <c r="AO139">
        <v>9967.0300000000007</v>
      </c>
      <c r="AP139">
        <v>178.94153846153841</v>
      </c>
      <c r="AQ139">
        <v>603.15</v>
      </c>
      <c r="AR139">
        <f t="shared" si="164"/>
        <v>0.7033216638290003</v>
      </c>
      <c r="AS139">
        <v>-3.2649104154664181</v>
      </c>
      <c r="AT139" t="s">
        <v>1042</v>
      </c>
      <c r="AU139">
        <v>8053.84</v>
      </c>
      <c r="AV139">
        <v>654.97056000000009</v>
      </c>
      <c r="AW139">
        <v>850.993475036267</v>
      </c>
      <c r="AX139">
        <f t="shared" si="165"/>
        <v>0.23034596713906996</v>
      </c>
      <c r="AY139">
        <v>0.5</v>
      </c>
      <c r="AZ139">
        <f t="shared" si="166"/>
        <v>1513.1432996509852</v>
      </c>
      <c r="BA139">
        <f t="shared" si="167"/>
        <v>23.737913203176412</v>
      </c>
      <c r="BB139">
        <f t="shared" si="168"/>
        <v>174.27322838905488</v>
      </c>
      <c r="BC139">
        <f t="shared" si="169"/>
        <v>1.7845516432495968E-2</v>
      </c>
      <c r="BD139">
        <f t="shared" si="170"/>
        <v>-0.29124015906902767</v>
      </c>
      <c r="BE139">
        <f t="shared" si="171"/>
        <v>195.86520185614148</v>
      </c>
      <c r="BF139" t="s">
        <v>1043</v>
      </c>
      <c r="BG139">
        <v>531.46</v>
      </c>
      <c r="BH139">
        <f t="shared" si="172"/>
        <v>531.46</v>
      </c>
      <c r="BI139">
        <f t="shared" si="173"/>
        <v>0.37548287314735207</v>
      </c>
      <c r="BJ139">
        <f t="shared" si="174"/>
        <v>0.61346597571355665</v>
      </c>
      <c r="BK139">
        <f t="shared" si="175"/>
        <v>-3.4571554615185831</v>
      </c>
      <c r="BL139">
        <f t="shared" si="176"/>
        <v>0.2916782236137046</v>
      </c>
      <c r="BM139">
        <f t="shared" si="177"/>
        <v>-0.5842492489127209</v>
      </c>
      <c r="BN139">
        <f t="shared" si="178"/>
        <v>0.49778211016496193</v>
      </c>
      <c r="BO139">
        <f t="shared" si="179"/>
        <v>0.50221788983503801</v>
      </c>
      <c r="BP139">
        <v>6281</v>
      </c>
      <c r="BQ139">
        <v>290.00000000000011</v>
      </c>
      <c r="BR139">
        <v>796.39</v>
      </c>
      <c r="BS139">
        <v>295</v>
      </c>
      <c r="BT139">
        <v>8053.84</v>
      </c>
      <c r="BU139">
        <v>797.47</v>
      </c>
      <c r="BV139">
        <v>-1.08</v>
      </c>
      <c r="BW139">
        <v>300.00000000000011</v>
      </c>
      <c r="BX139">
        <v>19.3</v>
      </c>
      <c r="BY139">
        <v>850.993475036267</v>
      </c>
      <c r="BZ139">
        <v>3.5741181054079769</v>
      </c>
      <c r="CA139">
        <v>-43.104880927468791</v>
      </c>
      <c r="CB139">
        <v>2.6443901853944292</v>
      </c>
      <c r="CC139">
        <v>0.90466666362696546</v>
      </c>
      <c r="CD139">
        <v>-4.1562469410456179E-3</v>
      </c>
      <c r="CE139">
        <v>289.99999999999989</v>
      </c>
      <c r="CF139">
        <v>795.91</v>
      </c>
      <c r="CG139">
        <v>685</v>
      </c>
      <c r="CH139">
        <v>8043.44</v>
      </c>
      <c r="CI139">
        <v>797.4</v>
      </c>
      <c r="CJ139">
        <v>-1.49</v>
      </c>
      <c r="CX139">
        <f t="shared" si="180"/>
        <v>1799.95</v>
      </c>
      <c r="CY139">
        <f t="shared" si="181"/>
        <v>1513.1432996509852</v>
      </c>
      <c r="CZ139">
        <f t="shared" si="182"/>
        <v>0.8406585180982723</v>
      </c>
      <c r="DA139">
        <f t="shared" si="183"/>
        <v>0.16087093992966572</v>
      </c>
      <c r="DB139">
        <v>6</v>
      </c>
      <c r="DC139">
        <v>0.5</v>
      </c>
      <c r="DD139" t="s">
        <v>422</v>
      </c>
      <c r="DE139">
        <v>2</v>
      </c>
      <c r="DF139">
        <v>1689026350</v>
      </c>
      <c r="DG139">
        <v>170.59299999999999</v>
      </c>
      <c r="DH139">
        <v>200.024</v>
      </c>
      <c r="DI139">
        <v>28.324300000000001</v>
      </c>
      <c r="DJ139">
        <v>22.887899999999998</v>
      </c>
      <c r="DK139">
        <v>170.50299999999999</v>
      </c>
      <c r="DL139">
        <v>28.275300000000001</v>
      </c>
      <c r="DM139">
        <v>500.15699999999998</v>
      </c>
      <c r="DN139">
        <v>98.939599999999999</v>
      </c>
      <c r="DO139">
        <v>0.100511</v>
      </c>
      <c r="DP139">
        <v>30.061699999999998</v>
      </c>
      <c r="DQ139">
        <v>29.960100000000001</v>
      </c>
      <c r="DR139">
        <v>999.9</v>
      </c>
      <c r="DS139">
        <v>0</v>
      </c>
      <c r="DT139">
        <v>0</v>
      </c>
      <c r="DU139">
        <v>9996.25</v>
      </c>
      <c r="DV139">
        <v>0</v>
      </c>
      <c r="DW139">
        <v>1113.17</v>
      </c>
      <c r="DX139">
        <v>-29.430499999999999</v>
      </c>
      <c r="DY139">
        <v>175.566</v>
      </c>
      <c r="DZ139">
        <v>204.709</v>
      </c>
      <c r="EA139">
        <v>5.4363400000000004</v>
      </c>
      <c r="EB139">
        <v>200.024</v>
      </c>
      <c r="EC139">
        <v>22.887899999999998</v>
      </c>
      <c r="ED139">
        <v>2.8023899999999999</v>
      </c>
      <c r="EE139">
        <v>2.2645200000000001</v>
      </c>
      <c r="EF139">
        <v>22.898199999999999</v>
      </c>
      <c r="EG139">
        <v>19.426300000000001</v>
      </c>
      <c r="EH139">
        <v>1799.95</v>
      </c>
      <c r="EI139">
        <v>0.977989</v>
      </c>
      <c r="EJ139">
        <v>2.20109E-2</v>
      </c>
      <c r="EK139">
        <v>0</v>
      </c>
      <c r="EL139">
        <v>654.49199999999996</v>
      </c>
      <c r="EM139">
        <v>5.0005300000000004</v>
      </c>
      <c r="EN139">
        <v>15140</v>
      </c>
      <c r="EO139">
        <v>16034.8</v>
      </c>
      <c r="EP139">
        <v>48.75</v>
      </c>
      <c r="EQ139">
        <v>49.811999999999998</v>
      </c>
      <c r="ER139">
        <v>49.311999999999998</v>
      </c>
      <c r="ES139">
        <v>49.186999999999998</v>
      </c>
      <c r="ET139">
        <v>49.875</v>
      </c>
      <c r="EU139">
        <v>1755.44</v>
      </c>
      <c r="EV139">
        <v>39.51</v>
      </c>
      <c r="EW139">
        <v>0</v>
      </c>
      <c r="EX139">
        <v>123</v>
      </c>
      <c r="EY139">
        <v>0</v>
      </c>
      <c r="EZ139">
        <v>654.97056000000009</v>
      </c>
      <c r="FA139">
        <v>-3.878461518776728</v>
      </c>
      <c r="FB139">
        <v>150.9153845707973</v>
      </c>
      <c r="FC139">
        <v>15116.052</v>
      </c>
      <c r="FD139">
        <v>15</v>
      </c>
      <c r="FE139">
        <v>1689026304.5</v>
      </c>
      <c r="FF139" t="s">
        <v>1044</v>
      </c>
      <c r="FG139">
        <v>1689026302.5</v>
      </c>
      <c r="FH139">
        <v>1689026304.5</v>
      </c>
      <c r="FI139">
        <v>135</v>
      </c>
      <c r="FJ139">
        <v>6.0999999999999999E-2</v>
      </c>
      <c r="FK139">
        <v>0</v>
      </c>
      <c r="FL139">
        <v>8.4000000000000005E-2</v>
      </c>
      <c r="FM139">
        <v>4.1000000000000002E-2</v>
      </c>
      <c r="FN139">
        <v>200</v>
      </c>
      <c r="FO139">
        <v>23</v>
      </c>
      <c r="FP139">
        <v>0.09</v>
      </c>
      <c r="FQ139">
        <v>0.02</v>
      </c>
      <c r="FR139">
        <v>23.64575793933334</v>
      </c>
      <c r="FS139">
        <v>0.52841552846370177</v>
      </c>
      <c r="FT139">
        <v>4.7549672474483308E-2</v>
      </c>
      <c r="FU139">
        <v>1</v>
      </c>
      <c r="FV139">
        <v>0.32885154713888659</v>
      </c>
      <c r="FW139">
        <v>-1.1176342248109239E-3</v>
      </c>
      <c r="FX139">
        <v>1.0424786788221889E-3</v>
      </c>
      <c r="FY139">
        <v>1</v>
      </c>
      <c r="FZ139">
        <v>2</v>
      </c>
      <c r="GA139">
        <v>2</v>
      </c>
      <c r="GB139" t="s">
        <v>424</v>
      </c>
      <c r="GC139">
        <v>3.1253099999999998</v>
      </c>
      <c r="GD139">
        <v>2.7677800000000001</v>
      </c>
      <c r="GE139">
        <v>4.30544E-2</v>
      </c>
      <c r="GF139">
        <v>4.9768199999999999E-2</v>
      </c>
      <c r="GG139">
        <v>0.119521</v>
      </c>
      <c r="GH139">
        <v>0.103237</v>
      </c>
      <c r="GI139">
        <v>22807.200000000001</v>
      </c>
      <c r="GJ139">
        <v>23499.7</v>
      </c>
      <c r="GK139">
        <v>23700.799999999999</v>
      </c>
      <c r="GL139">
        <v>25047.8</v>
      </c>
      <c r="GM139">
        <v>30076.9</v>
      </c>
      <c r="GN139">
        <v>31513.3</v>
      </c>
      <c r="GO139">
        <v>37782.400000000001</v>
      </c>
      <c r="GP139">
        <v>38981.9</v>
      </c>
      <c r="GQ139">
        <v>2.1274199999999999</v>
      </c>
      <c r="GR139">
        <v>1.70058</v>
      </c>
      <c r="GS139">
        <v>7.0221700000000003E-3</v>
      </c>
      <c r="GT139">
        <v>0</v>
      </c>
      <c r="GU139">
        <v>29.8459</v>
      </c>
      <c r="GV139">
        <v>999.9</v>
      </c>
      <c r="GW139">
        <v>29.5</v>
      </c>
      <c r="GX139">
        <v>44.9</v>
      </c>
      <c r="GY139">
        <v>28.590900000000001</v>
      </c>
      <c r="GZ139">
        <v>61.097999999999999</v>
      </c>
      <c r="HA139">
        <v>27.355799999999999</v>
      </c>
      <c r="HB139">
        <v>1</v>
      </c>
      <c r="HC139">
        <v>0.69937499999999997</v>
      </c>
      <c r="HD139">
        <v>2.8669699999999998</v>
      </c>
      <c r="HE139">
        <v>20.2944</v>
      </c>
      <c r="HF139">
        <v>5.2484400000000004</v>
      </c>
      <c r="HG139">
        <v>12.0099</v>
      </c>
      <c r="HH139">
        <v>4.9786999999999999</v>
      </c>
      <c r="HI139">
        <v>3.2930000000000001</v>
      </c>
      <c r="HJ139">
        <v>9999</v>
      </c>
      <c r="HK139">
        <v>9999</v>
      </c>
      <c r="HL139">
        <v>9999</v>
      </c>
      <c r="HM139">
        <v>238.8</v>
      </c>
      <c r="HN139">
        <v>1.8757699999999999</v>
      </c>
      <c r="HO139">
        <v>1.87683</v>
      </c>
      <c r="HP139">
        <v>1.88293</v>
      </c>
      <c r="HQ139">
        <v>1.8861399999999999</v>
      </c>
      <c r="HR139">
        <v>1.8769100000000001</v>
      </c>
      <c r="HS139">
        <v>1.8833200000000001</v>
      </c>
      <c r="HT139">
        <v>1.8823099999999999</v>
      </c>
      <c r="HU139">
        <v>1.88581</v>
      </c>
      <c r="HV139">
        <v>0</v>
      </c>
      <c r="HW139">
        <v>0</v>
      </c>
      <c r="HX139">
        <v>0</v>
      </c>
      <c r="HY139">
        <v>0</v>
      </c>
      <c r="HZ139" t="s">
        <v>425</v>
      </c>
      <c r="IA139" t="s">
        <v>426</v>
      </c>
      <c r="IB139" t="s">
        <v>427</v>
      </c>
      <c r="IC139" t="s">
        <v>427</v>
      </c>
      <c r="ID139" t="s">
        <v>427</v>
      </c>
      <c r="IE139" t="s">
        <v>427</v>
      </c>
      <c r="IF139">
        <v>0</v>
      </c>
      <c r="IG139">
        <v>100</v>
      </c>
      <c r="IH139">
        <v>100</v>
      </c>
      <c r="II139">
        <v>0.09</v>
      </c>
      <c r="IJ139">
        <v>4.9000000000000002E-2</v>
      </c>
      <c r="IK139">
        <v>0.14548366582653971</v>
      </c>
      <c r="IL139">
        <v>-4.2852564239613137E-4</v>
      </c>
      <c r="IM139">
        <v>6.4980710991155998E-7</v>
      </c>
      <c r="IN139">
        <v>-2.7237938963984961E-10</v>
      </c>
      <c r="IO139">
        <v>-9.5706074249876007E-3</v>
      </c>
      <c r="IP139">
        <v>6.6907473102813496E-3</v>
      </c>
      <c r="IQ139">
        <v>-3.3673306238274028E-4</v>
      </c>
      <c r="IR139">
        <v>6.1311374003140313E-6</v>
      </c>
      <c r="IS139">
        <v>3</v>
      </c>
      <c r="IT139">
        <v>2101</v>
      </c>
      <c r="IU139">
        <v>1</v>
      </c>
      <c r="IV139">
        <v>32</v>
      </c>
      <c r="IW139">
        <v>0.8</v>
      </c>
      <c r="IX139">
        <v>0.8</v>
      </c>
      <c r="IY139">
        <v>0.58471700000000004</v>
      </c>
      <c r="IZ139">
        <v>2.7160600000000001</v>
      </c>
      <c r="JA139">
        <v>1.6015600000000001</v>
      </c>
      <c r="JB139">
        <v>2.3290999999999999</v>
      </c>
      <c r="JC139">
        <v>1.5502899999999999</v>
      </c>
      <c r="JD139">
        <v>2.3767100000000001</v>
      </c>
      <c r="JE139">
        <v>47.7226</v>
      </c>
      <c r="JF139">
        <v>24.148800000000001</v>
      </c>
      <c r="JG139">
        <v>18</v>
      </c>
      <c r="JH139">
        <v>598.904</v>
      </c>
      <c r="JI139">
        <v>374.31700000000001</v>
      </c>
      <c r="JJ139">
        <v>26.8718</v>
      </c>
      <c r="JK139">
        <v>35.675400000000003</v>
      </c>
      <c r="JL139">
        <v>30.000599999999999</v>
      </c>
      <c r="JM139">
        <v>35.860500000000002</v>
      </c>
      <c r="JN139">
        <v>35.868400000000001</v>
      </c>
      <c r="JO139">
        <v>11.7028</v>
      </c>
      <c r="JP139">
        <v>23.142900000000001</v>
      </c>
      <c r="JQ139">
        <v>6.43912</v>
      </c>
      <c r="JR139">
        <v>26.865400000000001</v>
      </c>
      <c r="JS139">
        <v>200</v>
      </c>
      <c r="JT139">
        <v>22.729600000000001</v>
      </c>
      <c r="JU139">
        <v>98.543700000000001</v>
      </c>
      <c r="JV139">
        <v>98.649000000000001</v>
      </c>
    </row>
    <row r="140" spans="1:282" x14ac:dyDescent="0.25">
      <c r="A140">
        <v>124</v>
      </c>
      <c r="B140">
        <v>1689026461</v>
      </c>
      <c r="C140">
        <v>26638.400000095371</v>
      </c>
      <c r="D140" t="s">
        <v>1045</v>
      </c>
      <c r="E140" t="s">
        <v>1046</v>
      </c>
      <c r="F140" t="s">
        <v>414</v>
      </c>
      <c r="G140" t="s">
        <v>415</v>
      </c>
      <c r="H140" t="s">
        <v>577</v>
      </c>
      <c r="I140" t="s">
        <v>655</v>
      </c>
      <c r="J140" t="s">
        <v>418</v>
      </c>
      <c r="K140">
        <v>1689026461</v>
      </c>
      <c r="L140">
        <f t="shared" si="138"/>
        <v>4.9140324826855318E-3</v>
      </c>
      <c r="M140">
        <f t="shared" si="139"/>
        <v>4.9140324826855322</v>
      </c>
      <c r="N140">
        <f t="shared" si="140"/>
        <v>14.907616813177537</v>
      </c>
      <c r="O140">
        <f t="shared" si="141"/>
        <v>101.7</v>
      </c>
      <c r="P140">
        <f t="shared" si="142"/>
        <v>27.581951227396438</v>
      </c>
      <c r="Q140">
        <f t="shared" si="143"/>
        <v>2.731637692057808</v>
      </c>
      <c r="R140">
        <f t="shared" si="144"/>
        <v>10.072077605819999</v>
      </c>
      <c r="S140">
        <f t="shared" si="145"/>
        <v>0.34725671000700586</v>
      </c>
      <c r="T140">
        <f t="shared" si="146"/>
        <v>2.9084352310298662</v>
      </c>
      <c r="U140">
        <f t="shared" si="147"/>
        <v>0.32575765430518278</v>
      </c>
      <c r="V140">
        <f t="shared" si="148"/>
        <v>0.20541912421045122</v>
      </c>
      <c r="W140">
        <f t="shared" si="149"/>
        <v>289.56212032709499</v>
      </c>
      <c r="X140">
        <f t="shared" si="150"/>
        <v>30.52659984233004</v>
      </c>
      <c r="Y140">
        <f t="shared" si="151"/>
        <v>29.970600000000001</v>
      </c>
      <c r="Z140">
        <f t="shared" si="152"/>
        <v>4.2532603922365269</v>
      </c>
      <c r="AA140">
        <f t="shared" si="153"/>
        <v>65.657040431649577</v>
      </c>
      <c r="AB140">
        <f t="shared" si="154"/>
        <v>2.8125855806387801</v>
      </c>
      <c r="AC140">
        <f t="shared" si="155"/>
        <v>4.2837532154175362</v>
      </c>
      <c r="AD140">
        <f t="shared" si="156"/>
        <v>1.4406748115977468</v>
      </c>
      <c r="AE140">
        <f t="shared" si="157"/>
        <v>-216.70883248643196</v>
      </c>
      <c r="AF140">
        <f t="shared" si="158"/>
        <v>19.505865285804767</v>
      </c>
      <c r="AG140">
        <f t="shared" si="159"/>
        <v>1.4917153747079233</v>
      </c>
      <c r="AH140">
        <f t="shared" si="160"/>
        <v>93.850868501175739</v>
      </c>
      <c r="AI140">
        <v>0</v>
      </c>
      <c r="AJ140">
        <v>0</v>
      </c>
      <c r="AK140">
        <f t="shared" si="161"/>
        <v>1</v>
      </c>
      <c r="AL140">
        <f t="shared" si="162"/>
        <v>0</v>
      </c>
      <c r="AM140">
        <f t="shared" si="163"/>
        <v>51712.73545625672</v>
      </c>
      <c r="AN140" t="s">
        <v>419</v>
      </c>
      <c r="AO140">
        <v>9967.0300000000007</v>
      </c>
      <c r="AP140">
        <v>178.94153846153841</v>
      </c>
      <c r="AQ140">
        <v>603.15</v>
      </c>
      <c r="AR140">
        <f t="shared" si="164"/>
        <v>0.7033216638290003</v>
      </c>
      <c r="AS140">
        <v>-3.2649104154664181</v>
      </c>
      <c r="AT140" t="s">
        <v>1047</v>
      </c>
      <c r="AU140">
        <v>8053.68</v>
      </c>
      <c r="AV140">
        <v>661.78915384615379</v>
      </c>
      <c r="AW140">
        <v>781.77058682412007</v>
      </c>
      <c r="AX140">
        <f t="shared" si="165"/>
        <v>0.1534739666599394</v>
      </c>
      <c r="AY140">
        <v>0.5</v>
      </c>
      <c r="AZ140">
        <f t="shared" si="166"/>
        <v>1513.1672996513446</v>
      </c>
      <c r="BA140">
        <f t="shared" si="167"/>
        <v>14.907616813177537</v>
      </c>
      <c r="BB140">
        <f t="shared" si="168"/>
        <v>116.1158938488005</v>
      </c>
      <c r="BC140">
        <f t="shared" si="169"/>
        <v>1.200959552379381E-2</v>
      </c>
      <c r="BD140">
        <f t="shared" si="170"/>
        <v>-0.22848210182702297</v>
      </c>
      <c r="BE140">
        <f t="shared" si="171"/>
        <v>191.95321988353382</v>
      </c>
      <c r="BF140" t="s">
        <v>1048</v>
      </c>
      <c r="BG140">
        <v>546.24</v>
      </c>
      <c r="BH140">
        <f t="shared" si="172"/>
        <v>546.24</v>
      </c>
      <c r="BI140">
        <f t="shared" si="173"/>
        <v>0.30127839393516209</v>
      </c>
      <c r="BJ140">
        <f t="shared" si="174"/>
        <v>0.50940913702881874</v>
      </c>
      <c r="BK140">
        <f t="shared" si="175"/>
        <v>-3.1386502692693763</v>
      </c>
      <c r="BL140">
        <f t="shared" si="176"/>
        <v>0.199030609596307</v>
      </c>
      <c r="BM140">
        <f t="shared" si="177"/>
        <v>-0.4210679489426572</v>
      </c>
      <c r="BN140">
        <f t="shared" si="178"/>
        <v>0.42046571085888335</v>
      </c>
      <c r="BO140">
        <f t="shared" si="179"/>
        <v>0.5795342891411166</v>
      </c>
      <c r="BP140">
        <v>6283</v>
      </c>
      <c r="BQ140">
        <v>290.00000000000011</v>
      </c>
      <c r="BR140">
        <v>748.51</v>
      </c>
      <c r="BS140">
        <v>285</v>
      </c>
      <c r="BT140">
        <v>8053.68</v>
      </c>
      <c r="BU140">
        <v>747.99</v>
      </c>
      <c r="BV140">
        <v>0.52</v>
      </c>
      <c r="BW140">
        <v>300.00000000000011</v>
      </c>
      <c r="BX140">
        <v>19.3</v>
      </c>
      <c r="BY140">
        <v>781.77058682412007</v>
      </c>
      <c r="BZ140">
        <v>2.6217608511416568</v>
      </c>
      <c r="CA140">
        <v>-27.207433356477019</v>
      </c>
      <c r="CB140">
        <v>1.9397344311637941</v>
      </c>
      <c r="CC140">
        <v>0.8754110672297023</v>
      </c>
      <c r="CD140">
        <v>-4.1560048943270356E-3</v>
      </c>
      <c r="CE140">
        <v>289.99999999999989</v>
      </c>
      <c r="CF140">
        <v>746.99</v>
      </c>
      <c r="CG140">
        <v>625</v>
      </c>
      <c r="CH140">
        <v>8045.22</v>
      </c>
      <c r="CI140">
        <v>747.95</v>
      </c>
      <c r="CJ140">
        <v>-0.96</v>
      </c>
      <c r="CX140">
        <f t="shared" si="180"/>
        <v>1799.98</v>
      </c>
      <c r="CY140">
        <f t="shared" si="181"/>
        <v>1513.1672996513446</v>
      </c>
      <c r="CZ140">
        <f t="shared" si="182"/>
        <v>0.84065784044897418</v>
      </c>
      <c r="DA140">
        <f t="shared" si="183"/>
        <v>0.16086963206652016</v>
      </c>
      <c r="DB140">
        <v>6</v>
      </c>
      <c r="DC140">
        <v>0.5</v>
      </c>
      <c r="DD140" t="s">
        <v>422</v>
      </c>
      <c r="DE140">
        <v>2</v>
      </c>
      <c r="DF140">
        <v>1689026461</v>
      </c>
      <c r="DG140">
        <v>101.7</v>
      </c>
      <c r="DH140">
        <v>120.187</v>
      </c>
      <c r="DI140">
        <v>28.3993</v>
      </c>
      <c r="DJ140">
        <v>22.670500000000001</v>
      </c>
      <c r="DK140">
        <v>101.574</v>
      </c>
      <c r="DL140">
        <v>28.347999999999999</v>
      </c>
      <c r="DM140">
        <v>500.05</v>
      </c>
      <c r="DN140">
        <v>98.937299999999993</v>
      </c>
      <c r="DO140">
        <v>9.9844600000000006E-2</v>
      </c>
      <c r="DP140">
        <v>30.094999999999999</v>
      </c>
      <c r="DQ140">
        <v>29.970600000000001</v>
      </c>
      <c r="DR140">
        <v>999.9</v>
      </c>
      <c r="DS140">
        <v>0</v>
      </c>
      <c r="DT140">
        <v>0</v>
      </c>
      <c r="DU140">
        <v>9986.25</v>
      </c>
      <c r="DV140">
        <v>0</v>
      </c>
      <c r="DW140">
        <v>1074.3399999999999</v>
      </c>
      <c r="DX140">
        <v>-18.4879</v>
      </c>
      <c r="DY140">
        <v>104.672</v>
      </c>
      <c r="DZ140">
        <v>122.97499999999999</v>
      </c>
      <c r="EA140">
        <v>5.7288399999999999</v>
      </c>
      <c r="EB140">
        <v>120.187</v>
      </c>
      <c r="EC140">
        <v>22.670500000000001</v>
      </c>
      <c r="ED140">
        <v>2.8097500000000002</v>
      </c>
      <c r="EE140">
        <v>2.24295</v>
      </c>
      <c r="EF140">
        <v>22.941500000000001</v>
      </c>
      <c r="EG140">
        <v>19.272500000000001</v>
      </c>
      <c r="EH140">
        <v>1799.98</v>
      </c>
      <c r="EI140">
        <v>0.97800900000000002</v>
      </c>
      <c r="EJ140">
        <v>2.1990800000000001E-2</v>
      </c>
      <c r="EK140">
        <v>0</v>
      </c>
      <c r="EL140">
        <v>660.93299999999999</v>
      </c>
      <c r="EM140">
        <v>5.0005300000000004</v>
      </c>
      <c r="EN140">
        <v>15191.8</v>
      </c>
      <c r="EO140">
        <v>16035.2</v>
      </c>
      <c r="EP140">
        <v>48.75</v>
      </c>
      <c r="EQ140">
        <v>49.811999999999998</v>
      </c>
      <c r="ER140">
        <v>49.311999999999998</v>
      </c>
      <c r="ES140">
        <v>49.125</v>
      </c>
      <c r="ET140">
        <v>49.875</v>
      </c>
      <c r="EU140">
        <v>1755.51</v>
      </c>
      <c r="EV140">
        <v>39.47</v>
      </c>
      <c r="EW140">
        <v>0</v>
      </c>
      <c r="EX140">
        <v>108.7999999523163</v>
      </c>
      <c r="EY140">
        <v>0</v>
      </c>
      <c r="EZ140">
        <v>661.78915384615379</v>
      </c>
      <c r="FA140">
        <v>-5.1924102423343808</v>
      </c>
      <c r="FB140">
        <v>-322.55384492757031</v>
      </c>
      <c r="FC140">
        <v>15181.48076923077</v>
      </c>
      <c r="FD140">
        <v>15</v>
      </c>
      <c r="FE140">
        <v>1689026429</v>
      </c>
      <c r="FF140" t="s">
        <v>1049</v>
      </c>
      <c r="FG140">
        <v>1689026414.5</v>
      </c>
      <c r="FH140">
        <v>1689026429</v>
      </c>
      <c r="FI140">
        <v>136</v>
      </c>
      <c r="FJ140">
        <v>1.7000000000000001E-2</v>
      </c>
      <c r="FK140">
        <v>2E-3</v>
      </c>
      <c r="FL140">
        <v>0.12</v>
      </c>
      <c r="FM140">
        <v>4.2000000000000003E-2</v>
      </c>
      <c r="FN140">
        <v>120</v>
      </c>
      <c r="FO140">
        <v>23</v>
      </c>
      <c r="FP140">
        <v>0.08</v>
      </c>
      <c r="FQ140">
        <v>0.03</v>
      </c>
      <c r="FR140">
        <v>14.88568649485631</v>
      </c>
      <c r="FS140">
        <v>-0.38078128976303222</v>
      </c>
      <c r="FT140">
        <v>3.8156021135867517E-2</v>
      </c>
      <c r="FU140">
        <v>1</v>
      </c>
      <c r="FV140">
        <v>0.34552034052185782</v>
      </c>
      <c r="FW140">
        <v>4.9540750119766878E-2</v>
      </c>
      <c r="FX140">
        <v>3.9741143151232877E-3</v>
      </c>
      <c r="FY140">
        <v>1</v>
      </c>
      <c r="FZ140">
        <v>2</v>
      </c>
      <c r="GA140">
        <v>2</v>
      </c>
      <c r="GB140" t="s">
        <v>424</v>
      </c>
      <c r="GC140">
        <v>3.125</v>
      </c>
      <c r="GD140">
        <v>2.7670300000000001</v>
      </c>
      <c r="GE140">
        <v>2.6514900000000001E-2</v>
      </c>
      <c r="GF140">
        <v>3.1184199999999999E-2</v>
      </c>
      <c r="GG140">
        <v>0.11973399999999999</v>
      </c>
      <c r="GH140">
        <v>0.10254199999999999</v>
      </c>
      <c r="GI140">
        <v>23200.7</v>
      </c>
      <c r="GJ140">
        <v>23958.799999999999</v>
      </c>
      <c r="GK140">
        <v>23700.9</v>
      </c>
      <c r="GL140">
        <v>25048.1</v>
      </c>
      <c r="GM140">
        <v>30069.5</v>
      </c>
      <c r="GN140">
        <v>31538</v>
      </c>
      <c r="GO140">
        <v>37782.1</v>
      </c>
      <c r="GP140">
        <v>38982.1</v>
      </c>
      <c r="GQ140">
        <v>2.1274000000000002</v>
      </c>
      <c r="GR140">
        <v>1.6998200000000001</v>
      </c>
      <c r="GS140">
        <v>7.6666499999999997E-3</v>
      </c>
      <c r="GT140">
        <v>0</v>
      </c>
      <c r="GU140">
        <v>29.8459</v>
      </c>
      <c r="GV140">
        <v>999.9</v>
      </c>
      <c r="GW140">
        <v>29.4</v>
      </c>
      <c r="GX140">
        <v>44.9</v>
      </c>
      <c r="GY140">
        <v>28.493500000000001</v>
      </c>
      <c r="GZ140">
        <v>60.857999999999997</v>
      </c>
      <c r="HA140">
        <v>27.171500000000002</v>
      </c>
      <c r="HB140">
        <v>1</v>
      </c>
      <c r="HC140">
        <v>0.698465</v>
      </c>
      <c r="HD140">
        <v>1.9914799999999999</v>
      </c>
      <c r="HE140">
        <v>20.305800000000001</v>
      </c>
      <c r="HF140">
        <v>5.2503799999999998</v>
      </c>
      <c r="HG140">
        <v>12.0099</v>
      </c>
      <c r="HH140">
        <v>4.9787499999999998</v>
      </c>
      <c r="HI140">
        <v>3.2924799999999999</v>
      </c>
      <c r="HJ140">
        <v>9999</v>
      </c>
      <c r="HK140">
        <v>9999</v>
      </c>
      <c r="HL140">
        <v>9999</v>
      </c>
      <c r="HM140">
        <v>238.8</v>
      </c>
      <c r="HN140">
        <v>1.8757600000000001</v>
      </c>
      <c r="HO140">
        <v>1.87683</v>
      </c>
      <c r="HP140">
        <v>1.88293</v>
      </c>
      <c r="HQ140">
        <v>1.8861399999999999</v>
      </c>
      <c r="HR140">
        <v>1.8768899999999999</v>
      </c>
      <c r="HS140">
        <v>1.8833200000000001</v>
      </c>
      <c r="HT140">
        <v>1.88232</v>
      </c>
      <c r="HU140">
        <v>1.8857900000000001</v>
      </c>
      <c r="HV140">
        <v>0</v>
      </c>
      <c r="HW140">
        <v>0</v>
      </c>
      <c r="HX140">
        <v>0</v>
      </c>
      <c r="HY140">
        <v>0</v>
      </c>
      <c r="HZ140" t="s">
        <v>425</v>
      </c>
      <c r="IA140" t="s">
        <v>426</v>
      </c>
      <c r="IB140" t="s">
        <v>427</v>
      </c>
      <c r="IC140" t="s">
        <v>427</v>
      </c>
      <c r="ID140" t="s">
        <v>427</v>
      </c>
      <c r="IE140" t="s">
        <v>427</v>
      </c>
      <c r="IF140">
        <v>0</v>
      </c>
      <c r="IG140">
        <v>100</v>
      </c>
      <c r="IH140">
        <v>100</v>
      </c>
      <c r="II140">
        <v>0.126</v>
      </c>
      <c r="IJ140">
        <v>5.1299999999999998E-2</v>
      </c>
      <c r="IK140">
        <v>0.16253137226492931</v>
      </c>
      <c r="IL140">
        <v>-4.2852564239613137E-4</v>
      </c>
      <c r="IM140">
        <v>6.4980710991155998E-7</v>
      </c>
      <c r="IN140">
        <v>-2.7237938963984961E-10</v>
      </c>
      <c r="IO140">
        <v>-7.4838338991068034E-3</v>
      </c>
      <c r="IP140">
        <v>6.6907473102813496E-3</v>
      </c>
      <c r="IQ140">
        <v>-3.3673306238274028E-4</v>
      </c>
      <c r="IR140">
        <v>6.1311374003140313E-6</v>
      </c>
      <c r="IS140">
        <v>3</v>
      </c>
      <c r="IT140">
        <v>2101</v>
      </c>
      <c r="IU140">
        <v>1</v>
      </c>
      <c r="IV140">
        <v>32</v>
      </c>
      <c r="IW140">
        <v>0.8</v>
      </c>
      <c r="IX140">
        <v>0.5</v>
      </c>
      <c r="IY140">
        <v>0.40771499999999999</v>
      </c>
      <c r="IZ140">
        <v>2.7368199999999998</v>
      </c>
      <c r="JA140">
        <v>1.6015600000000001</v>
      </c>
      <c r="JB140">
        <v>2.3290999999999999</v>
      </c>
      <c r="JC140">
        <v>1.5502899999999999</v>
      </c>
      <c r="JD140">
        <v>2.4047900000000002</v>
      </c>
      <c r="JE140">
        <v>47.692399999999999</v>
      </c>
      <c r="JF140">
        <v>24.157499999999999</v>
      </c>
      <c r="JG140">
        <v>18</v>
      </c>
      <c r="JH140">
        <v>598.78499999999997</v>
      </c>
      <c r="JI140">
        <v>373.76400000000001</v>
      </c>
      <c r="JJ140">
        <v>26.6873</v>
      </c>
      <c r="JK140">
        <v>35.662999999999997</v>
      </c>
      <c r="JL140">
        <v>29.997599999999998</v>
      </c>
      <c r="JM140">
        <v>35.8489</v>
      </c>
      <c r="JN140">
        <v>35.851999999999997</v>
      </c>
      <c r="JO140">
        <v>8.1439299999999992</v>
      </c>
      <c r="JP140">
        <v>23.428899999999999</v>
      </c>
      <c r="JQ140">
        <v>5.7604100000000003</v>
      </c>
      <c r="JR140">
        <v>26.889900000000001</v>
      </c>
      <c r="JS140">
        <v>120</v>
      </c>
      <c r="JT140">
        <v>22.595400000000001</v>
      </c>
      <c r="JU140">
        <v>98.543499999999995</v>
      </c>
      <c r="JV140">
        <v>98.649799999999999</v>
      </c>
    </row>
    <row r="141" spans="1:282" x14ac:dyDescent="0.25">
      <c r="A141">
        <v>125</v>
      </c>
      <c r="B141">
        <v>1689026614</v>
      </c>
      <c r="C141">
        <v>26791.400000095371</v>
      </c>
      <c r="D141" t="s">
        <v>1050</v>
      </c>
      <c r="E141" t="s">
        <v>1051</v>
      </c>
      <c r="F141" t="s">
        <v>414</v>
      </c>
      <c r="G141" t="s">
        <v>415</v>
      </c>
      <c r="H141" t="s">
        <v>577</v>
      </c>
      <c r="I141" t="s">
        <v>655</v>
      </c>
      <c r="J141" t="s">
        <v>418</v>
      </c>
      <c r="K141">
        <v>1689026614</v>
      </c>
      <c r="L141">
        <f t="shared" si="138"/>
        <v>5.3926155308527601E-3</v>
      </c>
      <c r="M141">
        <f t="shared" si="139"/>
        <v>5.3926155308527601</v>
      </c>
      <c r="N141">
        <f t="shared" si="140"/>
        <v>9.3015242192129985</v>
      </c>
      <c r="O141">
        <f t="shared" si="141"/>
        <v>58.6845</v>
      </c>
      <c r="P141">
        <f t="shared" si="142"/>
        <v>16.563074979778161</v>
      </c>
      <c r="Q141">
        <f t="shared" si="143"/>
        <v>1.640317361293586</v>
      </c>
      <c r="R141">
        <f t="shared" si="144"/>
        <v>5.8117954731448496</v>
      </c>
      <c r="S141">
        <f t="shared" si="145"/>
        <v>0.38349568868737022</v>
      </c>
      <c r="T141">
        <f t="shared" si="146"/>
        <v>2.9175716002088281</v>
      </c>
      <c r="U141">
        <f t="shared" si="147"/>
        <v>0.35753137236612781</v>
      </c>
      <c r="V141">
        <f t="shared" si="148"/>
        <v>0.22564324059306057</v>
      </c>
      <c r="W141">
        <f t="shared" si="149"/>
        <v>289.5818513269694</v>
      </c>
      <c r="X141">
        <f t="shared" si="150"/>
        <v>30.455878632580021</v>
      </c>
      <c r="Y141">
        <f t="shared" si="151"/>
        <v>29.989599999999999</v>
      </c>
      <c r="Z141">
        <f t="shared" si="152"/>
        <v>4.2579053806818408</v>
      </c>
      <c r="AA141">
        <f t="shared" si="153"/>
        <v>65.564912397521894</v>
      </c>
      <c r="AB141">
        <f t="shared" si="154"/>
        <v>2.8175341224849997</v>
      </c>
      <c r="AC141">
        <f t="shared" si="155"/>
        <v>4.2973200442977975</v>
      </c>
      <c r="AD141">
        <f t="shared" si="156"/>
        <v>1.4403712581968411</v>
      </c>
      <c r="AE141">
        <f t="shared" si="157"/>
        <v>-237.81434491060671</v>
      </c>
      <c r="AF141">
        <f t="shared" si="158"/>
        <v>25.245385277728406</v>
      </c>
      <c r="AG141">
        <f t="shared" si="159"/>
        <v>1.9253066923784379</v>
      </c>
      <c r="AH141">
        <f t="shared" si="160"/>
        <v>78.938198386469551</v>
      </c>
      <c r="AI141">
        <v>0</v>
      </c>
      <c r="AJ141">
        <v>0</v>
      </c>
      <c r="AK141">
        <f t="shared" si="161"/>
        <v>1</v>
      </c>
      <c r="AL141">
        <f t="shared" si="162"/>
        <v>0</v>
      </c>
      <c r="AM141">
        <f t="shared" si="163"/>
        <v>51962.920437880122</v>
      </c>
      <c r="AN141" t="s">
        <v>419</v>
      </c>
      <c r="AO141">
        <v>9967.0300000000007</v>
      </c>
      <c r="AP141">
        <v>178.94153846153841</v>
      </c>
      <c r="AQ141">
        <v>603.15</v>
      </c>
      <c r="AR141">
        <f t="shared" si="164"/>
        <v>0.7033216638290003</v>
      </c>
      <c r="AS141">
        <v>-3.2649104154664181</v>
      </c>
      <c r="AT141" t="s">
        <v>1052</v>
      </c>
      <c r="AU141">
        <v>8056.62</v>
      </c>
      <c r="AV141">
        <v>673.50896153846156</v>
      </c>
      <c r="AW141">
        <v>756.32128828393479</v>
      </c>
      <c r="AX141">
        <f t="shared" si="165"/>
        <v>0.10949358166735113</v>
      </c>
      <c r="AY141">
        <v>0.5</v>
      </c>
      <c r="AZ141">
        <f t="shared" si="166"/>
        <v>1513.2683996512794</v>
      </c>
      <c r="BA141">
        <f t="shared" si="167"/>
        <v>9.3015242192129985</v>
      </c>
      <c r="BB141">
        <f t="shared" si="168"/>
        <v>82.846588550919549</v>
      </c>
      <c r="BC141">
        <f t="shared" si="169"/>
        <v>8.3041677455071763E-3</v>
      </c>
      <c r="BD141">
        <f t="shared" si="170"/>
        <v>-0.20252145570498861</v>
      </c>
      <c r="BE141">
        <f t="shared" si="171"/>
        <v>190.38029651225926</v>
      </c>
      <c r="BF141" t="s">
        <v>1053</v>
      </c>
      <c r="BG141">
        <v>564.61</v>
      </c>
      <c r="BH141">
        <f t="shared" si="172"/>
        <v>564.61</v>
      </c>
      <c r="BI141">
        <f t="shared" si="173"/>
        <v>0.25347863567204443</v>
      </c>
      <c r="BJ141">
        <f t="shared" si="174"/>
        <v>0.4319637486490816</v>
      </c>
      <c r="BK141">
        <f t="shared" si="175"/>
        <v>-3.9743458298893346</v>
      </c>
      <c r="BL141">
        <f t="shared" si="176"/>
        <v>0.14342783371073634</v>
      </c>
      <c r="BM141">
        <f t="shared" si="177"/>
        <v>-0.36107551397827853</v>
      </c>
      <c r="BN141">
        <f t="shared" si="178"/>
        <v>0.36211998065719914</v>
      </c>
      <c r="BO141">
        <f t="shared" si="179"/>
        <v>0.63788001934280092</v>
      </c>
      <c r="BP141">
        <v>6285</v>
      </c>
      <c r="BQ141">
        <v>290.00000000000011</v>
      </c>
      <c r="BR141">
        <v>731.39</v>
      </c>
      <c r="BS141">
        <v>245</v>
      </c>
      <c r="BT141">
        <v>8056.62</v>
      </c>
      <c r="BU141">
        <v>730.51</v>
      </c>
      <c r="BV141">
        <v>0.88</v>
      </c>
      <c r="BW141">
        <v>300.00000000000011</v>
      </c>
      <c r="BX141">
        <v>19.3</v>
      </c>
      <c r="BY141">
        <v>756.32128828393479</v>
      </c>
      <c r="BZ141">
        <v>2.5790365069085111</v>
      </c>
      <c r="CA141">
        <v>-20.798570630655941</v>
      </c>
      <c r="CB141">
        <v>1.908206699134962</v>
      </c>
      <c r="CC141">
        <v>0.80926420057973703</v>
      </c>
      <c r="CD141">
        <v>-4.1562529477196849E-3</v>
      </c>
      <c r="CE141">
        <v>289.99999999999989</v>
      </c>
      <c r="CF141">
        <v>729.72</v>
      </c>
      <c r="CG141">
        <v>655</v>
      </c>
      <c r="CH141">
        <v>8044.56</v>
      </c>
      <c r="CI141">
        <v>730.47</v>
      </c>
      <c r="CJ141">
        <v>-0.75</v>
      </c>
      <c r="CX141">
        <f t="shared" si="180"/>
        <v>1800.1</v>
      </c>
      <c r="CY141">
        <f t="shared" si="181"/>
        <v>1513.2683996512794</v>
      </c>
      <c r="CZ141">
        <f t="shared" si="182"/>
        <v>0.84065796325275233</v>
      </c>
      <c r="DA141">
        <f t="shared" si="183"/>
        <v>0.16086986907781201</v>
      </c>
      <c r="DB141">
        <v>6</v>
      </c>
      <c r="DC141">
        <v>0.5</v>
      </c>
      <c r="DD141" t="s">
        <v>422</v>
      </c>
      <c r="DE141">
        <v>2</v>
      </c>
      <c r="DF141">
        <v>1689026614</v>
      </c>
      <c r="DG141">
        <v>58.6845</v>
      </c>
      <c r="DH141">
        <v>70.222899999999996</v>
      </c>
      <c r="DI141">
        <v>28.45</v>
      </c>
      <c r="DJ141">
        <v>22.1647</v>
      </c>
      <c r="DK141">
        <v>58.531799999999997</v>
      </c>
      <c r="DL141">
        <v>28.398399999999999</v>
      </c>
      <c r="DM141">
        <v>500.13799999999998</v>
      </c>
      <c r="DN141">
        <v>98.934899999999999</v>
      </c>
      <c r="DO141">
        <v>9.9691299999999997E-2</v>
      </c>
      <c r="DP141">
        <v>30.150099999999998</v>
      </c>
      <c r="DQ141">
        <v>29.989599999999999</v>
      </c>
      <c r="DR141">
        <v>999.9</v>
      </c>
      <c r="DS141">
        <v>0</v>
      </c>
      <c r="DT141">
        <v>0</v>
      </c>
      <c r="DU141">
        <v>10038.799999999999</v>
      </c>
      <c r="DV141">
        <v>0</v>
      </c>
      <c r="DW141">
        <v>1069.8</v>
      </c>
      <c r="DX141">
        <v>-11.538500000000001</v>
      </c>
      <c r="DY141">
        <v>60.402900000000002</v>
      </c>
      <c r="DZ141">
        <v>71.814700000000002</v>
      </c>
      <c r="EA141">
        <v>6.2852800000000002</v>
      </c>
      <c r="EB141">
        <v>70.222899999999996</v>
      </c>
      <c r="EC141">
        <v>22.1647</v>
      </c>
      <c r="ED141">
        <v>2.8146900000000001</v>
      </c>
      <c r="EE141">
        <v>2.19286</v>
      </c>
      <c r="EF141">
        <v>22.970500000000001</v>
      </c>
      <c r="EG141">
        <v>18.9102</v>
      </c>
      <c r="EH141">
        <v>1800.1</v>
      </c>
      <c r="EI141">
        <v>0.97800900000000002</v>
      </c>
      <c r="EJ141">
        <v>2.19905E-2</v>
      </c>
      <c r="EK141">
        <v>0</v>
      </c>
      <c r="EL141">
        <v>673.60199999999998</v>
      </c>
      <c r="EM141">
        <v>5.0005300000000004</v>
      </c>
      <c r="EN141">
        <v>15431.4</v>
      </c>
      <c r="EO141">
        <v>16036.2</v>
      </c>
      <c r="EP141">
        <v>48.686999999999998</v>
      </c>
      <c r="EQ141">
        <v>49.75</v>
      </c>
      <c r="ER141">
        <v>49.25</v>
      </c>
      <c r="ES141">
        <v>49.125</v>
      </c>
      <c r="ET141">
        <v>49.811999999999998</v>
      </c>
      <c r="EU141">
        <v>1755.62</v>
      </c>
      <c r="EV141">
        <v>39.479999999999997</v>
      </c>
      <c r="EW141">
        <v>0</v>
      </c>
      <c r="EX141">
        <v>151.20000004768369</v>
      </c>
      <c r="EY141">
        <v>0</v>
      </c>
      <c r="EZ141">
        <v>673.50896153846156</v>
      </c>
      <c r="FA141">
        <v>-0.93870084937587184</v>
      </c>
      <c r="FB141">
        <v>-110.7111119319076</v>
      </c>
      <c r="FC141">
        <v>15444.873076923081</v>
      </c>
      <c r="FD141">
        <v>15</v>
      </c>
      <c r="FE141">
        <v>1689026583.5</v>
      </c>
      <c r="FF141" t="s">
        <v>1054</v>
      </c>
      <c r="FG141">
        <v>1689026567.5</v>
      </c>
      <c r="FH141">
        <v>1689026583.5</v>
      </c>
      <c r="FI141">
        <v>137</v>
      </c>
      <c r="FJ141">
        <v>1.2999999999999999E-2</v>
      </c>
      <c r="FK141">
        <v>0</v>
      </c>
      <c r="FL141">
        <v>0.14899999999999999</v>
      </c>
      <c r="FM141">
        <v>4.2000000000000003E-2</v>
      </c>
      <c r="FN141">
        <v>70</v>
      </c>
      <c r="FO141">
        <v>22</v>
      </c>
      <c r="FP141">
        <v>0.14000000000000001</v>
      </c>
      <c r="FQ141">
        <v>0.02</v>
      </c>
      <c r="FR141">
        <v>9.2673203237951061</v>
      </c>
      <c r="FS141">
        <v>-0.64810780351771446</v>
      </c>
      <c r="FT141">
        <v>6.1319170506437717E-2</v>
      </c>
      <c r="FU141">
        <v>1</v>
      </c>
      <c r="FV141">
        <v>0.38384173858833892</v>
      </c>
      <c r="FW141">
        <v>2.6529420489496521E-2</v>
      </c>
      <c r="FX141">
        <v>3.451180909315683E-3</v>
      </c>
      <c r="FY141">
        <v>1</v>
      </c>
      <c r="FZ141">
        <v>2</v>
      </c>
      <c r="GA141">
        <v>2</v>
      </c>
      <c r="GB141" t="s">
        <v>424</v>
      </c>
      <c r="GC141">
        <v>3.1251799999999998</v>
      </c>
      <c r="GD141">
        <v>2.7673299999999998</v>
      </c>
      <c r="GE141">
        <v>1.5499799999999999E-2</v>
      </c>
      <c r="GF141">
        <v>1.8566699999999998E-2</v>
      </c>
      <c r="GG141">
        <v>0.119884</v>
      </c>
      <c r="GH141">
        <v>0.100914</v>
      </c>
      <c r="GI141">
        <v>23463.8</v>
      </c>
      <c r="GJ141">
        <v>24272</v>
      </c>
      <c r="GK141">
        <v>23702.1</v>
      </c>
      <c r="GL141">
        <v>25049.9</v>
      </c>
      <c r="GM141">
        <v>30065.9</v>
      </c>
      <c r="GN141">
        <v>31597.9</v>
      </c>
      <c r="GO141">
        <v>37783.9</v>
      </c>
      <c r="GP141">
        <v>38985.5</v>
      </c>
      <c r="GQ141">
        <v>2.1282700000000001</v>
      </c>
      <c r="GR141">
        <v>1.6996</v>
      </c>
      <c r="GS141">
        <v>8.2030899999999997E-3</v>
      </c>
      <c r="GT141">
        <v>0</v>
      </c>
      <c r="GU141">
        <v>29.856100000000001</v>
      </c>
      <c r="GV141">
        <v>999.9</v>
      </c>
      <c r="GW141">
        <v>29.2</v>
      </c>
      <c r="GX141">
        <v>44.8</v>
      </c>
      <c r="GY141">
        <v>28.154800000000002</v>
      </c>
      <c r="GZ141">
        <v>60.887999999999998</v>
      </c>
      <c r="HA141">
        <v>26.9511</v>
      </c>
      <c r="HB141">
        <v>1</v>
      </c>
      <c r="HC141">
        <v>0.69707300000000005</v>
      </c>
      <c r="HD141">
        <v>2.87887</v>
      </c>
      <c r="HE141">
        <v>20.2941</v>
      </c>
      <c r="HF141">
        <v>5.2532300000000003</v>
      </c>
      <c r="HG141">
        <v>12.0099</v>
      </c>
      <c r="HH141">
        <v>4.9778000000000002</v>
      </c>
      <c r="HI141">
        <v>3.2930000000000001</v>
      </c>
      <c r="HJ141">
        <v>9999</v>
      </c>
      <c r="HK141">
        <v>9999</v>
      </c>
      <c r="HL141">
        <v>9999</v>
      </c>
      <c r="HM141">
        <v>238.8</v>
      </c>
      <c r="HN141">
        <v>1.87578</v>
      </c>
      <c r="HO141">
        <v>1.8768400000000001</v>
      </c>
      <c r="HP141">
        <v>1.88293</v>
      </c>
      <c r="HQ141">
        <v>1.8861399999999999</v>
      </c>
      <c r="HR141">
        <v>1.87693</v>
      </c>
      <c r="HS141">
        <v>1.8833500000000001</v>
      </c>
      <c r="HT141">
        <v>1.88232</v>
      </c>
      <c r="HU141">
        <v>1.8857999999999999</v>
      </c>
      <c r="HV141">
        <v>0</v>
      </c>
      <c r="HW141">
        <v>0</v>
      </c>
      <c r="HX141">
        <v>0</v>
      </c>
      <c r="HY141">
        <v>0</v>
      </c>
      <c r="HZ141" t="s">
        <v>425</v>
      </c>
      <c r="IA141" t="s">
        <v>426</v>
      </c>
      <c r="IB141" t="s">
        <v>427</v>
      </c>
      <c r="IC141" t="s">
        <v>427</v>
      </c>
      <c r="ID141" t="s">
        <v>427</v>
      </c>
      <c r="IE141" t="s">
        <v>427</v>
      </c>
      <c r="IF141">
        <v>0</v>
      </c>
      <c r="IG141">
        <v>100</v>
      </c>
      <c r="IH141">
        <v>100</v>
      </c>
      <c r="II141">
        <v>0.153</v>
      </c>
      <c r="IJ141">
        <v>5.16E-2</v>
      </c>
      <c r="IK141">
        <v>0.17559916274702131</v>
      </c>
      <c r="IL141">
        <v>-4.2852564239613137E-4</v>
      </c>
      <c r="IM141">
        <v>6.4980710991155998E-7</v>
      </c>
      <c r="IN141">
        <v>-2.7237938963984961E-10</v>
      </c>
      <c r="IO141">
        <v>-7.3293569801727767E-3</v>
      </c>
      <c r="IP141">
        <v>6.6907473102813496E-3</v>
      </c>
      <c r="IQ141">
        <v>-3.3673306238274028E-4</v>
      </c>
      <c r="IR141">
        <v>6.1311374003140313E-6</v>
      </c>
      <c r="IS141">
        <v>3</v>
      </c>
      <c r="IT141">
        <v>2101</v>
      </c>
      <c r="IU141">
        <v>1</v>
      </c>
      <c r="IV141">
        <v>32</v>
      </c>
      <c r="IW141">
        <v>0.8</v>
      </c>
      <c r="IX141">
        <v>0.5</v>
      </c>
      <c r="IY141">
        <v>0.29541000000000001</v>
      </c>
      <c r="IZ141">
        <v>2.7563499999999999</v>
      </c>
      <c r="JA141">
        <v>1.6015600000000001</v>
      </c>
      <c r="JB141">
        <v>2.3290999999999999</v>
      </c>
      <c r="JC141">
        <v>1.5502899999999999</v>
      </c>
      <c r="JD141">
        <v>2.3327599999999999</v>
      </c>
      <c r="JE141">
        <v>47.601900000000001</v>
      </c>
      <c r="JF141">
        <v>24.148800000000001</v>
      </c>
      <c r="JG141">
        <v>18</v>
      </c>
      <c r="JH141">
        <v>599.25400000000002</v>
      </c>
      <c r="JI141">
        <v>373.51100000000002</v>
      </c>
      <c r="JJ141">
        <v>27.013999999999999</v>
      </c>
      <c r="JK141">
        <v>35.648299999999999</v>
      </c>
      <c r="JL141">
        <v>30</v>
      </c>
      <c r="JM141">
        <v>35.831000000000003</v>
      </c>
      <c r="JN141">
        <v>35.8322</v>
      </c>
      <c r="JO141">
        <v>5.8990200000000002</v>
      </c>
      <c r="JP141">
        <v>24.8323</v>
      </c>
      <c r="JQ141">
        <v>4.8775300000000001</v>
      </c>
      <c r="JR141">
        <v>27.014700000000001</v>
      </c>
      <c r="JS141">
        <v>70</v>
      </c>
      <c r="JT141">
        <v>22.001100000000001</v>
      </c>
      <c r="JU141">
        <v>98.548199999999994</v>
      </c>
      <c r="JV141">
        <v>98.657700000000006</v>
      </c>
    </row>
    <row r="142" spans="1:282" x14ac:dyDescent="0.25">
      <c r="A142">
        <v>126</v>
      </c>
      <c r="B142">
        <v>1689026724</v>
      </c>
      <c r="C142">
        <v>26901.400000095371</v>
      </c>
      <c r="D142" t="s">
        <v>1055</v>
      </c>
      <c r="E142" t="s">
        <v>1056</v>
      </c>
      <c r="F142" t="s">
        <v>414</v>
      </c>
      <c r="G142" t="s">
        <v>415</v>
      </c>
      <c r="H142" t="s">
        <v>577</v>
      </c>
      <c r="I142" t="s">
        <v>655</v>
      </c>
      <c r="J142" t="s">
        <v>418</v>
      </c>
      <c r="K142">
        <v>1689026724</v>
      </c>
      <c r="L142">
        <f t="shared" si="138"/>
        <v>5.4765983393641462E-3</v>
      </c>
      <c r="M142">
        <f t="shared" si="139"/>
        <v>5.4765983393641466</v>
      </c>
      <c r="N142">
        <f t="shared" si="140"/>
        <v>3.9539468929559636</v>
      </c>
      <c r="O142">
        <f t="shared" si="141"/>
        <v>25.265000000000001</v>
      </c>
      <c r="P142">
        <f t="shared" si="142"/>
        <v>7.6631249753849122</v>
      </c>
      <c r="Q142">
        <f t="shared" si="143"/>
        <v>0.75892217138279261</v>
      </c>
      <c r="R142">
        <f t="shared" si="144"/>
        <v>2.5021344062085005</v>
      </c>
      <c r="S142">
        <f t="shared" si="145"/>
        <v>0.39092537545503314</v>
      </c>
      <c r="T142">
        <f t="shared" si="146"/>
        <v>2.9174690062057382</v>
      </c>
      <c r="U142">
        <f t="shared" si="147"/>
        <v>0.36398228127748478</v>
      </c>
      <c r="V142">
        <f t="shared" si="148"/>
        <v>0.22975472468585389</v>
      </c>
      <c r="W142">
        <f t="shared" si="149"/>
        <v>289.59940732701051</v>
      </c>
      <c r="X142">
        <f t="shared" si="150"/>
        <v>30.492403437024198</v>
      </c>
      <c r="Y142">
        <f t="shared" si="151"/>
        <v>30.002199999999998</v>
      </c>
      <c r="Z142">
        <f t="shared" si="152"/>
        <v>4.2609881789030473</v>
      </c>
      <c r="AA142">
        <f t="shared" si="153"/>
        <v>65.499879098169117</v>
      </c>
      <c r="AB142">
        <f t="shared" si="154"/>
        <v>2.8241684631516306</v>
      </c>
      <c r="AC142">
        <f t="shared" si="155"/>
        <v>4.3117155360223753</v>
      </c>
      <c r="AD142">
        <f t="shared" si="156"/>
        <v>1.4368197157514166</v>
      </c>
      <c r="AE142">
        <f t="shared" si="157"/>
        <v>-241.51798676595885</v>
      </c>
      <c r="AF142">
        <f t="shared" si="158"/>
        <v>32.432494664701061</v>
      </c>
      <c r="AG142">
        <f t="shared" si="159"/>
        <v>2.4743774747929712</v>
      </c>
      <c r="AH142">
        <f t="shared" si="160"/>
        <v>82.988292700545685</v>
      </c>
      <c r="AI142">
        <v>0</v>
      </c>
      <c r="AJ142">
        <v>0</v>
      </c>
      <c r="AK142">
        <f t="shared" si="161"/>
        <v>1</v>
      </c>
      <c r="AL142">
        <f t="shared" si="162"/>
        <v>0</v>
      </c>
      <c r="AM142">
        <f t="shared" si="163"/>
        <v>51950.035519010176</v>
      </c>
      <c r="AN142" t="s">
        <v>419</v>
      </c>
      <c r="AO142">
        <v>9967.0300000000007</v>
      </c>
      <c r="AP142">
        <v>178.94153846153841</v>
      </c>
      <c r="AQ142">
        <v>603.15</v>
      </c>
      <c r="AR142">
        <f t="shared" si="164"/>
        <v>0.7033216638290003</v>
      </c>
      <c r="AS142">
        <v>-3.2649104154664181</v>
      </c>
      <c r="AT142" t="s">
        <v>1057</v>
      </c>
      <c r="AU142">
        <v>8070.98</v>
      </c>
      <c r="AV142">
        <v>690.39107692307687</v>
      </c>
      <c r="AW142">
        <v>754.96473206447433</v>
      </c>
      <c r="AX142">
        <f t="shared" si="165"/>
        <v>8.5532015468880007E-2</v>
      </c>
      <c r="AY142">
        <v>0.5</v>
      </c>
      <c r="AZ142">
        <f t="shared" si="166"/>
        <v>1513.3607996513008</v>
      </c>
      <c r="BA142">
        <f t="shared" si="167"/>
        <v>3.9539468929559636</v>
      </c>
      <c r="BB142">
        <f t="shared" si="168"/>
        <v>64.720399662885839</v>
      </c>
      <c r="BC142">
        <f t="shared" si="169"/>
        <v>4.7700834527270074E-3</v>
      </c>
      <c r="BD142">
        <f t="shared" si="170"/>
        <v>-0.20108850866361969</v>
      </c>
      <c r="BE142">
        <f t="shared" si="171"/>
        <v>190.29422639024307</v>
      </c>
      <c r="BF142" t="s">
        <v>1058</v>
      </c>
      <c r="BG142">
        <v>590.92999999999995</v>
      </c>
      <c r="BH142">
        <f t="shared" si="172"/>
        <v>590.92999999999995</v>
      </c>
      <c r="BI142">
        <f t="shared" si="173"/>
        <v>0.21727469522439324</v>
      </c>
      <c r="BJ142">
        <f t="shared" si="174"/>
        <v>0.39365843031350567</v>
      </c>
      <c r="BK142">
        <f t="shared" si="175"/>
        <v>-12.423464162395582</v>
      </c>
      <c r="BL142">
        <f t="shared" si="176"/>
        <v>0.11210252618041168</v>
      </c>
      <c r="BM142">
        <f t="shared" si="177"/>
        <v>-0.35787766117133385</v>
      </c>
      <c r="BN142">
        <f t="shared" si="178"/>
        <v>0.33694609330977615</v>
      </c>
      <c r="BO142">
        <f t="shared" si="179"/>
        <v>0.6630539066902239</v>
      </c>
      <c r="BP142">
        <v>6287</v>
      </c>
      <c r="BQ142">
        <v>290.00000000000011</v>
      </c>
      <c r="BR142">
        <v>732.08</v>
      </c>
      <c r="BS142">
        <v>95</v>
      </c>
      <c r="BT142">
        <v>8070.98</v>
      </c>
      <c r="BU142">
        <v>731.04</v>
      </c>
      <c r="BV142">
        <v>1.04</v>
      </c>
      <c r="BW142">
        <v>300.00000000000011</v>
      </c>
      <c r="BX142">
        <v>19.3</v>
      </c>
      <c r="BY142">
        <v>754.96473206447433</v>
      </c>
      <c r="BZ142">
        <v>3.1900668632263018</v>
      </c>
      <c r="CA142">
        <v>-19.306773013779761</v>
      </c>
      <c r="CB142">
        <v>2.360440586701269</v>
      </c>
      <c r="CC142">
        <v>0.70495598996736764</v>
      </c>
      <c r="CD142">
        <v>-4.1564462736373908E-3</v>
      </c>
      <c r="CE142">
        <v>289.99999999999989</v>
      </c>
      <c r="CF142">
        <v>729.8</v>
      </c>
      <c r="CG142">
        <v>665</v>
      </c>
      <c r="CH142">
        <v>8044.74</v>
      </c>
      <c r="CI142">
        <v>730.97</v>
      </c>
      <c r="CJ142">
        <v>-1.17</v>
      </c>
      <c r="CX142">
        <f t="shared" si="180"/>
        <v>1800.21</v>
      </c>
      <c r="CY142">
        <f t="shared" si="181"/>
        <v>1513.3607996513008</v>
      </c>
      <c r="CZ142">
        <f t="shared" si="182"/>
        <v>0.84065792304858922</v>
      </c>
      <c r="DA142">
        <f t="shared" si="183"/>
        <v>0.16086979148377717</v>
      </c>
      <c r="DB142">
        <v>6</v>
      </c>
      <c r="DC142">
        <v>0.5</v>
      </c>
      <c r="DD142" t="s">
        <v>422</v>
      </c>
      <c r="DE142">
        <v>2</v>
      </c>
      <c r="DF142">
        <v>1689026724</v>
      </c>
      <c r="DG142">
        <v>25.265000000000001</v>
      </c>
      <c r="DH142">
        <v>30.175000000000001</v>
      </c>
      <c r="DI142">
        <v>28.5167</v>
      </c>
      <c r="DJ142">
        <v>22.133199999999999</v>
      </c>
      <c r="DK142">
        <v>24.996700000000001</v>
      </c>
      <c r="DL142">
        <v>28.465599999999998</v>
      </c>
      <c r="DM142">
        <v>500.07900000000001</v>
      </c>
      <c r="DN142">
        <v>98.936000000000007</v>
      </c>
      <c r="DO142">
        <v>9.9598900000000004E-2</v>
      </c>
      <c r="DP142">
        <v>30.208400000000001</v>
      </c>
      <c r="DQ142">
        <v>30.002199999999998</v>
      </c>
      <c r="DR142">
        <v>999.9</v>
      </c>
      <c r="DS142">
        <v>0</v>
      </c>
      <c r="DT142">
        <v>0</v>
      </c>
      <c r="DU142">
        <v>10038.1</v>
      </c>
      <c r="DV142">
        <v>0</v>
      </c>
      <c r="DW142">
        <v>1046.79</v>
      </c>
      <c r="DX142">
        <v>-4.9099399999999997</v>
      </c>
      <c r="DY142">
        <v>26.006699999999999</v>
      </c>
      <c r="DZ142">
        <v>30.858000000000001</v>
      </c>
      <c r="EA142">
        <v>6.3834499999999998</v>
      </c>
      <c r="EB142">
        <v>30.175000000000001</v>
      </c>
      <c r="EC142">
        <v>22.133199999999999</v>
      </c>
      <c r="ED142">
        <v>2.8213300000000001</v>
      </c>
      <c r="EE142">
        <v>2.1897700000000002</v>
      </c>
      <c r="EF142">
        <v>23.009399999999999</v>
      </c>
      <c r="EG142">
        <v>18.887699999999999</v>
      </c>
      <c r="EH142">
        <v>1800.21</v>
      </c>
      <c r="EI142">
        <v>0.97800900000000002</v>
      </c>
      <c r="EJ142">
        <v>2.19905E-2</v>
      </c>
      <c r="EK142">
        <v>0</v>
      </c>
      <c r="EL142">
        <v>690.41300000000001</v>
      </c>
      <c r="EM142">
        <v>5.0005300000000004</v>
      </c>
      <c r="EN142">
        <v>15749.1</v>
      </c>
      <c r="EO142">
        <v>16037.2</v>
      </c>
      <c r="EP142">
        <v>48.625</v>
      </c>
      <c r="EQ142">
        <v>49.625</v>
      </c>
      <c r="ER142">
        <v>49.186999999999998</v>
      </c>
      <c r="ES142">
        <v>49</v>
      </c>
      <c r="ET142">
        <v>49.75</v>
      </c>
      <c r="EU142">
        <v>1755.73</v>
      </c>
      <c r="EV142">
        <v>39.479999999999997</v>
      </c>
      <c r="EW142">
        <v>0</v>
      </c>
      <c r="EX142">
        <v>108</v>
      </c>
      <c r="EY142">
        <v>0</v>
      </c>
      <c r="EZ142">
        <v>690.39107692307687</v>
      </c>
      <c r="FA142">
        <v>-1.0492991524347539</v>
      </c>
      <c r="FB142">
        <v>-6.167521504149736</v>
      </c>
      <c r="FC142">
        <v>15756.7</v>
      </c>
      <c r="FD142">
        <v>15</v>
      </c>
      <c r="FE142">
        <v>1689026692.5</v>
      </c>
      <c r="FF142" t="s">
        <v>1059</v>
      </c>
      <c r="FG142">
        <v>1689026677</v>
      </c>
      <c r="FH142">
        <v>1689026692.5</v>
      </c>
      <c r="FI142">
        <v>138</v>
      </c>
      <c r="FJ142">
        <v>0.10299999999999999</v>
      </c>
      <c r="FK142">
        <v>-1E-3</v>
      </c>
      <c r="FL142">
        <v>0.26600000000000001</v>
      </c>
      <c r="FM142">
        <v>4.1000000000000002E-2</v>
      </c>
      <c r="FN142">
        <v>30</v>
      </c>
      <c r="FO142">
        <v>22</v>
      </c>
      <c r="FP142">
        <v>0.41</v>
      </c>
      <c r="FQ142">
        <v>0.01</v>
      </c>
      <c r="FR142">
        <v>3.9495579644727932</v>
      </c>
      <c r="FS142">
        <v>-0.402686593766032</v>
      </c>
      <c r="FT142">
        <v>3.9142171142689329E-2</v>
      </c>
      <c r="FU142">
        <v>1</v>
      </c>
      <c r="FV142">
        <v>0.38876357120190608</v>
      </c>
      <c r="FW142">
        <v>4.2254859621362023E-2</v>
      </c>
      <c r="FX142">
        <v>3.8107556339742939E-3</v>
      </c>
      <c r="FY142">
        <v>1</v>
      </c>
      <c r="FZ142">
        <v>2</v>
      </c>
      <c r="GA142">
        <v>2</v>
      </c>
      <c r="GB142" t="s">
        <v>424</v>
      </c>
      <c r="GC142">
        <v>3.12493</v>
      </c>
      <c r="GD142">
        <v>2.7672400000000001</v>
      </c>
      <c r="GE142">
        <v>6.66031E-3</v>
      </c>
      <c r="GF142">
        <v>8.0445599999999992E-3</v>
      </c>
      <c r="GG142">
        <v>0.12009</v>
      </c>
      <c r="GH142">
        <v>0.10082000000000001</v>
      </c>
      <c r="GI142">
        <v>23676.3</v>
      </c>
      <c r="GJ142">
        <v>24534.2</v>
      </c>
      <c r="GK142">
        <v>23704.400000000001</v>
      </c>
      <c r="GL142">
        <v>25052.3</v>
      </c>
      <c r="GM142">
        <v>30061.5</v>
      </c>
      <c r="GN142">
        <v>31604.400000000001</v>
      </c>
      <c r="GO142">
        <v>37787.199999999997</v>
      </c>
      <c r="GP142">
        <v>38989.4</v>
      </c>
      <c r="GQ142">
        <v>2.12845</v>
      </c>
      <c r="GR142">
        <v>1.7005300000000001</v>
      </c>
      <c r="GS142">
        <v>1.01663E-2</v>
      </c>
      <c r="GT142">
        <v>0</v>
      </c>
      <c r="GU142">
        <v>29.8367</v>
      </c>
      <c r="GV142">
        <v>999.9</v>
      </c>
      <c r="GW142">
        <v>28.9</v>
      </c>
      <c r="GX142">
        <v>44.8</v>
      </c>
      <c r="GY142">
        <v>27.8658</v>
      </c>
      <c r="GZ142">
        <v>60.808</v>
      </c>
      <c r="HA142">
        <v>27.580100000000002</v>
      </c>
      <c r="HB142">
        <v>1</v>
      </c>
      <c r="HC142">
        <v>0.69516</v>
      </c>
      <c r="HD142">
        <v>3.1774</v>
      </c>
      <c r="HE142">
        <v>20.288699999999999</v>
      </c>
      <c r="HF142">
        <v>5.2499399999999996</v>
      </c>
      <c r="HG142">
        <v>12.0099</v>
      </c>
      <c r="HH142">
        <v>4.97905</v>
      </c>
      <c r="HI142">
        <v>3.2928500000000001</v>
      </c>
      <c r="HJ142">
        <v>9999</v>
      </c>
      <c r="HK142">
        <v>9999</v>
      </c>
      <c r="HL142">
        <v>9999</v>
      </c>
      <c r="HM142">
        <v>238.9</v>
      </c>
      <c r="HN142">
        <v>1.87578</v>
      </c>
      <c r="HO142">
        <v>1.87683</v>
      </c>
      <c r="HP142">
        <v>1.88293</v>
      </c>
      <c r="HQ142">
        <v>1.8861399999999999</v>
      </c>
      <c r="HR142">
        <v>1.8769400000000001</v>
      </c>
      <c r="HS142">
        <v>1.8833599999999999</v>
      </c>
      <c r="HT142">
        <v>1.88232</v>
      </c>
      <c r="HU142">
        <v>1.8857999999999999</v>
      </c>
      <c r="HV142">
        <v>0</v>
      </c>
      <c r="HW142">
        <v>0</v>
      </c>
      <c r="HX142">
        <v>0</v>
      </c>
      <c r="HY142">
        <v>0</v>
      </c>
      <c r="HZ142" t="s">
        <v>425</v>
      </c>
      <c r="IA142" t="s">
        <v>426</v>
      </c>
      <c r="IB142" t="s">
        <v>427</v>
      </c>
      <c r="IC142" t="s">
        <v>427</v>
      </c>
      <c r="ID142" t="s">
        <v>427</v>
      </c>
      <c r="IE142" t="s">
        <v>427</v>
      </c>
      <c r="IF142">
        <v>0</v>
      </c>
      <c r="IG142">
        <v>100</v>
      </c>
      <c r="IH142">
        <v>100</v>
      </c>
      <c r="II142">
        <v>0.26800000000000002</v>
      </c>
      <c r="IJ142">
        <v>5.11E-2</v>
      </c>
      <c r="IK142">
        <v>0.27859479145243238</v>
      </c>
      <c r="IL142">
        <v>-4.2852564239613137E-4</v>
      </c>
      <c r="IM142">
        <v>6.4980710991155998E-7</v>
      </c>
      <c r="IN142">
        <v>-2.7237938963984961E-10</v>
      </c>
      <c r="IO142">
        <v>-7.9654453963097279E-3</v>
      </c>
      <c r="IP142">
        <v>6.6907473102813496E-3</v>
      </c>
      <c r="IQ142">
        <v>-3.3673306238274028E-4</v>
      </c>
      <c r="IR142">
        <v>6.1311374003140313E-6</v>
      </c>
      <c r="IS142">
        <v>3</v>
      </c>
      <c r="IT142">
        <v>2101</v>
      </c>
      <c r="IU142">
        <v>1</v>
      </c>
      <c r="IV142">
        <v>32</v>
      </c>
      <c r="IW142">
        <v>0.8</v>
      </c>
      <c r="IX142">
        <v>0.5</v>
      </c>
      <c r="IY142">
        <v>0.20752000000000001</v>
      </c>
      <c r="IZ142">
        <v>2.7600099999999999</v>
      </c>
      <c r="JA142">
        <v>1.6003400000000001</v>
      </c>
      <c r="JB142">
        <v>2.3290999999999999</v>
      </c>
      <c r="JC142">
        <v>1.5502899999999999</v>
      </c>
      <c r="JD142">
        <v>2.4548299999999998</v>
      </c>
      <c r="JE142">
        <v>47.571800000000003</v>
      </c>
      <c r="JF142">
        <v>24.157499999999999</v>
      </c>
      <c r="JG142">
        <v>18</v>
      </c>
      <c r="JH142">
        <v>599.1</v>
      </c>
      <c r="JI142">
        <v>373.899</v>
      </c>
      <c r="JJ142">
        <v>26.883299999999998</v>
      </c>
      <c r="JK142">
        <v>35.612099999999998</v>
      </c>
      <c r="JL142">
        <v>29.9999</v>
      </c>
      <c r="JM142">
        <v>35.798900000000003</v>
      </c>
      <c r="JN142">
        <v>35.802700000000002</v>
      </c>
      <c r="JO142">
        <v>4.1444700000000001</v>
      </c>
      <c r="JP142">
        <v>23.0959</v>
      </c>
      <c r="JQ142">
        <v>4.2626600000000003</v>
      </c>
      <c r="JR142">
        <v>26.873000000000001</v>
      </c>
      <c r="JS142">
        <v>30</v>
      </c>
      <c r="JT142">
        <v>22.063700000000001</v>
      </c>
      <c r="JU142">
        <v>98.557100000000005</v>
      </c>
      <c r="JV142">
        <v>98.667400000000001</v>
      </c>
    </row>
    <row r="143" spans="1:282" x14ac:dyDescent="0.25">
      <c r="A143">
        <v>127</v>
      </c>
      <c r="B143">
        <v>1689026834.5</v>
      </c>
      <c r="C143">
        <v>27011.900000095371</v>
      </c>
      <c r="D143" t="s">
        <v>1060</v>
      </c>
      <c r="E143" t="s">
        <v>1061</v>
      </c>
      <c r="F143" t="s">
        <v>414</v>
      </c>
      <c r="G143" t="s">
        <v>415</v>
      </c>
      <c r="H143" t="s">
        <v>577</v>
      </c>
      <c r="I143" t="s">
        <v>655</v>
      </c>
      <c r="J143" t="s">
        <v>418</v>
      </c>
      <c r="K143">
        <v>1689026834.5</v>
      </c>
      <c r="L143">
        <f t="shared" si="138"/>
        <v>5.6229843575407879E-3</v>
      </c>
      <c r="M143">
        <f t="shared" si="139"/>
        <v>5.6229843575407878</v>
      </c>
      <c r="N143">
        <f t="shared" si="140"/>
        <v>1.1952719752275995</v>
      </c>
      <c r="O143">
        <f t="shared" si="141"/>
        <v>8.6568400000000008</v>
      </c>
      <c r="P143">
        <f t="shared" si="142"/>
        <v>3.4802957077223353</v>
      </c>
      <c r="Q143">
        <f t="shared" si="143"/>
        <v>0.34467836619290204</v>
      </c>
      <c r="R143">
        <f t="shared" si="144"/>
        <v>0.85734825950928006</v>
      </c>
      <c r="S143">
        <f t="shared" si="145"/>
        <v>0.4049581639350554</v>
      </c>
      <c r="T143">
        <f t="shared" si="146"/>
        <v>2.9169602484583197</v>
      </c>
      <c r="U143">
        <f t="shared" si="147"/>
        <v>0.37611786219323906</v>
      </c>
      <c r="V143">
        <f t="shared" si="148"/>
        <v>0.23749346435160223</v>
      </c>
      <c r="W143">
        <f t="shared" si="149"/>
        <v>289.56589132693199</v>
      </c>
      <c r="X143">
        <f t="shared" si="150"/>
        <v>30.420319553405676</v>
      </c>
      <c r="Y143">
        <f t="shared" si="151"/>
        <v>29.9861</v>
      </c>
      <c r="Z143">
        <f t="shared" si="152"/>
        <v>4.2570493928821191</v>
      </c>
      <c r="AA143">
        <f t="shared" si="153"/>
        <v>65.748799350565506</v>
      </c>
      <c r="AB143">
        <f t="shared" si="154"/>
        <v>2.8294104887664</v>
      </c>
      <c r="AC143">
        <f t="shared" si="155"/>
        <v>4.3033644974720966</v>
      </c>
      <c r="AD143">
        <f t="shared" si="156"/>
        <v>1.4276389041157191</v>
      </c>
      <c r="AE143">
        <f t="shared" si="157"/>
        <v>-247.97361016754874</v>
      </c>
      <c r="AF143">
        <f t="shared" si="158"/>
        <v>29.643351832456005</v>
      </c>
      <c r="AG143">
        <f t="shared" si="159"/>
        <v>2.2614208293770934</v>
      </c>
      <c r="AH143">
        <f t="shared" si="160"/>
        <v>73.497053821216326</v>
      </c>
      <c r="AI143">
        <v>0</v>
      </c>
      <c r="AJ143">
        <v>0</v>
      </c>
      <c r="AK143">
        <f t="shared" si="161"/>
        <v>1</v>
      </c>
      <c r="AL143">
        <f t="shared" si="162"/>
        <v>0</v>
      </c>
      <c r="AM143">
        <f t="shared" si="163"/>
        <v>51941.396876389219</v>
      </c>
      <c r="AN143" t="s">
        <v>419</v>
      </c>
      <c r="AO143">
        <v>9967.0300000000007</v>
      </c>
      <c r="AP143">
        <v>178.94153846153841</v>
      </c>
      <c r="AQ143">
        <v>603.15</v>
      </c>
      <c r="AR143">
        <f t="shared" si="164"/>
        <v>0.7033216638290003</v>
      </c>
      <c r="AS143">
        <v>-3.2649104154664181</v>
      </c>
      <c r="AT143" t="s">
        <v>1062</v>
      </c>
      <c r="AU143">
        <v>8073.6</v>
      </c>
      <c r="AV143">
        <v>699.51732000000004</v>
      </c>
      <c r="AW143">
        <v>754.22097060643216</v>
      </c>
      <c r="AX143">
        <f t="shared" si="165"/>
        <v>7.2530004784204793E-2</v>
      </c>
      <c r="AY143">
        <v>0.5</v>
      </c>
      <c r="AZ143">
        <f t="shared" si="166"/>
        <v>1513.18439965126</v>
      </c>
      <c r="BA143">
        <f t="shared" si="167"/>
        <v>1.1952719752275995</v>
      </c>
      <c r="BB143">
        <f t="shared" si="168"/>
        <v>54.875635873044978</v>
      </c>
      <c r="BC143">
        <f t="shared" si="169"/>
        <v>2.9475471672335139E-3</v>
      </c>
      <c r="BD143">
        <f t="shared" si="170"/>
        <v>-0.20030067645157548</v>
      </c>
      <c r="BE143">
        <f t="shared" si="171"/>
        <v>190.24693830929806</v>
      </c>
      <c r="BF143" t="s">
        <v>1063</v>
      </c>
      <c r="BG143">
        <v>598.45000000000005</v>
      </c>
      <c r="BH143">
        <f t="shared" si="172"/>
        <v>598.45000000000005</v>
      </c>
      <c r="BI143">
        <f t="shared" si="173"/>
        <v>0.20653227194304113</v>
      </c>
      <c r="BJ143">
        <f t="shared" si="174"/>
        <v>0.3511800073753491</v>
      </c>
      <c r="BK143">
        <f t="shared" si="175"/>
        <v>-32.142759703496672</v>
      </c>
      <c r="BL143">
        <f t="shared" si="176"/>
        <v>9.5090572597864229E-2</v>
      </c>
      <c r="BM143">
        <f t="shared" si="177"/>
        <v>-0.3561243688033674</v>
      </c>
      <c r="BN143">
        <f t="shared" si="178"/>
        <v>0.30044098895761107</v>
      </c>
      <c r="BO143">
        <f t="shared" si="179"/>
        <v>0.69955901104238893</v>
      </c>
      <c r="BP143">
        <v>6289</v>
      </c>
      <c r="BQ143">
        <v>290.00000000000011</v>
      </c>
      <c r="BR143">
        <v>733.65</v>
      </c>
      <c r="BS143">
        <v>75</v>
      </c>
      <c r="BT143">
        <v>8073.6</v>
      </c>
      <c r="BU143">
        <v>732.63</v>
      </c>
      <c r="BV143">
        <v>1.02</v>
      </c>
      <c r="BW143">
        <v>300.00000000000011</v>
      </c>
      <c r="BX143">
        <v>19.3</v>
      </c>
      <c r="BY143">
        <v>754.22097060643216</v>
      </c>
      <c r="BZ143">
        <v>2.8262504463921121</v>
      </c>
      <c r="CA143">
        <v>-17.433522573730389</v>
      </c>
      <c r="CB143">
        <v>2.0913050226636991</v>
      </c>
      <c r="CC143">
        <v>0.71279728917703478</v>
      </c>
      <c r="CD143">
        <v>-4.1564994438264766E-3</v>
      </c>
      <c r="CE143">
        <v>289.99999999999989</v>
      </c>
      <c r="CF143">
        <v>730.46</v>
      </c>
      <c r="CG143">
        <v>625</v>
      </c>
      <c r="CH143">
        <v>8046.26</v>
      </c>
      <c r="CI143">
        <v>732.55</v>
      </c>
      <c r="CJ143">
        <v>-2.09</v>
      </c>
      <c r="CX143">
        <f t="shared" si="180"/>
        <v>1800</v>
      </c>
      <c r="CY143">
        <f t="shared" si="181"/>
        <v>1513.18439965126</v>
      </c>
      <c r="CZ143">
        <f t="shared" si="182"/>
        <v>0.84065799980625555</v>
      </c>
      <c r="DA143">
        <f t="shared" si="183"/>
        <v>0.16086993962607332</v>
      </c>
      <c r="DB143">
        <v>6</v>
      </c>
      <c r="DC143">
        <v>0.5</v>
      </c>
      <c r="DD143" t="s">
        <v>422</v>
      </c>
      <c r="DE143">
        <v>2</v>
      </c>
      <c r="DF143">
        <v>1689026834.5</v>
      </c>
      <c r="DG143">
        <v>8.6568400000000008</v>
      </c>
      <c r="DH143">
        <v>10.1496</v>
      </c>
      <c r="DI143">
        <v>28.569199999999999</v>
      </c>
      <c r="DJ143">
        <v>22.014299999999999</v>
      </c>
      <c r="DK143">
        <v>8.4207400000000003</v>
      </c>
      <c r="DL143">
        <v>28.5199</v>
      </c>
      <c r="DM143">
        <v>499.99299999999999</v>
      </c>
      <c r="DN143">
        <v>98.937799999999996</v>
      </c>
      <c r="DO143">
        <v>9.9292000000000005E-2</v>
      </c>
      <c r="DP143">
        <v>30.174600000000002</v>
      </c>
      <c r="DQ143">
        <v>29.9861</v>
      </c>
      <c r="DR143">
        <v>999.9</v>
      </c>
      <c r="DS143">
        <v>0</v>
      </c>
      <c r="DT143">
        <v>0</v>
      </c>
      <c r="DU143">
        <v>10035</v>
      </c>
      <c r="DV143">
        <v>0</v>
      </c>
      <c r="DW143">
        <v>858.29600000000005</v>
      </c>
      <c r="DX143">
        <v>-1.49281</v>
      </c>
      <c r="DY143">
        <v>8.9114299999999993</v>
      </c>
      <c r="DZ143">
        <v>10.3781</v>
      </c>
      <c r="EA143">
        <v>6.5549499999999998</v>
      </c>
      <c r="EB143">
        <v>10.1496</v>
      </c>
      <c r="EC143">
        <v>22.014299999999999</v>
      </c>
      <c r="ED143">
        <v>2.8265799999999999</v>
      </c>
      <c r="EE143">
        <v>2.1780400000000002</v>
      </c>
      <c r="EF143">
        <v>23.040099999999999</v>
      </c>
      <c r="EG143">
        <v>18.8017</v>
      </c>
      <c r="EH143">
        <v>1800</v>
      </c>
      <c r="EI143">
        <v>0.97800600000000004</v>
      </c>
      <c r="EJ143">
        <v>2.1994099999999999E-2</v>
      </c>
      <c r="EK143">
        <v>0</v>
      </c>
      <c r="EL143">
        <v>699.34400000000005</v>
      </c>
      <c r="EM143">
        <v>5.0005300000000004</v>
      </c>
      <c r="EN143">
        <v>15903.1</v>
      </c>
      <c r="EO143">
        <v>16035.3</v>
      </c>
      <c r="EP143">
        <v>48.625</v>
      </c>
      <c r="EQ143">
        <v>49.625</v>
      </c>
      <c r="ER143">
        <v>49.186999999999998</v>
      </c>
      <c r="ES143">
        <v>49</v>
      </c>
      <c r="ET143">
        <v>49.75</v>
      </c>
      <c r="EU143">
        <v>1755.52</v>
      </c>
      <c r="EV143">
        <v>39.479999999999997</v>
      </c>
      <c r="EW143">
        <v>0</v>
      </c>
      <c r="EX143">
        <v>108.7999999523163</v>
      </c>
      <c r="EY143">
        <v>0</v>
      </c>
      <c r="EZ143">
        <v>699.51732000000004</v>
      </c>
      <c r="FA143">
        <v>-1.10692307826625</v>
      </c>
      <c r="FB143">
        <v>-49.523076562090452</v>
      </c>
      <c r="FC143">
        <v>15918.212</v>
      </c>
      <c r="FD143">
        <v>15</v>
      </c>
      <c r="FE143">
        <v>1689026802</v>
      </c>
      <c r="FF143" t="s">
        <v>1064</v>
      </c>
      <c r="FG143">
        <v>1689026792.5</v>
      </c>
      <c r="FH143">
        <v>1689026802</v>
      </c>
      <c r="FI143">
        <v>139</v>
      </c>
      <c r="FJ143">
        <v>-3.9E-2</v>
      </c>
      <c r="FK143">
        <v>-2E-3</v>
      </c>
      <c r="FL143">
        <v>0.23599999999999999</v>
      </c>
      <c r="FM143">
        <v>0.04</v>
      </c>
      <c r="FN143">
        <v>10</v>
      </c>
      <c r="FO143">
        <v>22</v>
      </c>
      <c r="FP143">
        <v>0.23</v>
      </c>
      <c r="FQ143">
        <v>0.01</v>
      </c>
      <c r="FR143">
        <v>1.23040158197843</v>
      </c>
      <c r="FS143">
        <v>-0.67652387493212385</v>
      </c>
      <c r="FT143">
        <v>5.7679352598329639E-2</v>
      </c>
      <c r="FU143">
        <v>1</v>
      </c>
      <c r="FV143">
        <v>0.40354705963591769</v>
      </c>
      <c r="FW143">
        <v>4.6068242148402369E-2</v>
      </c>
      <c r="FX143">
        <v>3.73539042933334E-3</v>
      </c>
      <c r="FY143">
        <v>1</v>
      </c>
      <c r="FZ143">
        <v>2</v>
      </c>
      <c r="GA143">
        <v>2</v>
      </c>
      <c r="GB143" t="s">
        <v>424</v>
      </c>
      <c r="GC143">
        <v>3.1246999999999998</v>
      </c>
      <c r="GD143">
        <v>2.7668900000000001</v>
      </c>
      <c r="GE143">
        <v>2.2461E-3</v>
      </c>
      <c r="GF143">
        <v>2.7092599999999998E-3</v>
      </c>
      <c r="GG143">
        <v>0.120254</v>
      </c>
      <c r="GH143">
        <v>0.100439</v>
      </c>
      <c r="GI143">
        <v>23781.9</v>
      </c>
      <c r="GJ143">
        <v>24667.4</v>
      </c>
      <c r="GK143">
        <v>23705.1</v>
      </c>
      <c r="GL143">
        <v>25053.9</v>
      </c>
      <c r="GM143">
        <v>30057.1</v>
      </c>
      <c r="GN143">
        <v>31619.4</v>
      </c>
      <c r="GO143">
        <v>37788.699999999997</v>
      </c>
      <c r="GP143">
        <v>38991.300000000003</v>
      </c>
      <c r="GQ143">
        <v>2.1286499999999999</v>
      </c>
      <c r="GR143">
        <v>1.7012799999999999</v>
      </c>
      <c r="GS143">
        <v>2.38419E-3</v>
      </c>
      <c r="GT143">
        <v>0</v>
      </c>
      <c r="GU143">
        <v>29.947299999999998</v>
      </c>
      <c r="GV143">
        <v>999.9</v>
      </c>
      <c r="GW143">
        <v>28.7</v>
      </c>
      <c r="GX143">
        <v>44.8</v>
      </c>
      <c r="GY143">
        <v>27.671900000000001</v>
      </c>
      <c r="GZ143">
        <v>60.758000000000003</v>
      </c>
      <c r="HA143">
        <v>27.700299999999999</v>
      </c>
      <c r="HB143">
        <v>1</v>
      </c>
      <c r="HC143">
        <v>0.69275399999999998</v>
      </c>
      <c r="HD143">
        <v>2.3667600000000002</v>
      </c>
      <c r="HE143">
        <v>20.3005</v>
      </c>
      <c r="HF143">
        <v>5.2490399999999999</v>
      </c>
      <c r="HG143">
        <v>12.0099</v>
      </c>
      <c r="HH143">
        <v>4.9780499999999996</v>
      </c>
      <c r="HI143">
        <v>3.2923300000000002</v>
      </c>
      <c r="HJ143">
        <v>9999</v>
      </c>
      <c r="HK143">
        <v>9999</v>
      </c>
      <c r="HL143">
        <v>9999</v>
      </c>
      <c r="HM143">
        <v>238.9</v>
      </c>
      <c r="HN143">
        <v>1.8757900000000001</v>
      </c>
      <c r="HO143">
        <v>1.8768400000000001</v>
      </c>
      <c r="HP143">
        <v>1.88293</v>
      </c>
      <c r="HQ143">
        <v>1.8861399999999999</v>
      </c>
      <c r="HR143">
        <v>1.87693</v>
      </c>
      <c r="HS143">
        <v>1.8833800000000001</v>
      </c>
      <c r="HT143">
        <v>1.88232</v>
      </c>
      <c r="HU143">
        <v>1.88581</v>
      </c>
      <c r="HV143">
        <v>0</v>
      </c>
      <c r="HW143">
        <v>0</v>
      </c>
      <c r="HX143">
        <v>0</v>
      </c>
      <c r="HY143">
        <v>0</v>
      </c>
      <c r="HZ143" t="s">
        <v>425</v>
      </c>
      <c r="IA143" t="s">
        <v>426</v>
      </c>
      <c r="IB143" t="s">
        <v>427</v>
      </c>
      <c r="IC143" t="s">
        <v>427</v>
      </c>
      <c r="ID143" t="s">
        <v>427</v>
      </c>
      <c r="IE143" t="s">
        <v>427</v>
      </c>
      <c r="IF143">
        <v>0</v>
      </c>
      <c r="IG143">
        <v>100</v>
      </c>
      <c r="IH143">
        <v>100</v>
      </c>
      <c r="II143">
        <v>0.23599999999999999</v>
      </c>
      <c r="IJ143">
        <v>4.9299999999999997E-2</v>
      </c>
      <c r="IK143">
        <v>0.2396563067400401</v>
      </c>
      <c r="IL143">
        <v>-4.2852564239613137E-4</v>
      </c>
      <c r="IM143">
        <v>6.4980710991155998E-7</v>
      </c>
      <c r="IN143">
        <v>-2.7237938963984961E-10</v>
      </c>
      <c r="IO143">
        <v>-9.8279047416563441E-3</v>
      </c>
      <c r="IP143">
        <v>6.6907473102813496E-3</v>
      </c>
      <c r="IQ143">
        <v>-3.3673306238274028E-4</v>
      </c>
      <c r="IR143">
        <v>6.1311374003140313E-6</v>
      </c>
      <c r="IS143">
        <v>3</v>
      </c>
      <c r="IT143">
        <v>2101</v>
      </c>
      <c r="IU143">
        <v>1</v>
      </c>
      <c r="IV143">
        <v>32</v>
      </c>
      <c r="IW143">
        <v>0.7</v>
      </c>
      <c r="IX143">
        <v>0.5</v>
      </c>
      <c r="IY143">
        <v>0.164795</v>
      </c>
      <c r="IZ143">
        <v>2.7758799999999999</v>
      </c>
      <c r="JA143">
        <v>1.6003400000000001</v>
      </c>
      <c r="JB143">
        <v>2.3290999999999999</v>
      </c>
      <c r="JC143">
        <v>1.5502899999999999</v>
      </c>
      <c r="JD143">
        <v>2.4475099999999999</v>
      </c>
      <c r="JE143">
        <v>47.511699999999998</v>
      </c>
      <c r="JF143">
        <v>24.1663</v>
      </c>
      <c r="JG143">
        <v>18</v>
      </c>
      <c r="JH143">
        <v>599.12</v>
      </c>
      <c r="JI143">
        <v>374.27699999999999</v>
      </c>
      <c r="JJ143">
        <v>26.711500000000001</v>
      </c>
      <c r="JK143">
        <v>35.605499999999999</v>
      </c>
      <c r="JL143">
        <v>29.9986</v>
      </c>
      <c r="JM143">
        <v>35.7851</v>
      </c>
      <c r="JN143">
        <v>35.7896</v>
      </c>
      <c r="JO143">
        <v>3.2789600000000001</v>
      </c>
      <c r="JP143">
        <v>22.633900000000001</v>
      </c>
      <c r="JQ143">
        <v>3.7295400000000001</v>
      </c>
      <c r="JR143">
        <v>26.911200000000001</v>
      </c>
      <c r="JS143">
        <v>10</v>
      </c>
      <c r="JT143">
        <v>21.936699999999998</v>
      </c>
      <c r="JU143">
        <v>98.560699999999997</v>
      </c>
      <c r="JV143">
        <v>98.672899999999998</v>
      </c>
    </row>
    <row r="144" spans="1:282" x14ac:dyDescent="0.25">
      <c r="A144">
        <v>128</v>
      </c>
      <c r="B144">
        <v>1689026992</v>
      </c>
      <c r="C144">
        <v>27169.400000095371</v>
      </c>
      <c r="D144" t="s">
        <v>1065</v>
      </c>
      <c r="E144" t="s">
        <v>1066</v>
      </c>
      <c r="F144" t="s">
        <v>414</v>
      </c>
      <c r="G144" t="s">
        <v>415</v>
      </c>
      <c r="H144" t="s">
        <v>577</v>
      </c>
      <c r="I144" t="s">
        <v>655</v>
      </c>
      <c r="J144" t="s">
        <v>418</v>
      </c>
      <c r="K144">
        <v>1689026992</v>
      </c>
      <c r="L144">
        <f t="shared" si="138"/>
        <v>5.2458235595256699E-3</v>
      </c>
      <c r="M144">
        <f t="shared" si="139"/>
        <v>5.2458235595256699</v>
      </c>
      <c r="N144">
        <f t="shared" si="140"/>
        <v>38.918691629624</v>
      </c>
      <c r="O144">
        <f t="shared" si="141"/>
        <v>351.07</v>
      </c>
      <c r="P144">
        <f t="shared" si="142"/>
        <v>167.17103322485161</v>
      </c>
      <c r="Q144">
        <f t="shared" si="143"/>
        <v>16.556025004737222</v>
      </c>
      <c r="R144">
        <f t="shared" si="144"/>
        <v>34.768725097219999</v>
      </c>
      <c r="S144">
        <f t="shared" si="145"/>
        <v>0.37168367063488256</v>
      </c>
      <c r="T144">
        <f t="shared" si="146"/>
        <v>2.9025019696839083</v>
      </c>
      <c r="U144">
        <f t="shared" si="147"/>
        <v>0.34712159165093603</v>
      </c>
      <c r="V144">
        <f t="shared" si="148"/>
        <v>0.21902239499623438</v>
      </c>
      <c r="W144">
        <f t="shared" si="149"/>
        <v>289.52918332684601</v>
      </c>
      <c r="X144">
        <f t="shared" si="150"/>
        <v>30.520556381340292</v>
      </c>
      <c r="Y144">
        <f t="shared" si="151"/>
        <v>29.953399999999998</v>
      </c>
      <c r="Z144">
        <f t="shared" si="152"/>
        <v>4.2490592644044396</v>
      </c>
      <c r="AA144">
        <f t="shared" si="153"/>
        <v>65.195408047311972</v>
      </c>
      <c r="AB144">
        <f t="shared" si="154"/>
        <v>2.8056926115353997</v>
      </c>
      <c r="AC144">
        <f t="shared" si="155"/>
        <v>4.3035126177894663</v>
      </c>
      <c r="AD144">
        <f t="shared" si="156"/>
        <v>1.4433666528690399</v>
      </c>
      <c r="AE144">
        <f t="shared" si="157"/>
        <v>-231.34081897508204</v>
      </c>
      <c r="AF144">
        <f t="shared" si="158"/>
        <v>34.707194396853311</v>
      </c>
      <c r="AG144">
        <f t="shared" si="159"/>
        <v>2.6604958988801961</v>
      </c>
      <c r="AH144">
        <f t="shared" si="160"/>
        <v>95.556054647497461</v>
      </c>
      <c r="AI144">
        <v>0</v>
      </c>
      <c r="AJ144">
        <v>0</v>
      </c>
      <c r="AK144">
        <f t="shared" si="161"/>
        <v>1</v>
      </c>
      <c r="AL144">
        <f t="shared" si="162"/>
        <v>0</v>
      </c>
      <c r="AM144">
        <f t="shared" si="163"/>
        <v>51530.70706298454</v>
      </c>
      <c r="AN144" t="s">
        <v>419</v>
      </c>
      <c r="AO144">
        <v>9967.0300000000007</v>
      </c>
      <c r="AP144">
        <v>178.94153846153841</v>
      </c>
      <c r="AQ144">
        <v>603.15</v>
      </c>
      <c r="AR144">
        <f t="shared" si="164"/>
        <v>0.7033216638290003</v>
      </c>
      <c r="AS144">
        <v>-3.2649104154664181</v>
      </c>
      <c r="AT144" t="s">
        <v>1067</v>
      </c>
      <c r="AU144">
        <v>8057.42</v>
      </c>
      <c r="AV144">
        <v>674.96463999999992</v>
      </c>
      <c r="AW144">
        <v>1014.664496442769</v>
      </c>
      <c r="AX144">
        <f t="shared" si="165"/>
        <v>0.3347903249139943</v>
      </c>
      <c r="AY144">
        <v>0.5</v>
      </c>
      <c r="AZ144">
        <f t="shared" si="166"/>
        <v>1512.9911996512155</v>
      </c>
      <c r="BA144">
        <f t="shared" si="167"/>
        <v>38.918691629624</v>
      </c>
      <c r="BB144">
        <f t="shared" si="168"/>
        <v>253.26740766162223</v>
      </c>
      <c r="BC144">
        <f t="shared" si="169"/>
        <v>2.7880930209517974E-2</v>
      </c>
      <c r="BD144">
        <f t="shared" si="170"/>
        <v>-0.40556705973793772</v>
      </c>
      <c r="BE144">
        <f t="shared" si="171"/>
        <v>203.41731160901054</v>
      </c>
      <c r="BF144" t="s">
        <v>1068</v>
      </c>
      <c r="BG144">
        <v>545.61</v>
      </c>
      <c r="BH144">
        <f t="shared" si="172"/>
        <v>545.61</v>
      </c>
      <c r="BI144">
        <f t="shared" si="173"/>
        <v>0.46227545960974248</v>
      </c>
      <c r="BJ144">
        <f t="shared" si="174"/>
        <v>0.72422257758745745</v>
      </c>
      <c r="BK144">
        <f t="shared" si="175"/>
        <v>-7.1517986868746828</v>
      </c>
      <c r="BL144">
        <f t="shared" si="176"/>
        <v>0.4064742426884464</v>
      </c>
      <c r="BM144">
        <f t="shared" si="177"/>
        <v>-0.9700761152909213</v>
      </c>
      <c r="BN144">
        <f t="shared" si="178"/>
        <v>0.58542782412645011</v>
      </c>
      <c r="BO144">
        <f t="shared" si="179"/>
        <v>0.41457217587354989</v>
      </c>
      <c r="BP144">
        <v>6291</v>
      </c>
      <c r="BQ144">
        <v>290.00000000000011</v>
      </c>
      <c r="BR144">
        <v>872.21</v>
      </c>
      <c r="BS144">
        <v>265</v>
      </c>
      <c r="BT144">
        <v>8057.42</v>
      </c>
      <c r="BU144">
        <v>875.13</v>
      </c>
      <c r="BV144">
        <v>-2.92</v>
      </c>
      <c r="BW144">
        <v>300.00000000000011</v>
      </c>
      <c r="BX144">
        <v>19.3</v>
      </c>
      <c r="BY144">
        <v>1014.664496442769</v>
      </c>
      <c r="BZ144">
        <v>4.490615081183134</v>
      </c>
      <c r="CA144">
        <v>-112.4251265312384</v>
      </c>
      <c r="CB144">
        <v>3.323436385603407</v>
      </c>
      <c r="CC144">
        <v>0.97611598008782219</v>
      </c>
      <c r="CD144">
        <v>-4.1575437152391566E-3</v>
      </c>
      <c r="CE144">
        <v>289.99999999999989</v>
      </c>
      <c r="CF144">
        <v>860.89</v>
      </c>
      <c r="CG144">
        <v>625</v>
      </c>
      <c r="CH144">
        <v>8047.68</v>
      </c>
      <c r="CI144">
        <v>874.97</v>
      </c>
      <c r="CJ144">
        <v>-14.08</v>
      </c>
      <c r="CX144">
        <f t="shared" si="180"/>
        <v>1799.77</v>
      </c>
      <c r="CY144">
        <f t="shared" si="181"/>
        <v>1512.9911996512155</v>
      </c>
      <c r="CZ144">
        <f t="shared" si="182"/>
        <v>0.84065808389472851</v>
      </c>
      <c r="DA144">
        <f t="shared" si="183"/>
        <v>0.16087010191682605</v>
      </c>
      <c r="DB144">
        <v>6</v>
      </c>
      <c r="DC144">
        <v>0.5</v>
      </c>
      <c r="DD144" t="s">
        <v>422</v>
      </c>
      <c r="DE144">
        <v>2</v>
      </c>
      <c r="DF144">
        <v>1689026992</v>
      </c>
      <c r="DG144">
        <v>351.07</v>
      </c>
      <c r="DH144">
        <v>399.97399999999999</v>
      </c>
      <c r="DI144">
        <v>28.329899999999999</v>
      </c>
      <c r="DJ144">
        <v>22.214300000000001</v>
      </c>
      <c r="DK144">
        <v>351.20299999999997</v>
      </c>
      <c r="DL144">
        <v>28.2774</v>
      </c>
      <c r="DM144">
        <v>500.08600000000001</v>
      </c>
      <c r="DN144">
        <v>98.936099999999996</v>
      </c>
      <c r="DO144">
        <v>0.100346</v>
      </c>
      <c r="DP144">
        <v>30.1752</v>
      </c>
      <c r="DQ144">
        <v>29.953399999999998</v>
      </c>
      <c r="DR144">
        <v>999.9</v>
      </c>
      <c r="DS144">
        <v>0</v>
      </c>
      <c r="DT144">
        <v>0</v>
      </c>
      <c r="DU144">
        <v>9952.5</v>
      </c>
      <c r="DV144">
        <v>0</v>
      </c>
      <c r="DW144">
        <v>781.58900000000006</v>
      </c>
      <c r="DX144">
        <v>-48.904000000000003</v>
      </c>
      <c r="DY144">
        <v>361.30599999999998</v>
      </c>
      <c r="DZ144">
        <v>409.06099999999998</v>
      </c>
      <c r="EA144">
        <v>6.1155600000000003</v>
      </c>
      <c r="EB144">
        <v>399.97399999999999</v>
      </c>
      <c r="EC144">
        <v>22.214300000000001</v>
      </c>
      <c r="ED144">
        <v>2.8028499999999998</v>
      </c>
      <c r="EE144">
        <v>2.1978</v>
      </c>
      <c r="EF144">
        <v>22.9009</v>
      </c>
      <c r="EG144">
        <v>18.946300000000001</v>
      </c>
      <c r="EH144">
        <v>1799.77</v>
      </c>
      <c r="EI144">
        <v>0.97800200000000004</v>
      </c>
      <c r="EJ144">
        <v>2.1997599999999999E-2</v>
      </c>
      <c r="EK144">
        <v>0</v>
      </c>
      <c r="EL144">
        <v>674.88599999999997</v>
      </c>
      <c r="EM144">
        <v>5.0005300000000004</v>
      </c>
      <c r="EN144">
        <v>15524.7</v>
      </c>
      <c r="EO144">
        <v>16033.3</v>
      </c>
      <c r="EP144">
        <v>48.561999999999998</v>
      </c>
      <c r="EQ144">
        <v>49.625</v>
      </c>
      <c r="ER144">
        <v>49.125</v>
      </c>
      <c r="ES144">
        <v>49</v>
      </c>
      <c r="ET144">
        <v>49.75</v>
      </c>
      <c r="EU144">
        <v>1755.29</v>
      </c>
      <c r="EV144">
        <v>39.479999999999997</v>
      </c>
      <c r="EW144">
        <v>0</v>
      </c>
      <c r="EX144">
        <v>155.39999985694891</v>
      </c>
      <c r="EY144">
        <v>0</v>
      </c>
      <c r="EZ144">
        <v>674.96463999999992</v>
      </c>
      <c r="FA144">
        <v>-4.3805384828085963</v>
      </c>
      <c r="FB144">
        <v>-144.56153840822969</v>
      </c>
      <c r="FC144">
        <v>15512.188</v>
      </c>
      <c r="FD144">
        <v>15</v>
      </c>
      <c r="FE144">
        <v>1689026921.5</v>
      </c>
      <c r="FF144" t="s">
        <v>1069</v>
      </c>
      <c r="FG144">
        <v>1689026917.5</v>
      </c>
      <c r="FH144">
        <v>1689026921.5</v>
      </c>
      <c r="FI144">
        <v>140</v>
      </c>
      <c r="FJ144">
        <v>-0.28999999999999998</v>
      </c>
      <c r="FK144">
        <v>4.0000000000000001E-3</v>
      </c>
      <c r="FL144">
        <v>-0.13500000000000001</v>
      </c>
      <c r="FM144">
        <v>4.2999999999999997E-2</v>
      </c>
      <c r="FN144">
        <v>400</v>
      </c>
      <c r="FO144">
        <v>22</v>
      </c>
      <c r="FP144">
        <v>0.05</v>
      </c>
      <c r="FQ144">
        <v>0.02</v>
      </c>
      <c r="FR144">
        <v>38.805249528125188</v>
      </c>
      <c r="FS144">
        <v>0.63167232892304981</v>
      </c>
      <c r="FT144">
        <v>5.4833070291409138E-2</v>
      </c>
      <c r="FU144">
        <v>1</v>
      </c>
      <c r="FV144">
        <v>0.37273791373282289</v>
      </c>
      <c r="FW144">
        <v>-3.057143492228263E-2</v>
      </c>
      <c r="FX144">
        <v>2.282863819221082E-3</v>
      </c>
      <c r="FY144">
        <v>1</v>
      </c>
      <c r="FZ144">
        <v>2</v>
      </c>
      <c r="GA144">
        <v>2</v>
      </c>
      <c r="GB144" t="s">
        <v>424</v>
      </c>
      <c r="GC144">
        <v>3.1249400000000001</v>
      </c>
      <c r="GD144">
        <v>2.7672300000000001</v>
      </c>
      <c r="GE144">
        <v>7.9722699999999994E-2</v>
      </c>
      <c r="GF144">
        <v>8.8285500000000003E-2</v>
      </c>
      <c r="GG144">
        <v>0.119546</v>
      </c>
      <c r="GH144">
        <v>0.101087</v>
      </c>
      <c r="GI144">
        <v>21938.7</v>
      </c>
      <c r="GJ144">
        <v>22552.7</v>
      </c>
      <c r="GK144">
        <v>23705.4</v>
      </c>
      <c r="GL144">
        <v>25053.1</v>
      </c>
      <c r="GM144">
        <v>30081.3</v>
      </c>
      <c r="GN144">
        <v>31597.1</v>
      </c>
      <c r="GO144">
        <v>37789</v>
      </c>
      <c r="GP144">
        <v>38992</v>
      </c>
      <c r="GQ144">
        <v>2.12853</v>
      </c>
      <c r="GR144">
        <v>1.70282</v>
      </c>
      <c r="GS144">
        <v>3.8184199999999999E-3</v>
      </c>
      <c r="GT144">
        <v>0</v>
      </c>
      <c r="GU144">
        <v>29.891300000000001</v>
      </c>
      <c r="GV144">
        <v>999.9</v>
      </c>
      <c r="GW144">
        <v>28.4</v>
      </c>
      <c r="GX144">
        <v>44.8</v>
      </c>
      <c r="GY144">
        <v>27.383500000000002</v>
      </c>
      <c r="GZ144">
        <v>61.308</v>
      </c>
      <c r="HA144">
        <v>27.443899999999999</v>
      </c>
      <c r="HB144">
        <v>1</v>
      </c>
      <c r="HC144">
        <v>0.69175299999999995</v>
      </c>
      <c r="HD144">
        <v>2.80992</v>
      </c>
      <c r="HE144">
        <v>20.294699999999999</v>
      </c>
      <c r="HF144">
        <v>5.2490399999999999</v>
      </c>
      <c r="HG144">
        <v>12.0099</v>
      </c>
      <c r="HH144">
        <v>4.9768499999999998</v>
      </c>
      <c r="HI144">
        <v>3.2923300000000002</v>
      </c>
      <c r="HJ144">
        <v>9999</v>
      </c>
      <c r="HK144">
        <v>9999</v>
      </c>
      <c r="HL144">
        <v>9999</v>
      </c>
      <c r="HM144">
        <v>238.9</v>
      </c>
      <c r="HN144">
        <v>1.8757999999999999</v>
      </c>
      <c r="HO144">
        <v>1.8768499999999999</v>
      </c>
      <c r="HP144">
        <v>1.88293</v>
      </c>
      <c r="HQ144">
        <v>1.8861399999999999</v>
      </c>
      <c r="HR144">
        <v>1.8769400000000001</v>
      </c>
      <c r="HS144">
        <v>1.8833899999999999</v>
      </c>
      <c r="HT144">
        <v>1.88232</v>
      </c>
      <c r="HU144">
        <v>1.8858200000000001</v>
      </c>
      <c r="HV144">
        <v>0</v>
      </c>
      <c r="HW144">
        <v>0</v>
      </c>
      <c r="HX144">
        <v>0</v>
      </c>
      <c r="HY144">
        <v>0</v>
      </c>
      <c r="HZ144" t="s">
        <v>425</v>
      </c>
      <c r="IA144" t="s">
        <v>426</v>
      </c>
      <c r="IB144" t="s">
        <v>427</v>
      </c>
      <c r="IC144" t="s">
        <v>427</v>
      </c>
      <c r="ID144" t="s">
        <v>427</v>
      </c>
      <c r="IE144" t="s">
        <v>427</v>
      </c>
      <c r="IF144">
        <v>0</v>
      </c>
      <c r="IG144">
        <v>100</v>
      </c>
      <c r="IH144">
        <v>100</v>
      </c>
      <c r="II144">
        <v>-0.13300000000000001</v>
      </c>
      <c r="IJ144">
        <v>5.2499999999999998E-2</v>
      </c>
      <c r="IK144">
        <v>-5.0516626947036972E-2</v>
      </c>
      <c r="IL144">
        <v>-4.2852564239613137E-4</v>
      </c>
      <c r="IM144">
        <v>6.4980710991155998E-7</v>
      </c>
      <c r="IN144">
        <v>-2.7237938963984961E-10</v>
      </c>
      <c r="IO144">
        <v>-6.155219633625154E-3</v>
      </c>
      <c r="IP144">
        <v>6.6907473102813496E-3</v>
      </c>
      <c r="IQ144">
        <v>-3.3673306238274028E-4</v>
      </c>
      <c r="IR144">
        <v>6.1311374003140313E-6</v>
      </c>
      <c r="IS144">
        <v>3</v>
      </c>
      <c r="IT144">
        <v>2101</v>
      </c>
      <c r="IU144">
        <v>1</v>
      </c>
      <c r="IV144">
        <v>32</v>
      </c>
      <c r="IW144">
        <v>1.2</v>
      </c>
      <c r="IX144">
        <v>1.2</v>
      </c>
      <c r="IY144">
        <v>1.01196</v>
      </c>
      <c r="IZ144">
        <v>2.7270500000000002</v>
      </c>
      <c r="JA144">
        <v>1.6015600000000001</v>
      </c>
      <c r="JB144">
        <v>2.3290999999999999</v>
      </c>
      <c r="JC144">
        <v>1.5502899999999999</v>
      </c>
      <c r="JD144">
        <v>2.4414099999999999</v>
      </c>
      <c r="JE144">
        <v>47.511699999999998</v>
      </c>
      <c r="JF144">
        <v>24.157499999999999</v>
      </c>
      <c r="JG144">
        <v>18</v>
      </c>
      <c r="JH144">
        <v>598.95899999999995</v>
      </c>
      <c r="JI144">
        <v>375.18099999999998</v>
      </c>
      <c r="JJ144">
        <v>27.07</v>
      </c>
      <c r="JK144">
        <v>35.608800000000002</v>
      </c>
      <c r="JL144">
        <v>30.0001</v>
      </c>
      <c r="JM144">
        <v>35.776899999999998</v>
      </c>
      <c r="JN144">
        <v>35.783099999999997</v>
      </c>
      <c r="JO144">
        <v>20.246700000000001</v>
      </c>
      <c r="JP144">
        <v>20.617000000000001</v>
      </c>
      <c r="JQ144">
        <v>3.2067199999999998</v>
      </c>
      <c r="JR144">
        <v>27.0947</v>
      </c>
      <c r="JS144">
        <v>400</v>
      </c>
      <c r="JT144">
        <v>22.167200000000001</v>
      </c>
      <c r="JU144">
        <v>98.561599999999999</v>
      </c>
      <c r="JV144">
        <v>98.672799999999995</v>
      </c>
    </row>
    <row r="145" spans="1:282" x14ac:dyDescent="0.25">
      <c r="A145">
        <v>129</v>
      </c>
      <c r="B145">
        <v>1689027158.5</v>
      </c>
      <c r="C145">
        <v>27335.900000095371</v>
      </c>
      <c r="D145" t="s">
        <v>1070</v>
      </c>
      <c r="E145" t="s">
        <v>1071</v>
      </c>
      <c r="F145" t="s">
        <v>414</v>
      </c>
      <c r="G145" t="s">
        <v>415</v>
      </c>
      <c r="H145" t="s">
        <v>577</v>
      </c>
      <c r="I145" t="s">
        <v>655</v>
      </c>
      <c r="J145" t="s">
        <v>418</v>
      </c>
      <c r="K145">
        <v>1689027158.5</v>
      </c>
      <c r="L145">
        <f t="shared" ref="L145:L176" si="184">(M145)/1000</f>
        <v>4.9307954844351604E-3</v>
      </c>
      <c r="M145">
        <f t="shared" ref="M145:M166" si="185">1000*DM145*AK145*(DI145-DJ145)/(100*DB145*(1000-AK145*DI145))</f>
        <v>4.9307954844351602</v>
      </c>
      <c r="N145">
        <f t="shared" ref="N145:N166" si="186">DM145*AK145*(DH145-DG145*(1000-AK145*DJ145)/(1000-AK145*DI145))/(100*DB145)</f>
        <v>44.282416422495338</v>
      </c>
      <c r="O145">
        <f t="shared" ref="O145:O176" si="187">DG145 - IF(AK145&gt;1, N145*DB145*100/(AM145*DU145), 0)</f>
        <v>344.858</v>
      </c>
      <c r="P145">
        <f t="shared" ref="P145:P176" si="188">((V145-L145/2)*O145-N145)/(V145+L145/2)</f>
        <v>121.14848487656502</v>
      </c>
      <c r="Q145">
        <f t="shared" ref="Q145:Q176" si="189">P145*(DN145+DO145)/1000</f>
        <v>11.997714257826321</v>
      </c>
      <c r="R145">
        <f t="shared" ref="R145:R166" si="190">(DG145 - IF(AK145&gt;1, N145*DB145*100/(AM145*DU145), 0))*(DN145+DO145)/1000</f>
        <v>34.152368869829999</v>
      </c>
      <c r="S145">
        <f t="shared" ref="S145:S176" si="191">2/((1/U145-1/T145)+SIGN(U145)*SQRT((1/U145-1/T145)*(1/U145-1/T145) + 4*DC145/((DC145+1)*(DC145+1))*(2*1/U145*1/T145-1/T145*1/T145)))</f>
        <v>0.34313363616746712</v>
      </c>
      <c r="T145">
        <f t="shared" ref="T145:T166" si="192">IF(LEFT(DD145,1)&lt;&gt;"0",IF(LEFT(DD145,1)="1",3,DE145),$D$5+$E$5*(DU145*DN145/($K$5*1000))+$F$5*(DU145*DN145/($K$5*1000))*MAX(MIN(DB145,$J$5),$I$5)*MAX(MIN(DB145,$J$5),$I$5)+$G$5*MAX(MIN(DB145,$J$5),$I$5)*(DU145*DN145/($K$5*1000))+$H$5*(DU145*DN145/($K$5*1000))*(DU145*DN145/($K$5*1000)))</f>
        <v>2.9011246381965359</v>
      </c>
      <c r="U145">
        <f t="shared" ref="U145:U166" si="193">L145*(1000-(1000*0.61365*EXP(17.502*Y145/(240.97+Y145))/(DN145+DO145)+DI145)/2)/(1000*0.61365*EXP(17.502*Y145/(240.97+Y145))/(DN145+DO145)-DI145)</f>
        <v>0.32207605619350732</v>
      </c>
      <c r="V145">
        <f t="shared" ref="V145:V166" si="194">1/((DC145+1)/(S145/1.6)+1/(T145/1.37)) + DC145/((DC145+1)/(S145/1.6) + DC145/(T145/1.37))</f>
        <v>0.2030816960695721</v>
      </c>
      <c r="W145">
        <f t="shared" ref="W145:W166" si="195">(CX145*DA145)</f>
        <v>289.54673932688718</v>
      </c>
      <c r="X145">
        <f t="shared" ref="X145:X176" si="196">(DP145+(W145+2*0.95*0.0000000567*(((DP145+$B$7)+273)^4-(DP145+273)^4)-44100*L145)/(1.84*29.3*T145+8*0.95*0.0000000567*(DP145+273)^3))</f>
        <v>30.626097778161618</v>
      </c>
      <c r="Y145">
        <f t="shared" ref="Y145:Y176" si="197">($C$7*DQ145+$D$7*DR145+$E$7*X145)</f>
        <v>29.9956</v>
      </c>
      <c r="Z145">
        <f t="shared" ref="Z145:Z176" si="198">0.61365*EXP(17.502*Y145/(240.97+Y145))</f>
        <v>4.2593731373257047</v>
      </c>
      <c r="AA145">
        <f t="shared" ref="AA145:AA176" si="199">(AB145/AC145*100)</f>
        <v>64.914284704386588</v>
      </c>
      <c r="AB145">
        <f t="shared" ref="AB145:AB166" si="200">DI145*(DN145+DO145)/1000</f>
        <v>2.7972503179559993</v>
      </c>
      <c r="AC145">
        <f t="shared" ref="AC145:AC166" si="201">0.61365*EXP(17.502*DP145/(240.97+DP145))</f>
        <v>4.3091444829045074</v>
      </c>
      <c r="AD145">
        <f t="shared" ref="AD145:AD166" si="202">(Z145-DI145*(DN145+DO145)/1000)</f>
        <v>1.4621228193697053</v>
      </c>
      <c r="AE145">
        <f t="shared" ref="AE145:AE166" si="203">(-L145*44100)</f>
        <v>-217.44808086359058</v>
      </c>
      <c r="AF145">
        <f t="shared" ref="AF145:AF166" si="204">2*29.3*T145*0.92*(DP145-Y145)</f>
        <v>31.656459334477137</v>
      </c>
      <c r="AG145">
        <f t="shared" ref="AG145:AG166" si="205">2*0.95*0.0000000567*(((DP145+$B$7)+273)^4-(Y145+273)^4)</f>
        <v>2.4285735542979268</v>
      </c>
      <c r="AH145">
        <f t="shared" ref="AH145:AH176" si="206">W145+AG145+AE145+AF145</f>
        <v>106.18369135207168</v>
      </c>
      <c r="AI145">
        <v>0</v>
      </c>
      <c r="AJ145">
        <v>0</v>
      </c>
      <c r="AK145">
        <f t="shared" ref="AK145:AK166" si="207">IF(AI145*$H$13&gt;=AM145,1,(AM145/(AM145-AI145*$H$13)))</f>
        <v>1</v>
      </c>
      <c r="AL145">
        <f t="shared" ref="AL145:AL176" si="208">(AK145-1)*100</f>
        <v>0</v>
      </c>
      <c r="AM145">
        <f t="shared" ref="AM145:AM166" si="209">MAX(0,($B$13+$C$13*DU145)/(1+$D$13*DU145)*DN145/(DP145+273)*$E$13)</f>
        <v>51487.719406114476</v>
      </c>
      <c r="AN145" t="s">
        <v>419</v>
      </c>
      <c r="AO145">
        <v>9967.0300000000007</v>
      </c>
      <c r="AP145">
        <v>178.94153846153841</v>
      </c>
      <c r="AQ145">
        <v>603.15</v>
      </c>
      <c r="AR145">
        <f t="shared" ref="AR145:AR176" si="210">1-AP145/AQ145</f>
        <v>0.7033216638290003</v>
      </c>
      <c r="AS145">
        <v>-3.2649104154664181</v>
      </c>
      <c r="AT145" t="s">
        <v>1072</v>
      </c>
      <c r="AU145">
        <v>8057.8</v>
      </c>
      <c r="AV145">
        <v>715.64747999999997</v>
      </c>
      <c r="AW145">
        <v>1131.4318164503991</v>
      </c>
      <c r="AX145">
        <f t="shared" ref="AX145:AX176" si="211">1-AV145/AW145</f>
        <v>0.36748510197885764</v>
      </c>
      <c r="AY145">
        <v>0.5</v>
      </c>
      <c r="AZ145">
        <f t="shared" ref="AZ145:AZ166" si="212">CY145</f>
        <v>1513.0835996512369</v>
      </c>
      <c r="BA145">
        <f t="shared" ref="BA145:BA166" si="213">N145</f>
        <v>44.282416422495338</v>
      </c>
      <c r="BB145">
        <f t="shared" ref="BB145:BB166" si="214">AX145*AY145*AZ145</f>
        <v>278.01784046018588</v>
      </c>
      <c r="BC145">
        <f t="shared" ref="BC145:BC166" si="215">(BA145-AS145)/AZ145</f>
        <v>3.1424124119064756E-2</v>
      </c>
      <c r="BD145">
        <f t="shared" ref="BD145:BD166" si="216">(AQ145-AW145)/AW145</f>
        <v>-0.46691440771725767</v>
      </c>
      <c r="BE145">
        <f t="shared" ref="BE145:BE166" si="217">AP145/(AR145+AP145/AW145)</f>
        <v>207.71491216893199</v>
      </c>
      <c r="BF145" t="s">
        <v>1073</v>
      </c>
      <c r="BG145">
        <v>561.1</v>
      </c>
      <c r="BH145">
        <f t="shared" ref="BH145:BH176" si="218">IF(BG145&lt;&gt;0, BG145, BE145)</f>
        <v>561.1</v>
      </c>
      <c r="BI145">
        <f t="shared" ref="BI145:BI176" si="219">1-BH145/AW145</f>
        <v>0.50407970516480693</v>
      </c>
      <c r="BJ145">
        <f t="shared" ref="BJ145:BJ166" si="220">(AW145-AV145)/(AW145-BH145)</f>
        <v>0.72902181582317405</v>
      </c>
      <c r="BK145">
        <f t="shared" ref="BK145:BK166" si="221">(AQ145-AW145)/(AQ145-BH145)</f>
        <v>-12.563182317488696</v>
      </c>
      <c r="BL145">
        <f t="shared" ref="BL145:BL166" si="222">(AW145-AV145)/(AW145-AP145)</f>
        <v>0.43652344392250236</v>
      </c>
      <c r="BM145">
        <f t="shared" ref="BM145:BM166" si="223">(AQ145-AW145)/(AQ145-AP145)</f>
        <v>-1.2453354054619714</v>
      </c>
      <c r="BN145">
        <f t="shared" ref="BN145:BN166" si="224">(BJ145*BH145/AV145)</f>
        <v>0.57158608433635927</v>
      </c>
      <c r="BO145">
        <f t="shared" ref="BO145:BO176" si="225">(1-BN145)</f>
        <v>0.42841391566364073</v>
      </c>
      <c r="BP145">
        <v>6293</v>
      </c>
      <c r="BQ145">
        <v>290.00000000000011</v>
      </c>
      <c r="BR145">
        <v>968.73</v>
      </c>
      <c r="BS145">
        <v>275</v>
      </c>
      <c r="BT145">
        <v>8057.8</v>
      </c>
      <c r="BU145">
        <v>971.16</v>
      </c>
      <c r="BV145">
        <v>-2.4300000000000002</v>
      </c>
      <c r="BW145">
        <v>300.00000000000011</v>
      </c>
      <c r="BX145">
        <v>19.3</v>
      </c>
      <c r="BY145">
        <v>1131.4318164503991</v>
      </c>
      <c r="BZ145">
        <v>4.1405146591939719</v>
      </c>
      <c r="CA145">
        <v>-129.13985842420979</v>
      </c>
      <c r="CB145">
        <v>3.0647197298154212</v>
      </c>
      <c r="CC145">
        <v>0.9844752804456911</v>
      </c>
      <c r="CD145">
        <v>-4.1581828698553924E-3</v>
      </c>
      <c r="CE145">
        <v>289.99999999999989</v>
      </c>
      <c r="CF145">
        <v>958.64</v>
      </c>
      <c r="CG145">
        <v>645</v>
      </c>
      <c r="CH145">
        <v>8048.01</v>
      </c>
      <c r="CI145">
        <v>970.97</v>
      </c>
      <c r="CJ145">
        <v>-12.33</v>
      </c>
      <c r="CX145">
        <f t="shared" ref="CX145:CX166" si="226">$B$11*DV145+$C$11*DW145+$F$11*EH145*(1-EK145)</f>
        <v>1799.88</v>
      </c>
      <c r="CY145">
        <f t="shared" ref="CY145:CY176" si="227">CX145*CZ145</f>
        <v>1513.0835996512369</v>
      </c>
      <c r="CZ145">
        <f t="shared" ref="CZ145:CZ166" si="228">($B$11*$D$9+$C$11*$D$9+$F$11*((EU145+EM145)/MAX(EU145+EM145+EV145, 0.1)*$I$9+EV145/MAX(EU145+EM145+EV145, 0.1)*$J$9))/($B$11+$C$11+$F$11)</f>
        <v>0.84065804367582109</v>
      </c>
      <c r="DA145">
        <f t="shared" ref="DA145:DA166" si="229">($B$11*$K$9+$C$11*$K$9+$F$11*((EU145+EM145)/MAX(EU145+EM145+EV145, 0.1)*$P$9+EV145/MAX(EU145+EM145+EV145, 0.1)*$Q$9))/($B$11+$C$11+$F$11)</f>
        <v>0.1608700242943347</v>
      </c>
      <c r="DB145">
        <v>6</v>
      </c>
      <c r="DC145">
        <v>0.5</v>
      </c>
      <c r="DD145" t="s">
        <v>422</v>
      </c>
      <c r="DE145">
        <v>2</v>
      </c>
      <c r="DF145">
        <v>1689027158.5</v>
      </c>
      <c r="DG145">
        <v>344.858</v>
      </c>
      <c r="DH145">
        <v>400.017</v>
      </c>
      <c r="DI145">
        <v>28.2456</v>
      </c>
      <c r="DJ145">
        <v>22.497900000000001</v>
      </c>
      <c r="DK145">
        <v>344.98399999999998</v>
      </c>
      <c r="DL145">
        <v>28.192599999999999</v>
      </c>
      <c r="DM145">
        <v>500.185</v>
      </c>
      <c r="DN145">
        <v>98.932599999999994</v>
      </c>
      <c r="DO145">
        <v>0.100535</v>
      </c>
      <c r="DP145">
        <v>30.198</v>
      </c>
      <c r="DQ145">
        <v>29.9956</v>
      </c>
      <c r="DR145">
        <v>999.9</v>
      </c>
      <c r="DS145">
        <v>0</v>
      </c>
      <c r="DT145">
        <v>0</v>
      </c>
      <c r="DU145">
        <v>9945</v>
      </c>
      <c r="DV145">
        <v>0</v>
      </c>
      <c r="DW145">
        <v>849.60699999999997</v>
      </c>
      <c r="DX145">
        <v>-55.1584</v>
      </c>
      <c r="DY145">
        <v>354.88200000000001</v>
      </c>
      <c r="DZ145">
        <v>409.22300000000001</v>
      </c>
      <c r="EA145">
        <v>5.7477299999999998</v>
      </c>
      <c r="EB145">
        <v>400.017</v>
      </c>
      <c r="EC145">
        <v>22.497900000000001</v>
      </c>
      <c r="ED145">
        <v>2.7944100000000001</v>
      </c>
      <c r="EE145">
        <v>2.2257699999999998</v>
      </c>
      <c r="EF145">
        <v>22.851099999999999</v>
      </c>
      <c r="EG145">
        <v>19.149000000000001</v>
      </c>
      <c r="EH145">
        <v>1799.88</v>
      </c>
      <c r="EI145">
        <v>0.97800200000000004</v>
      </c>
      <c r="EJ145">
        <v>2.1997599999999999E-2</v>
      </c>
      <c r="EK145">
        <v>0</v>
      </c>
      <c r="EL145">
        <v>716.71299999999997</v>
      </c>
      <c r="EM145">
        <v>5.0005300000000004</v>
      </c>
      <c r="EN145">
        <v>16303.9</v>
      </c>
      <c r="EO145">
        <v>16034.2</v>
      </c>
      <c r="EP145">
        <v>48.5</v>
      </c>
      <c r="EQ145">
        <v>49.5</v>
      </c>
      <c r="ER145">
        <v>49</v>
      </c>
      <c r="ES145">
        <v>48.875</v>
      </c>
      <c r="ET145">
        <v>49.625</v>
      </c>
      <c r="EU145">
        <v>1755.4</v>
      </c>
      <c r="EV145">
        <v>39.479999999999997</v>
      </c>
      <c r="EW145">
        <v>0</v>
      </c>
      <c r="EX145">
        <v>164.5999999046326</v>
      </c>
      <c r="EY145">
        <v>0</v>
      </c>
      <c r="EZ145">
        <v>715.64747999999997</v>
      </c>
      <c r="FA145">
        <v>7.9830769252634459</v>
      </c>
      <c r="FB145">
        <v>188.2615385833802</v>
      </c>
      <c r="FC145">
        <v>16288.227999999999</v>
      </c>
      <c r="FD145">
        <v>15</v>
      </c>
      <c r="FE145">
        <v>1689027065.5</v>
      </c>
      <c r="FF145" t="s">
        <v>1074</v>
      </c>
      <c r="FG145">
        <v>1689027065.5</v>
      </c>
      <c r="FH145">
        <v>1689027065.5</v>
      </c>
      <c r="FI145">
        <v>141</v>
      </c>
      <c r="FJ145">
        <v>6.0000000000000001E-3</v>
      </c>
      <c r="FK145">
        <v>1E-3</v>
      </c>
      <c r="FL145">
        <v>-0.129</v>
      </c>
      <c r="FM145">
        <v>4.3999999999999997E-2</v>
      </c>
      <c r="FN145">
        <v>400</v>
      </c>
      <c r="FO145">
        <v>22</v>
      </c>
      <c r="FP145">
        <v>0.04</v>
      </c>
      <c r="FQ145">
        <v>0.02</v>
      </c>
      <c r="FR145">
        <v>44.192320144157733</v>
      </c>
      <c r="FS145">
        <v>0.63416801219193475</v>
      </c>
      <c r="FT145">
        <v>5.6058039234419717E-2</v>
      </c>
      <c r="FU145">
        <v>1</v>
      </c>
      <c r="FV145">
        <v>0.34483802228852939</v>
      </c>
      <c r="FW145">
        <v>-1.40490880360747E-2</v>
      </c>
      <c r="FX145">
        <v>1.07991238286673E-3</v>
      </c>
      <c r="FY145">
        <v>1</v>
      </c>
      <c r="FZ145">
        <v>2</v>
      </c>
      <c r="GA145">
        <v>2</v>
      </c>
      <c r="GB145" t="s">
        <v>424</v>
      </c>
      <c r="GC145">
        <v>3.12507</v>
      </c>
      <c r="GD145">
        <v>2.76736</v>
      </c>
      <c r="GE145">
        <v>7.86052E-2</v>
      </c>
      <c r="GF145">
        <v>8.8300100000000006E-2</v>
      </c>
      <c r="GG145">
        <v>0.11930300000000001</v>
      </c>
      <c r="GH145">
        <v>0.102008</v>
      </c>
      <c r="GI145">
        <v>21967.5</v>
      </c>
      <c r="GJ145">
        <v>22555.599999999999</v>
      </c>
      <c r="GK145">
        <v>23707.7</v>
      </c>
      <c r="GL145">
        <v>25056.5</v>
      </c>
      <c r="GM145">
        <v>30092.3</v>
      </c>
      <c r="GN145">
        <v>31568.6</v>
      </c>
      <c r="GO145">
        <v>37792.400000000001</v>
      </c>
      <c r="GP145">
        <v>38996.800000000003</v>
      </c>
      <c r="GQ145">
        <v>2.1286999999999998</v>
      </c>
      <c r="GR145">
        <v>1.7041999999999999</v>
      </c>
      <c r="GS145">
        <v>1.1417999999999999E-2</v>
      </c>
      <c r="GT145">
        <v>0</v>
      </c>
      <c r="GU145">
        <v>29.809799999999999</v>
      </c>
      <c r="GV145">
        <v>999.9</v>
      </c>
      <c r="GW145">
        <v>28.2</v>
      </c>
      <c r="GX145">
        <v>44.8</v>
      </c>
      <c r="GY145">
        <v>27.190999999999999</v>
      </c>
      <c r="GZ145">
        <v>61.417999999999999</v>
      </c>
      <c r="HA145">
        <v>27.271599999999999</v>
      </c>
      <c r="HB145">
        <v>1</v>
      </c>
      <c r="HC145">
        <v>0.68722300000000003</v>
      </c>
      <c r="HD145">
        <v>2.63672</v>
      </c>
      <c r="HE145">
        <v>20.297899999999998</v>
      </c>
      <c r="HF145">
        <v>5.2527799999999996</v>
      </c>
      <c r="HG145">
        <v>12.0099</v>
      </c>
      <c r="HH145">
        <v>4.9794499999999999</v>
      </c>
      <c r="HI145">
        <v>3.2930000000000001</v>
      </c>
      <c r="HJ145">
        <v>9999</v>
      </c>
      <c r="HK145">
        <v>9999</v>
      </c>
      <c r="HL145">
        <v>9999</v>
      </c>
      <c r="HM145">
        <v>239</v>
      </c>
      <c r="HN145">
        <v>1.87578</v>
      </c>
      <c r="HO145">
        <v>1.87683</v>
      </c>
      <c r="HP145">
        <v>1.88293</v>
      </c>
      <c r="HQ145">
        <v>1.8861399999999999</v>
      </c>
      <c r="HR145">
        <v>1.8769499999999999</v>
      </c>
      <c r="HS145">
        <v>1.88337</v>
      </c>
      <c r="HT145">
        <v>1.88232</v>
      </c>
      <c r="HU145">
        <v>1.8857999999999999</v>
      </c>
      <c r="HV145">
        <v>0</v>
      </c>
      <c r="HW145">
        <v>0</v>
      </c>
      <c r="HX145">
        <v>0</v>
      </c>
      <c r="HY145">
        <v>0</v>
      </c>
      <c r="HZ145" t="s">
        <v>425</v>
      </c>
      <c r="IA145" t="s">
        <v>426</v>
      </c>
      <c r="IB145" t="s">
        <v>427</v>
      </c>
      <c r="IC145" t="s">
        <v>427</v>
      </c>
      <c r="ID145" t="s">
        <v>427</v>
      </c>
      <c r="IE145" t="s">
        <v>427</v>
      </c>
      <c r="IF145">
        <v>0</v>
      </c>
      <c r="IG145">
        <v>100</v>
      </c>
      <c r="IH145">
        <v>100</v>
      </c>
      <c r="II145">
        <v>-0.126</v>
      </c>
      <c r="IJ145">
        <v>5.2999999999999999E-2</v>
      </c>
      <c r="IK145">
        <v>-4.4316799690110688E-2</v>
      </c>
      <c r="IL145">
        <v>-4.2852564239613137E-4</v>
      </c>
      <c r="IM145">
        <v>6.4980710991155998E-7</v>
      </c>
      <c r="IN145">
        <v>-2.7237938963984961E-10</v>
      </c>
      <c r="IO145">
        <v>-5.3326498233072419E-3</v>
      </c>
      <c r="IP145">
        <v>6.6907473102813496E-3</v>
      </c>
      <c r="IQ145">
        <v>-3.3673306238274028E-4</v>
      </c>
      <c r="IR145">
        <v>6.1311374003140313E-6</v>
      </c>
      <c r="IS145">
        <v>3</v>
      </c>
      <c r="IT145">
        <v>2101</v>
      </c>
      <c r="IU145">
        <v>1</v>
      </c>
      <c r="IV145">
        <v>32</v>
      </c>
      <c r="IW145">
        <v>1.6</v>
      </c>
      <c r="IX145">
        <v>1.6</v>
      </c>
      <c r="IY145">
        <v>1.01196</v>
      </c>
      <c r="IZ145">
        <v>2.7294900000000002</v>
      </c>
      <c r="JA145">
        <v>1.6015600000000001</v>
      </c>
      <c r="JB145">
        <v>2.3290999999999999</v>
      </c>
      <c r="JC145">
        <v>1.5502899999999999</v>
      </c>
      <c r="JD145">
        <v>2.2851599999999999</v>
      </c>
      <c r="JE145">
        <v>47.4816</v>
      </c>
      <c r="JF145">
        <v>24.148800000000001</v>
      </c>
      <c r="JG145">
        <v>18</v>
      </c>
      <c r="JH145">
        <v>598.77300000000002</v>
      </c>
      <c r="JI145">
        <v>375.80500000000001</v>
      </c>
      <c r="JJ145">
        <v>27.2408</v>
      </c>
      <c r="JK145">
        <v>35.572800000000001</v>
      </c>
      <c r="JL145">
        <v>29.9999</v>
      </c>
      <c r="JM145">
        <v>35.741399999999999</v>
      </c>
      <c r="JN145">
        <v>35.747100000000003</v>
      </c>
      <c r="JO145">
        <v>20.248699999999999</v>
      </c>
      <c r="JP145">
        <v>18.616099999999999</v>
      </c>
      <c r="JQ145">
        <v>3.4022299999999999</v>
      </c>
      <c r="JR145">
        <v>27.240200000000002</v>
      </c>
      <c r="JS145">
        <v>400</v>
      </c>
      <c r="JT145">
        <v>22.519500000000001</v>
      </c>
      <c r="JU145">
        <v>98.570700000000002</v>
      </c>
      <c r="JV145">
        <v>98.685299999999998</v>
      </c>
    </row>
    <row r="146" spans="1:282" x14ac:dyDescent="0.25">
      <c r="A146">
        <v>130</v>
      </c>
      <c r="B146">
        <v>1689027263.0999999</v>
      </c>
      <c r="C146">
        <v>27440.5</v>
      </c>
      <c r="D146" t="s">
        <v>1075</v>
      </c>
      <c r="E146" t="s">
        <v>1076</v>
      </c>
      <c r="F146" t="s">
        <v>414</v>
      </c>
      <c r="G146" t="s">
        <v>415</v>
      </c>
      <c r="H146" t="s">
        <v>577</v>
      </c>
      <c r="I146" t="s">
        <v>655</v>
      </c>
      <c r="J146" t="s">
        <v>418</v>
      </c>
      <c r="K146">
        <v>1689027263.0999999</v>
      </c>
      <c r="L146">
        <f t="shared" si="184"/>
        <v>4.727307504470272E-3</v>
      </c>
      <c r="M146">
        <f t="shared" si="185"/>
        <v>4.7273075044702724</v>
      </c>
      <c r="N146">
        <f t="shared" si="186"/>
        <v>44.287021188016681</v>
      </c>
      <c r="O146">
        <f t="shared" si="187"/>
        <v>345.041</v>
      </c>
      <c r="P146">
        <f t="shared" si="188"/>
        <v>116.12084740331395</v>
      </c>
      <c r="Q146">
        <f t="shared" si="189"/>
        <v>11.499838265001692</v>
      </c>
      <c r="R146">
        <f t="shared" si="190"/>
        <v>34.170571292965001</v>
      </c>
      <c r="S146">
        <f t="shared" si="191"/>
        <v>0.33443926542967028</v>
      </c>
      <c r="T146">
        <f t="shared" si="192"/>
        <v>2.9070519558738388</v>
      </c>
      <c r="U146">
        <f t="shared" si="193"/>
        <v>0.31444008710702426</v>
      </c>
      <c r="V146">
        <f t="shared" si="194"/>
        <v>0.1982221643848236</v>
      </c>
      <c r="W146">
        <f t="shared" si="195"/>
        <v>289.59621532700299</v>
      </c>
      <c r="X146">
        <f t="shared" si="196"/>
        <v>30.618683245042916</v>
      </c>
      <c r="Y146">
        <f t="shared" si="197"/>
        <v>29.956499999999998</v>
      </c>
      <c r="Z146">
        <f t="shared" si="198"/>
        <v>4.2498161771437442</v>
      </c>
      <c r="AA146">
        <f t="shared" si="199"/>
        <v>65.529527689619272</v>
      </c>
      <c r="AB146">
        <f t="shared" si="200"/>
        <v>2.8140429698114997</v>
      </c>
      <c r="AC146">
        <f t="shared" si="201"/>
        <v>4.2943129136230302</v>
      </c>
      <c r="AD146">
        <f t="shared" si="202"/>
        <v>1.4357732073322444</v>
      </c>
      <c r="AE146">
        <f t="shared" si="203"/>
        <v>-208.47426094713899</v>
      </c>
      <c r="AF146">
        <f t="shared" si="204"/>
        <v>28.429912287175775</v>
      </c>
      <c r="AG146">
        <f t="shared" si="205"/>
        <v>2.1755286146309003</v>
      </c>
      <c r="AH146">
        <f t="shared" si="206"/>
        <v>111.72739528167065</v>
      </c>
      <c r="AI146">
        <v>0</v>
      </c>
      <c r="AJ146">
        <v>0</v>
      </c>
      <c r="AK146">
        <f t="shared" si="207"/>
        <v>1</v>
      </c>
      <c r="AL146">
        <f t="shared" si="208"/>
        <v>0</v>
      </c>
      <c r="AM146">
        <f t="shared" si="209"/>
        <v>51666.065941421533</v>
      </c>
      <c r="AN146" t="s">
        <v>419</v>
      </c>
      <c r="AO146">
        <v>9967.0300000000007</v>
      </c>
      <c r="AP146">
        <v>178.94153846153841</v>
      </c>
      <c r="AQ146">
        <v>603.15</v>
      </c>
      <c r="AR146">
        <f t="shared" si="210"/>
        <v>0.7033216638290003</v>
      </c>
      <c r="AS146">
        <v>-3.2649104154664181</v>
      </c>
      <c r="AT146" t="s">
        <v>1077</v>
      </c>
      <c r="AU146">
        <v>8057.36</v>
      </c>
      <c r="AV146">
        <v>719.95999999999981</v>
      </c>
      <c r="AW146">
        <v>1125.9204784688379</v>
      </c>
      <c r="AX146">
        <f t="shared" si="211"/>
        <v>0.36055874835930868</v>
      </c>
      <c r="AY146">
        <v>0.5</v>
      </c>
      <c r="AZ146">
        <f t="shared" si="212"/>
        <v>1513.3439996512966</v>
      </c>
      <c r="BA146">
        <f t="shared" si="213"/>
        <v>44.287021188016681</v>
      </c>
      <c r="BB146">
        <f t="shared" si="214"/>
        <v>272.82470917567076</v>
      </c>
      <c r="BC146">
        <f t="shared" si="215"/>
        <v>3.1421759768063294E-2</v>
      </c>
      <c r="BD146">
        <f t="shared" si="216"/>
        <v>-0.46430497398871734</v>
      </c>
      <c r="BE146">
        <f t="shared" si="217"/>
        <v>207.52841759935777</v>
      </c>
      <c r="BF146" t="s">
        <v>1078</v>
      </c>
      <c r="BG146">
        <v>561.30999999999995</v>
      </c>
      <c r="BH146">
        <f t="shared" si="218"/>
        <v>561.30999999999995</v>
      </c>
      <c r="BI146">
        <f t="shared" si="219"/>
        <v>0.50146568009551018</v>
      </c>
      <c r="BJ146">
        <f t="shared" si="220"/>
        <v>0.71900981995544722</v>
      </c>
      <c r="BK146">
        <f t="shared" si="221"/>
        <v>-12.494514303748508</v>
      </c>
      <c r="BL146">
        <f t="shared" si="222"/>
        <v>0.42869008097023664</v>
      </c>
      <c r="BM146">
        <f t="shared" si="223"/>
        <v>-1.2323433544275026</v>
      </c>
      <c r="BN146">
        <f t="shared" si="224"/>
        <v>0.56056920112116249</v>
      </c>
      <c r="BO146">
        <f t="shared" si="225"/>
        <v>0.43943079887883751</v>
      </c>
      <c r="BP146">
        <v>6295</v>
      </c>
      <c r="BQ146">
        <v>290.00000000000011</v>
      </c>
      <c r="BR146">
        <v>975.49</v>
      </c>
      <c r="BS146">
        <v>295</v>
      </c>
      <c r="BT146">
        <v>8057.36</v>
      </c>
      <c r="BU146">
        <v>977.86</v>
      </c>
      <c r="BV146">
        <v>-2.37</v>
      </c>
      <c r="BW146">
        <v>300.00000000000011</v>
      </c>
      <c r="BX146">
        <v>19.3</v>
      </c>
      <c r="BY146">
        <v>1125.9204784688379</v>
      </c>
      <c r="BZ146">
        <v>4.0712392246107054</v>
      </c>
      <c r="CA146">
        <v>-119.2947099437029</v>
      </c>
      <c r="CB146">
        <v>3.0135160377175012</v>
      </c>
      <c r="CC146">
        <v>0.98244618786047855</v>
      </c>
      <c r="CD146">
        <v>-4.1582000000000086E-3</v>
      </c>
      <c r="CE146">
        <v>289.99999999999989</v>
      </c>
      <c r="CF146">
        <v>967.25</v>
      </c>
      <c r="CG146">
        <v>655</v>
      </c>
      <c r="CH146">
        <v>8047.9</v>
      </c>
      <c r="CI146">
        <v>977.69</v>
      </c>
      <c r="CJ146">
        <v>-10.44</v>
      </c>
      <c r="CX146">
        <f t="shared" si="226"/>
        <v>1800.19</v>
      </c>
      <c r="CY146">
        <f t="shared" si="227"/>
        <v>1513.3439996512966</v>
      </c>
      <c r="CZ146">
        <f t="shared" si="228"/>
        <v>0.84065793035807146</v>
      </c>
      <c r="DA146">
        <f t="shared" si="229"/>
        <v>0.16086980559107816</v>
      </c>
      <c r="DB146">
        <v>6</v>
      </c>
      <c r="DC146">
        <v>0.5</v>
      </c>
      <c r="DD146" t="s">
        <v>422</v>
      </c>
      <c r="DE146">
        <v>2</v>
      </c>
      <c r="DF146">
        <v>1689027263.0999999</v>
      </c>
      <c r="DG146">
        <v>345.041</v>
      </c>
      <c r="DH146">
        <v>400.12799999999999</v>
      </c>
      <c r="DI146">
        <v>28.415099999999999</v>
      </c>
      <c r="DJ146">
        <v>22.905000000000001</v>
      </c>
      <c r="DK146">
        <v>345.20400000000001</v>
      </c>
      <c r="DL146">
        <v>28.363900000000001</v>
      </c>
      <c r="DM146">
        <v>500.13400000000001</v>
      </c>
      <c r="DN146">
        <v>98.933300000000003</v>
      </c>
      <c r="DO146">
        <v>0.100065</v>
      </c>
      <c r="DP146">
        <v>30.137899999999998</v>
      </c>
      <c r="DQ146">
        <v>29.956499999999998</v>
      </c>
      <c r="DR146">
        <v>999.9</v>
      </c>
      <c r="DS146">
        <v>0</v>
      </c>
      <c r="DT146">
        <v>0</v>
      </c>
      <c r="DU146">
        <v>9978.75</v>
      </c>
      <c r="DV146">
        <v>0</v>
      </c>
      <c r="DW146">
        <v>845.49300000000005</v>
      </c>
      <c r="DX146">
        <v>-55.0869</v>
      </c>
      <c r="DY146">
        <v>355.13200000000001</v>
      </c>
      <c r="DZ146">
        <v>409.50700000000001</v>
      </c>
      <c r="EA146">
        <v>5.5100800000000003</v>
      </c>
      <c r="EB146">
        <v>400.12799999999999</v>
      </c>
      <c r="EC146">
        <v>22.905000000000001</v>
      </c>
      <c r="ED146">
        <v>2.8111999999999999</v>
      </c>
      <c r="EE146">
        <v>2.26607</v>
      </c>
      <c r="EF146">
        <v>22.95</v>
      </c>
      <c r="EG146">
        <v>19.437200000000001</v>
      </c>
      <c r="EH146">
        <v>1800.19</v>
      </c>
      <c r="EI146">
        <v>0.97800600000000004</v>
      </c>
      <c r="EJ146">
        <v>2.1994099999999999E-2</v>
      </c>
      <c r="EK146">
        <v>0</v>
      </c>
      <c r="EL146">
        <v>720.06600000000003</v>
      </c>
      <c r="EM146">
        <v>5.0005300000000004</v>
      </c>
      <c r="EN146">
        <v>16358.8</v>
      </c>
      <c r="EO146">
        <v>16037</v>
      </c>
      <c r="EP146">
        <v>48.436999999999998</v>
      </c>
      <c r="EQ146">
        <v>49.436999999999998</v>
      </c>
      <c r="ER146">
        <v>49</v>
      </c>
      <c r="ES146">
        <v>48.75</v>
      </c>
      <c r="ET146">
        <v>49.561999999999998</v>
      </c>
      <c r="EU146">
        <v>1755.71</v>
      </c>
      <c r="EV146">
        <v>39.479999999999997</v>
      </c>
      <c r="EW146">
        <v>0</v>
      </c>
      <c r="EX146">
        <v>102.7999999523163</v>
      </c>
      <c r="EY146">
        <v>0</v>
      </c>
      <c r="EZ146">
        <v>719.95999999999981</v>
      </c>
      <c r="FA146">
        <v>-2.770461556150067</v>
      </c>
      <c r="FB146">
        <v>-51.81538459705255</v>
      </c>
      <c r="FC146">
        <v>16346.023999999999</v>
      </c>
      <c r="FD146">
        <v>15</v>
      </c>
      <c r="FE146">
        <v>1689027224.0999999</v>
      </c>
      <c r="FF146" t="s">
        <v>1079</v>
      </c>
      <c r="FG146">
        <v>1689027222.0999999</v>
      </c>
      <c r="FH146">
        <v>1689027224.0999999</v>
      </c>
      <c r="FI146">
        <v>142</v>
      </c>
      <c r="FJ146">
        <v>-3.6999999999999998E-2</v>
      </c>
      <c r="FK146">
        <v>-2E-3</v>
      </c>
      <c r="FL146">
        <v>-0.16600000000000001</v>
      </c>
      <c r="FM146">
        <v>4.2000000000000003E-2</v>
      </c>
      <c r="FN146">
        <v>400</v>
      </c>
      <c r="FO146">
        <v>23</v>
      </c>
      <c r="FP146">
        <v>0.06</v>
      </c>
      <c r="FQ146">
        <v>0.02</v>
      </c>
      <c r="FR146">
        <v>44.262936867087738</v>
      </c>
      <c r="FS146">
        <v>-0.34449662412782839</v>
      </c>
      <c r="FT146">
        <v>7.4039691064265362E-2</v>
      </c>
      <c r="FU146">
        <v>1</v>
      </c>
      <c r="FV146">
        <v>0.33402461537936451</v>
      </c>
      <c r="FW146">
        <v>1.042006692261843E-2</v>
      </c>
      <c r="FX146">
        <v>9.4658858514721535E-4</v>
      </c>
      <c r="FY146">
        <v>1</v>
      </c>
      <c r="FZ146">
        <v>2</v>
      </c>
      <c r="GA146">
        <v>2</v>
      </c>
      <c r="GB146" t="s">
        <v>424</v>
      </c>
      <c r="GC146">
        <v>3.12486</v>
      </c>
      <c r="GD146">
        <v>2.7671899999999998</v>
      </c>
      <c r="GE146">
        <v>7.8651299999999993E-2</v>
      </c>
      <c r="GF146">
        <v>8.8328299999999998E-2</v>
      </c>
      <c r="GG146">
        <v>0.119811</v>
      </c>
      <c r="GH146">
        <v>0.10332</v>
      </c>
      <c r="GI146">
        <v>21968.3</v>
      </c>
      <c r="GJ146">
        <v>22557.5</v>
      </c>
      <c r="GK146">
        <v>23709.599999999999</v>
      </c>
      <c r="GL146">
        <v>25059.3</v>
      </c>
      <c r="GM146">
        <v>30077.3</v>
      </c>
      <c r="GN146">
        <v>31525.9</v>
      </c>
      <c r="GO146">
        <v>37795.300000000003</v>
      </c>
      <c r="GP146">
        <v>39001</v>
      </c>
      <c r="GQ146">
        <v>2.1282199999999998</v>
      </c>
      <c r="GR146">
        <v>1.7060999999999999</v>
      </c>
      <c r="GS146">
        <v>6.1988800000000004E-3</v>
      </c>
      <c r="GT146">
        <v>0</v>
      </c>
      <c r="GU146">
        <v>29.855699999999999</v>
      </c>
      <c r="GV146">
        <v>999.9</v>
      </c>
      <c r="GW146">
        <v>28.3</v>
      </c>
      <c r="GX146">
        <v>44.8</v>
      </c>
      <c r="GY146">
        <v>27.286200000000001</v>
      </c>
      <c r="GZ146">
        <v>60.987099999999998</v>
      </c>
      <c r="HA146">
        <v>26.967099999999999</v>
      </c>
      <c r="HB146">
        <v>1</v>
      </c>
      <c r="HC146">
        <v>0.68104900000000002</v>
      </c>
      <c r="HD146">
        <v>2.0526800000000001</v>
      </c>
      <c r="HE146">
        <v>20.306799999999999</v>
      </c>
      <c r="HF146">
        <v>5.2515799999999997</v>
      </c>
      <c r="HG146">
        <v>12.0099</v>
      </c>
      <c r="HH146">
        <v>4.9792500000000004</v>
      </c>
      <c r="HI146">
        <v>3.2930000000000001</v>
      </c>
      <c r="HJ146">
        <v>9999</v>
      </c>
      <c r="HK146">
        <v>9999</v>
      </c>
      <c r="HL146">
        <v>9999</v>
      </c>
      <c r="HM146">
        <v>239</v>
      </c>
      <c r="HN146">
        <v>1.87578</v>
      </c>
      <c r="HO146">
        <v>1.87683</v>
      </c>
      <c r="HP146">
        <v>1.8829400000000001</v>
      </c>
      <c r="HQ146">
        <v>1.8861399999999999</v>
      </c>
      <c r="HR146">
        <v>1.87696</v>
      </c>
      <c r="HS146">
        <v>1.88337</v>
      </c>
      <c r="HT146">
        <v>1.88232</v>
      </c>
      <c r="HU146">
        <v>1.8858299999999999</v>
      </c>
      <c r="HV146">
        <v>0</v>
      </c>
      <c r="HW146">
        <v>0</v>
      </c>
      <c r="HX146">
        <v>0</v>
      </c>
      <c r="HY146">
        <v>0</v>
      </c>
      <c r="HZ146" t="s">
        <v>425</v>
      </c>
      <c r="IA146" t="s">
        <v>426</v>
      </c>
      <c r="IB146" t="s">
        <v>427</v>
      </c>
      <c r="IC146" t="s">
        <v>427</v>
      </c>
      <c r="ID146" t="s">
        <v>427</v>
      </c>
      <c r="IE146" t="s">
        <v>427</v>
      </c>
      <c r="IF146">
        <v>0</v>
      </c>
      <c r="IG146">
        <v>100</v>
      </c>
      <c r="IH146">
        <v>100</v>
      </c>
      <c r="II146">
        <v>-0.16300000000000001</v>
      </c>
      <c r="IJ146">
        <v>5.1200000000000002E-2</v>
      </c>
      <c r="IK146">
        <v>-8.122023162034199E-2</v>
      </c>
      <c r="IL146">
        <v>-4.2852564239613137E-4</v>
      </c>
      <c r="IM146">
        <v>6.4980710991155998E-7</v>
      </c>
      <c r="IN146">
        <v>-2.7237938963984961E-10</v>
      </c>
      <c r="IO146">
        <v>-7.5588977919140276E-3</v>
      </c>
      <c r="IP146">
        <v>6.6907473102813496E-3</v>
      </c>
      <c r="IQ146">
        <v>-3.3673306238274028E-4</v>
      </c>
      <c r="IR146">
        <v>6.1311374003140313E-6</v>
      </c>
      <c r="IS146">
        <v>3</v>
      </c>
      <c r="IT146">
        <v>2101</v>
      </c>
      <c r="IU146">
        <v>1</v>
      </c>
      <c r="IV146">
        <v>32</v>
      </c>
      <c r="IW146">
        <v>0.7</v>
      </c>
      <c r="IX146">
        <v>0.7</v>
      </c>
      <c r="IY146">
        <v>1.01318</v>
      </c>
      <c r="IZ146">
        <v>2.7209500000000002</v>
      </c>
      <c r="JA146">
        <v>1.6015600000000001</v>
      </c>
      <c r="JB146">
        <v>2.3290999999999999</v>
      </c>
      <c r="JC146">
        <v>1.5502899999999999</v>
      </c>
      <c r="JD146">
        <v>2.4267599999999998</v>
      </c>
      <c r="JE146">
        <v>47.421599999999998</v>
      </c>
      <c r="JF146">
        <v>24.157499999999999</v>
      </c>
      <c r="JG146">
        <v>18</v>
      </c>
      <c r="JH146">
        <v>598.21299999999997</v>
      </c>
      <c r="JI146">
        <v>376.80799999999999</v>
      </c>
      <c r="JJ146">
        <v>26.882100000000001</v>
      </c>
      <c r="JK146">
        <v>35.541600000000003</v>
      </c>
      <c r="JL146">
        <v>29.995699999999999</v>
      </c>
      <c r="JM146">
        <v>35.716500000000003</v>
      </c>
      <c r="JN146">
        <v>35.720999999999997</v>
      </c>
      <c r="JO146">
        <v>20.261099999999999</v>
      </c>
      <c r="JP146">
        <v>16.611799999999999</v>
      </c>
      <c r="JQ146">
        <v>3.8571800000000001</v>
      </c>
      <c r="JR146">
        <v>26.976099999999999</v>
      </c>
      <c r="JS146">
        <v>400</v>
      </c>
      <c r="JT146">
        <v>22.815300000000001</v>
      </c>
      <c r="JU146">
        <v>98.578500000000005</v>
      </c>
      <c r="JV146">
        <v>98.696100000000001</v>
      </c>
    </row>
    <row r="147" spans="1:282" x14ac:dyDescent="0.25">
      <c r="A147">
        <v>131</v>
      </c>
      <c r="B147">
        <v>1689027377.0999999</v>
      </c>
      <c r="C147">
        <v>27554.5</v>
      </c>
      <c r="D147" t="s">
        <v>1080</v>
      </c>
      <c r="E147" t="s">
        <v>1081</v>
      </c>
      <c r="F147" t="s">
        <v>414</v>
      </c>
      <c r="G147" t="s">
        <v>415</v>
      </c>
      <c r="H147" t="s">
        <v>577</v>
      </c>
      <c r="I147" t="s">
        <v>655</v>
      </c>
      <c r="J147" t="s">
        <v>418</v>
      </c>
      <c r="K147">
        <v>1689027377.0999999</v>
      </c>
      <c r="L147">
        <f t="shared" si="184"/>
        <v>4.5283937067740216E-3</v>
      </c>
      <c r="M147">
        <f t="shared" si="185"/>
        <v>4.5283937067740219</v>
      </c>
      <c r="N147">
        <f t="shared" si="186"/>
        <v>47.033273257610453</v>
      </c>
      <c r="O147">
        <f t="shared" si="187"/>
        <v>441.238</v>
      </c>
      <c r="P147">
        <f t="shared" si="188"/>
        <v>184.28086515329622</v>
      </c>
      <c r="Q147">
        <f t="shared" si="189"/>
        <v>18.249445381773477</v>
      </c>
      <c r="R147">
        <f t="shared" si="190"/>
        <v>43.696065647751993</v>
      </c>
      <c r="S147">
        <f t="shared" si="191"/>
        <v>0.31728627004837823</v>
      </c>
      <c r="T147">
        <f t="shared" si="192"/>
        <v>2.906338897777716</v>
      </c>
      <c r="U147">
        <f t="shared" si="193"/>
        <v>0.29922234262357711</v>
      </c>
      <c r="V147">
        <f t="shared" si="194"/>
        <v>0.1885511804633444</v>
      </c>
      <c r="W147">
        <f t="shared" si="195"/>
        <v>289.56487432675777</v>
      </c>
      <c r="X147">
        <f t="shared" si="196"/>
        <v>30.687601842906126</v>
      </c>
      <c r="Y147">
        <f t="shared" si="197"/>
        <v>29.9755</v>
      </c>
      <c r="Z147">
        <f t="shared" si="198"/>
        <v>4.2544578875115198</v>
      </c>
      <c r="AA147">
        <f t="shared" si="199"/>
        <v>65.352770390469701</v>
      </c>
      <c r="AB147">
        <f t="shared" si="200"/>
        <v>2.8091912406075998</v>
      </c>
      <c r="AC147">
        <f t="shared" si="201"/>
        <v>4.2985036805987642</v>
      </c>
      <c r="AD147">
        <f t="shared" si="202"/>
        <v>1.4452666469039199</v>
      </c>
      <c r="AE147">
        <f t="shared" si="203"/>
        <v>-199.70216246873434</v>
      </c>
      <c r="AF147">
        <f t="shared" si="204"/>
        <v>28.109565752664579</v>
      </c>
      <c r="AG147">
        <f t="shared" si="205"/>
        <v>2.1519260341520527</v>
      </c>
      <c r="AH147">
        <f t="shared" si="206"/>
        <v>120.12420364484005</v>
      </c>
      <c r="AI147">
        <v>0</v>
      </c>
      <c r="AJ147">
        <v>0</v>
      </c>
      <c r="AK147">
        <f t="shared" si="207"/>
        <v>1</v>
      </c>
      <c r="AL147">
        <f t="shared" si="208"/>
        <v>0</v>
      </c>
      <c r="AM147">
        <f t="shared" si="209"/>
        <v>51642.865852426781</v>
      </c>
      <c r="AN147" t="s">
        <v>419</v>
      </c>
      <c r="AO147">
        <v>9967.0300000000007</v>
      </c>
      <c r="AP147">
        <v>178.94153846153841</v>
      </c>
      <c r="AQ147">
        <v>603.15</v>
      </c>
      <c r="AR147">
        <f t="shared" si="210"/>
        <v>0.7033216638290003</v>
      </c>
      <c r="AS147">
        <v>-3.2649104154664181</v>
      </c>
      <c r="AT147" t="s">
        <v>1082</v>
      </c>
      <c r="AU147">
        <v>8057.88</v>
      </c>
      <c r="AV147">
        <v>737.1321200000001</v>
      </c>
      <c r="AW147">
        <v>1176.2718809397411</v>
      </c>
      <c r="AX147">
        <f t="shared" si="211"/>
        <v>0.37333185299720484</v>
      </c>
      <c r="AY147">
        <v>0.5</v>
      </c>
      <c r="AZ147">
        <f t="shared" si="212"/>
        <v>1513.1762996511698</v>
      </c>
      <c r="BA147">
        <f t="shared" si="213"/>
        <v>47.033273257610453</v>
      </c>
      <c r="BB147">
        <f t="shared" si="214"/>
        <v>282.45845593011245</v>
      </c>
      <c r="BC147">
        <f t="shared" si="215"/>
        <v>3.3240134467260714E-2</v>
      </c>
      <c r="BD147">
        <f t="shared" si="216"/>
        <v>-0.48723589352647412</v>
      </c>
      <c r="BE147">
        <f t="shared" si="217"/>
        <v>209.17882603276598</v>
      </c>
      <c r="BF147" t="s">
        <v>1083</v>
      </c>
      <c r="BG147">
        <v>568.99</v>
      </c>
      <c r="BH147">
        <f t="shared" si="218"/>
        <v>568.99</v>
      </c>
      <c r="BI147">
        <f t="shared" si="219"/>
        <v>0.51627679857022046</v>
      </c>
      <c r="BJ147">
        <f t="shared" si="220"/>
        <v>0.72312343694528181</v>
      </c>
      <c r="BK147">
        <f t="shared" si="221"/>
        <v>-16.777572627041618</v>
      </c>
      <c r="BL147">
        <f t="shared" si="222"/>
        <v>0.44031525186384135</v>
      </c>
      <c r="BM147">
        <f t="shared" si="223"/>
        <v>-1.3510383052266817</v>
      </c>
      <c r="BN147">
        <f t="shared" si="224"/>
        <v>0.55817674094502334</v>
      </c>
      <c r="BO147">
        <f t="shared" si="225"/>
        <v>0.44182325905497666</v>
      </c>
      <c r="BP147">
        <v>6297</v>
      </c>
      <c r="BQ147">
        <v>290.00000000000011</v>
      </c>
      <c r="BR147">
        <v>1018.74</v>
      </c>
      <c r="BS147">
        <v>295</v>
      </c>
      <c r="BT147">
        <v>8057.88</v>
      </c>
      <c r="BU147">
        <v>1021.43</v>
      </c>
      <c r="BV147">
        <v>-2.69</v>
      </c>
      <c r="BW147">
        <v>300.00000000000011</v>
      </c>
      <c r="BX147">
        <v>19.3</v>
      </c>
      <c r="BY147">
        <v>1176.2718809397411</v>
      </c>
      <c r="BZ147">
        <v>3.7191074640096198</v>
      </c>
      <c r="CA147">
        <v>-124.77084253566839</v>
      </c>
      <c r="CB147">
        <v>2.7530538033781178</v>
      </c>
      <c r="CC147">
        <v>0.98655128224739841</v>
      </c>
      <c r="CD147">
        <v>-4.1585477196885417E-3</v>
      </c>
      <c r="CE147">
        <v>289.99999999999989</v>
      </c>
      <c r="CF147">
        <v>1010.89</v>
      </c>
      <c r="CG147">
        <v>635</v>
      </c>
      <c r="CH147">
        <v>8049.11</v>
      </c>
      <c r="CI147">
        <v>1021.26</v>
      </c>
      <c r="CJ147">
        <v>-10.37</v>
      </c>
      <c r="CX147">
        <f t="shared" si="226"/>
        <v>1799.99</v>
      </c>
      <c r="CY147">
        <f t="shared" si="227"/>
        <v>1513.1762996511698</v>
      </c>
      <c r="CZ147">
        <f t="shared" si="228"/>
        <v>0.84065817012937283</v>
      </c>
      <c r="DA147">
        <f t="shared" si="229"/>
        <v>0.16087026834968959</v>
      </c>
      <c r="DB147">
        <v>6</v>
      </c>
      <c r="DC147">
        <v>0.5</v>
      </c>
      <c r="DD147" t="s">
        <v>422</v>
      </c>
      <c r="DE147">
        <v>2</v>
      </c>
      <c r="DF147">
        <v>1689027377.0999999</v>
      </c>
      <c r="DG147">
        <v>441.238</v>
      </c>
      <c r="DH147">
        <v>500.06200000000001</v>
      </c>
      <c r="DI147">
        <v>28.366900000000001</v>
      </c>
      <c r="DJ147">
        <v>23.088200000000001</v>
      </c>
      <c r="DK147">
        <v>441.31099999999998</v>
      </c>
      <c r="DL147">
        <v>28.308700000000002</v>
      </c>
      <c r="DM147">
        <v>500.11599999999999</v>
      </c>
      <c r="DN147">
        <v>98.930099999999996</v>
      </c>
      <c r="DO147">
        <v>0.100504</v>
      </c>
      <c r="DP147">
        <v>30.154900000000001</v>
      </c>
      <c r="DQ147">
        <v>29.9755</v>
      </c>
      <c r="DR147">
        <v>999.9</v>
      </c>
      <c r="DS147">
        <v>0</v>
      </c>
      <c r="DT147">
        <v>0</v>
      </c>
      <c r="DU147">
        <v>9975</v>
      </c>
      <c r="DV147">
        <v>0</v>
      </c>
      <c r="DW147">
        <v>890.19899999999996</v>
      </c>
      <c r="DX147">
        <v>-58.823799999999999</v>
      </c>
      <c r="DY147">
        <v>454.12</v>
      </c>
      <c r="DZ147">
        <v>511.88</v>
      </c>
      <c r="EA147">
        <v>5.2787300000000004</v>
      </c>
      <c r="EB147">
        <v>500.06200000000001</v>
      </c>
      <c r="EC147">
        <v>23.088200000000001</v>
      </c>
      <c r="ED147">
        <v>2.8063400000000001</v>
      </c>
      <c r="EE147">
        <v>2.2841200000000002</v>
      </c>
      <c r="EF147">
        <v>22.921399999999998</v>
      </c>
      <c r="EG147">
        <v>19.564800000000002</v>
      </c>
      <c r="EH147">
        <v>1799.99</v>
      </c>
      <c r="EI147">
        <v>0.97800200000000004</v>
      </c>
      <c r="EJ147">
        <v>2.1997599999999999E-2</v>
      </c>
      <c r="EK147">
        <v>0</v>
      </c>
      <c r="EL147">
        <v>737.41700000000003</v>
      </c>
      <c r="EM147">
        <v>5.0005300000000004</v>
      </c>
      <c r="EN147">
        <v>16646.099999999999</v>
      </c>
      <c r="EO147">
        <v>16035.2</v>
      </c>
      <c r="EP147">
        <v>48.375</v>
      </c>
      <c r="EQ147">
        <v>49.375</v>
      </c>
      <c r="ER147">
        <v>48.936999999999998</v>
      </c>
      <c r="ES147">
        <v>48.75</v>
      </c>
      <c r="ET147">
        <v>49.561999999999998</v>
      </c>
      <c r="EU147">
        <v>1755.5</v>
      </c>
      <c r="EV147">
        <v>39.49</v>
      </c>
      <c r="EW147">
        <v>0</v>
      </c>
      <c r="EX147">
        <v>112.2000000476837</v>
      </c>
      <c r="EY147">
        <v>0</v>
      </c>
      <c r="EZ147">
        <v>737.1321200000001</v>
      </c>
      <c r="FA147">
        <v>0.17376921778839871</v>
      </c>
      <c r="FB147">
        <v>-21.576922919353439</v>
      </c>
      <c r="FC147">
        <v>16660.939999999999</v>
      </c>
      <c r="FD147">
        <v>15</v>
      </c>
      <c r="FE147">
        <v>1689027341.5999999</v>
      </c>
      <c r="FF147" t="s">
        <v>1084</v>
      </c>
      <c r="FG147">
        <v>1689027332.5999999</v>
      </c>
      <c r="FH147">
        <v>1689027341.5999999</v>
      </c>
      <c r="FI147">
        <v>143</v>
      </c>
      <c r="FJ147">
        <v>9.4E-2</v>
      </c>
      <c r="FK147">
        <v>7.0000000000000001E-3</v>
      </c>
      <c r="FL147">
        <v>-7.2999999999999995E-2</v>
      </c>
      <c r="FM147">
        <v>0.05</v>
      </c>
      <c r="FN147">
        <v>500</v>
      </c>
      <c r="FO147">
        <v>23</v>
      </c>
      <c r="FP147">
        <v>7.0000000000000007E-2</v>
      </c>
      <c r="FQ147">
        <v>0.01</v>
      </c>
      <c r="FR147">
        <v>47.055647299119762</v>
      </c>
      <c r="FS147">
        <v>-0.64279675596395336</v>
      </c>
      <c r="FT147">
        <v>7.1711013716468014E-2</v>
      </c>
      <c r="FU147">
        <v>1</v>
      </c>
      <c r="FV147">
        <v>0.31637844895810541</v>
      </c>
      <c r="FW147">
        <v>1.007909818681038E-2</v>
      </c>
      <c r="FX147">
        <v>1.189390923094552E-3</v>
      </c>
      <c r="FY147">
        <v>1</v>
      </c>
      <c r="FZ147">
        <v>2</v>
      </c>
      <c r="GA147">
        <v>2</v>
      </c>
      <c r="GB147" t="s">
        <v>424</v>
      </c>
      <c r="GC147">
        <v>3.1247099999999999</v>
      </c>
      <c r="GD147">
        <v>2.7675900000000002</v>
      </c>
      <c r="GE147">
        <v>9.5102500000000006E-2</v>
      </c>
      <c r="GF147">
        <v>0.104362</v>
      </c>
      <c r="GG147">
        <v>0.119654</v>
      </c>
      <c r="GH147">
        <v>0.103908</v>
      </c>
      <c r="GI147">
        <v>21577.7</v>
      </c>
      <c r="GJ147">
        <v>22161.9</v>
      </c>
      <c r="GK147">
        <v>23711.1</v>
      </c>
      <c r="GL147">
        <v>25060.6</v>
      </c>
      <c r="GM147">
        <v>30084.7</v>
      </c>
      <c r="GN147">
        <v>31507.3</v>
      </c>
      <c r="GO147">
        <v>37797.9</v>
      </c>
      <c r="GP147">
        <v>39003.599999999999</v>
      </c>
      <c r="GQ147">
        <v>2.1283500000000002</v>
      </c>
      <c r="GR147">
        <v>1.7062999999999999</v>
      </c>
      <c r="GS147">
        <v>1.0356300000000001E-2</v>
      </c>
      <c r="GT147">
        <v>0</v>
      </c>
      <c r="GU147">
        <v>29.806899999999999</v>
      </c>
      <c r="GV147">
        <v>999.9</v>
      </c>
      <c r="GW147">
        <v>28.3</v>
      </c>
      <c r="GX147">
        <v>44.8</v>
      </c>
      <c r="GY147">
        <v>27.287199999999999</v>
      </c>
      <c r="GZ147">
        <v>60.747100000000003</v>
      </c>
      <c r="HA147">
        <v>27.636199999999999</v>
      </c>
      <c r="HB147">
        <v>1</v>
      </c>
      <c r="HC147">
        <v>0.68025899999999995</v>
      </c>
      <c r="HD147">
        <v>2.3980999999999999</v>
      </c>
      <c r="HE147">
        <v>20.3017</v>
      </c>
      <c r="HF147">
        <v>5.24709</v>
      </c>
      <c r="HG147">
        <v>12.0099</v>
      </c>
      <c r="HH147">
        <v>4.97675</v>
      </c>
      <c r="HI147">
        <v>3.2924000000000002</v>
      </c>
      <c r="HJ147">
        <v>9999</v>
      </c>
      <c r="HK147">
        <v>9999</v>
      </c>
      <c r="HL147">
        <v>9999</v>
      </c>
      <c r="HM147">
        <v>239.1</v>
      </c>
      <c r="HN147">
        <v>1.8757900000000001</v>
      </c>
      <c r="HO147">
        <v>1.8768400000000001</v>
      </c>
      <c r="HP147">
        <v>1.8829499999999999</v>
      </c>
      <c r="HQ147">
        <v>1.8861399999999999</v>
      </c>
      <c r="HR147">
        <v>1.8769800000000001</v>
      </c>
      <c r="HS147">
        <v>1.8833800000000001</v>
      </c>
      <c r="HT147">
        <v>1.88232</v>
      </c>
      <c r="HU147">
        <v>1.8858200000000001</v>
      </c>
      <c r="HV147">
        <v>0</v>
      </c>
      <c r="HW147">
        <v>0</v>
      </c>
      <c r="HX147">
        <v>0</v>
      </c>
      <c r="HY147">
        <v>0</v>
      </c>
      <c r="HZ147" t="s">
        <v>425</v>
      </c>
      <c r="IA147" t="s">
        <v>426</v>
      </c>
      <c r="IB147" t="s">
        <v>427</v>
      </c>
      <c r="IC147" t="s">
        <v>427</v>
      </c>
      <c r="ID147" t="s">
        <v>427</v>
      </c>
      <c r="IE147" t="s">
        <v>427</v>
      </c>
      <c r="IF147">
        <v>0</v>
      </c>
      <c r="IG147">
        <v>100</v>
      </c>
      <c r="IH147">
        <v>100</v>
      </c>
      <c r="II147">
        <v>-7.2999999999999995E-2</v>
      </c>
      <c r="IJ147">
        <v>5.8200000000000002E-2</v>
      </c>
      <c r="IK147">
        <v>1.2657762488052161E-2</v>
      </c>
      <c r="IL147">
        <v>-4.2852564239613137E-4</v>
      </c>
      <c r="IM147">
        <v>6.4980710991155998E-7</v>
      </c>
      <c r="IN147">
        <v>-2.7237938963984961E-10</v>
      </c>
      <c r="IO147">
        <v>-3.7652157206418373E-4</v>
      </c>
      <c r="IP147">
        <v>6.6907473102813496E-3</v>
      </c>
      <c r="IQ147">
        <v>-3.3673306238274028E-4</v>
      </c>
      <c r="IR147">
        <v>6.1311374003140313E-6</v>
      </c>
      <c r="IS147">
        <v>3</v>
      </c>
      <c r="IT147">
        <v>2101</v>
      </c>
      <c r="IU147">
        <v>1</v>
      </c>
      <c r="IV147">
        <v>32</v>
      </c>
      <c r="IW147">
        <v>0.7</v>
      </c>
      <c r="IX147">
        <v>0.6</v>
      </c>
      <c r="IY147">
        <v>1.2133799999999999</v>
      </c>
      <c r="IZ147">
        <v>2.7209500000000002</v>
      </c>
      <c r="JA147">
        <v>1.6015600000000001</v>
      </c>
      <c r="JB147">
        <v>2.3290999999999999</v>
      </c>
      <c r="JC147">
        <v>1.5502899999999999</v>
      </c>
      <c r="JD147">
        <v>2.4426299999999999</v>
      </c>
      <c r="JE147">
        <v>47.361699999999999</v>
      </c>
      <c r="JF147">
        <v>24.157499999999999</v>
      </c>
      <c r="JG147">
        <v>18</v>
      </c>
      <c r="JH147">
        <v>598.04499999999996</v>
      </c>
      <c r="JI147">
        <v>376.755</v>
      </c>
      <c r="JJ147">
        <v>27.001899999999999</v>
      </c>
      <c r="JK147">
        <v>35.508899999999997</v>
      </c>
      <c r="JL147">
        <v>29.997800000000002</v>
      </c>
      <c r="JM147">
        <v>35.687199999999997</v>
      </c>
      <c r="JN147">
        <v>35.691499999999998</v>
      </c>
      <c r="JO147">
        <v>24.275600000000001</v>
      </c>
      <c r="JP147">
        <v>16.120899999999999</v>
      </c>
      <c r="JQ147">
        <v>4.7510399999999997</v>
      </c>
      <c r="JR147">
        <v>27.047699999999999</v>
      </c>
      <c r="JS147">
        <v>500</v>
      </c>
      <c r="JT147">
        <v>23.105699999999999</v>
      </c>
      <c r="JU147">
        <v>98.585099999999997</v>
      </c>
      <c r="JV147">
        <v>98.701999999999998</v>
      </c>
    </row>
    <row r="148" spans="1:282" x14ac:dyDescent="0.25">
      <c r="A148">
        <v>132</v>
      </c>
      <c r="B148">
        <v>1689027483.5999999</v>
      </c>
      <c r="C148">
        <v>27661</v>
      </c>
      <c r="D148" t="s">
        <v>1085</v>
      </c>
      <c r="E148" t="s">
        <v>1086</v>
      </c>
      <c r="F148" t="s">
        <v>414</v>
      </c>
      <c r="G148" t="s">
        <v>415</v>
      </c>
      <c r="H148" t="s">
        <v>577</v>
      </c>
      <c r="I148" t="s">
        <v>655</v>
      </c>
      <c r="J148" t="s">
        <v>418</v>
      </c>
      <c r="K148">
        <v>1689027483.5999999</v>
      </c>
      <c r="L148">
        <f t="shared" si="184"/>
        <v>4.0561274349520176E-3</v>
      </c>
      <c r="M148">
        <f t="shared" si="185"/>
        <v>4.0561274349520176</v>
      </c>
      <c r="N148">
        <f t="shared" si="186"/>
        <v>48.648124856117626</v>
      </c>
      <c r="O148">
        <f t="shared" si="187"/>
        <v>638.56799999999998</v>
      </c>
      <c r="P148">
        <f t="shared" si="188"/>
        <v>337.21654784429035</v>
      </c>
      <c r="Q148">
        <f t="shared" si="189"/>
        <v>33.392615636705003</v>
      </c>
      <c r="R148">
        <f t="shared" si="190"/>
        <v>63.2337170824296</v>
      </c>
      <c r="S148">
        <f t="shared" si="191"/>
        <v>0.28110233308883464</v>
      </c>
      <c r="T148">
        <f t="shared" si="192"/>
        <v>2.9113811382451593</v>
      </c>
      <c r="U148">
        <f t="shared" si="193"/>
        <v>0.26684739973639854</v>
      </c>
      <c r="V148">
        <f t="shared" si="194"/>
        <v>0.16800011326149222</v>
      </c>
      <c r="W148">
        <f t="shared" si="195"/>
        <v>289.56806632676523</v>
      </c>
      <c r="X148">
        <f t="shared" si="196"/>
        <v>30.805128442768218</v>
      </c>
      <c r="Y148">
        <f t="shared" si="197"/>
        <v>30.004300000000001</v>
      </c>
      <c r="Z148">
        <f t="shared" si="198"/>
        <v>4.2615021676765465</v>
      </c>
      <c r="AA148">
        <f t="shared" si="199"/>
        <v>65.391377412852904</v>
      </c>
      <c r="AB148">
        <f t="shared" si="200"/>
        <v>2.8100606458617499</v>
      </c>
      <c r="AC148">
        <f t="shared" si="201"/>
        <v>4.2972953882286973</v>
      </c>
      <c r="AD148">
        <f t="shared" si="202"/>
        <v>1.4514415218147967</v>
      </c>
      <c r="AE148">
        <f t="shared" si="203"/>
        <v>-178.87521988138397</v>
      </c>
      <c r="AF148">
        <f t="shared" si="204"/>
        <v>22.868835955082819</v>
      </c>
      <c r="AG148">
        <f t="shared" si="205"/>
        <v>1.7478968999265261</v>
      </c>
      <c r="AH148">
        <f t="shared" si="206"/>
        <v>135.3095793003906</v>
      </c>
      <c r="AI148">
        <v>0</v>
      </c>
      <c r="AJ148">
        <v>0</v>
      </c>
      <c r="AK148">
        <f t="shared" si="207"/>
        <v>1</v>
      </c>
      <c r="AL148">
        <f t="shared" si="208"/>
        <v>0</v>
      </c>
      <c r="AM148">
        <f t="shared" si="209"/>
        <v>51786.737383152984</v>
      </c>
      <c r="AN148" t="s">
        <v>419</v>
      </c>
      <c r="AO148">
        <v>9967.0300000000007</v>
      </c>
      <c r="AP148">
        <v>178.94153846153841</v>
      </c>
      <c r="AQ148">
        <v>603.15</v>
      </c>
      <c r="AR148">
        <f t="shared" si="210"/>
        <v>0.7033216638290003</v>
      </c>
      <c r="AS148">
        <v>-3.2649104154664181</v>
      </c>
      <c r="AT148" t="s">
        <v>1087</v>
      </c>
      <c r="AU148">
        <v>8058.17</v>
      </c>
      <c r="AV148">
        <v>744.47669230769213</v>
      </c>
      <c r="AW148">
        <v>1212.3236545586919</v>
      </c>
      <c r="AX148">
        <f t="shared" si="211"/>
        <v>0.38590929121258855</v>
      </c>
      <c r="AY148">
        <v>0.5</v>
      </c>
      <c r="AZ148">
        <f t="shared" si="212"/>
        <v>1513.1930996511737</v>
      </c>
      <c r="BA148">
        <f t="shared" si="213"/>
        <v>48.648124856117626</v>
      </c>
      <c r="BB148">
        <f t="shared" si="214"/>
        <v>291.97763827708218</v>
      </c>
      <c r="BC148">
        <f t="shared" si="215"/>
        <v>3.4306946868546524E-2</v>
      </c>
      <c r="BD148">
        <f t="shared" si="216"/>
        <v>-0.50248434258295682</v>
      </c>
      <c r="BE148">
        <f t="shared" si="217"/>
        <v>210.29091253056291</v>
      </c>
      <c r="BF148" t="s">
        <v>1088</v>
      </c>
      <c r="BG148">
        <v>573.12</v>
      </c>
      <c r="BH148">
        <f t="shared" si="218"/>
        <v>573.12</v>
      </c>
      <c r="BI148">
        <f t="shared" si="219"/>
        <v>0.52725495551876689</v>
      </c>
      <c r="BJ148">
        <f t="shared" si="220"/>
        <v>0.73192160106469151</v>
      </c>
      <c r="BK148">
        <f t="shared" si="221"/>
        <v>-20.285502982307442</v>
      </c>
      <c r="BL148">
        <f t="shared" si="222"/>
        <v>0.45273375159418289</v>
      </c>
      <c r="BM148">
        <f t="shared" si="223"/>
        <v>-1.4360242894482202</v>
      </c>
      <c r="BN148">
        <f t="shared" si="224"/>
        <v>0.56345472240630667</v>
      </c>
      <c r="BO148">
        <f t="shared" si="225"/>
        <v>0.43654527759369333</v>
      </c>
      <c r="BP148">
        <v>6299</v>
      </c>
      <c r="BQ148">
        <v>290.00000000000011</v>
      </c>
      <c r="BR148">
        <v>1039.93</v>
      </c>
      <c r="BS148">
        <v>295</v>
      </c>
      <c r="BT148">
        <v>8058.17</v>
      </c>
      <c r="BU148">
        <v>1042.29</v>
      </c>
      <c r="BV148">
        <v>-2.36</v>
      </c>
      <c r="BW148">
        <v>300.00000000000011</v>
      </c>
      <c r="BX148">
        <v>19.3</v>
      </c>
      <c r="BY148">
        <v>1212.3236545586919</v>
      </c>
      <c r="BZ148">
        <v>3.8580177488221188</v>
      </c>
      <c r="CA148">
        <v>-137.01664198210369</v>
      </c>
      <c r="CB148">
        <v>2.8559714235478779</v>
      </c>
      <c r="CC148">
        <v>0.98798101736316424</v>
      </c>
      <c r="CD148">
        <v>-4.1587245828698556E-3</v>
      </c>
      <c r="CE148">
        <v>289.99999999999989</v>
      </c>
      <c r="CF148">
        <v>1030.99</v>
      </c>
      <c r="CG148">
        <v>625</v>
      </c>
      <c r="CH148">
        <v>8049.74</v>
      </c>
      <c r="CI148">
        <v>1042.1099999999999</v>
      </c>
      <c r="CJ148">
        <v>-11.12</v>
      </c>
      <c r="CX148">
        <f t="shared" si="226"/>
        <v>1800.01</v>
      </c>
      <c r="CY148">
        <f t="shared" si="227"/>
        <v>1513.1930996511737</v>
      </c>
      <c r="CZ148">
        <f t="shared" si="228"/>
        <v>0.84065816281641415</v>
      </c>
      <c r="DA148">
        <f t="shared" si="229"/>
        <v>0.16087025423567938</v>
      </c>
      <c r="DB148">
        <v>6</v>
      </c>
      <c r="DC148">
        <v>0.5</v>
      </c>
      <c r="DD148" t="s">
        <v>422</v>
      </c>
      <c r="DE148">
        <v>2</v>
      </c>
      <c r="DF148">
        <v>1689027483.5999999</v>
      </c>
      <c r="DG148">
        <v>638.56799999999998</v>
      </c>
      <c r="DH148">
        <v>700.04700000000003</v>
      </c>
      <c r="DI148">
        <v>28.377500000000001</v>
      </c>
      <c r="DJ148">
        <v>23.648800000000001</v>
      </c>
      <c r="DK148">
        <v>638.71199999999999</v>
      </c>
      <c r="DL148">
        <v>28.325800000000001</v>
      </c>
      <c r="DM148">
        <v>500.05599999999998</v>
      </c>
      <c r="DN148">
        <v>98.924400000000006</v>
      </c>
      <c r="DO148">
        <v>9.98497E-2</v>
      </c>
      <c r="DP148">
        <v>30.15</v>
      </c>
      <c r="DQ148">
        <v>30.004300000000001</v>
      </c>
      <c r="DR148">
        <v>999.9</v>
      </c>
      <c r="DS148">
        <v>0</v>
      </c>
      <c r="DT148">
        <v>0</v>
      </c>
      <c r="DU148">
        <v>10004.4</v>
      </c>
      <c r="DV148">
        <v>0</v>
      </c>
      <c r="DW148">
        <v>904.87099999999998</v>
      </c>
      <c r="DX148">
        <v>-61.479399999999998</v>
      </c>
      <c r="DY148">
        <v>657.21799999999996</v>
      </c>
      <c r="DZ148">
        <v>717.00300000000004</v>
      </c>
      <c r="EA148">
        <v>4.7287100000000004</v>
      </c>
      <c r="EB148">
        <v>700.04700000000003</v>
      </c>
      <c r="EC148">
        <v>23.648800000000001</v>
      </c>
      <c r="ED148">
        <v>2.8072300000000001</v>
      </c>
      <c r="EE148">
        <v>2.3394400000000002</v>
      </c>
      <c r="EF148">
        <v>22.9267</v>
      </c>
      <c r="EG148">
        <v>19.950600000000001</v>
      </c>
      <c r="EH148">
        <v>1800.01</v>
      </c>
      <c r="EI148">
        <v>0.97800200000000004</v>
      </c>
      <c r="EJ148">
        <v>2.1997599999999999E-2</v>
      </c>
      <c r="EK148">
        <v>0</v>
      </c>
      <c r="EL148">
        <v>743.96199999999999</v>
      </c>
      <c r="EM148">
        <v>5.0005300000000004</v>
      </c>
      <c r="EN148">
        <v>16666.7</v>
      </c>
      <c r="EO148">
        <v>16035.4</v>
      </c>
      <c r="EP148">
        <v>48.311999999999998</v>
      </c>
      <c r="EQ148">
        <v>49.25</v>
      </c>
      <c r="ER148">
        <v>48.875</v>
      </c>
      <c r="ES148">
        <v>48.686999999999998</v>
      </c>
      <c r="ET148">
        <v>49.5</v>
      </c>
      <c r="EU148">
        <v>1755.52</v>
      </c>
      <c r="EV148">
        <v>39.49</v>
      </c>
      <c r="EW148">
        <v>0</v>
      </c>
      <c r="EX148">
        <v>104.4000000953674</v>
      </c>
      <c r="EY148">
        <v>0</v>
      </c>
      <c r="EZ148">
        <v>744.47669230769213</v>
      </c>
      <c r="FA148">
        <v>-2.5797606857133242</v>
      </c>
      <c r="FB148">
        <v>-185.38461691128441</v>
      </c>
      <c r="FC148">
        <v>16697.396153846159</v>
      </c>
      <c r="FD148">
        <v>15</v>
      </c>
      <c r="FE148">
        <v>1689027449.5999999</v>
      </c>
      <c r="FF148" t="s">
        <v>1089</v>
      </c>
      <c r="FG148">
        <v>1689027449.5999999</v>
      </c>
      <c r="FH148">
        <v>1689027445.5999999</v>
      </c>
      <c r="FI148">
        <v>144</v>
      </c>
      <c r="FJ148">
        <v>-7.8E-2</v>
      </c>
      <c r="FK148">
        <v>-7.0000000000000001E-3</v>
      </c>
      <c r="FL148">
        <v>-0.14000000000000001</v>
      </c>
      <c r="FM148">
        <v>4.2999999999999997E-2</v>
      </c>
      <c r="FN148">
        <v>700</v>
      </c>
      <c r="FO148">
        <v>23</v>
      </c>
      <c r="FP148">
        <v>0.06</v>
      </c>
      <c r="FQ148">
        <v>0.02</v>
      </c>
      <c r="FR148">
        <v>48.743897488458863</v>
      </c>
      <c r="FS148">
        <v>-0.65054399593122381</v>
      </c>
      <c r="FT148">
        <v>5.1333863259371858E-2</v>
      </c>
      <c r="FU148">
        <v>1</v>
      </c>
      <c r="FV148">
        <v>0.27994485559840759</v>
      </c>
      <c r="FW148">
        <v>2.7293266187705442E-2</v>
      </c>
      <c r="FX148">
        <v>2.3421914576558091E-3</v>
      </c>
      <c r="FY148">
        <v>1</v>
      </c>
      <c r="FZ148">
        <v>2</v>
      </c>
      <c r="GA148">
        <v>2</v>
      </c>
      <c r="GB148" t="s">
        <v>424</v>
      </c>
      <c r="GC148">
        <v>3.1244000000000001</v>
      </c>
      <c r="GD148">
        <v>2.7671999999999999</v>
      </c>
      <c r="GE148">
        <v>0.124227</v>
      </c>
      <c r="GF148">
        <v>0.132271</v>
      </c>
      <c r="GG148">
        <v>0.119709</v>
      </c>
      <c r="GH148">
        <v>0.10568900000000001</v>
      </c>
      <c r="GI148">
        <v>20884.5</v>
      </c>
      <c r="GJ148">
        <v>21473.1</v>
      </c>
      <c r="GK148">
        <v>23712.799999999999</v>
      </c>
      <c r="GL148">
        <v>25063.200000000001</v>
      </c>
      <c r="GM148">
        <v>30084.799999999999</v>
      </c>
      <c r="GN148">
        <v>31447.7</v>
      </c>
      <c r="GO148">
        <v>37800.300000000003</v>
      </c>
      <c r="GP148">
        <v>39007.4</v>
      </c>
      <c r="GQ148">
        <v>2.1282199999999998</v>
      </c>
      <c r="GR148">
        <v>1.70905</v>
      </c>
      <c r="GS148">
        <v>1.4137500000000001E-2</v>
      </c>
      <c r="GT148">
        <v>0</v>
      </c>
      <c r="GU148">
        <v>29.7742</v>
      </c>
      <c r="GV148">
        <v>999.9</v>
      </c>
      <c r="GW148">
        <v>28.5</v>
      </c>
      <c r="GX148">
        <v>44.8</v>
      </c>
      <c r="GY148">
        <v>27.484200000000001</v>
      </c>
      <c r="GZ148">
        <v>60.677100000000003</v>
      </c>
      <c r="HA148">
        <v>26.991199999999999</v>
      </c>
      <c r="HB148">
        <v>1</v>
      </c>
      <c r="HC148">
        <v>0.68103400000000003</v>
      </c>
      <c r="HD148">
        <v>3.37635</v>
      </c>
      <c r="HE148">
        <v>20.284400000000002</v>
      </c>
      <c r="HF148">
        <v>5.2475399999999999</v>
      </c>
      <c r="HG148">
        <v>12.0099</v>
      </c>
      <c r="HH148">
        <v>4.97715</v>
      </c>
      <c r="HI148">
        <v>3.2923300000000002</v>
      </c>
      <c r="HJ148">
        <v>9999</v>
      </c>
      <c r="HK148">
        <v>9999</v>
      </c>
      <c r="HL148">
        <v>9999</v>
      </c>
      <c r="HM148">
        <v>239.1</v>
      </c>
      <c r="HN148">
        <v>1.8757699999999999</v>
      </c>
      <c r="HO148">
        <v>1.87683</v>
      </c>
      <c r="HP148">
        <v>1.88293</v>
      </c>
      <c r="HQ148">
        <v>1.8861399999999999</v>
      </c>
      <c r="HR148">
        <v>1.8769199999999999</v>
      </c>
      <c r="HS148">
        <v>1.8833899999999999</v>
      </c>
      <c r="HT148">
        <v>1.88232</v>
      </c>
      <c r="HU148">
        <v>1.8858299999999999</v>
      </c>
      <c r="HV148">
        <v>0</v>
      </c>
      <c r="HW148">
        <v>0</v>
      </c>
      <c r="HX148">
        <v>0</v>
      </c>
      <c r="HY148">
        <v>0</v>
      </c>
      <c r="HZ148" t="s">
        <v>425</v>
      </c>
      <c r="IA148" t="s">
        <v>426</v>
      </c>
      <c r="IB148" t="s">
        <v>427</v>
      </c>
      <c r="IC148" t="s">
        <v>427</v>
      </c>
      <c r="ID148" t="s">
        <v>427</v>
      </c>
      <c r="IE148" t="s">
        <v>427</v>
      </c>
      <c r="IF148">
        <v>0</v>
      </c>
      <c r="IG148">
        <v>100</v>
      </c>
      <c r="IH148">
        <v>100</v>
      </c>
      <c r="II148">
        <v>-0.14399999999999999</v>
      </c>
      <c r="IJ148">
        <v>5.1700000000000003E-2</v>
      </c>
      <c r="IK148">
        <v>-6.513634381165849E-2</v>
      </c>
      <c r="IL148">
        <v>-4.2852564239613137E-4</v>
      </c>
      <c r="IM148">
        <v>6.4980710991155998E-7</v>
      </c>
      <c r="IN148">
        <v>-2.7237938963984961E-10</v>
      </c>
      <c r="IO148">
        <v>-6.935265913908915E-3</v>
      </c>
      <c r="IP148">
        <v>6.6907473102813496E-3</v>
      </c>
      <c r="IQ148">
        <v>-3.3673306238274028E-4</v>
      </c>
      <c r="IR148">
        <v>6.1311374003140313E-6</v>
      </c>
      <c r="IS148">
        <v>3</v>
      </c>
      <c r="IT148">
        <v>2101</v>
      </c>
      <c r="IU148">
        <v>1</v>
      </c>
      <c r="IV148">
        <v>32</v>
      </c>
      <c r="IW148">
        <v>0.6</v>
      </c>
      <c r="IX148">
        <v>0.6</v>
      </c>
      <c r="IY148">
        <v>1.5966800000000001</v>
      </c>
      <c r="IZ148">
        <v>2.7209500000000002</v>
      </c>
      <c r="JA148">
        <v>1.6015600000000001</v>
      </c>
      <c r="JB148">
        <v>2.3290999999999999</v>
      </c>
      <c r="JC148">
        <v>1.5502899999999999</v>
      </c>
      <c r="JD148">
        <v>2.3034699999999999</v>
      </c>
      <c r="JE148">
        <v>47.301900000000003</v>
      </c>
      <c r="JF148">
        <v>24.148800000000001</v>
      </c>
      <c r="JG148">
        <v>18</v>
      </c>
      <c r="JH148">
        <v>597.58799999999997</v>
      </c>
      <c r="JI148">
        <v>378.18700000000001</v>
      </c>
      <c r="JJ148">
        <v>26.669699999999999</v>
      </c>
      <c r="JK148">
        <v>35.458399999999997</v>
      </c>
      <c r="JL148">
        <v>29.9999</v>
      </c>
      <c r="JM148">
        <v>35.645299999999999</v>
      </c>
      <c r="JN148">
        <v>35.649799999999999</v>
      </c>
      <c r="JO148">
        <v>31.960100000000001</v>
      </c>
      <c r="JP148">
        <v>14.1706</v>
      </c>
      <c r="JQ148">
        <v>6.2399500000000003</v>
      </c>
      <c r="JR148">
        <v>26.667100000000001</v>
      </c>
      <c r="JS148">
        <v>700</v>
      </c>
      <c r="JT148">
        <v>23.533999999999999</v>
      </c>
      <c r="JU148">
        <v>98.591800000000006</v>
      </c>
      <c r="JV148">
        <v>98.712000000000003</v>
      </c>
    </row>
    <row r="149" spans="1:282" x14ac:dyDescent="0.25">
      <c r="A149">
        <v>133</v>
      </c>
      <c r="B149">
        <v>1689027596.0999999</v>
      </c>
      <c r="C149">
        <v>27773.5</v>
      </c>
      <c r="D149" t="s">
        <v>1090</v>
      </c>
      <c r="E149" t="s">
        <v>1091</v>
      </c>
      <c r="F149" t="s">
        <v>414</v>
      </c>
      <c r="G149" t="s">
        <v>415</v>
      </c>
      <c r="H149" t="s">
        <v>577</v>
      </c>
      <c r="I149" t="s">
        <v>655</v>
      </c>
      <c r="J149" t="s">
        <v>418</v>
      </c>
      <c r="K149">
        <v>1689027596.0999999</v>
      </c>
      <c r="L149">
        <f t="shared" si="184"/>
        <v>3.4410610357054764E-3</v>
      </c>
      <c r="M149">
        <f t="shared" si="185"/>
        <v>3.4410610357054763</v>
      </c>
      <c r="N149">
        <f t="shared" si="186"/>
        <v>48.478139665237215</v>
      </c>
      <c r="O149">
        <f t="shared" si="187"/>
        <v>838.40700000000004</v>
      </c>
      <c r="P149">
        <f t="shared" si="188"/>
        <v>476.4201040946723</v>
      </c>
      <c r="Q149">
        <f t="shared" si="189"/>
        <v>47.17500207981297</v>
      </c>
      <c r="R149">
        <f t="shared" si="190"/>
        <v>83.018855897966404</v>
      </c>
      <c r="S149">
        <f t="shared" si="191"/>
        <v>0.23277965478217089</v>
      </c>
      <c r="T149">
        <f t="shared" si="192"/>
        <v>2.9114082241475008</v>
      </c>
      <c r="U149">
        <f t="shared" si="193"/>
        <v>0.22291208636197979</v>
      </c>
      <c r="V149">
        <f t="shared" si="194"/>
        <v>0.1401717586948297</v>
      </c>
      <c r="W149">
        <f t="shared" si="195"/>
        <v>289.57604632678397</v>
      </c>
      <c r="X149">
        <f t="shared" si="196"/>
        <v>30.906836570570711</v>
      </c>
      <c r="Y149">
        <f t="shared" si="197"/>
        <v>30.023099999999999</v>
      </c>
      <c r="Z149">
        <f t="shared" si="198"/>
        <v>4.2661059986377827</v>
      </c>
      <c r="AA149">
        <f t="shared" si="199"/>
        <v>65.191790520743723</v>
      </c>
      <c r="AB149">
        <f t="shared" si="200"/>
        <v>2.7920303314478403</v>
      </c>
      <c r="AC149">
        <f t="shared" si="201"/>
        <v>4.2827943658940146</v>
      </c>
      <c r="AD149">
        <f t="shared" si="202"/>
        <v>1.4740756671899424</v>
      </c>
      <c r="AE149">
        <f t="shared" si="203"/>
        <v>-151.75079167461152</v>
      </c>
      <c r="AF149">
        <f t="shared" si="204"/>
        <v>10.673269132256543</v>
      </c>
      <c r="AG149">
        <f t="shared" si="205"/>
        <v>0.8156032705146955</v>
      </c>
      <c r="AH149">
        <f t="shared" si="206"/>
        <v>149.3141270549437</v>
      </c>
      <c r="AI149">
        <v>0</v>
      </c>
      <c r="AJ149">
        <v>0</v>
      </c>
      <c r="AK149">
        <f t="shared" si="207"/>
        <v>1</v>
      </c>
      <c r="AL149">
        <f t="shared" si="208"/>
        <v>0</v>
      </c>
      <c r="AM149">
        <f t="shared" si="209"/>
        <v>51797.476297783476</v>
      </c>
      <c r="AN149" t="s">
        <v>419</v>
      </c>
      <c r="AO149">
        <v>9967.0300000000007</v>
      </c>
      <c r="AP149">
        <v>178.94153846153841</v>
      </c>
      <c r="AQ149">
        <v>603.15</v>
      </c>
      <c r="AR149">
        <f t="shared" si="210"/>
        <v>0.7033216638290003</v>
      </c>
      <c r="AS149">
        <v>-3.2649104154664181</v>
      </c>
      <c r="AT149" t="s">
        <v>1092</v>
      </c>
      <c r="AU149">
        <v>8058.49</v>
      </c>
      <c r="AV149">
        <v>739.99187999999992</v>
      </c>
      <c r="AW149">
        <v>1206.4996165844079</v>
      </c>
      <c r="AX149">
        <f t="shared" si="211"/>
        <v>0.38666215071421917</v>
      </c>
      <c r="AY149">
        <v>0.5</v>
      </c>
      <c r="AZ149">
        <f t="shared" si="212"/>
        <v>1513.2350996511834</v>
      </c>
      <c r="BA149">
        <f t="shared" si="213"/>
        <v>48.478139665237215</v>
      </c>
      <c r="BB149">
        <f t="shared" si="214"/>
        <v>292.55536908368617</v>
      </c>
      <c r="BC149">
        <f t="shared" si="215"/>
        <v>3.4193662367883848E-2</v>
      </c>
      <c r="BD149">
        <f t="shared" si="216"/>
        <v>-0.50008272550677346</v>
      </c>
      <c r="BE149">
        <f t="shared" si="217"/>
        <v>210.11497603208235</v>
      </c>
      <c r="BF149" t="s">
        <v>1093</v>
      </c>
      <c r="BG149">
        <v>571.99</v>
      </c>
      <c r="BH149">
        <f t="shared" si="218"/>
        <v>571.99</v>
      </c>
      <c r="BI149">
        <f t="shared" si="219"/>
        <v>0.52590950536785108</v>
      </c>
      <c r="BJ149">
        <f t="shared" si="220"/>
        <v>0.73522563628844406</v>
      </c>
      <c r="BK149">
        <f t="shared" si="221"/>
        <v>-19.362953035443152</v>
      </c>
      <c r="BL149">
        <f t="shared" si="222"/>
        <v>0.45399646649327946</v>
      </c>
      <c r="BM149">
        <f t="shared" si="223"/>
        <v>-1.422295100847969</v>
      </c>
      <c r="BN149">
        <f t="shared" si="224"/>
        <v>0.56830584641094595</v>
      </c>
      <c r="BO149">
        <f t="shared" si="225"/>
        <v>0.43169415358905405</v>
      </c>
      <c r="BP149">
        <v>6301</v>
      </c>
      <c r="BQ149">
        <v>290.00000000000011</v>
      </c>
      <c r="BR149">
        <v>1035.42</v>
      </c>
      <c r="BS149">
        <v>295</v>
      </c>
      <c r="BT149">
        <v>8058.49</v>
      </c>
      <c r="BU149">
        <v>1038.05</v>
      </c>
      <c r="BV149">
        <v>-2.63</v>
      </c>
      <c r="BW149">
        <v>300.00000000000011</v>
      </c>
      <c r="BX149">
        <v>19.3</v>
      </c>
      <c r="BY149">
        <v>1206.4996165844079</v>
      </c>
      <c r="BZ149">
        <v>4.6324951106593302</v>
      </c>
      <c r="CA149">
        <v>-135.7476187338932</v>
      </c>
      <c r="CB149">
        <v>3.4294387662140711</v>
      </c>
      <c r="CC149">
        <v>0.98244312906285169</v>
      </c>
      <c r="CD149">
        <v>-4.1589032258064563E-3</v>
      </c>
      <c r="CE149">
        <v>289.99999999999989</v>
      </c>
      <c r="CF149">
        <v>1028.04</v>
      </c>
      <c r="CG149">
        <v>635</v>
      </c>
      <c r="CH149">
        <v>8049.75</v>
      </c>
      <c r="CI149">
        <v>1037.8599999999999</v>
      </c>
      <c r="CJ149">
        <v>-9.82</v>
      </c>
      <c r="CX149">
        <f t="shared" si="226"/>
        <v>1800.06</v>
      </c>
      <c r="CY149">
        <f t="shared" si="227"/>
        <v>1513.2350996511834</v>
      </c>
      <c r="CZ149">
        <f t="shared" si="228"/>
        <v>0.84065814453472854</v>
      </c>
      <c r="DA149">
        <f t="shared" si="229"/>
        <v>0.16087021895202602</v>
      </c>
      <c r="DB149">
        <v>6</v>
      </c>
      <c r="DC149">
        <v>0.5</v>
      </c>
      <c r="DD149" t="s">
        <v>422</v>
      </c>
      <c r="DE149">
        <v>2</v>
      </c>
      <c r="DF149">
        <v>1689027596.0999999</v>
      </c>
      <c r="DG149">
        <v>838.40700000000004</v>
      </c>
      <c r="DH149">
        <v>900.03599999999994</v>
      </c>
      <c r="DI149">
        <v>28.1967</v>
      </c>
      <c r="DJ149">
        <v>24.1843</v>
      </c>
      <c r="DK149">
        <v>838.52200000000005</v>
      </c>
      <c r="DL149">
        <v>28.145299999999999</v>
      </c>
      <c r="DM149">
        <v>500.05500000000001</v>
      </c>
      <c r="DN149">
        <v>98.92</v>
      </c>
      <c r="DO149">
        <v>9.9755200000000002E-2</v>
      </c>
      <c r="DP149">
        <v>30.091100000000001</v>
      </c>
      <c r="DQ149">
        <v>30.023099999999999</v>
      </c>
      <c r="DR149">
        <v>999.9</v>
      </c>
      <c r="DS149">
        <v>0</v>
      </c>
      <c r="DT149">
        <v>0</v>
      </c>
      <c r="DU149">
        <v>10005</v>
      </c>
      <c r="DV149">
        <v>0</v>
      </c>
      <c r="DW149">
        <v>703.697</v>
      </c>
      <c r="DX149">
        <v>-61.628900000000002</v>
      </c>
      <c r="DY149">
        <v>862.73400000000004</v>
      </c>
      <c r="DZ149">
        <v>922.34299999999996</v>
      </c>
      <c r="EA149">
        <v>4.0123600000000001</v>
      </c>
      <c r="EB149">
        <v>900.03599999999994</v>
      </c>
      <c r="EC149">
        <v>24.1843</v>
      </c>
      <c r="ED149">
        <v>2.7892100000000002</v>
      </c>
      <c r="EE149">
        <v>2.3923100000000002</v>
      </c>
      <c r="EF149">
        <v>22.820399999999999</v>
      </c>
      <c r="EG149">
        <v>20.311800000000002</v>
      </c>
      <c r="EH149">
        <v>1800.06</v>
      </c>
      <c r="EI149">
        <v>0.97800200000000004</v>
      </c>
      <c r="EJ149">
        <v>2.1997599999999999E-2</v>
      </c>
      <c r="EK149">
        <v>0</v>
      </c>
      <c r="EL149">
        <v>739.67399999999998</v>
      </c>
      <c r="EM149">
        <v>5.0005300000000004</v>
      </c>
      <c r="EN149">
        <v>16674.599999999999</v>
      </c>
      <c r="EO149">
        <v>16035.8</v>
      </c>
      <c r="EP149">
        <v>48.25</v>
      </c>
      <c r="EQ149">
        <v>49.125</v>
      </c>
      <c r="ER149">
        <v>48.75</v>
      </c>
      <c r="ES149">
        <v>48.561999999999998</v>
      </c>
      <c r="ET149">
        <v>49.375</v>
      </c>
      <c r="EU149">
        <v>1755.57</v>
      </c>
      <c r="EV149">
        <v>39.49</v>
      </c>
      <c r="EW149">
        <v>0</v>
      </c>
      <c r="EX149">
        <v>110.6000001430511</v>
      </c>
      <c r="EY149">
        <v>0</v>
      </c>
      <c r="EZ149">
        <v>739.99187999999992</v>
      </c>
      <c r="FA149">
        <v>-5.9697692077767073</v>
      </c>
      <c r="FB149">
        <v>-236.24615370229569</v>
      </c>
      <c r="FC149">
        <v>16700.88</v>
      </c>
      <c r="FD149">
        <v>15</v>
      </c>
      <c r="FE149">
        <v>1689027564.0999999</v>
      </c>
      <c r="FF149" t="s">
        <v>1094</v>
      </c>
      <c r="FG149">
        <v>1689027564.0999999</v>
      </c>
      <c r="FH149">
        <v>1689027562.0999999</v>
      </c>
      <c r="FI149">
        <v>145</v>
      </c>
      <c r="FJ149">
        <v>1.4E-2</v>
      </c>
      <c r="FK149">
        <v>0</v>
      </c>
      <c r="FL149">
        <v>-0.109</v>
      </c>
      <c r="FM149">
        <v>4.3999999999999997E-2</v>
      </c>
      <c r="FN149">
        <v>900</v>
      </c>
      <c r="FO149">
        <v>23</v>
      </c>
      <c r="FP149">
        <v>0.05</v>
      </c>
      <c r="FQ149">
        <v>0.01</v>
      </c>
      <c r="FR149">
        <v>48.541385174287292</v>
      </c>
      <c r="FS149">
        <v>-0.48635315267607282</v>
      </c>
      <c r="FT149">
        <v>7.1578094245160442E-2</v>
      </c>
      <c r="FU149">
        <v>1</v>
      </c>
      <c r="FV149">
        <v>0.23258542749788419</v>
      </c>
      <c r="FW149">
        <v>-5.327463311736942E-3</v>
      </c>
      <c r="FX149">
        <v>9.1992873580822726E-4</v>
      </c>
      <c r="FY149">
        <v>1</v>
      </c>
      <c r="FZ149">
        <v>2</v>
      </c>
      <c r="GA149">
        <v>2</v>
      </c>
      <c r="GB149" t="s">
        <v>424</v>
      </c>
      <c r="GC149">
        <v>3.12418</v>
      </c>
      <c r="GD149">
        <v>2.7671000000000001</v>
      </c>
      <c r="GE149">
        <v>0.149343</v>
      </c>
      <c r="GF149">
        <v>0.156331</v>
      </c>
      <c r="GG149">
        <v>0.11919100000000001</v>
      </c>
      <c r="GH149">
        <v>0.10738</v>
      </c>
      <c r="GI149">
        <v>20288.2</v>
      </c>
      <c r="GJ149">
        <v>20880.5</v>
      </c>
      <c r="GK149">
        <v>23716.7</v>
      </c>
      <c r="GL149">
        <v>25067.599999999999</v>
      </c>
      <c r="GM149">
        <v>30107.3</v>
      </c>
      <c r="GN149">
        <v>31393.9</v>
      </c>
      <c r="GO149">
        <v>37806.400000000001</v>
      </c>
      <c r="GP149">
        <v>39014.300000000003</v>
      </c>
      <c r="GQ149">
        <v>2.12812</v>
      </c>
      <c r="GR149">
        <v>1.7118500000000001</v>
      </c>
      <c r="GS149">
        <v>2.15359E-2</v>
      </c>
      <c r="GT149">
        <v>0</v>
      </c>
      <c r="GU149">
        <v>29.672599999999999</v>
      </c>
      <c r="GV149">
        <v>999.9</v>
      </c>
      <c r="GW149">
        <v>28.8</v>
      </c>
      <c r="GX149">
        <v>44.7</v>
      </c>
      <c r="GY149">
        <v>27.630299999999998</v>
      </c>
      <c r="GZ149">
        <v>60.927100000000003</v>
      </c>
      <c r="HA149">
        <v>27.399799999999999</v>
      </c>
      <c r="HB149">
        <v>1</v>
      </c>
      <c r="HC149">
        <v>0.67230999999999996</v>
      </c>
      <c r="HD149">
        <v>2.9280499999999998</v>
      </c>
      <c r="HE149">
        <v>20.2944</v>
      </c>
      <c r="HF149">
        <v>5.2488900000000003</v>
      </c>
      <c r="HG149">
        <v>12.0099</v>
      </c>
      <c r="HH149">
        <v>4.9779</v>
      </c>
      <c r="HI149">
        <v>3.2925499999999999</v>
      </c>
      <c r="HJ149">
        <v>9999</v>
      </c>
      <c r="HK149">
        <v>9999</v>
      </c>
      <c r="HL149">
        <v>9999</v>
      </c>
      <c r="HM149">
        <v>239.1</v>
      </c>
      <c r="HN149">
        <v>1.87578</v>
      </c>
      <c r="HO149">
        <v>1.8768400000000001</v>
      </c>
      <c r="HP149">
        <v>1.88293</v>
      </c>
      <c r="HQ149">
        <v>1.8861399999999999</v>
      </c>
      <c r="HR149">
        <v>1.8769400000000001</v>
      </c>
      <c r="HS149">
        <v>1.8833899999999999</v>
      </c>
      <c r="HT149">
        <v>1.88232</v>
      </c>
      <c r="HU149">
        <v>1.8858200000000001</v>
      </c>
      <c r="HV149">
        <v>0</v>
      </c>
      <c r="HW149">
        <v>0</v>
      </c>
      <c r="HX149">
        <v>0</v>
      </c>
      <c r="HY149">
        <v>0</v>
      </c>
      <c r="HZ149" t="s">
        <v>425</v>
      </c>
      <c r="IA149" t="s">
        <v>426</v>
      </c>
      <c r="IB149" t="s">
        <v>427</v>
      </c>
      <c r="IC149" t="s">
        <v>427</v>
      </c>
      <c r="ID149" t="s">
        <v>427</v>
      </c>
      <c r="IE149" t="s">
        <v>427</v>
      </c>
      <c r="IF149">
        <v>0</v>
      </c>
      <c r="IG149">
        <v>100</v>
      </c>
      <c r="IH149">
        <v>100</v>
      </c>
      <c r="II149">
        <v>-0.115</v>
      </c>
      <c r="IJ149">
        <v>5.1400000000000001E-2</v>
      </c>
      <c r="IK149">
        <v>-5.1158158218662417E-2</v>
      </c>
      <c r="IL149">
        <v>-4.2852564239613137E-4</v>
      </c>
      <c r="IM149">
        <v>6.4980710991155998E-7</v>
      </c>
      <c r="IN149">
        <v>-2.7237938963984961E-10</v>
      </c>
      <c r="IO149">
        <v>-6.8703069925683449E-3</v>
      </c>
      <c r="IP149">
        <v>6.6907473102813496E-3</v>
      </c>
      <c r="IQ149">
        <v>-3.3673306238274028E-4</v>
      </c>
      <c r="IR149">
        <v>6.1311374003140313E-6</v>
      </c>
      <c r="IS149">
        <v>3</v>
      </c>
      <c r="IT149">
        <v>2101</v>
      </c>
      <c r="IU149">
        <v>1</v>
      </c>
      <c r="IV149">
        <v>32</v>
      </c>
      <c r="IW149">
        <v>0.5</v>
      </c>
      <c r="IX149">
        <v>0.6</v>
      </c>
      <c r="IY149">
        <v>1.96289</v>
      </c>
      <c r="IZ149">
        <v>2.7172900000000002</v>
      </c>
      <c r="JA149">
        <v>1.6015600000000001</v>
      </c>
      <c r="JB149">
        <v>2.3278799999999999</v>
      </c>
      <c r="JC149">
        <v>1.5502899999999999</v>
      </c>
      <c r="JD149">
        <v>2.3571800000000001</v>
      </c>
      <c r="JE149">
        <v>47.122900000000001</v>
      </c>
      <c r="JF149">
        <v>24.157499999999999</v>
      </c>
      <c r="JG149">
        <v>18</v>
      </c>
      <c r="JH149">
        <v>596.97900000000004</v>
      </c>
      <c r="JI149">
        <v>379.53500000000003</v>
      </c>
      <c r="JJ149">
        <v>26.9085</v>
      </c>
      <c r="JK149">
        <v>35.386000000000003</v>
      </c>
      <c r="JL149">
        <v>30.0002</v>
      </c>
      <c r="JM149">
        <v>35.584000000000003</v>
      </c>
      <c r="JN149">
        <v>35.5886</v>
      </c>
      <c r="JO149">
        <v>39.273600000000002</v>
      </c>
      <c r="JP149">
        <v>13.3817</v>
      </c>
      <c r="JQ149">
        <v>9.1531000000000002</v>
      </c>
      <c r="JR149">
        <v>26.886299999999999</v>
      </c>
      <c r="JS149">
        <v>900</v>
      </c>
      <c r="JT149">
        <v>23.964200000000002</v>
      </c>
      <c r="JU149">
        <v>98.607699999999994</v>
      </c>
      <c r="JV149">
        <v>98.729500000000002</v>
      </c>
    </row>
    <row r="150" spans="1:282" x14ac:dyDescent="0.25">
      <c r="A150">
        <v>134</v>
      </c>
      <c r="B150">
        <v>1689027695.5999999</v>
      </c>
      <c r="C150">
        <v>27873</v>
      </c>
      <c r="D150" t="s">
        <v>1095</v>
      </c>
      <c r="E150" t="s">
        <v>1096</v>
      </c>
      <c r="F150" t="s">
        <v>414</v>
      </c>
      <c r="G150" t="s">
        <v>415</v>
      </c>
      <c r="H150" t="s">
        <v>577</v>
      </c>
      <c r="I150" t="s">
        <v>655</v>
      </c>
      <c r="J150" t="s">
        <v>418</v>
      </c>
      <c r="K150">
        <v>1689027695.5999999</v>
      </c>
      <c r="L150">
        <f t="shared" si="184"/>
        <v>2.8491522412302565E-3</v>
      </c>
      <c r="M150">
        <f t="shared" si="185"/>
        <v>2.8491522412302563</v>
      </c>
      <c r="N150">
        <f t="shared" si="186"/>
        <v>47.718116098051006</v>
      </c>
      <c r="O150">
        <f t="shared" si="187"/>
        <v>1138.883</v>
      </c>
      <c r="P150">
        <f t="shared" si="188"/>
        <v>697.93528616786284</v>
      </c>
      <c r="Q150">
        <f t="shared" si="189"/>
        <v>69.108181989375026</v>
      </c>
      <c r="R150">
        <f t="shared" si="190"/>
        <v>112.769959032671</v>
      </c>
      <c r="S150">
        <f t="shared" si="191"/>
        <v>0.18826166822965548</v>
      </c>
      <c r="T150">
        <f t="shared" si="192"/>
        <v>2.9037112901301163</v>
      </c>
      <c r="U150">
        <f t="shared" si="193"/>
        <v>0.18173405832119807</v>
      </c>
      <c r="V150">
        <f t="shared" si="194"/>
        <v>0.11415141067178031</v>
      </c>
      <c r="W150">
        <f t="shared" si="195"/>
        <v>289.52337832666052</v>
      </c>
      <c r="X150">
        <f t="shared" si="196"/>
        <v>31.040223737010471</v>
      </c>
      <c r="Y150">
        <f t="shared" si="197"/>
        <v>30.036000000000001</v>
      </c>
      <c r="Z150">
        <f t="shared" si="198"/>
        <v>4.269267517256119</v>
      </c>
      <c r="AA150">
        <f t="shared" si="199"/>
        <v>64.812671038458816</v>
      </c>
      <c r="AB150">
        <f t="shared" si="200"/>
        <v>2.7720990620482997</v>
      </c>
      <c r="AC150">
        <f t="shared" si="201"/>
        <v>4.2770943052221684</v>
      </c>
      <c r="AD150">
        <f t="shared" si="202"/>
        <v>1.4971684552078193</v>
      </c>
      <c r="AE150">
        <f t="shared" si="203"/>
        <v>-125.64761383825432</v>
      </c>
      <c r="AF150">
        <f t="shared" si="204"/>
        <v>4.9937817700445262</v>
      </c>
      <c r="AG150">
        <f t="shared" si="205"/>
        <v>0.38259437792945167</v>
      </c>
      <c r="AH150">
        <f t="shared" si="206"/>
        <v>169.25214063638023</v>
      </c>
      <c r="AI150">
        <v>0</v>
      </c>
      <c r="AJ150">
        <v>0</v>
      </c>
      <c r="AK150">
        <f t="shared" si="207"/>
        <v>1</v>
      </c>
      <c r="AL150">
        <f t="shared" si="208"/>
        <v>0</v>
      </c>
      <c r="AM150">
        <f t="shared" si="209"/>
        <v>51582.870862946162</v>
      </c>
      <c r="AN150" t="s">
        <v>419</v>
      </c>
      <c r="AO150">
        <v>9967.0300000000007</v>
      </c>
      <c r="AP150">
        <v>178.94153846153841</v>
      </c>
      <c r="AQ150">
        <v>603.15</v>
      </c>
      <c r="AR150">
        <f t="shared" si="210"/>
        <v>0.7033216638290003</v>
      </c>
      <c r="AS150">
        <v>-3.2649104154664181</v>
      </c>
      <c r="AT150" t="s">
        <v>1097</v>
      </c>
      <c r="AU150">
        <v>8059.59</v>
      </c>
      <c r="AV150">
        <v>734.28084000000001</v>
      </c>
      <c r="AW150">
        <v>1190.9904224720181</v>
      </c>
      <c r="AX150">
        <f t="shared" si="211"/>
        <v>0.3834704073640427</v>
      </c>
      <c r="AY150">
        <v>0.5</v>
      </c>
      <c r="AZ150">
        <f t="shared" si="212"/>
        <v>1512.9578996511195</v>
      </c>
      <c r="BA150">
        <f t="shared" si="213"/>
        <v>47.718116098051006</v>
      </c>
      <c r="BB150">
        <f t="shared" si="214"/>
        <v>290.08729105193061</v>
      </c>
      <c r="BC150">
        <f t="shared" si="215"/>
        <v>3.3697584397605417E-2</v>
      </c>
      <c r="BD150">
        <f t="shared" si="216"/>
        <v>-0.4935727537186213</v>
      </c>
      <c r="BE150">
        <f t="shared" si="217"/>
        <v>209.63954886056905</v>
      </c>
      <c r="BF150" t="s">
        <v>1098</v>
      </c>
      <c r="BG150">
        <v>572.9</v>
      </c>
      <c r="BH150">
        <f t="shared" si="218"/>
        <v>572.9</v>
      </c>
      <c r="BI150">
        <f t="shared" si="219"/>
        <v>0.51897178248428766</v>
      </c>
      <c r="BJ150">
        <f t="shared" si="220"/>
        <v>0.73890415684720301</v>
      </c>
      <c r="BK150">
        <f t="shared" si="221"/>
        <v>-19.432741238744399</v>
      </c>
      <c r="BL150">
        <f t="shared" si="222"/>
        <v>0.4512722554094421</v>
      </c>
      <c r="BM150">
        <f t="shared" si="223"/>
        <v>-1.3857347878920623</v>
      </c>
      <c r="BN150">
        <f t="shared" si="224"/>
        <v>0.57650720051167692</v>
      </c>
      <c r="BO150">
        <f t="shared" si="225"/>
        <v>0.42349279948832308</v>
      </c>
      <c r="BP150">
        <v>6303</v>
      </c>
      <c r="BQ150">
        <v>290.00000000000011</v>
      </c>
      <c r="BR150">
        <v>1027.21</v>
      </c>
      <c r="BS150">
        <v>265</v>
      </c>
      <c r="BT150">
        <v>8059.59</v>
      </c>
      <c r="BU150">
        <v>1029.57</v>
      </c>
      <c r="BV150">
        <v>-2.36</v>
      </c>
      <c r="BW150">
        <v>300.00000000000011</v>
      </c>
      <c r="BX150">
        <v>19.3</v>
      </c>
      <c r="BY150">
        <v>1190.9904224720181</v>
      </c>
      <c r="BZ150">
        <v>4.5170567558524892</v>
      </c>
      <c r="CA150">
        <v>-130.09580208895099</v>
      </c>
      <c r="CB150">
        <v>3.3439282277143851</v>
      </c>
      <c r="CC150">
        <v>0.98183711615052527</v>
      </c>
      <c r="CD150">
        <v>-4.1586840934371566E-3</v>
      </c>
      <c r="CE150">
        <v>289.99999999999989</v>
      </c>
      <c r="CF150">
        <v>1020.22</v>
      </c>
      <c r="CG150">
        <v>625</v>
      </c>
      <c r="CH150">
        <v>8049.94</v>
      </c>
      <c r="CI150">
        <v>1029.3800000000001</v>
      </c>
      <c r="CJ150">
        <v>-9.16</v>
      </c>
      <c r="CX150">
        <f t="shared" si="226"/>
        <v>1799.73</v>
      </c>
      <c r="CY150">
        <f t="shared" si="227"/>
        <v>1512.9578996511195</v>
      </c>
      <c r="CZ150">
        <f t="shared" si="228"/>
        <v>0.8406582652126261</v>
      </c>
      <c r="DA150">
        <f t="shared" si="229"/>
        <v>0.16087045186036825</v>
      </c>
      <c r="DB150">
        <v>6</v>
      </c>
      <c r="DC150">
        <v>0.5</v>
      </c>
      <c r="DD150" t="s">
        <v>422</v>
      </c>
      <c r="DE150">
        <v>2</v>
      </c>
      <c r="DF150">
        <v>1689027695.5999999</v>
      </c>
      <c r="DG150">
        <v>1138.883</v>
      </c>
      <c r="DH150">
        <v>1200.03</v>
      </c>
      <c r="DI150">
        <v>27.995899999999999</v>
      </c>
      <c r="DJ150">
        <v>24.673100000000002</v>
      </c>
      <c r="DK150">
        <v>1138.75</v>
      </c>
      <c r="DL150">
        <v>27.954899999999999</v>
      </c>
      <c r="DM150">
        <v>500.07</v>
      </c>
      <c r="DN150">
        <v>98.917699999999996</v>
      </c>
      <c r="DO150">
        <v>0.100337</v>
      </c>
      <c r="DP150">
        <v>30.067900000000002</v>
      </c>
      <c r="DQ150">
        <v>30.036000000000001</v>
      </c>
      <c r="DR150">
        <v>999.9</v>
      </c>
      <c r="DS150">
        <v>0</v>
      </c>
      <c r="DT150">
        <v>0</v>
      </c>
      <c r="DU150">
        <v>9961.25</v>
      </c>
      <c r="DV150">
        <v>0</v>
      </c>
      <c r="DW150">
        <v>766.48599999999999</v>
      </c>
      <c r="DX150">
        <v>-61.383899999999997</v>
      </c>
      <c r="DY150">
        <v>1171.46</v>
      </c>
      <c r="DZ150">
        <v>1230.3900000000001</v>
      </c>
      <c r="EA150">
        <v>3.33283</v>
      </c>
      <c r="EB150">
        <v>1200.03</v>
      </c>
      <c r="EC150">
        <v>24.673100000000002</v>
      </c>
      <c r="ED150">
        <v>2.7702800000000001</v>
      </c>
      <c r="EE150">
        <v>2.4405999999999999</v>
      </c>
      <c r="EF150">
        <v>22.708100000000002</v>
      </c>
      <c r="EG150">
        <v>20.6357</v>
      </c>
      <c r="EH150">
        <v>1799.73</v>
      </c>
      <c r="EI150">
        <v>0.97799899999999995</v>
      </c>
      <c r="EJ150">
        <v>2.2001199999999999E-2</v>
      </c>
      <c r="EK150">
        <v>0</v>
      </c>
      <c r="EL150">
        <v>733.72900000000004</v>
      </c>
      <c r="EM150">
        <v>5.0005300000000004</v>
      </c>
      <c r="EN150">
        <v>16533.7</v>
      </c>
      <c r="EO150">
        <v>16032.9</v>
      </c>
      <c r="EP150">
        <v>48.186999999999998</v>
      </c>
      <c r="EQ150">
        <v>49.061999999999998</v>
      </c>
      <c r="ER150">
        <v>48.75</v>
      </c>
      <c r="ES150">
        <v>48.436999999999998</v>
      </c>
      <c r="ET150">
        <v>49.311999999999998</v>
      </c>
      <c r="EU150">
        <v>1755.24</v>
      </c>
      <c r="EV150">
        <v>39.49</v>
      </c>
      <c r="EW150">
        <v>0</v>
      </c>
      <c r="EX150">
        <v>97.400000095367432</v>
      </c>
      <c r="EY150">
        <v>0</v>
      </c>
      <c r="EZ150">
        <v>734.28084000000001</v>
      </c>
      <c r="FA150">
        <v>-6.3454615270179486</v>
      </c>
      <c r="FB150">
        <v>-209.0999998801407</v>
      </c>
      <c r="FC150">
        <v>16564.22</v>
      </c>
      <c r="FD150">
        <v>15</v>
      </c>
      <c r="FE150">
        <v>1689027719.5999999</v>
      </c>
      <c r="FF150" t="s">
        <v>1099</v>
      </c>
      <c r="FG150">
        <v>1689027719.5999999</v>
      </c>
      <c r="FH150">
        <v>1689027717.5999999</v>
      </c>
      <c r="FI150">
        <v>146</v>
      </c>
      <c r="FJ150">
        <v>0.23300000000000001</v>
      </c>
      <c r="FK150">
        <v>-5.0000000000000001E-3</v>
      </c>
      <c r="FL150">
        <v>0.13300000000000001</v>
      </c>
      <c r="FM150">
        <v>4.1000000000000002E-2</v>
      </c>
      <c r="FN150">
        <v>1200</v>
      </c>
      <c r="FO150">
        <v>25</v>
      </c>
      <c r="FP150">
        <v>0.1</v>
      </c>
      <c r="FQ150">
        <v>0.03</v>
      </c>
      <c r="FR150">
        <v>47.974625685102879</v>
      </c>
      <c r="FS150">
        <v>-0.47921612079269121</v>
      </c>
      <c r="FT150">
        <v>7.7182148112072482E-2</v>
      </c>
      <c r="FU150">
        <v>1</v>
      </c>
      <c r="FV150">
        <v>0.19079250770148889</v>
      </c>
      <c r="FW150">
        <v>-1.3433199462106729E-2</v>
      </c>
      <c r="FX150">
        <v>1.104997231831561E-3</v>
      </c>
      <c r="FY150">
        <v>1</v>
      </c>
      <c r="FZ150">
        <v>2</v>
      </c>
      <c r="GA150">
        <v>2</v>
      </c>
      <c r="GB150" t="s">
        <v>424</v>
      </c>
      <c r="GC150">
        <v>3.1240800000000002</v>
      </c>
      <c r="GD150">
        <v>2.7673000000000001</v>
      </c>
      <c r="GE150">
        <v>0.18174699999999999</v>
      </c>
      <c r="GF150">
        <v>0.18762200000000001</v>
      </c>
      <c r="GG150">
        <v>0.118644</v>
      </c>
      <c r="GH150">
        <v>0.10891099999999999</v>
      </c>
      <c r="GI150">
        <v>19515.8</v>
      </c>
      <c r="GJ150">
        <v>20106.2</v>
      </c>
      <c r="GK150">
        <v>23719.4</v>
      </c>
      <c r="GL150">
        <v>25070.3</v>
      </c>
      <c r="GM150">
        <v>30129</v>
      </c>
      <c r="GN150">
        <v>31342.799999999999</v>
      </c>
      <c r="GO150">
        <v>37810.199999999997</v>
      </c>
      <c r="GP150">
        <v>39017.800000000003</v>
      </c>
      <c r="GQ150">
        <v>2.12845</v>
      </c>
      <c r="GR150">
        <v>1.7148000000000001</v>
      </c>
      <c r="GS150">
        <v>1.7084200000000001E-2</v>
      </c>
      <c r="GT150">
        <v>0</v>
      </c>
      <c r="GU150">
        <v>29.757899999999999</v>
      </c>
      <c r="GV150">
        <v>999.9</v>
      </c>
      <c r="GW150">
        <v>29.6</v>
      </c>
      <c r="GX150">
        <v>44.7</v>
      </c>
      <c r="GY150">
        <v>28.400600000000001</v>
      </c>
      <c r="GZ150">
        <v>61.137099999999997</v>
      </c>
      <c r="HA150">
        <v>27.524000000000001</v>
      </c>
      <c r="HB150">
        <v>1</v>
      </c>
      <c r="HC150">
        <v>0.671875</v>
      </c>
      <c r="HD150">
        <v>3.72058</v>
      </c>
      <c r="HE150">
        <v>20.279</v>
      </c>
      <c r="HF150">
        <v>5.2515799999999997</v>
      </c>
      <c r="HG150">
        <v>12.0099</v>
      </c>
      <c r="HH150">
        <v>4.9789500000000002</v>
      </c>
      <c r="HI150">
        <v>3.2930000000000001</v>
      </c>
      <c r="HJ150">
        <v>9999</v>
      </c>
      <c r="HK150">
        <v>9999</v>
      </c>
      <c r="HL150">
        <v>9999</v>
      </c>
      <c r="HM150">
        <v>239.1</v>
      </c>
      <c r="HN150">
        <v>1.87584</v>
      </c>
      <c r="HO150">
        <v>1.8768400000000001</v>
      </c>
      <c r="HP150">
        <v>1.88296</v>
      </c>
      <c r="HQ150">
        <v>1.8861399999999999</v>
      </c>
      <c r="HR150">
        <v>1.8769800000000001</v>
      </c>
      <c r="HS150">
        <v>1.8833899999999999</v>
      </c>
      <c r="HT150">
        <v>1.8823399999999999</v>
      </c>
      <c r="HU150">
        <v>1.8858299999999999</v>
      </c>
      <c r="HV150">
        <v>0</v>
      </c>
      <c r="HW150">
        <v>0</v>
      </c>
      <c r="HX150">
        <v>0</v>
      </c>
      <c r="HY150">
        <v>0</v>
      </c>
      <c r="HZ150" t="s">
        <v>425</v>
      </c>
      <c r="IA150" t="s">
        <v>426</v>
      </c>
      <c r="IB150" t="s">
        <v>427</v>
      </c>
      <c r="IC150" t="s">
        <v>427</v>
      </c>
      <c r="ID150" t="s">
        <v>427</v>
      </c>
      <c r="IE150" t="s">
        <v>427</v>
      </c>
      <c r="IF150">
        <v>0</v>
      </c>
      <c r="IG150">
        <v>100</v>
      </c>
      <c r="IH150">
        <v>100</v>
      </c>
      <c r="II150">
        <v>0.13300000000000001</v>
      </c>
      <c r="IJ150">
        <v>4.1000000000000002E-2</v>
      </c>
      <c r="IK150">
        <v>-5.1158158218662417E-2</v>
      </c>
      <c r="IL150">
        <v>-4.2852564239613137E-4</v>
      </c>
      <c r="IM150">
        <v>6.4980710991155998E-7</v>
      </c>
      <c r="IN150">
        <v>-2.7237938963984961E-10</v>
      </c>
      <c r="IO150">
        <v>-6.8703069925683449E-3</v>
      </c>
      <c r="IP150">
        <v>6.6907473102813496E-3</v>
      </c>
      <c r="IQ150">
        <v>-3.3673306238274028E-4</v>
      </c>
      <c r="IR150">
        <v>6.1311374003140313E-6</v>
      </c>
      <c r="IS150">
        <v>3</v>
      </c>
      <c r="IT150">
        <v>2101</v>
      </c>
      <c r="IU150">
        <v>1</v>
      </c>
      <c r="IV150">
        <v>32</v>
      </c>
      <c r="IW150">
        <v>2.2000000000000002</v>
      </c>
      <c r="IX150">
        <v>2.2000000000000002</v>
      </c>
      <c r="IY150">
        <v>2.4853499999999999</v>
      </c>
      <c r="IZ150">
        <v>2.7075200000000001</v>
      </c>
      <c r="JA150">
        <v>1.6015600000000001</v>
      </c>
      <c r="JB150">
        <v>2.32666</v>
      </c>
      <c r="JC150">
        <v>1.5502899999999999</v>
      </c>
      <c r="JD150">
        <v>2.4230999999999998</v>
      </c>
      <c r="JE150">
        <v>47.033700000000003</v>
      </c>
      <c r="JF150">
        <v>24.157499999999999</v>
      </c>
      <c r="JG150">
        <v>18</v>
      </c>
      <c r="JH150">
        <v>596.74599999999998</v>
      </c>
      <c r="JI150">
        <v>381.06099999999998</v>
      </c>
      <c r="JJ150">
        <v>26.316199999999998</v>
      </c>
      <c r="JK150">
        <v>35.331499999999998</v>
      </c>
      <c r="JL150">
        <v>30.0001</v>
      </c>
      <c r="JM150">
        <v>35.531100000000002</v>
      </c>
      <c r="JN150">
        <v>35.5411</v>
      </c>
      <c r="JO150">
        <v>49.738999999999997</v>
      </c>
      <c r="JP150">
        <v>14.6272</v>
      </c>
      <c r="JQ150">
        <v>12.9557</v>
      </c>
      <c r="JR150">
        <v>26.294</v>
      </c>
      <c r="JS150">
        <v>1200</v>
      </c>
      <c r="JT150">
        <v>24.688800000000001</v>
      </c>
      <c r="JU150">
        <v>98.617999999999995</v>
      </c>
      <c r="JV150">
        <v>98.739000000000004</v>
      </c>
    </row>
    <row r="151" spans="1:282" x14ac:dyDescent="0.25">
      <c r="A151">
        <v>135</v>
      </c>
      <c r="B151">
        <v>1689027823.0999999</v>
      </c>
      <c r="C151">
        <v>28000.5</v>
      </c>
      <c r="D151" t="s">
        <v>1100</v>
      </c>
      <c r="E151" t="s">
        <v>1101</v>
      </c>
      <c r="F151" t="s">
        <v>414</v>
      </c>
      <c r="G151" t="s">
        <v>415</v>
      </c>
      <c r="H151" t="s">
        <v>577</v>
      </c>
      <c r="I151" t="s">
        <v>655</v>
      </c>
      <c r="J151" t="s">
        <v>418</v>
      </c>
      <c r="K151">
        <v>1689027823.0999999</v>
      </c>
      <c r="L151">
        <f t="shared" si="184"/>
        <v>2.3811766068933325E-3</v>
      </c>
      <c r="M151">
        <f t="shared" si="185"/>
        <v>2.3811766068933324</v>
      </c>
      <c r="N151">
        <f t="shared" si="186"/>
        <v>46.339987128167813</v>
      </c>
      <c r="O151">
        <f t="shared" si="187"/>
        <v>1440.46</v>
      </c>
      <c r="P151">
        <f t="shared" si="188"/>
        <v>923.75144803391629</v>
      </c>
      <c r="Q151">
        <f t="shared" si="189"/>
        <v>91.469539621178043</v>
      </c>
      <c r="R151">
        <f t="shared" si="190"/>
        <v>142.63383654028601</v>
      </c>
      <c r="S151">
        <f t="shared" si="191"/>
        <v>0.15607131085723017</v>
      </c>
      <c r="T151">
        <f t="shared" si="192"/>
        <v>2.9199219290520899</v>
      </c>
      <c r="U151">
        <f t="shared" si="193"/>
        <v>0.15158061074019752</v>
      </c>
      <c r="V151">
        <f t="shared" si="194"/>
        <v>9.5130590422854447E-2</v>
      </c>
      <c r="W151">
        <f t="shared" si="195"/>
        <v>289.56327832675402</v>
      </c>
      <c r="X151">
        <f t="shared" si="196"/>
        <v>31.004178406180625</v>
      </c>
      <c r="Y151">
        <f t="shared" si="197"/>
        <v>29.988</v>
      </c>
      <c r="Z151">
        <f t="shared" si="198"/>
        <v>4.2575140533627343</v>
      </c>
      <c r="AA151">
        <f t="shared" si="199"/>
        <v>65.032076142606002</v>
      </c>
      <c r="AB151">
        <f t="shared" si="200"/>
        <v>2.7571128722848104</v>
      </c>
      <c r="AC151">
        <f t="shared" si="201"/>
        <v>4.2396199472993263</v>
      </c>
      <c r="AD151">
        <f t="shared" si="202"/>
        <v>1.5004011810779239</v>
      </c>
      <c r="AE151">
        <f t="shared" si="203"/>
        <v>-105.00988836399597</v>
      </c>
      <c r="AF151">
        <f t="shared" si="204"/>
        <v>-11.538800315162778</v>
      </c>
      <c r="AG151">
        <f t="shared" si="205"/>
        <v>-0.87825232573855627</v>
      </c>
      <c r="AH151">
        <f t="shared" si="206"/>
        <v>172.1363373218567</v>
      </c>
      <c r="AI151">
        <v>0</v>
      </c>
      <c r="AJ151">
        <v>0</v>
      </c>
      <c r="AK151">
        <f t="shared" si="207"/>
        <v>1</v>
      </c>
      <c r="AL151">
        <f t="shared" si="208"/>
        <v>0</v>
      </c>
      <c r="AM151">
        <f t="shared" si="209"/>
        <v>52069.897360172974</v>
      </c>
      <c r="AN151" t="s">
        <v>419</v>
      </c>
      <c r="AO151">
        <v>9967.0300000000007</v>
      </c>
      <c r="AP151">
        <v>178.94153846153841</v>
      </c>
      <c r="AQ151">
        <v>603.15</v>
      </c>
      <c r="AR151">
        <f t="shared" si="210"/>
        <v>0.7033216638290003</v>
      </c>
      <c r="AS151">
        <v>-3.2649104154664181</v>
      </c>
      <c r="AT151" t="s">
        <v>1102</v>
      </c>
      <c r="AU151">
        <v>8057.96</v>
      </c>
      <c r="AV151">
        <v>724.49365384615385</v>
      </c>
      <c r="AW151">
        <v>1170.6806860269221</v>
      </c>
      <c r="AX151">
        <f t="shared" si="211"/>
        <v>0.38113470009917572</v>
      </c>
      <c r="AY151">
        <v>0.5</v>
      </c>
      <c r="AZ151">
        <f t="shared" si="212"/>
        <v>1513.167899651168</v>
      </c>
      <c r="BA151">
        <f t="shared" si="213"/>
        <v>46.339987128167813</v>
      </c>
      <c r="BB151">
        <f t="shared" si="214"/>
        <v>288.36039681662379</v>
      </c>
      <c r="BC151">
        <f t="shared" si="215"/>
        <v>3.2782150318592995E-2</v>
      </c>
      <c r="BD151">
        <f t="shared" si="216"/>
        <v>-0.48478692166095122</v>
      </c>
      <c r="BE151">
        <f t="shared" si="217"/>
        <v>209.0013150600864</v>
      </c>
      <c r="BF151" t="s">
        <v>1103</v>
      </c>
      <c r="BG151">
        <v>566.96</v>
      </c>
      <c r="BH151">
        <f t="shared" si="218"/>
        <v>566.96</v>
      </c>
      <c r="BI151">
        <f t="shared" si="219"/>
        <v>0.51570056056518754</v>
      </c>
      <c r="BJ151">
        <f t="shared" si="220"/>
        <v>0.73906202405804455</v>
      </c>
      <c r="BK151">
        <f t="shared" si="221"/>
        <v>-15.681975297787318</v>
      </c>
      <c r="BL151">
        <f t="shared" si="222"/>
        <v>0.44990361959201763</v>
      </c>
      <c r="BM151">
        <f t="shared" si="223"/>
        <v>-1.3378580049268207</v>
      </c>
      <c r="BN151">
        <f t="shared" si="224"/>
        <v>0.57836062874462046</v>
      </c>
      <c r="BO151">
        <f t="shared" si="225"/>
        <v>0.42163937125537954</v>
      </c>
      <c r="BP151">
        <v>6305</v>
      </c>
      <c r="BQ151">
        <v>290.00000000000011</v>
      </c>
      <c r="BR151">
        <v>1011.81</v>
      </c>
      <c r="BS151">
        <v>285</v>
      </c>
      <c r="BT151">
        <v>8057.96</v>
      </c>
      <c r="BU151">
        <v>1013.41</v>
      </c>
      <c r="BV151">
        <v>-1.6</v>
      </c>
      <c r="BW151">
        <v>300.00000000000011</v>
      </c>
      <c r="BX151">
        <v>19.3</v>
      </c>
      <c r="BY151">
        <v>1170.6806860269221</v>
      </c>
      <c r="BZ151">
        <v>3.583179043319471</v>
      </c>
      <c r="CA151">
        <v>-126.72733665561481</v>
      </c>
      <c r="CB151">
        <v>2.652468039886656</v>
      </c>
      <c r="CC151">
        <v>0.98788222438678164</v>
      </c>
      <c r="CD151">
        <v>-4.1584246941045568E-3</v>
      </c>
      <c r="CE151">
        <v>289.99999999999989</v>
      </c>
      <c r="CF151">
        <v>1004.76</v>
      </c>
      <c r="CG151">
        <v>635</v>
      </c>
      <c r="CH151">
        <v>8049.24</v>
      </c>
      <c r="CI151">
        <v>1013.24</v>
      </c>
      <c r="CJ151">
        <v>-8.48</v>
      </c>
      <c r="CX151">
        <f t="shared" si="226"/>
        <v>1799.98</v>
      </c>
      <c r="CY151">
        <f t="shared" si="227"/>
        <v>1513.167899651168</v>
      </c>
      <c r="CZ151">
        <f t="shared" si="228"/>
        <v>0.84065817378591312</v>
      </c>
      <c r="DA151">
        <f t="shared" si="229"/>
        <v>0.16087027540681231</v>
      </c>
      <c r="DB151">
        <v>6</v>
      </c>
      <c r="DC151">
        <v>0.5</v>
      </c>
      <c r="DD151" t="s">
        <v>422</v>
      </c>
      <c r="DE151">
        <v>2</v>
      </c>
      <c r="DF151">
        <v>1689027823.0999999</v>
      </c>
      <c r="DG151">
        <v>1440.46</v>
      </c>
      <c r="DH151">
        <v>1500.17</v>
      </c>
      <c r="DI151">
        <v>27.844100000000001</v>
      </c>
      <c r="DJ151">
        <v>25.0669</v>
      </c>
      <c r="DK151">
        <v>1440.27</v>
      </c>
      <c r="DL151">
        <v>27.7928</v>
      </c>
      <c r="DM151">
        <v>500.11700000000002</v>
      </c>
      <c r="DN151">
        <v>98.92</v>
      </c>
      <c r="DO151">
        <v>9.9644099999999999E-2</v>
      </c>
      <c r="DP151">
        <v>29.9147</v>
      </c>
      <c r="DQ151">
        <v>29.988</v>
      </c>
      <c r="DR151">
        <v>999.9</v>
      </c>
      <c r="DS151">
        <v>0</v>
      </c>
      <c r="DT151">
        <v>0</v>
      </c>
      <c r="DU151">
        <v>10053.799999999999</v>
      </c>
      <c r="DV151">
        <v>0</v>
      </c>
      <c r="DW151">
        <v>869.25400000000002</v>
      </c>
      <c r="DX151">
        <v>-59.7117</v>
      </c>
      <c r="DY151">
        <v>1481.72</v>
      </c>
      <c r="DZ151">
        <v>1538.74</v>
      </c>
      <c r="EA151">
        <v>2.7772000000000001</v>
      </c>
      <c r="EB151">
        <v>1500.17</v>
      </c>
      <c r="EC151">
        <v>25.0669</v>
      </c>
      <c r="ED151">
        <v>2.75434</v>
      </c>
      <c r="EE151">
        <v>2.4796100000000001</v>
      </c>
      <c r="EF151">
        <v>22.6129</v>
      </c>
      <c r="EG151">
        <v>20.8933</v>
      </c>
      <c r="EH151">
        <v>1799.98</v>
      </c>
      <c r="EI151">
        <v>0.97800200000000004</v>
      </c>
      <c r="EJ151">
        <v>2.1997599999999999E-2</v>
      </c>
      <c r="EK151">
        <v>0</v>
      </c>
      <c r="EL151">
        <v>723.97799999999995</v>
      </c>
      <c r="EM151">
        <v>5.0005300000000004</v>
      </c>
      <c r="EN151">
        <v>16326.4</v>
      </c>
      <c r="EO151">
        <v>16035.1</v>
      </c>
      <c r="EP151">
        <v>48.25</v>
      </c>
      <c r="EQ151">
        <v>49.186999999999998</v>
      </c>
      <c r="ER151">
        <v>48.811999999999998</v>
      </c>
      <c r="ES151">
        <v>48.561999999999998</v>
      </c>
      <c r="ET151">
        <v>49.375</v>
      </c>
      <c r="EU151">
        <v>1755.49</v>
      </c>
      <c r="EV151">
        <v>39.49</v>
      </c>
      <c r="EW151">
        <v>0</v>
      </c>
      <c r="EX151">
        <v>125.6000001430511</v>
      </c>
      <c r="EY151">
        <v>0</v>
      </c>
      <c r="EZ151">
        <v>724.49365384615385</v>
      </c>
      <c r="FA151">
        <v>-4.5805469983394733</v>
      </c>
      <c r="FB151">
        <v>-207.13845850193681</v>
      </c>
      <c r="FC151">
        <v>16336.4</v>
      </c>
      <c r="FD151">
        <v>15</v>
      </c>
      <c r="FE151">
        <v>1689027786.5999999</v>
      </c>
      <c r="FF151" t="s">
        <v>1104</v>
      </c>
      <c r="FG151">
        <v>1689027786.5999999</v>
      </c>
      <c r="FH151">
        <v>1689027784.5999999</v>
      </c>
      <c r="FI151">
        <v>147</v>
      </c>
      <c r="FJ151">
        <v>8.6999999999999994E-2</v>
      </c>
      <c r="FK151">
        <v>5.0000000000000001E-3</v>
      </c>
      <c r="FL151">
        <v>0.17</v>
      </c>
      <c r="FM151">
        <v>4.5999999999999999E-2</v>
      </c>
      <c r="FN151">
        <v>1500</v>
      </c>
      <c r="FO151">
        <v>25</v>
      </c>
      <c r="FP151">
        <v>0.06</v>
      </c>
      <c r="FQ151">
        <v>0.03</v>
      </c>
      <c r="FR151">
        <v>46.278601933766723</v>
      </c>
      <c r="FS151">
        <v>-0.4357693524595293</v>
      </c>
      <c r="FT151">
        <v>0.1099052497149474</v>
      </c>
      <c r="FU151">
        <v>1</v>
      </c>
      <c r="FV151">
        <v>0.15950016137078171</v>
      </c>
      <c r="FW151">
        <v>-2.3342124082371549E-2</v>
      </c>
      <c r="FX151">
        <v>1.7514870145972771E-3</v>
      </c>
      <c r="FY151">
        <v>1</v>
      </c>
      <c r="FZ151">
        <v>2</v>
      </c>
      <c r="GA151">
        <v>2</v>
      </c>
      <c r="GB151" t="s">
        <v>424</v>
      </c>
      <c r="GC151">
        <v>3.12425</v>
      </c>
      <c r="GD151">
        <v>2.7674099999999999</v>
      </c>
      <c r="GE151">
        <v>0.209865</v>
      </c>
      <c r="GF151">
        <v>0.214867</v>
      </c>
      <c r="GG151">
        <v>0.118171</v>
      </c>
      <c r="GH151">
        <v>0.110134</v>
      </c>
      <c r="GI151">
        <v>18842.2</v>
      </c>
      <c r="GJ151">
        <v>19428.900000000001</v>
      </c>
      <c r="GK151">
        <v>23718.799999999999</v>
      </c>
      <c r="GL151">
        <v>25069.9</v>
      </c>
      <c r="GM151">
        <v>30144.7</v>
      </c>
      <c r="GN151">
        <v>31299</v>
      </c>
      <c r="GO151">
        <v>37809.699999999997</v>
      </c>
      <c r="GP151">
        <v>39016.9</v>
      </c>
      <c r="GQ151">
        <v>2.1282000000000001</v>
      </c>
      <c r="GR151">
        <v>1.7157199999999999</v>
      </c>
      <c r="GS151">
        <v>9.4287099999999999E-3</v>
      </c>
      <c r="GT151">
        <v>0</v>
      </c>
      <c r="GU151">
        <v>29.834599999999998</v>
      </c>
      <c r="GV151">
        <v>999.9</v>
      </c>
      <c r="GW151">
        <v>30.4</v>
      </c>
      <c r="GX151">
        <v>44.6</v>
      </c>
      <c r="GY151">
        <v>29.015999999999998</v>
      </c>
      <c r="GZ151">
        <v>60.487099999999998</v>
      </c>
      <c r="HA151">
        <v>27.439900000000002</v>
      </c>
      <c r="HB151">
        <v>1</v>
      </c>
      <c r="HC151">
        <v>0.67038600000000004</v>
      </c>
      <c r="HD151">
        <v>3.3271700000000002</v>
      </c>
      <c r="HE151">
        <v>20.286999999999999</v>
      </c>
      <c r="HF151">
        <v>5.2502399999999998</v>
      </c>
      <c r="HG151">
        <v>12.0099</v>
      </c>
      <c r="HH151">
        <v>4.9789500000000002</v>
      </c>
      <c r="HI151">
        <v>3.2930000000000001</v>
      </c>
      <c r="HJ151">
        <v>9999</v>
      </c>
      <c r="HK151">
        <v>9999</v>
      </c>
      <c r="HL151">
        <v>9999</v>
      </c>
      <c r="HM151">
        <v>239.2</v>
      </c>
      <c r="HN151">
        <v>1.8757999999999999</v>
      </c>
      <c r="HO151">
        <v>1.8768400000000001</v>
      </c>
      <c r="HP151">
        <v>1.8829499999999999</v>
      </c>
      <c r="HQ151">
        <v>1.88615</v>
      </c>
      <c r="HR151">
        <v>1.87697</v>
      </c>
      <c r="HS151">
        <v>1.8833899999999999</v>
      </c>
      <c r="HT151">
        <v>1.8823300000000001</v>
      </c>
      <c r="HU151">
        <v>1.8858200000000001</v>
      </c>
      <c r="HV151">
        <v>0</v>
      </c>
      <c r="HW151">
        <v>0</v>
      </c>
      <c r="HX151">
        <v>0</v>
      </c>
      <c r="HY151">
        <v>0</v>
      </c>
      <c r="HZ151" t="s">
        <v>425</v>
      </c>
      <c r="IA151" t="s">
        <v>426</v>
      </c>
      <c r="IB151" t="s">
        <v>427</v>
      </c>
      <c r="IC151" t="s">
        <v>427</v>
      </c>
      <c r="ID151" t="s">
        <v>427</v>
      </c>
      <c r="IE151" t="s">
        <v>427</v>
      </c>
      <c r="IF151">
        <v>0</v>
      </c>
      <c r="IG151">
        <v>100</v>
      </c>
      <c r="IH151">
        <v>100</v>
      </c>
      <c r="II151">
        <v>0.19</v>
      </c>
      <c r="IJ151">
        <v>5.1299999999999998E-2</v>
      </c>
      <c r="IK151">
        <v>0.26995352331444039</v>
      </c>
      <c r="IL151">
        <v>-4.2852564239613137E-4</v>
      </c>
      <c r="IM151">
        <v>6.4980710991155998E-7</v>
      </c>
      <c r="IN151">
        <v>-2.7237938963984961E-10</v>
      </c>
      <c r="IO151">
        <v>-6.2439728863092608E-3</v>
      </c>
      <c r="IP151">
        <v>6.6907473102813496E-3</v>
      </c>
      <c r="IQ151">
        <v>-3.3673306238274028E-4</v>
      </c>
      <c r="IR151">
        <v>6.1311374003140313E-6</v>
      </c>
      <c r="IS151">
        <v>3</v>
      </c>
      <c r="IT151">
        <v>2101</v>
      </c>
      <c r="IU151">
        <v>1</v>
      </c>
      <c r="IV151">
        <v>32</v>
      </c>
      <c r="IW151">
        <v>0.6</v>
      </c>
      <c r="IX151">
        <v>0.6</v>
      </c>
      <c r="IY151">
        <v>2.9821800000000001</v>
      </c>
      <c r="IZ151">
        <v>2.7026400000000002</v>
      </c>
      <c r="JA151">
        <v>1.6015600000000001</v>
      </c>
      <c r="JB151">
        <v>2.32544</v>
      </c>
      <c r="JC151">
        <v>1.5502899999999999</v>
      </c>
      <c r="JD151">
        <v>2.3962400000000001</v>
      </c>
      <c r="JE151">
        <v>47.004100000000001</v>
      </c>
      <c r="JF151">
        <v>24.157499999999999</v>
      </c>
      <c r="JG151">
        <v>18</v>
      </c>
      <c r="JH151">
        <v>596.48199999999997</v>
      </c>
      <c r="JI151">
        <v>381.55599999999998</v>
      </c>
      <c r="JJ151">
        <v>26.433800000000002</v>
      </c>
      <c r="JK151">
        <v>35.347700000000003</v>
      </c>
      <c r="JL151">
        <v>30.0002</v>
      </c>
      <c r="JM151">
        <v>35.5214</v>
      </c>
      <c r="JN151">
        <v>35.529000000000003</v>
      </c>
      <c r="JO151">
        <v>59.6751</v>
      </c>
      <c r="JP151">
        <v>16.4635</v>
      </c>
      <c r="JQ151">
        <v>15.822900000000001</v>
      </c>
      <c r="JR151">
        <v>26.435300000000002</v>
      </c>
      <c r="JS151">
        <v>1500</v>
      </c>
      <c r="JT151">
        <v>25.004799999999999</v>
      </c>
      <c r="JU151">
        <v>98.616299999999995</v>
      </c>
      <c r="JV151">
        <v>98.736900000000006</v>
      </c>
    </row>
    <row r="152" spans="1:282" x14ac:dyDescent="0.25">
      <c r="A152">
        <v>136</v>
      </c>
      <c r="B152">
        <v>1689028212.5999999</v>
      </c>
      <c r="C152">
        <v>28390</v>
      </c>
      <c r="D152" t="s">
        <v>1105</v>
      </c>
      <c r="E152" t="s">
        <v>1106</v>
      </c>
      <c r="F152" t="s">
        <v>414</v>
      </c>
      <c r="G152" t="s">
        <v>415</v>
      </c>
      <c r="H152" t="s">
        <v>31</v>
      </c>
      <c r="I152" t="s">
        <v>501</v>
      </c>
      <c r="J152" t="s">
        <v>418</v>
      </c>
      <c r="K152">
        <v>1689028212.5999999</v>
      </c>
      <c r="L152">
        <f t="shared" si="184"/>
        <v>3.6292330529868523E-3</v>
      </c>
      <c r="M152">
        <f t="shared" si="185"/>
        <v>3.6292330529868524</v>
      </c>
      <c r="N152">
        <f t="shared" si="186"/>
        <v>38.645282647691509</v>
      </c>
      <c r="O152">
        <f t="shared" si="187"/>
        <v>352.15300000000002</v>
      </c>
      <c r="P152">
        <f t="shared" si="188"/>
        <v>85.545757375663158</v>
      </c>
      <c r="Q152">
        <f t="shared" si="189"/>
        <v>8.4703481291023266</v>
      </c>
      <c r="R152">
        <f t="shared" si="190"/>
        <v>34.8685732199311</v>
      </c>
      <c r="S152">
        <f t="shared" si="191"/>
        <v>0.24618215964691373</v>
      </c>
      <c r="T152">
        <f t="shared" si="192"/>
        <v>2.9109984218866103</v>
      </c>
      <c r="U152">
        <f t="shared" si="193"/>
        <v>0.23517301680712982</v>
      </c>
      <c r="V152">
        <f t="shared" si="194"/>
        <v>0.14793123269356689</v>
      </c>
      <c r="W152">
        <f t="shared" si="195"/>
        <v>289.56429532692823</v>
      </c>
      <c r="X152">
        <f t="shared" si="196"/>
        <v>30.80967812027566</v>
      </c>
      <c r="Y152">
        <f t="shared" si="197"/>
        <v>29.989699999999999</v>
      </c>
      <c r="Z152">
        <f t="shared" si="198"/>
        <v>4.2579298396800676</v>
      </c>
      <c r="AA152">
        <f t="shared" si="199"/>
        <v>65.189755595344593</v>
      </c>
      <c r="AB152">
        <f t="shared" si="200"/>
        <v>2.7842439818579097</v>
      </c>
      <c r="AC152">
        <f t="shared" si="201"/>
        <v>4.2709839244384922</v>
      </c>
      <c r="AD152">
        <f t="shared" si="202"/>
        <v>1.4736858578221579</v>
      </c>
      <c r="AE152">
        <f t="shared" si="203"/>
        <v>-160.04917763672017</v>
      </c>
      <c r="AF152">
        <f t="shared" si="204"/>
        <v>8.3647819108760437</v>
      </c>
      <c r="AG152">
        <f t="shared" si="205"/>
        <v>0.63903118329519315</v>
      </c>
      <c r="AH152">
        <f t="shared" si="206"/>
        <v>138.51893078437928</v>
      </c>
      <c r="AI152">
        <v>0</v>
      </c>
      <c r="AJ152">
        <v>0</v>
      </c>
      <c r="AK152">
        <f t="shared" si="207"/>
        <v>1</v>
      </c>
      <c r="AL152">
        <f t="shared" si="208"/>
        <v>0</v>
      </c>
      <c r="AM152">
        <f t="shared" si="209"/>
        <v>51793.958720259325</v>
      </c>
      <c r="AN152" t="s">
        <v>419</v>
      </c>
      <c r="AO152">
        <v>9967.0300000000007</v>
      </c>
      <c r="AP152">
        <v>178.94153846153841</v>
      </c>
      <c r="AQ152">
        <v>603.15</v>
      </c>
      <c r="AR152">
        <f t="shared" si="210"/>
        <v>0.7033216638290003</v>
      </c>
      <c r="AS152">
        <v>-3.2649104154664181</v>
      </c>
      <c r="AT152" t="s">
        <v>1107</v>
      </c>
      <c r="AU152">
        <v>8065.65</v>
      </c>
      <c r="AV152">
        <v>685.83230769230772</v>
      </c>
      <c r="AW152">
        <v>1019.15318974539</v>
      </c>
      <c r="AX152">
        <f t="shared" si="211"/>
        <v>0.32705670296371658</v>
      </c>
      <c r="AY152">
        <v>0.5</v>
      </c>
      <c r="AZ152">
        <f t="shared" si="212"/>
        <v>1513.1759996512581</v>
      </c>
      <c r="BA152">
        <f t="shared" si="213"/>
        <v>38.645282647691509</v>
      </c>
      <c r="BB152">
        <f t="shared" si="214"/>
        <v>247.44717672488321</v>
      </c>
      <c r="BC152">
        <f t="shared" si="215"/>
        <v>2.7696839675501711E-2</v>
      </c>
      <c r="BD152">
        <f t="shared" si="216"/>
        <v>-0.40818514226435187</v>
      </c>
      <c r="BE152">
        <f t="shared" si="217"/>
        <v>203.59708170858201</v>
      </c>
      <c r="BF152" t="s">
        <v>1108</v>
      </c>
      <c r="BG152">
        <v>545.94000000000005</v>
      </c>
      <c r="BH152">
        <f t="shared" si="218"/>
        <v>545.94000000000005</v>
      </c>
      <c r="BI152">
        <f t="shared" si="219"/>
        <v>0.46431998104584304</v>
      </c>
      <c r="BJ152">
        <f t="shared" si="220"/>
        <v>0.70437783492979977</v>
      </c>
      <c r="BK152">
        <f t="shared" si="221"/>
        <v>-7.2715117941861669</v>
      </c>
      <c r="BL152">
        <f t="shared" si="222"/>
        <v>0.39671061635930038</v>
      </c>
      <c r="BM152">
        <f t="shared" si="223"/>
        <v>-0.98065745373556734</v>
      </c>
      <c r="BN152">
        <f t="shared" si="224"/>
        <v>0.56070271243929037</v>
      </c>
      <c r="BO152">
        <f t="shared" si="225"/>
        <v>0.43929728756070963</v>
      </c>
      <c r="BP152">
        <v>6307</v>
      </c>
      <c r="BQ152">
        <v>290.00000000000011</v>
      </c>
      <c r="BR152">
        <v>907.43</v>
      </c>
      <c r="BS152">
        <v>275</v>
      </c>
      <c r="BT152">
        <v>8065.65</v>
      </c>
      <c r="BU152">
        <v>910.36</v>
      </c>
      <c r="BV152">
        <v>-2.93</v>
      </c>
      <c r="BW152">
        <v>300.00000000000011</v>
      </c>
      <c r="BX152">
        <v>19.3</v>
      </c>
      <c r="BY152">
        <v>1019.15318974539</v>
      </c>
      <c r="BZ152">
        <v>3.4695578089912318</v>
      </c>
      <c r="CA152">
        <v>-87.747315580462953</v>
      </c>
      <c r="CB152">
        <v>2.570647956789426</v>
      </c>
      <c r="CC152">
        <v>0.97653274068887941</v>
      </c>
      <c r="CD152">
        <v>-4.1618284760845418E-3</v>
      </c>
      <c r="CE152">
        <v>289.99999999999989</v>
      </c>
      <c r="CF152">
        <v>907.37</v>
      </c>
      <c r="CG152">
        <v>665</v>
      </c>
      <c r="CH152">
        <v>8055.56</v>
      </c>
      <c r="CI152">
        <v>910.23</v>
      </c>
      <c r="CJ152">
        <v>-2.86</v>
      </c>
      <c r="CX152">
        <f t="shared" si="226"/>
        <v>1799.99</v>
      </c>
      <c r="CY152">
        <f t="shared" si="227"/>
        <v>1513.1759996512581</v>
      </c>
      <c r="CZ152">
        <f t="shared" si="228"/>
        <v>0.84065800346182928</v>
      </c>
      <c r="DA152">
        <f t="shared" si="229"/>
        <v>0.16086994668133059</v>
      </c>
      <c r="DB152">
        <v>6</v>
      </c>
      <c r="DC152">
        <v>0.5</v>
      </c>
      <c r="DD152" t="s">
        <v>422</v>
      </c>
      <c r="DE152">
        <v>2</v>
      </c>
      <c r="DF152">
        <v>1689028212.5999999</v>
      </c>
      <c r="DG152">
        <v>352.15300000000002</v>
      </c>
      <c r="DH152">
        <v>400.05399999999997</v>
      </c>
      <c r="DI152">
        <v>28.119299999999999</v>
      </c>
      <c r="DJ152">
        <v>23.8873</v>
      </c>
      <c r="DK152">
        <v>352.226</v>
      </c>
      <c r="DL152">
        <v>28.072099999999999</v>
      </c>
      <c r="DM152">
        <v>500.07299999999998</v>
      </c>
      <c r="DN152">
        <v>98.915599999999998</v>
      </c>
      <c r="DO152">
        <v>9.98087E-2</v>
      </c>
      <c r="DP152">
        <v>30.042999999999999</v>
      </c>
      <c r="DQ152">
        <v>29.989699999999999</v>
      </c>
      <c r="DR152">
        <v>999.9</v>
      </c>
      <c r="DS152">
        <v>0</v>
      </c>
      <c r="DT152">
        <v>0</v>
      </c>
      <c r="DU152">
        <v>10003.1</v>
      </c>
      <c r="DV152">
        <v>0</v>
      </c>
      <c r="DW152">
        <v>1098.74</v>
      </c>
      <c r="DX152">
        <v>-47.900700000000001</v>
      </c>
      <c r="DY152">
        <v>362.34199999999998</v>
      </c>
      <c r="DZ152">
        <v>409.84399999999999</v>
      </c>
      <c r="EA152">
        <v>4.2319899999999997</v>
      </c>
      <c r="EB152">
        <v>400.05399999999997</v>
      </c>
      <c r="EC152">
        <v>23.8873</v>
      </c>
      <c r="ED152">
        <v>2.7814399999999999</v>
      </c>
      <c r="EE152">
        <v>2.3628300000000002</v>
      </c>
      <c r="EF152">
        <v>22.7743</v>
      </c>
      <c r="EG152">
        <v>20.1113</v>
      </c>
      <c r="EH152">
        <v>1799.99</v>
      </c>
      <c r="EI152">
        <v>0.97800500000000001</v>
      </c>
      <c r="EJ152">
        <v>2.19951E-2</v>
      </c>
      <c r="EK152">
        <v>0</v>
      </c>
      <c r="EL152">
        <v>684.62800000000004</v>
      </c>
      <c r="EM152">
        <v>5.0005300000000004</v>
      </c>
      <c r="EN152">
        <v>14732.4</v>
      </c>
      <c r="EO152">
        <v>16035.2</v>
      </c>
      <c r="EP152">
        <v>47.75</v>
      </c>
      <c r="EQ152">
        <v>48.875</v>
      </c>
      <c r="ER152">
        <v>48.25</v>
      </c>
      <c r="ES152">
        <v>48.311999999999998</v>
      </c>
      <c r="ET152">
        <v>49</v>
      </c>
      <c r="EU152">
        <v>1755.51</v>
      </c>
      <c r="EV152">
        <v>39.479999999999997</v>
      </c>
      <c r="EW152">
        <v>0</v>
      </c>
      <c r="EX152">
        <v>387.79999995231628</v>
      </c>
      <c r="EY152">
        <v>0</v>
      </c>
      <c r="EZ152">
        <v>685.83230769230772</v>
      </c>
      <c r="FA152">
        <v>-10.70064958355465</v>
      </c>
      <c r="FB152">
        <v>-257.31965808030719</v>
      </c>
      <c r="FC152">
        <v>14762.276923076921</v>
      </c>
      <c r="FD152">
        <v>15</v>
      </c>
      <c r="FE152">
        <v>1689028165.5999999</v>
      </c>
      <c r="FF152" t="s">
        <v>1109</v>
      </c>
      <c r="FG152">
        <v>1689028165.5999999</v>
      </c>
      <c r="FH152">
        <v>1689028164.5999999</v>
      </c>
      <c r="FI152">
        <v>149</v>
      </c>
      <c r="FJ152">
        <v>8.0000000000000002E-3</v>
      </c>
      <c r="FK152">
        <v>-3.0000000000000001E-3</v>
      </c>
      <c r="FL152">
        <v>-7.4999999999999997E-2</v>
      </c>
      <c r="FM152">
        <v>4.1000000000000002E-2</v>
      </c>
      <c r="FN152">
        <v>400</v>
      </c>
      <c r="FO152">
        <v>24</v>
      </c>
      <c r="FP152">
        <v>0.03</v>
      </c>
      <c r="FQ152">
        <v>0.01</v>
      </c>
      <c r="FR152">
        <v>38.759701923423492</v>
      </c>
      <c r="FS152">
        <v>-0.57500811808167218</v>
      </c>
      <c r="FT152">
        <v>5.375633682138007E-2</v>
      </c>
      <c r="FU152">
        <v>1</v>
      </c>
      <c r="FV152">
        <v>0.24312915247557171</v>
      </c>
      <c r="FW152">
        <v>-1.4116007979860999E-2</v>
      </c>
      <c r="FX152">
        <v>2.1640529534769051E-3</v>
      </c>
      <c r="FY152">
        <v>1</v>
      </c>
      <c r="FZ152">
        <v>2</v>
      </c>
      <c r="GA152">
        <v>2</v>
      </c>
      <c r="GB152" t="s">
        <v>424</v>
      </c>
      <c r="GC152">
        <v>3.1238899999999998</v>
      </c>
      <c r="GD152">
        <v>2.7671299999999999</v>
      </c>
      <c r="GE152">
        <v>7.9980200000000001E-2</v>
      </c>
      <c r="GF152">
        <v>8.8394100000000003E-2</v>
      </c>
      <c r="GG152">
        <v>0.11903900000000001</v>
      </c>
      <c r="GH152">
        <v>0.10650800000000001</v>
      </c>
      <c r="GI152">
        <v>21959.200000000001</v>
      </c>
      <c r="GJ152">
        <v>22586</v>
      </c>
      <c r="GK152">
        <v>23732.7</v>
      </c>
      <c r="GL152">
        <v>25091.200000000001</v>
      </c>
      <c r="GM152">
        <v>30132.1</v>
      </c>
      <c r="GN152">
        <v>31453.7</v>
      </c>
      <c r="GO152">
        <v>37830.6</v>
      </c>
      <c r="GP152">
        <v>39050.199999999997</v>
      </c>
      <c r="GQ152">
        <v>2.1369199999999999</v>
      </c>
      <c r="GR152">
        <v>1.7133799999999999</v>
      </c>
      <c r="GS152">
        <v>1.5795199999999999E-2</v>
      </c>
      <c r="GT152">
        <v>0</v>
      </c>
      <c r="GU152">
        <v>29.732600000000001</v>
      </c>
      <c r="GV152">
        <v>999.9</v>
      </c>
      <c r="GW152">
        <v>33.1</v>
      </c>
      <c r="GX152">
        <v>44.2</v>
      </c>
      <c r="GY152">
        <v>30.9467</v>
      </c>
      <c r="GZ152">
        <v>60.797199999999997</v>
      </c>
      <c r="HA152">
        <v>27.387799999999999</v>
      </c>
      <c r="HB152">
        <v>1</v>
      </c>
      <c r="HC152">
        <v>0.64795199999999997</v>
      </c>
      <c r="HD152">
        <v>3.5282399999999998</v>
      </c>
      <c r="HE152">
        <v>20.3354</v>
      </c>
      <c r="HF152">
        <v>5.2515799999999997</v>
      </c>
      <c r="HG152">
        <v>12.0099</v>
      </c>
      <c r="HH152">
        <v>4.9788500000000004</v>
      </c>
      <c r="HI152">
        <v>3.2930000000000001</v>
      </c>
      <c r="HJ152">
        <v>9999</v>
      </c>
      <c r="HK152">
        <v>9999</v>
      </c>
      <c r="HL152">
        <v>9999</v>
      </c>
      <c r="HM152">
        <v>239.3</v>
      </c>
      <c r="HN152">
        <v>1.8757600000000001</v>
      </c>
      <c r="HO152">
        <v>1.87683</v>
      </c>
      <c r="HP152">
        <v>1.88293</v>
      </c>
      <c r="HQ152">
        <v>1.8861399999999999</v>
      </c>
      <c r="HR152">
        <v>1.8768400000000001</v>
      </c>
      <c r="HS152">
        <v>1.8833599999999999</v>
      </c>
      <c r="HT152">
        <v>1.88232</v>
      </c>
      <c r="HU152">
        <v>1.88578</v>
      </c>
      <c r="HV152">
        <v>0</v>
      </c>
      <c r="HW152">
        <v>0</v>
      </c>
      <c r="HX152">
        <v>0</v>
      </c>
      <c r="HY152">
        <v>0</v>
      </c>
      <c r="HZ152" t="s">
        <v>425</v>
      </c>
      <c r="IA152" t="s">
        <v>426</v>
      </c>
      <c r="IB152" t="s">
        <v>427</v>
      </c>
      <c r="IC152" t="s">
        <v>427</v>
      </c>
      <c r="ID152" t="s">
        <v>427</v>
      </c>
      <c r="IE152" t="s">
        <v>427</v>
      </c>
      <c r="IF152">
        <v>0</v>
      </c>
      <c r="IG152">
        <v>100</v>
      </c>
      <c r="IH152">
        <v>100</v>
      </c>
      <c r="II152">
        <v>-7.2999999999999995E-2</v>
      </c>
      <c r="IJ152">
        <v>4.7199999999999999E-2</v>
      </c>
      <c r="IK152">
        <v>9.4266169679460693E-3</v>
      </c>
      <c r="IL152">
        <v>-4.2852564239613137E-4</v>
      </c>
      <c r="IM152">
        <v>6.4980710991155998E-7</v>
      </c>
      <c r="IN152">
        <v>-2.7237938963984961E-10</v>
      </c>
      <c r="IO152">
        <v>-1.0935291269718209E-2</v>
      </c>
      <c r="IP152">
        <v>6.6907473102813496E-3</v>
      </c>
      <c r="IQ152">
        <v>-3.3673306238274028E-4</v>
      </c>
      <c r="IR152">
        <v>6.1311374003140313E-6</v>
      </c>
      <c r="IS152">
        <v>3</v>
      </c>
      <c r="IT152">
        <v>2101</v>
      </c>
      <c r="IU152">
        <v>1</v>
      </c>
      <c r="IV152">
        <v>32</v>
      </c>
      <c r="IW152">
        <v>0.8</v>
      </c>
      <c r="IX152">
        <v>0.8</v>
      </c>
      <c r="IY152">
        <v>1.01318</v>
      </c>
      <c r="IZ152">
        <v>2.7087400000000001</v>
      </c>
      <c r="JA152">
        <v>1.6015600000000001</v>
      </c>
      <c r="JB152">
        <v>2.32666</v>
      </c>
      <c r="JC152">
        <v>1.5502899999999999</v>
      </c>
      <c r="JD152">
        <v>2.3584000000000001</v>
      </c>
      <c r="JE152">
        <v>46.181800000000003</v>
      </c>
      <c r="JF152">
        <v>16.154599999999999</v>
      </c>
      <c r="JG152">
        <v>18</v>
      </c>
      <c r="JH152">
        <v>601.04</v>
      </c>
      <c r="JI152">
        <v>378.92399999999998</v>
      </c>
      <c r="JJ152">
        <v>26.418199999999999</v>
      </c>
      <c r="JK152">
        <v>35.214199999999998</v>
      </c>
      <c r="JL152">
        <v>29.999700000000001</v>
      </c>
      <c r="JM152">
        <v>35.330599999999997</v>
      </c>
      <c r="JN152">
        <v>35.332099999999997</v>
      </c>
      <c r="JO152">
        <v>20.255400000000002</v>
      </c>
      <c r="JP152">
        <v>30.528500000000001</v>
      </c>
      <c r="JQ152">
        <v>16.871300000000002</v>
      </c>
      <c r="JR152">
        <v>26.417100000000001</v>
      </c>
      <c r="JS152">
        <v>400</v>
      </c>
      <c r="JT152">
        <v>24.008400000000002</v>
      </c>
      <c r="JU152">
        <v>98.672200000000004</v>
      </c>
      <c r="JV152">
        <v>98.820999999999998</v>
      </c>
    </row>
    <row r="153" spans="1:282" x14ac:dyDescent="0.25">
      <c r="A153">
        <v>137</v>
      </c>
      <c r="B153">
        <v>1689028376.5999999</v>
      </c>
      <c r="C153">
        <v>28554</v>
      </c>
      <c r="D153" t="s">
        <v>1110</v>
      </c>
      <c r="E153" t="s">
        <v>1111</v>
      </c>
      <c r="F153" t="s">
        <v>414</v>
      </c>
      <c r="G153" t="s">
        <v>415</v>
      </c>
      <c r="H153" t="s">
        <v>31</v>
      </c>
      <c r="I153" t="s">
        <v>501</v>
      </c>
      <c r="J153" t="s">
        <v>418</v>
      </c>
      <c r="K153">
        <v>1689028376.5999999</v>
      </c>
      <c r="L153">
        <f t="shared" si="184"/>
        <v>3.868236472605736E-3</v>
      </c>
      <c r="M153">
        <f t="shared" si="185"/>
        <v>3.8682364726057359</v>
      </c>
      <c r="N153">
        <f t="shared" si="186"/>
        <v>30.84154751526945</v>
      </c>
      <c r="O153">
        <f t="shared" si="187"/>
        <v>261.822</v>
      </c>
      <c r="P153">
        <f t="shared" si="188"/>
        <v>59.690796309992102</v>
      </c>
      <c r="Q153">
        <f t="shared" si="189"/>
        <v>5.9102338772925789</v>
      </c>
      <c r="R153">
        <f t="shared" si="190"/>
        <v>25.924084614053999</v>
      </c>
      <c r="S153">
        <f t="shared" si="191"/>
        <v>0.25959437257145673</v>
      </c>
      <c r="T153">
        <f t="shared" si="192"/>
        <v>2.908023692680473</v>
      </c>
      <c r="U153">
        <f t="shared" si="193"/>
        <v>0.24737308934863303</v>
      </c>
      <c r="V153">
        <f t="shared" si="194"/>
        <v>0.15565825910812944</v>
      </c>
      <c r="W153">
        <f t="shared" si="195"/>
        <v>289.54514332688336</v>
      </c>
      <c r="X153">
        <f t="shared" si="196"/>
        <v>30.66488211181899</v>
      </c>
      <c r="Y153">
        <f t="shared" si="197"/>
        <v>29.988299999999999</v>
      </c>
      <c r="Z153">
        <f t="shared" si="198"/>
        <v>4.2575874248474399</v>
      </c>
      <c r="AA153">
        <f t="shared" si="199"/>
        <v>65.029222157428293</v>
      </c>
      <c r="AB153">
        <f t="shared" si="200"/>
        <v>2.7641782209689998</v>
      </c>
      <c r="AC153">
        <f t="shared" si="201"/>
        <v>4.2506708972732925</v>
      </c>
      <c r="AD153">
        <f t="shared" si="202"/>
        <v>1.4934092038784401</v>
      </c>
      <c r="AE153">
        <f t="shared" si="203"/>
        <v>-170.58922844191295</v>
      </c>
      <c r="AF153">
        <f t="shared" si="204"/>
        <v>-4.4367996649497332</v>
      </c>
      <c r="AG153">
        <f t="shared" si="205"/>
        <v>-0.33915624229444846</v>
      </c>
      <c r="AH153">
        <f t="shared" si="206"/>
        <v>114.17995897772623</v>
      </c>
      <c r="AI153">
        <v>0</v>
      </c>
      <c r="AJ153">
        <v>0</v>
      </c>
      <c r="AK153">
        <f t="shared" si="207"/>
        <v>1</v>
      </c>
      <c r="AL153">
        <f t="shared" si="208"/>
        <v>0</v>
      </c>
      <c r="AM153">
        <f t="shared" si="209"/>
        <v>51723.594911033855</v>
      </c>
      <c r="AN153" t="s">
        <v>419</v>
      </c>
      <c r="AO153">
        <v>9967.0300000000007</v>
      </c>
      <c r="AP153">
        <v>178.94153846153841</v>
      </c>
      <c r="AQ153">
        <v>603.15</v>
      </c>
      <c r="AR153">
        <f t="shared" si="210"/>
        <v>0.7033216638290003</v>
      </c>
      <c r="AS153">
        <v>-3.2649104154664181</v>
      </c>
      <c r="AT153" t="s">
        <v>1112</v>
      </c>
      <c r="AU153">
        <v>8064.25</v>
      </c>
      <c r="AV153">
        <v>657.19507999999996</v>
      </c>
      <c r="AW153">
        <v>886.60627846062152</v>
      </c>
      <c r="AX153">
        <f t="shared" si="211"/>
        <v>0.25875205718026151</v>
      </c>
      <c r="AY153">
        <v>0.5</v>
      </c>
      <c r="AZ153">
        <f t="shared" si="212"/>
        <v>1513.0751996512347</v>
      </c>
      <c r="BA153">
        <f t="shared" si="213"/>
        <v>30.84154751526945</v>
      </c>
      <c r="BB153">
        <f t="shared" si="214"/>
        <v>195.75566028909594</v>
      </c>
      <c r="BC153">
        <f t="shared" si="215"/>
        <v>2.2541151912738668E-2</v>
      </c>
      <c r="BD153">
        <f t="shared" si="216"/>
        <v>-0.31970930653996177</v>
      </c>
      <c r="BE153">
        <f t="shared" si="217"/>
        <v>197.69287033354192</v>
      </c>
      <c r="BF153" t="s">
        <v>1113</v>
      </c>
      <c r="BG153">
        <v>528.84</v>
      </c>
      <c r="BH153">
        <f t="shared" si="218"/>
        <v>528.84</v>
      </c>
      <c r="BI153">
        <f t="shared" si="219"/>
        <v>0.40352328553526207</v>
      </c>
      <c r="BJ153">
        <f t="shared" si="220"/>
        <v>0.6412320340746489</v>
      </c>
      <c r="BK153">
        <f t="shared" si="221"/>
        <v>-3.8145105431384976</v>
      </c>
      <c r="BL153">
        <f t="shared" si="222"/>
        <v>0.32418062607007775</v>
      </c>
      <c r="BM153">
        <f t="shared" si="223"/>
        <v>-0.66820043483484715</v>
      </c>
      <c r="BN153">
        <f t="shared" si="224"/>
        <v>0.51599465549869505</v>
      </c>
      <c r="BO153">
        <f t="shared" si="225"/>
        <v>0.48400534450130495</v>
      </c>
      <c r="BP153">
        <v>6309</v>
      </c>
      <c r="BQ153">
        <v>290.00000000000011</v>
      </c>
      <c r="BR153">
        <v>823.23</v>
      </c>
      <c r="BS153">
        <v>295</v>
      </c>
      <c r="BT153">
        <v>8064.25</v>
      </c>
      <c r="BU153">
        <v>824.83</v>
      </c>
      <c r="BV153">
        <v>-1.6</v>
      </c>
      <c r="BW153">
        <v>300.00000000000011</v>
      </c>
      <c r="BX153">
        <v>19.3</v>
      </c>
      <c r="BY153">
        <v>886.60627846062152</v>
      </c>
      <c r="BZ153">
        <v>2.7675201411041419</v>
      </c>
      <c r="CA153">
        <v>-49.81410654495528</v>
      </c>
      <c r="CB153">
        <v>2.0503010992290109</v>
      </c>
      <c r="CC153">
        <v>0.95471420321551326</v>
      </c>
      <c r="CD153">
        <v>-4.161288987764176E-3</v>
      </c>
      <c r="CE153">
        <v>289.99999999999989</v>
      </c>
      <c r="CF153">
        <v>826.13</v>
      </c>
      <c r="CG153">
        <v>675</v>
      </c>
      <c r="CH153">
        <v>8054.49</v>
      </c>
      <c r="CI153">
        <v>824.76</v>
      </c>
      <c r="CJ153">
        <v>1.37</v>
      </c>
      <c r="CX153">
        <f t="shared" si="226"/>
        <v>1799.87</v>
      </c>
      <c r="CY153">
        <f t="shared" si="227"/>
        <v>1513.0751996512347</v>
      </c>
      <c r="CZ153">
        <f t="shared" si="228"/>
        <v>0.84065804733188221</v>
      </c>
      <c r="DA153">
        <f t="shared" si="229"/>
        <v>0.16087003135053274</v>
      </c>
      <c r="DB153">
        <v>6</v>
      </c>
      <c r="DC153">
        <v>0.5</v>
      </c>
      <c r="DD153" t="s">
        <v>422</v>
      </c>
      <c r="DE153">
        <v>2</v>
      </c>
      <c r="DF153">
        <v>1689028376.5999999</v>
      </c>
      <c r="DG153">
        <v>261.822</v>
      </c>
      <c r="DH153">
        <v>300.04300000000001</v>
      </c>
      <c r="DI153">
        <v>27.917000000000002</v>
      </c>
      <c r="DJ153">
        <v>23.405200000000001</v>
      </c>
      <c r="DK153">
        <v>261.70999999999998</v>
      </c>
      <c r="DL153">
        <v>27.866599999999998</v>
      </c>
      <c r="DM153">
        <v>500.05500000000001</v>
      </c>
      <c r="DN153">
        <v>98.914000000000001</v>
      </c>
      <c r="DO153">
        <v>0.100157</v>
      </c>
      <c r="DP153">
        <v>29.96</v>
      </c>
      <c r="DQ153">
        <v>29.988299999999999</v>
      </c>
      <c r="DR153">
        <v>999.9</v>
      </c>
      <c r="DS153">
        <v>0</v>
      </c>
      <c r="DT153">
        <v>0</v>
      </c>
      <c r="DU153">
        <v>9986.25</v>
      </c>
      <c r="DV153">
        <v>0</v>
      </c>
      <c r="DW153">
        <v>1070.51</v>
      </c>
      <c r="DX153">
        <v>-38.221600000000002</v>
      </c>
      <c r="DY153">
        <v>269.34100000000001</v>
      </c>
      <c r="DZ153">
        <v>307.23399999999998</v>
      </c>
      <c r="EA153">
        <v>4.5117900000000004</v>
      </c>
      <c r="EB153">
        <v>300.04300000000001</v>
      </c>
      <c r="EC153">
        <v>23.405200000000001</v>
      </c>
      <c r="ED153">
        <v>2.7613799999999999</v>
      </c>
      <c r="EE153">
        <v>2.3151000000000002</v>
      </c>
      <c r="EF153">
        <v>22.655000000000001</v>
      </c>
      <c r="EG153">
        <v>19.7819</v>
      </c>
      <c r="EH153">
        <v>1799.87</v>
      </c>
      <c r="EI153">
        <v>0.97800500000000001</v>
      </c>
      <c r="EJ153">
        <v>2.19951E-2</v>
      </c>
      <c r="EK153">
        <v>0</v>
      </c>
      <c r="EL153">
        <v>657.02499999999998</v>
      </c>
      <c r="EM153">
        <v>5.0005300000000004</v>
      </c>
      <c r="EN153">
        <v>14211.5</v>
      </c>
      <c r="EO153">
        <v>16034.2</v>
      </c>
      <c r="EP153">
        <v>47.75</v>
      </c>
      <c r="EQ153">
        <v>48.936999999999998</v>
      </c>
      <c r="ER153">
        <v>48.25</v>
      </c>
      <c r="ES153">
        <v>48.375</v>
      </c>
      <c r="ET153">
        <v>49</v>
      </c>
      <c r="EU153">
        <v>1755.39</v>
      </c>
      <c r="EV153">
        <v>39.479999999999997</v>
      </c>
      <c r="EW153">
        <v>0</v>
      </c>
      <c r="EX153">
        <v>162</v>
      </c>
      <c r="EY153">
        <v>0</v>
      </c>
      <c r="EZ153">
        <v>657.19507999999996</v>
      </c>
      <c r="FA153">
        <v>-0.96161539047077338</v>
      </c>
      <c r="FB153">
        <v>63.123077049988922</v>
      </c>
      <c r="FC153">
        <v>14207.332</v>
      </c>
      <c r="FD153">
        <v>15</v>
      </c>
      <c r="FE153">
        <v>1689028289.0999999</v>
      </c>
      <c r="FF153" t="s">
        <v>1114</v>
      </c>
      <c r="FG153">
        <v>1689028279.5999999</v>
      </c>
      <c r="FH153">
        <v>1689028289.0999999</v>
      </c>
      <c r="FI153">
        <v>150</v>
      </c>
      <c r="FJ153">
        <v>0.17399999999999999</v>
      </c>
      <c r="FK153">
        <v>4.0000000000000001E-3</v>
      </c>
      <c r="FL153">
        <v>0.106</v>
      </c>
      <c r="FM153">
        <v>4.3999999999999997E-2</v>
      </c>
      <c r="FN153">
        <v>300</v>
      </c>
      <c r="FO153">
        <v>24</v>
      </c>
      <c r="FP153">
        <v>0.06</v>
      </c>
      <c r="FQ153">
        <v>0.04</v>
      </c>
      <c r="FR153">
        <v>30.730250117729948</v>
      </c>
      <c r="FS153">
        <v>0.64203834847574248</v>
      </c>
      <c r="FT153">
        <v>5.1506657970431399E-2</v>
      </c>
      <c r="FU153">
        <v>1</v>
      </c>
      <c r="FV153">
        <v>0.2563586255129322</v>
      </c>
      <c r="FW153">
        <v>4.4200285825039083E-3</v>
      </c>
      <c r="FX153">
        <v>1.4058710168169579E-3</v>
      </c>
      <c r="FY153">
        <v>1</v>
      </c>
      <c r="FZ153">
        <v>2</v>
      </c>
      <c r="GA153">
        <v>2</v>
      </c>
      <c r="GB153" t="s">
        <v>424</v>
      </c>
      <c r="GC153">
        <v>3.1234500000000001</v>
      </c>
      <c r="GD153">
        <v>2.7673399999999999</v>
      </c>
      <c r="GE153">
        <v>6.2766299999999997E-2</v>
      </c>
      <c r="GF153">
        <v>7.0400599999999994E-2</v>
      </c>
      <c r="GG153">
        <v>0.11845600000000001</v>
      </c>
      <c r="GH153">
        <v>0.105005</v>
      </c>
      <c r="GI153">
        <v>22376.3</v>
      </c>
      <c r="GJ153">
        <v>23038.6</v>
      </c>
      <c r="GK153">
        <v>23739.200000000001</v>
      </c>
      <c r="GL153">
        <v>25098.1</v>
      </c>
      <c r="GM153">
        <v>30159.8</v>
      </c>
      <c r="GN153">
        <v>31514.6</v>
      </c>
      <c r="GO153">
        <v>37840.199999999997</v>
      </c>
      <c r="GP153">
        <v>39059.800000000003</v>
      </c>
      <c r="GQ153">
        <v>2.1379199999999998</v>
      </c>
      <c r="GR153">
        <v>1.7176</v>
      </c>
      <c r="GS153">
        <v>2.2314500000000001E-2</v>
      </c>
      <c r="GT153">
        <v>0</v>
      </c>
      <c r="GU153">
        <v>29.625</v>
      </c>
      <c r="GV153">
        <v>999.9</v>
      </c>
      <c r="GW153">
        <v>32.1</v>
      </c>
      <c r="GX153">
        <v>44</v>
      </c>
      <c r="GY153">
        <v>29.701000000000001</v>
      </c>
      <c r="GZ153">
        <v>60.507100000000001</v>
      </c>
      <c r="HA153">
        <v>27.255600000000001</v>
      </c>
      <c r="HB153">
        <v>1</v>
      </c>
      <c r="HC153">
        <v>0.63398399999999999</v>
      </c>
      <c r="HD153">
        <v>2.57429</v>
      </c>
      <c r="HE153">
        <v>20.352399999999999</v>
      </c>
      <c r="HF153">
        <v>5.2517300000000002</v>
      </c>
      <c r="HG153">
        <v>12.0099</v>
      </c>
      <c r="HH153">
        <v>4.9790999999999999</v>
      </c>
      <c r="HI153">
        <v>3.2930000000000001</v>
      </c>
      <c r="HJ153">
        <v>9999</v>
      </c>
      <c r="HK153">
        <v>9999</v>
      </c>
      <c r="HL153">
        <v>9999</v>
      </c>
      <c r="HM153">
        <v>239.3</v>
      </c>
      <c r="HN153">
        <v>1.8757600000000001</v>
      </c>
      <c r="HO153">
        <v>1.87683</v>
      </c>
      <c r="HP153">
        <v>1.88293</v>
      </c>
      <c r="HQ153">
        <v>1.8861300000000001</v>
      </c>
      <c r="HR153">
        <v>1.87686</v>
      </c>
      <c r="HS153">
        <v>1.8833599999999999</v>
      </c>
      <c r="HT153">
        <v>1.88232</v>
      </c>
      <c r="HU153">
        <v>1.88574</v>
      </c>
      <c r="HV153">
        <v>0</v>
      </c>
      <c r="HW153">
        <v>0</v>
      </c>
      <c r="HX153">
        <v>0</v>
      </c>
      <c r="HY153">
        <v>0</v>
      </c>
      <c r="HZ153" t="s">
        <v>425</v>
      </c>
      <c r="IA153" t="s">
        <v>426</v>
      </c>
      <c r="IB153" t="s">
        <v>427</v>
      </c>
      <c r="IC153" t="s">
        <v>427</v>
      </c>
      <c r="ID153" t="s">
        <v>427</v>
      </c>
      <c r="IE153" t="s">
        <v>427</v>
      </c>
      <c r="IF153">
        <v>0</v>
      </c>
      <c r="IG153">
        <v>100</v>
      </c>
      <c r="IH153">
        <v>100</v>
      </c>
      <c r="II153">
        <v>0.112</v>
      </c>
      <c r="IJ153">
        <v>5.04E-2</v>
      </c>
      <c r="IK153">
        <v>0.18378953436355461</v>
      </c>
      <c r="IL153">
        <v>-4.2852564239613137E-4</v>
      </c>
      <c r="IM153">
        <v>6.4980710991155998E-7</v>
      </c>
      <c r="IN153">
        <v>-2.7237938963984961E-10</v>
      </c>
      <c r="IO153">
        <v>-7.2497251096448109E-3</v>
      </c>
      <c r="IP153">
        <v>6.6907473102813496E-3</v>
      </c>
      <c r="IQ153">
        <v>-3.3673306238274028E-4</v>
      </c>
      <c r="IR153">
        <v>6.1311374003140313E-6</v>
      </c>
      <c r="IS153">
        <v>3</v>
      </c>
      <c r="IT153">
        <v>2101</v>
      </c>
      <c r="IU153">
        <v>1</v>
      </c>
      <c r="IV153">
        <v>32</v>
      </c>
      <c r="IW153">
        <v>1.6</v>
      </c>
      <c r="IX153">
        <v>1.5</v>
      </c>
      <c r="IY153">
        <v>0.80444300000000002</v>
      </c>
      <c r="IZ153">
        <v>2.7136200000000001</v>
      </c>
      <c r="JA153">
        <v>1.6015600000000001</v>
      </c>
      <c r="JB153">
        <v>2.32666</v>
      </c>
      <c r="JC153">
        <v>1.5502899999999999</v>
      </c>
      <c r="JD153">
        <v>2.36938</v>
      </c>
      <c r="JE153">
        <v>46.0657</v>
      </c>
      <c r="JF153">
        <v>16.1371</v>
      </c>
      <c r="JG153">
        <v>18</v>
      </c>
      <c r="JH153">
        <v>600.97299999999996</v>
      </c>
      <c r="JI153">
        <v>380.99599999999998</v>
      </c>
      <c r="JJ153">
        <v>26.93</v>
      </c>
      <c r="JK153">
        <v>35.081400000000002</v>
      </c>
      <c r="JL153">
        <v>29.9998</v>
      </c>
      <c r="JM153">
        <v>35.242400000000004</v>
      </c>
      <c r="JN153">
        <v>35.246600000000001</v>
      </c>
      <c r="JO153">
        <v>16.0854</v>
      </c>
      <c r="JP153">
        <v>25.0305</v>
      </c>
      <c r="JQ153">
        <v>15.4275</v>
      </c>
      <c r="JR153">
        <v>26.940999999999999</v>
      </c>
      <c r="JS153">
        <v>300</v>
      </c>
      <c r="JT153">
        <v>23.5213</v>
      </c>
      <c r="JU153">
        <v>98.697800000000001</v>
      </c>
      <c r="JV153">
        <v>98.846599999999995</v>
      </c>
    </row>
    <row r="154" spans="1:282" x14ac:dyDescent="0.25">
      <c r="A154">
        <v>138</v>
      </c>
      <c r="B154">
        <v>1689028542.0999999</v>
      </c>
      <c r="C154">
        <v>28719.5</v>
      </c>
      <c r="D154" t="s">
        <v>1115</v>
      </c>
      <c r="E154" t="s">
        <v>1116</v>
      </c>
      <c r="F154" t="s">
        <v>414</v>
      </c>
      <c r="G154" t="s">
        <v>415</v>
      </c>
      <c r="H154" t="s">
        <v>31</v>
      </c>
      <c r="I154" t="s">
        <v>501</v>
      </c>
      <c r="J154" t="s">
        <v>418</v>
      </c>
      <c r="K154">
        <v>1689028542.0999999</v>
      </c>
      <c r="L154">
        <f t="shared" si="184"/>
        <v>4.2828797681995759E-3</v>
      </c>
      <c r="M154">
        <f t="shared" si="185"/>
        <v>4.2828797681995763</v>
      </c>
      <c r="N154">
        <f t="shared" si="186"/>
        <v>22.627780733879661</v>
      </c>
      <c r="O154">
        <f t="shared" si="187"/>
        <v>171.928</v>
      </c>
      <c r="P154">
        <f t="shared" si="188"/>
        <v>38.899801486201206</v>
      </c>
      <c r="Q154">
        <f t="shared" si="189"/>
        <v>3.8512580686569691</v>
      </c>
      <c r="R154">
        <f t="shared" si="190"/>
        <v>17.021657487453599</v>
      </c>
      <c r="S154">
        <f t="shared" si="191"/>
        <v>0.29073429277041163</v>
      </c>
      <c r="T154">
        <f t="shared" si="192"/>
        <v>2.9091747920204023</v>
      </c>
      <c r="U154">
        <f t="shared" si="193"/>
        <v>0.2755032452542327</v>
      </c>
      <c r="V154">
        <f t="shared" si="194"/>
        <v>0.17349145560492057</v>
      </c>
      <c r="W154">
        <f t="shared" si="195"/>
        <v>289.54993132689458</v>
      </c>
      <c r="X154">
        <f t="shared" si="196"/>
        <v>30.581127112512881</v>
      </c>
      <c r="Y154">
        <f t="shared" si="197"/>
        <v>30.006</v>
      </c>
      <c r="Z154">
        <f t="shared" si="198"/>
        <v>4.2619182934012949</v>
      </c>
      <c r="AA154">
        <f t="shared" si="199"/>
        <v>65.250614896309244</v>
      </c>
      <c r="AB154">
        <f t="shared" si="200"/>
        <v>2.7775434735078899</v>
      </c>
      <c r="AC154">
        <f t="shared" si="201"/>
        <v>4.2567314927556268</v>
      </c>
      <c r="AD154">
        <f t="shared" si="202"/>
        <v>1.484374819893405</v>
      </c>
      <c r="AE154">
        <f t="shared" si="203"/>
        <v>-188.87499777760129</v>
      </c>
      <c r="AF154">
        <f t="shared" si="204"/>
        <v>-3.3249959454130149</v>
      </c>
      <c r="AG154">
        <f t="shared" si="205"/>
        <v>-0.25412103661069085</v>
      </c>
      <c r="AH154">
        <f t="shared" si="206"/>
        <v>97.095816567269594</v>
      </c>
      <c r="AI154">
        <v>0</v>
      </c>
      <c r="AJ154">
        <v>0</v>
      </c>
      <c r="AK154">
        <f t="shared" si="207"/>
        <v>1</v>
      </c>
      <c r="AL154">
        <f t="shared" si="208"/>
        <v>0</v>
      </c>
      <c r="AM154">
        <f t="shared" si="209"/>
        <v>51751.863757134095</v>
      </c>
      <c r="AN154" t="s">
        <v>419</v>
      </c>
      <c r="AO154">
        <v>9967.0300000000007</v>
      </c>
      <c r="AP154">
        <v>178.94153846153841</v>
      </c>
      <c r="AQ154">
        <v>603.15</v>
      </c>
      <c r="AR154">
        <f t="shared" si="210"/>
        <v>0.7033216638290003</v>
      </c>
      <c r="AS154">
        <v>-3.2649104154664181</v>
      </c>
      <c r="AT154" t="s">
        <v>1117</v>
      </c>
      <c r="AU154">
        <v>8064.08</v>
      </c>
      <c r="AV154">
        <v>655.12484615384608</v>
      </c>
      <c r="AW154">
        <v>823.16771159778045</v>
      </c>
      <c r="AX154">
        <f t="shared" si="211"/>
        <v>0.20414171143540205</v>
      </c>
      <c r="AY154">
        <v>0.5</v>
      </c>
      <c r="AZ154">
        <f t="shared" si="212"/>
        <v>1513.1003996512407</v>
      </c>
      <c r="BA154">
        <f t="shared" si="213"/>
        <v>22.627780733879661</v>
      </c>
      <c r="BB154">
        <f t="shared" si="214"/>
        <v>154.44345257919755</v>
      </c>
      <c r="BC154">
        <f t="shared" si="215"/>
        <v>1.7112341755586191E-2</v>
      </c>
      <c r="BD154">
        <f t="shared" si="216"/>
        <v>-0.2672817561936715</v>
      </c>
      <c r="BE154">
        <f t="shared" si="217"/>
        <v>194.35309916548775</v>
      </c>
      <c r="BF154" t="s">
        <v>1118</v>
      </c>
      <c r="BG154">
        <v>532.13</v>
      </c>
      <c r="BH154">
        <f t="shared" si="218"/>
        <v>532.13</v>
      </c>
      <c r="BI154">
        <f t="shared" si="219"/>
        <v>0.35355822087928113</v>
      </c>
      <c r="BJ154">
        <f t="shared" si="220"/>
        <v>0.57739206552095468</v>
      </c>
      <c r="BK154">
        <f t="shared" si="221"/>
        <v>-3.0979683412810552</v>
      </c>
      <c r="BL154">
        <f t="shared" si="222"/>
        <v>0.26084451773491724</v>
      </c>
      <c r="BM154">
        <f t="shared" si="223"/>
        <v>-0.51865469821099319</v>
      </c>
      <c r="BN154">
        <f t="shared" si="224"/>
        <v>0.46899097420816366</v>
      </c>
      <c r="BO154">
        <f t="shared" si="225"/>
        <v>0.53100902579183629</v>
      </c>
      <c r="BP154">
        <v>6311</v>
      </c>
      <c r="BQ154">
        <v>290.00000000000011</v>
      </c>
      <c r="BR154">
        <v>781.58</v>
      </c>
      <c r="BS154">
        <v>295</v>
      </c>
      <c r="BT154">
        <v>8064.08</v>
      </c>
      <c r="BU154">
        <v>783.38</v>
      </c>
      <c r="BV154">
        <v>-1.8</v>
      </c>
      <c r="BW154">
        <v>300.00000000000011</v>
      </c>
      <c r="BX154">
        <v>19.3</v>
      </c>
      <c r="BY154">
        <v>823.16771159778045</v>
      </c>
      <c r="BZ154">
        <v>2.9857315924346288</v>
      </c>
      <c r="CA154">
        <v>-32.085489967908323</v>
      </c>
      <c r="CB154">
        <v>2.2119248155209479</v>
      </c>
      <c r="CC154">
        <v>0.88255770897375974</v>
      </c>
      <c r="CD154">
        <v>-4.1610794215795367E-3</v>
      </c>
      <c r="CE154">
        <v>289.99999999999989</v>
      </c>
      <c r="CF154">
        <v>783.9</v>
      </c>
      <c r="CG154">
        <v>735</v>
      </c>
      <c r="CH154">
        <v>8052.67</v>
      </c>
      <c r="CI154">
        <v>783.32</v>
      </c>
      <c r="CJ154">
        <v>0.57999999999999996</v>
      </c>
      <c r="CX154">
        <f t="shared" si="226"/>
        <v>1799.9</v>
      </c>
      <c r="CY154">
        <f t="shared" si="227"/>
        <v>1513.1003996512407</v>
      </c>
      <c r="CZ154">
        <f t="shared" si="228"/>
        <v>0.84065803636382053</v>
      </c>
      <c r="DA154">
        <f t="shared" si="229"/>
        <v>0.16087001018217378</v>
      </c>
      <c r="DB154">
        <v>6</v>
      </c>
      <c r="DC154">
        <v>0.5</v>
      </c>
      <c r="DD154" t="s">
        <v>422</v>
      </c>
      <c r="DE154">
        <v>2</v>
      </c>
      <c r="DF154">
        <v>1689028542.0999999</v>
      </c>
      <c r="DG154">
        <v>171.928</v>
      </c>
      <c r="DH154">
        <v>199.964</v>
      </c>
      <c r="DI154">
        <v>28.0547</v>
      </c>
      <c r="DJ154">
        <v>23.0596</v>
      </c>
      <c r="DK154">
        <v>171.84800000000001</v>
      </c>
      <c r="DL154">
        <v>28.0045</v>
      </c>
      <c r="DM154">
        <v>500.017</v>
      </c>
      <c r="DN154">
        <v>98.904899999999998</v>
      </c>
      <c r="DO154">
        <v>9.9668699999999999E-2</v>
      </c>
      <c r="DP154">
        <v>29.9848</v>
      </c>
      <c r="DQ154">
        <v>30.006</v>
      </c>
      <c r="DR154">
        <v>999.9</v>
      </c>
      <c r="DS154">
        <v>0</v>
      </c>
      <c r="DT154">
        <v>0</v>
      </c>
      <c r="DU154">
        <v>9993.75</v>
      </c>
      <c r="DV154">
        <v>0</v>
      </c>
      <c r="DW154">
        <v>1069.19</v>
      </c>
      <c r="DX154">
        <v>-28.035799999999998</v>
      </c>
      <c r="DY154">
        <v>176.89099999999999</v>
      </c>
      <c r="DZ154">
        <v>204.684</v>
      </c>
      <c r="EA154">
        <v>4.9951400000000001</v>
      </c>
      <c r="EB154">
        <v>199.964</v>
      </c>
      <c r="EC154">
        <v>23.0596</v>
      </c>
      <c r="ED154">
        <v>2.77475</v>
      </c>
      <c r="EE154">
        <v>2.28071</v>
      </c>
      <c r="EF154">
        <v>22.7346</v>
      </c>
      <c r="EG154">
        <v>19.540800000000001</v>
      </c>
      <c r="EH154">
        <v>1799.9</v>
      </c>
      <c r="EI154">
        <v>0.97800500000000001</v>
      </c>
      <c r="EJ154">
        <v>2.19951E-2</v>
      </c>
      <c r="EK154">
        <v>0</v>
      </c>
      <c r="EL154">
        <v>655.30200000000002</v>
      </c>
      <c r="EM154">
        <v>5.0005300000000004</v>
      </c>
      <c r="EN154">
        <v>14209.2</v>
      </c>
      <c r="EO154">
        <v>16034.4</v>
      </c>
      <c r="EP154">
        <v>47.686999999999998</v>
      </c>
      <c r="EQ154">
        <v>48.875</v>
      </c>
      <c r="ER154">
        <v>48.186999999999998</v>
      </c>
      <c r="ES154">
        <v>48.311999999999998</v>
      </c>
      <c r="ET154">
        <v>49</v>
      </c>
      <c r="EU154">
        <v>1755.42</v>
      </c>
      <c r="EV154">
        <v>39.479999999999997</v>
      </c>
      <c r="EW154">
        <v>0</v>
      </c>
      <c r="EX154">
        <v>163.4000000953674</v>
      </c>
      <c r="EY154">
        <v>0</v>
      </c>
      <c r="EZ154">
        <v>655.12484615384608</v>
      </c>
      <c r="FA154">
        <v>-1.587760683481608</v>
      </c>
      <c r="FB154">
        <v>-7.9589743995409519</v>
      </c>
      <c r="FC154">
        <v>14207.56923076923</v>
      </c>
      <c r="FD154">
        <v>15</v>
      </c>
      <c r="FE154">
        <v>1689028453.0999999</v>
      </c>
      <c r="FF154" t="s">
        <v>1119</v>
      </c>
      <c r="FG154">
        <v>1689028449.5999999</v>
      </c>
      <c r="FH154">
        <v>1689028453.0999999</v>
      </c>
      <c r="FI154">
        <v>151</v>
      </c>
      <c r="FJ154">
        <v>-4.8000000000000001E-2</v>
      </c>
      <c r="FK154">
        <v>0</v>
      </c>
      <c r="FL154">
        <v>7.3999999999999996E-2</v>
      </c>
      <c r="FM154">
        <v>4.2999999999999997E-2</v>
      </c>
      <c r="FN154">
        <v>200</v>
      </c>
      <c r="FO154">
        <v>23</v>
      </c>
      <c r="FP154">
        <v>0.15</v>
      </c>
      <c r="FQ154">
        <v>0.02</v>
      </c>
      <c r="FR154">
        <v>22.518481663944069</v>
      </c>
      <c r="FS154">
        <v>0.63971533751996001</v>
      </c>
      <c r="FT154">
        <v>5.0645087379326957E-2</v>
      </c>
      <c r="FU154">
        <v>1</v>
      </c>
      <c r="FV154">
        <v>0.2890011381057927</v>
      </c>
      <c r="FW154">
        <v>1.223318324699217E-2</v>
      </c>
      <c r="FX154">
        <v>9.406497203617595E-4</v>
      </c>
      <c r="FY154">
        <v>1</v>
      </c>
      <c r="FZ154">
        <v>2</v>
      </c>
      <c r="GA154">
        <v>2</v>
      </c>
      <c r="GB154" t="s">
        <v>424</v>
      </c>
      <c r="GC154">
        <v>3.1229200000000001</v>
      </c>
      <c r="GD154">
        <v>2.7669100000000002</v>
      </c>
      <c r="GE154">
        <v>4.34417E-2</v>
      </c>
      <c r="GF154">
        <v>4.98445E-2</v>
      </c>
      <c r="GG154">
        <v>0.118884</v>
      </c>
      <c r="GH154">
        <v>0.103926</v>
      </c>
      <c r="GI154">
        <v>22844.9</v>
      </c>
      <c r="GJ154">
        <v>23556</v>
      </c>
      <c r="GK154">
        <v>23746.799999999999</v>
      </c>
      <c r="GL154">
        <v>25106.5</v>
      </c>
      <c r="GM154">
        <v>30154.7</v>
      </c>
      <c r="GN154">
        <v>31562.7</v>
      </c>
      <c r="GO154">
        <v>37852</v>
      </c>
      <c r="GP154">
        <v>39072.199999999997</v>
      </c>
      <c r="GQ154">
        <v>2.13937</v>
      </c>
      <c r="GR154">
        <v>1.7217800000000001</v>
      </c>
      <c r="GS154">
        <v>2.43038E-2</v>
      </c>
      <c r="GT154">
        <v>0</v>
      </c>
      <c r="GU154">
        <v>29.610399999999998</v>
      </c>
      <c r="GV154">
        <v>999.9</v>
      </c>
      <c r="GW154">
        <v>31.1</v>
      </c>
      <c r="GX154">
        <v>43.9</v>
      </c>
      <c r="GY154">
        <v>28.630400000000002</v>
      </c>
      <c r="GZ154">
        <v>61.787100000000002</v>
      </c>
      <c r="HA154">
        <v>27.708300000000001</v>
      </c>
      <c r="HB154">
        <v>1</v>
      </c>
      <c r="HC154">
        <v>0.62219500000000005</v>
      </c>
      <c r="HD154">
        <v>2.69875</v>
      </c>
      <c r="HE154">
        <v>20.350000000000001</v>
      </c>
      <c r="HF154">
        <v>5.2529300000000001</v>
      </c>
      <c r="HG154">
        <v>12.0099</v>
      </c>
      <c r="HH154">
        <v>4.9793000000000003</v>
      </c>
      <c r="HI154">
        <v>3.2930000000000001</v>
      </c>
      <c r="HJ154">
        <v>9999</v>
      </c>
      <c r="HK154">
        <v>9999</v>
      </c>
      <c r="HL154">
        <v>9999</v>
      </c>
      <c r="HM154">
        <v>239.4</v>
      </c>
      <c r="HN154">
        <v>1.87578</v>
      </c>
      <c r="HO154">
        <v>1.87683</v>
      </c>
      <c r="HP154">
        <v>1.88293</v>
      </c>
      <c r="HQ154">
        <v>1.8861300000000001</v>
      </c>
      <c r="HR154">
        <v>1.87683</v>
      </c>
      <c r="HS154">
        <v>1.8833599999999999</v>
      </c>
      <c r="HT154">
        <v>1.88232</v>
      </c>
      <c r="HU154">
        <v>1.8857900000000001</v>
      </c>
      <c r="HV154">
        <v>0</v>
      </c>
      <c r="HW154">
        <v>0</v>
      </c>
      <c r="HX154">
        <v>0</v>
      </c>
      <c r="HY154">
        <v>0</v>
      </c>
      <c r="HZ154" t="s">
        <v>425</v>
      </c>
      <c r="IA154" t="s">
        <v>426</v>
      </c>
      <c r="IB154" t="s">
        <v>427</v>
      </c>
      <c r="IC154" t="s">
        <v>427</v>
      </c>
      <c r="ID154" t="s">
        <v>427</v>
      </c>
      <c r="IE154" t="s">
        <v>427</v>
      </c>
      <c r="IF154">
        <v>0</v>
      </c>
      <c r="IG154">
        <v>100</v>
      </c>
      <c r="IH154">
        <v>100</v>
      </c>
      <c r="II154">
        <v>0.08</v>
      </c>
      <c r="IJ154">
        <v>5.0200000000000002E-2</v>
      </c>
      <c r="IK154">
        <v>0.13592303727904179</v>
      </c>
      <c r="IL154">
        <v>-4.2852564239613137E-4</v>
      </c>
      <c r="IM154">
        <v>6.4980710991155998E-7</v>
      </c>
      <c r="IN154">
        <v>-2.7237938963984961E-10</v>
      </c>
      <c r="IO154">
        <v>-7.7135301030679098E-3</v>
      </c>
      <c r="IP154">
        <v>6.6907473102813496E-3</v>
      </c>
      <c r="IQ154">
        <v>-3.3673306238274028E-4</v>
      </c>
      <c r="IR154">
        <v>6.1311374003140313E-6</v>
      </c>
      <c r="IS154">
        <v>3</v>
      </c>
      <c r="IT154">
        <v>2101</v>
      </c>
      <c r="IU154">
        <v>1</v>
      </c>
      <c r="IV154">
        <v>32</v>
      </c>
      <c r="IW154">
        <v>1.5</v>
      </c>
      <c r="IX154">
        <v>1.5</v>
      </c>
      <c r="IY154">
        <v>0.58837899999999999</v>
      </c>
      <c r="IZ154">
        <v>2.7160600000000001</v>
      </c>
      <c r="JA154">
        <v>1.6015600000000001</v>
      </c>
      <c r="JB154">
        <v>2.3278799999999999</v>
      </c>
      <c r="JC154">
        <v>1.5502899999999999</v>
      </c>
      <c r="JD154">
        <v>2.4377399999999998</v>
      </c>
      <c r="JE154">
        <v>46.0077</v>
      </c>
      <c r="JF154">
        <v>16.119599999999998</v>
      </c>
      <c r="JG154">
        <v>18</v>
      </c>
      <c r="JH154">
        <v>600.90899999999999</v>
      </c>
      <c r="JI154">
        <v>382.82600000000002</v>
      </c>
      <c r="JJ154">
        <v>26.901399999999999</v>
      </c>
      <c r="JK154">
        <v>34.930100000000003</v>
      </c>
      <c r="JL154">
        <v>29.999700000000001</v>
      </c>
      <c r="JM154">
        <v>35.118499999999997</v>
      </c>
      <c r="JN154">
        <v>35.125799999999998</v>
      </c>
      <c r="JO154">
        <v>11.7523</v>
      </c>
      <c r="JP154">
        <v>22.1737</v>
      </c>
      <c r="JQ154">
        <v>15.010300000000001</v>
      </c>
      <c r="JR154">
        <v>26.8992</v>
      </c>
      <c r="JS154">
        <v>200</v>
      </c>
      <c r="JT154">
        <v>23.061699999999998</v>
      </c>
      <c r="JU154">
        <v>98.728999999999999</v>
      </c>
      <c r="JV154">
        <v>98.878500000000003</v>
      </c>
    </row>
    <row r="155" spans="1:282" x14ac:dyDescent="0.25">
      <c r="A155">
        <v>139</v>
      </c>
      <c r="B155">
        <v>1689028671.5999999</v>
      </c>
      <c r="C155">
        <v>28849</v>
      </c>
      <c r="D155" t="s">
        <v>1120</v>
      </c>
      <c r="E155" t="s">
        <v>1121</v>
      </c>
      <c r="F155" t="s">
        <v>414</v>
      </c>
      <c r="G155" t="s">
        <v>415</v>
      </c>
      <c r="H155" t="s">
        <v>31</v>
      </c>
      <c r="I155" t="s">
        <v>501</v>
      </c>
      <c r="J155" t="s">
        <v>418</v>
      </c>
      <c r="K155">
        <v>1689028671.5999999</v>
      </c>
      <c r="L155">
        <f t="shared" si="184"/>
        <v>4.6426055398273366E-3</v>
      </c>
      <c r="M155">
        <f t="shared" si="185"/>
        <v>4.6426055398273363</v>
      </c>
      <c r="N155">
        <f t="shared" si="186"/>
        <v>14.196696870318595</v>
      </c>
      <c r="O155">
        <f t="shared" si="187"/>
        <v>102.557</v>
      </c>
      <c r="P155">
        <f t="shared" si="188"/>
        <v>26.755948747011875</v>
      </c>
      <c r="Q155">
        <f t="shared" si="189"/>
        <v>2.6489265704154863</v>
      </c>
      <c r="R155">
        <f t="shared" si="190"/>
        <v>10.153478945964901</v>
      </c>
      <c r="S155">
        <f t="shared" si="191"/>
        <v>0.3221017067724139</v>
      </c>
      <c r="T155">
        <f t="shared" si="192"/>
        <v>2.8997322436288333</v>
      </c>
      <c r="U155">
        <f t="shared" si="193"/>
        <v>0.30346281470182468</v>
      </c>
      <c r="V155">
        <f t="shared" si="194"/>
        <v>0.19124894888392807</v>
      </c>
      <c r="W155">
        <f t="shared" si="195"/>
        <v>289.60579132702543</v>
      </c>
      <c r="X155">
        <f t="shared" si="196"/>
        <v>30.463820757483678</v>
      </c>
      <c r="Y155">
        <f t="shared" si="197"/>
        <v>29.9741</v>
      </c>
      <c r="Z155">
        <f t="shared" si="198"/>
        <v>4.254115716025253</v>
      </c>
      <c r="AA155">
        <f t="shared" si="199"/>
        <v>65.718129961235988</v>
      </c>
      <c r="AB155">
        <f t="shared" si="200"/>
        <v>2.79339722453064</v>
      </c>
      <c r="AC155">
        <f t="shared" si="201"/>
        <v>4.250573207390917</v>
      </c>
      <c r="AD155">
        <f t="shared" si="202"/>
        <v>1.460718491494613</v>
      </c>
      <c r="AE155">
        <f t="shared" si="203"/>
        <v>-204.73890430638554</v>
      </c>
      <c r="AF155">
        <f t="shared" si="204"/>
        <v>-2.2667902884187772</v>
      </c>
      <c r="AG155">
        <f t="shared" si="205"/>
        <v>-0.17376007212488573</v>
      </c>
      <c r="AH155">
        <f t="shared" si="206"/>
        <v>82.42633666009624</v>
      </c>
      <c r="AI155">
        <v>0</v>
      </c>
      <c r="AJ155">
        <v>0</v>
      </c>
      <c r="AK155">
        <f t="shared" si="207"/>
        <v>1</v>
      </c>
      <c r="AL155">
        <f t="shared" si="208"/>
        <v>0</v>
      </c>
      <c r="AM155">
        <f t="shared" si="209"/>
        <v>51488.150070096759</v>
      </c>
      <c r="AN155" t="s">
        <v>419</v>
      </c>
      <c r="AO155">
        <v>9967.0300000000007</v>
      </c>
      <c r="AP155">
        <v>178.94153846153841</v>
      </c>
      <c r="AQ155">
        <v>603.15</v>
      </c>
      <c r="AR155">
        <f t="shared" si="210"/>
        <v>0.7033216638290003</v>
      </c>
      <c r="AS155">
        <v>-3.2649104154664181</v>
      </c>
      <c r="AT155" t="s">
        <v>1122</v>
      </c>
      <c r="AU155">
        <v>8063.97</v>
      </c>
      <c r="AV155">
        <v>667.25192000000015</v>
      </c>
      <c r="AW155">
        <v>780.21400360133941</v>
      </c>
      <c r="AX155">
        <f t="shared" si="211"/>
        <v>0.14478346079399351</v>
      </c>
      <c r="AY155">
        <v>0.5</v>
      </c>
      <c r="AZ155">
        <f t="shared" si="212"/>
        <v>1513.3943996513085</v>
      </c>
      <c r="BA155">
        <f t="shared" si="213"/>
        <v>14.196696870318595</v>
      </c>
      <c r="BB155">
        <f t="shared" si="214"/>
        <v>109.55723936388229</v>
      </c>
      <c r="BC155">
        <f t="shared" si="215"/>
        <v>1.153804143176969E-2</v>
      </c>
      <c r="BD155">
        <f t="shared" si="216"/>
        <v>-0.22694286796191959</v>
      </c>
      <c r="BE155">
        <f t="shared" si="217"/>
        <v>191.85923513409156</v>
      </c>
      <c r="BF155" t="s">
        <v>1123</v>
      </c>
      <c r="BG155">
        <v>551.15</v>
      </c>
      <c r="BH155">
        <f t="shared" si="218"/>
        <v>551.15</v>
      </c>
      <c r="BI155">
        <f t="shared" si="219"/>
        <v>0.29359124873947107</v>
      </c>
      <c r="BJ155">
        <f t="shared" si="220"/>
        <v>0.49314637754231028</v>
      </c>
      <c r="BK155">
        <f t="shared" si="221"/>
        <v>-3.4050769923334507</v>
      </c>
      <c r="BL155">
        <f t="shared" si="222"/>
        <v>0.18787170567518774</v>
      </c>
      <c r="BM155">
        <f t="shared" si="223"/>
        <v>-0.41739856616529475</v>
      </c>
      <c r="BN155">
        <f t="shared" si="224"/>
        <v>0.40733884434898926</v>
      </c>
      <c r="BO155">
        <f t="shared" si="225"/>
        <v>0.59266115565101074</v>
      </c>
      <c r="BP155">
        <v>6313</v>
      </c>
      <c r="BQ155">
        <v>290.00000000000011</v>
      </c>
      <c r="BR155">
        <v>752.94</v>
      </c>
      <c r="BS155">
        <v>295</v>
      </c>
      <c r="BT155">
        <v>8063.97</v>
      </c>
      <c r="BU155">
        <v>753.34</v>
      </c>
      <c r="BV155">
        <v>-0.4</v>
      </c>
      <c r="BW155">
        <v>300.00000000000011</v>
      </c>
      <c r="BX155">
        <v>19.3</v>
      </c>
      <c r="BY155">
        <v>780.21400360133941</v>
      </c>
      <c r="BZ155">
        <v>2.910706637457142</v>
      </c>
      <c r="CA155">
        <v>-21.672997390215901</v>
      </c>
      <c r="CB155">
        <v>2.1563115300753979</v>
      </c>
      <c r="CC155">
        <v>0.78298234994566407</v>
      </c>
      <c r="CD155">
        <v>-4.1608912124582948E-3</v>
      </c>
      <c r="CE155">
        <v>289.99999999999989</v>
      </c>
      <c r="CF155">
        <v>752.94</v>
      </c>
      <c r="CG155">
        <v>635</v>
      </c>
      <c r="CH155">
        <v>8055.44</v>
      </c>
      <c r="CI155">
        <v>753.31</v>
      </c>
      <c r="CJ155">
        <v>-0.37</v>
      </c>
      <c r="CX155">
        <f t="shared" si="226"/>
        <v>1800.25</v>
      </c>
      <c r="CY155">
        <f t="shared" si="227"/>
        <v>1513.3943996513085</v>
      </c>
      <c r="CZ155">
        <f t="shared" si="228"/>
        <v>0.84065790843011168</v>
      </c>
      <c r="DA155">
        <f t="shared" si="229"/>
        <v>0.16086976327011551</v>
      </c>
      <c r="DB155">
        <v>6</v>
      </c>
      <c r="DC155">
        <v>0.5</v>
      </c>
      <c r="DD155" t="s">
        <v>422</v>
      </c>
      <c r="DE155">
        <v>2</v>
      </c>
      <c r="DF155">
        <v>1689028671.5999999</v>
      </c>
      <c r="DG155">
        <v>102.557</v>
      </c>
      <c r="DH155">
        <v>120.16200000000001</v>
      </c>
      <c r="DI155">
        <v>28.215199999999999</v>
      </c>
      <c r="DJ155">
        <v>22.802</v>
      </c>
      <c r="DK155">
        <v>102.381</v>
      </c>
      <c r="DL155">
        <v>28.168500000000002</v>
      </c>
      <c r="DM155">
        <v>500.06799999999998</v>
      </c>
      <c r="DN155">
        <v>98.903400000000005</v>
      </c>
      <c r="DO155">
        <v>9.9875699999999998E-2</v>
      </c>
      <c r="DP155">
        <v>29.959599999999998</v>
      </c>
      <c r="DQ155">
        <v>29.9741</v>
      </c>
      <c r="DR155">
        <v>999.9</v>
      </c>
      <c r="DS155">
        <v>0</v>
      </c>
      <c r="DT155">
        <v>0</v>
      </c>
      <c r="DU155">
        <v>9940</v>
      </c>
      <c r="DV155">
        <v>0</v>
      </c>
      <c r="DW155">
        <v>1057.49</v>
      </c>
      <c r="DX155">
        <v>-17.604900000000001</v>
      </c>
      <c r="DY155">
        <v>105.53400000000001</v>
      </c>
      <c r="DZ155">
        <v>122.965</v>
      </c>
      <c r="EA155">
        <v>5.4132100000000003</v>
      </c>
      <c r="EB155">
        <v>120.16200000000001</v>
      </c>
      <c r="EC155">
        <v>22.802</v>
      </c>
      <c r="ED155">
        <v>2.7905799999999998</v>
      </c>
      <c r="EE155">
        <v>2.2551999999999999</v>
      </c>
      <c r="EF155">
        <v>22.828499999999998</v>
      </c>
      <c r="EG155">
        <v>19.3599</v>
      </c>
      <c r="EH155">
        <v>1800.25</v>
      </c>
      <c r="EI155">
        <v>0.97800900000000002</v>
      </c>
      <c r="EJ155">
        <v>2.1991500000000001E-2</v>
      </c>
      <c r="EK155">
        <v>0</v>
      </c>
      <c r="EL155">
        <v>666.98199999999997</v>
      </c>
      <c r="EM155">
        <v>5.0005300000000004</v>
      </c>
      <c r="EN155">
        <v>14442.5</v>
      </c>
      <c r="EO155">
        <v>16037.5</v>
      </c>
      <c r="EP155">
        <v>47.686999999999998</v>
      </c>
      <c r="EQ155">
        <v>48.875</v>
      </c>
      <c r="ER155">
        <v>48.186999999999998</v>
      </c>
      <c r="ES155">
        <v>48.311999999999998</v>
      </c>
      <c r="ET155">
        <v>48.936999999999998</v>
      </c>
      <c r="EU155">
        <v>1755.77</v>
      </c>
      <c r="EV155">
        <v>39.479999999999997</v>
      </c>
      <c r="EW155">
        <v>0</v>
      </c>
      <c r="EX155">
        <v>127.4000000953674</v>
      </c>
      <c r="EY155">
        <v>0</v>
      </c>
      <c r="EZ155">
        <v>667.25192000000015</v>
      </c>
      <c r="FA155">
        <v>-3.2998461380067572</v>
      </c>
      <c r="FB155">
        <v>-45.115384490052953</v>
      </c>
      <c r="FC155">
        <v>14450.308000000001</v>
      </c>
      <c r="FD155">
        <v>15</v>
      </c>
      <c r="FE155">
        <v>1689028639.5999999</v>
      </c>
      <c r="FF155" t="s">
        <v>1124</v>
      </c>
      <c r="FG155">
        <v>1689028633.5999999</v>
      </c>
      <c r="FH155">
        <v>1689028639.5999999</v>
      </c>
      <c r="FI155">
        <v>152</v>
      </c>
      <c r="FJ155">
        <v>7.6999999999999999E-2</v>
      </c>
      <c r="FK155">
        <v>-4.0000000000000001E-3</v>
      </c>
      <c r="FL155">
        <v>0.17100000000000001</v>
      </c>
      <c r="FM155">
        <v>3.9E-2</v>
      </c>
      <c r="FN155">
        <v>120</v>
      </c>
      <c r="FO155">
        <v>23</v>
      </c>
      <c r="FP155">
        <v>0.14000000000000001</v>
      </c>
      <c r="FQ155">
        <v>0.02</v>
      </c>
      <c r="FR155">
        <v>14.145209878081619</v>
      </c>
      <c r="FS155">
        <v>-0.2269482356667632</v>
      </c>
      <c r="FT155">
        <v>2.372111597834994E-2</v>
      </c>
      <c r="FU155">
        <v>1</v>
      </c>
      <c r="FV155">
        <v>0.3185688665699199</v>
      </c>
      <c r="FW155">
        <v>4.6076888045131437E-2</v>
      </c>
      <c r="FX155">
        <v>3.8212251111287001E-3</v>
      </c>
      <c r="FY155">
        <v>1</v>
      </c>
      <c r="FZ155">
        <v>2</v>
      </c>
      <c r="GA155">
        <v>2</v>
      </c>
      <c r="GB155" t="s">
        <v>424</v>
      </c>
      <c r="GC155">
        <v>3.1227800000000001</v>
      </c>
      <c r="GD155">
        <v>2.7666499999999998</v>
      </c>
      <c r="GE155">
        <v>2.67757E-2</v>
      </c>
      <c r="GF155">
        <v>3.1245499999999999E-2</v>
      </c>
      <c r="GG155">
        <v>0.11938799999999999</v>
      </c>
      <c r="GH155">
        <v>0.10312200000000001</v>
      </c>
      <c r="GI155">
        <v>23246.9</v>
      </c>
      <c r="GJ155">
        <v>24021.7</v>
      </c>
      <c r="GK155">
        <v>23751.200000000001</v>
      </c>
      <c r="GL155">
        <v>25111.4</v>
      </c>
      <c r="GM155">
        <v>30142.7</v>
      </c>
      <c r="GN155">
        <v>31597.5</v>
      </c>
      <c r="GO155">
        <v>37858.5</v>
      </c>
      <c r="GP155">
        <v>39080</v>
      </c>
      <c r="GQ155">
        <v>2.1402199999999998</v>
      </c>
      <c r="GR155">
        <v>1.7237499999999999</v>
      </c>
      <c r="GS155">
        <v>2.0451799999999999E-2</v>
      </c>
      <c r="GT155">
        <v>0</v>
      </c>
      <c r="GU155">
        <v>29.641100000000002</v>
      </c>
      <c r="GV155">
        <v>999.9</v>
      </c>
      <c r="GW155">
        <v>30.4</v>
      </c>
      <c r="GX155">
        <v>43.8</v>
      </c>
      <c r="GY155">
        <v>27.838699999999999</v>
      </c>
      <c r="GZ155">
        <v>61.5471</v>
      </c>
      <c r="HA155">
        <v>27.031199999999998</v>
      </c>
      <c r="HB155">
        <v>1</v>
      </c>
      <c r="HC155">
        <v>0.61487000000000003</v>
      </c>
      <c r="HD155">
        <v>2.8973599999999999</v>
      </c>
      <c r="HE155">
        <v>20.346699999999998</v>
      </c>
      <c r="HF155">
        <v>5.2496400000000003</v>
      </c>
      <c r="HG155">
        <v>12.0099</v>
      </c>
      <c r="HH155">
        <v>4.9781000000000004</v>
      </c>
      <c r="HI155">
        <v>3.2924799999999999</v>
      </c>
      <c r="HJ155">
        <v>9999</v>
      </c>
      <c r="HK155">
        <v>9999</v>
      </c>
      <c r="HL155">
        <v>9999</v>
      </c>
      <c r="HM155">
        <v>239.4</v>
      </c>
      <c r="HN155">
        <v>1.8757600000000001</v>
      </c>
      <c r="HO155">
        <v>1.8768199999999999</v>
      </c>
      <c r="HP155">
        <v>1.88293</v>
      </c>
      <c r="HQ155">
        <v>1.8861300000000001</v>
      </c>
      <c r="HR155">
        <v>1.8768400000000001</v>
      </c>
      <c r="HS155">
        <v>1.88337</v>
      </c>
      <c r="HT155">
        <v>1.88232</v>
      </c>
      <c r="HU155">
        <v>1.8858200000000001</v>
      </c>
      <c r="HV155">
        <v>0</v>
      </c>
      <c r="HW155">
        <v>0</v>
      </c>
      <c r="HX155">
        <v>0</v>
      </c>
      <c r="HY155">
        <v>0</v>
      </c>
      <c r="HZ155" t="s">
        <v>425</v>
      </c>
      <c r="IA155" t="s">
        <v>426</v>
      </c>
      <c r="IB155" t="s">
        <v>427</v>
      </c>
      <c r="IC155" t="s">
        <v>427</v>
      </c>
      <c r="ID155" t="s">
        <v>427</v>
      </c>
      <c r="IE155" t="s">
        <v>427</v>
      </c>
      <c r="IF155">
        <v>0</v>
      </c>
      <c r="IG155">
        <v>100</v>
      </c>
      <c r="IH155">
        <v>100</v>
      </c>
      <c r="II155">
        <v>0.17599999999999999</v>
      </c>
      <c r="IJ155">
        <v>4.6699999999999998E-2</v>
      </c>
      <c r="IK155">
        <v>0.21325401916500319</v>
      </c>
      <c r="IL155">
        <v>-4.2852564239613137E-4</v>
      </c>
      <c r="IM155">
        <v>6.4980710991155998E-7</v>
      </c>
      <c r="IN155">
        <v>-2.7237938963984961E-10</v>
      </c>
      <c r="IO155">
        <v>-1.160930391613091E-2</v>
      </c>
      <c r="IP155">
        <v>6.6907473102813496E-3</v>
      </c>
      <c r="IQ155">
        <v>-3.3673306238274028E-4</v>
      </c>
      <c r="IR155">
        <v>6.1311374003140313E-6</v>
      </c>
      <c r="IS155">
        <v>3</v>
      </c>
      <c r="IT155">
        <v>2101</v>
      </c>
      <c r="IU155">
        <v>1</v>
      </c>
      <c r="IV155">
        <v>32</v>
      </c>
      <c r="IW155">
        <v>0.6</v>
      </c>
      <c r="IX155">
        <v>0.5</v>
      </c>
      <c r="IY155">
        <v>0.40893600000000002</v>
      </c>
      <c r="IZ155">
        <v>2.7380399999999998</v>
      </c>
      <c r="JA155">
        <v>1.6015600000000001</v>
      </c>
      <c r="JB155">
        <v>2.3278799999999999</v>
      </c>
      <c r="JC155">
        <v>1.5502899999999999</v>
      </c>
      <c r="JD155">
        <v>2.3083499999999999</v>
      </c>
      <c r="JE155">
        <v>45.9788</v>
      </c>
      <c r="JF155">
        <v>16.093399999999999</v>
      </c>
      <c r="JG155">
        <v>18</v>
      </c>
      <c r="JH155">
        <v>600.74199999999996</v>
      </c>
      <c r="JI155">
        <v>383.49900000000002</v>
      </c>
      <c r="JJ155">
        <v>26.706199999999999</v>
      </c>
      <c r="JK155">
        <v>34.834099999999999</v>
      </c>
      <c r="JL155">
        <v>30.0001</v>
      </c>
      <c r="JM155">
        <v>35.031500000000001</v>
      </c>
      <c r="JN155">
        <v>35.037199999999999</v>
      </c>
      <c r="JO155">
        <v>8.1660500000000003</v>
      </c>
      <c r="JP155">
        <v>20.3718</v>
      </c>
      <c r="JQ155">
        <v>14.8668</v>
      </c>
      <c r="JR155">
        <v>26.714200000000002</v>
      </c>
      <c r="JS155">
        <v>120</v>
      </c>
      <c r="JT155">
        <v>22.6997</v>
      </c>
      <c r="JU155">
        <v>98.746600000000001</v>
      </c>
      <c r="JV155">
        <v>98.898099999999999</v>
      </c>
    </row>
    <row r="156" spans="1:282" x14ac:dyDescent="0.25">
      <c r="A156">
        <v>140</v>
      </c>
      <c r="B156">
        <v>1689028776.0999999</v>
      </c>
      <c r="C156">
        <v>28953.5</v>
      </c>
      <c r="D156" t="s">
        <v>1125</v>
      </c>
      <c r="E156" t="s">
        <v>1126</v>
      </c>
      <c r="F156" t="s">
        <v>414</v>
      </c>
      <c r="G156" t="s">
        <v>415</v>
      </c>
      <c r="H156" t="s">
        <v>31</v>
      </c>
      <c r="I156" t="s">
        <v>501</v>
      </c>
      <c r="J156" t="s">
        <v>418</v>
      </c>
      <c r="K156">
        <v>1689028776.0999999</v>
      </c>
      <c r="L156">
        <f t="shared" si="184"/>
        <v>4.7863927961105416E-3</v>
      </c>
      <c r="M156">
        <f t="shared" si="185"/>
        <v>4.7863927961105412</v>
      </c>
      <c r="N156">
        <f t="shared" si="186"/>
        <v>8.7310634399199749</v>
      </c>
      <c r="O156">
        <f t="shared" si="187"/>
        <v>59.312399999999997</v>
      </c>
      <c r="P156">
        <f t="shared" si="188"/>
        <v>14.303269219325719</v>
      </c>
      <c r="Q156">
        <f t="shared" si="189"/>
        <v>1.4160821445023917</v>
      </c>
      <c r="R156">
        <f t="shared" si="190"/>
        <v>5.8721701521285592</v>
      </c>
      <c r="S156">
        <f t="shared" si="191"/>
        <v>0.33384916049073582</v>
      </c>
      <c r="T156">
        <f t="shared" si="192"/>
        <v>2.9093792329868267</v>
      </c>
      <c r="U156">
        <f t="shared" si="193"/>
        <v>0.31393316121541831</v>
      </c>
      <c r="V156">
        <f t="shared" si="194"/>
        <v>0.19789851614198745</v>
      </c>
      <c r="W156">
        <f t="shared" si="195"/>
        <v>289.58983132698808</v>
      </c>
      <c r="X156">
        <f t="shared" si="196"/>
        <v>30.47319917449229</v>
      </c>
      <c r="Y156">
        <f t="shared" si="197"/>
        <v>29.974499999999999</v>
      </c>
      <c r="Z156">
        <f t="shared" si="198"/>
        <v>4.2542134768596336</v>
      </c>
      <c r="AA156">
        <f t="shared" si="199"/>
        <v>65.654834389946075</v>
      </c>
      <c r="AB156">
        <f t="shared" si="200"/>
        <v>2.7985089934340399</v>
      </c>
      <c r="AC156">
        <f t="shared" si="201"/>
        <v>4.2624568616116782</v>
      </c>
      <c r="AD156">
        <f t="shared" si="202"/>
        <v>1.4557044834255937</v>
      </c>
      <c r="AE156">
        <f t="shared" si="203"/>
        <v>-211.07992230847489</v>
      </c>
      <c r="AF156">
        <f t="shared" si="204"/>
        <v>5.2858602731360218</v>
      </c>
      <c r="AG156">
        <f t="shared" si="205"/>
        <v>0.40394035594905325</v>
      </c>
      <c r="AH156">
        <f t="shared" si="206"/>
        <v>84.19970964759824</v>
      </c>
      <c r="AI156">
        <v>0</v>
      </c>
      <c r="AJ156">
        <v>0</v>
      </c>
      <c r="AK156">
        <f t="shared" si="207"/>
        <v>1</v>
      </c>
      <c r="AL156">
        <f t="shared" si="208"/>
        <v>0</v>
      </c>
      <c r="AM156">
        <f t="shared" si="209"/>
        <v>51753.657409819782</v>
      </c>
      <c r="AN156" t="s">
        <v>419</v>
      </c>
      <c r="AO156">
        <v>9967.0300000000007</v>
      </c>
      <c r="AP156">
        <v>178.94153846153841</v>
      </c>
      <c r="AQ156">
        <v>603.15</v>
      </c>
      <c r="AR156">
        <f t="shared" si="210"/>
        <v>0.7033216638290003</v>
      </c>
      <c r="AS156">
        <v>-3.2649104154664181</v>
      </c>
      <c r="AT156" t="s">
        <v>1127</v>
      </c>
      <c r="AU156">
        <v>8064.51</v>
      </c>
      <c r="AV156">
        <v>681.31031999999993</v>
      </c>
      <c r="AW156">
        <v>764.00320415020451</v>
      </c>
      <c r="AX156">
        <f t="shared" si="211"/>
        <v>0.10823630542516283</v>
      </c>
      <c r="AY156">
        <v>0.5</v>
      </c>
      <c r="AZ156">
        <f t="shared" si="212"/>
        <v>1513.3103996512893</v>
      </c>
      <c r="BA156">
        <f t="shared" si="213"/>
        <v>8.7310634399199749</v>
      </c>
      <c r="BB156">
        <f t="shared" si="214"/>
        <v>81.897563309866086</v>
      </c>
      <c r="BC156">
        <f t="shared" si="215"/>
        <v>7.9269750991935381E-3</v>
      </c>
      <c r="BD156">
        <f t="shared" si="216"/>
        <v>-0.21053996014207879</v>
      </c>
      <c r="BE156">
        <f t="shared" si="217"/>
        <v>190.86336935915315</v>
      </c>
      <c r="BF156" t="s">
        <v>1128</v>
      </c>
      <c r="BG156">
        <v>573.87</v>
      </c>
      <c r="BH156">
        <f t="shared" si="218"/>
        <v>573.87</v>
      </c>
      <c r="BI156">
        <f t="shared" si="219"/>
        <v>0.24886440674249311</v>
      </c>
      <c r="BJ156">
        <f t="shared" si="220"/>
        <v>0.43492079418636165</v>
      </c>
      <c r="BK156">
        <f t="shared" si="221"/>
        <v>-5.4936203603211986</v>
      </c>
      <c r="BL156">
        <f t="shared" si="222"/>
        <v>0.14134045862134581</v>
      </c>
      <c r="BM156">
        <f t="shared" si="223"/>
        <v>-0.37918433679244401</v>
      </c>
      <c r="BN156">
        <f t="shared" si="224"/>
        <v>0.36633526431792107</v>
      </c>
      <c r="BO156">
        <f t="shared" si="225"/>
        <v>0.63366473568207893</v>
      </c>
      <c r="BP156">
        <v>6315</v>
      </c>
      <c r="BQ156">
        <v>290.00000000000011</v>
      </c>
      <c r="BR156">
        <v>741.7</v>
      </c>
      <c r="BS156">
        <v>295</v>
      </c>
      <c r="BT156">
        <v>8064.51</v>
      </c>
      <c r="BU156">
        <v>741.13</v>
      </c>
      <c r="BV156">
        <v>0.56999999999999995</v>
      </c>
      <c r="BW156">
        <v>300.00000000000011</v>
      </c>
      <c r="BX156">
        <v>19.3</v>
      </c>
      <c r="BY156">
        <v>764.00320415020451</v>
      </c>
      <c r="BZ156">
        <v>2.6410650591947831</v>
      </c>
      <c r="CA156">
        <v>-18.442324329461091</v>
      </c>
      <c r="CB156">
        <v>1.9567015787524971</v>
      </c>
      <c r="CC156">
        <v>0.76034495316494666</v>
      </c>
      <c r="CD156">
        <v>-4.1610055617352639E-3</v>
      </c>
      <c r="CE156">
        <v>289.99999999999989</v>
      </c>
      <c r="CF156">
        <v>739.9</v>
      </c>
      <c r="CG156">
        <v>795</v>
      </c>
      <c r="CH156">
        <v>8051.77</v>
      </c>
      <c r="CI156">
        <v>741.1</v>
      </c>
      <c r="CJ156">
        <v>-1.2</v>
      </c>
      <c r="CX156">
        <f t="shared" si="226"/>
        <v>1800.15</v>
      </c>
      <c r="CY156">
        <f t="shared" si="227"/>
        <v>1513.3103996512893</v>
      </c>
      <c r="CZ156">
        <f t="shared" si="228"/>
        <v>0.84065794497752366</v>
      </c>
      <c r="DA156">
        <f t="shared" si="229"/>
        <v>0.16086983380662059</v>
      </c>
      <c r="DB156">
        <v>6</v>
      </c>
      <c r="DC156">
        <v>0.5</v>
      </c>
      <c r="DD156" t="s">
        <v>422</v>
      </c>
      <c r="DE156">
        <v>2</v>
      </c>
      <c r="DF156">
        <v>1689028776.0999999</v>
      </c>
      <c r="DG156">
        <v>59.312399999999997</v>
      </c>
      <c r="DH156">
        <v>70.127600000000001</v>
      </c>
      <c r="DI156">
        <v>28.2666</v>
      </c>
      <c r="DJ156">
        <v>22.686699999999998</v>
      </c>
      <c r="DK156">
        <v>59.089500000000001</v>
      </c>
      <c r="DL156">
        <v>28.217400000000001</v>
      </c>
      <c r="DM156">
        <v>500.12700000000001</v>
      </c>
      <c r="DN156">
        <v>98.9041</v>
      </c>
      <c r="DO156">
        <v>9.9989400000000006E-2</v>
      </c>
      <c r="DP156">
        <v>30.008199999999999</v>
      </c>
      <c r="DQ156">
        <v>29.974499999999999</v>
      </c>
      <c r="DR156">
        <v>999.9</v>
      </c>
      <c r="DS156">
        <v>0</v>
      </c>
      <c r="DT156">
        <v>0</v>
      </c>
      <c r="DU156">
        <v>9995</v>
      </c>
      <c r="DV156">
        <v>0</v>
      </c>
      <c r="DW156">
        <v>1053.07</v>
      </c>
      <c r="DX156">
        <v>-10.815200000000001</v>
      </c>
      <c r="DY156">
        <v>61.037700000000001</v>
      </c>
      <c r="DZ156">
        <v>71.755499999999998</v>
      </c>
      <c r="EA156">
        <v>5.5799099999999999</v>
      </c>
      <c r="EB156">
        <v>70.127600000000001</v>
      </c>
      <c r="EC156">
        <v>22.686699999999998</v>
      </c>
      <c r="ED156">
        <v>2.7956799999999999</v>
      </c>
      <c r="EE156">
        <v>2.2437999999999998</v>
      </c>
      <c r="EF156">
        <v>22.858599999999999</v>
      </c>
      <c r="EG156">
        <v>19.278500000000001</v>
      </c>
      <c r="EH156">
        <v>1800.15</v>
      </c>
      <c r="EI156">
        <v>0.97800500000000001</v>
      </c>
      <c r="EJ156">
        <v>2.19951E-2</v>
      </c>
      <c r="EK156">
        <v>0</v>
      </c>
      <c r="EL156">
        <v>681.13699999999994</v>
      </c>
      <c r="EM156">
        <v>5.0005300000000004</v>
      </c>
      <c r="EN156">
        <v>14749.4</v>
      </c>
      <c r="EO156">
        <v>16036.6</v>
      </c>
      <c r="EP156">
        <v>47.561999999999998</v>
      </c>
      <c r="EQ156">
        <v>48.75</v>
      </c>
      <c r="ER156">
        <v>48.125</v>
      </c>
      <c r="ES156">
        <v>48.186999999999998</v>
      </c>
      <c r="ET156">
        <v>48.875</v>
      </c>
      <c r="EU156">
        <v>1755.67</v>
      </c>
      <c r="EV156">
        <v>39.479999999999997</v>
      </c>
      <c r="EW156">
        <v>0</v>
      </c>
      <c r="EX156">
        <v>102.7999999523163</v>
      </c>
      <c r="EY156">
        <v>0</v>
      </c>
      <c r="EZ156">
        <v>681.31031999999993</v>
      </c>
      <c r="FA156">
        <v>-1.1537692239410979</v>
      </c>
      <c r="FB156">
        <v>60.953845830301063</v>
      </c>
      <c r="FC156">
        <v>14730.928</v>
      </c>
      <c r="FD156">
        <v>15</v>
      </c>
      <c r="FE156">
        <v>1689028743.0999999</v>
      </c>
      <c r="FF156" t="s">
        <v>1129</v>
      </c>
      <c r="FG156">
        <v>1689028734.0999999</v>
      </c>
      <c r="FH156">
        <v>1689028743.0999999</v>
      </c>
      <c r="FI156">
        <v>153</v>
      </c>
      <c r="FJ156">
        <v>3.3000000000000002E-2</v>
      </c>
      <c r="FK156">
        <v>2E-3</v>
      </c>
      <c r="FL156">
        <v>0.219</v>
      </c>
      <c r="FM156">
        <v>0.04</v>
      </c>
      <c r="FN156">
        <v>70</v>
      </c>
      <c r="FO156">
        <v>22</v>
      </c>
      <c r="FP156">
        <v>0.1</v>
      </c>
      <c r="FQ156">
        <v>0.02</v>
      </c>
      <c r="FR156">
        <v>8.6917459254888794</v>
      </c>
      <c r="FS156">
        <v>-0.34106017270871608</v>
      </c>
      <c r="FT156">
        <v>3.544605681648462E-2</v>
      </c>
      <c r="FU156">
        <v>1</v>
      </c>
      <c r="FV156">
        <v>0.32888194502740581</v>
      </c>
      <c r="FW156">
        <v>4.9346512622731042E-2</v>
      </c>
      <c r="FX156">
        <v>3.9880826223383176E-3</v>
      </c>
      <c r="FY156">
        <v>1</v>
      </c>
      <c r="FZ156">
        <v>2</v>
      </c>
      <c r="GA156">
        <v>2</v>
      </c>
      <c r="GB156" t="s">
        <v>424</v>
      </c>
      <c r="GC156">
        <v>3.1226699999999998</v>
      </c>
      <c r="GD156">
        <v>2.7672400000000001</v>
      </c>
      <c r="GE156">
        <v>1.5684300000000002E-2</v>
      </c>
      <c r="GF156">
        <v>1.8587900000000001E-2</v>
      </c>
      <c r="GG156">
        <v>0.11955300000000001</v>
      </c>
      <c r="GH156">
        <v>0.102771</v>
      </c>
      <c r="GI156">
        <v>23515.1</v>
      </c>
      <c r="GJ156">
        <v>24339.5</v>
      </c>
      <c r="GK156">
        <v>23754.799999999999</v>
      </c>
      <c r="GL156">
        <v>25115.7</v>
      </c>
      <c r="GM156">
        <v>30141.5</v>
      </c>
      <c r="GN156">
        <v>31615.3</v>
      </c>
      <c r="GO156">
        <v>37863.9</v>
      </c>
      <c r="GP156">
        <v>39086.6</v>
      </c>
      <c r="GQ156">
        <v>2.1411199999999999</v>
      </c>
      <c r="GR156">
        <v>1.72617</v>
      </c>
      <c r="GS156">
        <v>2.5983900000000001E-2</v>
      </c>
      <c r="GT156">
        <v>0</v>
      </c>
      <c r="GU156">
        <v>29.551500000000001</v>
      </c>
      <c r="GV156">
        <v>999.9</v>
      </c>
      <c r="GW156">
        <v>30</v>
      </c>
      <c r="GX156">
        <v>43.8</v>
      </c>
      <c r="GY156">
        <v>27.471900000000002</v>
      </c>
      <c r="GZ156">
        <v>61.907200000000003</v>
      </c>
      <c r="HA156">
        <v>27.443899999999999</v>
      </c>
      <c r="HB156">
        <v>1</v>
      </c>
      <c r="HC156">
        <v>0.60599099999999995</v>
      </c>
      <c r="HD156">
        <v>2.4057599999999999</v>
      </c>
      <c r="HE156">
        <v>20.354299999999999</v>
      </c>
      <c r="HF156">
        <v>5.2490399999999999</v>
      </c>
      <c r="HG156">
        <v>12.0099</v>
      </c>
      <c r="HH156">
        <v>4.9776499999999997</v>
      </c>
      <c r="HI156">
        <v>3.29223</v>
      </c>
      <c r="HJ156">
        <v>9999</v>
      </c>
      <c r="HK156">
        <v>9999</v>
      </c>
      <c r="HL156">
        <v>9999</v>
      </c>
      <c r="HM156">
        <v>239.4</v>
      </c>
      <c r="HN156">
        <v>1.8757600000000001</v>
      </c>
      <c r="HO156">
        <v>1.8768199999999999</v>
      </c>
      <c r="HP156">
        <v>1.88293</v>
      </c>
      <c r="HQ156">
        <v>1.8861300000000001</v>
      </c>
      <c r="HR156">
        <v>1.87686</v>
      </c>
      <c r="HS156">
        <v>1.8833899999999999</v>
      </c>
      <c r="HT156">
        <v>1.88232</v>
      </c>
      <c r="HU156">
        <v>1.88581</v>
      </c>
      <c r="HV156">
        <v>0</v>
      </c>
      <c r="HW156">
        <v>0</v>
      </c>
      <c r="HX156">
        <v>0</v>
      </c>
      <c r="HY156">
        <v>0</v>
      </c>
      <c r="HZ156" t="s">
        <v>425</v>
      </c>
      <c r="IA156" t="s">
        <v>426</v>
      </c>
      <c r="IB156" t="s">
        <v>427</v>
      </c>
      <c r="IC156" t="s">
        <v>427</v>
      </c>
      <c r="ID156" t="s">
        <v>427</v>
      </c>
      <c r="IE156" t="s">
        <v>427</v>
      </c>
      <c r="IF156">
        <v>0</v>
      </c>
      <c r="IG156">
        <v>100</v>
      </c>
      <c r="IH156">
        <v>100</v>
      </c>
      <c r="II156">
        <v>0.223</v>
      </c>
      <c r="IJ156">
        <v>4.9200000000000001E-2</v>
      </c>
      <c r="IK156">
        <v>0.2459367916536912</v>
      </c>
      <c r="IL156">
        <v>-4.2852564239613137E-4</v>
      </c>
      <c r="IM156">
        <v>6.4980710991155998E-7</v>
      </c>
      <c r="IN156">
        <v>-2.7237938963984961E-10</v>
      </c>
      <c r="IO156">
        <v>-9.2993912240600714E-3</v>
      </c>
      <c r="IP156">
        <v>6.6907473102813496E-3</v>
      </c>
      <c r="IQ156">
        <v>-3.3673306238274028E-4</v>
      </c>
      <c r="IR156">
        <v>6.1311374003140313E-6</v>
      </c>
      <c r="IS156">
        <v>3</v>
      </c>
      <c r="IT156">
        <v>2101</v>
      </c>
      <c r="IU156">
        <v>1</v>
      </c>
      <c r="IV156">
        <v>32</v>
      </c>
      <c r="IW156">
        <v>0.7</v>
      </c>
      <c r="IX156">
        <v>0.6</v>
      </c>
      <c r="IY156">
        <v>0.29785200000000001</v>
      </c>
      <c r="IZ156">
        <v>2.7490199999999998</v>
      </c>
      <c r="JA156">
        <v>1.6015600000000001</v>
      </c>
      <c r="JB156">
        <v>2.3278799999999999</v>
      </c>
      <c r="JC156">
        <v>1.5502899999999999</v>
      </c>
      <c r="JD156">
        <v>2.3877000000000002</v>
      </c>
      <c r="JE156">
        <v>45.9499</v>
      </c>
      <c r="JF156">
        <v>16.093399999999999</v>
      </c>
      <c r="JG156">
        <v>18</v>
      </c>
      <c r="JH156">
        <v>600.70399999999995</v>
      </c>
      <c r="JI156">
        <v>384.51499999999999</v>
      </c>
      <c r="JJ156">
        <v>26.880500000000001</v>
      </c>
      <c r="JK156">
        <v>34.744199999999999</v>
      </c>
      <c r="JL156">
        <v>29.9984</v>
      </c>
      <c r="JM156">
        <v>34.955100000000002</v>
      </c>
      <c r="JN156">
        <v>34.959099999999999</v>
      </c>
      <c r="JO156">
        <v>5.9349699999999999</v>
      </c>
      <c r="JP156">
        <v>18.236499999999999</v>
      </c>
      <c r="JQ156">
        <v>14.948499999999999</v>
      </c>
      <c r="JR156">
        <v>26.9176</v>
      </c>
      <c r="JS156">
        <v>70</v>
      </c>
      <c r="JT156">
        <v>22.590199999999999</v>
      </c>
      <c r="JU156">
        <v>98.760900000000007</v>
      </c>
      <c r="JV156">
        <v>98.914900000000003</v>
      </c>
    </row>
    <row r="157" spans="1:282" x14ac:dyDescent="0.25">
      <c r="A157">
        <v>141</v>
      </c>
      <c r="B157">
        <v>1689028890.0999999</v>
      </c>
      <c r="C157">
        <v>29067.5</v>
      </c>
      <c r="D157" t="s">
        <v>1130</v>
      </c>
      <c r="E157" t="s">
        <v>1131</v>
      </c>
      <c r="F157" t="s">
        <v>414</v>
      </c>
      <c r="G157" t="s">
        <v>415</v>
      </c>
      <c r="H157" t="s">
        <v>31</v>
      </c>
      <c r="I157" t="s">
        <v>501</v>
      </c>
      <c r="J157" t="s">
        <v>418</v>
      </c>
      <c r="K157">
        <v>1689028890.0999999</v>
      </c>
      <c r="L157">
        <f t="shared" si="184"/>
        <v>5.0328760463915706E-3</v>
      </c>
      <c r="M157">
        <f t="shared" si="185"/>
        <v>5.0328760463915705</v>
      </c>
      <c r="N157">
        <f t="shared" si="186"/>
        <v>3.7322186413638625</v>
      </c>
      <c r="O157">
        <f t="shared" si="187"/>
        <v>25.395499999999998</v>
      </c>
      <c r="P157">
        <f t="shared" si="188"/>
        <v>7.1746694937597004</v>
      </c>
      <c r="Q157">
        <f t="shared" si="189"/>
        <v>0.71032895320532774</v>
      </c>
      <c r="R157">
        <f t="shared" si="190"/>
        <v>2.5142843090982496</v>
      </c>
      <c r="S157">
        <f t="shared" si="191"/>
        <v>0.35422993201447978</v>
      </c>
      <c r="T157">
        <f t="shared" si="192"/>
        <v>2.9111519348232098</v>
      </c>
      <c r="U157">
        <f t="shared" si="193"/>
        <v>0.33190800427648554</v>
      </c>
      <c r="V157">
        <f t="shared" si="194"/>
        <v>0.2093307137121771</v>
      </c>
      <c r="W157">
        <f t="shared" si="195"/>
        <v>289.56647032676153</v>
      </c>
      <c r="X157">
        <f t="shared" si="196"/>
        <v>30.455940485877338</v>
      </c>
      <c r="Y157">
        <f t="shared" si="197"/>
        <v>29.985800000000001</v>
      </c>
      <c r="Z157">
        <f t="shared" si="198"/>
        <v>4.2569760294780696</v>
      </c>
      <c r="AA157">
        <f t="shared" si="199"/>
        <v>65.728227230637401</v>
      </c>
      <c r="AB157">
        <f t="shared" si="200"/>
        <v>2.8092898398347996</v>
      </c>
      <c r="AC157">
        <f t="shared" si="201"/>
        <v>4.274099512797032</v>
      </c>
      <c r="AD157">
        <f t="shared" si="202"/>
        <v>1.44768618964327</v>
      </c>
      <c r="AE157">
        <f t="shared" si="203"/>
        <v>-221.94983364586827</v>
      </c>
      <c r="AF157">
        <f t="shared" si="204"/>
        <v>10.970527015402284</v>
      </c>
      <c r="AG157">
        <f t="shared" si="205"/>
        <v>0.83809054088477375</v>
      </c>
      <c r="AH157">
        <f t="shared" si="206"/>
        <v>79.425254237180312</v>
      </c>
      <c r="AI157">
        <v>0</v>
      </c>
      <c r="AJ157">
        <v>0</v>
      </c>
      <c r="AK157">
        <f t="shared" si="207"/>
        <v>1</v>
      </c>
      <c r="AL157">
        <f t="shared" si="208"/>
        <v>0</v>
      </c>
      <c r="AM157">
        <f t="shared" si="209"/>
        <v>51795.933250461167</v>
      </c>
      <c r="AN157" t="s">
        <v>419</v>
      </c>
      <c r="AO157">
        <v>9967.0300000000007</v>
      </c>
      <c r="AP157">
        <v>178.94153846153841</v>
      </c>
      <c r="AQ157">
        <v>603.15</v>
      </c>
      <c r="AR157">
        <f t="shared" si="210"/>
        <v>0.7033216638290003</v>
      </c>
      <c r="AS157">
        <v>-3.2649104154664181</v>
      </c>
      <c r="AT157" t="s">
        <v>1132</v>
      </c>
      <c r="AU157">
        <v>8075.12</v>
      </c>
      <c r="AV157">
        <v>697.01869230769216</v>
      </c>
      <c r="AW157">
        <v>761.17868505767342</v>
      </c>
      <c r="AX157">
        <f t="shared" si="211"/>
        <v>8.4290317121951341E-2</v>
      </c>
      <c r="AY157">
        <v>0.5</v>
      </c>
      <c r="AZ157">
        <f t="shared" si="212"/>
        <v>1513.1846996511717</v>
      </c>
      <c r="BA157">
        <f t="shared" si="213"/>
        <v>3.7322186413638625</v>
      </c>
      <c r="BB157">
        <f t="shared" si="214"/>
        <v>63.773409098840979</v>
      </c>
      <c r="BC157">
        <f t="shared" si="215"/>
        <v>4.6241077235603164E-3</v>
      </c>
      <c r="BD157">
        <f t="shared" si="216"/>
        <v>-0.20761049693042816</v>
      </c>
      <c r="BE157">
        <f t="shared" si="217"/>
        <v>190.68660061389943</v>
      </c>
      <c r="BF157" t="s">
        <v>1133</v>
      </c>
      <c r="BG157">
        <v>585.79</v>
      </c>
      <c r="BH157">
        <f t="shared" si="218"/>
        <v>585.79</v>
      </c>
      <c r="BI157">
        <f t="shared" si="219"/>
        <v>0.23041723119767143</v>
      </c>
      <c r="BJ157">
        <f t="shared" si="220"/>
        <v>0.36581603156944464</v>
      </c>
      <c r="BK157">
        <f t="shared" si="221"/>
        <v>-9.1030348535526109</v>
      </c>
      <c r="BL157">
        <f t="shared" si="222"/>
        <v>0.1101956361339573</v>
      </c>
      <c r="BM157">
        <f t="shared" si="223"/>
        <v>-0.37252600875653563</v>
      </c>
      <c r="BN157">
        <f t="shared" si="224"/>
        <v>0.30743992305800044</v>
      </c>
      <c r="BO157">
        <f t="shared" si="225"/>
        <v>0.6925600769419995</v>
      </c>
      <c r="BP157">
        <v>6317</v>
      </c>
      <c r="BQ157">
        <v>290.00000000000011</v>
      </c>
      <c r="BR157">
        <v>740.58</v>
      </c>
      <c r="BS157">
        <v>155</v>
      </c>
      <c r="BT157">
        <v>8075.12</v>
      </c>
      <c r="BU157">
        <v>739.68</v>
      </c>
      <c r="BV157">
        <v>0.9</v>
      </c>
      <c r="BW157">
        <v>300.00000000000011</v>
      </c>
      <c r="BX157">
        <v>19.3</v>
      </c>
      <c r="BY157">
        <v>761.17868505767342</v>
      </c>
      <c r="BZ157">
        <v>2.3597924818548912</v>
      </c>
      <c r="CA157">
        <v>-17.36340127261251</v>
      </c>
      <c r="CB157">
        <v>1.7484915222095969</v>
      </c>
      <c r="CC157">
        <v>0.77885699221174098</v>
      </c>
      <c r="CD157">
        <v>-4.161448720800905E-3</v>
      </c>
      <c r="CE157">
        <v>289.99999999999989</v>
      </c>
      <c r="CF157">
        <v>738.49</v>
      </c>
      <c r="CG157">
        <v>765</v>
      </c>
      <c r="CH157">
        <v>8053.26</v>
      </c>
      <c r="CI157">
        <v>739.62</v>
      </c>
      <c r="CJ157">
        <v>-1.1299999999999999</v>
      </c>
      <c r="CX157">
        <f t="shared" si="226"/>
        <v>1800</v>
      </c>
      <c r="CY157">
        <f t="shared" si="227"/>
        <v>1513.1846996511717</v>
      </c>
      <c r="CZ157">
        <f t="shared" si="228"/>
        <v>0.84065816647287317</v>
      </c>
      <c r="DA157">
        <f t="shared" si="229"/>
        <v>0.16087026129264528</v>
      </c>
      <c r="DB157">
        <v>6</v>
      </c>
      <c r="DC157">
        <v>0.5</v>
      </c>
      <c r="DD157" t="s">
        <v>422</v>
      </c>
      <c r="DE157">
        <v>2</v>
      </c>
      <c r="DF157">
        <v>1689028890.0999999</v>
      </c>
      <c r="DG157">
        <v>25.395499999999998</v>
      </c>
      <c r="DH157">
        <v>30.027000000000001</v>
      </c>
      <c r="DI157">
        <v>28.3752</v>
      </c>
      <c r="DJ157">
        <v>22.5078</v>
      </c>
      <c r="DK157">
        <v>25.066099999999999</v>
      </c>
      <c r="DL157">
        <v>28.323899999999998</v>
      </c>
      <c r="DM157">
        <v>500.05799999999999</v>
      </c>
      <c r="DN157">
        <v>98.905500000000004</v>
      </c>
      <c r="DO157">
        <v>9.9611500000000006E-2</v>
      </c>
      <c r="DP157">
        <v>30.055700000000002</v>
      </c>
      <c r="DQ157">
        <v>29.985800000000001</v>
      </c>
      <c r="DR157">
        <v>999.9</v>
      </c>
      <c r="DS157">
        <v>0</v>
      </c>
      <c r="DT157">
        <v>0</v>
      </c>
      <c r="DU157">
        <v>10005</v>
      </c>
      <c r="DV157">
        <v>0</v>
      </c>
      <c r="DW157">
        <v>1022.88</v>
      </c>
      <c r="DX157">
        <v>-4.6314900000000003</v>
      </c>
      <c r="DY157">
        <v>26.1371</v>
      </c>
      <c r="DZ157">
        <v>30.718399999999999</v>
      </c>
      <c r="EA157">
        <v>5.8674099999999996</v>
      </c>
      <c r="EB157">
        <v>30.027000000000001</v>
      </c>
      <c r="EC157">
        <v>22.5078</v>
      </c>
      <c r="ED157">
        <v>2.80646</v>
      </c>
      <c r="EE157">
        <v>2.22614</v>
      </c>
      <c r="EF157">
        <v>22.9222</v>
      </c>
      <c r="EG157">
        <v>19.151700000000002</v>
      </c>
      <c r="EH157">
        <v>1800</v>
      </c>
      <c r="EI157">
        <v>0.97800100000000001</v>
      </c>
      <c r="EJ157">
        <v>2.19986E-2</v>
      </c>
      <c r="EK157">
        <v>0</v>
      </c>
      <c r="EL157">
        <v>696.78200000000004</v>
      </c>
      <c r="EM157">
        <v>5.0005300000000004</v>
      </c>
      <c r="EN157">
        <v>15008.4</v>
      </c>
      <c r="EO157">
        <v>16035.3</v>
      </c>
      <c r="EP157">
        <v>47.436999999999998</v>
      </c>
      <c r="EQ157">
        <v>48.5</v>
      </c>
      <c r="ER157">
        <v>47.936999999999998</v>
      </c>
      <c r="ES157">
        <v>47.936999999999998</v>
      </c>
      <c r="ET157">
        <v>48.686999999999998</v>
      </c>
      <c r="EU157">
        <v>1755.51</v>
      </c>
      <c r="EV157">
        <v>39.49</v>
      </c>
      <c r="EW157">
        <v>0</v>
      </c>
      <c r="EX157">
        <v>112.2000000476837</v>
      </c>
      <c r="EY157">
        <v>0</v>
      </c>
      <c r="EZ157">
        <v>697.01869230769216</v>
      </c>
      <c r="FA157">
        <v>-0.38270086045722901</v>
      </c>
      <c r="FB157">
        <v>-28.54017092891651</v>
      </c>
      <c r="FC157">
        <v>15010.07692307692</v>
      </c>
      <c r="FD157">
        <v>15</v>
      </c>
      <c r="FE157">
        <v>1689028858.0999999</v>
      </c>
      <c r="FF157" t="s">
        <v>1134</v>
      </c>
      <c r="FG157">
        <v>1689028847.0999999</v>
      </c>
      <c r="FH157">
        <v>1689028858.0999999</v>
      </c>
      <c r="FI157">
        <v>154</v>
      </c>
      <c r="FJ157">
        <v>9.4E-2</v>
      </c>
      <c r="FK157">
        <v>2E-3</v>
      </c>
      <c r="FL157">
        <v>0.32800000000000001</v>
      </c>
      <c r="FM157">
        <v>4.2000000000000003E-2</v>
      </c>
      <c r="FN157">
        <v>30</v>
      </c>
      <c r="FO157">
        <v>22</v>
      </c>
      <c r="FP157">
        <v>0.26</v>
      </c>
      <c r="FQ157">
        <v>0.01</v>
      </c>
      <c r="FR157">
        <v>3.8175849582177062</v>
      </c>
      <c r="FS157">
        <v>-0.6105199654202984</v>
      </c>
      <c r="FT157">
        <v>5.120282896514082E-2</v>
      </c>
      <c r="FU157">
        <v>1</v>
      </c>
      <c r="FV157">
        <v>0.35067635239425882</v>
      </c>
      <c r="FW157">
        <v>4.6844924738262551E-2</v>
      </c>
      <c r="FX157">
        <v>3.871081160443247E-3</v>
      </c>
      <c r="FY157">
        <v>1</v>
      </c>
      <c r="FZ157">
        <v>2</v>
      </c>
      <c r="GA157">
        <v>2</v>
      </c>
      <c r="GB157" t="s">
        <v>424</v>
      </c>
      <c r="GC157">
        <v>3.1221000000000001</v>
      </c>
      <c r="GD157">
        <v>2.7669600000000001</v>
      </c>
      <c r="GE157">
        <v>6.69756E-3</v>
      </c>
      <c r="GF157">
        <v>8.02777E-3</v>
      </c>
      <c r="GG157">
        <v>0.119898</v>
      </c>
      <c r="GH157">
        <v>0.102225</v>
      </c>
      <c r="GI157">
        <v>23735.9</v>
      </c>
      <c r="GJ157">
        <v>24608.6</v>
      </c>
      <c r="GK157">
        <v>23760.9</v>
      </c>
      <c r="GL157">
        <v>25123</v>
      </c>
      <c r="GM157">
        <v>30137.1</v>
      </c>
      <c r="GN157">
        <v>31643.3</v>
      </c>
      <c r="GO157">
        <v>37873.199999999997</v>
      </c>
      <c r="GP157">
        <v>39097.199999999997</v>
      </c>
      <c r="GQ157">
        <v>2.1425200000000002</v>
      </c>
      <c r="GR157">
        <v>1.72943</v>
      </c>
      <c r="GS157">
        <v>3.1627700000000002E-2</v>
      </c>
      <c r="GT157">
        <v>0</v>
      </c>
      <c r="GU157">
        <v>29.4709</v>
      </c>
      <c r="GV157">
        <v>999.9</v>
      </c>
      <c r="GW157">
        <v>29.5</v>
      </c>
      <c r="GX157">
        <v>43.7</v>
      </c>
      <c r="GY157">
        <v>26.877500000000001</v>
      </c>
      <c r="GZ157">
        <v>60.977200000000003</v>
      </c>
      <c r="HA157">
        <v>26.967099999999999</v>
      </c>
      <c r="HB157">
        <v>1</v>
      </c>
      <c r="HC157">
        <v>0.59608499999999998</v>
      </c>
      <c r="HD157">
        <v>2.2434699999999999</v>
      </c>
      <c r="HE157">
        <v>20.355799999999999</v>
      </c>
      <c r="HF157">
        <v>5.2496400000000003</v>
      </c>
      <c r="HG157">
        <v>12.0099</v>
      </c>
      <c r="HH157">
        <v>4.9771000000000001</v>
      </c>
      <c r="HI157">
        <v>3.2924799999999999</v>
      </c>
      <c r="HJ157">
        <v>9999</v>
      </c>
      <c r="HK157">
        <v>9999</v>
      </c>
      <c r="HL157">
        <v>9999</v>
      </c>
      <c r="HM157">
        <v>239.5</v>
      </c>
      <c r="HN157">
        <v>1.87578</v>
      </c>
      <c r="HO157">
        <v>1.87683</v>
      </c>
      <c r="HP157">
        <v>1.88293</v>
      </c>
      <c r="HQ157">
        <v>1.8861300000000001</v>
      </c>
      <c r="HR157">
        <v>1.8769100000000001</v>
      </c>
      <c r="HS157">
        <v>1.8833800000000001</v>
      </c>
      <c r="HT157">
        <v>1.88232</v>
      </c>
      <c r="HU157">
        <v>1.8858200000000001</v>
      </c>
      <c r="HV157">
        <v>0</v>
      </c>
      <c r="HW157">
        <v>0</v>
      </c>
      <c r="HX157">
        <v>0</v>
      </c>
      <c r="HY157">
        <v>0</v>
      </c>
      <c r="HZ157" t="s">
        <v>425</v>
      </c>
      <c r="IA157" t="s">
        <v>426</v>
      </c>
      <c r="IB157" t="s">
        <v>427</v>
      </c>
      <c r="IC157" t="s">
        <v>427</v>
      </c>
      <c r="ID157" t="s">
        <v>427</v>
      </c>
      <c r="IE157" t="s">
        <v>427</v>
      </c>
      <c r="IF157">
        <v>0</v>
      </c>
      <c r="IG157">
        <v>100</v>
      </c>
      <c r="IH157">
        <v>100</v>
      </c>
      <c r="II157">
        <v>0.32900000000000001</v>
      </c>
      <c r="IJ157">
        <v>5.1299999999999998E-2</v>
      </c>
      <c r="IK157">
        <v>0.33969916664379951</v>
      </c>
      <c r="IL157">
        <v>-4.2852564239613137E-4</v>
      </c>
      <c r="IM157">
        <v>6.4980710991155998E-7</v>
      </c>
      <c r="IN157">
        <v>-2.7237938963984961E-10</v>
      </c>
      <c r="IO157">
        <v>-7.4140035340640783E-3</v>
      </c>
      <c r="IP157">
        <v>6.6907473102813496E-3</v>
      </c>
      <c r="IQ157">
        <v>-3.3673306238274028E-4</v>
      </c>
      <c r="IR157">
        <v>6.1311374003140313E-6</v>
      </c>
      <c r="IS157">
        <v>3</v>
      </c>
      <c r="IT157">
        <v>2101</v>
      </c>
      <c r="IU157">
        <v>1</v>
      </c>
      <c r="IV157">
        <v>32</v>
      </c>
      <c r="IW157">
        <v>0.7</v>
      </c>
      <c r="IX157">
        <v>0.5</v>
      </c>
      <c r="IY157">
        <v>0.20874000000000001</v>
      </c>
      <c r="IZ157">
        <v>2.7661099999999998</v>
      </c>
      <c r="JA157">
        <v>1.6015600000000001</v>
      </c>
      <c r="JB157">
        <v>2.3278799999999999</v>
      </c>
      <c r="JC157">
        <v>1.5502899999999999</v>
      </c>
      <c r="JD157">
        <v>2.4145500000000002</v>
      </c>
      <c r="JE157">
        <v>45.805599999999998</v>
      </c>
      <c r="JF157">
        <v>16.084599999999998</v>
      </c>
      <c r="JG157">
        <v>18</v>
      </c>
      <c r="JH157">
        <v>600.65</v>
      </c>
      <c r="JI157">
        <v>385.791</v>
      </c>
      <c r="JJ157">
        <v>26.825900000000001</v>
      </c>
      <c r="JK157">
        <v>34.606099999999998</v>
      </c>
      <c r="JL157">
        <v>29.998999999999999</v>
      </c>
      <c r="JM157">
        <v>34.8369</v>
      </c>
      <c r="JN157">
        <v>34.840899999999998</v>
      </c>
      <c r="JO157">
        <v>4.1739499999999996</v>
      </c>
      <c r="JP157">
        <v>16.227399999999999</v>
      </c>
      <c r="JQ157">
        <v>15.221500000000001</v>
      </c>
      <c r="JR157">
        <v>27.0518</v>
      </c>
      <c r="JS157">
        <v>30</v>
      </c>
      <c r="JT157">
        <v>22.411000000000001</v>
      </c>
      <c r="JU157">
        <v>98.785499999999999</v>
      </c>
      <c r="JV157">
        <v>98.942499999999995</v>
      </c>
    </row>
    <row r="158" spans="1:282" x14ac:dyDescent="0.25">
      <c r="A158">
        <v>142</v>
      </c>
      <c r="B158">
        <v>1689029036.5</v>
      </c>
      <c r="C158">
        <v>29213.900000095371</v>
      </c>
      <c r="D158" t="s">
        <v>1135</v>
      </c>
      <c r="E158" t="s">
        <v>1136</v>
      </c>
      <c r="F158" t="s">
        <v>414</v>
      </c>
      <c r="G158" t="s">
        <v>415</v>
      </c>
      <c r="H158" t="s">
        <v>31</v>
      </c>
      <c r="I158" t="s">
        <v>501</v>
      </c>
      <c r="J158" t="s">
        <v>418</v>
      </c>
      <c r="K158">
        <v>1689029036.5</v>
      </c>
      <c r="L158">
        <f t="shared" si="184"/>
        <v>5.3771622540670898E-3</v>
      </c>
      <c r="M158">
        <f t="shared" si="185"/>
        <v>5.3771622540670903</v>
      </c>
      <c r="N158">
        <f t="shared" si="186"/>
        <v>1.1528206592086958</v>
      </c>
      <c r="O158">
        <f t="shared" si="187"/>
        <v>8.6835500000000003</v>
      </c>
      <c r="P158">
        <f t="shared" si="188"/>
        <v>3.3659108492433769</v>
      </c>
      <c r="Q158">
        <f t="shared" si="189"/>
        <v>0.33323536941905668</v>
      </c>
      <c r="R158">
        <f t="shared" si="190"/>
        <v>0.85969775247294999</v>
      </c>
      <c r="S158">
        <f t="shared" si="191"/>
        <v>0.37862339359356978</v>
      </c>
      <c r="T158">
        <f t="shared" si="192"/>
        <v>2.9045327873075077</v>
      </c>
      <c r="U158">
        <f t="shared" si="193"/>
        <v>0.35318574585032392</v>
      </c>
      <c r="V158">
        <f t="shared" si="194"/>
        <v>0.22288398641533658</v>
      </c>
      <c r="W158">
        <f t="shared" si="195"/>
        <v>289.55370232673158</v>
      </c>
      <c r="X158">
        <f t="shared" si="196"/>
        <v>30.40424123045424</v>
      </c>
      <c r="Y158">
        <f t="shared" si="197"/>
        <v>29.988800000000001</v>
      </c>
      <c r="Z158">
        <f t="shared" si="198"/>
        <v>4.2577097131041048</v>
      </c>
      <c r="AA158">
        <f t="shared" si="199"/>
        <v>65.467014407523067</v>
      </c>
      <c r="AB158">
        <f t="shared" si="200"/>
        <v>2.8041716936989003</v>
      </c>
      <c r="AC158">
        <f t="shared" si="201"/>
        <v>4.2833352323711011</v>
      </c>
      <c r="AD158">
        <f t="shared" si="202"/>
        <v>1.4535380194052046</v>
      </c>
      <c r="AE158">
        <f t="shared" si="203"/>
        <v>-237.13285540435865</v>
      </c>
      <c r="AF158">
        <f t="shared" si="204"/>
        <v>16.363568435263883</v>
      </c>
      <c r="AG158">
        <f t="shared" si="205"/>
        <v>1.2531912123128026</v>
      </c>
      <c r="AH158">
        <f t="shared" si="206"/>
        <v>70.037606569949617</v>
      </c>
      <c r="AI158">
        <v>0</v>
      </c>
      <c r="AJ158">
        <v>0</v>
      </c>
      <c r="AK158">
        <f t="shared" si="207"/>
        <v>1</v>
      </c>
      <c r="AL158">
        <f t="shared" si="208"/>
        <v>0</v>
      </c>
      <c r="AM158">
        <f t="shared" si="209"/>
        <v>51601.527772072179</v>
      </c>
      <c r="AN158" t="s">
        <v>419</v>
      </c>
      <c r="AO158">
        <v>9967.0300000000007</v>
      </c>
      <c r="AP158">
        <v>178.94153846153841</v>
      </c>
      <c r="AQ158">
        <v>603.15</v>
      </c>
      <c r="AR158">
        <f t="shared" si="210"/>
        <v>0.7033216638290003</v>
      </c>
      <c r="AS158">
        <v>-3.2649104154664181</v>
      </c>
      <c r="AT158" t="s">
        <v>1137</v>
      </c>
      <c r="AU158">
        <v>8087.02</v>
      </c>
      <c r="AV158">
        <v>705.03548000000001</v>
      </c>
      <c r="AW158">
        <v>765.08646277196408</v>
      </c>
      <c r="AX158">
        <f t="shared" si="211"/>
        <v>7.8489145598518384E-2</v>
      </c>
      <c r="AY158">
        <v>0.5</v>
      </c>
      <c r="AZ158">
        <f t="shared" si="212"/>
        <v>1513.1174996511563</v>
      </c>
      <c r="BA158">
        <f t="shared" si="213"/>
        <v>1.1528206592086958</v>
      </c>
      <c r="BB158">
        <f t="shared" si="214"/>
        <v>59.38164986889285</v>
      </c>
      <c r="BC158">
        <f t="shared" si="215"/>
        <v>2.9196219564532203E-3</v>
      </c>
      <c r="BD158">
        <f t="shared" si="216"/>
        <v>-0.21165772844190248</v>
      </c>
      <c r="BE158">
        <f t="shared" si="217"/>
        <v>190.93090379420801</v>
      </c>
      <c r="BF158" t="s">
        <v>1138</v>
      </c>
      <c r="BG158">
        <v>596.66</v>
      </c>
      <c r="BH158">
        <f t="shared" si="218"/>
        <v>596.66</v>
      </c>
      <c r="BI158">
        <f t="shared" si="219"/>
        <v>0.22014042983030013</v>
      </c>
      <c r="BJ158">
        <f t="shared" si="220"/>
        <v>0.35654125713765228</v>
      </c>
      <c r="BK158">
        <f t="shared" si="221"/>
        <v>-24.951689179039118</v>
      </c>
      <c r="BL158">
        <f t="shared" si="222"/>
        <v>0.10245074260876945</v>
      </c>
      <c r="BM158">
        <f t="shared" si="223"/>
        <v>-0.38173793654345073</v>
      </c>
      <c r="BN158">
        <f t="shared" si="224"/>
        <v>0.30173503677254881</v>
      </c>
      <c r="BO158">
        <f t="shared" si="225"/>
        <v>0.69826496322745113</v>
      </c>
      <c r="BP158">
        <v>6319</v>
      </c>
      <c r="BQ158">
        <v>290.00000000000011</v>
      </c>
      <c r="BR158">
        <v>739.15</v>
      </c>
      <c r="BS158">
        <v>55</v>
      </c>
      <c r="BT158">
        <v>8087.02</v>
      </c>
      <c r="BU158">
        <v>739.5</v>
      </c>
      <c r="BV158">
        <v>-0.35</v>
      </c>
      <c r="BW158">
        <v>300.00000000000011</v>
      </c>
      <c r="BX158">
        <v>19.3</v>
      </c>
      <c r="BY158">
        <v>765.08646277196408</v>
      </c>
      <c r="BZ158">
        <v>2.9029175727640979</v>
      </c>
      <c r="CA158">
        <v>-20.6923817349738</v>
      </c>
      <c r="CB158">
        <v>2.1512155966776541</v>
      </c>
      <c r="CC158">
        <v>0.7676805868295038</v>
      </c>
      <c r="CD158">
        <v>-4.1619345939933319E-3</v>
      </c>
      <c r="CE158">
        <v>289.99999999999989</v>
      </c>
      <c r="CF158">
        <v>738.02</v>
      </c>
      <c r="CG158">
        <v>655</v>
      </c>
      <c r="CH158">
        <v>8057.37</v>
      </c>
      <c r="CI158">
        <v>739.41</v>
      </c>
      <c r="CJ158">
        <v>-1.39</v>
      </c>
      <c r="CX158">
        <f t="shared" si="226"/>
        <v>1799.92</v>
      </c>
      <c r="CY158">
        <f t="shared" si="227"/>
        <v>1513.1174996511563</v>
      </c>
      <c r="CZ158">
        <f t="shared" si="228"/>
        <v>0.84065819572600797</v>
      </c>
      <c r="DA158">
        <f t="shared" si="229"/>
        <v>0.16087031775119537</v>
      </c>
      <c r="DB158">
        <v>6</v>
      </c>
      <c r="DC158">
        <v>0.5</v>
      </c>
      <c r="DD158" t="s">
        <v>422</v>
      </c>
      <c r="DE158">
        <v>2</v>
      </c>
      <c r="DF158">
        <v>1689029036.5</v>
      </c>
      <c r="DG158">
        <v>8.6835500000000003</v>
      </c>
      <c r="DH158">
        <v>10.1225</v>
      </c>
      <c r="DI158">
        <v>28.324100000000001</v>
      </c>
      <c r="DJ158">
        <v>22.0563</v>
      </c>
      <c r="DK158">
        <v>8.4404299999999992</v>
      </c>
      <c r="DL158">
        <v>28.276900000000001</v>
      </c>
      <c r="DM158">
        <v>500.16199999999998</v>
      </c>
      <c r="DN158">
        <v>98.902199999999993</v>
      </c>
      <c r="DO158">
        <v>0.100829</v>
      </c>
      <c r="DP158">
        <v>30.093299999999999</v>
      </c>
      <c r="DQ158">
        <v>29.988800000000001</v>
      </c>
      <c r="DR158">
        <v>999.9</v>
      </c>
      <c r="DS158">
        <v>0</v>
      </c>
      <c r="DT158">
        <v>0</v>
      </c>
      <c r="DU158">
        <v>9967.5</v>
      </c>
      <c r="DV158">
        <v>0</v>
      </c>
      <c r="DW158">
        <v>1014.46</v>
      </c>
      <c r="DX158">
        <v>-1.4389400000000001</v>
      </c>
      <c r="DY158">
        <v>8.9366800000000008</v>
      </c>
      <c r="DZ158">
        <v>10.3508</v>
      </c>
      <c r="EA158">
        <v>6.2678000000000003</v>
      </c>
      <c r="EB158">
        <v>10.1225</v>
      </c>
      <c r="EC158">
        <v>22.0563</v>
      </c>
      <c r="ED158">
        <v>2.80132</v>
      </c>
      <c r="EE158">
        <v>2.1814200000000001</v>
      </c>
      <c r="EF158">
        <v>22.8919</v>
      </c>
      <c r="EG158">
        <v>18.826499999999999</v>
      </c>
      <c r="EH158">
        <v>1799.92</v>
      </c>
      <c r="EI158">
        <v>0.97799800000000003</v>
      </c>
      <c r="EJ158">
        <v>2.20022E-2</v>
      </c>
      <c r="EK158">
        <v>0</v>
      </c>
      <c r="EL158">
        <v>705.33199999999999</v>
      </c>
      <c r="EM158">
        <v>5.0005300000000004</v>
      </c>
      <c r="EN158">
        <v>15168.1</v>
      </c>
      <c r="EO158">
        <v>16034.5</v>
      </c>
      <c r="EP158">
        <v>47.25</v>
      </c>
      <c r="EQ158">
        <v>48.311999999999998</v>
      </c>
      <c r="ER158">
        <v>47.75</v>
      </c>
      <c r="ES158">
        <v>47.686999999999998</v>
      </c>
      <c r="ET158">
        <v>48.561999999999998</v>
      </c>
      <c r="EU158">
        <v>1755.43</v>
      </c>
      <c r="EV158">
        <v>39.49</v>
      </c>
      <c r="EW158">
        <v>0</v>
      </c>
      <c r="EX158">
        <v>144.60000014305109</v>
      </c>
      <c r="EY158">
        <v>0</v>
      </c>
      <c r="EZ158">
        <v>705.03548000000001</v>
      </c>
      <c r="FA158">
        <v>-1.199384606698914</v>
      </c>
      <c r="FB158">
        <v>14.59999972680464</v>
      </c>
      <c r="FC158">
        <v>15170.288</v>
      </c>
      <c r="FD158">
        <v>15</v>
      </c>
      <c r="FE158">
        <v>1689029000.5999999</v>
      </c>
      <c r="FF158" t="s">
        <v>1139</v>
      </c>
      <c r="FG158">
        <v>1689028998.5999999</v>
      </c>
      <c r="FH158">
        <v>1689029000.5999999</v>
      </c>
      <c r="FI158">
        <v>155</v>
      </c>
      <c r="FJ158">
        <v>-9.2999999999999999E-2</v>
      </c>
      <c r="FK158">
        <v>-4.0000000000000001E-3</v>
      </c>
      <c r="FL158">
        <v>0.24299999999999999</v>
      </c>
      <c r="FM158">
        <v>3.7999999999999999E-2</v>
      </c>
      <c r="FN158">
        <v>10</v>
      </c>
      <c r="FO158">
        <v>22</v>
      </c>
      <c r="FP158">
        <v>0.62</v>
      </c>
      <c r="FQ158">
        <v>0.02</v>
      </c>
      <c r="FR158">
        <v>1.1482618423270079</v>
      </c>
      <c r="FS158">
        <v>-0.67885947769851007</v>
      </c>
      <c r="FT158">
        <v>6.0968496754285048E-2</v>
      </c>
      <c r="FU158">
        <v>1</v>
      </c>
      <c r="FV158">
        <v>0.37843243704962781</v>
      </c>
      <c r="FW158">
        <v>2.8709833918246531E-3</v>
      </c>
      <c r="FX158">
        <v>8.0923281980366062E-4</v>
      </c>
      <c r="FY158">
        <v>1</v>
      </c>
      <c r="FZ158">
        <v>2</v>
      </c>
      <c r="GA158">
        <v>2</v>
      </c>
      <c r="GB158" t="s">
        <v>424</v>
      </c>
      <c r="GC158">
        <v>3.12188</v>
      </c>
      <c r="GD158">
        <v>2.7678500000000001</v>
      </c>
      <c r="GE158">
        <v>2.25866E-3</v>
      </c>
      <c r="GF158">
        <v>2.7107799999999999E-3</v>
      </c>
      <c r="GG158">
        <v>0.119799</v>
      </c>
      <c r="GH158">
        <v>0.100797</v>
      </c>
      <c r="GI158">
        <v>23851.1</v>
      </c>
      <c r="GJ158">
        <v>24751</v>
      </c>
      <c r="GK158">
        <v>23769.5</v>
      </c>
      <c r="GL158">
        <v>25133.1</v>
      </c>
      <c r="GM158">
        <v>30151.1</v>
      </c>
      <c r="GN158">
        <v>31705.7</v>
      </c>
      <c r="GO158">
        <v>37886.400000000001</v>
      </c>
      <c r="GP158">
        <v>39111.9</v>
      </c>
      <c r="GQ158">
        <v>2.14432</v>
      </c>
      <c r="GR158">
        <v>1.7330700000000001</v>
      </c>
      <c r="GS158">
        <v>3.2760200000000003E-2</v>
      </c>
      <c r="GT158">
        <v>0</v>
      </c>
      <c r="GU158">
        <v>29.455400000000001</v>
      </c>
      <c r="GV158">
        <v>999.9</v>
      </c>
      <c r="GW158">
        <v>29.1</v>
      </c>
      <c r="GX158">
        <v>43.6</v>
      </c>
      <c r="GY158">
        <v>26.375399999999999</v>
      </c>
      <c r="GZ158">
        <v>60.897199999999998</v>
      </c>
      <c r="HA158">
        <v>27.031199999999998</v>
      </c>
      <c r="HB158">
        <v>1</v>
      </c>
      <c r="HC158">
        <v>0.57967199999999997</v>
      </c>
      <c r="HD158">
        <v>2.52786</v>
      </c>
      <c r="HE158">
        <v>20.353300000000001</v>
      </c>
      <c r="HF158">
        <v>5.2490399999999999</v>
      </c>
      <c r="HG158">
        <v>12.0099</v>
      </c>
      <c r="HH158">
        <v>4.9792500000000004</v>
      </c>
      <c r="HI158">
        <v>3.2928500000000001</v>
      </c>
      <c r="HJ158">
        <v>9999</v>
      </c>
      <c r="HK158">
        <v>9999</v>
      </c>
      <c r="HL158">
        <v>9999</v>
      </c>
      <c r="HM158">
        <v>239.5</v>
      </c>
      <c r="HN158">
        <v>1.8757699999999999</v>
      </c>
      <c r="HO158">
        <v>1.8768199999999999</v>
      </c>
      <c r="HP158">
        <v>1.88293</v>
      </c>
      <c r="HQ158">
        <v>1.8861399999999999</v>
      </c>
      <c r="HR158">
        <v>1.87687</v>
      </c>
      <c r="HS158">
        <v>1.8833899999999999</v>
      </c>
      <c r="HT158">
        <v>1.88232</v>
      </c>
      <c r="HU158">
        <v>1.8858200000000001</v>
      </c>
      <c r="HV158">
        <v>0</v>
      </c>
      <c r="HW158">
        <v>0</v>
      </c>
      <c r="HX158">
        <v>0</v>
      </c>
      <c r="HY158">
        <v>0</v>
      </c>
      <c r="HZ158" t="s">
        <v>425</v>
      </c>
      <c r="IA158" t="s">
        <v>426</v>
      </c>
      <c r="IB158" t="s">
        <v>427</v>
      </c>
      <c r="IC158" t="s">
        <v>427</v>
      </c>
      <c r="ID158" t="s">
        <v>427</v>
      </c>
      <c r="IE158" t="s">
        <v>427</v>
      </c>
      <c r="IF158">
        <v>0</v>
      </c>
      <c r="IG158">
        <v>100</v>
      </c>
      <c r="IH158">
        <v>100</v>
      </c>
      <c r="II158">
        <v>0.24299999999999999</v>
      </c>
      <c r="IJ158">
        <v>4.7199999999999999E-2</v>
      </c>
      <c r="IK158">
        <v>0.24669200653341911</v>
      </c>
      <c r="IL158">
        <v>-4.2852564239613137E-4</v>
      </c>
      <c r="IM158">
        <v>6.4980710991155998E-7</v>
      </c>
      <c r="IN158">
        <v>-2.7237938963984961E-10</v>
      </c>
      <c r="IO158">
        <v>-1.132780280925789E-2</v>
      </c>
      <c r="IP158">
        <v>6.6907473102813496E-3</v>
      </c>
      <c r="IQ158">
        <v>-3.3673306238274028E-4</v>
      </c>
      <c r="IR158">
        <v>6.1311374003140313E-6</v>
      </c>
      <c r="IS158">
        <v>3</v>
      </c>
      <c r="IT158">
        <v>2101</v>
      </c>
      <c r="IU158">
        <v>1</v>
      </c>
      <c r="IV158">
        <v>32</v>
      </c>
      <c r="IW158">
        <v>0.6</v>
      </c>
      <c r="IX158">
        <v>0.6</v>
      </c>
      <c r="IY158">
        <v>0.166016</v>
      </c>
      <c r="IZ158">
        <v>2.79053</v>
      </c>
      <c r="JA158">
        <v>1.6015600000000001</v>
      </c>
      <c r="JB158">
        <v>2.3278799999999999</v>
      </c>
      <c r="JC158">
        <v>1.5502899999999999</v>
      </c>
      <c r="JD158">
        <v>2.32544</v>
      </c>
      <c r="JE158">
        <v>45.633099999999999</v>
      </c>
      <c r="JF158">
        <v>16.0671</v>
      </c>
      <c r="JG158">
        <v>18</v>
      </c>
      <c r="JH158">
        <v>600.5</v>
      </c>
      <c r="JI158">
        <v>387.05700000000002</v>
      </c>
      <c r="JJ158">
        <v>27.065999999999999</v>
      </c>
      <c r="JK158">
        <v>34.432699999999997</v>
      </c>
      <c r="JL158">
        <v>29.999600000000001</v>
      </c>
      <c r="JM158">
        <v>34.676699999999997</v>
      </c>
      <c r="JN158">
        <v>34.6813</v>
      </c>
      <c r="JO158">
        <v>3.2974000000000001</v>
      </c>
      <c r="JP158">
        <v>16.541399999999999</v>
      </c>
      <c r="JQ158">
        <v>15.7873</v>
      </c>
      <c r="JR158">
        <v>27.07</v>
      </c>
      <c r="JS158">
        <v>10</v>
      </c>
      <c r="JT158">
        <v>22.000399999999999</v>
      </c>
      <c r="JU158">
        <v>98.820499999999996</v>
      </c>
      <c r="JV158">
        <v>98.980699999999999</v>
      </c>
    </row>
    <row r="159" spans="1:282" x14ac:dyDescent="0.25">
      <c r="A159">
        <v>143</v>
      </c>
      <c r="B159">
        <v>1689029194.5</v>
      </c>
      <c r="C159">
        <v>29371.900000095371</v>
      </c>
      <c r="D159" t="s">
        <v>1140</v>
      </c>
      <c r="E159" t="s">
        <v>1141</v>
      </c>
      <c r="F159" t="s">
        <v>414</v>
      </c>
      <c r="G159" t="s">
        <v>415</v>
      </c>
      <c r="H159" t="s">
        <v>31</v>
      </c>
      <c r="I159" t="s">
        <v>501</v>
      </c>
      <c r="J159" t="s">
        <v>418</v>
      </c>
      <c r="K159">
        <v>1689029194.5</v>
      </c>
      <c r="L159">
        <f t="shared" si="184"/>
        <v>4.9586054210264754E-3</v>
      </c>
      <c r="M159">
        <f t="shared" si="185"/>
        <v>4.9586054210264754</v>
      </c>
      <c r="N159">
        <f t="shared" si="186"/>
        <v>40.932068035814716</v>
      </c>
      <c r="O159">
        <f t="shared" si="187"/>
        <v>348.89800000000002</v>
      </c>
      <c r="P159">
        <f t="shared" si="188"/>
        <v>141.15049591228825</v>
      </c>
      <c r="Q159">
        <f t="shared" si="189"/>
        <v>13.973932406833573</v>
      </c>
      <c r="R159">
        <f t="shared" si="190"/>
        <v>34.540984339928002</v>
      </c>
      <c r="S159">
        <f t="shared" si="191"/>
        <v>0.34274518654255665</v>
      </c>
      <c r="T159">
        <f t="shared" si="192"/>
        <v>2.9044833548101945</v>
      </c>
      <c r="U159">
        <f t="shared" si="193"/>
        <v>0.32175639152084234</v>
      </c>
      <c r="V159">
        <f t="shared" si="194"/>
        <v>0.20287630787717362</v>
      </c>
      <c r="W159">
        <f t="shared" si="195"/>
        <v>289.57125832677269</v>
      </c>
      <c r="X159">
        <f t="shared" si="196"/>
        <v>30.53613360458457</v>
      </c>
      <c r="Y159">
        <f t="shared" si="197"/>
        <v>30.002199999999998</v>
      </c>
      <c r="Z159">
        <f t="shared" si="198"/>
        <v>4.2609881789030473</v>
      </c>
      <c r="AA159">
        <f t="shared" si="199"/>
        <v>65.043953619070919</v>
      </c>
      <c r="AB159">
        <f t="shared" si="200"/>
        <v>2.7896187499843998</v>
      </c>
      <c r="AC159">
        <f t="shared" si="201"/>
        <v>4.288821012206248</v>
      </c>
      <c r="AD159">
        <f t="shared" si="202"/>
        <v>1.4713694289186474</v>
      </c>
      <c r="AE159">
        <f t="shared" si="203"/>
        <v>-218.67449906726756</v>
      </c>
      <c r="AF159">
        <f t="shared" si="204"/>
        <v>17.756909851221724</v>
      </c>
      <c r="AG159">
        <f t="shared" si="205"/>
        <v>1.3601626613990243</v>
      </c>
      <c r="AH159">
        <f t="shared" si="206"/>
        <v>90.013831772125897</v>
      </c>
      <c r="AI159">
        <v>0</v>
      </c>
      <c r="AJ159">
        <v>0</v>
      </c>
      <c r="AK159">
        <f t="shared" si="207"/>
        <v>1</v>
      </c>
      <c r="AL159">
        <f t="shared" si="208"/>
        <v>0</v>
      </c>
      <c r="AM159">
        <f t="shared" si="209"/>
        <v>51596.270711376674</v>
      </c>
      <c r="AN159" t="s">
        <v>419</v>
      </c>
      <c r="AO159">
        <v>9967.0300000000007</v>
      </c>
      <c r="AP159">
        <v>178.94153846153841</v>
      </c>
      <c r="AQ159">
        <v>603.15</v>
      </c>
      <c r="AR159">
        <f t="shared" si="210"/>
        <v>0.7033216638290003</v>
      </c>
      <c r="AS159">
        <v>-3.2649104154664181</v>
      </c>
      <c r="AT159" t="s">
        <v>1142</v>
      </c>
      <c r="AU159">
        <v>8068.13</v>
      </c>
      <c r="AV159">
        <v>680.21007692307694</v>
      </c>
      <c r="AW159">
        <v>1040.6924592195589</v>
      </c>
      <c r="AX159">
        <f t="shared" si="211"/>
        <v>0.34638704172682933</v>
      </c>
      <c r="AY159">
        <v>0.5</v>
      </c>
      <c r="AZ159">
        <f t="shared" si="212"/>
        <v>1513.2098996511775</v>
      </c>
      <c r="BA159">
        <f t="shared" si="213"/>
        <v>40.932068035814716</v>
      </c>
      <c r="BB159">
        <f t="shared" si="214"/>
        <v>262.07815032596181</v>
      </c>
      <c r="BC159">
        <f t="shared" si="215"/>
        <v>2.9207434118339658E-2</v>
      </c>
      <c r="BD159">
        <f t="shared" si="216"/>
        <v>-0.4204339671565247</v>
      </c>
      <c r="BE159">
        <f t="shared" si="217"/>
        <v>204.44238308716811</v>
      </c>
      <c r="BF159" t="s">
        <v>1143</v>
      </c>
      <c r="BG159">
        <v>543.83000000000004</v>
      </c>
      <c r="BH159">
        <f t="shared" si="218"/>
        <v>543.83000000000004</v>
      </c>
      <c r="BI159">
        <f t="shared" si="219"/>
        <v>0.4774344762641678</v>
      </c>
      <c r="BJ159">
        <f t="shared" si="220"/>
        <v>0.72551744573881805</v>
      </c>
      <c r="BK159">
        <f t="shared" si="221"/>
        <v>-7.3759686314827952</v>
      </c>
      <c r="BL159">
        <f t="shared" si="222"/>
        <v>0.41831389281184805</v>
      </c>
      <c r="BM159">
        <f t="shared" si="223"/>
        <v>-1.0314326537305254</v>
      </c>
      <c r="BN159">
        <f t="shared" si="224"/>
        <v>0.58005337748144081</v>
      </c>
      <c r="BO159">
        <f t="shared" si="225"/>
        <v>0.41994662251855919</v>
      </c>
      <c r="BP159">
        <v>6321</v>
      </c>
      <c r="BQ159">
        <v>290.00000000000011</v>
      </c>
      <c r="BR159">
        <v>898.6</v>
      </c>
      <c r="BS159">
        <v>295</v>
      </c>
      <c r="BT159">
        <v>8068.13</v>
      </c>
      <c r="BU159">
        <v>902.02</v>
      </c>
      <c r="BV159">
        <v>-3.42</v>
      </c>
      <c r="BW159">
        <v>300.00000000000011</v>
      </c>
      <c r="BX159">
        <v>19.3</v>
      </c>
      <c r="BY159">
        <v>1040.6924592195589</v>
      </c>
      <c r="BZ159">
        <v>4.2031213334149644</v>
      </c>
      <c r="CA159">
        <v>-111.8805379549879</v>
      </c>
      <c r="CB159">
        <v>3.1153958259815591</v>
      </c>
      <c r="CC159">
        <v>0.97875056281834549</v>
      </c>
      <c r="CD159">
        <v>-4.1631666295884389E-3</v>
      </c>
      <c r="CE159">
        <v>289.99999999999989</v>
      </c>
      <c r="CF159">
        <v>888.32</v>
      </c>
      <c r="CG159">
        <v>625</v>
      </c>
      <c r="CH159">
        <v>8060.05</v>
      </c>
      <c r="CI159">
        <v>901.88</v>
      </c>
      <c r="CJ159">
        <v>-13.56</v>
      </c>
      <c r="CX159">
        <f t="shared" si="226"/>
        <v>1800.03</v>
      </c>
      <c r="CY159">
        <f t="shared" si="227"/>
        <v>1513.2098996511775</v>
      </c>
      <c r="CZ159">
        <f t="shared" si="228"/>
        <v>0.840658155503618</v>
      </c>
      <c r="DA159">
        <f t="shared" si="229"/>
        <v>0.16087024012198281</v>
      </c>
      <c r="DB159">
        <v>6</v>
      </c>
      <c r="DC159">
        <v>0.5</v>
      </c>
      <c r="DD159" t="s">
        <v>422</v>
      </c>
      <c r="DE159">
        <v>2</v>
      </c>
      <c r="DF159">
        <v>1689029194.5</v>
      </c>
      <c r="DG159">
        <v>348.89800000000002</v>
      </c>
      <c r="DH159">
        <v>400.06900000000002</v>
      </c>
      <c r="DI159">
        <v>28.177900000000001</v>
      </c>
      <c r="DJ159">
        <v>22.3979</v>
      </c>
      <c r="DK159">
        <v>348.97500000000002</v>
      </c>
      <c r="DL159">
        <v>28.122299999999999</v>
      </c>
      <c r="DM159">
        <v>500.23</v>
      </c>
      <c r="DN159">
        <v>98.8994</v>
      </c>
      <c r="DO159">
        <v>0.100836</v>
      </c>
      <c r="DP159">
        <v>30.115600000000001</v>
      </c>
      <c r="DQ159">
        <v>30.002199999999998</v>
      </c>
      <c r="DR159">
        <v>999.9</v>
      </c>
      <c r="DS159">
        <v>0</v>
      </c>
      <c r="DT159">
        <v>0</v>
      </c>
      <c r="DU159">
        <v>9967.5</v>
      </c>
      <c r="DV159">
        <v>0</v>
      </c>
      <c r="DW159">
        <v>1003.66</v>
      </c>
      <c r="DX159">
        <v>-51.171500000000002</v>
      </c>
      <c r="DY159">
        <v>359.01400000000001</v>
      </c>
      <c r="DZ159">
        <v>409.23500000000001</v>
      </c>
      <c r="EA159">
        <v>5.7800399999999996</v>
      </c>
      <c r="EB159">
        <v>400.06900000000002</v>
      </c>
      <c r="EC159">
        <v>22.3979</v>
      </c>
      <c r="ED159">
        <v>2.7867799999999998</v>
      </c>
      <c r="EE159">
        <v>2.2151299999999998</v>
      </c>
      <c r="EF159">
        <v>22.806000000000001</v>
      </c>
      <c r="EG159">
        <v>19.072199999999999</v>
      </c>
      <c r="EH159">
        <v>1800.03</v>
      </c>
      <c r="EI159">
        <v>0.97799800000000003</v>
      </c>
      <c r="EJ159">
        <v>2.20022E-2</v>
      </c>
      <c r="EK159">
        <v>0</v>
      </c>
      <c r="EL159">
        <v>678.29100000000005</v>
      </c>
      <c r="EM159">
        <v>5.0005300000000004</v>
      </c>
      <c r="EN159">
        <v>14758.2</v>
      </c>
      <c r="EO159">
        <v>16035.5</v>
      </c>
      <c r="EP159">
        <v>47.125</v>
      </c>
      <c r="EQ159">
        <v>48.186999999999998</v>
      </c>
      <c r="ER159">
        <v>47.625</v>
      </c>
      <c r="ES159">
        <v>47.625</v>
      </c>
      <c r="ET159">
        <v>48.436999999999998</v>
      </c>
      <c r="EU159">
        <v>1755.54</v>
      </c>
      <c r="EV159">
        <v>39.49</v>
      </c>
      <c r="EW159">
        <v>0</v>
      </c>
      <c r="EX159">
        <v>156.20000004768369</v>
      </c>
      <c r="EY159">
        <v>0</v>
      </c>
      <c r="EZ159">
        <v>680.21007692307694</v>
      </c>
      <c r="FA159">
        <v>-13.618940161464449</v>
      </c>
      <c r="FB159">
        <v>-273.09743566293412</v>
      </c>
      <c r="FC159">
        <v>14799.619230769231</v>
      </c>
      <c r="FD159">
        <v>15</v>
      </c>
      <c r="FE159">
        <v>1689029124</v>
      </c>
      <c r="FF159" t="s">
        <v>1144</v>
      </c>
      <c r="FG159">
        <v>1689029114.5</v>
      </c>
      <c r="FH159">
        <v>1689029124</v>
      </c>
      <c r="FI159">
        <v>156</v>
      </c>
      <c r="FJ159">
        <v>-0.24199999999999999</v>
      </c>
      <c r="FK159">
        <v>8.9999999999999993E-3</v>
      </c>
      <c r="FL159">
        <v>-0.08</v>
      </c>
      <c r="FM159">
        <v>4.7E-2</v>
      </c>
      <c r="FN159">
        <v>400</v>
      </c>
      <c r="FO159">
        <v>22</v>
      </c>
      <c r="FP159">
        <v>0.08</v>
      </c>
      <c r="FQ159">
        <v>0.01</v>
      </c>
      <c r="FR159">
        <v>40.955733005233448</v>
      </c>
      <c r="FS159">
        <v>0.64084396202456984</v>
      </c>
      <c r="FT159">
        <v>8.2252006637168612E-2</v>
      </c>
      <c r="FU159">
        <v>1</v>
      </c>
      <c r="FV159">
        <v>0.3428746944140254</v>
      </c>
      <c r="FW159">
        <v>-8.1721214998340731E-4</v>
      </c>
      <c r="FX159">
        <v>2.9767136031341051E-4</v>
      </c>
      <c r="FY159">
        <v>1</v>
      </c>
      <c r="FZ159">
        <v>2</v>
      </c>
      <c r="GA159">
        <v>2</v>
      </c>
      <c r="GB159" t="s">
        <v>424</v>
      </c>
      <c r="GC159">
        <v>3.12161</v>
      </c>
      <c r="GD159">
        <v>2.7678600000000002</v>
      </c>
      <c r="GE159">
        <v>7.9547900000000005E-2</v>
      </c>
      <c r="GF159">
        <v>8.8546399999999997E-2</v>
      </c>
      <c r="GG159">
        <v>0.119384</v>
      </c>
      <c r="GH159">
        <v>0.101937</v>
      </c>
      <c r="GI159">
        <v>22013.3</v>
      </c>
      <c r="GJ159">
        <v>22629.5</v>
      </c>
      <c r="GK159">
        <v>23776.6</v>
      </c>
      <c r="GL159">
        <v>25139.599999999999</v>
      </c>
      <c r="GM159">
        <v>30174.2</v>
      </c>
      <c r="GN159">
        <v>31674.2</v>
      </c>
      <c r="GO159">
        <v>37897.599999999999</v>
      </c>
      <c r="GP159">
        <v>39122.699999999997</v>
      </c>
      <c r="GQ159">
        <v>2.1457000000000002</v>
      </c>
      <c r="GR159">
        <v>1.73878</v>
      </c>
      <c r="GS159">
        <v>3.2558999999999998E-2</v>
      </c>
      <c r="GT159">
        <v>0</v>
      </c>
      <c r="GU159">
        <v>29.472200000000001</v>
      </c>
      <c r="GV159">
        <v>999.9</v>
      </c>
      <c r="GW159">
        <v>29.1</v>
      </c>
      <c r="GX159">
        <v>43.5</v>
      </c>
      <c r="GY159">
        <v>26.239599999999999</v>
      </c>
      <c r="GZ159">
        <v>61.027200000000001</v>
      </c>
      <c r="HA159">
        <v>27.515999999999998</v>
      </c>
      <c r="HB159">
        <v>1</v>
      </c>
      <c r="HC159">
        <v>0.56698700000000002</v>
      </c>
      <c r="HD159">
        <v>2.5607700000000002</v>
      </c>
      <c r="HE159">
        <v>20.3536</v>
      </c>
      <c r="HF159">
        <v>5.2505300000000004</v>
      </c>
      <c r="HG159">
        <v>12.0099</v>
      </c>
      <c r="HH159">
        <v>4.9779</v>
      </c>
      <c r="HI159">
        <v>3.2930000000000001</v>
      </c>
      <c r="HJ159">
        <v>9999</v>
      </c>
      <c r="HK159">
        <v>9999</v>
      </c>
      <c r="HL159">
        <v>9999</v>
      </c>
      <c r="HM159">
        <v>239.6</v>
      </c>
      <c r="HN159">
        <v>1.87578</v>
      </c>
      <c r="HO159">
        <v>1.87683</v>
      </c>
      <c r="HP159">
        <v>1.88293</v>
      </c>
      <c r="HQ159">
        <v>1.8861399999999999</v>
      </c>
      <c r="HR159">
        <v>1.8769199999999999</v>
      </c>
      <c r="HS159">
        <v>1.8833899999999999</v>
      </c>
      <c r="HT159">
        <v>1.88232</v>
      </c>
      <c r="HU159">
        <v>1.8858299999999999</v>
      </c>
      <c r="HV159">
        <v>0</v>
      </c>
      <c r="HW159">
        <v>0</v>
      </c>
      <c r="HX159">
        <v>0</v>
      </c>
      <c r="HY159">
        <v>0</v>
      </c>
      <c r="HZ159" t="s">
        <v>425</v>
      </c>
      <c r="IA159" t="s">
        <v>426</v>
      </c>
      <c r="IB159" t="s">
        <v>427</v>
      </c>
      <c r="IC159" t="s">
        <v>427</v>
      </c>
      <c r="ID159" t="s">
        <v>427</v>
      </c>
      <c r="IE159" t="s">
        <v>427</v>
      </c>
      <c r="IF159">
        <v>0</v>
      </c>
      <c r="IG159">
        <v>100</v>
      </c>
      <c r="IH159">
        <v>100</v>
      </c>
      <c r="II159">
        <v>-7.6999999999999999E-2</v>
      </c>
      <c r="IJ159">
        <v>5.5599999999999997E-2</v>
      </c>
      <c r="IK159">
        <v>4.4067030156448167E-3</v>
      </c>
      <c r="IL159">
        <v>-4.2852564239613137E-4</v>
      </c>
      <c r="IM159">
        <v>6.4980710991155998E-7</v>
      </c>
      <c r="IN159">
        <v>-2.7237938963984961E-10</v>
      </c>
      <c r="IO159">
        <v>-2.6227508535045922E-3</v>
      </c>
      <c r="IP159">
        <v>6.6907473102813496E-3</v>
      </c>
      <c r="IQ159">
        <v>-3.3673306238274028E-4</v>
      </c>
      <c r="IR159">
        <v>6.1311374003140313E-6</v>
      </c>
      <c r="IS159">
        <v>3</v>
      </c>
      <c r="IT159">
        <v>2101</v>
      </c>
      <c r="IU159">
        <v>1</v>
      </c>
      <c r="IV159">
        <v>32</v>
      </c>
      <c r="IW159">
        <v>1.3</v>
      </c>
      <c r="IX159">
        <v>1.2</v>
      </c>
      <c r="IY159">
        <v>1.0144</v>
      </c>
      <c r="IZ159">
        <v>2.7209500000000002</v>
      </c>
      <c r="JA159">
        <v>1.6015600000000001</v>
      </c>
      <c r="JB159">
        <v>2.32666</v>
      </c>
      <c r="JC159">
        <v>1.5502899999999999</v>
      </c>
      <c r="JD159">
        <v>2.4230999999999998</v>
      </c>
      <c r="JE159">
        <v>45.49</v>
      </c>
      <c r="JF159">
        <v>16.0671</v>
      </c>
      <c r="JG159">
        <v>18</v>
      </c>
      <c r="JH159">
        <v>600.11099999999999</v>
      </c>
      <c r="JI159">
        <v>389.65199999999999</v>
      </c>
      <c r="JJ159">
        <v>27.095700000000001</v>
      </c>
      <c r="JK159">
        <v>34.281199999999998</v>
      </c>
      <c r="JL159">
        <v>29.9998</v>
      </c>
      <c r="JM159">
        <v>34.524099999999997</v>
      </c>
      <c r="JN159">
        <v>34.530900000000003</v>
      </c>
      <c r="JO159">
        <v>20.299700000000001</v>
      </c>
      <c r="JP159">
        <v>14.355700000000001</v>
      </c>
      <c r="JQ159">
        <v>17.9252</v>
      </c>
      <c r="JR159">
        <v>27.090800000000002</v>
      </c>
      <c r="JS159">
        <v>400</v>
      </c>
      <c r="JT159">
        <v>22.410699999999999</v>
      </c>
      <c r="JU159">
        <v>98.849800000000002</v>
      </c>
      <c r="JV159">
        <v>99.007199999999997</v>
      </c>
    </row>
    <row r="160" spans="1:282" x14ac:dyDescent="0.25">
      <c r="A160">
        <v>144</v>
      </c>
      <c r="B160">
        <v>1689029384</v>
      </c>
      <c r="C160">
        <v>29561.400000095371</v>
      </c>
      <c r="D160" t="s">
        <v>1145</v>
      </c>
      <c r="E160" t="s">
        <v>1146</v>
      </c>
      <c r="F160" t="s">
        <v>414</v>
      </c>
      <c r="G160" t="s">
        <v>415</v>
      </c>
      <c r="H160" t="s">
        <v>31</v>
      </c>
      <c r="I160" t="s">
        <v>501</v>
      </c>
      <c r="J160" t="s">
        <v>418</v>
      </c>
      <c r="K160">
        <v>1689029384</v>
      </c>
      <c r="L160">
        <f t="shared" si="184"/>
        <v>4.6774883792934947E-3</v>
      </c>
      <c r="M160">
        <f t="shared" si="185"/>
        <v>4.6774883792934947</v>
      </c>
      <c r="N160">
        <f t="shared" si="186"/>
        <v>46.887607557073686</v>
      </c>
      <c r="O160">
        <f t="shared" si="187"/>
        <v>341.81</v>
      </c>
      <c r="P160">
        <f t="shared" si="188"/>
        <v>89.590099331478285</v>
      </c>
      <c r="Q160">
        <f t="shared" si="189"/>
        <v>8.8691804938659864</v>
      </c>
      <c r="R160">
        <f t="shared" si="190"/>
        <v>33.838276854585004</v>
      </c>
      <c r="S160">
        <f t="shared" si="191"/>
        <v>0.31963591590292573</v>
      </c>
      <c r="T160">
        <f t="shared" si="192"/>
        <v>2.9129721075841131</v>
      </c>
      <c r="U160">
        <f t="shared" si="193"/>
        <v>0.30135091218833487</v>
      </c>
      <c r="V160">
        <f t="shared" si="194"/>
        <v>0.1898999321855491</v>
      </c>
      <c r="W160">
        <f t="shared" si="195"/>
        <v>289.57285432677639</v>
      </c>
      <c r="X160">
        <f t="shared" si="196"/>
        <v>30.576652470411116</v>
      </c>
      <c r="Y160">
        <f t="shared" si="197"/>
        <v>29.996300000000002</v>
      </c>
      <c r="Z160">
        <f t="shared" si="198"/>
        <v>4.2595444043198469</v>
      </c>
      <c r="AA160">
        <f t="shared" si="199"/>
        <v>64.880454051848133</v>
      </c>
      <c r="AB160">
        <f t="shared" si="200"/>
        <v>2.7775482462588004</v>
      </c>
      <c r="AC160">
        <f t="shared" si="201"/>
        <v>4.2810246735313671</v>
      </c>
      <c r="AD160">
        <f t="shared" si="202"/>
        <v>1.4819961580610466</v>
      </c>
      <c r="AE160">
        <f t="shared" si="203"/>
        <v>-206.27723752684312</v>
      </c>
      <c r="AF160">
        <f t="shared" si="204"/>
        <v>13.757067738332685</v>
      </c>
      <c r="AG160">
        <f t="shared" si="205"/>
        <v>1.0505121224073481</v>
      </c>
      <c r="AH160">
        <f t="shared" si="206"/>
        <v>98.103196660673277</v>
      </c>
      <c r="AI160">
        <v>0</v>
      </c>
      <c r="AJ160">
        <v>0</v>
      </c>
      <c r="AK160">
        <f t="shared" si="207"/>
        <v>1</v>
      </c>
      <c r="AL160">
        <f t="shared" si="208"/>
        <v>0</v>
      </c>
      <c r="AM160">
        <f t="shared" si="209"/>
        <v>51842.668913375594</v>
      </c>
      <c r="AN160" t="s">
        <v>419</v>
      </c>
      <c r="AO160">
        <v>9967.0300000000007</v>
      </c>
      <c r="AP160">
        <v>178.94153846153841</v>
      </c>
      <c r="AQ160">
        <v>603.15</v>
      </c>
      <c r="AR160">
        <f t="shared" si="210"/>
        <v>0.7033216638290003</v>
      </c>
      <c r="AS160">
        <v>-3.2649104154664181</v>
      </c>
      <c r="AT160" t="s">
        <v>1147</v>
      </c>
      <c r="AU160">
        <v>8068.76</v>
      </c>
      <c r="AV160">
        <v>717.90257692307694</v>
      </c>
      <c r="AW160">
        <v>1123.955298569819</v>
      </c>
      <c r="AX160">
        <f t="shared" si="211"/>
        <v>0.36127123753357926</v>
      </c>
      <c r="AY160">
        <v>0.5</v>
      </c>
      <c r="AZ160">
        <f t="shared" si="212"/>
        <v>1513.2182996511792</v>
      </c>
      <c r="BA160">
        <f t="shared" si="213"/>
        <v>46.887607557073686</v>
      </c>
      <c r="BB160">
        <f t="shared" si="214"/>
        <v>273.34112388672003</v>
      </c>
      <c r="BC160">
        <f t="shared" si="215"/>
        <v>3.3142949688158709E-2</v>
      </c>
      <c r="BD160">
        <f t="shared" si="216"/>
        <v>-0.46336833789788578</v>
      </c>
      <c r="BE160">
        <f t="shared" si="217"/>
        <v>207.46155846234319</v>
      </c>
      <c r="BF160" t="s">
        <v>1148</v>
      </c>
      <c r="BG160">
        <v>561.88</v>
      </c>
      <c r="BH160">
        <f t="shared" si="218"/>
        <v>561.88</v>
      </c>
      <c r="BI160">
        <f t="shared" si="219"/>
        <v>0.50008688004321322</v>
      </c>
      <c r="BJ160">
        <f t="shared" si="220"/>
        <v>0.72241694783586652</v>
      </c>
      <c r="BK160">
        <f t="shared" si="221"/>
        <v>-12.619464467405361</v>
      </c>
      <c r="BL160">
        <f t="shared" si="222"/>
        <v>0.42967916319040278</v>
      </c>
      <c r="BM160">
        <f t="shared" si="223"/>
        <v>-1.2277107738045421</v>
      </c>
      <c r="BN160">
        <f t="shared" si="224"/>
        <v>0.56541325758956007</v>
      </c>
      <c r="BO160">
        <f t="shared" si="225"/>
        <v>0.43458674241043993</v>
      </c>
      <c r="BP160">
        <v>6323</v>
      </c>
      <c r="BQ160">
        <v>290.00000000000011</v>
      </c>
      <c r="BR160">
        <v>983.39</v>
      </c>
      <c r="BS160">
        <v>295</v>
      </c>
      <c r="BT160">
        <v>8068.76</v>
      </c>
      <c r="BU160">
        <v>986.07</v>
      </c>
      <c r="BV160">
        <v>-2.68</v>
      </c>
      <c r="BW160">
        <v>300.00000000000011</v>
      </c>
      <c r="BX160">
        <v>19.3</v>
      </c>
      <c r="BY160">
        <v>1123.955298569819</v>
      </c>
      <c r="BZ160">
        <v>5.2619690633118106</v>
      </c>
      <c r="CA160">
        <v>-111.2561417441849</v>
      </c>
      <c r="CB160">
        <v>3.9005231884344118</v>
      </c>
      <c r="CC160">
        <v>0.96672939532342839</v>
      </c>
      <c r="CD160">
        <v>-4.1634725250278108E-3</v>
      </c>
      <c r="CE160">
        <v>289.99999999999989</v>
      </c>
      <c r="CF160">
        <v>978.38</v>
      </c>
      <c r="CG160">
        <v>615</v>
      </c>
      <c r="CH160">
        <v>8061.06</v>
      </c>
      <c r="CI160">
        <v>985.94</v>
      </c>
      <c r="CJ160">
        <v>-7.56</v>
      </c>
      <c r="CX160">
        <f t="shared" si="226"/>
        <v>1800.04</v>
      </c>
      <c r="CY160">
        <f t="shared" si="227"/>
        <v>1513.2182996511792</v>
      </c>
      <c r="CZ160">
        <f t="shared" si="228"/>
        <v>0.84065815184728077</v>
      </c>
      <c r="DA160">
        <f t="shared" si="229"/>
        <v>0.16087023306525211</v>
      </c>
      <c r="DB160">
        <v>6</v>
      </c>
      <c r="DC160">
        <v>0.5</v>
      </c>
      <c r="DD160" t="s">
        <v>422</v>
      </c>
      <c r="DE160">
        <v>2</v>
      </c>
      <c r="DF160">
        <v>1689029384</v>
      </c>
      <c r="DG160">
        <v>341.81</v>
      </c>
      <c r="DH160">
        <v>399.983</v>
      </c>
      <c r="DI160">
        <v>28.056799999999999</v>
      </c>
      <c r="DJ160">
        <v>22.6023</v>
      </c>
      <c r="DK160">
        <v>341.9</v>
      </c>
      <c r="DL160">
        <v>28.000399999999999</v>
      </c>
      <c r="DM160">
        <v>500.09199999999998</v>
      </c>
      <c r="DN160">
        <v>98.897800000000004</v>
      </c>
      <c r="DO160">
        <v>9.9528500000000006E-2</v>
      </c>
      <c r="DP160">
        <v>30.0839</v>
      </c>
      <c r="DQ160">
        <v>29.996300000000002</v>
      </c>
      <c r="DR160">
        <v>999.9</v>
      </c>
      <c r="DS160">
        <v>0</v>
      </c>
      <c r="DT160">
        <v>0</v>
      </c>
      <c r="DU160">
        <v>10016.200000000001</v>
      </c>
      <c r="DV160">
        <v>0</v>
      </c>
      <c r="DW160">
        <v>997.298</v>
      </c>
      <c r="DX160">
        <v>-58.173200000000001</v>
      </c>
      <c r="DY160">
        <v>351.67700000000002</v>
      </c>
      <c r="DZ160">
        <v>409.233</v>
      </c>
      <c r="EA160">
        <v>5.45444</v>
      </c>
      <c r="EB160">
        <v>399.983</v>
      </c>
      <c r="EC160">
        <v>22.6023</v>
      </c>
      <c r="ED160">
        <v>2.77475</v>
      </c>
      <c r="EE160">
        <v>2.2353200000000002</v>
      </c>
      <c r="EF160">
        <v>22.7347</v>
      </c>
      <c r="EG160">
        <v>19.217700000000001</v>
      </c>
      <c r="EH160">
        <v>1800.04</v>
      </c>
      <c r="EI160">
        <v>0.97799800000000003</v>
      </c>
      <c r="EJ160">
        <v>2.20022E-2</v>
      </c>
      <c r="EK160">
        <v>0</v>
      </c>
      <c r="EL160">
        <v>718.80200000000002</v>
      </c>
      <c r="EM160">
        <v>5.0005300000000004</v>
      </c>
      <c r="EN160">
        <v>15558.1</v>
      </c>
      <c r="EO160">
        <v>16035.6</v>
      </c>
      <c r="EP160">
        <v>47</v>
      </c>
      <c r="EQ160">
        <v>48.125</v>
      </c>
      <c r="ER160">
        <v>47.5</v>
      </c>
      <c r="ES160">
        <v>47.561999999999998</v>
      </c>
      <c r="ET160">
        <v>48.311999999999998</v>
      </c>
      <c r="EU160">
        <v>1755.55</v>
      </c>
      <c r="EV160">
        <v>39.49</v>
      </c>
      <c r="EW160">
        <v>0</v>
      </c>
      <c r="EX160">
        <v>187.79999995231631</v>
      </c>
      <c r="EY160">
        <v>0</v>
      </c>
      <c r="EZ160">
        <v>717.90257692307694</v>
      </c>
      <c r="FA160">
        <v>7.5332991370227971</v>
      </c>
      <c r="FB160">
        <v>151.8017095418669</v>
      </c>
      <c r="FC160">
        <v>15541.5</v>
      </c>
      <c r="FD160">
        <v>15</v>
      </c>
      <c r="FE160">
        <v>1689029269</v>
      </c>
      <c r="FF160" t="s">
        <v>1149</v>
      </c>
      <c r="FG160">
        <v>1689029265</v>
      </c>
      <c r="FH160">
        <v>1689029269</v>
      </c>
      <c r="FI160">
        <v>157</v>
      </c>
      <c r="FJ160">
        <v>-1.2999999999999999E-2</v>
      </c>
      <c r="FK160">
        <v>1E-3</v>
      </c>
      <c r="FL160">
        <v>-9.4E-2</v>
      </c>
      <c r="FM160">
        <v>4.8000000000000001E-2</v>
      </c>
      <c r="FN160">
        <v>400</v>
      </c>
      <c r="FO160">
        <v>22</v>
      </c>
      <c r="FP160">
        <v>0.05</v>
      </c>
      <c r="FQ160">
        <v>0.01</v>
      </c>
      <c r="FR160">
        <v>46.793559943573129</v>
      </c>
      <c r="FS160">
        <v>0.89355580885534613</v>
      </c>
      <c r="FT160">
        <v>7.0752211227362846E-2</v>
      </c>
      <c r="FU160">
        <v>0</v>
      </c>
      <c r="FV160">
        <v>0.32256685019220499</v>
      </c>
      <c r="FW160">
        <v>-5.1373011795637427E-3</v>
      </c>
      <c r="FX160">
        <v>4.7171975313686358E-4</v>
      </c>
      <c r="FY160">
        <v>1</v>
      </c>
      <c r="FZ160">
        <v>1</v>
      </c>
      <c r="GA160">
        <v>2</v>
      </c>
      <c r="GB160" t="s">
        <v>463</v>
      </c>
      <c r="GC160">
        <v>3.1209500000000001</v>
      </c>
      <c r="GD160">
        <v>2.7669800000000002</v>
      </c>
      <c r="GE160">
        <v>7.8292500000000001E-2</v>
      </c>
      <c r="GF160">
        <v>8.8563900000000001E-2</v>
      </c>
      <c r="GG160">
        <v>0.119062</v>
      </c>
      <c r="GH160">
        <v>0.102629</v>
      </c>
      <c r="GI160">
        <v>22050</v>
      </c>
      <c r="GJ160">
        <v>22635.599999999999</v>
      </c>
      <c r="GK160">
        <v>23783.3</v>
      </c>
      <c r="GL160">
        <v>25146.3</v>
      </c>
      <c r="GM160">
        <v>30193.4</v>
      </c>
      <c r="GN160">
        <v>31657.8</v>
      </c>
      <c r="GO160">
        <v>37907.699999999997</v>
      </c>
      <c r="GP160">
        <v>39132.400000000001</v>
      </c>
      <c r="GQ160">
        <v>2.1464799999999999</v>
      </c>
      <c r="GR160">
        <v>1.7429300000000001</v>
      </c>
      <c r="GS160">
        <v>3.12179E-2</v>
      </c>
      <c r="GT160">
        <v>0</v>
      </c>
      <c r="GU160">
        <v>29.488099999999999</v>
      </c>
      <c r="GV160">
        <v>999.9</v>
      </c>
      <c r="GW160">
        <v>29.6</v>
      </c>
      <c r="GX160">
        <v>43.3</v>
      </c>
      <c r="GY160">
        <v>26.414100000000001</v>
      </c>
      <c r="GZ160">
        <v>60.717199999999998</v>
      </c>
      <c r="HA160">
        <v>27.475999999999999</v>
      </c>
      <c r="HB160">
        <v>1</v>
      </c>
      <c r="HC160">
        <v>0.55527700000000002</v>
      </c>
      <c r="HD160">
        <v>2.48454</v>
      </c>
      <c r="HE160">
        <v>20.354800000000001</v>
      </c>
      <c r="HF160">
        <v>5.2512800000000004</v>
      </c>
      <c r="HG160">
        <v>12.0099</v>
      </c>
      <c r="HH160">
        <v>4.9788500000000004</v>
      </c>
      <c r="HI160">
        <v>3.2930000000000001</v>
      </c>
      <c r="HJ160">
        <v>9999</v>
      </c>
      <c r="HK160">
        <v>9999</v>
      </c>
      <c r="HL160">
        <v>9999</v>
      </c>
      <c r="HM160">
        <v>239.6</v>
      </c>
      <c r="HN160">
        <v>1.8757600000000001</v>
      </c>
      <c r="HO160">
        <v>1.87683</v>
      </c>
      <c r="HP160">
        <v>1.88293</v>
      </c>
      <c r="HQ160">
        <v>1.88612</v>
      </c>
      <c r="HR160">
        <v>1.87686</v>
      </c>
      <c r="HS160">
        <v>1.8833899999999999</v>
      </c>
      <c r="HT160">
        <v>1.88232</v>
      </c>
      <c r="HU160">
        <v>1.8857999999999999</v>
      </c>
      <c r="HV160">
        <v>0</v>
      </c>
      <c r="HW160">
        <v>0</v>
      </c>
      <c r="HX160">
        <v>0</v>
      </c>
      <c r="HY160">
        <v>0</v>
      </c>
      <c r="HZ160" t="s">
        <v>425</v>
      </c>
      <c r="IA160" t="s">
        <v>426</v>
      </c>
      <c r="IB160" t="s">
        <v>427</v>
      </c>
      <c r="IC160" t="s">
        <v>427</v>
      </c>
      <c r="ID160" t="s">
        <v>427</v>
      </c>
      <c r="IE160" t="s">
        <v>427</v>
      </c>
      <c r="IF160">
        <v>0</v>
      </c>
      <c r="IG160">
        <v>100</v>
      </c>
      <c r="IH160">
        <v>100</v>
      </c>
      <c r="II160">
        <v>-0.09</v>
      </c>
      <c r="IJ160">
        <v>5.6399999999999999E-2</v>
      </c>
      <c r="IK160">
        <v>-8.8233810634977955E-3</v>
      </c>
      <c r="IL160">
        <v>-4.2852564239613137E-4</v>
      </c>
      <c r="IM160">
        <v>6.4980710991155998E-7</v>
      </c>
      <c r="IN160">
        <v>-2.7237938963984961E-10</v>
      </c>
      <c r="IO160">
        <v>-1.5704952178185029E-3</v>
      </c>
      <c r="IP160">
        <v>6.6907473102813496E-3</v>
      </c>
      <c r="IQ160">
        <v>-3.3673306238274028E-4</v>
      </c>
      <c r="IR160">
        <v>6.1311374003140313E-6</v>
      </c>
      <c r="IS160">
        <v>3</v>
      </c>
      <c r="IT160">
        <v>2101</v>
      </c>
      <c r="IU160">
        <v>1</v>
      </c>
      <c r="IV160">
        <v>32</v>
      </c>
      <c r="IW160">
        <v>2</v>
      </c>
      <c r="IX160">
        <v>1.9</v>
      </c>
      <c r="IY160">
        <v>1.01562</v>
      </c>
      <c r="IZ160">
        <v>2.7197300000000002</v>
      </c>
      <c r="JA160">
        <v>1.6003400000000001</v>
      </c>
      <c r="JB160">
        <v>2.32666</v>
      </c>
      <c r="JC160">
        <v>1.5502899999999999</v>
      </c>
      <c r="JD160">
        <v>2.47437</v>
      </c>
      <c r="JE160">
        <v>45.347299999999997</v>
      </c>
      <c r="JF160">
        <v>16.049600000000002</v>
      </c>
      <c r="JG160">
        <v>18</v>
      </c>
      <c r="JH160">
        <v>599.36</v>
      </c>
      <c r="JI160">
        <v>391.32299999999998</v>
      </c>
      <c r="JJ160">
        <v>27.085899999999999</v>
      </c>
      <c r="JK160">
        <v>34.159100000000002</v>
      </c>
      <c r="JL160">
        <v>29.9999</v>
      </c>
      <c r="JM160">
        <v>34.379100000000001</v>
      </c>
      <c r="JN160">
        <v>34.386499999999998</v>
      </c>
      <c r="JO160">
        <v>20.3172</v>
      </c>
      <c r="JP160">
        <v>15.93</v>
      </c>
      <c r="JQ160">
        <v>21.587900000000001</v>
      </c>
      <c r="JR160">
        <v>27.084299999999999</v>
      </c>
      <c r="JS160">
        <v>400</v>
      </c>
      <c r="JT160">
        <v>22.553599999999999</v>
      </c>
      <c r="JU160">
        <v>98.876900000000006</v>
      </c>
      <c r="JV160">
        <v>99.032600000000002</v>
      </c>
    </row>
    <row r="161" spans="1:282" x14ac:dyDescent="0.25">
      <c r="A161">
        <v>145</v>
      </c>
      <c r="B161">
        <v>1689029502.5</v>
      </c>
      <c r="C161">
        <v>29679.900000095371</v>
      </c>
      <c r="D161" t="s">
        <v>1150</v>
      </c>
      <c r="E161" t="s">
        <v>1151</v>
      </c>
      <c r="F161" t="s">
        <v>414</v>
      </c>
      <c r="G161" t="s">
        <v>415</v>
      </c>
      <c r="H161" t="s">
        <v>31</v>
      </c>
      <c r="I161" t="s">
        <v>501</v>
      </c>
      <c r="J161" t="s">
        <v>418</v>
      </c>
      <c r="K161">
        <v>1689029502.5</v>
      </c>
      <c r="L161">
        <f t="shared" si="184"/>
        <v>4.6200243682445142E-3</v>
      </c>
      <c r="M161">
        <f t="shared" si="185"/>
        <v>4.6200243682445139</v>
      </c>
      <c r="N161">
        <f t="shared" si="186"/>
        <v>46.975161860982759</v>
      </c>
      <c r="O161">
        <f t="shared" si="187"/>
        <v>341.798</v>
      </c>
      <c r="P161">
        <f t="shared" si="188"/>
        <v>89.653023575292892</v>
      </c>
      <c r="Q161">
        <f t="shared" si="189"/>
        <v>8.8756040591770908</v>
      </c>
      <c r="R161">
        <f t="shared" si="190"/>
        <v>33.837829392009994</v>
      </c>
      <c r="S161">
        <f t="shared" si="191"/>
        <v>0.32032052916438192</v>
      </c>
      <c r="T161">
        <f t="shared" si="192"/>
        <v>2.9031657021087569</v>
      </c>
      <c r="U161">
        <f t="shared" si="193"/>
        <v>0.30190133650474327</v>
      </c>
      <c r="V161">
        <f t="shared" si="194"/>
        <v>0.19025490677034584</v>
      </c>
      <c r="W161">
        <f t="shared" si="195"/>
        <v>289.56806632676523</v>
      </c>
      <c r="X161">
        <f t="shared" si="196"/>
        <v>30.573015640037141</v>
      </c>
      <c r="Y161">
        <f t="shared" si="197"/>
        <v>29.9864</v>
      </c>
      <c r="Z161">
        <f t="shared" si="198"/>
        <v>4.257122757388033</v>
      </c>
      <c r="AA161">
        <f t="shared" si="199"/>
        <v>65.389405360195028</v>
      </c>
      <c r="AB161">
        <f t="shared" si="200"/>
        <v>2.7960922370325001</v>
      </c>
      <c r="AC161">
        <f t="shared" si="201"/>
        <v>4.2760631047649591</v>
      </c>
      <c r="AD161">
        <f t="shared" si="202"/>
        <v>1.4610305203555329</v>
      </c>
      <c r="AE161">
        <f t="shared" si="203"/>
        <v>-203.74307463958309</v>
      </c>
      <c r="AF161">
        <f t="shared" si="204"/>
        <v>12.098645779370512</v>
      </c>
      <c r="AG161">
        <f t="shared" si="205"/>
        <v>0.92685489270966004</v>
      </c>
      <c r="AH161">
        <f t="shared" si="206"/>
        <v>98.850492359262347</v>
      </c>
      <c r="AI161">
        <v>0</v>
      </c>
      <c r="AJ161">
        <v>0</v>
      </c>
      <c r="AK161">
        <f t="shared" si="207"/>
        <v>1</v>
      </c>
      <c r="AL161">
        <f t="shared" si="208"/>
        <v>0</v>
      </c>
      <c r="AM161">
        <f t="shared" si="209"/>
        <v>51567.724880092566</v>
      </c>
      <c r="AN161" t="s">
        <v>419</v>
      </c>
      <c r="AO161">
        <v>9967.0300000000007</v>
      </c>
      <c r="AP161">
        <v>178.94153846153841</v>
      </c>
      <c r="AQ161">
        <v>603.15</v>
      </c>
      <c r="AR161">
        <f t="shared" si="210"/>
        <v>0.7033216638290003</v>
      </c>
      <c r="AS161">
        <v>-3.2649104154664181</v>
      </c>
      <c r="AT161" t="s">
        <v>1152</v>
      </c>
      <c r="AU161">
        <v>8069.29</v>
      </c>
      <c r="AV161">
        <v>720.03631999999993</v>
      </c>
      <c r="AW161">
        <v>1136.1853095364879</v>
      </c>
      <c r="AX161">
        <f t="shared" si="211"/>
        <v>0.36626858844553967</v>
      </c>
      <c r="AY161">
        <v>0.5</v>
      </c>
      <c r="AZ161">
        <f t="shared" si="212"/>
        <v>1513.1930996511737</v>
      </c>
      <c r="BA161">
        <f t="shared" si="213"/>
        <v>46.975161860982759</v>
      </c>
      <c r="BB161">
        <f t="shared" si="214"/>
        <v>277.11755032738313</v>
      </c>
      <c r="BC161">
        <f t="shared" si="215"/>
        <v>3.3201362263699644E-2</v>
      </c>
      <c r="BD161">
        <f t="shared" si="216"/>
        <v>-0.46914469414671639</v>
      </c>
      <c r="BE161">
        <f t="shared" si="217"/>
        <v>207.87457519669474</v>
      </c>
      <c r="BF161" t="s">
        <v>1153</v>
      </c>
      <c r="BG161">
        <v>563.05999999999995</v>
      </c>
      <c r="BH161">
        <f t="shared" si="218"/>
        <v>563.05999999999995</v>
      </c>
      <c r="BI161">
        <f t="shared" si="219"/>
        <v>0.5044294312961124</v>
      </c>
      <c r="BJ161">
        <f t="shared" si="220"/>
        <v>0.72610471499338647</v>
      </c>
      <c r="BK161">
        <f t="shared" si="221"/>
        <v>-13.295966813082751</v>
      </c>
      <c r="BL161">
        <f t="shared" si="222"/>
        <v>0.43473669101985168</v>
      </c>
      <c r="BM161">
        <f t="shared" si="223"/>
        <v>-1.2565409647967605</v>
      </c>
      <c r="BN161">
        <f t="shared" si="224"/>
        <v>0.56780541407157936</v>
      </c>
      <c r="BO161">
        <f t="shared" si="225"/>
        <v>0.43219458592842064</v>
      </c>
      <c r="BP161">
        <v>6325</v>
      </c>
      <c r="BQ161">
        <v>290.00000000000011</v>
      </c>
      <c r="BR161">
        <v>990.56</v>
      </c>
      <c r="BS161">
        <v>275</v>
      </c>
      <c r="BT161">
        <v>8069.29</v>
      </c>
      <c r="BU161">
        <v>993.92</v>
      </c>
      <c r="BV161">
        <v>-3.36</v>
      </c>
      <c r="BW161">
        <v>300.00000000000011</v>
      </c>
      <c r="BX161">
        <v>19.3</v>
      </c>
      <c r="BY161">
        <v>1136.1853095364879</v>
      </c>
      <c r="BZ161">
        <v>5.3611661674025086</v>
      </c>
      <c r="CA161">
        <v>-114.79622585166111</v>
      </c>
      <c r="CB161">
        <v>3.9740238449497691</v>
      </c>
      <c r="CC161">
        <v>0.96753391322686022</v>
      </c>
      <c r="CD161">
        <v>-4.1634235817575114E-3</v>
      </c>
      <c r="CE161">
        <v>289.99999999999989</v>
      </c>
      <c r="CF161">
        <v>985.22</v>
      </c>
      <c r="CG161">
        <v>625</v>
      </c>
      <c r="CH161">
        <v>8060.65</v>
      </c>
      <c r="CI161">
        <v>993.77</v>
      </c>
      <c r="CJ161">
        <v>-8.5500000000000007</v>
      </c>
      <c r="CX161">
        <f t="shared" si="226"/>
        <v>1800.01</v>
      </c>
      <c r="CY161">
        <f t="shared" si="227"/>
        <v>1513.1930996511737</v>
      </c>
      <c r="CZ161">
        <f t="shared" si="228"/>
        <v>0.84065816281641415</v>
      </c>
      <c r="DA161">
        <f t="shared" si="229"/>
        <v>0.16087025423567938</v>
      </c>
      <c r="DB161">
        <v>6</v>
      </c>
      <c r="DC161">
        <v>0.5</v>
      </c>
      <c r="DD161" t="s">
        <v>422</v>
      </c>
      <c r="DE161">
        <v>2</v>
      </c>
      <c r="DF161">
        <v>1689029502.5</v>
      </c>
      <c r="DG161">
        <v>341.798</v>
      </c>
      <c r="DH161">
        <v>400.041</v>
      </c>
      <c r="DI161">
        <v>28.243500000000001</v>
      </c>
      <c r="DJ161">
        <v>22.8581</v>
      </c>
      <c r="DK161">
        <v>341.92</v>
      </c>
      <c r="DL161">
        <v>28.187100000000001</v>
      </c>
      <c r="DM161">
        <v>500.19</v>
      </c>
      <c r="DN161">
        <v>98.899199999999993</v>
      </c>
      <c r="DO161">
        <v>0.100295</v>
      </c>
      <c r="DP161">
        <v>30.063700000000001</v>
      </c>
      <c r="DQ161">
        <v>29.9864</v>
      </c>
      <c r="DR161">
        <v>999.9</v>
      </c>
      <c r="DS161">
        <v>0</v>
      </c>
      <c r="DT161">
        <v>0</v>
      </c>
      <c r="DU161">
        <v>9960</v>
      </c>
      <c r="DV161">
        <v>0</v>
      </c>
      <c r="DW161">
        <v>984.80100000000004</v>
      </c>
      <c r="DX161">
        <v>-58.243699999999997</v>
      </c>
      <c r="DY161">
        <v>351.73200000000003</v>
      </c>
      <c r="DZ161">
        <v>409.4</v>
      </c>
      <c r="EA161">
        <v>5.3853600000000004</v>
      </c>
      <c r="EB161">
        <v>400.041</v>
      </c>
      <c r="EC161">
        <v>22.8581</v>
      </c>
      <c r="ED161">
        <v>2.7932600000000001</v>
      </c>
      <c r="EE161">
        <v>2.26065</v>
      </c>
      <c r="EF161">
        <v>22.8443</v>
      </c>
      <c r="EG161">
        <v>19.398700000000002</v>
      </c>
      <c r="EH161">
        <v>1800.01</v>
      </c>
      <c r="EI161">
        <v>0.97799800000000003</v>
      </c>
      <c r="EJ161">
        <v>2.20022E-2</v>
      </c>
      <c r="EK161">
        <v>0</v>
      </c>
      <c r="EL161">
        <v>719.90800000000002</v>
      </c>
      <c r="EM161">
        <v>5.0005300000000004</v>
      </c>
      <c r="EN161">
        <v>15600.5</v>
      </c>
      <c r="EO161">
        <v>16035.4</v>
      </c>
      <c r="EP161">
        <v>47</v>
      </c>
      <c r="EQ161">
        <v>48.061999999999998</v>
      </c>
      <c r="ER161">
        <v>47.5</v>
      </c>
      <c r="ES161">
        <v>47.561999999999998</v>
      </c>
      <c r="ET161">
        <v>48.311999999999998</v>
      </c>
      <c r="EU161">
        <v>1755.52</v>
      </c>
      <c r="EV161">
        <v>39.49</v>
      </c>
      <c r="EW161">
        <v>0</v>
      </c>
      <c r="EX161">
        <v>116.4000000953674</v>
      </c>
      <c r="EY161">
        <v>0</v>
      </c>
      <c r="EZ161">
        <v>720.03631999999993</v>
      </c>
      <c r="FA161">
        <v>-1.3364615433343019</v>
      </c>
      <c r="FB161">
        <v>-14.061538836848021</v>
      </c>
      <c r="FC161">
        <v>15611.204</v>
      </c>
      <c r="FD161">
        <v>15</v>
      </c>
      <c r="FE161">
        <v>1689029466.5</v>
      </c>
      <c r="FF161" t="s">
        <v>1154</v>
      </c>
      <c r="FG161">
        <v>1689029466.5</v>
      </c>
      <c r="FH161">
        <v>1689029464.5</v>
      </c>
      <c r="FI161">
        <v>158</v>
      </c>
      <c r="FJ161">
        <v>-3.2000000000000001E-2</v>
      </c>
      <c r="FK161">
        <v>0</v>
      </c>
      <c r="FL161">
        <v>-0.125</v>
      </c>
      <c r="FM161">
        <v>4.8000000000000001E-2</v>
      </c>
      <c r="FN161">
        <v>400</v>
      </c>
      <c r="FO161">
        <v>23</v>
      </c>
      <c r="FP161">
        <v>0.03</v>
      </c>
      <c r="FQ161">
        <v>0.02</v>
      </c>
      <c r="FR161">
        <v>46.994831241697028</v>
      </c>
      <c r="FS161">
        <v>-0.41029190660013432</v>
      </c>
      <c r="FT161">
        <v>6.336137053782312E-2</v>
      </c>
      <c r="FU161">
        <v>1</v>
      </c>
      <c r="FV161">
        <v>0.32385970380502038</v>
      </c>
      <c r="FW161">
        <v>-3.0294327402190069E-2</v>
      </c>
      <c r="FX161">
        <v>2.3356401557911152E-3</v>
      </c>
      <c r="FY161">
        <v>1</v>
      </c>
      <c r="FZ161">
        <v>2</v>
      </c>
      <c r="GA161">
        <v>2</v>
      </c>
      <c r="GB161" t="s">
        <v>424</v>
      </c>
      <c r="GC161">
        <v>3.1210499999999999</v>
      </c>
      <c r="GD161">
        <v>2.7672500000000002</v>
      </c>
      <c r="GE161">
        <v>7.8311500000000006E-2</v>
      </c>
      <c r="GF161">
        <v>8.8592099999999993E-2</v>
      </c>
      <c r="GG161">
        <v>0.11963</v>
      </c>
      <c r="GH161">
        <v>0.103468</v>
      </c>
      <c r="GI161">
        <v>22052.3</v>
      </c>
      <c r="GJ161">
        <v>22637.7</v>
      </c>
      <c r="GK161">
        <v>23786.1</v>
      </c>
      <c r="GL161">
        <v>25149.1</v>
      </c>
      <c r="GM161">
        <v>30177.3</v>
      </c>
      <c r="GN161">
        <v>31631.200000000001</v>
      </c>
      <c r="GO161">
        <v>37911.9</v>
      </c>
      <c r="GP161">
        <v>39136.1</v>
      </c>
      <c r="GQ161">
        <v>2.1467999999999998</v>
      </c>
      <c r="GR161">
        <v>1.7447999999999999</v>
      </c>
      <c r="GS161">
        <v>3.0204700000000001E-2</v>
      </c>
      <c r="GT161">
        <v>0</v>
      </c>
      <c r="GU161">
        <v>29.494599999999998</v>
      </c>
      <c r="GV161">
        <v>999.9</v>
      </c>
      <c r="GW161">
        <v>30.1</v>
      </c>
      <c r="GX161">
        <v>43.2</v>
      </c>
      <c r="GY161">
        <v>26.717199999999998</v>
      </c>
      <c r="GZ161">
        <v>60.947200000000002</v>
      </c>
      <c r="HA161">
        <v>26.7668</v>
      </c>
      <c r="HB161">
        <v>1</v>
      </c>
      <c r="HC161">
        <v>0.55281800000000003</v>
      </c>
      <c r="HD161">
        <v>2.2922199999999999</v>
      </c>
      <c r="HE161">
        <v>20.3552</v>
      </c>
      <c r="HF161">
        <v>5.2509800000000002</v>
      </c>
      <c r="HG161">
        <v>12.0101</v>
      </c>
      <c r="HH161">
        <v>4.9787999999999997</v>
      </c>
      <c r="HI161">
        <v>3.2928500000000001</v>
      </c>
      <c r="HJ161">
        <v>9999</v>
      </c>
      <c r="HK161">
        <v>9999</v>
      </c>
      <c r="HL161">
        <v>9999</v>
      </c>
      <c r="HM161">
        <v>239.6</v>
      </c>
      <c r="HN161">
        <v>1.8757600000000001</v>
      </c>
      <c r="HO161">
        <v>1.87683</v>
      </c>
      <c r="HP161">
        <v>1.88293</v>
      </c>
      <c r="HQ161">
        <v>1.8861300000000001</v>
      </c>
      <c r="HR161">
        <v>1.8768499999999999</v>
      </c>
      <c r="HS161">
        <v>1.8833800000000001</v>
      </c>
      <c r="HT161">
        <v>1.88232</v>
      </c>
      <c r="HU161">
        <v>1.8858299999999999</v>
      </c>
      <c r="HV161">
        <v>0</v>
      </c>
      <c r="HW161">
        <v>0</v>
      </c>
      <c r="HX161">
        <v>0</v>
      </c>
      <c r="HY161">
        <v>0</v>
      </c>
      <c r="HZ161" t="s">
        <v>425</v>
      </c>
      <c r="IA161" t="s">
        <v>426</v>
      </c>
      <c r="IB161" t="s">
        <v>427</v>
      </c>
      <c r="IC161" t="s">
        <v>427</v>
      </c>
      <c r="ID161" t="s">
        <v>427</v>
      </c>
      <c r="IE161" t="s">
        <v>427</v>
      </c>
      <c r="IF161">
        <v>0</v>
      </c>
      <c r="IG161">
        <v>100</v>
      </c>
      <c r="IH161">
        <v>100</v>
      </c>
      <c r="II161">
        <v>-0.122</v>
      </c>
      <c r="IJ161">
        <v>5.6399999999999999E-2</v>
      </c>
      <c r="IK161">
        <v>-4.0571543221483063E-2</v>
      </c>
      <c r="IL161">
        <v>-4.2852564239613137E-4</v>
      </c>
      <c r="IM161">
        <v>6.4980710991155998E-7</v>
      </c>
      <c r="IN161">
        <v>-2.7237938963984961E-10</v>
      </c>
      <c r="IO161">
        <v>-2.0006322453200078E-3</v>
      </c>
      <c r="IP161">
        <v>6.6907473102813496E-3</v>
      </c>
      <c r="IQ161">
        <v>-3.3673306238274028E-4</v>
      </c>
      <c r="IR161">
        <v>6.1311374003140313E-6</v>
      </c>
      <c r="IS161">
        <v>3</v>
      </c>
      <c r="IT161">
        <v>2101</v>
      </c>
      <c r="IU161">
        <v>1</v>
      </c>
      <c r="IV161">
        <v>32</v>
      </c>
      <c r="IW161">
        <v>0.6</v>
      </c>
      <c r="IX161">
        <v>0.6</v>
      </c>
      <c r="IY161">
        <v>1.01562</v>
      </c>
      <c r="IZ161">
        <v>2.7160600000000001</v>
      </c>
      <c r="JA161">
        <v>1.6015600000000001</v>
      </c>
      <c r="JB161">
        <v>2.32544</v>
      </c>
      <c r="JC161">
        <v>1.5502899999999999</v>
      </c>
      <c r="JD161">
        <v>2.3803700000000001</v>
      </c>
      <c r="JE161">
        <v>45.233499999999999</v>
      </c>
      <c r="JF161">
        <v>16.040800000000001</v>
      </c>
      <c r="JG161">
        <v>18</v>
      </c>
      <c r="JH161">
        <v>599.005</v>
      </c>
      <c r="JI161">
        <v>392.06400000000002</v>
      </c>
      <c r="JJ161">
        <v>26.696000000000002</v>
      </c>
      <c r="JK161">
        <v>34.105200000000004</v>
      </c>
      <c r="JL161">
        <v>29.999700000000001</v>
      </c>
      <c r="JM161">
        <v>34.313899999999997</v>
      </c>
      <c r="JN161">
        <v>34.319000000000003</v>
      </c>
      <c r="JO161">
        <v>20.3169</v>
      </c>
      <c r="JP161">
        <v>17.426500000000001</v>
      </c>
      <c r="JQ161">
        <v>23.890699999999999</v>
      </c>
      <c r="JR161">
        <v>27.039100000000001</v>
      </c>
      <c r="JS161">
        <v>400</v>
      </c>
      <c r="JT161">
        <v>22.820900000000002</v>
      </c>
      <c r="JU161">
        <v>98.888000000000005</v>
      </c>
      <c r="JV161">
        <v>99.042599999999993</v>
      </c>
    </row>
    <row r="162" spans="1:282" x14ac:dyDescent="0.25">
      <c r="A162">
        <v>146</v>
      </c>
      <c r="B162">
        <v>1689029627.5</v>
      </c>
      <c r="C162">
        <v>29804.900000095371</v>
      </c>
      <c r="D162" t="s">
        <v>1155</v>
      </c>
      <c r="E162" t="s">
        <v>1156</v>
      </c>
      <c r="F162" t="s">
        <v>414</v>
      </c>
      <c r="G162" t="s">
        <v>415</v>
      </c>
      <c r="H162" t="s">
        <v>31</v>
      </c>
      <c r="I162" t="s">
        <v>501</v>
      </c>
      <c r="J162" t="s">
        <v>418</v>
      </c>
      <c r="K162">
        <v>1689029627.5</v>
      </c>
      <c r="L162">
        <f t="shared" si="184"/>
        <v>4.5304669477675506E-3</v>
      </c>
      <c r="M162">
        <f t="shared" si="185"/>
        <v>4.5304669477675503</v>
      </c>
      <c r="N162">
        <f t="shared" si="186"/>
        <v>50.437745180787651</v>
      </c>
      <c r="O162">
        <f t="shared" si="187"/>
        <v>437.13499999999999</v>
      </c>
      <c r="P162">
        <f t="shared" si="188"/>
        <v>159.02681833086467</v>
      </c>
      <c r="Q162">
        <f t="shared" si="189"/>
        <v>15.743384780483211</v>
      </c>
      <c r="R162">
        <f t="shared" si="190"/>
        <v>43.275622176494494</v>
      </c>
      <c r="S162">
        <f t="shared" si="191"/>
        <v>0.31313838325008408</v>
      </c>
      <c r="T162">
        <f t="shared" si="192"/>
        <v>2.9097226693218654</v>
      </c>
      <c r="U162">
        <f t="shared" si="193"/>
        <v>0.29554884224991407</v>
      </c>
      <c r="V162">
        <f t="shared" si="194"/>
        <v>0.18621599183707022</v>
      </c>
      <c r="W162">
        <f t="shared" si="195"/>
        <v>289.60956232686249</v>
      </c>
      <c r="X162">
        <f t="shared" si="196"/>
        <v>30.585887354551677</v>
      </c>
      <c r="Y162">
        <f t="shared" si="197"/>
        <v>29.979600000000001</v>
      </c>
      <c r="Z162">
        <f t="shared" si="198"/>
        <v>4.25546009913249</v>
      </c>
      <c r="AA162">
        <f t="shared" si="199"/>
        <v>65.328446233021864</v>
      </c>
      <c r="AB162">
        <f t="shared" si="200"/>
        <v>2.7919302766812595</v>
      </c>
      <c r="AC162">
        <f t="shared" si="201"/>
        <v>4.2736823507521446</v>
      </c>
      <c r="AD162">
        <f t="shared" si="202"/>
        <v>1.4635298224512305</v>
      </c>
      <c r="AE162">
        <f t="shared" si="203"/>
        <v>-199.79359239654897</v>
      </c>
      <c r="AF162">
        <f t="shared" si="204"/>
        <v>11.671051260006493</v>
      </c>
      <c r="AG162">
        <f t="shared" si="205"/>
        <v>0.89200998506831775</v>
      </c>
      <c r="AH162">
        <f t="shared" si="206"/>
        <v>102.37903117538835</v>
      </c>
      <c r="AI162">
        <v>0</v>
      </c>
      <c r="AJ162">
        <v>0</v>
      </c>
      <c r="AK162">
        <f t="shared" si="207"/>
        <v>1</v>
      </c>
      <c r="AL162">
        <f t="shared" si="208"/>
        <v>0</v>
      </c>
      <c r="AM162">
        <f t="shared" si="209"/>
        <v>51755.477414001594</v>
      </c>
      <c r="AN162" t="s">
        <v>419</v>
      </c>
      <c r="AO162">
        <v>9967.0300000000007</v>
      </c>
      <c r="AP162">
        <v>178.94153846153841</v>
      </c>
      <c r="AQ162">
        <v>603.15</v>
      </c>
      <c r="AR162">
        <f t="shared" si="210"/>
        <v>0.7033216638290003</v>
      </c>
      <c r="AS162">
        <v>-3.2649104154664181</v>
      </c>
      <c r="AT162" t="s">
        <v>1157</v>
      </c>
      <c r="AU162">
        <v>8068.85</v>
      </c>
      <c r="AV162">
        <v>741.40855999999997</v>
      </c>
      <c r="AW162">
        <v>1195.0717737851751</v>
      </c>
      <c r="AX162">
        <f t="shared" si="211"/>
        <v>0.37961168838276416</v>
      </c>
      <c r="AY162">
        <v>0.5</v>
      </c>
      <c r="AZ162">
        <f t="shared" si="212"/>
        <v>1513.4114996512242</v>
      </c>
      <c r="BA162">
        <f t="shared" si="213"/>
        <v>50.437745180787651</v>
      </c>
      <c r="BB162">
        <f t="shared" si="214"/>
        <v>287.25434730024614</v>
      </c>
      <c r="BC162">
        <f t="shared" si="215"/>
        <v>3.5484503460314794E-2</v>
      </c>
      <c r="BD162">
        <f t="shared" si="216"/>
        <v>-0.49530227955294204</v>
      </c>
      <c r="BE162">
        <f t="shared" si="217"/>
        <v>209.76564718161848</v>
      </c>
      <c r="BF162" t="s">
        <v>1158</v>
      </c>
      <c r="BG162">
        <v>572</v>
      </c>
      <c r="BH162">
        <f t="shared" si="218"/>
        <v>572</v>
      </c>
      <c r="BI162">
        <f t="shared" si="219"/>
        <v>0.52136765962742748</v>
      </c>
      <c r="BJ162">
        <f t="shared" si="220"/>
        <v>0.72810747151834665</v>
      </c>
      <c r="BK162">
        <f t="shared" si="221"/>
        <v>-19.002304134355555</v>
      </c>
      <c r="BL162">
        <f t="shared" si="222"/>
        <v>0.44646168179483775</v>
      </c>
      <c r="BM162">
        <f t="shared" si="223"/>
        <v>-1.3953558862038578</v>
      </c>
      <c r="BN162">
        <f t="shared" si="224"/>
        <v>0.56173815110590886</v>
      </c>
      <c r="BO162">
        <f t="shared" si="225"/>
        <v>0.43826184889409114</v>
      </c>
      <c r="BP162">
        <v>6327</v>
      </c>
      <c r="BQ162">
        <v>290.00000000000011</v>
      </c>
      <c r="BR162">
        <v>1052.49</v>
      </c>
      <c r="BS162">
        <v>285</v>
      </c>
      <c r="BT162">
        <v>8068.85</v>
      </c>
      <c r="BU162">
        <v>1056.48</v>
      </c>
      <c r="BV162">
        <v>-3.99</v>
      </c>
      <c r="BW162">
        <v>300.00000000000011</v>
      </c>
      <c r="BX162">
        <v>19.3</v>
      </c>
      <c r="BY162">
        <v>1195.0717737851751</v>
      </c>
      <c r="BZ162">
        <v>4.8783251706072006</v>
      </c>
      <c r="CA162">
        <v>-111.8283430249125</v>
      </c>
      <c r="CB162">
        <v>3.6161727599699338</v>
      </c>
      <c r="CC162">
        <v>0.97155410622840621</v>
      </c>
      <c r="CD162">
        <v>-4.1635659621802037E-3</v>
      </c>
      <c r="CE162">
        <v>289.99999999999989</v>
      </c>
      <c r="CF162">
        <v>1050.78</v>
      </c>
      <c r="CG162">
        <v>645</v>
      </c>
      <c r="CH162">
        <v>8060.15</v>
      </c>
      <c r="CI162">
        <v>1056.33</v>
      </c>
      <c r="CJ162">
        <v>-5.55</v>
      </c>
      <c r="CX162">
        <f t="shared" si="226"/>
        <v>1800.27</v>
      </c>
      <c r="CY162">
        <f t="shared" si="227"/>
        <v>1513.4114996512242</v>
      </c>
      <c r="CZ162">
        <f t="shared" si="228"/>
        <v>0.84065806776273788</v>
      </c>
      <c r="DA162">
        <f t="shared" si="229"/>
        <v>0.16087007078208407</v>
      </c>
      <c r="DB162">
        <v>6</v>
      </c>
      <c r="DC162">
        <v>0.5</v>
      </c>
      <c r="DD162" t="s">
        <v>422</v>
      </c>
      <c r="DE162">
        <v>2</v>
      </c>
      <c r="DF162">
        <v>1689029627.5</v>
      </c>
      <c r="DG162">
        <v>437.13499999999999</v>
      </c>
      <c r="DH162">
        <v>500.02800000000002</v>
      </c>
      <c r="DI162">
        <v>28.201799999999999</v>
      </c>
      <c r="DJ162">
        <v>22.9193</v>
      </c>
      <c r="DK162">
        <v>437.16699999999997</v>
      </c>
      <c r="DL162">
        <v>28.147200000000002</v>
      </c>
      <c r="DM162">
        <v>500.07</v>
      </c>
      <c r="DN162">
        <v>98.898799999999994</v>
      </c>
      <c r="DO162">
        <v>9.9500699999999997E-2</v>
      </c>
      <c r="DP162">
        <v>30.053999999999998</v>
      </c>
      <c r="DQ162">
        <v>29.979600000000001</v>
      </c>
      <c r="DR162">
        <v>999.9</v>
      </c>
      <c r="DS162">
        <v>0</v>
      </c>
      <c r="DT162">
        <v>0</v>
      </c>
      <c r="DU162">
        <v>9997.5</v>
      </c>
      <c r="DV162">
        <v>0</v>
      </c>
      <c r="DW162">
        <v>967.12900000000002</v>
      </c>
      <c r="DX162">
        <v>-62.8934</v>
      </c>
      <c r="DY162">
        <v>449.82</v>
      </c>
      <c r="DZ162">
        <v>511.75700000000001</v>
      </c>
      <c r="EA162">
        <v>5.2825499999999996</v>
      </c>
      <c r="EB162">
        <v>500.02800000000002</v>
      </c>
      <c r="EC162">
        <v>22.9193</v>
      </c>
      <c r="ED162">
        <v>2.78912</v>
      </c>
      <c r="EE162">
        <v>2.2666900000000001</v>
      </c>
      <c r="EF162">
        <v>22.819900000000001</v>
      </c>
      <c r="EG162">
        <v>19.441600000000001</v>
      </c>
      <c r="EH162">
        <v>1800.27</v>
      </c>
      <c r="EI162">
        <v>0.97800100000000001</v>
      </c>
      <c r="EJ162">
        <v>2.19986E-2</v>
      </c>
      <c r="EK162">
        <v>0</v>
      </c>
      <c r="EL162">
        <v>741.51800000000003</v>
      </c>
      <c r="EM162">
        <v>5.0005300000000004</v>
      </c>
      <c r="EN162">
        <v>16013.6</v>
      </c>
      <c r="EO162">
        <v>16037.7</v>
      </c>
      <c r="EP162">
        <v>47</v>
      </c>
      <c r="EQ162">
        <v>48.125</v>
      </c>
      <c r="ER162">
        <v>47.5</v>
      </c>
      <c r="ES162">
        <v>47.561999999999998</v>
      </c>
      <c r="ET162">
        <v>48.311999999999998</v>
      </c>
      <c r="EU162">
        <v>1755.78</v>
      </c>
      <c r="EV162">
        <v>39.49</v>
      </c>
      <c r="EW162">
        <v>0</v>
      </c>
      <c r="EX162">
        <v>123.2000000476837</v>
      </c>
      <c r="EY162">
        <v>0</v>
      </c>
      <c r="EZ162">
        <v>741.40855999999997</v>
      </c>
      <c r="FA162">
        <v>0.90907692375038418</v>
      </c>
      <c r="FB162">
        <v>10.653846233637919</v>
      </c>
      <c r="FC162">
        <v>16010.544</v>
      </c>
      <c r="FD162">
        <v>15</v>
      </c>
      <c r="FE162">
        <v>1689029594.5</v>
      </c>
      <c r="FF162" t="s">
        <v>1159</v>
      </c>
      <c r="FG162">
        <v>1689029594.5</v>
      </c>
      <c r="FH162">
        <v>1689029586</v>
      </c>
      <c r="FI162">
        <v>159</v>
      </c>
      <c r="FJ162">
        <v>9.4E-2</v>
      </c>
      <c r="FK162">
        <v>-2E-3</v>
      </c>
      <c r="FL162">
        <v>-3.3000000000000002E-2</v>
      </c>
      <c r="FM162">
        <v>4.5999999999999999E-2</v>
      </c>
      <c r="FN162">
        <v>500</v>
      </c>
      <c r="FO162">
        <v>23</v>
      </c>
      <c r="FP162">
        <v>0.03</v>
      </c>
      <c r="FQ162">
        <v>0.02</v>
      </c>
      <c r="FR162">
        <v>50.490279378012247</v>
      </c>
      <c r="FS162">
        <v>-0.68005507436728463</v>
      </c>
      <c r="FT162">
        <v>6.6199658563255853E-2</v>
      </c>
      <c r="FU162">
        <v>1</v>
      </c>
      <c r="FV162">
        <v>0.31732295107169789</v>
      </c>
      <c r="FW162">
        <v>-2.267153196202424E-2</v>
      </c>
      <c r="FX162">
        <v>2.0989699655933041E-3</v>
      </c>
      <c r="FY162">
        <v>1</v>
      </c>
      <c r="FZ162">
        <v>2</v>
      </c>
      <c r="GA162">
        <v>2</v>
      </c>
      <c r="GB162" t="s">
        <v>424</v>
      </c>
      <c r="GC162">
        <v>3.1206900000000002</v>
      </c>
      <c r="GD162">
        <v>2.7667799999999998</v>
      </c>
      <c r="GE162">
        <v>9.47273E-2</v>
      </c>
      <c r="GF162">
        <v>0.104674</v>
      </c>
      <c r="GG162">
        <v>0.11952500000000001</v>
      </c>
      <c r="GH162">
        <v>0.103675</v>
      </c>
      <c r="GI162">
        <v>21660</v>
      </c>
      <c r="GJ162">
        <v>22239</v>
      </c>
      <c r="GK162">
        <v>23786.400000000001</v>
      </c>
      <c r="GL162">
        <v>25149.9</v>
      </c>
      <c r="GM162">
        <v>30181.3</v>
      </c>
      <c r="GN162">
        <v>31625.3</v>
      </c>
      <c r="GO162">
        <v>37912.400000000001</v>
      </c>
      <c r="GP162">
        <v>39137.9</v>
      </c>
      <c r="GQ162">
        <v>2.14683</v>
      </c>
      <c r="GR162">
        <v>1.7466999999999999</v>
      </c>
      <c r="GS162">
        <v>3.0696399999999999E-2</v>
      </c>
      <c r="GT162">
        <v>0</v>
      </c>
      <c r="GU162">
        <v>29.479800000000001</v>
      </c>
      <c r="GV162">
        <v>999.9</v>
      </c>
      <c r="GW162">
        <v>30.5</v>
      </c>
      <c r="GX162">
        <v>43.1</v>
      </c>
      <c r="GY162">
        <v>26.933</v>
      </c>
      <c r="GZ162">
        <v>60.987200000000001</v>
      </c>
      <c r="HA162">
        <v>27.147400000000001</v>
      </c>
      <c r="HB162">
        <v>1</v>
      </c>
      <c r="HC162">
        <v>0.549647</v>
      </c>
      <c r="HD162">
        <v>2.2524899999999999</v>
      </c>
      <c r="HE162">
        <v>20.357299999999999</v>
      </c>
      <c r="HF162">
        <v>5.2499399999999996</v>
      </c>
      <c r="HG162">
        <v>12.0099</v>
      </c>
      <c r="HH162">
        <v>4.9782500000000001</v>
      </c>
      <c r="HI162">
        <v>3.2923300000000002</v>
      </c>
      <c r="HJ162">
        <v>9999</v>
      </c>
      <c r="HK162">
        <v>9999</v>
      </c>
      <c r="HL162">
        <v>9999</v>
      </c>
      <c r="HM162">
        <v>239.7</v>
      </c>
      <c r="HN162">
        <v>1.87578</v>
      </c>
      <c r="HO162">
        <v>1.87683</v>
      </c>
      <c r="HP162">
        <v>1.88293</v>
      </c>
      <c r="HQ162">
        <v>1.88612</v>
      </c>
      <c r="HR162">
        <v>1.87686</v>
      </c>
      <c r="HS162">
        <v>1.8833899999999999</v>
      </c>
      <c r="HT162">
        <v>1.88232</v>
      </c>
      <c r="HU162">
        <v>1.8858200000000001</v>
      </c>
      <c r="HV162">
        <v>0</v>
      </c>
      <c r="HW162">
        <v>0</v>
      </c>
      <c r="HX162">
        <v>0</v>
      </c>
      <c r="HY162">
        <v>0</v>
      </c>
      <c r="HZ162" t="s">
        <v>425</v>
      </c>
      <c r="IA162" t="s">
        <v>426</v>
      </c>
      <c r="IB162" t="s">
        <v>427</v>
      </c>
      <c r="IC162" t="s">
        <v>427</v>
      </c>
      <c r="ID162" t="s">
        <v>427</v>
      </c>
      <c r="IE162" t="s">
        <v>427</v>
      </c>
      <c r="IF162">
        <v>0</v>
      </c>
      <c r="IG162">
        <v>100</v>
      </c>
      <c r="IH162">
        <v>100</v>
      </c>
      <c r="II162">
        <v>-3.2000000000000001E-2</v>
      </c>
      <c r="IJ162">
        <v>5.4600000000000003E-2</v>
      </c>
      <c r="IK162">
        <v>5.3285437388378529E-2</v>
      </c>
      <c r="IL162">
        <v>-4.2852564239613137E-4</v>
      </c>
      <c r="IM162">
        <v>6.4980710991155998E-7</v>
      </c>
      <c r="IN162">
        <v>-2.7237938963984961E-10</v>
      </c>
      <c r="IO162">
        <v>-3.704723042970036E-3</v>
      </c>
      <c r="IP162">
        <v>6.6907473102813496E-3</v>
      </c>
      <c r="IQ162">
        <v>-3.3673306238274028E-4</v>
      </c>
      <c r="IR162">
        <v>6.1311374003140313E-6</v>
      </c>
      <c r="IS162">
        <v>3</v>
      </c>
      <c r="IT162">
        <v>2101</v>
      </c>
      <c r="IU162">
        <v>1</v>
      </c>
      <c r="IV162">
        <v>32</v>
      </c>
      <c r="IW162">
        <v>0.6</v>
      </c>
      <c r="IX162">
        <v>0.7</v>
      </c>
      <c r="IY162">
        <v>1.2170399999999999</v>
      </c>
      <c r="IZ162">
        <v>2.7087400000000001</v>
      </c>
      <c r="JA162">
        <v>1.6003400000000001</v>
      </c>
      <c r="JB162">
        <v>2.32666</v>
      </c>
      <c r="JC162">
        <v>1.5502899999999999</v>
      </c>
      <c r="JD162">
        <v>2.47803</v>
      </c>
      <c r="JE162">
        <v>45.205100000000002</v>
      </c>
      <c r="JF162">
        <v>16.040800000000001</v>
      </c>
      <c r="JG162">
        <v>18</v>
      </c>
      <c r="JH162">
        <v>598.596</v>
      </c>
      <c r="JI162">
        <v>392.93799999999999</v>
      </c>
      <c r="JJ162">
        <v>26.805700000000002</v>
      </c>
      <c r="JK162">
        <v>34.074800000000003</v>
      </c>
      <c r="JL162">
        <v>29.999600000000001</v>
      </c>
      <c r="JM162">
        <v>34.266599999999997</v>
      </c>
      <c r="JN162">
        <v>34.2699</v>
      </c>
      <c r="JO162">
        <v>24.342199999999998</v>
      </c>
      <c r="JP162">
        <v>18.4391</v>
      </c>
      <c r="JQ162">
        <v>25.020900000000001</v>
      </c>
      <c r="JR162">
        <v>26.968399999999999</v>
      </c>
      <c r="JS162">
        <v>500</v>
      </c>
      <c r="JT162">
        <v>22.902000000000001</v>
      </c>
      <c r="JU162">
        <v>98.889399999999995</v>
      </c>
      <c r="JV162">
        <v>99.046700000000001</v>
      </c>
    </row>
    <row r="163" spans="1:282" x14ac:dyDescent="0.25">
      <c r="A163">
        <v>147</v>
      </c>
      <c r="B163">
        <v>1689029738</v>
      </c>
      <c r="C163">
        <v>29915.400000095371</v>
      </c>
      <c r="D163" t="s">
        <v>1160</v>
      </c>
      <c r="E163" t="s">
        <v>1161</v>
      </c>
      <c r="F163" t="s">
        <v>414</v>
      </c>
      <c r="G163" t="s">
        <v>415</v>
      </c>
      <c r="H163" t="s">
        <v>31</v>
      </c>
      <c r="I163" t="s">
        <v>501</v>
      </c>
      <c r="J163" t="s">
        <v>418</v>
      </c>
      <c r="K163">
        <v>1689029738</v>
      </c>
      <c r="L163">
        <f t="shared" si="184"/>
        <v>4.3219341979719942E-3</v>
      </c>
      <c r="M163">
        <f t="shared" si="185"/>
        <v>4.3219341979719941</v>
      </c>
      <c r="N163">
        <f t="shared" si="186"/>
        <v>51.810019317348875</v>
      </c>
      <c r="O163">
        <f t="shared" si="187"/>
        <v>634.62099999999998</v>
      </c>
      <c r="P163">
        <f t="shared" si="188"/>
        <v>326.57423125676149</v>
      </c>
      <c r="Q163">
        <f t="shared" si="189"/>
        <v>32.330190128880098</v>
      </c>
      <c r="R163">
        <f t="shared" si="190"/>
        <v>62.826198842518799</v>
      </c>
      <c r="S163">
        <f t="shared" si="191"/>
        <v>0.29322713379467807</v>
      </c>
      <c r="T163">
        <f t="shared" si="192"/>
        <v>2.9165927248124026</v>
      </c>
      <c r="U163">
        <f t="shared" si="193"/>
        <v>0.27777840373436652</v>
      </c>
      <c r="V163">
        <f t="shared" si="194"/>
        <v>0.17493165342277198</v>
      </c>
      <c r="W163">
        <f t="shared" si="195"/>
        <v>289.55210632672782</v>
      </c>
      <c r="X163">
        <f t="shared" si="196"/>
        <v>30.675109816820086</v>
      </c>
      <c r="Y163">
        <f t="shared" si="197"/>
        <v>30.0352</v>
      </c>
      <c r="Z163">
        <f t="shared" si="198"/>
        <v>4.2690713947169323</v>
      </c>
      <c r="AA163">
        <f t="shared" si="199"/>
        <v>64.998381721532482</v>
      </c>
      <c r="AB163">
        <f t="shared" si="200"/>
        <v>2.7836351801686803</v>
      </c>
      <c r="AC163">
        <f t="shared" si="201"/>
        <v>4.2826222844968544</v>
      </c>
      <c r="AD163">
        <f t="shared" si="202"/>
        <v>1.485436214548252</v>
      </c>
      <c r="AE163">
        <f t="shared" si="203"/>
        <v>-190.59729813056495</v>
      </c>
      <c r="AF163">
        <f t="shared" si="204"/>
        <v>8.6796119533006433</v>
      </c>
      <c r="AG163">
        <f t="shared" si="205"/>
        <v>0.66211530462229262</v>
      </c>
      <c r="AH163">
        <f t="shared" si="206"/>
        <v>108.29653545408584</v>
      </c>
      <c r="AI163">
        <v>0</v>
      </c>
      <c r="AJ163">
        <v>0</v>
      </c>
      <c r="AK163">
        <f t="shared" si="207"/>
        <v>1</v>
      </c>
      <c r="AL163">
        <f t="shared" si="208"/>
        <v>0</v>
      </c>
      <c r="AM163">
        <f t="shared" si="209"/>
        <v>51944.50637645126</v>
      </c>
      <c r="AN163" t="s">
        <v>419</v>
      </c>
      <c r="AO163">
        <v>9967.0300000000007</v>
      </c>
      <c r="AP163">
        <v>178.94153846153841</v>
      </c>
      <c r="AQ163">
        <v>603.15</v>
      </c>
      <c r="AR163">
        <f t="shared" si="210"/>
        <v>0.7033216638290003</v>
      </c>
      <c r="AS163">
        <v>-3.2649104154664181</v>
      </c>
      <c r="AT163" t="s">
        <v>1162</v>
      </c>
      <c r="AU163">
        <v>8068.62</v>
      </c>
      <c r="AV163">
        <v>744.69426923076935</v>
      </c>
      <c r="AW163">
        <v>1228.5129488681339</v>
      </c>
      <c r="AX163">
        <f t="shared" si="211"/>
        <v>0.39382464798854688</v>
      </c>
      <c r="AY163">
        <v>0.5</v>
      </c>
      <c r="AZ163">
        <f t="shared" si="212"/>
        <v>1513.1090996511543</v>
      </c>
      <c r="BA163">
        <f t="shared" si="213"/>
        <v>51.810019317348875</v>
      </c>
      <c r="BB163">
        <f t="shared" si="214"/>
        <v>297.94982926919147</v>
      </c>
      <c r="BC163">
        <f t="shared" si="215"/>
        <v>3.6398518616742676E-2</v>
      </c>
      <c r="BD163">
        <f t="shared" si="216"/>
        <v>-0.50904058393873641</v>
      </c>
      <c r="BE163">
        <f t="shared" si="217"/>
        <v>210.77270996800721</v>
      </c>
      <c r="BF163" t="s">
        <v>1163</v>
      </c>
      <c r="BG163">
        <v>575.13</v>
      </c>
      <c r="BH163">
        <f t="shared" si="218"/>
        <v>575.13</v>
      </c>
      <c r="BI163">
        <f t="shared" si="219"/>
        <v>0.53184864634118456</v>
      </c>
      <c r="BJ163">
        <f t="shared" si="220"/>
        <v>0.74048256152917924</v>
      </c>
      <c r="BK163">
        <f t="shared" si="221"/>
        <v>-22.318449281517999</v>
      </c>
      <c r="BL163">
        <f t="shared" si="222"/>
        <v>0.46096785301148502</v>
      </c>
      <c r="BM163">
        <f t="shared" si="223"/>
        <v>-1.4741878240715722</v>
      </c>
      <c r="BN163">
        <f t="shared" si="224"/>
        <v>0.57187728334767818</v>
      </c>
      <c r="BO163">
        <f t="shared" si="225"/>
        <v>0.42812271665232182</v>
      </c>
      <c r="BP163">
        <v>6329</v>
      </c>
      <c r="BQ163">
        <v>290.00000000000011</v>
      </c>
      <c r="BR163">
        <v>1069.54</v>
      </c>
      <c r="BS163">
        <v>295</v>
      </c>
      <c r="BT163">
        <v>8068.62</v>
      </c>
      <c r="BU163">
        <v>1073.23</v>
      </c>
      <c r="BV163">
        <v>-3.69</v>
      </c>
      <c r="BW163">
        <v>300.00000000000011</v>
      </c>
      <c r="BX163">
        <v>19.3</v>
      </c>
      <c r="BY163">
        <v>1228.5129488681339</v>
      </c>
      <c r="BZ163">
        <v>5.7367661221922468</v>
      </c>
      <c r="CA163">
        <v>-125.2927583524815</v>
      </c>
      <c r="CB163">
        <v>4.2523955568171976</v>
      </c>
      <c r="CC163">
        <v>0.96875452397908601</v>
      </c>
      <c r="CD163">
        <v>-4.1634794215795329E-3</v>
      </c>
      <c r="CE163">
        <v>289.99999999999989</v>
      </c>
      <c r="CF163">
        <v>1066.07</v>
      </c>
      <c r="CG163">
        <v>645</v>
      </c>
      <c r="CH163">
        <v>8059.96</v>
      </c>
      <c r="CI163">
        <v>1073.06</v>
      </c>
      <c r="CJ163">
        <v>-6.99</v>
      </c>
      <c r="CX163">
        <f t="shared" si="226"/>
        <v>1799.91</v>
      </c>
      <c r="CY163">
        <f t="shared" si="227"/>
        <v>1513.1090996511543</v>
      </c>
      <c r="CZ163">
        <f t="shared" si="228"/>
        <v>0.84065819938283259</v>
      </c>
      <c r="DA163">
        <f t="shared" si="229"/>
        <v>0.16087032480886701</v>
      </c>
      <c r="DB163">
        <v>6</v>
      </c>
      <c r="DC163">
        <v>0.5</v>
      </c>
      <c r="DD163" t="s">
        <v>422</v>
      </c>
      <c r="DE163">
        <v>2</v>
      </c>
      <c r="DF163">
        <v>1689029738</v>
      </c>
      <c r="DG163">
        <v>634.62099999999998</v>
      </c>
      <c r="DH163">
        <v>700.06500000000005</v>
      </c>
      <c r="DI163">
        <v>28.118099999999998</v>
      </c>
      <c r="DJ163">
        <v>23.0791</v>
      </c>
      <c r="DK163">
        <v>634.64200000000005</v>
      </c>
      <c r="DL163">
        <v>28.0671</v>
      </c>
      <c r="DM163">
        <v>500.14800000000002</v>
      </c>
      <c r="DN163">
        <v>98.898300000000006</v>
      </c>
      <c r="DO163">
        <v>9.9682800000000002E-2</v>
      </c>
      <c r="DP163">
        <v>30.090399999999999</v>
      </c>
      <c r="DQ163">
        <v>30.0352</v>
      </c>
      <c r="DR163">
        <v>999.9</v>
      </c>
      <c r="DS163">
        <v>0</v>
      </c>
      <c r="DT163">
        <v>0</v>
      </c>
      <c r="DU163">
        <v>10036.9</v>
      </c>
      <c r="DV163">
        <v>0</v>
      </c>
      <c r="DW163">
        <v>948.82899999999995</v>
      </c>
      <c r="DX163">
        <v>-65.443799999999996</v>
      </c>
      <c r="DY163">
        <v>652.98199999999997</v>
      </c>
      <c r="DZ163">
        <v>716.60299999999995</v>
      </c>
      <c r="EA163">
        <v>5.0390300000000003</v>
      </c>
      <c r="EB163">
        <v>700.06500000000005</v>
      </c>
      <c r="EC163">
        <v>23.0791</v>
      </c>
      <c r="ED163">
        <v>2.78084</v>
      </c>
      <c r="EE163">
        <v>2.2824800000000001</v>
      </c>
      <c r="EF163">
        <v>22.770800000000001</v>
      </c>
      <c r="EG163">
        <v>19.5533</v>
      </c>
      <c r="EH163">
        <v>1799.91</v>
      </c>
      <c r="EI163">
        <v>0.97799800000000003</v>
      </c>
      <c r="EJ163">
        <v>2.20022E-2</v>
      </c>
      <c r="EK163">
        <v>0</v>
      </c>
      <c r="EL163">
        <v>744.25199999999995</v>
      </c>
      <c r="EM163">
        <v>5.0005300000000004</v>
      </c>
      <c r="EN163">
        <v>16064.4</v>
      </c>
      <c r="EO163">
        <v>16034.4</v>
      </c>
      <c r="EP163">
        <v>47.061999999999998</v>
      </c>
      <c r="EQ163">
        <v>48.125</v>
      </c>
      <c r="ER163">
        <v>47.561999999999998</v>
      </c>
      <c r="ES163">
        <v>47.625</v>
      </c>
      <c r="ET163">
        <v>48.375</v>
      </c>
      <c r="EU163">
        <v>1755.42</v>
      </c>
      <c r="EV163">
        <v>39.49</v>
      </c>
      <c r="EW163">
        <v>0</v>
      </c>
      <c r="EX163">
        <v>108.6000001430511</v>
      </c>
      <c r="EY163">
        <v>0</v>
      </c>
      <c r="EZ163">
        <v>744.69426923076935</v>
      </c>
      <c r="FA163">
        <v>-2.2507008581431029</v>
      </c>
      <c r="FB163">
        <v>-45.141880379767528</v>
      </c>
      <c r="FC163">
        <v>16071.49230769231</v>
      </c>
      <c r="FD163">
        <v>15</v>
      </c>
      <c r="FE163">
        <v>1689029703.5</v>
      </c>
      <c r="FF163" t="s">
        <v>1164</v>
      </c>
      <c r="FG163">
        <v>1689029698.5</v>
      </c>
      <c r="FH163">
        <v>1689029703.5</v>
      </c>
      <c r="FI163">
        <v>160</v>
      </c>
      <c r="FJ163">
        <v>5.0000000000000001E-3</v>
      </c>
      <c r="FK163">
        <v>-3.0000000000000001E-3</v>
      </c>
      <c r="FL163">
        <v>-1.7000000000000001E-2</v>
      </c>
      <c r="FM163">
        <v>4.2999999999999997E-2</v>
      </c>
      <c r="FN163">
        <v>700</v>
      </c>
      <c r="FO163">
        <v>23</v>
      </c>
      <c r="FP163">
        <v>0.03</v>
      </c>
      <c r="FQ163">
        <v>0.03</v>
      </c>
      <c r="FR163">
        <v>51.842072154717798</v>
      </c>
      <c r="FS163">
        <v>-0.56687703433593395</v>
      </c>
      <c r="FT163">
        <v>9.3703639109012554E-2</v>
      </c>
      <c r="FU163">
        <v>1</v>
      </c>
      <c r="FV163">
        <v>0.29749845109629558</v>
      </c>
      <c r="FW163">
        <v>-2.121081746898203E-2</v>
      </c>
      <c r="FX163">
        <v>1.941376795168287E-3</v>
      </c>
      <c r="FY163">
        <v>1</v>
      </c>
      <c r="FZ163">
        <v>2</v>
      </c>
      <c r="GA163">
        <v>2</v>
      </c>
      <c r="GB163" t="s">
        <v>424</v>
      </c>
      <c r="GC163">
        <v>3.1208300000000002</v>
      </c>
      <c r="GD163">
        <v>2.7673000000000001</v>
      </c>
      <c r="GE163">
        <v>0.12403500000000001</v>
      </c>
      <c r="GF163">
        <v>0.13264100000000001</v>
      </c>
      <c r="GG163">
        <v>0.119297</v>
      </c>
      <c r="GH163">
        <v>0.10419299999999999</v>
      </c>
      <c r="GI163">
        <v>20959.099999999999</v>
      </c>
      <c r="GJ163">
        <v>21544.6</v>
      </c>
      <c r="GK163">
        <v>23787.1</v>
      </c>
      <c r="GL163">
        <v>25150.799999999999</v>
      </c>
      <c r="GM163">
        <v>30190</v>
      </c>
      <c r="GN163">
        <v>31607.8</v>
      </c>
      <c r="GO163">
        <v>37913.699999999997</v>
      </c>
      <c r="GP163">
        <v>39138.9</v>
      </c>
      <c r="GQ163">
        <v>2.1466500000000002</v>
      </c>
      <c r="GR163">
        <v>1.74857</v>
      </c>
      <c r="GS163">
        <v>3.3900100000000002E-2</v>
      </c>
      <c r="GT163">
        <v>0</v>
      </c>
      <c r="GU163">
        <v>29.4834</v>
      </c>
      <c r="GV163">
        <v>999.9</v>
      </c>
      <c r="GW163">
        <v>30.9</v>
      </c>
      <c r="GX163">
        <v>43</v>
      </c>
      <c r="GY163">
        <v>27.1432</v>
      </c>
      <c r="GZ163">
        <v>60.747199999999999</v>
      </c>
      <c r="HA163">
        <v>26.694700000000001</v>
      </c>
      <c r="HB163">
        <v>1</v>
      </c>
      <c r="HC163">
        <v>0.549624</v>
      </c>
      <c r="HD163">
        <v>2.9950199999999998</v>
      </c>
      <c r="HE163">
        <v>20.346</v>
      </c>
      <c r="HF163">
        <v>5.2491899999999996</v>
      </c>
      <c r="HG163">
        <v>12.0099</v>
      </c>
      <c r="HH163">
        <v>4.9776999999999996</v>
      </c>
      <c r="HI163">
        <v>3.2922500000000001</v>
      </c>
      <c r="HJ163">
        <v>9999</v>
      </c>
      <c r="HK163">
        <v>9999</v>
      </c>
      <c r="HL163">
        <v>9999</v>
      </c>
      <c r="HM163">
        <v>239.7</v>
      </c>
      <c r="HN163">
        <v>1.8757699999999999</v>
      </c>
      <c r="HO163">
        <v>1.8768199999999999</v>
      </c>
      <c r="HP163">
        <v>1.88293</v>
      </c>
      <c r="HQ163">
        <v>1.88611</v>
      </c>
      <c r="HR163">
        <v>1.87686</v>
      </c>
      <c r="HS163">
        <v>1.8833800000000001</v>
      </c>
      <c r="HT163">
        <v>1.88232</v>
      </c>
      <c r="HU163">
        <v>1.88581</v>
      </c>
      <c r="HV163">
        <v>0</v>
      </c>
      <c r="HW163">
        <v>0</v>
      </c>
      <c r="HX163">
        <v>0</v>
      </c>
      <c r="HY163">
        <v>0</v>
      </c>
      <c r="HZ163" t="s">
        <v>425</v>
      </c>
      <c r="IA163" t="s">
        <v>426</v>
      </c>
      <c r="IB163" t="s">
        <v>427</v>
      </c>
      <c r="IC163" t="s">
        <v>427</v>
      </c>
      <c r="ID163" t="s">
        <v>427</v>
      </c>
      <c r="IE163" t="s">
        <v>427</v>
      </c>
      <c r="IF163">
        <v>0</v>
      </c>
      <c r="IG163">
        <v>100</v>
      </c>
      <c r="IH163">
        <v>100</v>
      </c>
      <c r="II163">
        <v>-2.1000000000000001E-2</v>
      </c>
      <c r="IJ163">
        <v>5.0999999999999997E-2</v>
      </c>
      <c r="IK163">
        <v>5.8359235118747473E-2</v>
      </c>
      <c r="IL163">
        <v>-4.2852564239613137E-4</v>
      </c>
      <c r="IM163">
        <v>6.4980710991155998E-7</v>
      </c>
      <c r="IN163">
        <v>-2.7237938963984961E-10</v>
      </c>
      <c r="IO163">
        <v>-7.09043543831883E-3</v>
      </c>
      <c r="IP163">
        <v>6.6907473102813496E-3</v>
      </c>
      <c r="IQ163">
        <v>-3.3673306238274028E-4</v>
      </c>
      <c r="IR163">
        <v>6.1311374003140313E-6</v>
      </c>
      <c r="IS163">
        <v>3</v>
      </c>
      <c r="IT163">
        <v>2101</v>
      </c>
      <c r="IU163">
        <v>1</v>
      </c>
      <c r="IV163">
        <v>32</v>
      </c>
      <c r="IW163">
        <v>0.7</v>
      </c>
      <c r="IX163">
        <v>0.6</v>
      </c>
      <c r="IY163">
        <v>1.5991200000000001</v>
      </c>
      <c r="IZ163">
        <v>2.7172900000000002</v>
      </c>
      <c r="JA163">
        <v>1.6015600000000001</v>
      </c>
      <c r="JB163">
        <v>2.32544</v>
      </c>
      <c r="JC163">
        <v>1.5502899999999999</v>
      </c>
      <c r="JD163">
        <v>2.2961399999999998</v>
      </c>
      <c r="JE163">
        <v>45.1768</v>
      </c>
      <c r="JF163">
        <v>16.005800000000001</v>
      </c>
      <c r="JG163">
        <v>18</v>
      </c>
      <c r="JH163">
        <v>598.19600000000003</v>
      </c>
      <c r="JI163">
        <v>393.91500000000002</v>
      </c>
      <c r="JJ163">
        <v>26.7804</v>
      </c>
      <c r="JK163">
        <v>34.056699999999999</v>
      </c>
      <c r="JL163">
        <v>30.0002</v>
      </c>
      <c r="JM163">
        <v>34.235900000000001</v>
      </c>
      <c r="JN163">
        <v>34.239199999999997</v>
      </c>
      <c r="JO163">
        <v>32.021000000000001</v>
      </c>
      <c r="JP163">
        <v>19.427099999999999</v>
      </c>
      <c r="JQ163">
        <v>26.635000000000002</v>
      </c>
      <c r="JR163">
        <v>26.760300000000001</v>
      </c>
      <c r="JS163">
        <v>700</v>
      </c>
      <c r="JT163">
        <v>23.111999999999998</v>
      </c>
      <c r="JU163">
        <v>98.892399999999995</v>
      </c>
      <c r="JV163">
        <v>99.049499999999995</v>
      </c>
    </row>
    <row r="164" spans="1:282" x14ac:dyDescent="0.25">
      <c r="A164">
        <v>148</v>
      </c>
      <c r="B164">
        <v>1689029865.5</v>
      </c>
      <c r="C164">
        <v>30042.900000095371</v>
      </c>
      <c r="D164" t="s">
        <v>1165</v>
      </c>
      <c r="E164" t="s">
        <v>1166</v>
      </c>
      <c r="F164" t="s">
        <v>414</v>
      </c>
      <c r="G164" t="s">
        <v>415</v>
      </c>
      <c r="H164" t="s">
        <v>31</v>
      </c>
      <c r="I164" t="s">
        <v>501</v>
      </c>
      <c r="J164" t="s">
        <v>418</v>
      </c>
      <c r="K164">
        <v>1689029865.5</v>
      </c>
      <c r="L164">
        <f t="shared" si="184"/>
        <v>3.9078993898814408E-3</v>
      </c>
      <c r="M164">
        <f t="shared" si="185"/>
        <v>3.9078993898814405</v>
      </c>
      <c r="N164">
        <f t="shared" si="186"/>
        <v>51.426328640426554</v>
      </c>
      <c r="O164">
        <f t="shared" si="187"/>
        <v>834.52599999999995</v>
      </c>
      <c r="P164">
        <f t="shared" si="188"/>
        <v>491.30651051316084</v>
      </c>
      <c r="Q164">
        <f t="shared" si="189"/>
        <v>48.638109641888754</v>
      </c>
      <c r="R164">
        <f t="shared" si="190"/>
        <v>82.61597641889901</v>
      </c>
      <c r="S164">
        <f t="shared" si="191"/>
        <v>0.26257204451655142</v>
      </c>
      <c r="T164">
        <f t="shared" si="192"/>
        <v>2.9136355129259206</v>
      </c>
      <c r="U164">
        <f t="shared" si="193"/>
        <v>0.25009887586918017</v>
      </c>
      <c r="V164">
        <f t="shared" si="194"/>
        <v>0.15738307504229751</v>
      </c>
      <c r="W164">
        <f t="shared" si="195"/>
        <v>289.52657032666798</v>
      </c>
      <c r="X164">
        <f t="shared" si="196"/>
        <v>30.637972152340293</v>
      </c>
      <c r="Y164">
        <f t="shared" si="197"/>
        <v>29.986799999999999</v>
      </c>
      <c r="Z164">
        <f t="shared" si="198"/>
        <v>4.2572205784432855</v>
      </c>
      <c r="AA164">
        <f t="shared" si="199"/>
        <v>65.110282544355343</v>
      </c>
      <c r="AB164">
        <f t="shared" si="200"/>
        <v>2.76520769266665</v>
      </c>
      <c r="AC164">
        <f t="shared" si="201"/>
        <v>4.2469600570123411</v>
      </c>
      <c r="AD164">
        <f t="shared" si="202"/>
        <v>1.4920128857766355</v>
      </c>
      <c r="AE164">
        <f t="shared" si="203"/>
        <v>-172.33836309377153</v>
      </c>
      <c r="AF164">
        <f t="shared" si="204"/>
        <v>-6.5973565464599062</v>
      </c>
      <c r="AG164">
        <f t="shared" si="205"/>
        <v>-0.5032998056966943</v>
      </c>
      <c r="AH164">
        <f t="shared" si="206"/>
        <v>110.08755088073983</v>
      </c>
      <c r="AI164">
        <v>0</v>
      </c>
      <c r="AJ164">
        <v>0</v>
      </c>
      <c r="AK164">
        <f t="shared" si="207"/>
        <v>1</v>
      </c>
      <c r="AL164">
        <f t="shared" si="208"/>
        <v>0</v>
      </c>
      <c r="AM164">
        <f t="shared" si="209"/>
        <v>51885.337370623543</v>
      </c>
      <c r="AN164" t="s">
        <v>419</v>
      </c>
      <c r="AO164">
        <v>9967.0300000000007</v>
      </c>
      <c r="AP164">
        <v>178.94153846153841</v>
      </c>
      <c r="AQ164">
        <v>603.15</v>
      </c>
      <c r="AR164">
        <f t="shared" si="210"/>
        <v>0.7033216638290003</v>
      </c>
      <c r="AS164">
        <v>-3.2649104154664181</v>
      </c>
      <c r="AT164" t="s">
        <v>1167</v>
      </c>
      <c r="AU164">
        <v>8067.87</v>
      </c>
      <c r="AV164">
        <v>737.55848000000003</v>
      </c>
      <c r="AW164">
        <v>1223.5494224817021</v>
      </c>
      <c r="AX164">
        <f t="shared" si="211"/>
        <v>0.39719763954934972</v>
      </c>
      <c r="AY164">
        <v>0.5</v>
      </c>
      <c r="AZ164">
        <f t="shared" si="212"/>
        <v>1512.9746996511233</v>
      </c>
      <c r="BA164">
        <f t="shared" si="213"/>
        <v>51.426328640426554</v>
      </c>
      <c r="BB164">
        <f t="shared" si="214"/>
        <v>300.47498969965625</v>
      </c>
      <c r="BC164">
        <f t="shared" si="215"/>
        <v>3.6148151762553746E-2</v>
      </c>
      <c r="BD164">
        <f t="shared" si="216"/>
        <v>-0.50704892755648379</v>
      </c>
      <c r="BE164">
        <f t="shared" si="217"/>
        <v>210.62611614220512</v>
      </c>
      <c r="BF164" t="s">
        <v>1168</v>
      </c>
      <c r="BG164">
        <v>572.91999999999996</v>
      </c>
      <c r="BH164">
        <f t="shared" si="218"/>
        <v>572.91999999999996</v>
      </c>
      <c r="BI164">
        <f t="shared" si="219"/>
        <v>0.53175573501726059</v>
      </c>
      <c r="BJ164">
        <f t="shared" si="220"/>
        <v>0.74695506487853269</v>
      </c>
      <c r="BK164">
        <f t="shared" si="221"/>
        <v>-20.522640505514449</v>
      </c>
      <c r="BL164">
        <f t="shared" si="222"/>
        <v>0.46523767426622364</v>
      </c>
      <c r="BM164">
        <f t="shared" si="223"/>
        <v>-1.4624871466064628</v>
      </c>
      <c r="BN164">
        <f t="shared" si="224"/>
        <v>0.58021907058842159</v>
      </c>
      <c r="BO164">
        <f t="shared" si="225"/>
        <v>0.41978092941157841</v>
      </c>
      <c r="BP164">
        <v>6331</v>
      </c>
      <c r="BQ164">
        <v>290.00000000000011</v>
      </c>
      <c r="BR164">
        <v>1063.02</v>
      </c>
      <c r="BS164">
        <v>285</v>
      </c>
      <c r="BT164">
        <v>8067.87</v>
      </c>
      <c r="BU164">
        <v>1065.5899999999999</v>
      </c>
      <c r="BV164">
        <v>-2.57</v>
      </c>
      <c r="BW164">
        <v>300.00000000000011</v>
      </c>
      <c r="BX164">
        <v>19.3</v>
      </c>
      <c r="BY164">
        <v>1223.5494224817021</v>
      </c>
      <c r="BZ164">
        <v>4.7806387171564486</v>
      </c>
      <c r="CA164">
        <v>-127.43682326580161</v>
      </c>
      <c r="CB164">
        <v>3.5433181146992641</v>
      </c>
      <c r="CC164">
        <v>0.97881210661433227</v>
      </c>
      <c r="CD164">
        <v>-4.1631047830923262E-3</v>
      </c>
      <c r="CE164">
        <v>289.99999999999989</v>
      </c>
      <c r="CF164">
        <v>1057.6099999999999</v>
      </c>
      <c r="CG164">
        <v>655</v>
      </c>
      <c r="CH164">
        <v>8058.86</v>
      </c>
      <c r="CI164">
        <v>1065.42</v>
      </c>
      <c r="CJ164">
        <v>-7.81</v>
      </c>
      <c r="CX164">
        <f t="shared" si="226"/>
        <v>1799.75</v>
      </c>
      <c r="CY164">
        <f t="shared" si="227"/>
        <v>1512.9746996511233</v>
      </c>
      <c r="CZ164">
        <f t="shared" si="228"/>
        <v>0.84065825789755422</v>
      </c>
      <c r="DA164">
        <f t="shared" si="229"/>
        <v>0.16087043774227974</v>
      </c>
      <c r="DB164">
        <v>6</v>
      </c>
      <c r="DC164">
        <v>0.5</v>
      </c>
      <c r="DD164" t="s">
        <v>422</v>
      </c>
      <c r="DE164">
        <v>2</v>
      </c>
      <c r="DF164">
        <v>1689029865.5</v>
      </c>
      <c r="DG164">
        <v>834.52599999999995</v>
      </c>
      <c r="DH164">
        <v>900.14400000000001</v>
      </c>
      <c r="DI164">
        <v>27.932099999999998</v>
      </c>
      <c r="DJ164">
        <v>23.374099999999999</v>
      </c>
      <c r="DK164">
        <v>834.58100000000002</v>
      </c>
      <c r="DL164">
        <v>27.880099999999999</v>
      </c>
      <c r="DM164">
        <v>500.05399999999997</v>
      </c>
      <c r="DN164">
        <v>98.897800000000004</v>
      </c>
      <c r="DO164">
        <v>9.9686499999999997E-2</v>
      </c>
      <c r="DP164">
        <v>29.944800000000001</v>
      </c>
      <c r="DQ164">
        <v>29.986799999999999</v>
      </c>
      <c r="DR164">
        <v>999.9</v>
      </c>
      <c r="DS164">
        <v>0</v>
      </c>
      <c r="DT164">
        <v>0</v>
      </c>
      <c r="DU164">
        <v>10020</v>
      </c>
      <c r="DV164">
        <v>0</v>
      </c>
      <c r="DW164">
        <v>940.37599999999998</v>
      </c>
      <c r="DX164">
        <v>-65.618099999999998</v>
      </c>
      <c r="DY164">
        <v>858.50599999999997</v>
      </c>
      <c r="DZ164">
        <v>921.68799999999999</v>
      </c>
      <c r="EA164">
        <v>4.5579200000000002</v>
      </c>
      <c r="EB164">
        <v>900.14400000000001</v>
      </c>
      <c r="EC164">
        <v>23.374099999999999</v>
      </c>
      <c r="ED164">
        <v>2.7624200000000001</v>
      </c>
      <c r="EE164">
        <v>2.3116500000000002</v>
      </c>
      <c r="EF164">
        <v>22.661200000000001</v>
      </c>
      <c r="EG164">
        <v>19.7578</v>
      </c>
      <c r="EH164">
        <v>1799.75</v>
      </c>
      <c r="EI164">
        <v>0.97799800000000003</v>
      </c>
      <c r="EJ164">
        <v>2.20022E-2</v>
      </c>
      <c r="EK164">
        <v>0</v>
      </c>
      <c r="EL164">
        <v>736.89800000000002</v>
      </c>
      <c r="EM164">
        <v>5.0005300000000004</v>
      </c>
      <c r="EN164">
        <v>15943.5</v>
      </c>
      <c r="EO164">
        <v>16033</v>
      </c>
      <c r="EP164">
        <v>47.186999999999998</v>
      </c>
      <c r="EQ164">
        <v>48.311999999999998</v>
      </c>
      <c r="ER164">
        <v>47.625</v>
      </c>
      <c r="ES164">
        <v>47.811999999999998</v>
      </c>
      <c r="ET164">
        <v>48.436999999999998</v>
      </c>
      <c r="EU164">
        <v>1755.26</v>
      </c>
      <c r="EV164">
        <v>39.49</v>
      </c>
      <c r="EW164">
        <v>0</v>
      </c>
      <c r="EX164">
        <v>125.6000001430511</v>
      </c>
      <c r="EY164">
        <v>0</v>
      </c>
      <c r="EZ164">
        <v>737.55848000000003</v>
      </c>
      <c r="FA164">
        <v>-5.4883845951819428</v>
      </c>
      <c r="FB164">
        <v>-77.830769094932236</v>
      </c>
      <c r="FC164">
        <v>15953.227999999999</v>
      </c>
      <c r="FD164">
        <v>15</v>
      </c>
      <c r="FE164">
        <v>1689029835</v>
      </c>
      <c r="FF164" t="s">
        <v>1169</v>
      </c>
      <c r="FG164">
        <v>1689029835</v>
      </c>
      <c r="FH164">
        <v>1689029832</v>
      </c>
      <c r="FI164">
        <v>161</v>
      </c>
      <c r="FJ164">
        <v>-0.05</v>
      </c>
      <c r="FK164">
        <v>1E-3</v>
      </c>
      <c r="FL164">
        <v>-4.9000000000000002E-2</v>
      </c>
      <c r="FM164">
        <v>4.4999999999999998E-2</v>
      </c>
      <c r="FN164">
        <v>900</v>
      </c>
      <c r="FO164">
        <v>23</v>
      </c>
      <c r="FP164">
        <v>0.06</v>
      </c>
      <c r="FQ164">
        <v>0.01</v>
      </c>
      <c r="FR164">
        <v>51.435549686561473</v>
      </c>
      <c r="FS164">
        <v>-0.58787960631002867</v>
      </c>
      <c r="FT164">
        <v>0.1290671933570694</v>
      </c>
      <c r="FU164">
        <v>1</v>
      </c>
      <c r="FV164">
        <v>0.26586866030776751</v>
      </c>
      <c r="FW164">
        <v>-4.0362146726346013E-2</v>
      </c>
      <c r="FX164">
        <v>3.4340810318687579E-3</v>
      </c>
      <c r="FY164">
        <v>1</v>
      </c>
      <c r="FZ164">
        <v>2</v>
      </c>
      <c r="GA164">
        <v>2</v>
      </c>
      <c r="GB164" t="s">
        <v>424</v>
      </c>
      <c r="GC164">
        <v>3.12066</v>
      </c>
      <c r="GD164">
        <v>2.7671700000000001</v>
      </c>
      <c r="GE164">
        <v>0.14927299999999999</v>
      </c>
      <c r="GF164">
        <v>0.15673799999999999</v>
      </c>
      <c r="GG164">
        <v>0.118746</v>
      </c>
      <c r="GH164">
        <v>0.10513400000000001</v>
      </c>
      <c r="GI164">
        <v>20354.2</v>
      </c>
      <c r="GJ164">
        <v>20944.2</v>
      </c>
      <c r="GK164">
        <v>23786.799999999999</v>
      </c>
      <c r="GL164">
        <v>25149.9</v>
      </c>
      <c r="GM164">
        <v>30208.5</v>
      </c>
      <c r="GN164">
        <v>31573.3</v>
      </c>
      <c r="GO164">
        <v>37913.300000000003</v>
      </c>
      <c r="GP164">
        <v>39137.4</v>
      </c>
      <c r="GQ164">
        <v>2.1458699999999999</v>
      </c>
      <c r="GR164">
        <v>1.7503200000000001</v>
      </c>
      <c r="GS164">
        <v>2.8070100000000001E-2</v>
      </c>
      <c r="GT164">
        <v>0</v>
      </c>
      <c r="GU164">
        <v>29.529800000000002</v>
      </c>
      <c r="GV164">
        <v>999.9</v>
      </c>
      <c r="GW164">
        <v>31.5</v>
      </c>
      <c r="GX164">
        <v>42.9</v>
      </c>
      <c r="GY164">
        <v>27.527699999999999</v>
      </c>
      <c r="GZ164">
        <v>60.8872</v>
      </c>
      <c r="HA164">
        <v>27.287700000000001</v>
      </c>
      <c r="HB164">
        <v>1</v>
      </c>
      <c r="HC164">
        <v>0.54949999999999999</v>
      </c>
      <c r="HD164">
        <v>2.68981</v>
      </c>
      <c r="HE164">
        <v>20.352399999999999</v>
      </c>
      <c r="HF164">
        <v>5.2520300000000004</v>
      </c>
      <c r="HG164">
        <v>12.0099</v>
      </c>
      <c r="HH164">
        <v>4.9793000000000003</v>
      </c>
      <c r="HI164">
        <v>3.2930000000000001</v>
      </c>
      <c r="HJ164">
        <v>9999</v>
      </c>
      <c r="HK164">
        <v>9999</v>
      </c>
      <c r="HL164">
        <v>9999</v>
      </c>
      <c r="HM164">
        <v>239.7</v>
      </c>
      <c r="HN164">
        <v>1.8757699999999999</v>
      </c>
      <c r="HO164">
        <v>1.87683</v>
      </c>
      <c r="HP164">
        <v>1.88293</v>
      </c>
      <c r="HQ164">
        <v>1.88612</v>
      </c>
      <c r="HR164">
        <v>1.8768499999999999</v>
      </c>
      <c r="HS164">
        <v>1.8833800000000001</v>
      </c>
      <c r="HT164">
        <v>1.88232</v>
      </c>
      <c r="HU164">
        <v>1.8858299999999999</v>
      </c>
      <c r="HV164">
        <v>0</v>
      </c>
      <c r="HW164">
        <v>0</v>
      </c>
      <c r="HX164">
        <v>0</v>
      </c>
      <c r="HY164">
        <v>0</v>
      </c>
      <c r="HZ164" t="s">
        <v>425</v>
      </c>
      <c r="IA164" t="s">
        <v>426</v>
      </c>
      <c r="IB164" t="s">
        <v>427</v>
      </c>
      <c r="IC164" t="s">
        <v>427</v>
      </c>
      <c r="ID164" t="s">
        <v>427</v>
      </c>
      <c r="IE164" t="s">
        <v>427</v>
      </c>
      <c r="IF164">
        <v>0</v>
      </c>
      <c r="IG164">
        <v>100</v>
      </c>
      <c r="IH164">
        <v>100</v>
      </c>
      <c r="II164">
        <v>-5.5E-2</v>
      </c>
      <c r="IJ164">
        <v>5.1999999999999998E-2</v>
      </c>
      <c r="IK164">
        <v>8.4937237988599174E-3</v>
      </c>
      <c r="IL164">
        <v>-4.2852564239613137E-4</v>
      </c>
      <c r="IM164">
        <v>6.4980710991155998E-7</v>
      </c>
      <c r="IN164">
        <v>-2.7237938963984961E-10</v>
      </c>
      <c r="IO164">
        <v>-5.6973789895273432E-3</v>
      </c>
      <c r="IP164">
        <v>6.6907473102813496E-3</v>
      </c>
      <c r="IQ164">
        <v>-3.3673306238274028E-4</v>
      </c>
      <c r="IR164">
        <v>6.1311374003140313E-6</v>
      </c>
      <c r="IS164">
        <v>3</v>
      </c>
      <c r="IT164">
        <v>2101</v>
      </c>
      <c r="IU164">
        <v>1</v>
      </c>
      <c r="IV164">
        <v>32</v>
      </c>
      <c r="IW164">
        <v>0.5</v>
      </c>
      <c r="IX164">
        <v>0.6</v>
      </c>
      <c r="IY164">
        <v>1.96533</v>
      </c>
      <c r="IZ164">
        <v>2.7014200000000002</v>
      </c>
      <c r="JA164">
        <v>1.6015600000000001</v>
      </c>
      <c r="JB164">
        <v>2.32544</v>
      </c>
      <c r="JC164">
        <v>1.5502899999999999</v>
      </c>
      <c r="JD164">
        <v>2.4645999999999999</v>
      </c>
      <c r="JE164">
        <v>45.148400000000002</v>
      </c>
      <c r="JF164">
        <v>16.014600000000002</v>
      </c>
      <c r="JG164">
        <v>18</v>
      </c>
      <c r="JH164">
        <v>597.61699999999996</v>
      </c>
      <c r="JI164">
        <v>394.97199999999998</v>
      </c>
      <c r="JJ164">
        <v>26.761399999999998</v>
      </c>
      <c r="JK164">
        <v>34.080500000000001</v>
      </c>
      <c r="JL164">
        <v>30.000399999999999</v>
      </c>
      <c r="JM164">
        <v>34.232900000000001</v>
      </c>
      <c r="JN164">
        <v>34.2331</v>
      </c>
      <c r="JO164">
        <v>39.340200000000003</v>
      </c>
      <c r="JP164">
        <v>19.996099999999998</v>
      </c>
      <c r="JQ164">
        <v>28.169</v>
      </c>
      <c r="JR164">
        <v>26.765699999999999</v>
      </c>
      <c r="JS164">
        <v>900</v>
      </c>
      <c r="JT164">
        <v>23.434799999999999</v>
      </c>
      <c r="JU164">
        <v>98.891300000000001</v>
      </c>
      <c r="JV164">
        <v>99.045900000000003</v>
      </c>
    </row>
    <row r="165" spans="1:282" x14ac:dyDescent="0.25">
      <c r="A165">
        <v>149</v>
      </c>
      <c r="B165">
        <v>1689029983</v>
      </c>
      <c r="C165">
        <v>30160.400000095371</v>
      </c>
      <c r="D165" t="s">
        <v>1170</v>
      </c>
      <c r="E165" t="s">
        <v>1171</v>
      </c>
      <c r="F165" t="s">
        <v>414</v>
      </c>
      <c r="G165" t="s">
        <v>415</v>
      </c>
      <c r="H165" t="s">
        <v>31</v>
      </c>
      <c r="I165" t="s">
        <v>501</v>
      </c>
      <c r="J165" t="s">
        <v>418</v>
      </c>
      <c r="K165">
        <v>1689029983</v>
      </c>
      <c r="L165">
        <f t="shared" si="184"/>
        <v>3.4525517155500228E-3</v>
      </c>
      <c r="M165">
        <f t="shared" si="185"/>
        <v>3.4525517155500229</v>
      </c>
      <c r="N165">
        <f t="shared" si="186"/>
        <v>50.505806173654705</v>
      </c>
      <c r="O165">
        <f t="shared" si="187"/>
        <v>1134.92</v>
      </c>
      <c r="P165">
        <f t="shared" si="188"/>
        <v>747.93157813967639</v>
      </c>
      <c r="Q165">
        <f t="shared" si="189"/>
        <v>74.039745243637043</v>
      </c>
      <c r="R165">
        <f t="shared" si="190"/>
        <v>112.348763079256</v>
      </c>
      <c r="S165">
        <f t="shared" si="191"/>
        <v>0.23059588664703801</v>
      </c>
      <c r="T165">
        <f t="shared" si="192"/>
        <v>2.9141005298726856</v>
      </c>
      <c r="U165">
        <f t="shared" si="193"/>
        <v>0.22091699469658066</v>
      </c>
      <c r="V165">
        <f t="shared" si="194"/>
        <v>0.13890887778594341</v>
      </c>
      <c r="W165">
        <f t="shared" si="195"/>
        <v>289.57285432677639</v>
      </c>
      <c r="X165">
        <f t="shared" si="196"/>
        <v>30.726221782757083</v>
      </c>
      <c r="Y165">
        <f t="shared" si="197"/>
        <v>29.9757</v>
      </c>
      <c r="Z165">
        <f t="shared" si="198"/>
        <v>4.2545067711103766</v>
      </c>
      <c r="AA165">
        <f t="shared" si="199"/>
        <v>65.15553775773391</v>
      </c>
      <c r="AB165">
        <f t="shared" si="200"/>
        <v>2.7622519168384803</v>
      </c>
      <c r="AC165">
        <f t="shared" si="201"/>
        <v>4.2394737452851476</v>
      </c>
      <c r="AD165">
        <f t="shared" si="202"/>
        <v>1.4922548542718963</v>
      </c>
      <c r="AE165">
        <f t="shared" si="203"/>
        <v>-152.257530655756</v>
      </c>
      <c r="AF165">
        <f t="shared" si="204"/>
        <v>-9.6776672464159397</v>
      </c>
      <c r="AG165">
        <f t="shared" si="205"/>
        <v>-0.73802029507207378</v>
      </c>
      <c r="AH165">
        <f t="shared" si="206"/>
        <v>126.89963612953237</v>
      </c>
      <c r="AI165">
        <v>0</v>
      </c>
      <c r="AJ165">
        <v>0</v>
      </c>
      <c r="AK165">
        <f t="shared" si="207"/>
        <v>1</v>
      </c>
      <c r="AL165">
        <f t="shared" si="208"/>
        <v>0</v>
      </c>
      <c r="AM165">
        <f t="shared" si="209"/>
        <v>51903.728447928108</v>
      </c>
      <c r="AN165" t="s">
        <v>419</v>
      </c>
      <c r="AO165">
        <v>9967.0300000000007</v>
      </c>
      <c r="AP165">
        <v>178.94153846153841</v>
      </c>
      <c r="AQ165">
        <v>603.15</v>
      </c>
      <c r="AR165">
        <f t="shared" si="210"/>
        <v>0.7033216638290003</v>
      </c>
      <c r="AS165">
        <v>-3.2649104154664181</v>
      </c>
      <c r="AT165" t="s">
        <v>1172</v>
      </c>
      <c r="AU165">
        <v>8067.65</v>
      </c>
      <c r="AV165">
        <v>729.82219999999984</v>
      </c>
      <c r="AW165">
        <v>1208.6373835923889</v>
      </c>
      <c r="AX165">
        <f t="shared" si="211"/>
        <v>0.3961611564332258</v>
      </c>
      <c r="AY165">
        <v>0.5</v>
      </c>
      <c r="AZ165">
        <f t="shared" si="212"/>
        <v>1513.2182996511792</v>
      </c>
      <c r="BA165">
        <f t="shared" si="213"/>
        <v>50.505806173654705</v>
      </c>
      <c r="BB165">
        <f t="shared" si="214"/>
        <v>299.73915576286538</v>
      </c>
      <c r="BC165">
        <f t="shared" si="215"/>
        <v>3.553401158412909E-2</v>
      </c>
      <c r="BD165">
        <f t="shared" si="216"/>
        <v>-0.50096694989916735</v>
      </c>
      <c r="BE165">
        <f t="shared" si="217"/>
        <v>210.17971786220212</v>
      </c>
      <c r="BF165" t="s">
        <v>1173</v>
      </c>
      <c r="BG165">
        <v>570.36</v>
      </c>
      <c r="BH165">
        <f t="shared" si="218"/>
        <v>570.36</v>
      </c>
      <c r="BI165">
        <f t="shared" si="219"/>
        <v>0.5280966750302396</v>
      </c>
      <c r="BJ165">
        <f t="shared" si="220"/>
        <v>0.75016786729539808</v>
      </c>
      <c r="BK165">
        <f t="shared" si="221"/>
        <v>-18.465610966526064</v>
      </c>
      <c r="BL165">
        <f t="shared" si="222"/>
        <v>0.46500642481619681</v>
      </c>
      <c r="BM165">
        <f t="shared" si="223"/>
        <v>-1.4273345265120116</v>
      </c>
      <c r="BN165">
        <f t="shared" si="224"/>
        <v>0.58626024912725783</v>
      </c>
      <c r="BO165">
        <f t="shared" si="225"/>
        <v>0.41373975087274217</v>
      </c>
      <c r="BP165">
        <v>6333</v>
      </c>
      <c r="BQ165">
        <v>290.00000000000011</v>
      </c>
      <c r="BR165">
        <v>1051.56</v>
      </c>
      <c r="BS165">
        <v>295</v>
      </c>
      <c r="BT165">
        <v>8067.65</v>
      </c>
      <c r="BU165">
        <v>1053.8</v>
      </c>
      <c r="BV165">
        <v>-2.2400000000000002</v>
      </c>
      <c r="BW165">
        <v>300.00000000000011</v>
      </c>
      <c r="BX165">
        <v>19.3</v>
      </c>
      <c r="BY165">
        <v>1208.6373835923889</v>
      </c>
      <c r="BZ165">
        <v>5.1924562341554683</v>
      </c>
      <c r="CA165">
        <v>-124.91945511442719</v>
      </c>
      <c r="CB165">
        <v>3.8484487998106398</v>
      </c>
      <c r="CC165">
        <v>0.97411317938694153</v>
      </c>
      <c r="CD165">
        <v>-4.1630313681868709E-3</v>
      </c>
      <c r="CE165">
        <v>289.99999999999989</v>
      </c>
      <c r="CF165">
        <v>1047.52</v>
      </c>
      <c r="CG165">
        <v>655</v>
      </c>
      <c r="CH165">
        <v>8058.61</v>
      </c>
      <c r="CI165">
        <v>1053.6199999999999</v>
      </c>
      <c r="CJ165">
        <v>-6.1</v>
      </c>
      <c r="CX165">
        <f t="shared" si="226"/>
        <v>1800.04</v>
      </c>
      <c r="CY165">
        <f t="shared" si="227"/>
        <v>1513.2182996511792</v>
      </c>
      <c r="CZ165">
        <f t="shared" si="228"/>
        <v>0.84065815184728077</v>
      </c>
      <c r="DA165">
        <f t="shared" si="229"/>
        <v>0.16087023306525211</v>
      </c>
      <c r="DB165">
        <v>6</v>
      </c>
      <c r="DC165">
        <v>0.5</v>
      </c>
      <c r="DD165" t="s">
        <v>422</v>
      </c>
      <c r="DE165">
        <v>2</v>
      </c>
      <c r="DF165">
        <v>1689029983</v>
      </c>
      <c r="DG165">
        <v>1134.92</v>
      </c>
      <c r="DH165">
        <v>1200.22</v>
      </c>
      <c r="DI165">
        <v>27.903600000000001</v>
      </c>
      <c r="DJ165">
        <v>23.8767</v>
      </c>
      <c r="DK165">
        <v>1134.81</v>
      </c>
      <c r="DL165">
        <v>27.850999999999999</v>
      </c>
      <c r="DM165">
        <v>500.06900000000002</v>
      </c>
      <c r="DN165">
        <v>98.893500000000003</v>
      </c>
      <c r="DO165">
        <v>9.9171800000000004E-2</v>
      </c>
      <c r="DP165">
        <v>29.914100000000001</v>
      </c>
      <c r="DQ165">
        <v>29.9757</v>
      </c>
      <c r="DR165">
        <v>999.9</v>
      </c>
      <c r="DS165">
        <v>0</v>
      </c>
      <c r="DT165">
        <v>0</v>
      </c>
      <c r="DU165">
        <v>10023.1</v>
      </c>
      <c r="DV165">
        <v>0</v>
      </c>
      <c r="DW165">
        <v>930.60500000000002</v>
      </c>
      <c r="DX165">
        <v>-65.295000000000002</v>
      </c>
      <c r="DY165">
        <v>1167.5</v>
      </c>
      <c r="DZ165">
        <v>1229.57</v>
      </c>
      <c r="EA165">
        <v>4.0268899999999999</v>
      </c>
      <c r="EB165">
        <v>1200.22</v>
      </c>
      <c r="EC165">
        <v>23.8767</v>
      </c>
      <c r="ED165">
        <v>2.75949</v>
      </c>
      <c r="EE165">
        <v>2.3612600000000001</v>
      </c>
      <c r="EF165">
        <v>22.643699999999999</v>
      </c>
      <c r="EG165">
        <v>20.1005</v>
      </c>
      <c r="EH165">
        <v>1800.04</v>
      </c>
      <c r="EI165">
        <v>0.97800100000000001</v>
      </c>
      <c r="EJ165">
        <v>2.19986E-2</v>
      </c>
      <c r="EK165">
        <v>0</v>
      </c>
      <c r="EL165">
        <v>729.351</v>
      </c>
      <c r="EM165">
        <v>5.0005300000000004</v>
      </c>
      <c r="EN165">
        <v>15811.7</v>
      </c>
      <c r="EO165">
        <v>16035.6</v>
      </c>
      <c r="EP165">
        <v>47.125</v>
      </c>
      <c r="EQ165">
        <v>48.25</v>
      </c>
      <c r="ER165">
        <v>47.625</v>
      </c>
      <c r="ES165">
        <v>47.75</v>
      </c>
      <c r="ET165">
        <v>48.436999999999998</v>
      </c>
      <c r="EU165">
        <v>1755.55</v>
      </c>
      <c r="EV165">
        <v>39.49</v>
      </c>
      <c r="EW165">
        <v>0</v>
      </c>
      <c r="EX165">
        <v>115.4000000953674</v>
      </c>
      <c r="EY165">
        <v>0</v>
      </c>
      <c r="EZ165">
        <v>729.82219999999984</v>
      </c>
      <c r="FA165">
        <v>-4.7816153803845491</v>
      </c>
      <c r="FB165">
        <v>-99.453845999203992</v>
      </c>
      <c r="FC165">
        <v>15820.111999999999</v>
      </c>
      <c r="FD165">
        <v>15</v>
      </c>
      <c r="FE165">
        <v>1689029951</v>
      </c>
      <c r="FF165" t="s">
        <v>1174</v>
      </c>
      <c r="FG165">
        <v>1689029951</v>
      </c>
      <c r="FH165">
        <v>1689029948.5</v>
      </c>
      <c r="FI165">
        <v>162</v>
      </c>
      <c r="FJ165">
        <v>0.153</v>
      </c>
      <c r="FK165">
        <v>1E-3</v>
      </c>
      <c r="FL165">
        <v>0.113</v>
      </c>
      <c r="FM165">
        <v>4.5999999999999999E-2</v>
      </c>
      <c r="FN165">
        <v>1200</v>
      </c>
      <c r="FO165">
        <v>24</v>
      </c>
      <c r="FP165">
        <v>0.05</v>
      </c>
      <c r="FQ165">
        <v>0.02</v>
      </c>
      <c r="FR165">
        <v>50.413446689587083</v>
      </c>
      <c r="FS165">
        <v>-0.34693192303291842</v>
      </c>
      <c r="FT165">
        <v>0.10344080530722879</v>
      </c>
      <c r="FU165">
        <v>1</v>
      </c>
      <c r="FV165">
        <v>0.23258848147996111</v>
      </c>
      <c r="FW165">
        <v>1.5096826334002949E-3</v>
      </c>
      <c r="FX165">
        <v>1.0048840570621399E-3</v>
      </c>
      <c r="FY165">
        <v>1</v>
      </c>
      <c r="FZ165">
        <v>2</v>
      </c>
      <c r="GA165">
        <v>2</v>
      </c>
      <c r="GB165" t="s">
        <v>424</v>
      </c>
      <c r="GC165">
        <v>3.1206800000000001</v>
      </c>
      <c r="GD165">
        <v>2.76667</v>
      </c>
      <c r="GE165">
        <v>0.18178900000000001</v>
      </c>
      <c r="GF165">
        <v>0.18806800000000001</v>
      </c>
      <c r="GG165">
        <v>0.118658</v>
      </c>
      <c r="GH165">
        <v>0.106722</v>
      </c>
      <c r="GI165">
        <v>19574</v>
      </c>
      <c r="GJ165">
        <v>20164.400000000001</v>
      </c>
      <c r="GK165">
        <v>23786.1</v>
      </c>
      <c r="GL165">
        <v>25150.2</v>
      </c>
      <c r="GM165">
        <v>30210.6</v>
      </c>
      <c r="GN165">
        <v>31518.1</v>
      </c>
      <c r="GO165">
        <v>37912.1</v>
      </c>
      <c r="GP165">
        <v>39138.5</v>
      </c>
      <c r="GQ165">
        <v>2.14547</v>
      </c>
      <c r="GR165">
        <v>1.7528999999999999</v>
      </c>
      <c r="GS165">
        <v>3.3862900000000001E-2</v>
      </c>
      <c r="GT165">
        <v>0</v>
      </c>
      <c r="GU165">
        <v>29.424299999999999</v>
      </c>
      <c r="GV165">
        <v>999.9</v>
      </c>
      <c r="GW165">
        <v>32.1</v>
      </c>
      <c r="GX165">
        <v>42.8</v>
      </c>
      <c r="GY165">
        <v>27.908000000000001</v>
      </c>
      <c r="GZ165">
        <v>60.787199999999999</v>
      </c>
      <c r="HA165">
        <v>27.071300000000001</v>
      </c>
      <c r="HB165">
        <v>1</v>
      </c>
      <c r="HC165">
        <v>0.54955799999999999</v>
      </c>
      <c r="HD165">
        <v>2.6590799999999999</v>
      </c>
      <c r="HE165">
        <v>20.352399999999999</v>
      </c>
      <c r="HF165">
        <v>5.2503799999999998</v>
      </c>
      <c r="HG165">
        <v>12.0099</v>
      </c>
      <c r="HH165">
        <v>4.9787999999999997</v>
      </c>
      <c r="HI165">
        <v>3.2924799999999999</v>
      </c>
      <c r="HJ165">
        <v>9999</v>
      </c>
      <c r="HK165">
        <v>9999</v>
      </c>
      <c r="HL165">
        <v>9999</v>
      </c>
      <c r="HM165">
        <v>239.8</v>
      </c>
      <c r="HN165">
        <v>1.8757600000000001</v>
      </c>
      <c r="HO165">
        <v>1.8768199999999999</v>
      </c>
      <c r="HP165">
        <v>1.88293</v>
      </c>
      <c r="HQ165">
        <v>1.88612</v>
      </c>
      <c r="HR165">
        <v>1.87683</v>
      </c>
      <c r="HS165">
        <v>1.8833800000000001</v>
      </c>
      <c r="HT165">
        <v>1.88232</v>
      </c>
      <c r="HU165">
        <v>1.8858200000000001</v>
      </c>
      <c r="HV165">
        <v>0</v>
      </c>
      <c r="HW165">
        <v>0</v>
      </c>
      <c r="HX165">
        <v>0</v>
      </c>
      <c r="HY165">
        <v>0</v>
      </c>
      <c r="HZ165" t="s">
        <v>425</v>
      </c>
      <c r="IA165" t="s">
        <v>426</v>
      </c>
      <c r="IB165" t="s">
        <v>427</v>
      </c>
      <c r="IC165" t="s">
        <v>427</v>
      </c>
      <c r="ID165" t="s">
        <v>427</v>
      </c>
      <c r="IE165" t="s">
        <v>427</v>
      </c>
      <c r="IF165">
        <v>0</v>
      </c>
      <c r="IG165">
        <v>100</v>
      </c>
      <c r="IH165">
        <v>100</v>
      </c>
      <c r="II165">
        <v>0.11</v>
      </c>
      <c r="IJ165">
        <v>5.2600000000000001E-2</v>
      </c>
      <c r="IK165">
        <v>0.16168036908203889</v>
      </c>
      <c r="IL165">
        <v>-4.2852564239613137E-4</v>
      </c>
      <c r="IM165">
        <v>6.4980710991155998E-7</v>
      </c>
      <c r="IN165">
        <v>-2.7237938963984961E-10</v>
      </c>
      <c r="IO165">
        <v>-5.0072594879241646E-3</v>
      </c>
      <c r="IP165">
        <v>6.6907473102813496E-3</v>
      </c>
      <c r="IQ165">
        <v>-3.3673306238274028E-4</v>
      </c>
      <c r="IR165">
        <v>6.1311374003140313E-6</v>
      </c>
      <c r="IS165">
        <v>3</v>
      </c>
      <c r="IT165">
        <v>2101</v>
      </c>
      <c r="IU165">
        <v>1</v>
      </c>
      <c r="IV165">
        <v>32</v>
      </c>
      <c r="IW165">
        <v>0.5</v>
      </c>
      <c r="IX165">
        <v>0.6</v>
      </c>
      <c r="IY165">
        <v>2.4902299999999999</v>
      </c>
      <c r="IZ165">
        <v>2.6989700000000001</v>
      </c>
      <c r="JA165">
        <v>1.6015600000000001</v>
      </c>
      <c r="JB165">
        <v>2.32666</v>
      </c>
      <c r="JC165">
        <v>1.5502899999999999</v>
      </c>
      <c r="JD165">
        <v>2.47925</v>
      </c>
      <c r="JE165">
        <v>45.091700000000003</v>
      </c>
      <c r="JF165">
        <v>15.997</v>
      </c>
      <c r="JG165">
        <v>18</v>
      </c>
      <c r="JH165">
        <v>597.25099999999998</v>
      </c>
      <c r="JI165">
        <v>396.53100000000001</v>
      </c>
      <c r="JJ165">
        <v>26.760100000000001</v>
      </c>
      <c r="JK165">
        <v>34.071300000000001</v>
      </c>
      <c r="JL165">
        <v>30.0001</v>
      </c>
      <c r="JM165">
        <v>34.223700000000001</v>
      </c>
      <c r="JN165">
        <v>34.2239</v>
      </c>
      <c r="JO165">
        <v>49.835999999999999</v>
      </c>
      <c r="JP165">
        <v>19.881699999999999</v>
      </c>
      <c r="JQ165">
        <v>30.359000000000002</v>
      </c>
      <c r="JR165">
        <v>26.770399999999999</v>
      </c>
      <c r="JS165">
        <v>1200</v>
      </c>
      <c r="JT165">
        <v>23.875399999999999</v>
      </c>
      <c r="JU165">
        <v>98.888300000000001</v>
      </c>
      <c r="JV165">
        <v>99.047899999999998</v>
      </c>
    </row>
    <row r="166" spans="1:282" x14ac:dyDescent="0.25">
      <c r="A166">
        <v>150</v>
      </c>
      <c r="B166">
        <v>1689030117.5</v>
      </c>
      <c r="C166">
        <v>30294.900000095371</v>
      </c>
      <c r="D166" t="s">
        <v>1175</v>
      </c>
      <c r="E166" t="s">
        <v>1176</v>
      </c>
      <c r="F166" t="s">
        <v>414</v>
      </c>
      <c r="G166" t="s">
        <v>415</v>
      </c>
      <c r="H166" t="s">
        <v>31</v>
      </c>
      <c r="I166" t="s">
        <v>501</v>
      </c>
      <c r="J166" t="s">
        <v>418</v>
      </c>
      <c r="K166">
        <v>1689030117.5</v>
      </c>
      <c r="L166">
        <f t="shared" si="184"/>
        <v>2.975576886403724E-3</v>
      </c>
      <c r="M166">
        <f t="shared" si="185"/>
        <v>2.975576886403724</v>
      </c>
      <c r="N166">
        <f t="shared" si="186"/>
        <v>49.146745040484205</v>
      </c>
      <c r="O166">
        <f t="shared" si="187"/>
        <v>1436.03</v>
      </c>
      <c r="P166">
        <f t="shared" si="188"/>
        <v>991.57145106953851</v>
      </c>
      <c r="Q166">
        <f t="shared" si="189"/>
        <v>98.156184465814135</v>
      </c>
      <c r="R166">
        <f t="shared" si="190"/>
        <v>142.15337223193001</v>
      </c>
      <c r="S166">
        <f t="shared" si="191"/>
        <v>0.1959910368705822</v>
      </c>
      <c r="T166">
        <f t="shared" si="192"/>
        <v>2.9115506679002956</v>
      </c>
      <c r="U166">
        <f t="shared" si="193"/>
        <v>0.18894552488219626</v>
      </c>
      <c r="V166">
        <f t="shared" si="194"/>
        <v>0.11870286340771896</v>
      </c>
      <c r="W166">
        <f t="shared" si="195"/>
        <v>289.52497432666422</v>
      </c>
      <c r="X166">
        <f t="shared" si="196"/>
        <v>30.80213718142522</v>
      </c>
      <c r="Y166">
        <f t="shared" si="197"/>
        <v>29.9788</v>
      </c>
      <c r="Z166">
        <f t="shared" si="198"/>
        <v>4.2552645294903408</v>
      </c>
      <c r="AA166">
        <f t="shared" si="199"/>
        <v>65.085026215439143</v>
      </c>
      <c r="AB166">
        <f t="shared" si="200"/>
        <v>2.7515012034636004</v>
      </c>
      <c r="AC166">
        <f t="shared" si="201"/>
        <v>4.2275487365646987</v>
      </c>
      <c r="AD166">
        <f t="shared" si="202"/>
        <v>1.5037633260267405</v>
      </c>
      <c r="AE166">
        <f t="shared" si="203"/>
        <v>-131.22294069040424</v>
      </c>
      <c r="AF166">
        <f t="shared" si="204"/>
        <v>-17.847206979411165</v>
      </c>
      <c r="AG166">
        <f t="shared" si="205"/>
        <v>-1.3619129914796906</v>
      </c>
      <c r="AH166">
        <f t="shared" si="206"/>
        <v>139.09291366536911</v>
      </c>
      <c r="AI166">
        <v>0</v>
      </c>
      <c r="AJ166">
        <v>0</v>
      </c>
      <c r="AK166">
        <f t="shared" si="207"/>
        <v>1</v>
      </c>
      <c r="AL166">
        <f t="shared" si="208"/>
        <v>0</v>
      </c>
      <c r="AM166">
        <f t="shared" si="209"/>
        <v>51839.543456990883</v>
      </c>
      <c r="AN166" t="s">
        <v>419</v>
      </c>
      <c r="AO166">
        <v>9967.0300000000007</v>
      </c>
      <c r="AP166">
        <v>178.94153846153841</v>
      </c>
      <c r="AQ166">
        <v>603.15</v>
      </c>
      <c r="AR166">
        <f t="shared" si="210"/>
        <v>0.7033216638290003</v>
      </c>
      <c r="AS166">
        <v>-3.2649104154664181</v>
      </c>
      <c r="AT166" t="s">
        <v>1177</v>
      </c>
      <c r="AU166">
        <v>8067.66</v>
      </c>
      <c r="AV166">
        <v>721.44027999999992</v>
      </c>
      <c r="AW166">
        <v>1193.4917160132129</v>
      </c>
      <c r="AX166">
        <f t="shared" si="211"/>
        <v>0.39552133431648129</v>
      </c>
      <c r="AY166">
        <v>0.5</v>
      </c>
      <c r="AZ166">
        <f t="shared" si="212"/>
        <v>1512.9662996511215</v>
      </c>
      <c r="BA166">
        <f t="shared" si="213"/>
        <v>49.146745040484205</v>
      </c>
      <c r="BB166">
        <f t="shared" si="214"/>
        <v>299.20522480694041</v>
      </c>
      <c r="BC166">
        <f t="shared" si="215"/>
        <v>3.4641654257623812E-2</v>
      </c>
      <c r="BD166">
        <f t="shared" si="216"/>
        <v>-0.49463411274039992</v>
      </c>
      <c r="BE166">
        <f t="shared" si="217"/>
        <v>209.71691370524331</v>
      </c>
      <c r="BF166" t="s">
        <v>1178</v>
      </c>
      <c r="BG166">
        <v>569.75</v>
      </c>
      <c r="BH166">
        <f t="shared" si="218"/>
        <v>569.75</v>
      </c>
      <c r="BI166">
        <f t="shared" si="219"/>
        <v>0.52261922529029736</v>
      </c>
      <c r="BJ166">
        <f t="shared" si="220"/>
        <v>0.75680594049478866</v>
      </c>
      <c r="BK166">
        <f t="shared" si="221"/>
        <v>-17.674901677042314</v>
      </c>
      <c r="BL166">
        <f t="shared" si="222"/>
        <v>0.4652815074680422</v>
      </c>
      <c r="BM166">
        <f t="shared" si="223"/>
        <v>-1.3916311661305432</v>
      </c>
      <c r="BN166">
        <f t="shared" si="224"/>
        <v>0.59767966462436217</v>
      </c>
      <c r="BO166">
        <f t="shared" si="225"/>
        <v>0.40232033537563783</v>
      </c>
      <c r="BP166">
        <v>6335</v>
      </c>
      <c r="BQ166">
        <v>290.00000000000011</v>
      </c>
      <c r="BR166">
        <v>1036.55</v>
      </c>
      <c r="BS166">
        <v>295</v>
      </c>
      <c r="BT166">
        <v>8067.66</v>
      </c>
      <c r="BU166">
        <v>1039.67</v>
      </c>
      <c r="BV166">
        <v>-3.12</v>
      </c>
      <c r="BW166">
        <v>300.00000000000011</v>
      </c>
      <c r="BX166">
        <v>19.3</v>
      </c>
      <c r="BY166">
        <v>1193.4917160132129</v>
      </c>
      <c r="BZ166">
        <v>4.415061482490124</v>
      </c>
      <c r="CA166">
        <v>-124.0997459202007</v>
      </c>
      <c r="CB166">
        <v>3.272280153452082</v>
      </c>
      <c r="CC166">
        <v>0.98090394380548673</v>
      </c>
      <c r="CD166">
        <v>-4.1629590656284861E-3</v>
      </c>
      <c r="CE166">
        <v>289.99999999999989</v>
      </c>
      <c r="CF166">
        <v>1032.95</v>
      </c>
      <c r="CG166">
        <v>665</v>
      </c>
      <c r="CH166">
        <v>8058.33</v>
      </c>
      <c r="CI166">
        <v>1039.49</v>
      </c>
      <c r="CJ166">
        <v>-6.54</v>
      </c>
      <c r="CX166">
        <f t="shared" si="226"/>
        <v>1799.74</v>
      </c>
      <c r="CY166">
        <f t="shared" si="227"/>
        <v>1512.9662996511215</v>
      </c>
      <c r="CZ166">
        <f t="shared" si="228"/>
        <v>0.84065826155506984</v>
      </c>
      <c r="DA166">
        <f t="shared" si="229"/>
        <v>0.16087044480128476</v>
      </c>
      <c r="DB166">
        <v>6</v>
      </c>
      <c r="DC166">
        <v>0.5</v>
      </c>
      <c r="DD166" t="s">
        <v>422</v>
      </c>
      <c r="DE166">
        <v>2</v>
      </c>
      <c r="DF166">
        <v>1689030117.5</v>
      </c>
      <c r="DG166">
        <v>1436.03</v>
      </c>
      <c r="DH166">
        <v>1500.12</v>
      </c>
      <c r="DI166">
        <v>27.7956</v>
      </c>
      <c r="DJ166">
        <v>24.3249</v>
      </c>
      <c r="DK166">
        <v>1435.74</v>
      </c>
      <c r="DL166">
        <v>27.7424</v>
      </c>
      <c r="DM166">
        <v>500.10700000000003</v>
      </c>
      <c r="DN166">
        <v>98.890500000000003</v>
      </c>
      <c r="DO166">
        <v>0.10003099999999999</v>
      </c>
      <c r="DP166">
        <v>29.865100000000002</v>
      </c>
      <c r="DQ166">
        <v>29.9788</v>
      </c>
      <c r="DR166">
        <v>999.9</v>
      </c>
      <c r="DS166">
        <v>0</v>
      </c>
      <c r="DT166">
        <v>0</v>
      </c>
      <c r="DU166">
        <v>10008.799999999999</v>
      </c>
      <c r="DV166">
        <v>0</v>
      </c>
      <c r="DW166">
        <v>917.50599999999997</v>
      </c>
      <c r="DX166">
        <v>-64.098799999999997</v>
      </c>
      <c r="DY166">
        <v>1477.08</v>
      </c>
      <c r="DZ166">
        <v>1537.52</v>
      </c>
      <c r="EA166">
        <v>3.47071</v>
      </c>
      <c r="EB166">
        <v>1500.12</v>
      </c>
      <c r="EC166">
        <v>24.3249</v>
      </c>
      <c r="ED166">
        <v>2.7487200000000001</v>
      </c>
      <c r="EE166">
        <v>2.4055</v>
      </c>
      <c r="EF166">
        <v>22.5793</v>
      </c>
      <c r="EG166">
        <v>20.4008</v>
      </c>
      <c r="EH166">
        <v>1799.74</v>
      </c>
      <c r="EI166">
        <v>0.97799800000000003</v>
      </c>
      <c r="EJ166">
        <v>2.20022E-2</v>
      </c>
      <c r="EK166">
        <v>0</v>
      </c>
      <c r="EL166">
        <v>721.38400000000001</v>
      </c>
      <c r="EM166">
        <v>5.0005300000000004</v>
      </c>
      <c r="EN166">
        <v>15657.7</v>
      </c>
      <c r="EO166">
        <v>16032.9</v>
      </c>
      <c r="EP166">
        <v>47.061999999999998</v>
      </c>
      <c r="EQ166">
        <v>48.186999999999998</v>
      </c>
      <c r="ER166">
        <v>47.625</v>
      </c>
      <c r="ES166">
        <v>47.561999999999998</v>
      </c>
      <c r="ET166">
        <v>48.375</v>
      </c>
      <c r="EU166">
        <v>1755.25</v>
      </c>
      <c r="EV166">
        <v>39.49</v>
      </c>
      <c r="EW166">
        <v>0</v>
      </c>
      <c r="EX166">
        <v>132.79999995231631</v>
      </c>
      <c r="EY166">
        <v>0</v>
      </c>
      <c r="EZ166">
        <v>721.44027999999992</v>
      </c>
      <c r="FA166">
        <v>-3.563307711422508</v>
      </c>
      <c r="FB166">
        <v>-85.600000041572287</v>
      </c>
      <c r="FC166">
        <v>15669.748</v>
      </c>
      <c r="FD166">
        <v>15</v>
      </c>
      <c r="FE166">
        <v>1689030088.5</v>
      </c>
      <c r="FF166" t="s">
        <v>1179</v>
      </c>
      <c r="FG166">
        <v>1689030088.5</v>
      </c>
      <c r="FH166">
        <v>1689030081</v>
      </c>
      <c r="FI166">
        <v>163</v>
      </c>
      <c r="FJ166">
        <v>0.20200000000000001</v>
      </c>
      <c r="FK166">
        <v>1E-3</v>
      </c>
      <c r="FL166">
        <v>0.26400000000000001</v>
      </c>
      <c r="FM166">
        <v>4.7E-2</v>
      </c>
      <c r="FN166">
        <v>1500</v>
      </c>
      <c r="FO166">
        <v>24</v>
      </c>
      <c r="FP166">
        <v>0.08</v>
      </c>
      <c r="FQ166">
        <v>0.02</v>
      </c>
      <c r="FR166">
        <v>49.069019475165007</v>
      </c>
      <c r="FS166">
        <v>-0.67372226115119549</v>
      </c>
      <c r="FT166">
        <v>7.1523974774090601E-2</v>
      </c>
      <c r="FU166">
        <v>1</v>
      </c>
      <c r="FV166">
        <v>0.19879239309011121</v>
      </c>
      <c r="FW166">
        <v>-2.2402098492982241E-2</v>
      </c>
      <c r="FX166">
        <v>1.630769506626211E-3</v>
      </c>
      <c r="FY166">
        <v>1</v>
      </c>
      <c r="FZ166">
        <v>2</v>
      </c>
      <c r="GA166">
        <v>2</v>
      </c>
      <c r="GB166" t="s">
        <v>424</v>
      </c>
      <c r="GC166">
        <v>3.1206100000000001</v>
      </c>
      <c r="GD166">
        <v>2.7674099999999999</v>
      </c>
      <c r="GE166">
        <v>0.209953</v>
      </c>
      <c r="GF166">
        <v>0.215332</v>
      </c>
      <c r="GG166">
        <v>0.118344</v>
      </c>
      <c r="GH166">
        <v>0.10813399999999999</v>
      </c>
      <c r="GI166">
        <v>18900.5</v>
      </c>
      <c r="GJ166">
        <v>19487.599999999999</v>
      </c>
      <c r="GK166">
        <v>23788.7</v>
      </c>
      <c r="GL166">
        <v>25153</v>
      </c>
      <c r="GM166">
        <v>30224.7</v>
      </c>
      <c r="GN166">
        <v>31471.3</v>
      </c>
      <c r="GO166">
        <v>37916.400000000001</v>
      </c>
      <c r="GP166">
        <v>39142.300000000003</v>
      </c>
      <c r="GQ166">
        <v>2.1455799999999998</v>
      </c>
      <c r="GR166">
        <v>1.7559800000000001</v>
      </c>
      <c r="GS166">
        <v>3.9219900000000002E-2</v>
      </c>
      <c r="GT166">
        <v>0</v>
      </c>
      <c r="GU166">
        <v>29.340199999999999</v>
      </c>
      <c r="GV166">
        <v>999.9</v>
      </c>
      <c r="GW166">
        <v>32.799999999999997</v>
      </c>
      <c r="GX166">
        <v>42.7</v>
      </c>
      <c r="GY166">
        <v>28.365100000000002</v>
      </c>
      <c r="GZ166">
        <v>60.257199999999997</v>
      </c>
      <c r="HA166">
        <v>26.650600000000001</v>
      </c>
      <c r="HB166">
        <v>1</v>
      </c>
      <c r="HC166">
        <v>0.54412400000000005</v>
      </c>
      <c r="HD166">
        <v>2.44814</v>
      </c>
      <c r="HE166">
        <v>20.356200000000001</v>
      </c>
      <c r="HF166">
        <v>5.24979</v>
      </c>
      <c r="HG166">
        <v>12.0099</v>
      </c>
      <c r="HH166">
        <v>4.9794</v>
      </c>
      <c r="HI166">
        <v>3.2930000000000001</v>
      </c>
      <c r="HJ166">
        <v>9999</v>
      </c>
      <c r="HK166">
        <v>9999</v>
      </c>
      <c r="HL166">
        <v>9999</v>
      </c>
      <c r="HM166">
        <v>239.8</v>
      </c>
      <c r="HN166">
        <v>1.8757600000000001</v>
      </c>
      <c r="HO166">
        <v>1.8768</v>
      </c>
      <c r="HP166">
        <v>1.88293</v>
      </c>
      <c r="HQ166">
        <v>1.8861399999999999</v>
      </c>
      <c r="HR166">
        <v>1.8768899999999999</v>
      </c>
      <c r="HS166">
        <v>1.8833899999999999</v>
      </c>
      <c r="HT166">
        <v>1.88232</v>
      </c>
      <c r="HU166">
        <v>1.8858299999999999</v>
      </c>
      <c r="HV166">
        <v>0</v>
      </c>
      <c r="HW166">
        <v>0</v>
      </c>
      <c r="HX166">
        <v>0</v>
      </c>
      <c r="HY166">
        <v>0</v>
      </c>
      <c r="HZ166" t="s">
        <v>425</v>
      </c>
      <c r="IA166" t="s">
        <v>426</v>
      </c>
      <c r="IB166" t="s">
        <v>427</v>
      </c>
      <c r="IC166" t="s">
        <v>427</v>
      </c>
      <c r="ID166" t="s">
        <v>427</v>
      </c>
      <c r="IE166" t="s">
        <v>427</v>
      </c>
      <c r="IF166">
        <v>0</v>
      </c>
      <c r="IG166">
        <v>100</v>
      </c>
      <c r="IH166">
        <v>100</v>
      </c>
      <c r="II166">
        <v>0.28999999999999998</v>
      </c>
      <c r="IJ166">
        <v>5.3199999999999997E-2</v>
      </c>
      <c r="IK166">
        <v>0.36444907862193832</v>
      </c>
      <c r="IL166">
        <v>-4.2852564239613137E-4</v>
      </c>
      <c r="IM166">
        <v>6.4980710991155998E-7</v>
      </c>
      <c r="IN166">
        <v>-2.7237938963984961E-10</v>
      </c>
      <c r="IO166">
        <v>-4.1630441674925089E-3</v>
      </c>
      <c r="IP166">
        <v>6.6907473102813496E-3</v>
      </c>
      <c r="IQ166">
        <v>-3.3673306238274028E-4</v>
      </c>
      <c r="IR166">
        <v>6.1311374003140313E-6</v>
      </c>
      <c r="IS166">
        <v>3</v>
      </c>
      <c r="IT166">
        <v>2101</v>
      </c>
      <c r="IU166">
        <v>1</v>
      </c>
      <c r="IV166">
        <v>32</v>
      </c>
      <c r="IW166">
        <v>0.5</v>
      </c>
      <c r="IX166">
        <v>0.6</v>
      </c>
      <c r="IY166">
        <v>2.98706</v>
      </c>
      <c r="IZ166">
        <v>2.6977500000000001</v>
      </c>
      <c r="JA166">
        <v>1.6015600000000001</v>
      </c>
      <c r="JB166">
        <v>2.32544</v>
      </c>
      <c r="JC166">
        <v>1.5502899999999999</v>
      </c>
      <c r="JD166">
        <v>2.3559600000000001</v>
      </c>
      <c r="JE166">
        <v>44.950400000000002</v>
      </c>
      <c r="JF166">
        <v>15.9795</v>
      </c>
      <c r="JG166">
        <v>18</v>
      </c>
      <c r="JH166">
        <v>596.96100000000001</v>
      </c>
      <c r="JI166">
        <v>398.21199999999999</v>
      </c>
      <c r="JJ166">
        <v>26.805499999999999</v>
      </c>
      <c r="JK166">
        <v>34.015999999999998</v>
      </c>
      <c r="JL166">
        <v>30.0001</v>
      </c>
      <c r="JM166">
        <v>34.183500000000002</v>
      </c>
      <c r="JN166">
        <v>34.183900000000001</v>
      </c>
      <c r="JO166">
        <v>59.7864</v>
      </c>
      <c r="JP166">
        <v>20.4176</v>
      </c>
      <c r="JQ166">
        <v>32.542900000000003</v>
      </c>
      <c r="JR166">
        <v>26.817</v>
      </c>
      <c r="JS166">
        <v>1500</v>
      </c>
      <c r="JT166">
        <v>24.269400000000001</v>
      </c>
      <c r="JU166">
        <v>98.8994</v>
      </c>
      <c r="JV166">
        <v>99.058199999999999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2023-07-10T23:01:23Z</dcterms:created>
  <dcterms:modified xsi:type="dcterms:W3CDTF">2023-07-10T23:54:42Z</dcterms:modified>
</cp:coreProperties>
</file>