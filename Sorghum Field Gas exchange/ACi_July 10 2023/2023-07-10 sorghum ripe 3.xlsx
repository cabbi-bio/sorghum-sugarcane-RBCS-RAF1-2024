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sorghum aci field july 10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DA166" i="1" l="1"/>
  <c r="W166" i="1" s="1"/>
  <c r="CZ166" i="1"/>
  <c r="CX166" i="1"/>
  <c r="CY166" i="1" s="1"/>
  <c r="AZ166" i="1" s="1"/>
  <c r="BN166" i="1"/>
  <c r="BO166" i="1" s="1"/>
  <c r="BM166" i="1"/>
  <c r="BL166" i="1"/>
  <c r="BK166" i="1"/>
  <c r="BJ166" i="1"/>
  <c r="BH166" i="1"/>
  <c r="BI166" i="1" s="1"/>
  <c r="BD166" i="1"/>
  <c r="BB166" i="1"/>
  <c r="AX166" i="1"/>
  <c r="AR166" i="1"/>
  <c r="BE166" i="1" s="1"/>
  <c r="AM166" i="1"/>
  <c r="AK166" i="1"/>
  <c r="AC166" i="1"/>
  <c r="AB166" i="1"/>
  <c r="AA166" i="1"/>
  <c r="T166" i="1"/>
  <c r="R166" i="1"/>
  <c r="DA165" i="1"/>
  <c r="CZ165" i="1"/>
  <c r="CX165" i="1"/>
  <c r="BM165" i="1"/>
  <c r="BL165" i="1"/>
  <c r="BK165" i="1"/>
  <c r="BJ165" i="1"/>
  <c r="BN165" i="1" s="1"/>
  <c r="BO165" i="1" s="1"/>
  <c r="BH165" i="1"/>
  <c r="BI165" i="1" s="1"/>
  <c r="BD165" i="1"/>
  <c r="AX165" i="1"/>
  <c r="AR165" i="1"/>
  <c r="BE165" i="1" s="1"/>
  <c r="AM165" i="1"/>
  <c r="AK165" i="1"/>
  <c r="O165" i="1" s="1"/>
  <c r="AC165" i="1"/>
  <c r="AB165" i="1"/>
  <c r="AA165" i="1"/>
  <c r="T165" i="1"/>
  <c r="R165" i="1"/>
  <c r="DA164" i="1"/>
  <c r="CZ164" i="1"/>
  <c r="CY164" i="1"/>
  <c r="AZ164" i="1" s="1"/>
  <c r="CX164" i="1"/>
  <c r="BM164" i="1"/>
  <c r="BL164" i="1"/>
  <c r="BH164" i="1"/>
  <c r="BD164" i="1"/>
  <c r="AX164" i="1"/>
  <c r="AR164" i="1"/>
  <c r="BE164" i="1" s="1"/>
  <c r="AM164" i="1"/>
  <c r="AL164" i="1"/>
  <c r="AK164" i="1"/>
  <c r="AE164" i="1"/>
  <c r="AC164" i="1"/>
  <c r="AB164" i="1"/>
  <c r="AA164" i="1" s="1"/>
  <c r="W164" i="1"/>
  <c r="T164" i="1"/>
  <c r="R164" i="1"/>
  <c r="O164" i="1"/>
  <c r="N164" i="1"/>
  <c r="BA164" i="1" s="1"/>
  <c r="M164" i="1"/>
  <c r="L164" i="1"/>
  <c r="DA163" i="1"/>
  <c r="CZ163" i="1"/>
  <c r="CX163" i="1"/>
  <c r="CY163" i="1" s="1"/>
  <c r="AZ163" i="1" s="1"/>
  <c r="BB163" i="1" s="1"/>
  <c r="BM163" i="1"/>
  <c r="BL163" i="1"/>
  <c r="BH163" i="1"/>
  <c r="BK163" i="1" s="1"/>
  <c r="BE163" i="1"/>
  <c r="BD163" i="1"/>
  <c r="AX163" i="1"/>
  <c r="AR163" i="1"/>
  <c r="AM163" i="1"/>
  <c r="AK163" i="1" s="1"/>
  <c r="AL163" i="1" s="1"/>
  <c r="AC163" i="1"/>
  <c r="AB163" i="1"/>
  <c r="AA163" i="1" s="1"/>
  <c r="T163" i="1"/>
  <c r="DA162" i="1"/>
  <c r="CZ162" i="1"/>
  <c r="CX162" i="1"/>
  <c r="CY162" i="1" s="1"/>
  <c r="AZ162" i="1" s="1"/>
  <c r="BM162" i="1"/>
  <c r="BL162" i="1"/>
  <c r="BH162" i="1"/>
  <c r="BK162" i="1" s="1"/>
  <c r="BD162" i="1"/>
  <c r="BB162" i="1"/>
  <c r="AX162" i="1"/>
  <c r="AR162" i="1"/>
  <c r="BE162" i="1" s="1"/>
  <c r="AM162" i="1"/>
  <c r="AK162" i="1"/>
  <c r="AC162" i="1"/>
  <c r="AB162" i="1"/>
  <c r="AA162" i="1"/>
  <c r="T162" i="1"/>
  <c r="DA161" i="1"/>
  <c r="CZ161" i="1"/>
  <c r="CX161" i="1"/>
  <c r="CY161" i="1" s="1"/>
  <c r="BM161" i="1"/>
  <c r="BL161" i="1"/>
  <c r="BK161" i="1"/>
  <c r="BJ161" i="1"/>
  <c r="BN161" i="1" s="1"/>
  <c r="BO161" i="1" s="1"/>
  <c r="BH161" i="1"/>
  <c r="BI161" i="1" s="1"/>
  <c r="BD161" i="1"/>
  <c r="AZ161" i="1"/>
  <c r="BB161" i="1" s="1"/>
  <c r="AX161" i="1"/>
  <c r="AR161" i="1"/>
  <c r="BE161" i="1" s="1"/>
  <c r="AM161" i="1"/>
  <c r="AK161" i="1" s="1"/>
  <c r="AC161" i="1"/>
  <c r="AB161" i="1"/>
  <c r="AA161" i="1" s="1"/>
  <c r="T161" i="1"/>
  <c r="DA160" i="1"/>
  <c r="CZ160" i="1"/>
  <c r="CX160" i="1"/>
  <c r="BM160" i="1"/>
  <c r="BL160" i="1"/>
  <c r="BH160" i="1"/>
  <c r="BD160" i="1"/>
  <c r="AX160" i="1"/>
  <c r="AR160" i="1"/>
  <c r="BE160" i="1" s="1"/>
  <c r="AM160" i="1"/>
  <c r="AK160" i="1" s="1"/>
  <c r="AC160" i="1"/>
  <c r="AB160" i="1"/>
  <c r="AA160" i="1" s="1"/>
  <c r="T160" i="1"/>
  <c r="DA159" i="1"/>
  <c r="CZ159" i="1"/>
  <c r="CX159" i="1"/>
  <c r="CY159" i="1" s="1"/>
  <c r="AZ159" i="1" s="1"/>
  <c r="BB159" i="1" s="1"/>
  <c r="BO159" i="1"/>
  <c r="BN159" i="1"/>
  <c r="BM159" i="1"/>
  <c r="BL159" i="1"/>
  <c r="BJ159" i="1"/>
  <c r="BH159" i="1"/>
  <c r="BK159" i="1" s="1"/>
  <c r="BE159" i="1"/>
  <c r="BD159" i="1"/>
  <c r="AX159" i="1"/>
  <c r="AR159" i="1"/>
  <c r="AM159" i="1"/>
  <c r="AK159" i="1" s="1"/>
  <c r="AL159" i="1"/>
  <c r="AC159" i="1"/>
  <c r="AB159" i="1"/>
  <c r="AA159" i="1" s="1"/>
  <c r="T159" i="1"/>
  <c r="M159" i="1"/>
  <c r="L159" i="1" s="1"/>
  <c r="DA158" i="1"/>
  <c r="CZ158" i="1"/>
  <c r="CX158" i="1"/>
  <c r="CY158" i="1" s="1"/>
  <c r="AZ158" i="1" s="1"/>
  <c r="BM158" i="1"/>
  <c r="BL158" i="1"/>
  <c r="BH158" i="1"/>
  <c r="BK158" i="1" s="1"/>
  <c r="BD158" i="1"/>
  <c r="BB158" i="1"/>
  <c r="AX158" i="1"/>
  <c r="AR158" i="1"/>
  <c r="BE158" i="1" s="1"/>
  <c r="AM158" i="1"/>
  <c r="AK158" i="1"/>
  <c r="AC158" i="1"/>
  <c r="AB158" i="1"/>
  <c r="AA158" i="1"/>
  <c r="T158" i="1"/>
  <c r="R158" i="1"/>
  <c r="DA157" i="1"/>
  <c r="CZ157" i="1"/>
  <c r="CX157" i="1"/>
  <c r="BM157" i="1"/>
  <c r="BL157" i="1"/>
  <c r="BK157" i="1"/>
  <c r="BJ157" i="1"/>
  <c r="BN157" i="1" s="1"/>
  <c r="BO157" i="1" s="1"/>
  <c r="BH157" i="1"/>
  <c r="BI157" i="1" s="1"/>
  <c r="BD157" i="1"/>
  <c r="AX157" i="1"/>
  <c r="AR157" i="1"/>
  <c r="BE157" i="1" s="1"/>
  <c r="AM157" i="1"/>
  <c r="AK157" i="1" s="1"/>
  <c r="AC157" i="1"/>
  <c r="AB157" i="1"/>
  <c r="AA157" i="1" s="1"/>
  <c r="T157" i="1"/>
  <c r="DA156" i="1"/>
  <c r="CZ156" i="1"/>
  <c r="CY156" i="1"/>
  <c r="AZ156" i="1" s="1"/>
  <c r="CX156" i="1"/>
  <c r="W156" i="1" s="1"/>
  <c r="BM156" i="1"/>
  <c r="BL156" i="1"/>
  <c r="BH156" i="1"/>
  <c r="BD156" i="1"/>
  <c r="AX156" i="1"/>
  <c r="AR156" i="1"/>
  <c r="BE156" i="1" s="1"/>
  <c r="AM156" i="1"/>
  <c r="AK156" i="1" s="1"/>
  <c r="N156" i="1" s="1"/>
  <c r="BA156" i="1" s="1"/>
  <c r="BC156" i="1" s="1"/>
  <c r="AC156" i="1"/>
  <c r="AB156" i="1"/>
  <c r="AA156" i="1" s="1"/>
  <c r="T156" i="1"/>
  <c r="O156" i="1"/>
  <c r="DA155" i="1"/>
  <c r="CZ155" i="1"/>
  <c r="CX155" i="1"/>
  <c r="CY155" i="1" s="1"/>
  <c r="AZ155" i="1" s="1"/>
  <c r="BB155" i="1" s="1"/>
  <c r="BN155" i="1"/>
  <c r="BO155" i="1" s="1"/>
  <c r="BM155" i="1"/>
  <c r="BL155" i="1"/>
  <c r="BJ155" i="1"/>
  <c r="BH155" i="1"/>
  <c r="BK155" i="1" s="1"/>
  <c r="BE155" i="1"/>
  <c r="BD155" i="1"/>
  <c r="AX155" i="1"/>
  <c r="AR155" i="1"/>
  <c r="AM155" i="1"/>
  <c r="AK155" i="1" s="1"/>
  <c r="AC155" i="1"/>
  <c r="AB155" i="1"/>
  <c r="AA155" i="1" s="1"/>
  <c r="T155" i="1"/>
  <c r="DA154" i="1"/>
  <c r="CZ154" i="1"/>
  <c r="CX154" i="1"/>
  <c r="CY154" i="1" s="1"/>
  <c r="AZ154" i="1" s="1"/>
  <c r="BM154" i="1"/>
  <c r="BL154" i="1"/>
  <c r="BH154" i="1"/>
  <c r="BK154" i="1" s="1"/>
  <c r="BD154" i="1"/>
  <c r="BB154" i="1"/>
  <c r="AX154" i="1"/>
  <c r="AR154" i="1"/>
  <c r="BE154" i="1" s="1"/>
  <c r="AM154" i="1"/>
  <c r="AK154" i="1"/>
  <c r="AC154" i="1"/>
  <c r="AB154" i="1"/>
  <c r="AA154" i="1"/>
  <c r="T154" i="1"/>
  <c r="R154" i="1"/>
  <c r="DA153" i="1"/>
  <c r="CZ153" i="1"/>
  <c r="CX153" i="1"/>
  <c r="CY153" i="1" s="1"/>
  <c r="BM153" i="1"/>
  <c r="BL153" i="1"/>
  <c r="BK153" i="1"/>
  <c r="BJ153" i="1"/>
  <c r="BN153" i="1" s="1"/>
  <c r="BO153" i="1" s="1"/>
  <c r="BH153" i="1"/>
  <c r="BI153" i="1" s="1"/>
  <c r="BD153" i="1"/>
  <c r="AZ153" i="1"/>
  <c r="BB153" i="1" s="1"/>
  <c r="AX153" i="1"/>
  <c r="AR153" i="1"/>
  <c r="BE153" i="1" s="1"/>
  <c r="AM153" i="1"/>
  <c r="AK153" i="1" s="1"/>
  <c r="AC153" i="1"/>
  <c r="AB153" i="1"/>
  <c r="AA153" i="1" s="1"/>
  <c r="T153" i="1"/>
  <c r="DA152" i="1"/>
  <c r="CZ152" i="1"/>
  <c r="CX152" i="1"/>
  <c r="W152" i="1" s="1"/>
  <c r="BM152" i="1"/>
  <c r="BL152" i="1"/>
  <c r="BH152" i="1"/>
  <c r="BD152" i="1"/>
  <c r="AX152" i="1"/>
  <c r="AR152" i="1"/>
  <c r="BE152" i="1" s="1"/>
  <c r="AM152" i="1"/>
  <c r="AK152" i="1" s="1"/>
  <c r="AC152" i="1"/>
  <c r="AA152" i="1" s="1"/>
  <c r="AB152" i="1"/>
  <c r="T152" i="1"/>
  <c r="O152" i="1"/>
  <c r="N152" i="1"/>
  <c r="BA152" i="1" s="1"/>
  <c r="DA151" i="1"/>
  <c r="CZ151" i="1"/>
  <c r="CX151" i="1"/>
  <c r="CY151" i="1" s="1"/>
  <c r="AZ151" i="1" s="1"/>
  <c r="BN151" i="1"/>
  <c r="BO151" i="1" s="1"/>
  <c r="BM151" i="1"/>
  <c r="BL151" i="1"/>
  <c r="BJ151" i="1"/>
  <c r="BH151" i="1"/>
  <c r="BK151" i="1" s="1"/>
  <c r="BE151" i="1"/>
  <c r="BD151" i="1"/>
  <c r="AX151" i="1"/>
  <c r="AR151" i="1"/>
  <c r="AM151" i="1"/>
  <c r="AK151" i="1" s="1"/>
  <c r="AL151" i="1"/>
  <c r="AC151" i="1"/>
  <c r="AB151" i="1"/>
  <c r="W151" i="1"/>
  <c r="T151" i="1"/>
  <c r="M151" i="1"/>
  <c r="L151" i="1" s="1"/>
  <c r="DA150" i="1"/>
  <c r="CZ150" i="1"/>
  <c r="CX150" i="1"/>
  <c r="CY150" i="1" s="1"/>
  <c r="AZ150" i="1" s="1"/>
  <c r="BB150" i="1" s="1"/>
  <c r="BM150" i="1"/>
  <c r="BL150" i="1"/>
  <c r="BH150" i="1"/>
  <c r="BK150" i="1" s="1"/>
  <c r="BD150" i="1"/>
  <c r="AX150" i="1"/>
  <c r="AR150" i="1"/>
  <c r="BE150" i="1" s="1"/>
  <c r="AM150" i="1"/>
  <c r="AK150" i="1"/>
  <c r="AC150" i="1"/>
  <c r="AB150" i="1"/>
  <c r="AA150" i="1"/>
  <c r="T150" i="1"/>
  <c r="DA149" i="1"/>
  <c r="W149" i="1" s="1"/>
  <c r="CZ149" i="1"/>
  <c r="CX149" i="1"/>
  <c r="BM149" i="1"/>
  <c r="BL149" i="1"/>
  <c r="BK149" i="1"/>
  <c r="BJ149" i="1"/>
  <c r="BN149" i="1" s="1"/>
  <c r="BO149" i="1" s="1"/>
  <c r="BH149" i="1"/>
  <c r="BI149" i="1" s="1"/>
  <c r="BD149" i="1"/>
  <c r="AX149" i="1"/>
  <c r="AR149" i="1"/>
  <c r="BE149" i="1" s="1"/>
  <c r="AM149" i="1"/>
  <c r="AK149" i="1" s="1"/>
  <c r="AC149" i="1"/>
  <c r="AB149" i="1"/>
  <c r="AA149" i="1" s="1"/>
  <c r="T149" i="1"/>
  <c r="DA148" i="1"/>
  <c r="CZ148" i="1"/>
  <c r="CX148" i="1"/>
  <c r="CY148" i="1" s="1"/>
  <c r="AZ148" i="1" s="1"/>
  <c r="BB148" i="1" s="1"/>
  <c r="BM148" i="1"/>
  <c r="BL148" i="1"/>
  <c r="BH148" i="1"/>
  <c r="BD148" i="1"/>
  <c r="AX148" i="1"/>
  <c r="AR148" i="1"/>
  <c r="BE148" i="1" s="1"/>
  <c r="AM148" i="1"/>
  <c r="AK148" i="1" s="1"/>
  <c r="AC148" i="1"/>
  <c r="AB148" i="1"/>
  <c r="AA148" i="1" s="1"/>
  <c r="W148" i="1"/>
  <c r="T148" i="1"/>
  <c r="O148" i="1"/>
  <c r="DA147" i="1"/>
  <c r="CZ147" i="1"/>
  <c r="CY147" i="1" s="1"/>
  <c r="AZ147" i="1" s="1"/>
  <c r="CX147" i="1"/>
  <c r="BM147" i="1"/>
  <c r="BL147" i="1"/>
  <c r="BJ147" i="1"/>
  <c r="BN147" i="1" s="1"/>
  <c r="BO147" i="1" s="1"/>
  <c r="BI147" i="1"/>
  <c r="BH147" i="1"/>
  <c r="BK147" i="1" s="1"/>
  <c r="BE147" i="1"/>
  <c r="BD147" i="1"/>
  <c r="AX147" i="1"/>
  <c r="AR147" i="1"/>
  <c r="AM147" i="1"/>
  <c r="AL147" i="1"/>
  <c r="AK147" i="1"/>
  <c r="O147" i="1" s="1"/>
  <c r="AC147" i="1"/>
  <c r="AB147" i="1"/>
  <c r="AA147" i="1" s="1"/>
  <c r="W147" i="1"/>
  <c r="T147" i="1"/>
  <c r="DA146" i="1"/>
  <c r="CZ146" i="1"/>
  <c r="CY146" i="1"/>
  <c r="AZ146" i="1" s="1"/>
  <c r="CX146" i="1"/>
  <c r="BM146" i="1"/>
  <c r="BL146" i="1"/>
  <c r="BK146" i="1"/>
  <c r="BI146" i="1"/>
  <c r="BH146" i="1"/>
  <c r="BJ146" i="1" s="1"/>
  <c r="BN146" i="1" s="1"/>
  <c r="BO146" i="1" s="1"/>
  <c r="BE146" i="1"/>
  <c r="BD146" i="1"/>
  <c r="AX146" i="1"/>
  <c r="BB146" i="1" s="1"/>
  <c r="AR146" i="1"/>
  <c r="AM146" i="1"/>
  <c r="AK146" i="1"/>
  <c r="N146" i="1" s="1"/>
  <c r="BA146" i="1" s="1"/>
  <c r="AC146" i="1"/>
  <c r="AB146" i="1"/>
  <c r="AA146" i="1"/>
  <c r="W146" i="1"/>
  <c r="T146" i="1"/>
  <c r="R146" i="1"/>
  <c r="O146" i="1"/>
  <c r="M146" i="1"/>
  <c r="L146" i="1" s="1"/>
  <c r="DA145" i="1"/>
  <c r="CZ145" i="1"/>
  <c r="CY145" i="1" s="1"/>
  <c r="CX145" i="1"/>
  <c r="BM145" i="1"/>
  <c r="BL145" i="1"/>
  <c r="BK145" i="1"/>
  <c r="BJ145" i="1"/>
  <c r="BN145" i="1" s="1"/>
  <c r="BO145" i="1" s="1"/>
  <c r="BI145" i="1"/>
  <c r="BH145" i="1"/>
  <c r="BE145" i="1"/>
  <c r="BD145" i="1"/>
  <c r="AZ145" i="1"/>
  <c r="AX145" i="1"/>
  <c r="AR145" i="1"/>
  <c r="AM145" i="1"/>
  <c r="AK145" i="1" s="1"/>
  <c r="AC145" i="1"/>
  <c r="AA145" i="1" s="1"/>
  <c r="AB145" i="1"/>
  <c r="W145" i="1"/>
  <c r="T145" i="1"/>
  <c r="DA144" i="1"/>
  <c r="CZ144" i="1"/>
  <c r="CX144" i="1"/>
  <c r="BM144" i="1"/>
  <c r="BL144" i="1"/>
  <c r="BH144" i="1"/>
  <c r="BD144" i="1"/>
  <c r="AX144" i="1"/>
  <c r="AR144" i="1"/>
  <c r="BE144" i="1" s="1"/>
  <c r="AM144" i="1"/>
  <c r="AK144" i="1"/>
  <c r="AC144" i="1"/>
  <c r="AB144" i="1"/>
  <c r="AA144" i="1"/>
  <c r="T144" i="1"/>
  <c r="N144" i="1"/>
  <c r="BA144" i="1" s="1"/>
  <c r="DA143" i="1"/>
  <c r="W143" i="1" s="1"/>
  <c r="CZ143" i="1"/>
  <c r="CY143" i="1"/>
  <c r="AZ143" i="1" s="1"/>
  <c r="CX143" i="1"/>
  <c r="BN143" i="1"/>
  <c r="BO143" i="1" s="1"/>
  <c r="BM143" i="1"/>
  <c r="BL143" i="1"/>
  <c r="BK143" i="1"/>
  <c r="BI143" i="1"/>
  <c r="BH143" i="1"/>
  <c r="BJ143" i="1" s="1"/>
  <c r="BD143" i="1"/>
  <c r="BA143" i="1"/>
  <c r="AX143" i="1"/>
  <c r="AR143" i="1"/>
  <c r="BE143" i="1" s="1"/>
  <c r="AM143" i="1"/>
  <c r="AL143" i="1"/>
  <c r="AK143" i="1"/>
  <c r="M143" i="1" s="1"/>
  <c r="L143" i="1" s="1"/>
  <c r="AC143" i="1"/>
  <c r="AB143" i="1"/>
  <c r="AA143" i="1" s="1"/>
  <c r="T143" i="1"/>
  <c r="O143" i="1"/>
  <c r="N143" i="1"/>
  <c r="DA142" i="1"/>
  <c r="CZ142" i="1"/>
  <c r="CY142" i="1"/>
  <c r="AZ142" i="1" s="1"/>
  <c r="CX142" i="1"/>
  <c r="BM142" i="1"/>
  <c r="BL142" i="1"/>
  <c r="BK142" i="1"/>
  <c r="BJ142" i="1"/>
  <c r="BN142" i="1" s="1"/>
  <c r="BO142" i="1" s="1"/>
  <c r="BI142" i="1"/>
  <c r="BH142" i="1"/>
  <c r="BD142" i="1"/>
  <c r="BB142" i="1"/>
  <c r="AX142" i="1"/>
  <c r="AR142" i="1"/>
  <c r="BE142" i="1" s="1"/>
  <c r="AM142" i="1"/>
  <c r="AK142" i="1" s="1"/>
  <c r="O142" i="1" s="1"/>
  <c r="AC142" i="1"/>
  <c r="AB142" i="1"/>
  <c r="AA142" i="1" s="1"/>
  <c r="W142" i="1"/>
  <c r="T142" i="1"/>
  <c r="R142" i="1"/>
  <c r="DA141" i="1"/>
  <c r="CZ141" i="1"/>
  <c r="CY141" i="1" s="1"/>
  <c r="CX141" i="1"/>
  <c r="BO141" i="1"/>
  <c r="BM141" i="1"/>
  <c r="BL141" i="1"/>
  <c r="BJ141" i="1"/>
  <c r="BN141" i="1" s="1"/>
  <c r="BI141" i="1"/>
  <c r="BH141" i="1"/>
  <c r="BK141" i="1" s="1"/>
  <c r="BE141" i="1"/>
  <c r="BD141" i="1"/>
  <c r="AZ141" i="1"/>
  <c r="BB141" i="1" s="1"/>
  <c r="AX141" i="1"/>
  <c r="AR141" i="1"/>
  <c r="AM141" i="1"/>
  <c r="AK141" i="1" s="1"/>
  <c r="M141" i="1" s="1"/>
  <c r="L141" i="1" s="1"/>
  <c r="AC141" i="1"/>
  <c r="AA141" i="1" s="1"/>
  <c r="AB141" i="1"/>
  <c r="W141" i="1"/>
  <c r="T141" i="1"/>
  <c r="DA140" i="1"/>
  <c r="CZ140" i="1"/>
  <c r="CX140" i="1"/>
  <c r="BM140" i="1"/>
  <c r="BL140" i="1"/>
  <c r="BH140" i="1"/>
  <c r="BD140" i="1"/>
  <c r="AX140" i="1"/>
  <c r="AR140" i="1"/>
  <c r="BE140" i="1" s="1"/>
  <c r="AM140" i="1"/>
  <c r="AK140" i="1"/>
  <c r="AC140" i="1"/>
  <c r="AB140" i="1"/>
  <c r="AA140" i="1"/>
  <c r="T140" i="1"/>
  <c r="N140" i="1"/>
  <c r="BA140" i="1" s="1"/>
  <c r="DA139" i="1"/>
  <c r="W139" i="1" s="1"/>
  <c r="CZ139" i="1"/>
  <c r="CY139" i="1"/>
  <c r="AZ139" i="1" s="1"/>
  <c r="CX139" i="1"/>
  <c r="BN139" i="1"/>
  <c r="BO139" i="1" s="1"/>
  <c r="BM139" i="1"/>
  <c r="BL139" i="1"/>
  <c r="BK139" i="1"/>
  <c r="BJ139" i="1"/>
  <c r="BI139" i="1"/>
  <c r="BH139" i="1"/>
  <c r="BD139" i="1"/>
  <c r="AX139" i="1"/>
  <c r="AR139" i="1"/>
  <c r="BE139" i="1" s="1"/>
  <c r="AM139" i="1"/>
  <c r="AK139" i="1" s="1"/>
  <c r="AL139" i="1" s="1"/>
  <c r="AC139" i="1"/>
  <c r="AB139" i="1"/>
  <c r="AA139" i="1" s="1"/>
  <c r="T139" i="1"/>
  <c r="DA138" i="1"/>
  <c r="CZ138" i="1"/>
  <c r="CY138" i="1"/>
  <c r="AZ138" i="1" s="1"/>
  <c r="CX138" i="1"/>
  <c r="BM138" i="1"/>
  <c r="BL138" i="1"/>
  <c r="BJ138" i="1"/>
  <c r="BN138" i="1" s="1"/>
  <c r="BO138" i="1" s="1"/>
  <c r="BI138" i="1"/>
  <c r="BH138" i="1"/>
  <c r="BK138" i="1" s="1"/>
  <c r="BE138" i="1"/>
  <c r="BD138" i="1"/>
  <c r="AX138" i="1"/>
  <c r="BB138" i="1" s="1"/>
  <c r="AR138" i="1"/>
  <c r="AM138" i="1"/>
  <c r="AK138" i="1" s="1"/>
  <c r="AC138" i="1"/>
  <c r="AB138" i="1"/>
  <c r="AA138" i="1" s="1"/>
  <c r="W138" i="1"/>
  <c r="T138" i="1"/>
  <c r="R138" i="1"/>
  <c r="O138" i="1"/>
  <c r="DA137" i="1"/>
  <c r="CZ137" i="1"/>
  <c r="CX137" i="1"/>
  <c r="BM137" i="1"/>
  <c r="BL137" i="1"/>
  <c r="BJ137" i="1"/>
  <c r="BN137" i="1" s="1"/>
  <c r="BO137" i="1" s="1"/>
  <c r="BH137" i="1"/>
  <c r="BK137" i="1" s="1"/>
  <c r="BE137" i="1"/>
  <c r="BD137" i="1"/>
  <c r="AX137" i="1"/>
  <c r="AR137" i="1"/>
  <c r="AM137" i="1"/>
  <c r="AK137" i="1" s="1"/>
  <c r="AC137" i="1"/>
  <c r="AA137" i="1" s="1"/>
  <c r="AB137" i="1"/>
  <c r="T137" i="1"/>
  <c r="M137" i="1"/>
  <c r="L137" i="1" s="1"/>
  <c r="AE137" i="1" s="1"/>
  <c r="DA136" i="1"/>
  <c r="CZ136" i="1"/>
  <c r="CX136" i="1"/>
  <c r="BM136" i="1"/>
  <c r="BL136" i="1"/>
  <c r="BH136" i="1"/>
  <c r="BD136" i="1"/>
  <c r="AX136" i="1"/>
  <c r="AR136" i="1"/>
  <c r="BE136" i="1" s="1"/>
  <c r="AM136" i="1"/>
  <c r="AK136" i="1"/>
  <c r="AC136" i="1"/>
  <c r="AB136" i="1"/>
  <c r="AA136" i="1"/>
  <c r="T136" i="1"/>
  <c r="N136" i="1"/>
  <c r="BA136" i="1" s="1"/>
  <c r="DA135" i="1"/>
  <c r="W135" i="1" s="1"/>
  <c r="CZ135" i="1"/>
  <c r="CY135" i="1"/>
  <c r="AZ135" i="1" s="1"/>
  <c r="CX135" i="1"/>
  <c r="BN135" i="1"/>
  <c r="BO135" i="1" s="1"/>
  <c r="BM135" i="1"/>
  <c r="BL135" i="1"/>
  <c r="BK135" i="1"/>
  <c r="BJ135" i="1"/>
  <c r="BI135" i="1"/>
  <c r="BH135" i="1"/>
  <c r="BD135" i="1"/>
  <c r="AX135" i="1"/>
  <c r="AR135" i="1"/>
  <c r="BE135" i="1" s="1"/>
  <c r="AM135" i="1"/>
  <c r="AK135" i="1" s="1"/>
  <c r="AL135" i="1" s="1"/>
  <c r="AC135" i="1"/>
  <c r="AB135" i="1"/>
  <c r="AA135" i="1" s="1"/>
  <c r="T135" i="1"/>
  <c r="DA134" i="1"/>
  <c r="CZ134" i="1"/>
  <c r="CY134" i="1"/>
  <c r="AZ134" i="1" s="1"/>
  <c r="CX134" i="1"/>
  <c r="BM134" i="1"/>
  <c r="BL134" i="1"/>
  <c r="BK134" i="1"/>
  <c r="BJ134" i="1"/>
  <c r="BN134" i="1" s="1"/>
  <c r="BO134" i="1" s="1"/>
  <c r="BI134" i="1"/>
  <c r="BH134" i="1"/>
  <c r="BE134" i="1"/>
  <c r="BD134" i="1"/>
  <c r="AX134" i="1"/>
  <c r="AR134" i="1"/>
  <c r="AM134" i="1"/>
  <c r="AK134" i="1" s="1"/>
  <c r="O134" i="1" s="1"/>
  <c r="AC134" i="1"/>
  <c r="AA134" i="1" s="1"/>
  <c r="AB134" i="1"/>
  <c r="W134" i="1"/>
  <c r="T134" i="1"/>
  <c r="R134" i="1"/>
  <c r="DA133" i="1"/>
  <c r="CZ133" i="1"/>
  <c r="CX133" i="1"/>
  <c r="BO133" i="1"/>
  <c r="BM133" i="1"/>
  <c r="BL133" i="1"/>
  <c r="BK133" i="1"/>
  <c r="BJ133" i="1"/>
  <c r="BN133" i="1" s="1"/>
  <c r="BH133" i="1"/>
  <c r="BI133" i="1" s="1"/>
  <c r="BE133" i="1"/>
  <c r="BD133" i="1"/>
  <c r="AX133" i="1"/>
  <c r="AR133" i="1"/>
  <c r="AM133" i="1"/>
  <c r="AK133" i="1" s="1"/>
  <c r="M133" i="1" s="1"/>
  <c r="L133" i="1" s="1"/>
  <c r="AC133" i="1"/>
  <c r="AA133" i="1" s="1"/>
  <c r="AB133" i="1"/>
  <c r="W133" i="1"/>
  <c r="T133" i="1"/>
  <c r="DA132" i="1"/>
  <c r="CZ132" i="1"/>
  <c r="CX132" i="1"/>
  <c r="BM132" i="1"/>
  <c r="BL132" i="1"/>
  <c r="BH132" i="1"/>
  <c r="BD132" i="1"/>
  <c r="BA132" i="1"/>
  <c r="AX132" i="1"/>
  <c r="AR132" i="1"/>
  <c r="BE132" i="1" s="1"/>
  <c r="AM132" i="1"/>
  <c r="AK132" i="1"/>
  <c r="AC132" i="1"/>
  <c r="AB132" i="1"/>
  <c r="AA132" i="1"/>
  <c r="T132" i="1"/>
  <c r="N132" i="1"/>
  <c r="M132" i="1"/>
  <c r="L132" i="1" s="1"/>
  <c r="DA131" i="1"/>
  <c r="CZ131" i="1"/>
  <c r="CX131" i="1"/>
  <c r="BM131" i="1"/>
  <c r="BL131" i="1"/>
  <c r="BK131" i="1"/>
  <c r="BJ131" i="1"/>
  <c r="BN131" i="1" s="1"/>
  <c r="BO131" i="1" s="1"/>
  <c r="BI131" i="1"/>
  <c r="BH131" i="1"/>
  <c r="BD131" i="1"/>
  <c r="AX131" i="1"/>
  <c r="AR131" i="1"/>
  <c r="BE131" i="1" s="1"/>
  <c r="AM131" i="1"/>
  <c r="AL131" i="1"/>
  <c r="AK131" i="1"/>
  <c r="R131" i="1" s="1"/>
  <c r="AC131" i="1"/>
  <c r="AB131" i="1"/>
  <c r="AA131" i="1" s="1"/>
  <c r="T131" i="1"/>
  <c r="O131" i="1"/>
  <c r="DA130" i="1"/>
  <c r="CZ130" i="1"/>
  <c r="CY130" i="1"/>
  <c r="AZ130" i="1" s="1"/>
  <c r="BB130" i="1" s="1"/>
  <c r="CX130" i="1"/>
  <c r="BM130" i="1"/>
  <c r="BL130" i="1"/>
  <c r="BK130" i="1"/>
  <c r="BJ130" i="1"/>
  <c r="BN130" i="1" s="1"/>
  <c r="BO130" i="1" s="1"/>
  <c r="BI130" i="1"/>
  <c r="BH130" i="1"/>
  <c r="BE130" i="1"/>
  <c r="BD130" i="1"/>
  <c r="AX130" i="1"/>
  <c r="AR130" i="1"/>
  <c r="AM130" i="1"/>
  <c r="AK130" i="1" s="1"/>
  <c r="AC130" i="1"/>
  <c r="AB130" i="1"/>
  <c r="AA130" i="1" s="1"/>
  <c r="W130" i="1"/>
  <c r="T130" i="1"/>
  <c r="DA129" i="1"/>
  <c r="CZ129" i="1"/>
  <c r="CX129" i="1"/>
  <c r="BM129" i="1"/>
  <c r="BL129" i="1"/>
  <c r="BJ129" i="1"/>
  <c r="BN129" i="1" s="1"/>
  <c r="BO129" i="1" s="1"/>
  <c r="BH129" i="1"/>
  <c r="BI129" i="1" s="1"/>
  <c r="BD129" i="1"/>
  <c r="AX129" i="1"/>
  <c r="AR129" i="1"/>
  <c r="BE129" i="1" s="1"/>
  <c r="AM129" i="1"/>
  <c r="AK129" i="1" s="1"/>
  <c r="AC129" i="1"/>
  <c r="AA129" i="1" s="1"/>
  <c r="AB129" i="1"/>
  <c r="T129" i="1"/>
  <c r="DA128" i="1"/>
  <c r="CZ128" i="1"/>
  <c r="CX128" i="1"/>
  <c r="BM128" i="1"/>
  <c r="BL128" i="1"/>
  <c r="BH128" i="1"/>
  <c r="BD128" i="1"/>
  <c r="AX128" i="1"/>
  <c r="AR128" i="1"/>
  <c r="BE128" i="1" s="1"/>
  <c r="AM128" i="1"/>
  <c r="AK128" i="1"/>
  <c r="M128" i="1" s="1"/>
  <c r="L128" i="1" s="1"/>
  <c r="AC128" i="1"/>
  <c r="AB128" i="1"/>
  <c r="AA128" i="1"/>
  <c r="T128" i="1"/>
  <c r="N128" i="1"/>
  <c r="BA128" i="1" s="1"/>
  <c r="DA127" i="1"/>
  <c r="W127" i="1" s="1"/>
  <c r="CZ127" i="1"/>
  <c r="CY127" i="1" s="1"/>
  <c r="AZ127" i="1" s="1"/>
  <c r="BB127" i="1" s="1"/>
  <c r="CX127" i="1"/>
  <c r="BN127" i="1"/>
  <c r="BO127" i="1" s="1"/>
  <c r="BM127" i="1"/>
  <c r="BL127" i="1"/>
  <c r="BK127" i="1"/>
  <c r="BJ127" i="1"/>
  <c r="BH127" i="1"/>
  <c r="BI127" i="1" s="1"/>
  <c r="BD127" i="1"/>
  <c r="BA127" i="1"/>
  <c r="BC127" i="1" s="1"/>
  <c r="AX127" i="1"/>
  <c r="AR127" i="1"/>
  <c r="BE127" i="1" s="1"/>
  <c r="AM127" i="1"/>
  <c r="AL127" i="1"/>
  <c r="AK127" i="1"/>
  <c r="AC127" i="1"/>
  <c r="AB127" i="1"/>
  <c r="AA127" i="1" s="1"/>
  <c r="T127" i="1"/>
  <c r="R127" i="1"/>
  <c r="O127" i="1"/>
  <c r="N127" i="1"/>
  <c r="M127" i="1"/>
  <c r="L127" i="1"/>
  <c r="DA126" i="1"/>
  <c r="CZ126" i="1"/>
  <c r="CY126" i="1" s="1"/>
  <c r="AZ126" i="1" s="1"/>
  <c r="CX126" i="1"/>
  <c r="BM126" i="1"/>
  <c r="BL126" i="1"/>
  <c r="BJ126" i="1"/>
  <c r="BN126" i="1" s="1"/>
  <c r="BO126" i="1" s="1"/>
  <c r="BI126" i="1"/>
  <c r="BH126" i="1"/>
  <c r="BK126" i="1" s="1"/>
  <c r="BD126" i="1"/>
  <c r="BB126" i="1"/>
  <c r="AX126" i="1"/>
  <c r="AR126" i="1"/>
  <c r="BE126" i="1" s="1"/>
  <c r="AM126" i="1"/>
  <c r="AK126" i="1" s="1"/>
  <c r="AC126" i="1"/>
  <c r="AB126" i="1"/>
  <c r="AA126" i="1" s="1"/>
  <c r="W126" i="1"/>
  <c r="T126" i="1"/>
  <c r="R126" i="1"/>
  <c r="DA125" i="1"/>
  <c r="CZ125" i="1"/>
  <c r="CX125" i="1"/>
  <c r="BM125" i="1"/>
  <c r="BL125" i="1"/>
  <c r="BJ125" i="1"/>
  <c r="BN125" i="1" s="1"/>
  <c r="BO125" i="1" s="1"/>
  <c r="BH125" i="1"/>
  <c r="BI125" i="1" s="1"/>
  <c r="BD125" i="1"/>
  <c r="AX125" i="1"/>
  <c r="AR125" i="1"/>
  <c r="BE125" i="1" s="1"/>
  <c r="AM125" i="1"/>
  <c r="AK125" i="1" s="1"/>
  <c r="AC125" i="1"/>
  <c r="AB125" i="1"/>
  <c r="AA125" i="1" s="1"/>
  <c r="T125" i="1"/>
  <c r="DA124" i="1"/>
  <c r="CZ124" i="1"/>
  <c r="CX124" i="1"/>
  <c r="BM124" i="1"/>
  <c r="BL124" i="1"/>
  <c r="BH124" i="1"/>
  <c r="BD124" i="1"/>
  <c r="AX124" i="1"/>
  <c r="AR124" i="1"/>
  <c r="BE124" i="1" s="1"/>
  <c r="AM124" i="1"/>
  <c r="AL124" i="1"/>
  <c r="AK124" i="1"/>
  <c r="O124" i="1" s="1"/>
  <c r="AC124" i="1"/>
  <c r="AB124" i="1"/>
  <c r="AA124" i="1" s="1"/>
  <c r="T124" i="1"/>
  <c r="R124" i="1"/>
  <c r="N124" i="1"/>
  <c r="BA124" i="1" s="1"/>
  <c r="M124" i="1"/>
  <c r="L124" i="1"/>
  <c r="DA123" i="1"/>
  <c r="CZ123" i="1"/>
  <c r="CX123" i="1"/>
  <c r="CY123" i="1" s="1"/>
  <c r="AZ123" i="1" s="1"/>
  <c r="BB123" i="1" s="1"/>
  <c r="BN123" i="1"/>
  <c r="BO123" i="1" s="1"/>
  <c r="BM123" i="1"/>
  <c r="BL123" i="1"/>
  <c r="BK123" i="1"/>
  <c r="BJ123" i="1"/>
  <c r="BH123" i="1"/>
  <c r="BI123" i="1" s="1"/>
  <c r="BD123" i="1"/>
  <c r="AX123" i="1"/>
  <c r="AR123" i="1"/>
  <c r="BE123" i="1" s="1"/>
  <c r="AM123" i="1"/>
  <c r="AL123" i="1"/>
  <c r="AK123" i="1"/>
  <c r="AC123" i="1"/>
  <c r="AB123" i="1"/>
  <c r="AA123" i="1" s="1"/>
  <c r="W123" i="1"/>
  <c r="T123" i="1"/>
  <c r="R123" i="1"/>
  <c r="O123" i="1"/>
  <c r="N123" i="1"/>
  <c r="BA123" i="1" s="1"/>
  <c r="BC123" i="1" s="1"/>
  <c r="M123" i="1"/>
  <c r="L123" i="1"/>
  <c r="DA122" i="1"/>
  <c r="W122" i="1" s="1"/>
  <c r="CZ122" i="1"/>
  <c r="CX122" i="1"/>
  <c r="CY122" i="1" s="1"/>
  <c r="AZ122" i="1" s="1"/>
  <c r="BB122" i="1" s="1"/>
  <c r="BM122" i="1"/>
  <c r="BL122" i="1"/>
  <c r="BK122" i="1"/>
  <c r="BJ122" i="1"/>
  <c r="BN122" i="1" s="1"/>
  <c r="BO122" i="1" s="1"/>
  <c r="BH122" i="1"/>
  <c r="BI122" i="1" s="1"/>
  <c r="BD122" i="1"/>
  <c r="AX122" i="1"/>
  <c r="AR122" i="1"/>
  <c r="BE122" i="1" s="1"/>
  <c r="AM122" i="1"/>
  <c r="AK122" i="1" s="1"/>
  <c r="AC122" i="1"/>
  <c r="AB122" i="1"/>
  <c r="AA122" i="1" s="1"/>
  <c r="T122" i="1"/>
  <c r="DA121" i="1"/>
  <c r="CZ121" i="1"/>
  <c r="CX121" i="1"/>
  <c r="BM121" i="1"/>
  <c r="BL121" i="1"/>
  <c r="BJ121" i="1"/>
  <c r="BN121" i="1" s="1"/>
  <c r="BO121" i="1" s="1"/>
  <c r="BH121" i="1"/>
  <c r="BI121" i="1" s="1"/>
  <c r="BD121" i="1"/>
  <c r="AX121" i="1"/>
  <c r="AR121" i="1"/>
  <c r="BE121" i="1" s="1"/>
  <c r="AM121" i="1"/>
  <c r="AK121" i="1" s="1"/>
  <c r="AC121" i="1"/>
  <c r="AB121" i="1"/>
  <c r="AA121" i="1" s="1"/>
  <c r="T121" i="1"/>
  <c r="DA120" i="1"/>
  <c r="CZ120" i="1"/>
  <c r="CX120" i="1"/>
  <c r="BM120" i="1"/>
  <c r="BL120" i="1"/>
  <c r="BH120" i="1"/>
  <c r="BD120" i="1"/>
  <c r="AX120" i="1"/>
  <c r="AR120" i="1"/>
  <c r="BE120" i="1" s="1"/>
  <c r="AM120" i="1"/>
  <c r="AK120" i="1" s="1"/>
  <c r="AC120" i="1"/>
  <c r="AB120" i="1"/>
  <c r="AA120" i="1" s="1"/>
  <c r="T120" i="1"/>
  <c r="N120" i="1"/>
  <c r="BA120" i="1" s="1"/>
  <c r="DA119" i="1"/>
  <c r="CZ119" i="1"/>
  <c r="CX119" i="1"/>
  <c r="CY119" i="1" s="1"/>
  <c r="AZ119" i="1" s="1"/>
  <c r="BB119" i="1" s="1"/>
  <c r="BN119" i="1"/>
  <c r="BO119" i="1" s="1"/>
  <c r="BM119" i="1"/>
  <c r="BL119" i="1"/>
  <c r="BK119" i="1"/>
  <c r="BJ119" i="1"/>
  <c r="BH119" i="1"/>
  <c r="BI119" i="1" s="1"/>
  <c r="BD119" i="1"/>
  <c r="AX119" i="1"/>
  <c r="AR119" i="1"/>
  <c r="BE119" i="1" s="1"/>
  <c r="AM119" i="1"/>
  <c r="AL119" i="1"/>
  <c r="AK119" i="1"/>
  <c r="AC119" i="1"/>
  <c r="AB119" i="1"/>
  <c r="AA119" i="1" s="1"/>
  <c r="W119" i="1"/>
  <c r="T119" i="1"/>
  <c r="R119" i="1"/>
  <c r="O119" i="1"/>
  <c r="N119" i="1"/>
  <c r="BA119" i="1" s="1"/>
  <c r="M119" i="1"/>
  <c r="L119" i="1"/>
  <c r="DA118" i="1"/>
  <c r="CZ118" i="1"/>
  <c r="CX118" i="1"/>
  <c r="CY118" i="1" s="1"/>
  <c r="AZ118" i="1" s="1"/>
  <c r="BB118" i="1" s="1"/>
  <c r="BM118" i="1"/>
  <c r="BL118" i="1"/>
  <c r="BJ118" i="1"/>
  <c r="BN118" i="1" s="1"/>
  <c r="BO118" i="1" s="1"/>
  <c r="BH118" i="1"/>
  <c r="BK118" i="1" s="1"/>
  <c r="BD118" i="1"/>
  <c r="AX118" i="1"/>
  <c r="AR118" i="1"/>
  <c r="BE118" i="1" s="1"/>
  <c r="AM118" i="1"/>
  <c r="AK118" i="1" s="1"/>
  <c r="AC118" i="1"/>
  <c r="AB118" i="1"/>
  <c r="AA118" i="1" s="1"/>
  <c r="W118" i="1"/>
  <c r="T118" i="1"/>
  <c r="R118" i="1"/>
  <c r="DA117" i="1"/>
  <c r="CZ117" i="1"/>
  <c r="CX117" i="1"/>
  <c r="CY117" i="1" s="1"/>
  <c r="AZ117" i="1" s="1"/>
  <c r="BB117" i="1" s="1"/>
  <c r="BM117" i="1"/>
  <c r="BL117" i="1"/>
  <c r="BJ117" i="1"/>
  <c r="BN117" i="1" s="1"/>
  <c r="BO117" i="1" s="1"/>
  <c r="BH117" i="1"/>
  <c r="BI117" i="1" s="1"/>
  <c r="BD117" i="1"/>
  <c r="AX117" i="1"/>
  <c r="AR117" i="1"/>
  <c r="BE117" i="1" s="1"/>
  <c r="AM117" i="1"/>
  <c r="AK117" i="1" s="1"/>
  <c r="AC117" i="1"/>
  <c r="AB117" i="1"/>
  <c r="AA117" i="1" s="1"/>
  <c r="W117" i="1"/>
  <c r="T117" i="1"/>
  <c r="DA116" i="1"/>
  <c r="CZ116" i="1"/>
  <c r="CX116" i="1"/>
  <c r="CY116" i="1" s="1"/>
  <c r="AZ116" i="1" s="1"/>
  <c r="BB116" i="1" s="1"/>
  <c r="BM116" i="1"/>
  <c r="BL116" i="1"/>
  <c r="BH116" i="1"/>
  <c r="BK116" i="1" s="1"/>
  <c r="BD116" i="1"/>
  <c r="AX116" i="1"/>
  <c r="AR116" i="1"/>
  <c r="BE116" i="1" s="1"/>
  <c r="AM116" i="1"/>
  <c r="AK116" i="1" s="1"/>
  <c r="AC116" i="1"/>
  <c r="AB116" i="1"/>
  <c r="AA116" i="1" s="1"/>
  <c r="W116" i="1"/>
  <c r="T116" i="1"/>
  <c r="DA115" i="1"/>
  <c r="W115" i="1" s="1"/>
  <c r="CZ115" i="1"/>
  <c r="CX115" i="1"/>
  <c r="BM115" i="1"/>
  <c r="BL115" i="1"/>
  <c r="BK115" i="1"/>
  <c r="BJ115" i="1"/>
  <c r="BN115" i="1" s="1"/>
  <c r="BO115" i="1" s="1"/>
  <c r="BH115" i="1"/>
  <c r="BI115" i="1" s="1"/>
  <c r="BE115" i="1"/>
  <c r="BD115" i="1"/>
  <c r="AX115" i="1"/>
  <c r="AR115" i="1"/>
  <c r="AM115" i="1"/>
  <c r="AK115" i="1"/>
  <c r="O115" i="1" s="1"/>
  <c r="AC115" i="1"/>
  <c r="AB115" i="1"/>
  <c r="AA115" i="1"/>
  <c r="T115" i="1"/>
  <c r="DA114" i="1"/>
  <c r="CZ114" i="1"/>
  <c r="CX114" i="1"/>
  <c r="BM114" i="1"/>
  <c r="BL114" i="1"/>
  <c r="BH114" i="1"/>
  <c r="BD114" i="1"/>
  <c r="AX114" i="1"/>
  <c r="AR114" i="1"/>
  <c r="BE114" i="1" s="1"/>
  <c r="AM114" i="1"/>
  <c r="AK114" i="1"/>
  <c r="AL114" i="1" s="1"/>
  <c r="AC114" i="1"/>
  <c r="AB114" i="1"/>
  <c r="AA114" i="1"/>
  <c r="T114" i="1"/>
  <c r="R114" i="1"/>
  <c r="N114" i="1"/>
  <c r="BA114" i="1" s="1"/>
  <c r="M114" i="1"/>
  <c r="L114" i="1"/>
  <c r="DA113" i="1"/>
  <c r="CZ113" i="1"/>
  <c r="CY113" i="1"/>
  <c r="AZ113" i="1" s="1"/>
  <c r="CX113" i="1"/>
  <c r="BN113" i="1"/>
  <c r="BO113" i="1" s="1"/>
  <c r="BM113" i="1"/>
  <c r="BL113" i="1"/>
  <c r="BK113" i="1"/>
  <c r="BJ113" i="1"/>
  <c r="BI113" i="1"/>
  <c r="BH113" i="1"/>
  <c r="BD113" i="1"/>
  <c r="AX113" i="1"/>
  <c r="BB113" i="1" s="1"/>
  <c r="AR113" i="1"/>
  <c r="BE113" i="1" s="1"/>
  <c r="AM113" i="1"/>
  <c r="AL113" i="1"/>
  <c r="AK113" i="1"/>
  <c r="AC113" i="1"/>
  <c r="AB113" i="1"/>
  <c r="AA113" i="1" s="1"/>
  <c r="W113" i="1"/>
  <c r="T113" i="1"/>
  <c r="R113" i="1"/>
  <c r="O113" i="1"/>
  <c r="N113" i="1"/>
  <c r="BA113" i="1" s="1"/>
  <c r="BC113" i="1" s="1"/>
  <c r="M113" i="1"/>
  <c r="L113" i="1"/>
  <c r="DA112" i="1"/>
  <c r="CZ112" i="1"/>
  <c r="CX112" i="1"/>
  <c r="CY112" i="1" s="1"/>
  <c r="AZ112" i="1" s="1"/>
  <c r="BB112" i="1" s="1"/>
  <c r="BM112" i="1"/>
  <c r="BL112" i="1"/>
  <c r="BH112" i="1"/>
  <c r="BK112" i="1" s="1"/>
  <c r="BE112" i="1"/>
  <c r="BD112" i="1"/>
  <c r="AX112" i="1"/>
  <c r="AR112" i="1"/>
  <c r="AM112" i="1"/>
  <c r="AK112" i="1" s="1"/>
  <c r="AC112" i="1"/>
  <c r="AB112" i="1"/>
  <c r="AA112" i="1" s="1"/>
  <c r="W112" i="1"/>
  <c r="T112" i="1"/>
  <c r="DA111" i="1"/>
  <c r="CZ111" i="1"/>
  <c r="CX111" i="1"/>
  <c r="BM111" i="1"/>
  <c r="BL111" i="1"/>
  <c r="BJ111" i="1"/>
  <c r="BN111" i="1" s="1"/>
  <c r="BO111" i="1" s="1"/>
  <c r="BH111" i="1"/>
  <c r="BI111" i="1" s="1"/>
  <c r="BD111" i="1"/>
  <c r="AX111" i="1"/>
  <c r="AR111" i="1"/>
  <c r="BE111" i="1" s="1"/>
  <c r="AM111" i="1"/>
  <c r="AK111" i="1"/>
  <c r="O111" i="1" s="1"/>
  <c r="AC111" i="1"/>
  <c r="AB111" i="1"/>
  <c r="AA111" i="1"/>
  <c r="W111" i="1"/>
  <c r="T111" i="1"/>
  <c r="DA110" i="1"/>
  <c r="CZ110" i="1"/>
  <c r="CX110" i="1"/>
  <c r="BM110" i="1"/>
  <c r="BL110" i="1"/>
  <c r="BH110" i="1"/>
  <c r="BD110" i="1"/>
  <c r="AX110" i="1"/>
  <c r="AR110" i="1"/>
  <c r="BE110" i="1" s="1"/>
  <c r="AM110" i="1"/>
  <c r="AK110" i="1"/>
  <c r="AL110" i="1" s="1"/>
  <c r="AC110" i="1"/>
  <c r="AB110" i="1"/>
  <c r="AA110" i="1"/>
  <c r="T110" i="1"/>
  <c r="R110" i="1"/>
  <c r="O110" i="1"/>
  <c r="N110" i="1"/>
  <c r="BA110" i="1" s="1"/>
  <c r="M110" i="1"/>
  <c r="L110" i="1"/>
  <c r="DA109" i="1"/>
  <c r="CZ109" i="1"/>
  <c r="CY109" i="1"/>
  <c r="AZ109" i="1" s="1"/>
  <c r="CX109" i="1"/>
  <c r="BN109" i="1"/>
  <c r="BO109" i="1" s="1"/>
  <c r="BM109" i="1"/>
  <c r="BL109" i="1"/>
  <c r="BK109" i="1"/>
  <c r="BJ109" i="1"/>
  <c r="BI109" i="1"/>
  <c r="BH109" i="1"/>
  <c r="BD109" i="1"/>
  <c r="AX109" i="1"/>
  <c r="BB109" i="1" s="1"/>
  <c r="AR109" i="1"/>
  <c r="BE109" i="1" s="1"/>
  <c r="AM109" i="1"/>
  <c r="AK109" i="1" s="1"/>
  <c r="AL109" i="1" s="1"/>
  <c r="AC109" i="1"/>
  <c r="AB109" i="1"/>
  <c r="AA109" i="1" s="1"/>
  <c r="W109" i="1"/>
  <c r="T109" i="1"/>
  <c r="DA108" i="1"/>
  <c r="CZ108" i="1"/>
  <c r="CX108" i="1"/>
  <c r="CY108" i="1" s="1"/>
  <c r="AZ108" i="1" s="1"/>
  <c r="BM108" i="1"/>
  <c r="BL108" i="1"/>
  <c r="BK108" i="1"/>
  <c r="BJ108" i="1"/>
  <c r="BN108" i="1" s="1"/>
  <c r="BO108" i="1" s="1"/>
  <c r="BH108" i="1"/>
  <c r="BI108" i="1" s="1"/>
  <c r="BE108" i="1"/>
  <c r="BD108" i="1"/>
  <c r="BB108" i="1"/>
  <c r="AX108" i="1"/>
  <c r="AR108" i="1"/>
  <c r="AM108" i="1"/>
  <c r="AK108" i="1" s="1"/>
  <c r="AC108" i="1"/>
  <c r="AA108" i="1" s="1"/>
  <c r="AB108" i="1"/>
  <c r="W108" i="1"/>
  <c r="T108" i="1"/>
  <c r="DA107" i="1"/>
  <c r="CZ107" i="1"/>
  <c r="CX107" i="1"/>
  <c r="CY107" i="1" s="1"/>
  <c r="AZ107" i="1" s="1"/>
  <c r="BB107" i="1" s="1"/>
  <c r="BM107" i="1"/>
  <c r="BL107" i="1"/>
  <c r="BJ107" i="1"/>
  <c r="BN107" i="1" s="1"/>
  <c r="BO107" i="1" s="1"/>
  <c r="BH107" i="1"/>
  <c r="BI107" i="1" s="1"/>
  <c r="BD107" i="1"/>
  <c r="AX107" i="1"/>
  <c r="AR107" i="1"/>
  <c r="BE107" i="1" s="1"/>
  <c r="AM107" i="1"/>
  <c r="AK107" i="1"/>
  <c r="O107" i="1" s="1"/>
  <c r="AC107" i="1"/>
  <c r="AB107" i="1"/>
  <c r="AA107" i="1"/>
  <c r="W107" i="1"/>
  <c r="T107" i="1"/>
  <c r="DA106" i="1"/>
  <c r="CZ106" i="1"/>
  <c r="CX106" i="1"/>
  <c r="BM106" i="1"/>
  <c r="BL106" i="1"/>
  <c r="BH106" i="1"/>
  <c r="BD106" i="1"/>
  <c r="AX106" i="1"/>
  <c r="AR106" i="1"/>
  <c r="BE106" i="1" s="1"/>
  <c r="AM106" i="1"/>
  <c r="AK106" i="1" s="1"/>
  <c r="AC106" i="1"/>
  <c r="AB106" i="1"/>
  <c r="AA106" i="1" s="1"/>
  <c r="T106" i="1"/>
  <c r="DA105" i="1"/>
  <c r="CZ105" i="1"/>
  <c r="CY105" i="1"/>
  <c r="AZ105" i="1" s="1"/>
  <c r="CX105" i="1"/>
  <c r="BM105" i="1"/>
  <c r="BL105" i="1"/>
  <c r="BK105" i="1"/>
  <c r="BI105" i="1"/>
  <c r="BH105" i="1"/>
  <c r="BJ105" i="1" s="1"/>
  <c r="BN105" i="1" s="1"/>
  <c r="BO105" i="1" s="1"/>
  <c r="BD105" i="1"/>
  <c r="AX105" i="1"/>
  <c r="BB105" i="1" s="1"/>
  <c r="AR105" i="1"/>
  <c r="BE105" i="1" s="1"/>
  <c r="AM105" i="1"/>
  <c r="AK105" i="1" s="1"/>
  <c r="AL105" i="1" s="1"/>
  <c r="AC105" i="1"/>
  <c r="AB105" i="1"/>
  <c r="AA105" i="1" s="1"/>
  <c r="W105" i="1"/>
  <c r="T105" i="1"/>
  <c r="DA104" i="1"/>
  <c r="CZ104" i="1"/>
  <c r="CX104" i="1"/>
  <c r="CY104" i="1" s="1"/>
  <c r="AZ104" i="1" s="1"/>
  <c r="BM104" i="1"/>
  <c r="BL104" i="1"/>
  <c r="BK104" i="1"/>
  <c r="BJ104" i="1"/>
  <c r="BN104" i="1" s="1"/>
  <c r="BO104" i="1" s="1"/>
  <c r="BH104" i="1"/>
  <c r="BI104" i="1" s="1"/>
  <c r="BE104" i="1"/>
  <c r="BD104" i="1"/>
  <c r="BB104" i="1"/>
  <c r="AX104" i="1"/>
  <c r="AR104" i="1"/>
  <c r="AM104" i="1"/>
  <c r="AK104" i="1" s="1"/>
  <c r="AC104" i="1"/>
  <c r="AA104" i="1" s="1"/>
  <c r="AB104" i="1"/>
  <c r="W104" i="1"/>
  <c r="T104" i="1"/>
  <c r="DA103" i="1"/>
  <c r="CZ103" i="1"/>
  <c r="CX103" i="1"/>
  <c r="BM103" i="1"/>
  <c r="BL103" i="1"/>
  <c r="BJ103" i="1"/>
  <c r="BN103" i="1" s="1"/>
  <c r="BO103" i="1" s="1"/>
  <c r="BH103" i="1"/>
  <c r="BI103" i="1" s="1"/>
  <c r="BD103" i="1"/>
  <c r="AX103" i="1"/>
  <c r="AR103" i="1"/>
  <c r="BE103" i="1" s="1"/>
  <c r="AM103" i="1"/>
  <c r="AK103" i="1"/>
  <c r="O103" i="1" s="1"/>
  <c r="AC103" i="1"/>
  <c r="AB103" i="1"/>
  <c r="AA103" i="1"/>
  <c r="W103" i="1"/>
  <c r="T103" i="1"/>
  <c r="DA102" i="1"/>
  <c r="CZ102" i="1"/>
  <c r="CX102" i="1"/>
  <c r="BM102" i="1"/>
  <c r="BL102" i="1"/>
  <c r="BH102" i="1"/>
  <c r="BD102" i="1"/>
  <c r="AX102" i="1"/>
  <c r="AR102" i="1"/>
  <c r="BE102" i="1" s="1"/>
  <c r="AM102" i="1"/>
  <c r="AK102" i="1" s="1"/>
  <c r="AC102" i="1"/>
  <c r="AB102" i="1"/>
  <c r="AA102" i="1" s="1"/>
  <c r="T102" i="1"/>
  <c r="N102" i="1"/>
  <c r="BA102" i="1" s="1"/>
  <c r="DA101" i="1"/>
  <c r="CZ101" i="1"/>
  <c r="CY101" i="1"/>
  <c r="AZ101" i="1" s="1"/>
  <c r="CX101" i="1"/>
  <c r="BN101" i="1"/>
  <c r="BO101" i="1" s="1"/>
  <c r="BM101" i="1"/>
  <c r="BL101" i="1"/>
  <c r="BK101" i="1"/>
  <c r="BJ101" i="1"/>
  <c r="BI101" i="1"/>
  <c r="BH101" i="1"/>
  <c r="BD101" i="1"/>
  <c r="AX101" i="1"/>
  <c r="BB101" i="1" s="1"/>
  <c r="AR101" i="1"/>
  <c r="BE101" i="1" s="1"/>
  <c r="AM101" i="1"/>
  <c r="AK101" i="1" s="1"/>
  <c r="AL101" i="1"/>
  <c r="AC101" i="1"/>
  <c r="AB101" i="1"/>
  <c r="AA101" i="1" s="1"/>
  <c r="W101" i="1"/>
  <c r="T101" i="1"/>
  <c r="DA100" i="1"/>
  <c r="CZ100" i="1"/>
  <c r="CX100" i="1"/>
  <c r="CY100" i="1" s="1"/>
  <c r="AZ100" i="1" s="1"/>
  <c r="BB100" i="1" s="1"/>
  <c r="BM100" i="1"/>
  <c r="BL100" i="1"/>
  <c r="BH100" i="1"/>
  <c r="BK100" i="1" s="1"/>
  <c r="BE100" i="1"/>
  <c r="BD100" i="1"/>
  <c r="AX100" i="1"/>
  <c r="AR100" i="1"/>
  <c r="AM100" i="1"/>
  <c r="AK100" i="1" s="1"/>
  <c r="AC100" i="1"/>
  <c r="AA100" i="1" s="1"/>
  <c r="AB100" i="1"/>
  <c r="W100" i="1"/>
  <c r="T100" i="1"/>
  <c r="R100" i="1"/>
  <c r="DA99" i="1"/>
  <c r="CZ99" i="1"/>
  <c r="CX99" i="1"/>
  <c r="BM99" i="1"/>
  <c r="BL99" i="1"/>
  <c r="BJ99" i="1"/>
  <c r="BN99" i="1" s="1"/>
  <c r="BO99" i="1" s="1"/>
  <c r="BH99" i="1"/>
  <c r="BI99" i="1" s="1"/>
  <c r="BD99" i="1"/>
  <c r="AX99" i="1"/>
  <c r="AR99" i="1"/>
  <c r="BE99" i="1" s="1"/>
  <c r="AM99" i="1"/>
  <c r="AK99" i="1"/>
  <c r="AC99" i="1"/>
  <c r="AB99" i="1"/>
  <c r="AA99" i="1"/>
  <c r="W99" i="1"/>
  <c r="T99" i="1"/>
  <c r="DA98" i="1"/>
  <c r="CZ98" i="1"/>
  <c r="CX98" i="1"/>
  <c r="CY98" i="1" s="1"/>
  <c r="BM98" i="1"/>
  <c r="BL98" i="1"/>
  <c r="BH98" i="1"/>
  <c r="BI98" i="1" s="1"/>
  <c r="BD98" i="1"/>
  <c r="AZ98" i="1"/>
  <c r="BB98" i="1" s="1"/>
  <c r="AX98" i="1"/>
  <c r="AR98" i="1"/>
  <c r="BE98" i="1" s="1"/>
  <c r="AM98" i="1"/>
  <c r="AK98" i="1"/>
  <c r="N98" i="1" s="1"/>
  <c r="BA98" i="1" s="1"/>
  <c r="BC98" i="1" s="1"/>
  <c r="AC98" i="1"/>
  <c r="AB98" i="1"/>
  <c r="AA98" i="1"/>
  <c r="W98" i="1"/>
  <c r="T98" i="1"/>
  <c r="O98" i="1"/>
  <c r="DA97" i="1"/>
  <c r="CZ97" i="1"/>
  <c r="CX97" i="1"/>
  <c r="BM97" i="1"/>
  <c r="BL97" i="1"/>
  <c r="BH97" i="1"/>
  <c r="BD97" i="1"/>
  <c r="AX97" i="1"/>
  <c r="AR97" i="1"/>
  <c r="BE97" i="1" s="1"/>
  <c r="AM97" i="1"/>
  <c r="AK97" i="1" s="1"/>
  <c r="AC97" i="1"/>
  <c r="AB97" i="1"/>
  <c r="AA97" i="1" s="1"/>
  <c r="T97" i="1"/>
  <c r="DA96" i="1"/>
  <c r="CZ96" i="1"/>
  <c r="CY96" i="1" s="1"/>
  <c r="AZ96" i="1" s="1"/>
  <c r="BB96" i="1" s="1"/>
  <c r="CX96" i="1"/>
  <c r="BN96" i="1"/>
  <c r="BO96" i="1" s="1"/>
  <c r="BM96" i="1"/>
  <c r="BL96" i="1"/>
  <c r="BK96" i="1"/>
  <c r="BJ96" i="1"/>
  <c r="BI96" i="1"/>
  <c r="BH96" i="1"/>
  <c r="BD96" i="1"/>
  <c r="AX96" i="1"/>
  <c r="AR96" i="1"/>
  <c r="BE96" i="1" s="1"/>
  <c r="AM96" i="1"/>
  <c r="AL96" i="1"/>
  <c r="AK96" i="1"/>
  <c r="R96" i="1" s="1"/>
  <c r="AC96" i="1"/>
  <c r="AB96" i="1"/>
  <c r="AA96" i="1" s="1"/>
  <c r="W96" i="1"/>
  <c r="T96" i="1"/>
  <c r="DA95" i="1"/>
  <c r="CZ95" i="1"/>
  <c r="CX95" i="1"/>
  <c r="CY95" i="1" s="1"/>
  <c r="AZ95" i="1" s="1"/>
  <c r="BM95" i="1"/>
  <c r="BL95" i="1"/>
  <c r="BK95" i="1"/>
  <c r="BJ95" i="1"/>
  <c r="BN95" i="1" s="1"/>
  <c r="BO95" i="1" s="1"/>
  <c r="BH95" i="1"/>
  <c r="BI95" i="1" s="1"/>
  <c r="BD95" i="1"/>
  <c r="BB95" i="1"/>
  <c r="AX95" i="1"/>
  <c r="AR95" i="1"/>
  <c r="BE95" i="1" s="1"/>
  <c r="AM95" i="1"/>
  <c r="AK95" i="1" s="1"/>
  <c r="AC95" i="1"/>
  <c r="AB95" i="1"/>
  <c r="AA95" i="1" s="1"/>
  <c r="T95" i="1"/>
  <c r="DA94" i="1"/>
  <c r="CZ94" i="1"/>
  <c r="CY94" i="1" s="1"/>
  <c r="CX94" i="1"/>
  <c r="BM94" i="1"/>
  <c r="BL94" i="1"/>
  <c r="BJ94" i="1"/>
  <c r="BN94" i="1" s="1"/>
  <c r="BO94" i="1" s="1"/>
  <c r="BI94" i="1"/>
  <c r="BH94" i="1"/>
  <c r="BK94" i="1" s="1"/>
  <c r="BD94" i="1"/>
  <c r="AZ94" i="1"/>
  <c r="AX94" i="1"/>
  <c r="AR94" i="1"/>
  <c r="BE94" i="1" s="1"/>
  <c r="AM94" i="1"/>
  <c r="AK94" i="1" s="1"/>
  <c r="AC94" i="1"/>
  <c r="AB94" i="1"/>
  <c r="AA94" i="1" s="1"/>
  <c r="W94" i="1"/>
  <c r="T94" i="1"/>
  <c r="DA93" i="1"/>
  <c r="CZ93" i="1"/>
  <c r="CX93" i="1"/>
  <c r="BM93" i="1"/>
  <c r="BL93" i="1"/>
  <c r="BH93" i="1"/>
  <c r="BD93" i="1"/>
  <c r="AX93" i="1"/>
  <c r="AR93" i="1"/>
  <c r="BE93" i="1" s="1"/>
  <c r="AM93" i="1"/>
  <c r="AK93" i="1" s="1"/>
  <c r="AC93" i="1"/>
  <c r="AB93" i="1"/>
  <c r="AA93" i="1" s="1"/>
  <c r="T93" i="1"/>
  <c r="N93" i="1"/>
  <c r="BA93" i="1" s="1"/>
  <c r="DA92" i="1"/>
  <c r="CZ92" i="1"/>
  <c r="CY92" i="1" s="1"/>
  <c r="AZ92" i="1" s="1"/>
  <c r="BB92" i="1" s="1"/>
  <c r="CX92" i="1"/>
  <c r="BN92" i="1"/>
  <c r="BO92" i="1" s="1"/>
  <c r="BM92" i="1"/>
  <c r="BL92" i="1"/>
  <c r="BK92" i="1"/>
  <c r="BJ92" i="1"/>
  <c r="BI92" i="1"/>
  <c r="BH92" i="1"/>
  <c r="BD92" i="1"/>
  <c r="AX92" i="1"/>
  <c r="AR92" i="1"/>
  <c r="BE92" i="1" s="1"/>
  <c r="AM92" i="1"/>
  <c r="AL92" i="1"/>
  <c r="AK92" i="1"/>
  <c r="R92" i="1" s="1"/>
  <c r="AC92" i="1"/>
  <c r="AB92" i="1"/>
  <c r="AA92" i="1" s="1"/>
  <c r="W92" i="1"/>
  <c r="T92" i="1"/>
  <c r="DA91" i="1"/>
  <c r="W91" i="1" s="1"/>
  <c r="CZ91" i="1"/>
  <c r="CY91" i="1" s="1"/>
  <c r="AZ91" i="1" s="1"/>
  <c r="CX91" i="1"/>
  <c r="BM91" i="1"/>
  <c r="BL91" i="1"/>
  <c r="BK91" i="1"/>
  <c r="BJ91" i="1"/>
  <c r="BN91" i="1" s="1"/>
  <c r="BO91" i="1" s="1"/>
  <c r="BI91" i="1"/>
  <c r="BH91" i="1"/>
  <c r="BD91" i="1"/>
  <c r="BB91" i="1"/>
  <c r="AX91" i="1"/>
  <c r="AR91" i="1"/>
  <c r="BE91" i="1" s="1"/>
  <c r="AM91" i="1"/>
  <c r="AK91" i="1" s="1"/>
  <c r="AC91" i="1"/>
  <c r="AB91" i="1"/>
  <c r="AA91" i="1"/>
  <c r="T91" i="1"/>
  <c r="DA90" i="1"/>
  <c r="CZ90" i="1"/>
  <c r="CY90" i="1" s="1"/>
  <c r="CX90" i="1"/>
  <c r="BM90" i="1"/>
  <c r="BL90" i="1"/>
  <c r="BJ90" i="1"/>
  <c r="BN90" i="1" s="1"/>
  <c r="BO90" i="1" s="1"/>
  <c r="BI90" i="1"/>
  <c r="BH90" i="1"/>
  <c r="BK90" i="1" s="1"/>
  <c r="BD90" i="1"/>
  <c r="AZ90" i="1"/>
  <c r="AX90" i="1"/>
  <c r="AR90" i="1"/>
  <c r="BE90" i="1" s="1"/>
  <c r="AM90" i="1"/>
  <c r="AK90" i="1" s="1"/>
  <c r="AC90" i="1"/>
  <c r="AA90" i="1" s="1"/>
  <c r="AB90" i="1"/>
  <c r="W90" i="1"/>
  <c r="T90" i="1"/>
  <c r="DA89" i="1"/>
  <c r="CZ89" i="1"/>
  <c r="CX89" i="1"/>
  <c r="BM89" i="1"/>
  <c r="BL89" i="1"/>
  <c r="BH89" i="1"/>
  <c r="BD89" i="1"/>
  <c r="AX89" i="1"/>
  <c r="AR89" i="1"/>
  <c r="BE89" i="1" s="1"/>
  <c r="AM89" i="1"/>
  <c r="AK89" i="1" s="1"/>
  <c r="AC89" i="1"/>
  <c r="AB89" i="1"/>
  <c r="AA89" i="1" s="1"/>
  <c r="T89" i="1"/>
  <c r="DA88" i="1"/>
  <c r="CZ88" i="1"/>
  <c r="CY88" i="1" s="1"/>
  <c r="AZ88" i="1" s="1"/>
  <c r="BB88" i="1" s="1"/>
  <c r="CX88" i="1"/>
  <c r="BN88" i="1"/>
  <c r="BO88" i="1" s="1"/>
  <c r="BM88" i="1"/>
  <c r="BL88" i="1"/>
  <c r="BK88" i="1"/>
  <c r="BJ88" i="1"/>
  <c r="BH88" i="1"/>
  <c r="BI88" i="1" s="1"/>
  <c r="BD88" i="1"/>
  <c r="AX88" i="1"/>
  <c r="AR88" i="1"/>
  <c r="BE88" i="1" s="1"/>
  <c r="AM88" i="1"/>
  <c r="AL88" i="1"/>
  <c r="AK88" i="1"/>
  <c r="R88" i="1" s="1"/>
  <c r="AC88" i="1"/>
  <c r="AB88" i="1"/>
  <c r="AA88" i="1" s="1"/>
  <c r="W88" i="1"/>
  <c r="T88" i="1"/>
  <c r="DA87" i="1"/>
  <c r="W87" i="1" s="1"/>
  <c r="CZ87" i="1"/>
  <c r="CY87" i="1" s="1"/>
  <c r="AZ87" i="1" s="1"/>
  <c r="BB87" i="1" s="1"/>
  <c r="CX87" i="1"/>
  <c r="BM87" i="1"/>
  <c r="BL87" i="1"/>
  <c r="BK87" i="1"/>
  <c r="BJ87" i="1"/>
  <c r="BN87" i="1" s="1"/>
  <c r="BO87" i="1" s="1"/>
  <c r="BI87" i="1"/>
  <c r="BH87" i="1"/>
  <c r="BD87" i="1"/>
  <c r="AX87" i="1"/>
  <c r="AR87" i="1"/>
  <c r="BE87" i="1" s="1"/>
  <c r="AM87" i="1"/>
  <c r="AK87" i="1" s="1"/>
  <c r="AC87" i="1"/>
  <c r="AB87" i="1"/>
  <c r="AA87" i="1" s="1"/>
  <c r="T87" i="1"/>
  <c r="DA86" i="1"/>
  <c r="CZ86" i="1"/>
  <c r="CY86" i="1" s="1"/>
  <c r="CX86" i="1"/>
  <c r="BM86" i="1"/>
  <c r="BL86" i="1"/>
  <c r="BJ86" i="1"/>
  <c r="BN86" i="1" s="1"/>
  <c r="BO86" i="1" s="1"/>
  <c r="BI86" i="1"/>
  <c r="BH86" i="1"/>
  <c r="BK86" i="1" s="1"/>
  <c r="BD86" i="1"/>
  <c r="AZ86" i="1"/>
  <c r="AX86" i="1"/>
  <c r="AR86" i="1"/>
  <c r="BE86" i="1" s="1"/>
  <c r="AM86" i="1"/>
  <c r="AK86" i="1" s="1"/>
  <c r="AC86" i="1"/>
  <c r="AB86" i="1"/>
  <c r="AA86" i="1" s="1"/>
  <c r="W86" i="1"/>
  <c r="T86" i="1"/>
  <c r="DA85" i="1"/>
  <c r="CZ85" i="1"/>
  <c r="CX85" i="1"/>
  <c r="BM85" i="1"/>
  <c r="BL85" i="1"/>
  <c r="BH85" i="1"/>
  <c r="BD85" i="1"/>
  <c r="AX85" i="1"/>
  <c r="AR85" i="1"/>
  <c r="BE85" i="1" s="1"/>
  <c r="AM85" i="1"/>
  <c r="AK85" i="1" s="1"/>
  <c r="N85" i="1" s="1"/>
  <c r="BA85" i="1" s="1"/>
  <c r="AC85" i="1"/>
  <c r="AB85" i="1"/>
  <c r="AA85" i="1" s="1"/>
  <c r="T85" i="1"/>
  <c r="DA84" i="1"/>
  <c r="CZ84" i="1"/>
  <c r="CY84" i="1" s="1"/>
  <c r="AZ84" i="1" s="1"/>
  <c r="BB84" i="1" s="1"/>
  <c r="CX84" i="1"/>
  <c r="BN84" i="1"/>
  <c r="BO84" i="1" s="1"/>
  <c r="BM84" i="1"/>
  <c r="BL84" i="1"/>
  <c r="BK84" i="1"/>
  <c r="BJ84" i="1"/>
  <c r="BH84" i="1"/>
  <c r="BI84" i="1" s="1"/>
  <c r="BD84" i="1"/>
  <c r="AX84" i="1"/>
  <c r="AR84" i="1"/>
  <c r="BE84" i="1" s="1"/>
  <c r="AM84" i="1"/>
  <c r="AL84" i="1"/>
  <c r="AK84" i="1"/>
  <c r="R84" i="1" s="1"/>
  <c r="AC84" i="1"/>
  <c r="AB84" i="1"/>
  <c r="AA84" i="1" s="1"/>
  <c r="W84" i="1"/>
  <c r="T84" i="1"/>
  <c r="DA83" i="1"/>
  <c r="W83" i="1" s="1"/>
  <c r="CZ83" i="1"/>
  <c r="CX83" i="1"/>
  <c r="CY83" i="1" s="1"/>
  <c r="AZ83" i="1" s="1"/>
  <c r="BM83" i="1"/>
  <c r="BL83" i="1"/>
  <c r="BK83" i="1"/>
  <c r="BJ83" i="1"/>
  <c r="BN83" i="1" s="1"/>
  <c r="BO83" i="1" s="1"/>
  <c r="BI83" i="1"/>
  <c r="BH83" i="1"/>
  <c r="BD83" i="1"/>
  <c r="BB83" i="1"/>
  <c r="AX83" i="1"/>
  <c r="AR83" i="1"/>
  <c r="BE83" i="1" s="1"/>
  <c r="AM83" i="1"/>
  <c r="AK83" i="1" s="1"/>
  <c r="R83" i="1" s="1"/>
  <c r="AC83" i="1"/>
  <c r="AB83" i="1"/>
  <c r="AA83" i="1" s="1"/>
  <c r="T83" i="1"/>
  <c r="DA82" i="1"/>
  <c r="CZ82" i="1"/>
  <c r="CX82" i="1"/>
  <c r="BM82" i="1"/>
  <c r="BL82" i="1"/>
  <c r="BJ82" i="1"/>
  <c r="BN82" i="1" s="1"/>
  <c r="BO82" i="1" s="1"/>
  <c r="BH82" i="1"/>
  <c r="BI82" i="1" s="1"/>
  <c r="BD82" i="1"/>
  <c r="AX82" i="1"/>
  <c r="AR82" i="1"/>
  <c r="BE82" i="1" s="1"/>
  <c r="AM82" i="1"/>
  <c r="AK82" i="1" s="1"/>
  <c r="AC82" i="1"/>
  <c r="AB82" i="1"/>
  <c r="AA82" i="1" s="1"/>
  <c r="W82" i="1"/>
  <c r="T82" i="1"/>
  <c r="DA81" i="1"/>
  <c r="CZ81" i="1"/>
  <c r="CX81" i="1"/>
  <c r="BM81" i="1"/>
  <c r="BL81" i="1"/>
  <c r="BH81" i="1"/>
  <c r="BD81" i="1"/>
  <c r="AX81" i="1"/>
  <c r="AR81" i="1"/>
  <c r="BE81" i="1" s="1"/>
  <c r="AM81" i="1"/>
  <c r="AK81" i="1" s="1"/>
  <c r="AL81" i="1"/>
  <c r="AC81" i="1"/>
  <c r="AB81" i="1"/>
  <c r="AA81" i="1" s="1"/>
  <c r="T81" i="1"/>
  <c r="N81" i="1"/>
  <c r="BA81" i="1" s="1"/>
  <c r="M81" i="1"/>
  <c r="L81" i="1" s="1"/>
  <c r="DA80" i="1"/>
  <c r="CZ80" i="1"/>
  <c r="CY80" i="1"/>
  <c r="AZ80" i="1" s="1"/>
  <c r="CX80" i="1"/>
  <c r="BM80" i="1"/>
  <c r="BL80" i="1"/>
  <c r="BI80" i="1"/>
  <c r="BH80" i="1"/>
  <c r="BK80" i="1" s="1"/>
  <c r="BD80" i="1"/>
  <c r="AX80" i="1"/>
  <c r="AR80" i="1"/>
  <c r="BE80" i="1" s="1"/>
  <c r="AM80" i="1"/>
  <c r="AL80" i="1"/>
  <c r="AK80" i="1"/>
  <c r="M80" i="1" s="1"/>
  <c r="L80" i="1" s="1"/>
  <c r="AC80" i="1"/>
  <c r="AB80" i="1"/>
  <c r="AA80" i="1" s="1"/>
  <c r="W80" i="1"/>
  <c r="T80" i="1"/>
  <c r="R80" i="1"/>
  <c r="O80" i="1"/>
  <c r="N80" i="1"/>
  <c r="BA80" i="1" s="1"/>
  <c r="BC80" i="1" s="1"/>
  <c r="DA79" i="1"/>
  <c r="W79" i="1" s="1"/>
  <c r="CZ79" i="1"/>
  <c r="CY79" i="1" s="1"/>
  <c r="AZ79" i="1" s="1"/>
  <c r="BB79" i="1" s="1"/>
  <c r="CX79" i="1"/>
  <c r="BM79" i="1"/>
  <c r="BL79" i="1"/>
  <c r="BK79" i="1"/>
  <c r="BJ79" i="1"/>
  <c r="BN79" i="1" s="1"/>
  <c r="BO79" i="1" s="1"/>
  <c r="BI79" i="1"/>
  <c r="BH79" i="1"/>
  <c r="BE79" i="1"/>
  <c r="BD79" i="1"/>
  <c r="AX79" i="1"/>
  <c r="AR79" i="1"/>
  <c r="AM79" i="1"/>
  <c r="AK79" i="1" s="1"/>
  <c r="AC79" i="1"/>
  <c r="AB79" i="1"/>
  <c r="T79" i="1"/>
  <c r="DA78" i="1"/>
  <c r="CZ78" i="1"/>
  <c r="CX78" i="1"/>
  <c r="CY78" i="1" s="1"/>
  <c r="AZ78" i="1" s="1"/>
  <c r="BB78" i="1" s="1"/>
  <c r="BM78" i="1"/>
  <c r="BL78" i="1"/>
  <c r="BH78" i="1"/>
  <c r="BK78" i="1" s="1"/>
  <c r="BD78" i="1"/>
  <c r="AX78" i="1"/>
  <c r="AR78" i="1"/>
  <c r="BE78" i="1" s="1"/>
  <c r="AM78" i="1"/>
  <c r="AK78" i="1"/>
  <c r="AC78" i="1"/>
  <c r="AB78" i="1"/>
  <c r="AA78" i="1"/>
  <c r="T78" i="1"/>
  <c r="DA77" i="1"/>
  <c r="CZ77" i="1"/>
  <c r="CX77" i="1"/>
  <c r="CY77" i="1" s="1"/>
  <c r="AZ77" i="1" s="1"/>
  <c r="BM77" i="1"/>
  <c r="BL77" i="1"/>
  <c r="BK77" i="1"/>
  <c r="BJ77" i="1"/>
  <c r="BN77" i="1" s="1"/>
  <c r="BO77" i="1" s="1"/>
  <c r="BH77" i="1"/>
  <c r="BI77" i="1" s="1"/>
  <c r="BD77" i="1"/>
  <c r="AX77" i="1"/>
  <c r="AR77" i="1"/>
  <c r="BE77" i="1" s="1"/>
  <c r="AM77" i="1"/>
  <c r="AK77" i="1" s="1"/>
  <c r="AC77" i="1"/>
  <c r="AB77" i="1"/>
  <c r="AA77" i="1" s="1"/>
  <c r="T77" i="1"/>
  <c r="DA76" i="1"/>
  <c r="CZ76" i="1"/>
  <c r="CY76" i="1"/>
  <c r="AZ76" i="1" s="1"/>
  <c r="CX76" i="1"/>
  <c r="BM76" i="1"/>
  <c r="BL76" i="1"/>
  <c r="BI76" i="1"/>
  <c r="BH76" i="1"/>
  <c r="BK76" i="1" s="1"/>
  <c r="BD76" i="1"/>
  <c r="AX76" i="1"/>
  <c r="AR76" i="1"/>
  <c r="BE76" i="1" s="1"/>
  <c r="AM76" i="1"/>
  <c r="AL76" i="1"/>
  <c r="AK76" i="1"/>
  <c r="M76" i="1" s="1"/>
  <c r="L76" i="1" s="1"/>
  <c r="AE76" i="1" s="1"/>
  <c r="AC76" i="1"/>
  <c r="AB76" i="1"/>
  <c r="AA76" i="1" s="1"/>
  <c r="W76" i="1"/>
  <c r="T76" i="1"/>
  <c r="R76" i="1"/>
  <c r="O76" i="1"/>
  <c r="N76" i="1"/>
  <c r="BA76" i="1" s="1"/>
  <c r="DA75" i="1"/>
  <c r="W75" i="1" s="1"/>
  <c r="CZ75" i="1"/>
  <c r="CX75" i="1"/>
  <c r="CY75" i="1" s="1"/>
  <c r="AZ75" i="1" s="1"/>
  <c r="BB75" i="1" s="1"/>
  <c r="BM75" i="1"/>
  <c r="BL75" i="1"/>
  <c r="BK75" i="1"/>
  <c r="BJ75" i="1"/>
  <c r="BN75" i="1" s="1"/>
  <c r="BO75" i="1" s="1"/>
  <c r="BH75" i="1"/>
  <c r="BI75" i="1" s="1"/>
  <c r="BE75" i="1"/>
  <c r="BD75" i="1"/>
  <c r="AX75" i="1"/>
  <c r="AR75" i="1"/>
  <c r="AM75" i="1"/>
  <c r="AK75" i="1" s="1"/>
  <c r="AC75" i="1"/>
  <c r="AB75" i="1"/>
  <c r="AA75" i="1" s="1"/>
  <c r="T75" i="1"/>
  <c r="M75" i="1"/>
  <c r="L75" i="1" s="1"/>
  <c r="AE75" i="1" s="1"/>
  <c r="DA74" i="1"/>
  <c r="CZ74" i="1"/>
  <c r="CX74" i="1"/>
  <c r="CY74" i="1" s="1"/>
  <c r="AZ74" i="1" s="1"/>
  <c r="BB74" i="1" s="1"/>
  <c r="BM74" i="1"/>
  <c r="BL74" i="1"/>
  <c r="BH74" i="1"/>
  <c r="BK74" i="1" s="1"/>
  <c r="BD74" i="1"/>
  <c r="AX74" i="1"/>
  <c r="AR74" i="1"/>
  <c r="BE74" i="1" s="1"/>
  <c r="AM74" i="1"/>
  <c r="AK74" i="1"/>
  <c r="AC74" i="1"/>
  <c r="AB74" i="1"/>
  <c r="AA74" i="1"/>
  <c r="T74" i="1"/>
  <c r="DA73" i="1"/>
  <c r="CZ73" i="1"/>
  <c r="CX73" i="1"/>
  <c r="CY73" i="1" s="1"/>
  <c r="AZ73" i="1" s="1"/>
  <c r="BM73" i="1"/>
  <c r="BL73" i="1"/>
  <c r="BK73" i="1"/>
  <c r="BJ73" i="1"/>
  <c r="BN73" i="1" s="1"/>
  <c r="BO73" i="1" s="1"/>
  <c r="BH73" i="1"/>
  <c r="BI73" i="1" s="1"/>
  <c r="BD73" i="1"/>
  <c r="AX73" i="1"/>
  <c r="BB73" i="1" s="1"/>
  <c r="AR73" i="1"/>
  <c r="BE73" i="1" s="1"/>
  <c r="AM73" i="1"/>
  <c r="AK73" i="1" s="1"/>
  <c r="AC73" i="1"/>
  <c r="AB73" i="1"/>
  <c r="AA73" i="1" s="1"/>
  <c r="T73" i="1"/>
  <c r="DA72" i="1"/>
  <c r="CZ72" i="1"/>
  <c r="CY72" i="1"/>
  <c r="AZ72" i="1" s="1"/>
  <c r="CX72" i="1"/>
  <c r="BM72" i="1"/>
  <c r="BL72" i="1"/>
  <c r="BI72" i="1"/>
  <c r="BH72" i="1"/>
  <c r="BK72" i="1" s="1"/>
  <c r="BD72" i="1"/>
  <c r="AX72" i="1"/>
  <c r="AR72" i="1"/>
  <c r="BE72" i="1" s="1"/>
  <c r="AM72" i="1"/>
  <c r="AL72" i="1"/>
  <c r="AK72" i="1"/>
  <c r="M72" i="1" s="1"/>
  <c r="L72" i="1" s="1"/>
  <c r="AC72" i="1"/>
  <c r="AB72" i="1"/>
  <c r="AA72" i="1" s="1"/>
  <c r="W72" i="1"/>
  <c r="T72" i="1"/>
  <c r="R72" i="1"/>
  <c r="O72" i="1"/>
  <c r="N72" i="1"/>
  <c r="BA72" i="1" s="1"/>
  <c r="BC72" i="1" s="1"/>
  <c r="DA71" i="1"/>
  <c r="W71" i="1" s="1"/>
  <c r="CZ71" i="1"/>
  <c r="CX71" i="1"/>
  <c r="CY71" i="1" s="1"/>
  <c r="AZ71" i="1" s="1"/>
  <c r="BB71" i="1" s="1"/>
  <c r="BM71" i="1"/>
  <c r="BL71" i="1"/>
  <c r="BK71" i="1"/>
  <c r="BJ71" i="1"/>
  <c r="BN71" i="1" s="1"/>
  <c r="BO71" i="1" s="1"/>
  <c r="BH71" i="1"/>
  <c r="BI71" i="1" s="1"/>
  <c r="BE71" i="1"/>
  <c r="BD71" i="1"/>
  <c r="AX71" i="1"/>
  <c r="AR71" i="1"/>
  <c r="AM71" i="1"/>
  <c r="AK71" i="1" s="1"/>
  <c r="AC71" i="1"/>
  <c r="AB71" i="1"/>
  <c r="AA71" i="1" s="1"/>
  <c r="T71" i="1"/>
  <c r="M71" i="1"/>
  <c r="L71" i="1" s="1"/>
  <c r="AE71" i="1" s="1"/>
  <c r="DA70" i="1"/>
  <c r="CZ70" i="1"/>
  <c r="CX70" i="1"/>
  <c r="CY70" i="1" s="1"/>
  <c r="AZ70" i="1" s="1"/>
  <c r="BB70" i="1" s="1"/>
  <c r="BM70" i="1"/>
  <c r="BL70" i="1"/>
  <c r="BH70" i="1"/>
  <c r="BK70" i="1" s="1"/>
  <c r="BD70" i="1"/>
  <c r="AX70" i="1"/>
  <c r="AR70" i="1"/>
  <c r="BE70" i="1" s="1"/>
  <c r="AM70" i="1"/>
  <c r="AK70" i="1"/>
  <c r="AC70" i="1"/>
  <c r="AB70" i="1"/>
  <c r="AA70" i="1"/>
  <c r="T70" i="1"/>
  <c r="R70" i="1"/>
  <c r="DA69" i="1"/>
  <c r="CZ69" i="1"/>
  <c r="CX69" i="1"/>
  <c r="BM69" i="1"/>
  <c r="BL69" i="1"/>
  <c r="BK69" i="1"/>
  <c r="BH69" i="1"/>
  <c r="BI69" i="1" s="1"/>
  <c r="BD69" i="1"/>
  <c r="AX69" i="1"/>
  <c r="AR69" i="1"/>
  <c r="BE69" i="1" s="1"/>
  <c r="AM69" i="1"/>
  <c r="AK69" i="1" s="1"/>
  <c r="AC69" i="1"/>
  <c r="AB69" i="1"/>
  <c r="AA69" i="1" s="1"/>
  <c r="T69" i="1"/>
  <c r="DA68" i="1"/>
  <c r="CZ68" i="1"/>
  <c r="CX68" i="1"/>
  <c r="CY68" i="1" s="1"/>
  <c r="AZ68" i="1" s="1"/>
  <c r="BM68" i="1"/>
  <c r="BL68" i="1"/>
  <c r="BI68" i="1"/>
  <c r="BH68" i="1"/>
  <c r="BD68" i="1"/>
  <c r="AX68" i="1"/>
  <c r="AR68" i="1"/>
  <c r="BE68" i="1" s="1"/>
  <c r="AM68" i="1"/>
  <c r="AL68" i="1"/>
  <c r="AK68" i="1"/>
  <c r="M68" i="1" s="1"/>
  <c r="AC68" i="1"/>
  <c r="AB68" i="1"/>
  <c r="AA68" i="1" s="1"/>
  <c r="T68" i="1"/>
  <c r="R68" i="1"/>
  <c r="O68" i="1"/>
  <c r="N68" i="1"/>
  <c r="BA68" i="1" s="1"/>
  <c r="L68" i="1"/>
  <c r="DA67" i="1"/>
  <c r="W67" i="1" s="1"/>
  <c r="CZ67" i="1"/>
  <c r="CX67" i="1"/>
  <c r="CY67" i="1" s="1"/>
  <c r="AZ67" i="1" s="1"/>
  <c r="BB67" i="1" s="1"/>
  <c r="BN67" i="1"/>
  <c r="BO67" i="1" s="1"/>
  <c r="BM67" i="1"/>
  <c r="BL67" i="1"/>
  <c r="BK67" i="1"/>
  <c r="BJ67" i="1"/>
  <c r="BH67" i="1"/>
  <c r="BI67" i="1" s="1"/>
  <c r="BE67" i="1"/>
  <c r="BD67" i="1"/>
  <c r="AX67" i="1"/>
  <c r="AR67" i="1"/>
  <c r="AM67" i="1"/>
  <c r="AK67" i="1" s="1"/>
  <c r="AL67" i="1"/>
  <c r="AC67" i="1"/>
  <c r="AB67" i="1"/>
  <c r="AA67" i="1" s="1"/>
  <c r="T67" i="1"/>
  <c r="R67" i="1"/>
  <c r="DA66" i="1"/>
  <c r="CZ66" i="1"/>
  <c r="CX66" i="1"/>
  <c r="CY66" i="1" s="1"/>
  <c r="AZ66" i="1" s="1"/>
  <c r="BM66" i="1"/>
  <c r="BL66" i="1"/>
  <c r="BH66" i="1"/>
  <c r="BD66" i="1"/>
  <c r="AX66" i="1"/>
  <c r="BB66" i="1" s="1"/>
  <c r="AR66" i="1"/>
  <c r="BE66" i="1" s="1"/>
  <c r="AM66" i="1"/>
  <c r="AK66" i="1"/>
  <c r="AC66" i="1"/>
  <c r="AB66" i="1"/>
  <c r="AA66" i="1"/>
  <c r="W66" i="1"/>
  <c r="T66" i="1"/>
  <c r="O66" i="1"/>
  <c r="DA65" i="1"/>
  <c r="CZ65" i="1"/>
  <c r="CX65" i="1"/>
  <c r="BM65" i="1"/>
  <c r="BL65" i="1"/>
  <c r="BH65" i="1"/>
  <c r="BI65" i="1" s="1"/>
  <c r="BE65" i="1"/>
  <c r="BD65" i="1"/>
  <c r="AX65" i="1"/>
  <c r="AR65" i="1"/>
  <c r="AM65" i="1"/>
  <c r="AK65" i="1" s="1"/>
  <c r="AL65" i="1" s="1"/>
  <c r="AC65" i="1"/>
  <c r="AB65" i="1"/>
  <c r="AA65" i="1" s="1"/>
  <c r="T65" i="1"/>
  <c r="N65" i="1"/>
  <c r="BA65" i="1" s="1"/>
  <c r="DA64" i="1"/>
  <c r="CZ64" i="1"/>
  <c r="CY64" i="1"/>
  <c r="AZ64" i="1" s="1"/>
  <c r="CX64" i="1"/>
  <c r="BM64" i="1"/>
  <c r="BL64" i="1"/>
  <c r="BJ64" i="1"/>
  <c r="BN64" i="1" s="1"/>
  <c r="BO64" i="1" s="1"/>
  <c r="BI64" i="1"/>
  <c r="BH64" i="1"/>
  <c r="BK64" i="1" s="1"/>
  <c r="BE64" i="1"/>
  <c r="BD64" i="1"/>
  <c r="BB64" i="1"/>
  <c r="AX64" i="1"/>
  <c r="AR64" i="1"/>
  <c r="AM64" i="1"/>
  <c r="AK64" i="1" s="1"/>
  <c r="AC64" i="1"/>
  <c r="AB64" i="1"/>
  <c r="W64" i="1"/>
  <c r="T64" i="1"/>
  <c r="R64" i="1"/>
  <c r="M64" i="1"/>
  <c r="L64" i="1" s="1"/>
  <c r="DA63" i="1"/>
  <c r="CZ63" i="1"/>
  <c r="CX63" i="1"/>
  <c r="CY63" i="1" s="1"/>
  <c r="AZ63" i="1" s="1"/>
  <c r="BB63" i="1" s="1"/>
  <c r="BM63" i="1"/>
  <c r="BL63" i="1"/>
  <c r="BJ63" i="1"/>
  <c r="BN63" i="1" s="1"/>
  <c r="BO63" i="1" s="1"/>
  <c r="BH63" i="1"/>
  <c r="BI63" i="1" s="1"/>
  <c r="BD63" i="1"/>
  <c r="AX63" i="1"/>
  <c r="AR63" i="1"/>
  <c r="BE63" i="1" s="1"/>
  <c r="AM63" i="1"/>
  <c r="AK63" i="1"/>
  <c r="AC63" i="1"/>
  <c r="AB63" i="1"/>
  <c r="AA63" i="1"/>
  <c r="T63" i="1"/>
  <c r="DA62" i="1"/>
  <c r="CZ62" i="1"/>
  <c r="CX62" i="1"/>
  <c r="BM62" i="1"/>
  <c r="BL62" i="1"/>
  <c r="BH62" i="1"/>
  <c r="BD62" i="1"/>
  <c r="AX62" i="1"/>
  <c r="AR62" i="1"/>
  <c r="BE62" i="1" s="1"/>
  <c r="AM62" i="1"/>
  <c r="AK62" i="1"/>
  <c r="M62" i="1" s="1"/>
  <c r="L62" i="1" s="1"/>
  <c r="AC62" i="1"/>
  <c r="AB62" i="1"/>
  <c r="AA62" i="1"/>
  <c r="T62" i="1"/>
  <c r="N62" i="1"/>
  <c r="BA62" i="1" s="1"/>
  <c r="DA61" i="1"/>
  <c r="CZ61" i="1"/>
  <c r="CY61" i="1"/>
  <c r="AZ61" i="1" s="1"/>
  <c r="CX61" i="1"/>
  <c r="BM61" i="1"/>
  <c r="BL61" i="1"/>
  <c r="BK61" i="1"/>
  <c r="BI61" i="1"/>
  <c r="BH61" i="1"/>
  <c r="BJ61" i="1" s="1"/>
  <c r="BN61" i="1" s="1"/>
  <c r="BO61" i="1" s="1"/>
  <c r="BD61" i="1"/>
  <c r="AX61" i="1"/>
  <c r="AR61" i="1"/>
  <c r="BE61" i="1" s="1"/>
  <c r="AM61" i="1"/>
  <c r="AK61" i="1" s="1"/>
  <c r="AL61" i="1" s="1"/>
  <c r="AC61" i="1"/>
  <c r="AB61" i="1"/>
  <c r="AA61" i="1" s="1"/>
  <c r="W61" i="1"/>
  <c r="T61" i="1"/>
  <c r="DA60" i="1"/>
  <c r="CZ60" i="1"/>
  <c r="CY60" i="1" s="1"/>
  <c r="AZ60" i="1" s="1"/>
  <c r="BB60" i="1" s="1"/>
  <c r="CX60" i="1"/>
  <c r="BO60" i="1"/>
  <c r="BM60" i="1"/>
  <c r="BL60" i="1"/>
  <c r="BJ60" i="1"/>
  <c r="BN60" i="1" s="1"/>
  <c r="BI60" i="1"/>
  <c r="BH60" i="1"/>
  <c r="BK60" i="1" s="1"/>
  <c r="BE60" i="1"/>
  <c r="BD60" i="1"/>
  <c r="AX60" i="1"/>
  <c r="AR60" i="1"/>
  <c r="AM60" i="1"/>
  <c r="AK60" i="1" s="1"/>
  <c r="AC60" i="1"/>
  <c r="AB60" i="1"/>
  <c r="AA60" i="1" s="1"/>
  <c r="W60" i="1"/>
  <c r="T60" i="1"/>
  <c r="R60" i="1"/>
  <c r="M60" i="1"/>
  <c r="L60" i="1" s="1"/>
  <c r="DA59" i="1"/>
  <c r="CZ59" i="1"/>
  <c r="CX59" i="1"/>
  <c r="BM59" i="1"/>
  <c r="BL59" i="1"/>
  <c r="BJ59" i="1"/>
  <c r="BN59" i="1" s="1"/>
  <c r="BO59" i="1" s="1"/>
  <c r="BH59" i="1"/>
  <c r="BI59" i="1" s="1"/>
  <c r="BD59" i="1"/>
  <c r="AX59" i="1"/>
  <c r="AR59" i="1"/>
  <c r="BE59" i="1" s="1"/>
  <c r="AM59" i="1"/>
  <c r="AK59" i="1"/>
  <c r="AC59" i="1"/>
  <c r="AB59" i="1"/>
  <c r="AA59" i="1"/>
  <c r="T59" i="1"/>
  <c r="DA58" i="1"/>
  <c r="CZ58" i="1"/>
  <c r="CX58" i="1"/>
  <c r="BM58" i="1"/>
  <c r="BL58" i="1"/>
  <c r="BH58" i="1"/>
  <c r="BD58" i="1"/>
  <c r="AX58" i="1"/>
  <c r="AR58" i="1"/>
  <c r="BE58" i="1" s="1"/>
  <c r="AM58" i="1"/>
  <c r="AK58" i="1"/>
  <c r="M58" i="1" s="1"/>
  <c r="L58" i="1" s="1"/>
  <c r="AC58" i="1"/>
  <c r="AB58" i="1"/>
  <c r="AA58" i="1"/>
  <c r="T58" i="1"/>
  <c r="N58" i="1"/>
  <c r="BA58" i="1" s="1"/>
  <c r="DA57" i="1"/>
  <c r="CZ57" i="1"/>
  <c r="CY57" i="1"/>
  <c r="AZ57" i="1" s="1"/>
  <c r="CX57" i="1"/>
  <c r="BN57" i="1"/>
  <c r="BO57" i="1" s="1"/>
  <c r="BM57" i="1"/>
  <c r="BL57" i="1"/>
  <c r="BK57" i="1"/>
  <c r="BI57" i="1"/>
  <c r="BH57" i="1"/>
  <c r="BJ57" i="1" s="1"/>
  <c r="BD57" i="1"/>
  <c r="AX57" i="1"/>
  <c r="BB57" i="1" s="1"/>
  <c r="AR57" i="1"/>
  <c r="BE57" i="1" s="1"/>
  <c r="AM57" i="1"/>
  <c r="AK57" i="1" s="1"/>
  <c r="AL57" i="1"/>
  <c r="AC57" i="1"/>
  <c r="AB57" i="1"/>
  <c r="AA57" i="1" s="1"/>
  <c r="W57" i="1"/>
  <c r="T57" i="1"/>
  <c r="O57" i="1"/>
  <c r="DA56" i="1"/>
  <c r="CZ56" i="1"/>
  <c r="CY56" i="1" s="1"/>
  <c r="AZ56" i="1" s="1"/>
  <c r="BB56" i="1" s="1"/>
  <c r="CX56" i="1"/>
  <c r="BM56" i="1"/>
  <c r="BL56" i="1"/>
  <c r="BJ56" i="1"/>
  <c r="BN56" i="1" s="1"/>
  <c r="BO56" i="1" s="1"/>
  <c r="BI56" i="1"/>
  <c r="BH56" i="1"/>
  <c r="BK56" i="1" s="1"/>
  <c r="BE56" i="1"/>
  <c r="BD56" i="1"/>
  <c r="AX56" i="1"/>
  <c r="AR56" i="1"/>
  <c r="AM56" i="1"/>
  <c r="AK56" i="1" s="1"/>
  <c r="M56" i="1" s="1"/>
  <c r="L56" i="1" s="1"/>
  <c r="AC56" i="1"/>
  <c r="AB56" i="1"/>
  <c r="AA56" i="1" s="1"/>
  <c r="W56" i="1"/>
  <c r="T56" i="1"/>
  <c r="DA55" i="1"/>
  <c r="CZ55" i="1"/>
  <c r="CX55" i="1"/>
  <c r="BM55" i="1"/>
  <c r="BL55" i="1"/>
  <c r="BJ55" i="1"/>
  <c r="BN55" i="1" s="1"/>
  <c r="BO55" i="1" s="1"/>
  <c r="BH55" i="1"/>
  <c r="BI55" i="1" s="1"/>
  <c r="BD55" i="1"/>
  <c r="AX55" i="1"/>
  <c r="AR55" i="1"/>
  <c r="BE55" i="1" s="1"/>
  <c r="AM55" i="1"/>
  <c r="AK55" i="1"/>
  <c r="AC55" i="1"/>
  <c r="AB55" i="1"/>
  <c r="AA55" i="1"/>
  <c r="T55" i="1"/>
  <c r="DA54" i="1"/>
  <c r="CZ54" i="1"/>
  <c r="CX54" i="1"/>
  <c r="BM54" i="1"/>
  <c r="BL54" i="1"/>
  <c r="BH54" i="1"/>
  <c r="BD54" i="1"/>
  <c r="BA54" i="1"/>
  <c r="AX54" i="1"/>
  <c r="AR54" i="1"/>
  <c r="BE54" i="1" s="1"/>
  <c r="AM54" i="1"/>
  <c r="AL54" i="1"/>
  <c r="AK54" i="1"/>
  <c r="M54" i="1" s="1"/>
  <c r="L54" i="1" s="1"/>
  <c r="AC54" i="1"/>
  <c r="AB54" i="1"/>
  <c r="AA54" i="1" s="1"/>
  <c r="T54" i="1"/>
  <c r="N54" i="1"/>
  <c r="DA53" i="1"/>
  <c r="CZ53" i="1"/>
  <c r="CY53" i="1"/>
  <c r="AZ53" i="1" s="1"/>
  <c r="CX53" i="1"/>
  <c r="BM53" i="1"/>
  <c r="BL53" i="1"/>
  <c r="BK53" i="1"/>
  <c r="BI53" i="1"/>
  <c r="BH53" i="1"/>
  <c r="BJ53" i="1" s="1"/>
  <c r="BN53" i="1" s="1"/>
  <c r="BO53" i="1" s="1"/>
  <c r="BD53" i="1"/>
  <c r="BA53" i="1"/>
  <c r="BC53" i="1" s="1"/>
  <c r="AX53" i="1"/>
  <c r="BB53" i="1" s="1"/>
  <c r="AR53" i="1"/>
  <c r="BE53" i="1" s="1"/>
  <c r="AM53" i="1"/>
  <c r="AL53" i="1"/>
  <c r="AK53" i="1"/>
  <c r="M53" i="1" s="1"/>
  <c r="AE53" i="1"/>
  <c r="AC53" i="1"/>
  <c r="AB53" i="1"/>
  <c r="AA53" i="1" s="1"/>
  <c r="W53" i="1"/>
  <c r="T53" i="1"/>
  <c r="R53" i="1"/>
  <c r="O53" i="1"/>
  <c r="N53" i="1"/>
  <c r="L53" i="1"/>
  <c r="DA52" i="1"/>
  <c r="CZ52" i="1"/>
  <c r="CY52" i="1" s="1"/>
  <c r="AZ52" i="1" s="1"/>
  <c r="BB52" i="1" s="1"/>
  <c r="CX52" i="1"/>
  <c r="BM52" i="1"/>
  <c r="BL52" i="1"/>
  <c r="BK52" i="1"/>
  <c r="BJ52" i="1"/>
  <c r="BN52" i="1" s="1"/>
  <c r="BO52" i="1" s="1"/>
  <c r="BI52" i="1"/>
  <c r="BH52" i="1"/>
  <c r="BE52" i="1"/>
  <c r="BD52" i="1"/>
  <c r="AX52" i="1"/>
  <c r="AR52" i="1"/>
  <c r="AM52" i="1"/>
  <c r="AK52" i="1" s="1"/>
  <c r="R52" i="1" s="1"/>
  <c r="AC52" i="1"/>
  <c r="AB52" i="1"/>
  <c r="AA52" i="1" s="1"/>
  <c r="W52" i="1"/>
  <c r="T52" i="1"/>
  <c r="DA51" i="1"/>
  <c r="CZ51" i="1"/>
  <c r="CX51" i="1"/>
  <c r="BM51" i="1"/>
  <c r="BL51" i="1"/>
  <c r="BJ51" i="1"/>
  <c r="BN51" i="1" s="1"/>
  <c r="BO51" i="1" s="1"/>
  <c r="BH51" i="1"/>
  <c r="BI51" i="1" s="1"/>
  <c r="BD51" i="1"/>
  <c r="AX51" i="1"/>
  <c r="AR51" i="1"/>
  <c r="BE51" i="1" s="1"/>
  <c r="AM51" i="1"/>
  <c r="AK51" i="1"/>
  <c r="AC51" i="1"/>
  <c r="AB51" i="1"/>
  <c r="AA51" i="1"/>
  <c r="T51" i="1"/>
  <c r="DA50" i="1"/>
  <c r="CZ50" i="1"/>
  <c r="CX50" i="1"/>
  <c r="BM50" i="1"/>
  <c r="BL50" i="1"/>
  <c r="BH50" i="1"/>
  <c r="BD50" i="1"/>
  <c r="BA50" i="1"/>
  <c r="AX50" i="1"/>
  <c r="AR50" i="1"/>
  <c r="BE50" i="1" s="1"/>
  <c r="AM50" i="1"/>
  <c r="AL50" i="1"/>
  <c r="AK50" i="1"/>
  <c r="M50" i="1" s="1"/>
  <c r="L50" i="1" s="1"/>
  <c r="AC50" i="1"/>
  <c r="AB50" i="1"/>
  <c r="AA50" i="1" s="1"/>
  <c r="T50" i="1"/>
  <c r="N50" i="1"/>
  <c r="DA49" i="1"/>
  <c r="CZ49" i="1"/>
  <c r="CY49" i="1"/>
  <c r="AZ49" i="1" s="1"/>
  <c r="CX49" i="1"/>
  <c r="BM49" i="1"/>
  <c r="BL49" i="1"/>
  <c r="BK49" i="1"/>
  <c r="BI49" i="1"/>
  <c r="BH49" i="1"/>
  <c r="BJ49" i="1" s="1"/>
  <c r="BN49" i="1" s="1"/>
  <c r="BO49" i="1" s="1"/>
  <c r="BD49" i="1"/>
  <c r="BA49" i="1"/>
  <c r="BC49" i="1" s="1"/>
  <c r="AX49" i="1"/>
  <c r="BB49" i="1" s="1"/>
  <c r="AR49" i="1"/>
  <c r="BE49" i="1" s="1"/>
  <c r="AM49" i="1"/>
  <c r="AL49" i="1"/>
  <c r="AK49" i="1"/>
  <c r="M49" i="1" s="1"/>
  <c r="AC49" i="1"/>
  <c r="AB49" i="1"/>
  <c r="AA49" i="1" s="1"/>
  <c r="W49" i="1"/>
  <c r="T49" i="1"/>
  <c r="R49" i="1"/>
  <c r="O49" i="1"/>
  <c r="N49" i="1"/>
  <c r="L49" i="1"/>
  <c r="DA48" i="1"/>
  <c r="CZ48" i="1"/>
  <c r="CY48" i="1" s="1"/>
  <c r="AZ48" i="1" s="1"/>
  <c r="BB48" i="1" s="1"/>
  <c r="CX48" i="1"/>
  <c r="BM48" i="1"/>
  <c r="BL48" i="1"/>
  <c r="BK48" i="1"/>
  <c r="BJ48" i="1"/>
  <c r="BN48" i="1" s="1"/>
  <c r="BO48" i="1" s="1"/>
  <c r="BI48" i="1"/>
  <c r="BH48" i="1"/>
  <c r="BE48" i="1"/>
  <c r="BD48" i="1"/>
  <c r="AX48" i="1"/>
  <c r="AR48" i="1"/>
  <c r="AM48" i="1"/>
  <c r="AK48" i="1" s="1"/>
  <c r="R48" i="1" s="1"/>
  <c r="AC48" i="1"/>
  <c r="AB48" i="1"/>
  <c r="AA48" i="1" s="1"/>
  <c r="W48" i="1"/>
  <c r="T48" i="1"/>
  <c r="DA47" i="1"/>
  <c r="CZ47" i="1"/>
  <c r="CX47" i="1"/>
  <c r="BM47" i="1"/>
  <c r="BL47" i="1"/>
  <c r="BJ47" i="1"/>
  <c r="BN47" i="1" s="1"/>
  <c r="BO47" i="1" s="1"/>
  <c r="BH47" i="1"/>
  <c r="BI47" i="1" s="1"/>
  <c r="BD47" i="1"/>
  <c r="AX47" i="1"/>
  <c r="AR47" i="1"/>
  <c r="BE47" i="1" s="1"/>
  <c r="AM47" i="1"/>
  <c r="AK47" i="1"/>
  <c r="AC47" i="1"/>
  <c r="AB47" i="1"/>
  <c r="AA47" i="1"/>
  <c r="T47" i="1"/>
  <c r="DA46" i="1"/>
  <c r="CZ46" i="1"/>
  <c r="CX46" i="1"/>
  <c r="BM46" i="1"/>
  <c r="BL46" i="1"/>
  <c r="BH46" i="1"/>
  <c r="BD46" i="1"/>
  <c r="BA46" i="1"/>
  <c r="AX46" i="1"/>
  <c r="AR46" i="1"/>
  <c r="BE46" i="1" s="1"/>
  <c r="AM46" i="1"/>
  <c r="AL46" i="1"/>
  <c r="AK46" i="1"/>
  <c r="M46" i="1" s="1"/>
  <c r="L46" i="1" s="1"/>
  <c r="AC46" i="1"/>
  <c r="AB46" i="1"/>
  <c r="AA46" i="1" s="1"/>
  <c r="T46" i="1"/>
  <c r="N46" i="1"/>
  <c r="DA45" i="1"/>
  <c r="CZ45" i="1"/>
  <c r="CY45" i="1"/>
  <c r="AZ45" i="1" s="1"/>
  <c r="CX45" i="1"/>
  <c r="BM45" i="1"/>
  <c r="BL45" i="1"/>
  <c r="BK45" i="1"/>
  <c r="BI45" i="1"/>
  <c r="BH45" i="1"/>
  <c r="BJ45" i="1" s="1"/>
  <c r="BN45" i="1" s="1"/>
  <c r="BO45" i="1" s="1"/>
  <c r="BD45" i="1"/>
  <c r="BA45" i="1"/>
  <c r="BC45" i="1" s="1"/>
  <c r="AX45" i="1"/>
  <c r="BB45" i="1" s="1"/>
  <c r="AR45" i="1"/>
  <c r="BE45" i="1" s="1"/>
  <c r="AM45" i="1"/>
  <c r="AL45" i="1"/>
  <c r="AK45" i="1"/>
  <c r="M45" i="1" s="1"/>
  <c r="AC45" i="1"/>
  <c r="AB45" i="1"/>
  <c r="AA45" i="1" s="1"/>
  <c r="W45" i="1"/>
  <c r="T45" i="1"/>
  <c r="R45" i="1"/>
  <c r="O45" i="1"/>
  <c r="N45" i="1"/>
  <c r="L45" i="1"/>
  <c r="AE45" i="1" s="1"/>
  <c r="DA44" i="1"/>
  <c r="CZ44" i="1"/>
  <c r="CY44" i="1" s="1"/>
  <c r="AZ44" i="1" s="1"/>
  <c r="BB44" i="1" s="1"/>
  <c r="CX44" i="1"/>
  <c r="BM44" i="1"/>
  <c r="BL44" i="1"/>
  <c r="BJ44" i="1"/>
  <c r="BN44" i="1" s="1"/>
  <c r="BO44" i="1" s="1"/>
  <c r="BI44" i="1"/>
  <c r="BH44" i="1"/>
  <c r="BK44" i="1" s="1"/>
  <c r="BE44" i="1"/>
  <c r="BD44" i="1"/>
  <c r="AX44" i="1"/>
  <c r="AR44" i="1"/>
  <c r="AM44" i="1"/>
  <c r="AK44" i="1" s="1"/>
  <c r="AC44" i="1"/>
  <c r="AB44" i="1"/>
  <c r="AA44" i="1" s="1"/>
  <c r="W44" i="1"/>
  <c r="T44" i="1"/>
  <c r="R44" i="1"/>
  <c r="M44" i="1"/>
  <c r="L44" i="1" s="1"/>
  <c r="DA43" i="1"/>
  <c r="CZ43" i="1"/>
  <c r="CX43" i="1"/>
  <c r="CY43" i="1" s="1"/>
  <c r="AZ43" i="1" s="1"/>
  <c r="BB43" i="1" s="1"/>
  <c r="BM43" i="1"/>
  <c r="BL43" i="1"/>
  <c r="BJ43" i="1"/>
  <c r="BN43" i="1" s="1"/>
  <c r="BO43" i="1" s="1"/>
  <c r="BH43" i="1"/>
  <c r="BI43" i="1" s="1"/>
  <c r="BD43" i="1"/>
  <c r="AX43" i="1"/>
  <c r="AR43" i="1"/>
  <c r="BE43" i="1" s="1"/>
  <c r="AM43" i="1"/>
  <c r="AK43" i="1"/>
  <c r="AC43" i="1"/>
  <c r="AB43" i="1"/>
  <c r="AA43" i="1"/>
  <c r="T43" i="1"/>
  <c r="DA42" i="1"/>
  <c r="CZ42" i="1"/>
  <c r="CX42" i="1"/>
  <c r="BM42" i="1"/>
  <c r="BL42" i="1"/>
  <c r="BH42" i="1"/>
  <c r="BD42" i="1"/>
  <c r="BA42" i="1"/>
  <c r="AX42" i="1"/>
  <c r="AR42" i="1"/>
  <c r="BE42" i="1" s="1"/>
  <c r="AM42" i="1"/>
  <c r="AL42" i="1"/>
  <c r="AK42" i="1"/>
  <c r="M42" i="1" s="1"/>
  <c r="AC42" i="1"/>
  <c r="AB42" i="1"/>
  <c r="AA42" i="1" s="1"/>
  <c r="T42" i="1"/>
  <c r="N42" i="1"/>
  <c r="L42" i="1"/>
  <c r="DA41" i="1"/>
  <c r="CZ41" i="1"/>
  <c r="CY41" i="1"/>
  <c r="AZ41" i="1" s="1"/>
  <c r="CX41" i="1"/>
  <c r="BN41" i="1"/>
  <c r="BO41" i="1" s="1"/>
  <c r="BM41" i="1"/>
  <c r="BL41" i="1"/>
  <c r="BK41" i="1"/>
  <c r="BI41" i="1"/>
  <c r="BH41" i="1"/>
  <c r="BJ41" i="1" s="1"/>
  <c r="BD41" i="1"/>
  <c r="BB41" i="1"/>
  <c r="BA41" i="1"/>
  <c r="AX41" i="1"/>
  <c r="AR41" i="1"/>
  <c r="BE41" i="1" s="1"/>
  <c r="AM41" i="1"/>
  <c r="AL41" i="1"/>
  <c r="AK41" i="1"/>
  <c r="M41" i="1" s="1"/>
  <c r="AE41" i="1"/>
  <c r="AC41" i="1"/>
  <c r="AB41" i="1"/>
  <c r="AA41" i="1" s="1"/>
  <c r="W41" i="1"/>
  <c r="T41" i="1"/>
  <c r="R41" i="1"/>
  <c r="O41" i="1"/>
  <c r="N41" i="1"/>
  <c r="L41" i="1"/>
  <c r="DA40" i="1"/>
  <c r="CZ40" i="1"/>
  <c r="CY40" i="1" s="1"/>
  <c r="AZ40" i="1" s="1"/>
  <c r="BB40" i="1" s="1"/>
  <c r="CX40" i="1"/>
  <c r="BO40" i="1"/>
  <c r="BM40" i="1"/>
  <c r="BL40" i="1"/>
  <c r="BK40" i="1"/>
  <c r="BJ40" i="1"/>
  <c r="BN40" i="1" s="1"/>
  <c r="BI40" i="1"/>
  <c r="BH40" i="1"/>
  <c r="BE40" i="1"/>
  <c r="BD40" i="1"/>
  <c r="AX40" i="1"/>
  <c r="AR40" i="1"/>
  <c r="AM40" i="1"/>
  <c r="AK40" i="1" s="1"/>
  <c r="M40" i="1" s="1"/>
  <c r="L40" i="1" s="1"/>
  <c r="AC40" i="1"/>
  <c r="AB40" i="1"/>
  <c r="W40" i="1"/>
  <c r="T40" i="1"/>
  <c r="R40" i="1"/>
  <c r="DA39" i="1"/>
  <c r="CZ39" i="1"/>
  <c r="CX39" i="1"/>
  <c r="BM39" i="1"/>
  <c r="BL39" i="1"/>
  <c r="BH39" i="1"/>
  <c r="BJ39" i="1" s="1"/>
  <c r="BN39" i="1" s="1"/>
  <c r="BO39" i="1" s="1"/>
  <c r="BD39" i="1"/>
  <c r="AX39" i="1"/>
  <c r="AR39" i="1"/>
  <c r="BE39" i="1" s="1"/>
  <c r="AM39" i="1"/>
  <c r="AK39" i="1"/>
  <c r="AC39" i="1"/>
  <c r="AB39" i="1"/>
  <c r="AA39" i="1"/>
  <c r="T39" i="1"/>
  <c r="N39" i="1"/>
  <c r="BA39" i="1" s="1"/>
  <c r="DA38" i="1"/>
  <c r="CZ38" i="1"/>
  <c r="CX38" i="1"/>
  <c r="BM38" i="1"/>
  <c r="BL38" i="1"/>
  <c r="BK38" i="1"/>
  <c r="BH38" i="1"/>
  <c r="BD38" i="1"/>
  <c r="AX38" i="1"/>
  <c r="AR38" i="1"/>
  <c r="BE38" i="1" s="1"/>
  <c r="AM38" i="1"/>
  <c r="AL38" i="1"/>
  <c r="AK38" i="1"/>
  <c r="AC38" i="1"/>
  <c r="AB38" i="1"/>
  <c r="AA38" i="1" s="1"/>
  <c r="T38" i="1"/>
  <c r="N38" i="1"/>
  <c r="BA38" i="1" s="1"/>
  <c r="DA37" i="1"/>
  <c r="CZ37" i="1"/>
  <c r="CY37" i="1"/>
  <c r="AZ37" i="1" s="1"/>
  <c r="CX37" i="1"/>
  <c r="BM37" i="1"/>
  <c r="BL37" i="1"/>
  <c r="BK37" i="1"/>
  <c r="BI37" i="1"/>
  <c r="BH37" i="1"/>
  <c r="BJ37" i="1" s="1"/>
  <c r="BN37" i="1" s="1"/>
  <c r="BO37" i="1" s="1"/>
  <c r="BD37" i="1"/>
  <c r="BA37" i="1"/>
  <c r="AX37" i="1"/>
  <c r="BB37" i="1" s="1"/>
  <c r="AR37" i="1"/>
  <c r="BE37" i="1" s="1"/>
  <c r="AM37" i="1"/>
  <c r="AL37" i="1"/>
  <c r="AK37" i="1"/>
  <c r="M37" i="1" s="1"/>
  <c r="AC37" i="1"/>
  <c r="AB37" i="1"/>
  <c r="AA37" i="1" s="1"/>
  <c r="W37" i="1"/>
  <c r="T37" i="1"/>
  <c r="R37" i="1"/>
  <c r="O37" i="1"/>
  <c r="N37" i="1"/>
  <c r="L37" i="1"/>
  <c r="AE37" i="1" s="1"/>
  <c r="DA36" i="1"/>
  <c r="CZ36" i="1"/>
  <c r="CY36" i="1"/>
  <c r="AZ36" i="1" s="1"/>
  <c r="CX36" i="1"/>
  <c r="BO36" i="1"/>
  <c r="BM36" i="1"/>
  <c r="BL36" i="1"/>
  <c r="BK36" i="1"/>
  <c r="BJ36" i="1"/>
  <c r="BN36" i="1" s="1"/>
  <c r="BI36" i="1"/>
  <c r="BH36" i="1"/>
  <c r="BE36" i="1"/>
  <c r="BD36" i="1"/>
  <c r="AX36" i="1"/>
  <c r="BB36" i="1" s="1"/>
  <c r="AR36" i="1"/>
  <c r="AM36" i="1"/>
  <c r="AK36" i="1" s="1"/>
  <c r="AC36" i="1"/>
  <c r="AB36" i="1"/>
  <c r="W36" i="1"/>
  <c r="X36" i="1" s="1"/>
  <c r="Y36" i="1" s="1"/>
  <c r="T36" i="1"/>
  <c r="O36" i="1"/>
  <c r="M36" i="1"/>
  <c r="L36" i="1" s="1"/>
  <c r="AE36" i="1" s="1"/>
  <c r="DA35" i="1"/>
  <c r="CZ35" i="1"/>
  <c r="CX35" i="1"/>
  <c r="BM35" i="1"/>
  <c r="BL35" i="1"/>
  <c r="BH35" i="1"/>
  <c r="BJ35" i="1" s="1"/>
  <c r="BN35" i="1" s="1"/>
  <c r="BO35" i="1" s="1"/>
  <c r="BD35" i="1"/>
  <c r="AX35" i="1"/>
  <c r="AR35" i="1"/>
  <c r="BE35" i="1" s="1"/>
  <c r="AM35" i="1"/>
  <c r="AK35" i="1"/>
  <c r="N35" i="1" s="1"/>
  <c r="BA35" i="1" s="1"/>
  <c r="AC35" i="1"/>
  <c r="AB35" i="1"/>
  <c r="AA35" i="1"/>
  <c r="T35" i="1"/>
  <c r="DA34" i="1"/>
  <c r="CZ34" i="1"/>
  <c r="CX34" i="1"/>
  <c r="BM34" i="1"/>
  <c r="BL34" i="1"/>
  <c r="BK34" i="1"/>
  <c r="BJ34" i="1"/>
  <c r="BN34" i="1" s="1"/>
  <c r="BO34" i="1" s="1"/>
  <c r="BH34" i="1"/>
  <c r="BI34" i="1" s="1"/>
  <c r="BD34" i="1"/>
  <c r="AX34" i="1"/>
  <c r="AR34" i="1"/>
  <c r="BE34" i="1" s="1"/>
  <c r="AM34" i="1"/>
  <c r="AK34" i="1"/>
  <c r="AC34" i="1"/>
  <c r="AB34" i="1"/>
  <c r="AA34" i="1"/>
  <c r="T34" i="1"/>
  <c r="N34" i="1"/>
  <c r="BA34" i="1" s="1"/>
  <c r="DA33" i="1"/>
  <c r="W33" i="1" s="1"/>
  <c r="CZ33" i="1"/>
  <c r="CY33" i="1"/>
  <c r="AZ33" i="1" s="1"/>
  <c r="CX33" i="1"/>
  <c r="BM33" i="1"/>
  <c r="BL33" i="1"/>
  <c r="BH33" i="1"/>
  <c r="BJ33" i="1" s="1"/>
  <c r="BN33" i="1" s="1"/>
  <c r="BO33" i="1" s="1"/>
  <c r="BD33" i="1"/>
  <c r="AX33" i="1"/>
  <c r="BB33" i="1" s="1"/>
  <c r="AR33" i="1"/>
  <c r="BE33" i="1" s="1"/>
  <c r="AM33" i="1"/>
  <c r="AL33" i="1"/>
  <c r="AK33" i="1"/>
  <c r="M33" i="1" s="1"/>
  <c r="L33" i="1" s="1"/>
  <c r="AC33" i="1"/>
  <c r="AB33" i="1"/>
  <c r="AA33" i="1" s="1"/>
  <c r="T33" i="1"/>
  <c r="R33" i="1"/>
  <c r="O33" i="1"/>
  <c r="N33" i="1"/>
  <c r="BA33" i="1" s="1"/>
  <c r="BC33" i="1" s="1"/>
  <c r="DA32" i="1"/>
  <c r="CZ32" i="1"/>
  <c r="CX32" i="1"/>
  <c r="W32" i="1" s="1"/>
  <c r="BM32" i="1"/>
  <c r="BL32" i="1"/>
  <c r="BH32" i="1"/>
  <c r="BK32" i="1" s="1"/>
  <c r="BD32" i="1"/>
  <c r="AX32" i="1"/>
  <c r="AR32" i="1"/>
  <c r="BE32" i="1" s="1"/>
  <c r="AM32" i="1"/>
  <c r="AK32" i="1" s="1"/>
  <c r="N32" i="1" s="1"/>
  <c r="BA32" i="1" s="1"/>
  <c r="AC32" i="1"/>
  <c r="AB32" i="1"/>
  <c r="AA32" i="1" s="1"/>
  <c r="T32" i="1"/>
  <c r="DA31" i="1"/>
  <c r="CZ31" i="1"/>
  <c r="CX31" i="1"/>
  <c r="CY31" i="1" s="1"/>
  <c r="AZ31" i="1" s="1"/>
  <c r="BB31" i="1" s="1"/>
  <c r="BM31" i="1"/>
  <c r="BL31" i="1"/>
  <c r="BK31" i="1"/>
  <c r="BJ31" i="1"/>
  <c r="BN31" i="1" s="1"/>
  <c r="BO31" i="1" s="1"/>
  <c r="BH31" i="1"/>
  <c r="BI31" i="1" s="1"/>
  <c r="BE31" i="1"/>
  <c r="BD31" i="1"/>
  <c r="AX31" i="1"/>
  <c r="AR31" i="1"/>
  <c r="AM31" i="1"/>
  <c r="AK31" i="1" s="1"/>
  <c r="AC31" i="1"/>
  <c r="AB31" i="1"/>
  <c r="AA31" i="1" s="1"/>
  <c r="T31" i="1"/>
  <c r="DA30" i="1"/>
  <c r="CZ30" i="1"/>
  <c r="CX30" i="1"/>
  <c r="CY30" i="1" s="1"/>
  <c r="AZ30" i="1" s="1"/>
  <c r="BM30" i="1"/>
  <c r="BL30" i="1"/>
  <c r="BH30" i="1"/>
  <c r="BK30" i="1" s="1"/>
  <c r="BD30" i="1"/>
  <c r="AX30" i="1"/>
  <c r="BB30" i="1" s="1"/>
  <c r="AR30" i="1"/>
  <c r="BE30" i="1" s="1"/>
  <c r="AM30" i="1"/>
  <c r="AK30" i="1"/>
  <c r="R30" i="1" s="1"/>
  <c r="AC30" i="1"/>
  <c r="AB30" i="1"/>
  <c r="AA30" i="1"/>
  <c r="T30" i="1"/>
  <c r="N30" i="1"/>
  <c r="BA30" i="1" s="1"/>
  <c r="BC30" i="1" s="1"/>
  <c r="DA29" i="1"/>
  <c r="CZ29" i="1"/>
  <c r="CX29" i="1"/>
  <c r="CY29" i="1" s="1"/>
  <c r="AZ29" i="1" s="1"/>
  <c r="BB29" i="1" s="1"/>
  <c r="BM29" i="1"/>
  <c r="BL29" i="1"/>
  <c r="BK29" i="1"/>
  <c r="BH29" i="1"/>
  <c r="BJ29" i="1" s="1"/>
  <c r="BN29" i="1" s="1"/>
  <c r="BO29" i="1" s="1"/>
  <c r="BD29" i="1"/>
  <c r="AX29" i="1"/>
  <c r="AR29" i="1"/>
  <c r="BE29" i="1" s="1"/>
  <c r="AM29" i="1"/>
  <c r="AK29" i="1" s="1"/>
  <c r="AC29" i="1"/>
  <c r="AB29" i="1"/>
  <c r="AA29" i="1" s="1"/>
  <c r="T29" i="1"/>
  <c r="DA28" i="1"/>
  <c r="CZ28" i="1"/>
  <c r="CY28" i="1"/>
  <c r="AZ28" i="1" s="1"/>
  <c r="BB28" i="1" s="1"/>
  <c r="CX28" i="1"/>
  <c r="BN28" i="1"/>
  <c r="BO28" i="1" s="1"/>
  <c r="BM28" i="1"/>
  <c r="BL28" i="1"/>
  <c r="BJ28" i="1"/>
  <c r="BI28" i="1"/>
  <c r="BH28" i="1"/>
  <c r="BK28" i="1" s="1"/>
  <c r="BD28" i="1"/>
  <c r="AX28" i="1"/>
  <c r="AR28" i="1"/>
  <c r="BE28" i="1" s="1"/>
  <c r="AM28" i="1"/>
  <c r="AL28" i="1"/>
  <c r="AK28" i="1"/>
  <c r="N28" i="1" s="1"/>
  <c r="BA28" i="1" s="1"/>
  <c r="BC28" i="1" s="1"/>
  <c r="AC28" i="1"/>
  <c r="AB28" i="1"/>
  <c r="AA28" i="1" s="1"/>
  <c r="W28" i="1"/>
  <c r="T28" i="1"/>
  <c r="R28" i="1"/>
  <c r="O28" i="1"/>
  <c r="DA27" i="1"/>
  <c r="CZ27" i="1"/>
  <c r="CX27" i="1"/>
  <c r="CY27" i="1" s="1"/>
  <c r="AZ27" i="1" s="1"/>
  <c r="BB27" i="1" s="1"/>
  <c r="BM27" i="1"/>
  <c r="BL27" i="1"/>
  <c r="BK27" i="1"/>
  <c r="BJ27" i="1"/>
  <c r="BN27" i="1" s="1"/>
  <c r="BO27" i="1" s="1"/>
  <c r="BH27" i="1"/>
  <c r="BI27" i="1" s="1"/>
  <c r="BE27" i="1"/>
  <c r="BD27" i="1"/>
  <c r="AX27" i="1"/>
  <c r="AR27" i="1"/>
  <c r="AM27" i="1"/>
  <c r="AK27" i="1" s="1"/>
  <c r="AC27" i="1"/>
  <c r="AB27" i="1"/>
  <c r="AA27" i="1" s="1"/>
  <c r="T27" i="1"/>
  <c r="DA26" i="1"/>
  <c r="CZ26" i="1"/>
  <c r="CX26" i="1"/>
  <c r="CY26" i="1" s="1"/>
  <c r="AZ26" i="1" s="1"/>
  <c r="BM26" i="1"/>
  <c r="BL26" i="1"/>
  <c r="BH26" i="1"/>
  <c r="BK26" i="1" s="1"/>
  <c r="BD26" i="1"/>
  <c r="AX26" i="1"/>
  <c r="AR26" i="1"/>
  <c r="BE26" i="1" s="1"/>
  <c r="AM26" i="1"/>
  <c r="AK26" i="1"/>
  <c r="R26" i="1" s="1"/>
  <c r="AC26" i="1"/>
  <c r="AB26" i="1"/>
  <c r="AA26" i="1"/>
  <c r="T26" i="1"/>
  <c r="N26" i="1"/>
  <c r="BA26" i="1" s="1"/>
  <c r="DA25" i="1"/>
  <c r="CZ25" i="1"/>
  <c r="CX25" i="1"/>
  <c r="CY25" i="1" s="1"/>
  <c r="AZ25" i="1" s="1"/>
  <c r="BB25" i="1" s="1"/>
  <c r="BM25" i="1"/>
  <c r="BL25" i="1"/>
  <c r="BK25" i="1"/>
  <c r="BH25" i="1"/>
  <c r="BJ25" i="1" s="1"/>
  <c r="BN25" i="1" s="1"/>
  <c r="BO25" i="1" s="1"/>
  <c r="BD25" i="1"/>
  <c r="AX25" i="1"/>
  <c r="AR25" i="1"/>
  <c r="BE25" i="1" s="1"/>
  <c r="AM25" i="1"/>
  <c r="AK25" i="1" s="1"/>
  <c r="AC25" i="1"/>
  <c r="AB25" i="1"/>
  <c r="AA25" i="1" s="1"/>
  <c r="T25" i="1"/>
  <c r="DA24" i="1"/>
  <c r="CZ24" i="1"/>
  <c r="CY24" i="1"/>
  <c r="AZ24" i="1" s="1"/>
  <c r="BB24" i="1" s="1"/>
  <c r="CX24" i="1"/>
  <c r="BN24" i="1"/>
  <c r="BO24" i="1" s="1"/>
  <c r="BM24" i="1"/>
  <c r="BL24" i="1"/>
  <c r="BJ24" i="1"/>
  <c r="BI24" i="1"/>
  <c r="BH24" i="1"/>
  <c r="BK24" i="1" s="1"/>
  <c r="BD24" i="1"/>
  <c r="AX24" i="1"/>
  <c r="AR24" i="1"/>
  <c r="BE24" i="1" s="1"/>
  <c r="AM24" i="1"/>
  <c r="AL24" i="1"/>
  <c r="AK24" i="1"/>
  <c r="N24" i="1" s="1"/>
  <c r="BA24" i="1" s="1"/>
  <c r="BC24" i="1" s="1"/>
  <c r="AC24" i="1"/>
  <c r="AB24" i="1"/>
  <c r="AA24" i="1" s="1"/>
  <c r="W24" i="1"/>
  <c r="T24" i="1"/>
  <c r="R24" i="1"/>
  <c r="O24" i="1"/>
  <c r="DA23" i="1"/>
  <c r="CZ23" i="1"/>
  <c r="CX23" i="1"/>
  <c r="CY23" i="1" s="1"/>
  <c r="AZ23" i="1" s="1"/>
  <c r="BB23" i="1" s="1"/>
  <c r="BM23" i="1"/>
  <c r="BL23" i="1"/>
  <c r="BK23" i="1"/>
  <c r="BJ23" i="1"/>
  <c r="BN23" i="1" s="1"/>
  <c r="BO23" i="1" s="1"/>
  <c r="BH23" i="1"/>
  <c r="BI23" i="1" s="1"/>
  <c r="BE23" i="1"/>
  <c r="BD23" i="1"/>
  <c r="AX23" i="1"/>
  <c r="AR23" i="1"/>
  <c r="AM23" i="1"/>
  <c r="AK23" i="1" s="1"/>
  <c r="AC23" i="1"/>
  <c r="AB23" i="1"/>
  <c r="AA23" i="1" s="1"/>
  <c r="T23" i="1"/>
  <c r="DA22" i="1"/>
  <c r="CZ22" i="1"/>
  <c r="CX22" i="1"/>
  <c r="CY22" i="1" s="1"/>
  <c r="AZ22" i="1" s="1"/>
  <c r="BM22" i="1"/>
  <c r="BL22" i="1"/>
  <c r="BH22" i="1"/>
  <c r="BK22" i="1" s="1"/>
  <c r="BD22" i="1"/>
  <c r="AX22" i="1"/>
  <c r="BB22" i="1" s="1"/>
  <c r="AR22" i="1"/>
  <c r="BE22" i="1" s="1"/>
  <c r="AM22" i="1"/>
  <c r="AK22" i="1"/>
  <c r="R22" i="1" s="1"/>
  <c r="AC22" i="1"/>
  <c r="AB22" i="1"/>
  <c r="AA22" i="1"/>
  <c r="T22" i="1"/>
  <c r="N22" i="1"/>
  <c r="BA22" i="1" s="1"/>
  <c r="BC22" i="1" s="1"/>
  <c r="DA21" i="1"/>
  <c r="CZ21" i="1"/>
  <c r="CX21" i="1"/>
  <c r="CY21" i="1" s="1"/>
  <c r="AZ21" i="1" s="1"/>
  <c r="BB21" i="1" s="1"/>
  <c r="BM21" i="1"/>
  <c r="BL21" i="1"/>
  <c r="BK21" i="1"/>
  <c r="BH21" i="1"/>
  <c r="BJ21" i="1" s="1"/>
  <c r="BN21" i="1" s="1"/>
  <c r="BO21" i="1" s="1"/>
  <c r="BD21" i="1"/>
  <c r="AX21" i="1"/>
  <c r="AR21" i="1"/>
  <c r="BE21" i="1" s="1"/>
  <c r="AM21" i="1"/>
  <c r="AK21" i="1" s="1"/>
  <c r="AC21" i="1"/>
  <c r="AB21" i="1"/>
  <c r="AA21" i="1" s="1"/>
  <c r="T21" i="1"/>
  <c r="DA20" i="1"/>
  <c r="CZ20" i="1"/>
  <c r="CY20" i="1"/>
  <c r="AZ20" i="1" s="1"/>
  <c r="BB20" i="1" s="1"/>
  <c r="CX20" i="1"/>
  <c r="BN20" i="1"/>
  <c r="BO20" i="1" s="1"/>
  <c r="BM20" i="1"/>
  <c r="BL20" i="1"/>
  <c r="BJ20" i="1"/>
  <c r="BI20" i="1"/>
  <c r="BH20" i="1"/>
  <c r="BK20" i="1" s="1"/>
  <c r="BD20" i="1"/>
  <c r="AX20" i="1"/>
  <c r="AR20" i="1"/>
  <c r="BE20" i="1" s="1"/>
  <c r="AM20" i="1"/>
  <c r="AL20" i="1"/>
  <c r="AK20" i="1"/>
  <c r="N20" i="1" s="1"/>
  <c r="BA20" i="1" s="1"/>
  <c r="BC20" i="1" s="1"/>
  <c r="AC20" i="1"/>
  <c r="AB20" i="1"/>
  <c r="AA20" i="1" s="1"/>
  <c r="W20" i="1"/>
  <c r="T20" i="1"/>
  <c r="R20" i="1"/>
  <c r="O20" i="1"/>
  <c r="DA19" i="1"/>
  <c r="CZ19" i="1"/>
  <c r="CX19" i="1"/>
  <c r="CY19" i="1" s="1"/>
  <c r="AZ19" i="1" s="1"/>
  <c r="BB19" i="1" s="1"/>
  <c r="BM19" i="1"/>
  <c r="BL19" i="1"/>
  <c r="BK19" i="1"/>
  <c r="BJ19" i="1"/>
  <c r="BN19" i="1" s="1"/>
  <c r="BO19" i="1" s="1"/>
  <c r="BH19" i="1"/>
  <c r="BI19" i="1" s="1"/>
  <c r="BE19" i="1"/>
  <c r="BD19" i="1"/>
  <c r="AX19" i="1"/>
  <c r="AR19" i="1"/>
  <c r="AM19" i="1"/>
  <c r="AK19" i="1" s="1"/>
  <c r="AC19" i="1"/>
  <c r="AB19" i="1"/>
  <c r="AA19" i="1" s="1"/>
  <c r="T19" i="1"/>
  <c r="DA18" i="1"/>
  <c r="CZ18" i="1"/>
  <c r="CX18" i="1"/>
  <c r="CY18" i="1" s="1"/>
  <c r="AZ18" i="1" s="1"/>
  <c r="BM18" i="1"/>
  <c r="BL18" i="1"/>
  <c r="BH18" i="1"/>
  <c r="BK18" i="1" s="1"/>
  <c r="BD18" i="1"/>
  <c r="AX18" i="1"/>
  <c r="AR18" i="1"/>
  <c r="BE18" i="1" s="1"/>
  <c r="AM18" i="1"/>
  <c r="AK18" i="1"/>
  <c r="R18" i="1" s="1"/>
  <c r="AC18" i="1"/>
  <c r="AB18" i="1"/>
  <c r="AA18" i="1"/>
  <c r="T18" i="1"/>
  <c r="N18" i="1"/>
  <c r="BA18" i="1" s="1"/>
  <c r="DA17" i="1"/>
  <c r="CZ17" i="1"/>
  <c r="CX17" i="1"/>
  <c r="CY17" i="1" s="1"/>
  <c r="AZ17" i="1" s="1"/>
  <c r="BB17" i="1" s="1"/>
  <c r="BM17" i="1"/>
  <c r="BL17" i="1"/>
  <c r="BK17" i="1"/>
  <c r="BH17" i="1"/>
  <c r="BJ17" i="1" s="1"/>
  <c r="BN17" i="1" s="1"/>
  <c r="BO17" i="1" s="1"/>
  <c r="BD17" i="1"/>
  <c r="AX17" i="1"/>
  <c r="AR17" i="1"/>
  <c r="BE17" i="1" s="1"/>
  <c r="AM17" i="1"/>
  <c r="AK17" i="1" s="1"/>
  <c r="AC17" i="1"/>
  <c r="AB17" i="1"/>
  <c r="AA17" i="1" s="1"/>
  <c r="T17" i="1"/>
  <c r="O25" i="1" l="1"/>
  <c r="AL25" i="1"/>
  <c r="N25" i="1"/>
  <c r="BA25" i="1" s="1"/>
  <c r="BC25" i="1" s="1"/>
  <c r="M25" i="1"/>
  <c r="L25" i="1" s="1"/>
  <c r="R25" i="1"/>
  <c r="BC39" i="1"/>
  <c r="X56" i="1"/>
  <c r="Y56" i="1" s="1"/>
  <c r="AE56" i="1"/>
  <c r="U56" i="1"/>
  <c r="S56" i="1" s="1"/>
  <c r="V56" i="1" s="1"/>
  <c r="X32" i="1"/>
  <c r="Y32" i="1" s="1"/>
  <c r="AF32" i="1" s="1"/>
  <c r="AL23" i="1"/>
  <c r="R23" i="1"/>
  <c r="O23" i="1"/>
  <c r="M23" i="1"/>
  <c r="L23" i="1" s="1"/>
  <c r="N23" i="1"/>
  <c r="BA23" i="1" s="1"/>
  <c r="BC23" i="1" s="1"/>
  <c r="AL31" i="1"/>
  <c r="R31" i="1"/>
  <c r="O31" i="1"/>
  <c r="N31" i="1"/>
  <c r="BA31" i="1" s="1"/>
  <c r="BC31" i="1" s="1"/>
  <c r="M31" i="1"/>
  <c r="L31" i="1" s="1"/>
  <c r="AE33" i="1"/>
  <c r="BC18" i="1"/>
  <c r="BB18" i="1"/>
  <c r="BC26" i="1"/>
  <c r="BB26" i="1"/>
  <c r="AG36" i="1"/>
  <c r="AH36" i="1" s="1"/>
  <c r="AF36" i="1"/>
  <c r="Z36" i="1"/>
  <c r="AD36" i="1" s="1"/>
  <c r="AL21" i="1"/>
  <c r="O21" i="1"/>
  <c r="N21" i="1"/>
  <c r="BA21" i="1" s="1"/>
  <c r="BC21" i="1" s="1"/>
  <c r="M21" i="1"/>
  <c r="L21" i="1" s="1"/>
  <c r="R21" i="1"/>
  <c r="O29" i="1"/>
  <c r="AL29" i="1"/>
  <c r="N29" i="1"/>
  <c r="BA29" i="1" s="1"/>
  <c r="BC29" i="1" s="1"/>
  <c r="M29" i="1"/>
  <c r="L29" i="1" s="1"/>
  <c r="R29" i="1"/>
  <c r="AE40" i="1"/>
  <c r="X40" i="1"/>
  <c r="Y40" i="1" s="1"/>
  <c r="O17" i="1"/>
  <c r="AL17" i="1"/>
  <c r="N17" i="1"/>
  <c r="BA17" i="1" s="1"/>
  <c r="BC17" i="1" s="1"/>
  <c r="M17" i="1"/>
  <c r="L17" i="1" s="1"/>
  <c r="R17" i="1"/>
  <c r="BC62" i="1"/>
  <c r="AL19" i="1"/>
  <c r="R19" i="1"/>
  <c r="O19" i="1"/>
  <c r="M19" i="1"/>
  <c r="L19" i="1" s="1"/>
  <c r="N19" i="1"/>
  <c r="BA19" i="1" s="1"/>
  <c r="BC19" i="1" s="1"/>
  <c r="AL27" i="1"/>
  <c r="R27" i="1"/>
  <c r="O27" i="1"/>
  <c r="N27" i="1"/>
  <c r="BA27" i="1" s="1"/>
  <c r="BC27" i="1" s="1"/>
  <c r="M27" i="1"/>
  <c r="L27" i="1" s="1"/>
  <c r="X33" i="1"/>
  <c r="Y33" i="1" s="1"/>
  <c r="CY34" i="1"/>
  <c r="AZ34" i="1" s="1"/>
  <c r="BB34" i="1" s="1"/>
  <c r="W34" i="1"/>
  <c r="CY35" i="1"/>
  <c r="AZ35" i="1" s="1"/>
  <c r="BB35" i="1" s="1"/>
  <c r="W35" i="1"/>
  <c r="U36" i="1"/>
  <c r="S36" i="1" s="1"/>
  <c r="V36" i="1" s="1"/>
  <c r="X49" i="1"/>
  <c r="Y49" i="1" s="1"/>
  <c r="BJ58" i="1"/>
  <c r="BN58" i="1" s="1"/>
  <c r="BO58" i="1" s="1"/>
  <c r="BI58" i="1"/>
  <c r="X64" i="1"/>
  <c r="Y64" i="1" s="1"/>
  <c r="AE64" i="1"/>
  <c r="AL18" i="1"/>
  <c r="AL22" i="1"/>
  <c r="AL26" i="1"/>
  <c r="AL30" i="1"/>
  <c r="BI33" i="1"/>
  <c r="M34" i="1"/>
  <c r="L34" i="1" s="1"/>
  <c r="R34" i="1"/>
  <c r="O34" i="1"/>
  <c r="N36" i="1"/>
  <c r="BA36" i="1" s="1"/>
  <c r="BC36" i="1" s="1"/>
  <c r="AL36" i="1"/>
  <c r="X37" i="1"/>
  <c r="Y37" i="1" s="1"/>
  <c r="CY46" i="1"/>
  <c r="AZ46" i="1" s="1"/>
  <c r="BB46" i="1" s="1"/>
  <c r="W46" i="1"/>
  <c r="CY50" i="1"/>
  <c r="AZ50" i="1" s="1"/>
  <c r="BB50" i="1" s="1"/>
  <c r="W50" i="1"/>
  <c r="CY54" i="1"/>
  <c r="AZ54" i="1" s="1"/>
  <c r="BB54" i="1" s="1"/>
  <c r="W54" i="1"/>
  <c r="BK58" i="1"/>
  <c r="O64" i="1"/>
  <c r="N64" i="1"/>
  <c r="BA64" i="1" s="1"/>
  <c r="BC64" i="1" s="1"/>
  <c r="AL64" i="1"/>
  <c r="M66" i="1"/>
  <c r="L66" i="1" s="1"/>
  <c r="AL66" i="1"/>
  <c r="N66" i="1"/>
  <c r="BA66" i="1" s="1"/>
  <c r="BC66" i="1" s="1"/>
  <c r="R66" i="1"/>
  <c r="AE68" i="1"/>
  <c r="AF75" i="1"/>
  <c r="O32" i="1"/>
  <c r="AF37" i="1"/>
  <c r="X45" i="1"/>
  <c r="Y45" i="1" s="1"/>
  <c r="X53" i="1"/>
  <c r="Y53" i="1" s="1"/>
  <c r="X61" i="1"/>
  <c r="Y61" i="1" s="1"/>
  <c r="BC65" i="1"/>
  <c r="M18" i="1"/>
  <c r="L18" i="1" s="1"/>
  <c r="W19" i="1"/>
  <c r="M22" i="1"/>
  <c r="L22" i="1" s="1"/>
  <c r="W23" i="1"/>
  <c r="M26" i="1"/>
  <c r="L26" i="1" s="1"/>
  <c r="W27" i="1"/>
  <c r="M30" i="1"/>
  <c r="L30" i="1" s="1"/>
  <c r="W31" i="1"/>
  <c r="AL32" i="1"/>
  <c r="BK33" i="1"/>
  <c r="AL34" i="1"/>
  <c r="AA40" i="1"/>
  <c r="CY42" i="1"/>
  <c r="AZ42" i="1" s="1"/>
  <c r="BB42" i="1" s="1"/>
  <c r="W42" i="1"/>
  <c r="M48" i="1"/>
  <c r="L48" i="1" s="1"/>
  <c r="M52" i="1"/>
  <c r="L52" i="1" s="1"/>
  <c r="R57" i="1"/>
  <c r="N57" i="1"/>
  <c r="BA57" i="1" s="1"/>
  <c r="BC57" i="1" s="1"/>
  <c r="M57" i="1"/>
  <c r="L57" i="1" s="1"/>
  <c r="AE58" i="1"/>
  <c r="CY59" i="1"/>
  <c r="AZ59" i="1" s="1"/>
  <c r="BB59" i="1" s="1"/>
  <c r="O63" i="1"/>
  <c r="N63" i="1"/>
  <c r="BA63" i="1" s="1"/>
  <c r="BC63" i="1" s="1"/>
  <c r="M63" i="1"/>
  <c r="L63" i="1" s="1"/>
  <c r="AL63" i="1"/>
  <c r="R63" i="1"/>
  <c r="AE72" i="1"/>
  <c r="X92" i="1"/>
  <c r="Y92" i="1" s="1"/>
  <c r="X44" i="1"/>
  <c r="Y44" i="1" s="1"/>
  <c r="AE44" i="1"/>
  <c r="U49" i="1"/>
  <c r="S49" i="1" s="1"/>
  <c r="V49" i="1" s="1"/>
  <c r="P49" i="1" s="1"/>
  <c r="Q49" i="1" s="1"/>
  <c r="BC50" i="1"/>
  <c r="O56" i="1"/>
  <c r="N56" i="1"/>
  <c r="BA56" i="1" s="1"/>
  <c r="BC56" i="1" s="1"/>
  <c r="AL56" i="1"/>
  <c r="BJ62" i="1"/>
  <c r="BN62" i="1" s="1"/>
  <c r="BO62" i="1" s="1"/>
  <c r="BI62" i="1"/>
  <c r="R78" i="1"/>
  <c r="O78" i="1"/>
  <c r="N78" i="1"/>
  <c r="BA78" i="1" s="1"/>
  <c r="BC78" i="1" s="1"/>
  <c r="M78" i="1"/>
  <c r="L78" i="1" s="1"/>
  <c r="AL78" i="1"/>
  <c r="O18" i="1"/>
  <c r="W18" i="1"/>
  <c r="BI18" i="1"/>
  <c r="O22" i="1"/>
  <c r="W22" i="1"/>
  <c r="BI22" i="1"/>
  <c r="O26" i="1"/>
  <c r="W26" i="1"/>
  <c r="BI26" i="1"/>
  <c r="O30" i="1"/>
  <c r="W30" i="1"/>
  <c r="BI30" i="1"/>
  <c r="BI32" i="1"/>
  <c r="CY32" i="1"/>
  <c r="AZ32" i="1" s="1"/>
  <c r="BB32" i="1" s="1"/>
  <c r="AA36" i="1"/>
  <c r="CY38" i="1"/>
  <c r="AZ38" i="1" s="1"/>
  <c r="BB38" i="1" s="1"/>
  <c r="W38" i="1"/>
  <c r="O39" i="1"/>
  <c r="AL39" i="1"/>
  <c r="R39" i="1"/>
  <c r="X41" i="1"/>
  <c r="Y41" i="1" s="1"/>
  <c r="AE42" i="1"/>
  <c r="O44" i="1"/>
  <c r="N44" i="1"/>
  <c r="BA44" i="1" s="1"/>
  <c r="BC44" i="1" s="1"/>
  <c r="AL44" i="1"/>
  <c r="O47" i="1"/>
  <c r="N47" i="1"/>
  <c r="BA47" i="1" s="1"/>
  <c r="BC47" i="1" s="1"/>
  <c r="M47" i="1"/>
  <c r="L47" i="1" s="1"/>
  <c r="AL47" i="1"/>
  <c r="R47" i="1"/>
  <c r="O51" i="1"/>
  <c r="N51" i="1"/>
  <c r="BA51" i="1" s="1"/>
  <c r="BC51" i="1" s="1"/>
  <c r="M51" i="1"/>
  <c r="L51" i="1" s="1"/>
  <c r="AL51" i="1"/>
  <c r="R51" i="1"/>
  <c r="O55" i="1"/>
  <c r="N55" i="1"/>
  <c r="BA55" i="1" s="1"/>
  <c r="M55" i="1"/>
  <c r="L55" i="1" s="1"/>
  <c r="AL55" i="1"/>
  <c r="R55" i="1"/>
  <c r="CY58" i="1"/>
  <c r="AZ58" i="1" s="1"/>
  <c r="BB58" i="1" s="1"/>
  <c r="W58" i="1"/>
  <c r="BK62" i="1"/>
  <c r="O69" i="1"/>
  <c r="M69" i="1"/>
  <c r="L69" i="1" s="1"/>
  <c r="R69" i="1"/>
  <c r="AL69" i="1"/>
  <c r="BJ18" i="1"/>
  <c r="BN18" i="1" s="1"/>
  <c r="BO18" i="1" s="1"/>
  <c r="BJ22" i="1"/>
  <c r="BN22" i="1" s="1"/>
  <c r="BO22" i="1" s="1"/>
  <c r="BJ26" i="1"/>
  <c r="BN26" i="1" s="1"/>
  <c r="BO26" i="1" s="1"/>
  <c r="BJ30" i="1"/>
  <c r="BN30" i="1" s="1"/>
  <c r="BO30" i="1" s="1"/>
  <c r="BJ32" i="1"/>
  <c r="BN32" i="1" s="1"/>
  <c r="BO32" i="1" s="1"/>
  <c r="AF33" i="1"/>
  <c r="BJ42" i="1"/>
  <c r="BN42" i="1" s="1"/>
  <c r="BO42" i="1" s="1"/>
  <c r="BI42" i="1"/>
  <c r="O43" i="1"/>
  <c r="N43" i="1"/>
  <c r="BA43" i="1" s="1"/>
  <c r="BC43" i="1" s="1"/>
  <c r="M43" i="1"/>
  <c r="L43" i="1" s="1"/>
  <c r="AL43" i="1"/>
  <c r="R43" i="1"/>
  <c r="BJ46" i="1"/>
  <c r="BN46" i="1" s="1"/>
  <c r="BO46" i="1" s="1"/>
  <c r="BI46" i="1"/>
  <c r="BJ50" i="1"/>
  <c r="BN50" i="1" s="1"/>
  <c r="BO50" i="1" s="1"/>
  <c r="BI50" i="1"/>
  <c r="BJ54" i="1"/>
  <c r="BN54" i="1" s="1"/>
  <c r="BO54" i="1" s="1"/>
  <c r="BI54" i="1"/>
  <c r="X57" i="1"/>
  <c r="Y57" i="1" s="1"/>
  <c r="X60" i="1"/>
  <c r="Y60" i="1" s="1"/>
  <c r="AE60" i="1"/>
  <c r="R61" i="1"/>
  <c r="N61" i="1"/>
  <c r="BA61" i="1" s="1"/>
  <c r="BC61" i="1" s="1"/>
  <c r="M61" i="1"/>
  <c r="L61" i="1" s="1"/>
  <c r="AE62" i="1"/>
  <c r="BB77" i="1"/>
  <c r="O35" i="1"/>
  <c r="AL35" i="1"/>
  <c r="AF41" i="1"/>
  <c r="AE49" i="1"/>
  <c r="O52" i="1"/>
  <c r="N52" i="1"/>
  <c r="BA52" i="1" s="1"/>
  <c r="BC52" i="1" s="1"/>
  <c r="AL52" i="1"/>
  <c r="W17" i="1"/>
  <c r="BI17" i="1"/>
  <c r="M20" i="1"/>
  <c r="L20" i="1" s="1"/>
  <c r="X20" i="1" s="1"/>
  <c r="Y20" i="1" s="1"/>
  <c r="W21" i="1"/>
  <c r="BI21" i="1"/>
  <c r="M24" i="1"/>
  <c r="L24" i="1" s="1"/>
  <c r="X24" i="1" s="1"/>
  <c r="Y24" i="1" s="1"/>
  <c r="W25" i="1"/>
  <c r="BI25" i="1"/>
  <c r="M28" i="1"/>
  <c r="L28" i="1" s="1"/>
  <c r="X28" i="1" s="1"/>
  <c r="Y28" i="1" s="1"/>
  <c r="W29" i="1"/>
  <c r="BI29" i="1"/>
  <c r="M32" i="1"/>
  <c r="L32" i="1" s="1"/>
  <c r="R35" i="1"/>
  <c r="R36" i="1"/>
  <c r="BC37" i="1"/>
  <c r="O40" i="1"/>
  <c r="N40" i="1"/>
  <c r="BA40" i="1" s="1"/>
  <c r="BC40" i="1" s="1"/>
  <c r="AL40" i="1"/>
  <c r="BK42" i="1"/>
  <c r="U44" i="1"/>
  <c r="S44" i="1" s="1"/>
  <c r="V44" i="1" s="1"/>
  <c r="AE46" i="1"/>
  <c r="BK46" i="1"/>
  <c r="AE50" i="1"/>
  <c r="BK50" i="1"/>
  <c r="AE54" i="1"/>
  <c r="BK54" i="1"/>
  <c r="O60" i="1"/>
  <c r="N60" i="1"/>
  <c r="BA60" i="1" s="1"/>
  <c r="BC60" i="1" s="1"/>
  <c r="AL60" i="1"/>
  <c r="O61" i="1"/>
  <c r="AA64" i="1"/>
  <c r="BK66" i="1"/>
  <c r="BJ66" i="1"/>
  <c r="BN66" i="1" s="1"/>
  <c r="BO66" i="1" s="1"/>
  <c r="BI66" i="1"/>
  <c r="BB68" i="1"/>
  <c r="AE80" i="1"/>
  <c r="BK81" i="1"/>
  <c r="BJ81" i="1"/>
  <c r="BN81" i="1" s="1"/>
  <c r="BO81" i="1" s="1"/>
  <c r="BI81" i="1"/>
  <c r="R32" i="1"/>
  <c r="M35" i="1"/>
  <c r="L35" i="1" s="1"/>
  <c r="BI35" i="1"/>
  <c r="BK35" i="1"/>
  <c r="U37" i="1"/>
  <c r="S37" i="1" s="1"/>
  <c r="V37" i="1" s="1"/>
  <c r="P37" i="1" s="1"/>
  <c r="Q37" i="1" s="1"/>
  <c r="BI39" i="1"/>
  <c r="BK39" i="1"/>
  <c r="BC42" i="1"/>
  <c r="U45" i="1"/>
  <c r="S45" i="1" s="1"/>
  <c r="V45" i="1" s="1"/>
  <c r="P45" i="1" s="1"/>
  <c r="Q45" i="1" s="1"/>
  <c r="O48" i="1"/>
  <c r="N48" i="1"/>
  <c r="BA48" i="1" s="1"/>
  <c r="BC48" i="1" s="1"/>
  <c r="AL48" i="1"/>
  <c r="U53" i="1"/>
  <c r="S53" i="1" s="1"/>
  <c r="V53" i="1" s="1"/>
  <c r="P53" i="1" s="1"/>
  <c r="Q53" i="1" s="1"/>
  <c r="BC54" i="1"/>
  <c r="R56" i="1"/>
  <c r="M38" i="1"/>
  <c r="L38" i="1" s="1"/>
  <c r="R38" i="1"/>
  <c r="O38" i="1"/>
  <c r="BJ38" i="1"/>
  <c r="BN38" i="1" s="1"/>
  <c r="BO38" i="1" s="1"/>
  <c r="BI38" i="1"/>
  <c r="M39" i="1"/>
  <c r="L39" i="1" s="1"/>
  <c r="CY39" i="1"/>
  <c r="AZ39" i="1" s="1"/>
  <c r="BB39" i="1" s="1"/>
  <c r="W39" i="1"/>
  <c r="U41" i="1"/>
  <c r="S41" i="1" s="1"/>
  <c r="V41" i="1" s="1"/>
  <c r="P41" i="1" s="1"/>
  <c r="Q41" i="1" s="1"/>
  <c r="BC41" i="1"/>
  <c r="CY47" i="1"/>
  <c r="AZ47" i="1" s="1"/>
  <c r="BB47" i="1" s="1"/>
  <c r="AF49" i="1"/>
  <c r="CY51" i="1"/>
  <c r="AZ51" i="1" s="1"/>
  <c r="BB51" i="1" s="1"/>
  <c r="AF53" i="1"/>
  <c r="CY55" i="1"/>
  <c r="AZ55" i="1" s="1"/>
  <c r="BB55" i="1" s="1"/>
  <c r="O59" i="1"/>
  <c r="N59" i="1"/>
  <c r="BA59" i="1" s="1"/>
  <c r="M59" i="1"/>
  <c r="L59" i="1" s="1"/>
  <c r="AL59" i="1"/>
  <c r="R59" i="1"/>
  <c r="AF61" i="1"/>
  <c r="BB61" i="1"/>
  <c r="CY62" i="1"/>
  <c r="AZ62" i="1" s="1"/>
  <c r="BB62" i="1" s="1"/>
  <c r="W62" i="1"/>
  <c r="N69" i="1"/>
  <c r="BA69" i="1" s="1"/>
  <c r="O70" i="1"/>
  <c r="M70" i="1"/>
  <c r="L70" i="1" s="1"/>
  <c r="AL70" i="1"/>
  <c r="N70" i="1"/>
  <c r="BA70" i="1" s="1"/>
  <c r="BC70" i="1" s="1"/>
  <c r="O42" i="1"/>
  <c r="BK43" i="1"/>
  <c r="O46" i="1"/>
  <c r="BK47" i="1"/>
  <c r="O50" i="1"/>
  <c r="BK51" i="1"/>
  <c r="O54" i="1"/>
  <c r="BK55" i="1"/>
  <c r="O58" i="1"/>
  <c r="BK59" i="1"/>
  <c r="O62" i="1"/>
  <c r="BK63" i="1"/>
  <c r="O67" i="1"/>
  <c r="N67" i="1"/>
  <c r="BA67" i="1" s="1"/>
  <c r="BC67" i="1" s="1"/>
  <c r="BK68" i="1"/>
  <c r="BJ68" i="1"/>
  <c r="BN68" i="1" s="1"/>
  <c r="BO68" i="1" s="1"/>
  <c r="X76" i="1"/>
  <c r="Y76" i="1" s="1"/>
  <c r="BB76" i="1"/>
  <c r="O77" i="1"/>
  <c r="N77" i="1"/>
  <c r="BA77" i="1" s="1"/>
  <c r="BC77" i="1" s="1"/>
  <c r="M77" i="1"/>
  <c r="L77" i="1" s="1"/>
  <c r="AL77" i="1"/>
  <c r="R77" i="1"/>
  <c r="AE81" i="1"/>
  <c r="O91" i="1"/>
  <c r="N91" i="1"/>
  <c r="BA91" i="1" s="1"/>
  <c r="BC91" i="1" s="1"/>
  <c r="M91" i="1"/>
  <c r="L91" i="1" s="1"/>
  <c r="AL91" i="1"/>
  <c r="R91" i="1"/>
  <c r="M67" i="1"/>
  <c r="L67" i="1" s="1"/>
  <c r="W68" i="1"/>
  <c r="AL71" i="1"/>
  <c r="R71" i="1"/>
  <c r="O71" i="1"/>
  <c r="N71" i="1"/>
  <c r="BA71" i="1" s="1"/>
  <c r="BC71" i="1" s="1"/>
  <c r="AA79" i="1"/>
  <c r="X87" i="1"/>
  <c r="Y87" i="1" s="1"/>
  <c r="R42" i="1"/>
  <c r="R46" i="1"/>
  <c r="R50" i="1"/>
  <c r="R54" i="1"/>
  <c r="R58" i="1"/>
  <c r="R62" i="1"/>
  <c r="CY65" i="1"/>
  <c r="AZ65" i="1" s="1"/>
  <c r="BB65" i="1" s="1"/>
  <c r="W65" i="1"/>
  <c r="BC68" i="1"/>
  <c r="CY69" i="1"/>
  <c r="AZ69" i="1" s="1"/>
  <c r="BB69" i="1" s="1"/>
  <c r="X72" i="1"/>
  <c r="Y72" i="1" s="1"/>
  <c r="U72" i="1" s="1"/>
  <c r="S72" i="1" s="1"/>
  <c r="V72" i="1" s="1"/>
  <c r="P72" i="1" s="1"/>
  <c r="Q72" i="1" s="1"/>
  <c r="BB72" i="1"/>
  <c r="O73" i="1"/>
  <c r="N73" i="1"/>
  <c r="BA73" i="1" s="1"/>
  <c r="BC73" i="1" s="1"/>
  <c r="M73" i="1"/>
  <c r="L73" i="1" s="1"/>
  <c r="AL73" i="1"/>
  <c r="R73" i="1"/>
  <c r="U75" i="1"/>
  <c r="S75" i="1" s="1"/>
  <c r="V75" i="1" s="1"/>
  <c r="P75" i="1" s="1"/>
  <c r="Q75" i="1" s="1"/>
  <c r="X75" i="1"/>
  <c r="Y75" i="1" s="1"/>
  <c r="AL79" i="1"/>
  <c r="R79" i="1"/>
  <c r="O79" i="1"/>
  <c r="N79" i="1"/>
  <c r="BA79" i="1" s="1"/>
  <c r="BC79" i="1" s="1"/>
  <c r="BC76" i="1"/>
  <c r="AL58" i="1"/>
  <c r="AL62" i="1"/>
  <c r="O65" i="1"/>
  <c r="R65" i="1"/>
  <c r="BJ65" i="1"/>
  <c r="BN65" i="1" s="1"/>
  <c r="BO65" i="1" s="1"/>
  <c r="R74" i="1"/>
  <c r="O74" i="1"/>
  <c r="N74" i="1"/>
  <c r="BA74" i="1" s="1"/>
  <c r="BC74" i="1" s="1"/>
  <c r="M74" i="1"/>
  <c r="L74" i="1" s="1"/>
  <c r="AL74" i="1"/>
  <c r="O86" i="1"/>
  <c r="N86" i="1"/>
  <c r="BA86" i="1" s="1"/>
  <c r="BC86" i="1" s="1"/>
  <c r="M86" i="1"/>
  <c r="L86" i="1" s="1"/>
  <c r="AL86" i="1"/>
  <c r="R86" i="1"/>
  <c r="W43" i="1"/>
  <c r="W47" i="1"/>
  <c r="W51" i="1"/>
  <c r="W55" i="1"/>
  <c r="W59" i="1"/>
  <c r="W63" i="1"/>
  <c r="M65" i="1"/>
  <c r="L65" i="1" s="1"/>
  <c r="BK65" i="1"/>
  <c r="X66" i="1"/>
  <c r="Y66" i="1" s="1"/>
  <c r="BJ69" i="1"/>
  <c r="BN69" i="1" s="1"/>
  <c r="BO69" i="1" s="1"/>
  <c r="X71" i="1"/>
  <c r="Y71" i="1" s="1"/>
  <c r="AF71" i="1" s="1"/>
  <c r="AL75" i="1"/>
  <c r="R75" i="1"/>
  <c r="O75" i="1"/>
  <c r="N75" i="1"/>
  <c r="BA75" i="1" s="1"/>
  <c r="BC75" i="1" s="1"/>
  <c r="M79" i="1"/>
  <c r="L79" i="1" s="1"/>
  <c r="X80" i="1"/>
  <c r="Y80" i="1" s="1"/>
  <c r="AF80" i="1" s="1"/>
  <c r="BB80" i="1"/>
  <c r="CY93" i="1"/>
  <c r="AZ93" i="1" s="1"/>
  <c r="BB93" i="1" s="1"/>
  <c r="W93" i="1"/>
  <c r="BJ72" i="1"/>
  <c r="BN72" i="1" s="1"/>
  <c r="BO72" i="1" s="1"/>
  <c r="BJ76" i="1"/>
  <c r="BN76" i="1" s="1"/>
  <c r="BO76" i="1" s="1"/>
  <c r="BJ80" i="1"/>
  <c r="BN80" i="1" s="1"/>
  <c r="BO80" i="1" s="1"/>
  <c r="M93" i="1"/>
  <c r="L93" i="1" s="1"/>
  <c r="AL93" i="1"/>
  <c r="R93" i="1"/>
  <c r="O93" i="1"/>
  <c r="BK97" i="1"/>
  <c r="BJ97" i="1"/>
  <c r="BN97" i="1" s="1"/>
  <c r="BO97" i="1" s="1"/>
  <c r="BI97" i="1"/>
  <c r="BB86" i="1"/>
  <c r="CY89" i="1"/>
  <c r="AZ89" i="1" s="1"/>
  <c r="BB89" i="1" s="1"/>
  <c r="W89" i="1"/>
  <c r="AF91" i="1"/>
  <c r="O94" i="1"/>
  <c r="N94" i="1"/>
  <c r="BA94" i="1" s="1"/>
  <c r="BC94" i="1" s="1"/>
  <c r="M94" i="1"/>
  <c r="L94" i="1" s="1"/>
  <c r="AL94" i="1"/>
  <c r="R94" i="1"/>
  <c r="BK114" i="1"/>
  <c r="BJ114" i="1"/>
  <c r="BN114" i="1" s="1"/>
  <c r="BO114" i="1" s="1"/>
  <c r="BI114" i="1"/>
  <c r="CY81" i="1"/>
  <c r="AZ81" i="1" s="1"/>
  <c r="BB81" i="1" s="1"/>
  <c r="W81" i="1"/>
  <c r="BK85" i="1"/>
  <c r="BJ85" i="1"/>
  <c r="BN85" i="1" s="1"/>
  <c r="BO85" i="1" s="1"/>
  <c r="BI85" i="1"/>
  <c r="O87" i="1"/>
  <c r="N87" i="1"/>
  <c r="BA87" i="1" s="1"/>
  <c r="BC87" i="1" s="1"/>
  <c r="M87" i="1"/>
  <c r="L87" i="1" s="1"/>
  <c r="AL87" i="1"/>
  <c r="X88" i="1"/>
  <c r="Y88" i="1" s="1"/>
  <c r="M89" i="1"/>
  <c r="L89" i="1" s="1"/>
  <c r="AL89" i="1"/>
  <c r="R89" i="1"/>
  <c r="O89" i="1"/>
  <c r="BC93" i="1"/>
  <c r="W70" i="1"/>
  <c r="BI70" i="1"/>
  <c r="W74" i="1"/>
  <c r="BI74" i="1"/>
  <c r="W78" i="1"/>
  <c r="BI78" i="1"/>
  <c r="BC81" i="1"/>
  <c r="R81" i="1"/>
  <c r="O81" i="1"/>
  <c r="X83" i="1"/>
  <c r="Y83" i="1" s="1"/>
  <c r="O90" i="1"/>
  <c r="N90" i="1"/>
  <c r="BA90" i="1" s="1"/>
  <c r="BC90" i="1" s="1"/>
  <c r="M90" i="1"/>
  <c r="L90" i="1" s="1"/>
  <c r="AL90" i="1"/>
  <c r="R90" i="1"/>
  <c r="BB94" i="1"/>
  <c r="CY97" i="1"/>
  <c r="AZ97" i="1" s="1"/>
  <c r="BB97" i="1" s="1"/>
  <c r="W97" i="1"/>
  <c r="BJ70" i="1"/>
  <c r="BN70" i="1" s="1"/>
  <c r="BO70" i="1" s="1"/>
  <c r="BJ74" i="1"/>
  <c r="BN74" i="1" s="1"/>
  <c r="BO74" i="1" s="1"/>
  <c r="BJ78" i="1"/>
  <c r="BN78" i="1" s="1"/>
  <c r="BO78" i="1" s="1"/>
  <c r="O82" i="1"/>
  <c r="N82" i="1"/>
  <c r="BA82" i="1" s="1"/>
  <c r="BC82" i="1" s="1"/>
  <c r="M82" i="1"/>
  <c r="L82" i="1" s="1"/>
  <c r="AL82" i="1"/>
  <c r="R82" i="1"/>
  <c r="R87" i="1"/>
  <c r="N89" i="1"/>
  <c r="BA89" i="1" s="1"/>
  <c r="BC89" i="1" s="1"/>
  <c r="X91" i="1"/>
  <c r="Y91" i="1" s="1"/>
  <c r="BK93" i="1"/>
  <c r="BJ93" i="1"/>
  <c r="BN93" i="1" s="1"/>
  <c r="BO93" i="1" s="1"/>
  <c r="BI93" i="1"/>
  <c r="O95" i="1"/>
  <c r="N95" i="1"/>
  <c r="BA95" i="1" s="1"/>
  <c r="BC95" i="1" s="1"/>
  <c r="M95" i="1"/>
  <c r="L95" i="1" s="1"/>
  <c r="AL95" i="1"/>
  <c r="M97" i="1"/>
  <c r="L97" i="1" s="1"/>
  <c r="AL97" i="1"/>
  <c r="R97" i="1"/>
  <c r="O97" i="1"/>
  <c r="O104" i="1"/>
  <c r="N104" i="1"/>
  <c r="BA104" i="1" s="1"/>
  <c r="BC104" i="1" s="1"/>
  <c r="M104" i="1"/>
  <c r="L104" i="1" s="1"/>
  <c r="AL104" i="1"/>
  <c r="R104" i="1"/>
  <c r="W69" i="1"/>
  <c r="W73" i="1"/>
  <c r="W77" i="1"/>
  <c r="CY82" i="1"/>
  <c r="AZ82" i="1" s="1"/>
  <c r="CY85" i="1"/>
  <c r="AZ85" i="1" s="1"/>
  <c r="BB85" i="1" s="1"/>
  <c r="W85" i="1"/>
  <c r="BB90" i="1"/>
  <c r="BB82" i="1"/>
  <c r="O83" i="1"/>
  <c r="N83" i="1"/>
  <c r="BA83" i="1" s="1"/>
  <c r="BC83" i="1" s="1"/>
  <c r="M83" i="1"/>
  <c r="L83" i="1" s="1"/>
  <c r="AL83" i="1"/>
  <c r="M85" i="1"/>
  <c r="L85" i="1" s="1"/>
  <c r="AL85" i="1"/>
  <c r="R85" i="1"/>
  <c r="O85" i="1"/>
  <c r="BK89" i="1"/>
  <c r="BJ89" i="1"/>
  <c r="BN89" i="1" s="1"/>
  <c r="BO89" i="1" s="1"/>
  <c r="BI89" i="1"/>
  <c r="R95" i="1"/>
  <c r="N97" i="1"/>
  <c r="BA97" i="1" s="1"/>
  <c r="M106" i="1"/>
  <c r="L106" i="1" s="1"/>
  <c r="AL106" i="1"/>
  <c r="R106" i="1"/>
  <c r="O106" i="1"/>
  <c r="N106" i="1"/>
  <c r="BA106" i="1" s="1"/>
  <c r="BK82" i="1"/>
  <c r="M84" i="1"/>
  <c r="L84" i="1" s="1"/>
  <c r="M88" i="1"/>
  <c r="L88" i="1" s="1"/>
  <c r="M92" i="1"/>
  <c r="L92" i="1" s="1"/>
  <c r="M96" i="1"/>
  <c r="L96" i="1" s="1"/>
  <c r="BB99" i="1"/>
  <c r="CY99" i="1"/>
  <c r="AZ99" i="1" s="1"/>
  <c r="CY102" i="1"/>
  <c r="AZ102" i="1" s="1"/>
  <c r="BB102" i="1" s="1"/>
  <c r="W102" i="1"/>
  <c r="BK110" i="1"/>
  <c r="BJ110" i="1"/>
  <c r="BN110" i="1" s="1"/>
  <c r="BO110" i="1" s="1"/>
  <c r="BI110" i="1"/>
  <c r="CY111" i="1"/>
  <c r="AZ111" i="1" s="1"/>
  <c r="BB111" i="1" s="1"/>
  <c r="CY115" i="1"/>
  <c r="AZ115" i="1" s="1"/>
  <c r="BB115" i="1" s="1"/>
  <c r="N84" i="1"/>
  <c r="BA84" i="1" s="1"/>
  <c r="BC84" i="1" s="1"/>
  <c r="N88" i="1"/>
  <c r="BA88" i="1" s="1"/>
  <c r="BC88" i="1" s="1"/>
  <c r="N92" i="1"/>
  <c r="BA92" i="1" s="1"/>
  <c r="BC92" i="1" s="1"/>
  <c r="N96" i="1"/>
  <c r="BA96" i="1" s="1"/>
  <c r="BC96" i="1" s="1"/>
  <c r="R98" i="1"/>
  <c r="M102" i="1"/>
  <c r="L102" i="1" s="1"/>
  <c r="AL102" i="1"/>
  <c r="R102" i="1"/>
  <c r="O102" i="1"/>
  <c r="R109" i="1"/>
  <c r="O109" i="1"/>
  <c r="N109" i="1"/>
  <c r="BA109" i="1" s="1"/>
  <c r="BC109" i="1" s="1"/>
  <c r="M109" i="1"/>
  <c r="L109" i="1" s="1"/>
  <c r="X109" i="1" s="1"/>
  <c r="Y109" i="1" s="1"/>
  <c r="CY120" i="1"/>
  <c r="AZ120" i="1" s="1"/>
  <c r="BB120" i="1" s="1"/>
  <c r="W120" i="1"/>
  <c r="O84" i="1"/>
  <c r="O88" i="1"/>
  <c r="O92" i="1"/>
  <c r="O96" i="1"/>
  <c r="O100" i="1"/>
  <c r="N100" i="1"/>
  <c r="BA100" i="1" s="1"/>
  <c r="BC100" i="1" s="1"/>
  <c r="M100" i="1"/>
  <c r="L100" i="1" s="1"/>
  <c r="AL100" i="1"/>
  <c r="BC110" i="1"/>
  <c r="O112" i="1"/>
  <c r="N112" i="1"/>
  <c r="BA112" i="1" s="1"/>
  <c r="BC112" i="1" s="1"/>
  <c r="M112" i="1"/>
  <c r="L112" i="1" s="1"/>
  <c r="AL112" i="1"/>
  <c r="BC114" i="1"/>
  <c r="CY114" i="1"/>
  <c r="AZ114" i="1" s="1"/>
  <c r="BB114" i="1" s="1"/>
  <c r="W114" i="1"/>
  <c r="O116" i="1"/>
  <c r="N116" i="1"/>
  <c r="BA116" i="1" s="1"/>
  <c r="BC116" i="1" s="1"/>
  <c r="M116" i="1"/>
  <c r="L116" i="1" s="1"/>
  <c r="AL116" i="1"/>
  <c r="AF119" i="1"/>
  <c r="X123" i="1"/>
  <c r="Y123" i="1" s="1"/>
  <c r="AE123" i="1"/>
  <c r="U123" i="1"/>
  <c r="S123" i="1" s="1"/>
  <c r="V123" i="1" s="1"/>
  <c r="P123" i="1" s="1"/>
  <c r="Q123" i="1" s="1"/>
  <c r="AL98" i="1"/>
  <c r="R105" i="1"/>
  <c r="O105" i="1"/>
  <c r="N105" i="1"/>
  <c r="BA105" i="1" s="1"/>
  <c r="BC105" i="1" s="1"/>
  <c r="M105" i="1"/>
  <c r="L105" i="1" s="1"/>
  <c r="BK106" i="1"/>
  <c r="BJ106" i="1"/>
  <c r="BN106" i="1" s="1"/>
  <c r="BO106" i="1" s="1"/>
  <c r="BI106" i="1"/>
  <c r="CY110" i="1"/>
  <c r="AZ110" i="1" s="1"/>
  <c r="BB110" i="1" s="1"/>
  <c r="W110" i="1"/>
  <c r="R112" i="1"/>
  <c r="R116" i="1"/>
  <c r="AF127" i="1"/>
  <c r="W95" i="1"/>
  <c r="M98" i="1"/>
  <c r="L98" i="1" s="1"/>
  <c r="BJ98" i="1"/>
  <c r="BN98" i="1" s="1"/>
  <c r="BO98" i="1" s="1"/>
  <c r="R101" i="1"/>
  <c r="O101" i="1"/>
  <c r="N101" i="1"/>
  <c r="BA101" i="1" s="1"/>
  <c r="BC101" i="1" s="1"/>
  <c r="M101" i="1"/>
  <c r="L101" i="1" s="1"/>
  <c r="BK98" i="1"/>
  <c r="O99" i="1"/>
  <c r="N99" i="1"/>
  <c r="BA99" i="1" s="1"/>
  <c r="BC99" i="1" s="1"/>
  <c r="M99" i="1"/>
  <c r="L99" i="1" s="1"/>
  <c r="AL99" i="1"/>
  <c r="R99" i="1"/>
  <c r="BK102" i="1"/>
  <c r="BJ102" i="1"/>
  <c r="BN102" i="1" s="1"/>
  <c r="BO102" i="1" s="1"/>
  <c r="BI102" i="1"/>
  <c r="CY103" i="1"/>
  <c r="AZ103" i="1" s="1"/>
  <c r="O108" i="1"/>
  <c r="N108" i="1"/>
  <c r="BA108" i="1" s="1"/>
  <c r="BC108" i="1" s="1"/>
  <c r="M108" i="1"/>
  <c r="L108" i="1" s="1"/>
  <c r="AL108" i="1"/>
  <c r="X116" i="1"/>
  <c r="Y116" i="1" s="1"/>
  <c r="AF116" i="1" s="1"/>
  <c r="BB103" i="1"/>
  <c r="CY106" i="1"/>
  <c r="AZ106" i="1" s="1"/>
  <c r="BB106" i="1" s="1"/>
  <c r="W106" i="1"/>
  <c r="R108" i="1"/>
  <c r="AE113" i="1"/>
  <c r="BK99" i="1"/>
  <c r="BK103" i="1"/>
  <c r="BK107" i="1"/>
  <c r="AE110" i="1"/>
  <c r="BK111" i="1"/>
  <c r="O114" i="1"/>
  <c r="AE114" i="1"/>
  <c r="M120" i="1"/>
  <c r="L120" i="1" s="1"/>
  <c r="AL120" i="1"/>
  <c r="R120" i="1"/>
  <c r="O120" i="1"/>
  <c r="O121" i="1"/>
  <c r="N121" i="1"/>
  <c r="BA121" i="1" s="1"/>
  <c r="BC121" i="1" s="1"/>
  <c r="M121" i="1"/>
  <c r="L121" i="1" s="1"/>
  <c r="AL121" i="1"/>
  <c r="R121" i="1"/>
  <c r="AE133" i="1"/>
  <c r="X133" i="1"/>
  <c r="Y133" i="1" s="1"/>
  <c r="U133" i="1" s="1"/>
  <c r="S133" i="1" s="1"/>
  <c r="V133" i="1" s="1"/>
  <c r="P133" i="1" s="1"/>
  <c r="Q133" i="1" s="1"/>
  <c r="U146" i="1"/>
  <c r="S146" i="1" s="1"/>
  <c r="V146" i="1" s="1"/>
  <c r="P146" i="1" s="1"/>
  <c r="Q146" i="1" s="1"/>
  <c r="AE146" i="1"/>
  <c r="R103" i="1"/>
  <c r="R107" i="1"/>
  <c r="R111" i="1"/>
  <c r="R115" i="1"/>
  <c r="CY121" i="1"/>
  <c r="AZ121" i="1" s="1"/>
  <c r="BB121" i="1" s="1"/>
  <c r="CY124" i="1"/>
  <c r="AZ124" i="1" s="1"/>
  <c r="BB124" i="1" s="1"/>
  <c r="W124" i="1"/>
  <c r="X127" i="1"/>
  <c r="Y127" i="1" s="1"/>
  <c r="AE128" i="1"/>
  <c r="CY128" i="1"/>
  <c r="AZ128" i="1" s="1"/>
  <c r="BB128" i="1" s="1"/>
  <c r="W128" i="1"/>
  <c r="AE132" i="1"/>
  <c r="AL145" i="1"/>
  <c r="R145" i="1"/>
  <c r="O145" i="1"/>
  <c r="N145" i="1"/>
  <c r="BA145" i="1" s="1"/>
  <c r="BC145" i="1" s="1"/>
  <c r="M145" i="1"/>
  <c r="L145" i="1" s="1"/>
  <c r="CY160" i="1"/>
  <c r="AZ160" i="1" s="1"/>
  <c r="BB160" i="1" s="1"/>
  <c r="W160" i="1"/>
  <c r="X119" i="1"/>
  <c r="Y119" i="1" s="1"/>
  <c r="AE119" i="1"/>
  <c r="U119" i="1"/>
  <c r="S119" i="1" s="1"/>
  <c r="V119" i="1" s="1"/>
  <c r="P119" i="1" s="1"/>
  <c r="Q119" i="1" s="1"/>
  <c r="BC120" i="1"/>
  <c r="O122" i="1"/>
  <c r="N122" i="1"/>
  <c r="BA122" i="1" s="1"/>
  <c r="BC122" i="1" s="1"/>
  <c r="M122" i="1"/>
  <c r="L122" i="1" s="1"/>
  <c r="AL122" i="1"/>
  <c r="O125" i="1"/>
  <c r="N125" i="1"/>
  <c r="BA125" i="1" s="1"/>
  <c r="M125" i="1"/>
  <c r="L125" i="1" s="1"/>
  <c r="AL125" i="1"/>
  <c r="R125" i="1"/>
  <c r="AE127" i="1"/>
  <c r="U127" i="1"/>
  <c r="S127" i="1" s="1"/>
  <c r="V127" i="1" s="1"/>
  <c r="P127" i="1" s="1"/>
  <c r="Q127" i="1" s="1"/>
  <c r="BC128" i="1"/>
  <c r="O129" i="1"/>
  <c r="N129" i="1"/>
  <c r="BA129" i="1" s="1"/>
  <c r="M129" i="1"/>
  <c r="L129" i="1" s="1"/>
  <c r="AL129" i="1"/>
  <c r="R129" i="1"/>
  <c r="AE141" i="1"/>
  <c r="X141" i="1"/>
  <c r="Y141" i="1" s="1"/>
  <c r="U141" i="1"/>
  <c r="S141" i="1" s="1"/>
  <c r="V141" i="1" s="1"/>
  <c r="P141" i="1" s="1"/>
  <c r="Q141" i="1" s="1"/>
  <c r="AL103" i="1"/>
  <c r="X105" i="1"/>
  <c r="Y105" i="1" s="1"/>
  <c r="AL107" i="1"/>
  <c r="AL111" i="1"/>
  <c r="X113" i="1"/>
  <c r="Y113" i="1" s="1"/>
  <c r="AF113" i="1" s="1"/>
  <c r="AL115" i="1"/>
  <c r="BI116" i="1"/>
  <c r="O117" i="1"/>
  <c r="N117" i="1"/>
  <c r="BA117" i="1" s="1"/>
  <c r="BC117" i="1" s="1"/>
  <c r="M117" i="1"/>
  <c r="L117" i="1" s="1"/>
  <c r="AL117" i="1"/>
  <c r="R117" i="1"/>
  <c r="CY125" i="1"/>
  <c r="AZ125" i="1" s="1"/>
  <c r="CY129" i="1"/>
  <c r="AZ129" i="1" s="1"/>
  <c r="BB129" i="1" s="1"/>
  <c r="AE143" i="1"/>
  <c r="BI100" i="1"/>
  <c r="M103" i="1"/>
  <c r="L103" i="1" s="1"/>
  <c r="M107" i="1"/>
  <c r="L107" i="1" s="1"/>
  <c r="M111" i="1"/>
  <c r="L111" i="1" s="1"/>
  <c r="BI112" i="1"/>
  <c r="M115" i="1"/>
  <c r="L115" i="1" s="1"/>
  <c r="BJ116" i="1"/>
  <c r="BN116" i="1" s="1"/>
  <c r="BO116" i="1" s="1"/>
  <c r="BC119" i="1"/>
  <c r="BK120" i="1"/>
  <c r="BJ120" i="1"/>
  <c r="BN120" i="1" s="1"/>
  <c r="BO120" i="1" s="1"/>
  <c r="BI120" i="1"/>
  <c r="R122" i="1"/>
  <c r="BB125" i="1"/>
  <c r="BC144" i="1"/>
  <c r="BJ100" i="1"/>
  <c r="BN100" i="1" s="1"/>
  <c r="BO100" i="1" s="1"/>
  <c r="N103" i="1"/>
  <c r="BA103" i="1" s="1"/>
  <c r="BC103" i="1" s="1"/>
  <c r="N107" i="1"/>
  <c r="BA107" i="1" s="1"/>
  <c r="BC107" i="1" s="1"/>
  <c r="N111" i="1"/>
  <c r="BA111" i="1" s="1"/>
  <c r="BC111" i="1" s="1"/>
  <c r="BJ112" i="1"/>
  <c r="BN112" i="1" s="1"/>
  <c r="BO112" i="1" s="1"/>
  <c r="N115" i="1"/>
  <c r="BA115" i="1" s="1"/>
  <c r="BC115" i="1" s="1"/>
  <c r="O126" i="1"/>
  <c r="N126" i="1"/>
  <c r="BA126" i="1" s="1"/>
  <c r="BC126" i="1" s="1"/>
  <c r="M126" i="1"/>
  <c r="L126" i="1" s="1"/>
  <c r="AL126" i="1"/>
  <c r="O130" i="1"/>
  <c r="N130" i="1"/>
  <c r="BA130" i="1" s="1"/>
  <c r="BC130" i="1" s="1"/>
  <c r="M130" i="1"/>
  <c r="L130" i="1" s="1"/>
  <c r="AL130" i="1"/>
  <c r="BB134" i="1"/>
  <c r="O118" i="1"/>
  <c r="N118" i="1"/>
  <c r="BA118" i="1" s="1"/>
  <c r="BC118" i="1" s="1"/>
  <c r="M118" i="1"/>
  <c r="L118" i="1" s="1"/>
  <c r="AL118" i="1"/>
  <c r="BK124" i="1"/>
  <c r="BJ124" i="1"/>
  <c r="BN124" i="1" s="1"/>
  <c r="BO124" i="1" s="1"/>
  <c r="BI124" i="1"/>
  <c r="BK128" i="1"/>
  <c r="BJ128" i="1"/>
  <c r="BN128" i="1" s="1"/>
  <c r="BO128" i="1" s="1"/>
  <c r="BI128" i="1"/>
  <c r="R130" i="1"/>
  <c r="W131" i="1"/>
  <c r="CY131" i="1"/>
  <c r="AZ131" i="1" s="1"/>
  <c r="BB131" i="1" s="1"/>
  <c r="AF156" i="1"/>
  <c r="BK117" i="1"/>
  <c r="BK121" i="1"/>
  <c r="AE124" i="1"/>
  <c r="BK125" i="1"/>
  <c r="O128" i="1"/>
  <c r="BK129" i="1"/>
  <c r="M131" i="1"/>
  <c r="L131" i="1" s="1"/>
  <c r="BK136" i="1"/>
  <c r="BJ136" i="1"/>
  <c r="BN136" i="1" s="1"/>
  <c r="BO136" i="1" s="1"/>
  <c r="BI136" i="1"/>
  <c r="BK144" i="1"/>
  <c r="BJ144" i="1"/>
  <c r="BN144" i="1" s="1"/>
  <c r="BO144" i="1" s="1"/>
  <c r="BI144" i="1"/>
  <c r="AE159" i="1"/>
  <c r="M160" i="1"/>
  <c r="L160" i="1" s="1"/>
  <c r="AL160" i="1"/>
  <c r="R160" i="1"/>
  <c r="N160" i="1"/>
  <c r="BA160" i="1" s="1"/>
  <c r="O166" i="1"/>
  <c r="N166" i="1"/>
  <c r="BA166" i="1" s="1"/>
  <c r="BC166" i="1" s="1"/>
  <c r="M166" i="1"/>
  <c r="L166" i="1" s="1"/>
  <c r="AL166" i="1"/>
  <c r="N131" i="1"/>
  <c r="BA131" i="1" s="1"/>
  <c r="BC131" i="1" s="1"/>
  <c r="CY137" i="1"/>
  <c r="AZ137" i="1" s="1"/>
  <c r="BB137" i="1" s="1"/>
  <c r="AL141" i="1"/>
  <c r="R141" i="1"/>
  <c r="O141" i="1"/>
  <c r="N141" i="1"/>
  <c r="BA141" i="1" s="1"/>
  <c r="BC141" i="1" s="1"/>
  <c r="N142" i="1"/>
  <c r="BA142" i="1" s="1"/>
  <c r="BC142" i="1" s="1"/>
  <c r="M142" i="1"/>
  <c r="L142" i="1" s="1"/>
  <c r="AL142" i="1"/>
  <c r="X143" i="1"/>
  <c r="Y143" i="1" s="1"/>
  <c r="BB145" i="1"/>
  <c r="M148" i="1"/>
  <c r="L148" i="1" s="1"/>
  <c r="AL148" i="1"/>
  <c r="N148" i="1"/>
  <c r="BA148" i="1" s="1"/>
  <c r="BC148" i="1" s="1"/>
  <c r="R148" i="1"/>
  <c r="R155" i="1"/>
  <c r="O155" i="1"/>
  <c r="N155" i="1"/>
  <c r="BA155" i="1" s="1"/>
  <c r="BC155" i="1" s="1"/>
  <c r="M155" i="1"/>
  <c r="L155" i="1" s="1"/>
  <c r="AL155" i="1"/>
  <c r="O162" i="1"/>
  <c r="N162" i="1"/>
  <c r="BA162" i="1" s="1"/>
  <c r="BC162" i="1" s="1"/>
  <c r="M162" i="1"/>
  <c r="L162" i="1" s="1"/>
  <c r="AL162" i="1"/>
  <c r="BJ132" i="1"/>
  <c r="BN132" i="1" s="1"/>
  <c r="BO132" i="1" s="1"/>
  <c r="BI132" i="1"/>
  <c r="AL133" i="1"/>
  <c r="R133" i="1"/>
  <c r="O133" i="1"/>
  <c r="N133" i="1"/>
  <c r="BA133" i="1" s="1"/>
  <c r="BC133" i="1" s="1"/>
  <c r="N134" i="1"/>
  <c r="BA134" i="1" s="1"/>
  <c r="BC134" i="1" s="1"/>
  <c r="M134" i="1"/>
  <c r="L134" i="1" s="1"/>
  <c r="AL134" i="1"/>
  <c r="O135" i="1"/>
  <c r="N135" i="1"/>
  <c r="BA135" i="1" s="1"/>
  <c r="BC135" i="1" s="1"/>
  <c r="M135" i="1"/>
  <c r="L135" i="1" s="1"/>
  <c r="X135" i="1" s="1"/>
  <c r="Y135" i="1" s="1"/>
  <c r="R135" i="1"/>
  <c r="R136" i="1"/>
  <c r="O136" i="1"/>
  <c r="M136" i="1"/>
  <c r="L136" i="1" s="1"/>
  <c r="AL136" i="1"/>
  <c r="BK140" i="1"/>
  <c r="BJ140" i="1"/>
  <c r="BN140" i="1" s="1"/>
  <c r="BO140" i="1" s="1"/>
  <c r="BI140" i="1"/>
  <c r="R144" i="1"/>
  <c r="O144" i="1"/>
  <c r="M144" i="1"/>
  <c r="L144" i="1" s="1"/>
  <c r="AL144" i="1"/>
  <c r="AF146" i="1"/>
  <c r="BC146" i="1"/>
  <c r="O150" i="1"/>
  <c r="N150" i="1"/>
  <c r="BA150" i="1" s="1"/>
  <c r="BC150" i="1" s="1"/>
  <c r="M150" i="1"/>
  <c r="L150" i="1" s="1"/>
  <c r="AL150" i="1"/>
  <c r="X156" i="1"/>
  <c r="Y156" i="1" s="1"/>
  <c r="R128" i="1"/>
  <c r="R132" i="1"/>
  <c r="O132" i="1"/>
  <c r="AL132" i="1"/>
  <c r="BK132" i="1"/>
  <c r="CY136" i="1"/>
  <c r="AZ136" i="1" s="1"/>
  <c r="BB136" i="1" s="1"/>
  <c r="W136" i="1"/>
  <c r="X139" i="1"/>
  <c r="Y139" i="1" s="1"/>
  <c r="CY144" i="1"/>
  <c r="AZ144" i="1" s="1"/>
  <c r="W144" i="1"/>
  <c r="X146" i="1"/>
  <c r="Y146" i="1" s="1"/>
  <c r="BK152" i="1"/>
  <c r="BJ152" i="1"/>
  <c r="BN152" i="1" s="1"/>
  <c r="BO152" i="1" s="1"/>
  <c r="BI152" i="1"/>
  <c r="O160" i="1"/>
  <c r="BI118" i="1"/>
  <c r="X134" i="1"/>
  <c r="Y134" i="1" s="1"/>
  <c r="AF134" i="1" s="1"/>
  <c r="BB135" i="1"/>
  <c r="O139" i="1"/>
  <c r="N139" i="1"/>
  <c r="BA139" i="1" s="1"/>
  <c r="BC139" i="1" s="1"/>
  <c r="M139" i="1"/>
  <c r="L139" i="1" s="1"/>
  <c r="R139" i="1"/>
  <c r="R140" i="1"/>
  <c r="O140" i="1"/>
  <c r="M140" i="1"/>
  <c r="L140" i="1" s="1"/>
  <c r="AL140" i="1"/>
  <c r="AF143" i="1"/>
  <c r="R150" i="1"/>
  <c r="R162" i="1"/>
  <c r="AL128" i="1"/>
  <c r="N138" i="1"/>
  <c r="BA138" i="1" s="1"/>
  <c r="BC138" i="1" s="1"/>
  <c r="M138" i="1"/>
  <c r="L138" i="1" s="1"/>
  <c r="AL138" i="1"/>
  <c r="CY140" i="1"/>
  <c r="AZ140" i="1" s="1"/>
  <c r="BB140" i="1" s="1"/>
  <c r="W140" i="1"/>
  <c r="BB143" i="1"/>
  <c r="BB144" i="1"/>
  <c r="BK148" i="1"/>
  <c r="BJ148" i="1"/>
  <c r="BN148" i="1" s="1"/>
  <c r="BO148" i="1" s="1"/>
  <c r="BI148" i="1"/>
  <c r="X151" i="1"/>
  <c r="Y151" i="1" s="1"/>
  <c r="AE151" i="1"/>
  <c r="X164" i="1"/>
  <c r="Y164" i="1" s="1"/>
  <c r="W121" i="1"/>
  <c r="W125" i="1"/>
  <c r="W129" i="1"/>
  <c r="CY132" i="1"/>
  <c r="AZ132" i="1" s="1"/>
  <c r="BB132" i="1" s="1"/>
  <c r="W132" i="1"/>
  <c r="CY133" i="1"/>
  <c r="AZ133" i="1" s="1"/>
  <c r="BB133" i="1" s="1"/>
  <c r="AL137" i="1"/>
  <c r="R137" i="1"/>
  <c r="O137" i="1"/>
  <c r="N137" i="1"/>
  <c r="BA137" i="1" s="1"/>
  <c r="BC137" i="1" s="1"/>
  <c r="BB139" i="1"/>
  <c r="BC143" i="1"/>
  <c r="BB147" i="1"/>
  <c r="R143" i="1"/>
  <c r="R147" i="1"/>
  <c r="O153" i="1"/>
  <c r="N153" i="1"/>
  <c r="BA153" i="1" s="1"/>
  <c r="BC153" i="1" s="1"/>
  <c r="M153" i="1"/>
  <c r="L153" i="1" s="1"/>
  <c r="AL153" i="1"/>
  <c r="R153" i="1"/>
  <c r="R159" i="1"/>
  <c r="O159" i="1"/>
  <c r="N159" i="1"/>
  <c r="BA159" i="1" s="1"/>
  <c r="BC159" i="1" s="1"/>
  <c r="M163" i="1"/>
  <c r="L163" i="1" s="1"/>
  <c r="W137" i="1"/>
  <c r="BI137" i="1"/>
  <c r="O149" i="1"/>
  <c r="N149" i="1"/>
  <c r="BA149" i="1" s="1"/>
  <c r="BC149" i="1" s="1"/>
  <c r="M149" i="1"/>
  <c r="L149" i="1" s="1"/>
  <c r="AL149" i="1"/>
  <c r="R149" i="1"/>
  <c r="AA151" i="1"/>
  <c r="M156" i="1"/>
  <c r="L156" i="1" s="1"/>
  <c r="AL156" i="1"/>
  <c r="R156" i="1"/>
  <c r="CY157" i="1"/>
  <c r="AZ157" i="1" s="1"/>
  <c r="BB157" i="1" s="1"/>
  <c r="AF166" i="1"/>
  <c r="M147" i="1"/>
  <c r="L147" i="1" s="1"/>
  <c r="BB149" i="1"/>
  <c r="M152" i="1"/>
  <c r="L152" i="1" s="1"/>
  <c r="X152" i="1" s="1"/>
  <c r="Y152" i="1" s="1"/>
  <c r="AL152" i="1"/>
  <c r="R152" i="1"/>
  <c r="BB156" i="1"/>
  <c r="BK160" i="1"/>
  <c r="BJ160" i="1"/>
  <c r="BN160" i="1" s="1"/>
  <c r="BO160" i="1" s="1"/>
  <c r="U164" i="1"/>
  <c r="S164" i="1" s="1"/>
  <c r="V164" i="1" s="1"/>
  <c r="P164" i="1" s="1"/>
  <c r="Q164" i="1" s="1"/>
  <c r="BB164" i="1"/>
  <c r="AL146" i="1"/>
  <c r="N147" i="1"/>
  <c r="BA147" i="1" s="1"/>
  <c r="BC147" i="1" s="1"/>
  <c r="CY149" i="1"/>
  <c r="AZ149" i="1" s="1"/>
  <c r="R151" i="1"/>
  <c r="O151" i="1"/>
  <c r="N151" i="1"/>
  <c r="BA151" i="1" s="1"/>
  <c r="BC151" i="1" s="1"/>
  <c r="CY152" i="1"/>
  <c r="AZ152" i="1" s="1"/>
  <c r="BC152" i="1" s="1"/>
  <c r="O158" i="1"/>
  <c r="N158" i="1"/>
  <c r="BA158" i="1" s="1"/>
  <c r="BC158" i="1" s="1"/>
  <c r="M158" i="1"/>
  <c r="L158" i="1" s="1"/>
  <c r="AL158" i="1"/>
  <c r="BI160" i="1"/>
  <c r="O161" i="1"/>
  <c r="N161" i="1"/>
  <c r="BA161" i="1" s="1"/>
  <c r="BC161" i="1" s="1"/>
  <c r="M161" i="1"/>
  <c r="L161" i="1" s="1"/>
  <c r="AL161" i="1"/>
  <c r="R161" i="1"/>
  <c r="CY165" i="1"/>
  <c r="AZ165" i="1" s="1"/>
  <c r="BB165" i="1" s="1"/>
  <c r="BK156" i="1"/>
  <c r="BJ156" i="1"/>
  <c r="BN156" i="1" s="1"/>
  <c r="BO156" i="1" s="1"/>
  <c r="BC164" i="1"/>
  <c r="BK164" i="1"/>
  <c r="BJ164" i="1"/>
  <c r="BN164" i="1" s="1"/>
  <c r="BO164" i="1" s="1"/>
  <c r="BB151" i="1"/>
  <c r="O154" i="1"/>
  <c r="N154" i="1"/>
  <c r="BA154" i="1" s="1"/>
  <c r="BC154" i="1" s="1"/>
  <c r="M154" i="1"/>
  <c r="L154" i="1" s="1"/>
  <c r="AL154" i="1"/>
  <c r="BI156" i="1"/>
  <c r="O157" i="1"/>
  <c r="N157" i="1"/>
  <c r="BA157" i="1" s="1"/>
  <c r="BC157" i="1" s="1"/>
  <c r="M157" i="1"/>
  <c r="L157" i="1" s="1"/>
  <c r="AL157" i="1"/>
  <c r="R157" i="1"/>
  <c r="R163" i="1"/>
  <c r="O163" i="1"/>
  <c r="N163" i="1"/>
  <c r="BA163" i="1" s="1"/>
  <c r="BC163" i="1" s="1"/>
  <c r="BI164" i="1"/>
  <c r="X166" i="1"/>
  <c r="Y166" i="1" s="1"/>
  <c r="BI151" i="1"/>
  <c r="W155" i="1"/>
  <c r="BI155" i="1"/>
  <c r="W159" i="1"/>
  <c r="BI159" i="1"/>
  <c r="W163" i="1"/>
  <c r="BI163" i="1"/>
  <c r="BJ163" i="1"/>
  <c r="BN163" i="1" s="1"/>
  <c r="BO163" i="1" s="1"/>
  <c r="AL165" i="1"/>
  <c r="W150" i="1"/>
  <c r="BI150" i="1"/>
  <c r="W154" i="1"/>
  <c r="BI154" i="1"/>
  <c r="W158" i="1"/>
  <c r="BI158" i="1"/>
  <c r="W162" i="1"/>
  <c r="BI162" i="1"/>
  <c r="M165" i="1"/>
  <c r="L165" i="1" s="1"/>
  <c r="BJ150" i="1"/>
  <c r="BN150" i="1" s="1"/>
  <c r="BO150" i="1" s="1"/>
  <c r="BJ154" i="1"/>
  <c r="BN154" i="1" s="1"/>
  <c r="BO154" i="1" s="1"/>
  <c r="BJ158" i="1"/>
  <c r="BN158" i="1" s="1"/>
  <c r="BO158" i="1" s="1"/>
  <c r="BJ162" i="1"/>
  <c r="BN162" i="1" s="1"/>
  <c r="BO162" i="1" s="1"/>
  <c r="N165" i="1"/>
  <c r="BA165" i="1" s="1"/>
  <c r="BC165" i="1" s="1"/>
  <c r="W153" i="1"/>
  <c r="W157" i="1"/>
  <c r="W161" i="1"/>
  <c r="W165" i="1"/>
  <c r="Z28" i="1" l="1"/>
  <c r="AD28" i="1" s="1"/>
  <c r="AG28" i="1"/>
  <c r="AF28" i="1"/>
  <c r="Z24" i="1"/>
  <c r="AD24" i="1" s="1"/>
  <c r="AG24" i="1"/>
  <c r="AF24" i="1"/>
  <c r="Z152" i="1"/>
  <c r="AD152" i="1" s="1"/>
  <c r="AG152" i="1"/>
  <c r="AF152" i="1"/>
  <c r="Z135" i="1"/>
  <c r="AD135" i="1" s="1"/>
  <c r="AG135" i="1"/>
  <c r="AF135" i="1"/>
  <c r="Z20" i="1"/>
  <c r="AD20" i="1" s="1"/>
  <c r="AG20" i="1"/>
  <c r="AF20" i="1"/>
  <c r="Z109" i="1"/>
  <c r="AD109" i="1" s="1"/>
  <c r="AG109" i="1"/>
  <c r="AF109" i="1"/>
  <c r="AE165" i="1"/>
  <c r="X155" i="1"/>
  <c r="Y155" i="1" s="1"/>
  <c r="U155" i="1" s="1"/>
  <c r="S155" i="1" s="1"/>
  <c r="V155" i="1" s="1"/>
  <c r="P155" i="1" s="1"/>
  <c r="Q155" i="1" s="1"/>
  <c r="X132" i="1"/>
  <c r="Y132" i="1" s="1"/>
  <c r="AE148" i="1"/>
  <c r="AE107" i="1"/>
  <c r="X107" i="1"/>
  <c r="Y107" i="1" s="1"/>
  <c r="X25" i="1"/>
  <c r="Y25" i="1" s="1"/>
  <c r="U25" i="1" s="1"/>
  <c r="S25" i="1" s="1"/>
  <c r="V25" i="1" s="1"/>
  <c r="P25" i="1" s="1"/>
  <c r="Q25" i="1" s="1"/>
  <c r="Z92" i="1"/>
  <c r="AD92" i="1" s="1"/>
  <c r="AG92" i="1"/>
  <c r="X46" i="1"/>
  <c r="Y46" i="1" s="1"/>
  <c r="X128" i="1"/>
  <c r="Y128" i="1" s="1"/>
  <c r="U113" i="1"/>
  <c r="S113" i="1" s="1"/>
  <c r="V113" i="1" s="1"/>
  <c r="P113" i="1" s="1"/>
  <c r="Q113" i="1" s="1"/>
  <c r="AE83" i="1"/>
  <c r="U83" i="1"/>
  <c r="S83" i="1" s="1"/>
  <c r="V83" i="1" s="1"/>
  <c r="P83" i="1" s="1"/>
  <c r="Q83" i="1" s="1"/>
  <c r="AE97" i="1"/>
  <c r="X81" i="1"/>
  <c r="Y81" i="1" s="1"/>
  <c r="AE93" i="1"/>
  <c r="Z57" i="1"/>
  <c r="AD57" i="1" s="1"/>
  <c r="AG57" i="1"/>
  <c r="BC85" i="1"/>
  <c r="Z61" i="1"/>
  <c r="AD61" i="1" s="1"/>
  <c r="AG61" i="1"/>
  <c r="BC38" i="1"/>
  <c r="AE17" i="1"/>
  <c r="AE29" i="1"/>
  <c r="BC34" i="1"/>
  <c r="X153" i="1"/>
  <c r="Y153" i="1" s="1"/>
  <c r="X162" i="1"/>
  <c r="Y162" i="1" s="1"/>
  <c r="AG166" i="1"/>
  <c r="AH166" i="1" s="1"/>
  <c r="Z166" i="1"/>
  <c r="AD166" i="1" s="1"/>
  <c r="AE157" i="1"/>
  <c r="X148" i="1"/>
  <c r="Y148" i="1" s="1"/>
  <c r="U156" i="1"/>
  <c r="S156" i="1" s="1"/>
  <c r="V156" i="1" s="1"/>
  <c r="P156" i="1" s="1"/>
  <c r="Q156" i="1" s="1"/>
  <c r="AE156" i="1"/>
  <c r="X129" i="1"/>
  <c r="Y129" i="1" s="1"/>
  <c r="U129" i="1" s="1"/>
  <c r="S129" i="1" s="1"/>
  <c r="V129" i="1" s="1"/>
  <c r="P129" i="1" s="1"/>
  <c r="Q129" i="1" s="1"/>
  <c r="U138" i="1"/>
  <c r="S138" i="1" s="1"/>
  <c r="V138" i="1" s="1"/>
  <c r="P138" i="1" s="1"/>
  <c r="Q138" i="1" s="1"/>
  <c r="AE138" i="1"/>
  <c r="AE166" i="1"/>
  <c r="U166" i="1"/>
  <c r="S166" i="1" s="1"/>
  <c r="V166" i="1" s="1"/>
  <c r="P166" i="1" s="1"/>
  <c r="Q166" i="1" s="1"/>
  <c r="X131" i="1"/>
  <c r="Y131" i="1" s="1"/>
  <c r="BC136" i="1"/>
  <c r="AE145" i="1"/>
  <c r="X145" i="1"/>
  <c r="Y145" i="1" s="1"/>
  <c r="U145" i="1" s="1"/>
  <c r="S145" i="1" s="1"/>
  <c r="V145" i="1" s="1"/>
  <c r="P145" i="1" s="1"/>
  <c r="Q145" i="1" s="1"/>
  <c r="X138" i="1"/>
  <c r="Y138" i="1" s="1"/>
  <c r="AE121" i="1"/>
  <c r="AE105" i="1"/>
  <c r="U105" i="1"/>
  <c r="S105" i="1" s="1"/>
  <c r="V105" i="1" s="1"/>
  <c r="P105" i="1" s="1"/>
  <c r="Q105" i="1" s="1"/>
  <c r="X114" i="1"/>
  <c r="Y114" i="1" s="1"/>
  <c r="AE92" i="1"/>
  <c r="U92" i="1"/>
  <c r="S92" i="1" s="1"/>
  <c r="V92" i="1" s="1"/>
  <c r="P92" i="1" s="1"/>
  <c r="Q92" i="1" s="1"/>
  <c r="AE106" i="1"/>
  <c r="AG91" i="1"/>
  <c r="Z91" i="1"/>
  <c r="AD91" i="1" s="1"/>
  <c r="AE87" i="1"/>
  <c r="U87" i="1"/>
  <c r="S87" i="1" s="1"/>
  <c r="V87" i="1" s="1"/>
  <c r="P87" i="1" s="1"/>
  <c r="Q87" i="1" s="1"/>
  <c r="AE94" i="1"/>
  <c r="U94" i="1"/>
  <c r="S94" i="1" s="1"/>
  <c r="V94" i="1" s="1"/>
  <c r="P94" i="1" s="1"/>
  <c r="Q94" i="1" s="1"/>
  <c r="X94" i="1"/>
  <c r="Y94" i="1" s="1"/>
  <c r="X55" i="1"/>
  <c r="Y55" i="1" s="1"/>
  <c r="AE91" i="1"/>
  <c r="U91" i="1"/>
  <c r="S91" i="1" s="1"/>
  <c r="V91" i="1" s="1"/>
  <c r="P91" i="1" s="1"/>
  <c r="Q91" i="1" s="1"/>
  <c r="X39" i="1"/>
  <c r="Y39" i="1" s="1"/>
  <c r="AE55" i="1"/>
  <c r="U55" i="1"/>
  <c r="S55" i="1" s="1"/>
  <c r="V55" i="1" s="1"/>
  <c r="P55" i="1" s="1"/>
  <c r="Q55" i="1" s="1"/>
  <c r="AE26" i="1"/>
  <c r="AG37" i="1"/>
  <c r="AH37" i="1" s="1"/>
  <c r="Z37" i="1"/>
  <c r="AD37" i="1" s="1"/>
  <c r="Z49" i="1"/>
  <c r="AD49" i="1" s="1"/>
  <c r="AG49" i="1"/>
  <c r="AH49" i="1" s="1"/>
  <c r="BC35" i="1"/>
  <c r="BC58" i="1"/>
  <c r="X150" i="1"/>
  <c r="Y150" i="1" s="1"/>
  <c r="AE161" i="1"/>
  <c r="U161" i="1"/>
  <c r="S161" i="1" s="1"/>
  <c r="V161" i="1" s="1"/>
  <c r="P161" i="1" s="1"/>
  <c r="Q161" i="1" s="1"/>
  <c r="Z151" i="1"/>
  <c r="AD151" i="1" s="1"/>
  <c r="AG151" i="1"/>
  <c r="U151" i="1"/>
  <c r="S151" i="1" s="1"/>
  <c r="V151" i="1" s="1"/>
  <c r="P151" i="1" s="1"/>
  <c r="Q151" i="1" s="1"/>
  <c r="AE101" i="1"/>
  <c r="AG83" i="1"/>
  <c r="AF83" i="1"/>
  <c r="Z83" i="1"/>
  <c r="AD83" i="1" s="1"/>
  <c r="AE86" i="1"/>
  <c r="X86" i="1"/>
  <c r="Y86" i="1" s="1"/>
  <c r="U86" i="1" s="1"/>
  <c r="S86" i="1" s="1"/>
  <c r="V86" i="1" s="1"/>
  <c r="P86" i="1" s="1"/>
  <c r="Q86" i="1" s="1"/>
  <c r="AE35" i="1"/>
  <c r="X38" i="1"/>
  <c r="Y38" i="1" s="1"/>
  <c r="X157" i="1"/>
  <c r="Y157" i="1" s="1"/>
  <c r="Z156" i="1"/>
  <c r="AD156" i="1" s="1"/>
  <c r="AG156" i="1"/>
  <c r="AH156" i="1" s="1"/>
  <c r="AE103" i="1"/>
  <c r="U103" i="1"/>
  <c r="S103" i="1" s="1"/>
  <c r="V103" i="1" s="1"/>
  <c r="P103" i="1" s="1"/>
  <c r="Q103" i="1" s="1"/>
  <c r="X103" i="1"/>
  <c r="Y103" i="1" s="1"/>
  <c r="Z141" i="1"/>
  <c r="AD141" i="1" s="1"/>
  <c r="AG141" i="1"/>
  <c r="AF141" i="1"/>
  <c r="AE122" i="1"/>
  <c r="BC124" i="1"/>
  <c r="Z71" i="1"/>
  <c r="AD71" i="1" s="1"/>
  <c r="AG71" i="1"/>
  <c r="AH71" i="1" s="1"/>
  <c r="AE77" i="1"/>
  <c r="AE70" i="1"/>
  <c r="U38" i="1"/>
  <c r="S38" i="1" s="1"/>
  <c r="V38" i="1" s="1"/>
  <c r="P38" i="1" s="1"/>
  <c r="Q38" i="1" s="1"/>
  <c r="AE38" i="1"/>
  <c r="U24" i="1"/>
  <c r="S24" i="1" s="1"/>
  <c r="V24" i="1" s="1"/>
  <c r="P24" i="1" s="1"/>
  <c r="Q24" i="1" s="1"/>
  <c r="AE24" i="1"/>
  <c r="AE69" i="1"/>
  <c r="U69" i="1"/>
  <c r="S69" i="1" s="1"/>
  <c r="V69" i="1" s="1"/>
  <c r="P69" i="1" s="1"/>
  <c r="Q69" i="1" s="1"/>
  <c r="X26" i="1"/>
  <c r="Y26" i="1" s="1"/>
  <c r="X42" i="1"/>
  <c r="Y42" i="1" s="1"/>
  <c r="X27" i="1"/>
  <c r="Y27" i="1" s="1"/>
  <c r="Z32" i="1"/>
  <c r="AD32" i="1" s="1"/>
  <c r="AG32" i="1"/>
  <c r="AH32" i="1" s="1"/>
  <c r="AF151" i="1"/>
  <c r="BB152" i="1"/>
  <c r="AE147" i="1"/>
  <c r="X125" i="1"/>
  <c r="Y125" i="1" s="1"/>
  <c r="AE140" i="1"/>
  <c r="U140" i="1"/>
  <c r="S140" i="1" s="1"/>
  <c r="V140" i="1" s="1"/>
  <c r="P140" i="1" s="1"/>
  <c r="Q140" i="1" s="1"/>
  <c r="AG146" i="1"/>
  <c r="AH146" i="1" s="1"/>
  <c r="Z146" i="1"/>
  <c r="AD146" i="1" s="1"/>
  <c r="AE144" i="1"/>
  <c r="AE136" i="1"/>
  <c r="U134" i="1"/>
  <c r="S134" i="1" s="1"/>
  <c r="V134" i="1" s="1"/>
  <c r="P134" i="1" s="1"/>
  <c r="Q134" i="1" s="1"/>
  <c r="AE134" i="1"/>
  <c r="Z143" i="1"/>
  <c r="AD143" i="1" s="1"/>
  <c r="AG143" i="1"/>
  <c r="AH143" i="1" s="1"/>
  <c r="X122" i="1"/>
  <c r="Y122" i="1" s="1"/>
  <c r="BC132" i="1"/>
  <c r="U143" i="1"/>
  <c r="S143" i="1" s="1"/>
  <c r="V143" i="1" s="1"/>
  <c r="P143" i="1" s="1"/>
  <c r="Q143" i="1" s="1"/>
  <c r="Z123" i="1"/>
  <c r="AD123" i="1" s="1"/>
  <c r="AG123" i="1"/>
  <c r="X120" i="1"/>
  <c r="Y120" i="1" s="1"/>
  <c r="AE88" i="1"/>
  <c r="U88" i="1"/>
  <c r="S88" i="1" s="1"/>
  <c r="V88" i="1" s="1"/>
  <c r="P88" i="1" s="1"/>
  <c r="Q88" i="1" s="1"/>
  <c r="BC97" i="1"/>
  <c r="AE95" i="1"/>
  <c r="AE79" i="1"/>
  <c r="U79" i="1"/>
  <c r="S79" i="1" s="1"/>
  <c r="V79" i="1" s="1"/>
  <c r="P79" i="1" s="1"/>
  <c r="Q79" i="1" s="1"/>
  <c r="U71" i="1"/>
  <c r="S71" i="1" s="1"/>
  <c r="V71" i="1" s="1"/>
  <c r="P71" i="1" s="1"/>
  <c r="Q71" i="1" s="1"/>
  <c r="X51" i="1"/>
  <c r="Y51" i="1" s="1"/>
  <c r="AE73" i="1"/>
  <c r="X65" i="1"/>
  <c r="Y65" i="1" s="1"/>
  <c r="BC69" i="1"/>
  <c r="AE59" i="1"/>
  <c r="P44" i="1"/>
  <c r="Q44" i="1" s="1"/>
  <c r="AE32" i="1"/>
  <c r="U32" i="1"/>
  <c r="S32" i="1" s="1"/>
  <c r="V32" i="1" s="1"/>
  <c r="P32" i="1" s="1"/>
  <c r="Q32" i="1" s="1"/>
  <c r="X21" i="1"/>
  <c r="Y21" i="1" s="1"/>
  <c r="BC46" i="1"/>
  <c r="AE43" i="1"/>
  <c r="BC55" i="1"/>
  <c r="AE78" i="1"/>
  <c r="X23" i="1"/>
  <c r="Y23" i="1" s="1"/>
  <c r="Z53" i="1"/>
  <c r="AD53" i="1" s="1"/>
  <c r="AG53" i="1"/>
  <c r="AH53" i="1" s="1"/>
  <c r="AG33" i="1"/>
  <c r="AH33" i="1" s="1"/>
  <c r="Z33" i="1"/>
  <c r="AD33" i="1" s="1"/>
  <c r="U33" i="1"/>
  <c r="S33" i="1" s="1"/>
  <c r="V33" i="1" s="1"/>
  <c r="P33" i="1" s="1"/>
  <c r="Q33" i="1" s="1"/>
  <c r="X161" i="1"/>
  <c r="Y161" i="1" s="1"/>
  <c r="Z139" i="1"/>
  <c r="AD139" i="1" s="1"/>
  <c r="AG139" i="1"/>
  <c r="AF139" i="1"/>
  <c r="X136" i="1"/>
  <c r="Y136" i="1" s="1"/>
  <c r="U136" i="1" s="1"/>
  <c r="S136" i="1" s="1"/>
  <c r="V136" i="1" s="1"/>
  <c r="P136" i="1" s="1"/>
  <c r="Q136" i="1" s="1"/>
  <c r="AE131" i="1"/>
  <c r="U131" i="1"/>
  <c r="S131" i="1" s="1"/>
  <c r="V131" i="1" s="1"/>
  <c r="P131" i="1" s="1"/>
  <c r="Q131" i="1" s="1"/>
  <c r="BC140" i="1"/>
  <c r="Z113" i="1"/>
  <c r="AD113" i="1" s="1"/>
  <c r="AG113" i="1"/>
  <c r="AH113" i="1" s="1"/>
  <c r="X96" i="1"/>
  <c r="Y96" i="1" s="1"/>
  <c r="AE96" i="1"/>
  <c r="X104" i="1"/>
  <c r="Y104" i="1" s="1"/>
  <c r="U104" i="1" s="1"/>
  <c r="S104" i="1" s="1"/>
  <c r="V104" i="1" s="1"/>
  <c r="P104" i="1" s="1"/>
  <c r="Q104" i="1" s="1"/>
  <c r="AE104" i="1"/>
  <c r="X70" i="1"/>
  <c r="Y70" i="1" s="1"/>
  <c r="U70" i="1" s="1"/>
  <c r="S70" i="1" s="1"/>
  <c r="V70" i="1" s="1"/>
  <c r="P70" i="1" s="1"/>
  <c r="Q70" i="1" s="1"/>
  <c r="Z80" i="1"/>
  <c r="AD80" i="1" s="1"/>
  <c r="AG80" i="1"/>
  <c r="AH80" i="1" s="1"/>
  <c r="X59" i="1"/>
  <c r="Y59" i="1" s="1"/>
  <c r="U59" i="1" s="1"/>
  <c r="S59" i="1" s="1"/>
  <c r="V59" i="1" s="1"/>
  <c r="P59" i="1" s="1"/>
  <c r="Q59" i="1" s="1"/>
  <c r="X158" i="1"/>
  <c r="Y158" i="1" s="1"/>
  <c r="X163" i="1"/>
  <c r="Y163" i="1" s="1"/>
  <c r="U163" i="1" s="1"/>
  <c r="S163" i="1" s="1"/>
  <c r="V163" i="1" s="1"/>
  <c r="P163" i="1" s="1"/>
  <c r="Q163" i="1" s="1"/>
  <c r="X137" i="1"/>
  <c r="Y137" i="1" s="1"/>
  <c r="AE153" i="1"/>
  <c r="U153" i="1"/>
  <c r="S153" i="1" s="1"/>
  <c r="V153" i="1" s="1"/>
  <c r="P153" i="1" s="1"/>
  <c r="Q153" i="1" s="1"/>
  <c r="X121" i="1"/>
  <c r="Y121" i="1" s="1"/>
  <c r="X147" i="1"/>
  <c r="Y147" i="1" s="1"/>
  <c r="X144" i="1"/>
  <c r="Y144" i="1" s="1"/>
  <c r="AE150" i="1"/>
  <c r="U150" i="1"/>
  <c r="S150" i="1" s="1"/>
  <c r="V150" i="1" s="1"/>
  <c r="P150" i="1" s="1"/>
  <c r="Q150" i="1" s="1"/>
  <c r="AE162" i="1"/>
  <c r="U162" i="1"/>
  <c r="S162" i="1" s="1"/>
  <c r="V162" i="1" s="1"/>
  <c r="P162" i="1" s="1"/>
  <c r="Q162" i="1" s="1"/>
  <c r="AE130" i="1"/>
  <c r="AE117" i="1"/>
  <c r="U117" i="1"/>
  <c r="S117" i="1" s="1"/>
  <c r="V117" i="1" s="1"/>
  <c r="P117" i="1" s="1"/>
  <c r="Q117" i="1" s="1"/>
  <c r="X117" i="1"/>
  <c r="Y117" i="1" s="1"/>
  <c r="X106" i="1"/>
  <c r="Y106" i="1" s="1"/>
  <c r="X108" i="1"/>
  <c r="Y108" i="1" s="1"/>
  <c r="U108" i="1" s="1"/>
  <c r="S108" i="1" s="1"/>
  <c r="V108" i="1" s="1"/>
  <c r="P108" i="1" s="1"/>
  <c r="Q108" i="1" s="1"/>
  <c r="AE108" i="1"/>
  <c r="X110" i="1"/>
  <c r="Y110" i="1" s="1"/>
  <c r="X100" i="1"/>
  <c r="Y100" i="1" s="1"/>
  <c r="AE100" i="1"/>
  <c r="U100" i="1"/>
  <c r="S100" i="1" s="1"/>
  <c r="V100" i="1" s="1"/>
  <c r="P100" i="1" s="1"/>
  <c r="Q100" i="1" s="1"/>
  <c r="X102" i="1"/>
  <c r="Y102" i="1" s="1"/>
  <c r="AE84" i="1"/>
  <c r="U84" i="1"/>
  <c r="S84" i="1" s="1"/>
  <c r="V84" i="1" s="1"/>
  <c r="P84" i="1" s="1"/>
  <c r="Q84" i="1" s="1"/>
  <c r="X77" i="1"/>
  <c r="Y77" i="1" s="1"/>
  <c r="U77" i="1" s="1"/>
  <c r="S77" i="1" s="1"/>
  <c r="V77" i="1" s="1"/>
  <c r="P77" i="1" s="1"/>
  <c r="Q77" i="1" s="1"/>
  <c r="X47" i="1"/>
  <c r="Y47" i="1" s="1"/>
  <c r="AG87" i="1"/>
  <c r="AF87" i="1"/>
  <c r="Z87" i="1"/>
  <c r="AD87" i="1" s="1"/>
  <c r="BC59" i="1"/>
  <c r="AE39" i="1"/>
  <c r="U39" i="1"/>
  <c r="S39" i="1" s="1"/>
  <c r="V39" i="1" s="1"/>
  <c r="P39" i="1" s="1"/>
  <c r="Q39" i="1" s="1"/>
  <c r="U20" i="1"/>
  <c r="S20" i="1" s="1"/>
  <c r="V20" i="1" s="1"/>
  <c r="P20" i="1" s="1"/>
  <c r="Q20" i="1" s="1"/>
  <c r="AE20" i="1"/>
  <c r="U61" i="1"/>
  <c r="S61" i="1" s="1"/>
  <c r="V61" i="1" s="1"/>
  <c r="P61" i="1" s="1"/>
  <c r="Q61" i="1" s="1"/>
  <c r="AE61" i="1"/>
  <c r="AE47" i="1"/>
  <c r="U47" i="1"/>
  <c r="S47" i="1" s="1"/>
  <c r="V47" i="1" s="1"/>
  <c r="P47" i="1" s="1"/>
  <c r="Q47" i="1" s="1"/>
  <c r="AG41" i="1"/>
  <c r="AH41" i="1" s="1"/>
  <c r="Z41" i="1"/>
  <c r="AD41" i="1" s="1"/>
  <c r="X22" i="1"/>
  <c r="Y22" i="1" s="1"/>
  <c r="U57" i="1"/>
  <c r="S57" i="1" s="1"/>
  <c r="V57" i="1" s="1"/>
  <c r="P57" i="1" s="1"/>
  <c r="Q57" i="1" s="1"/>
  <c r="AE57" i="1"/>
  <c r="AE22" i="1"/>
  <c r="U22" i="1"/>
  <c r="S22" i="1" s="1"/>
  <c r="V22" i="1" s="1"/>
  <c r="P22" i="1" s="1"/>
  <c r="Q22" i="1" s="1"/>
  <c r="X54" i="1"/>
  <c r="Y54" i="1" s="1"/>
  <c r="P36" i="1"/>
  <c r="Q36" i="1" s="1"/>
  <c r="AE19" i="1"/>
  <c r="BC32" i="1"/>
  <c r="AE23" i="1"/>
  <c r="U23" i="1"/>
  <c r="S23" i="1" s="1"/>
  <c r="V23" i="1" s="1"/>
  <c r="P23" i="1" s="1"/>
  <c r="Q23" i="1" s="1"/>
  <c r="AE25" i="1"/>
  <c r="Z164" i="1"/>
  <c r="AD164" i="1" s="1"/>
  <c r="AG164" i="1"/>
  <c r="AF164" i="1"/>
  <c r="AG134" i="1"/>
  <c r="Z134" i="1"/>
  <c r="AD134" i="1" s="1"/>
  <c r="U142" i="1"/>
  <c r="S142" i="1" s="1"/>
  <c r="V142" i="1" s="1"/>
  <c r="P142" i="1" s="1"/>
  <c r="Q142" i="1" s="1"/>
  <c r="AE142" i="1"/>
  <c r="BC160" i="1"/>
  <c r="X118" i="1"/>
  <c r="Y118" i="1" s="1"/>
  <c r="U118" i="1" s="1"/>
  <c r="S118" i="1" s="1"/>
  <c r="V118" i="1" s="1"/>
  <c r="P118" i="1" s="1"/>
  <c r="Q118" i="1" s="1"/>
  <c r="AE118" i="1"/>
  <c r="AE115" i="1"/>
  <c r="X115" i="1"/>
  <c r="Y115" i="1" s="1"/>
  <c r="AE129" i="1"/>
  <c r="AE125" i="1"/>
  <c r="U125" i="1"/>
  <c r="S125" i="1" s="1"/>
  <c r="V125" i="1" s="1"/>
  <c r="P125" i="1" s="1"/>
  <c r="Q125" i="1" s="1"/>
  <c r="Z127" i="1"/>
  <c r="AD127" i="1" s="1"/>
  <c r="AG127" i="1"/>
  <c r="AH127" i="1" s="1"/>
  <c r="Z133" i="1"/>
  <c r="AD133" i="1" s="1"/>
  <c r="AG133" i="1"/>
  <c r="AF133" i="1"/>
  <c r="AE109" i="1"/>
  <c r="U109" i="1"/>
  <c r="S109" i="1" s="1"/>
  <c r="V109" i="1" s="1"/>
  <c r="P109" i="1" s="1"/>
  <c r="Q109" i="1" s="1"/>
  <c r="U102" i="1"/>
  <c r="S102" i="1" s="1"/>
  <c r="V102" i="1" s="1"/>
  <c r="P102" i="1" s="1"/>
  <c r="Q102" i="1" s="1"/>
  <c r="AE102" i="1"/>
  <c r="AF92" i="1"/>
  <c r="X73" i="1"/>
  <c r="Y73" i="1" s="1"/>
  <c r="AE90" i="1"/>
  <c r="X90" i="1"/>
  <c r="Y90" i="1" s="1"/>
  <c r="U90" i="1" s="1"/>
  <c r="S90" i="1" s="1"/>
  <c r="V90" i="1" s="1"/>
  <c r="P90" i="1" s="1"/>
  <c r="Q90" i="1" s="1"/>
  <c r="X78" i="1"/>
  <c r="Y78" i="1" s="1"/>
  <c r="AG66" i="1"/>
  <c r="AF66" i="1"/>
  <c r="Z66" i="1"/>
  <c r="AD66" i="1" s="1"/>
  <c r="X43" i="1"/>
  <c r="Y43" i="1" s="1"/>
  <c r="AE74" i="1"/>
  <c r="Z76" i="1"/>
  <c r="AD76" i="1" s="1"/>
  <c r="AG76" i="1"/>
  <c r="X62" i="1"/>
  <c r="Y62" i="1" s="1"/>
  <c r="X29" i="1"/>
  <c r="Y29" i="1" s="1"/>
  <c r="U29" i="1" s="1"/>
  <c r="S29" i="1" s="1"/>
  <c r="V29" i="1" s="1"/>
  <c r="P29" i="1" s="1"/>
  <c r="Q29" i="1" s="1"/>
  <c r="X58" i="1"/>
  <c r="Y58" i="1" s="1"/>
  <c r="AE63" i="1"/>
  <c r="X19" i="1"/>
  <c r="Y19" i="1" s="1"/>
  <c r="U19" i="1" s="1"/>
  <c r="S19" i="1" s="1"/>
  <c r="V19" i="1" s="1"/>
  <c r="P19" i="1" s="1"/>
  <c r="Q19" i="1" s="1"/>
  <c r="Z45" i="1"/>
  <c r="AD45" i="1" s="1"/>
  <c r="AG45" i="1"/>
  <c r="X35" i="1"/>
  <c r="Y35" i="1" s="1"/>
  <c r="U35" i="1" s="1"/>
  <c r="S35" i="1" s="1"/>
  <c r="V35" i="1" s="1"/>
  <c r="P35" i="1" s="1"/>
  <c r="Q35" i="1" s="1"/>
  <c r="AE27" i="1"/>
  <c r="U27" i="1"/>
  <c r="S27" i="1" s="1"/>
  <c r="V27" i="1" s="1"/>
  <c r="P27" i="1" s="1"/>
  <c r="Q27" i="1" s="1"/>
  <c r="AG40" i="1"/>
  <c r="AF40" i="1"/>
  <c r="Z40" i="1"/>
  <c r="AD40" i="1" s="1"/>
  <c r="AE31" i="1"/>
  <c r="U31" i="1"/>
  <c r="S31" i="1" s="1"/>
  <c r="V31" i="1" s="1"/>
  <c r="P31" i="1" s="1"/>
  <c r="Q31" i="1" s="1"/>
  <c r="P56" i="1"/>
  <c r="Q56" i="1" s="1"/>
  <c r="U152" i="1"/>
  <c r="S152" i="1" s="1"/>
  <c r="V152" i="1" s="1"/>
  <c r="P152" i="1" s="1"/>
  <c r="Q152" i="1" s="1"/>
  <c r="AE152" i="1"/>
  <c r="X160" i="1"/>
  <c r="Y160" i="1" s="1"/>
  <c r="U160" i="1" s="1"/>
  <c r="S160" i="1" s="1"/>
  <c r="V160" i="1" s="1"/>
  <c r="P160" i="1" s="1"/>
  <c r="Q160" i="1" s="1"/>
  <c r="U120" i="1"/>
  <c r="S120" i="1" s="1"/>
  <c r="V120" i="1" s="1"/>
  <c r="P120" i="1" s="1"/>
  <c r="Q120" i="1" s="1"/>
  <c r="AE120" i="1"/>
  <c r="Z88" i="1"/>
  <c r="AD88" i="1" s="1"/>
  <c r="AG88" i="1"/>
  <c r="AF88" i="1"/>
  <c r="X63" i="1"/>
  <c r="Y63" i="1" s="1"/>
  <c r="AG60" i="1"/>
  <c r="AF60" i="1"/>
  <c r="Z60" i="1"/>
  <c r="AD60" i="1" s="1"/>
  <c r="U60" i="1"/>
  <c r="S60" i="1" s="1"/>
  <c r="V60" i="1" s="1"/>
  <c r="P60" i="1" s="1"/>
  <c r="Q60" i="1" s="1"/>
  <c r="AE30" i="1"/>
  <c r="AE163" i="1"/>
  <c r="Z105" i="1"/>
  <c r="AD105" i="1" s="1"/>
  <c r="AG105" i="1"/>
  <c r="AH105" i="1" s="1"/>
  <c r="X154" i="1"/>
  <c r="Y154" i="1" s="1"/>
  <c r="X159" i="1"/>
  <c r="Y159" i="1" s="1"/>
  <c r="X142" i="1"/>
  <c r="Y142" i="1" s="1"/>
  <c r="AF123" i="1"/>
  <c r="BC129" i="1"/>
  <c r="BC125" i="1"/>
  <c r="AF105" i="1"/>
  <c r="AE99" i="1"/>
  <c r="X99" i="1"/>
  <c r="Y99" i="1" s="1"/>
  <c r="AE98" i="1"/>
  <c r="X98" i="1"/>
  <c r="Y98" i="1" s="1"/>
  <c r="BC102" i="1"/>
  <c r="AE116" i="1"/>
  <c r="U116" i="1"/>
  <c r="S116" i="1" s="1"/>
  <c r="V116" i="1" s="1"/>
  <c r="P116" i="1" s="1"/>
  <c r="Q116" i="1" s="1"/>
  <c r="X112" i="1"/>
  <c r="Y112" i="1" s="1"/>
  <c r="U112" i="1" s="1"/>
  <c r="S112" i="1" s="1"/>
  <c r="V112" i="1" s="1"/>
  <c r="P112" i="1" s="1"/>
  <c r="Q112" i="1" s="1"/>
  <c r="AE112" i="1"/>
  <c r="BC106" i="1"/>
  <c r="AE85" i="1"/>
  <c r="X69" i="1"/>
  <c r="Y69" i="1" s="1"/>
  <c r="X89" i="1"/>
  <c r="Y89" i="1" s="1"/>
  <c r="X93" i="1"/>
  <c r="Y93" i="1" s="1"/>
  <c r="Z75" i="1"/>
  <c r="AD75" i="1" s="1"/>
  <c r="AG75" i="1"/>
  <c r="AH75" i="1" s="1"/>
  <c r="X79" i="1"/>
  <c r="Y79" i="1" s="1"/>
  <c r="X68" i="1"/>
  <c r="Y68" i="1" s="1"/>
  <c r="AF45" i="1"/>
  <c r="U80" i="1"/>
  <c r="S80" i="1" s="1"/>
  <c r="V80" i="1" s="1"/>
  <c r="P80" i="1" s="1"/>
  <c r="Q80" i="1" s="1"/>
  <c r="U28" i="1"/>
  <c r="S28" i="1" s="1"/>
  <c r="V28" i="1" s="1"/>
  <c r="P28" i="1" s="1"/>
  <c r="Q28" i="1" s="1"/>
  <c r="AE28" i="1"/>
  <c r="X17" i="1"/>
  <c r="Y17" i="1" s="1"/>
  <c r="U17" i="1" s="1"/>
  <c r="S17" i="1" s="1"/>
  <c r="V17" i="1" s="1"/>
  <c r="P17" i="1" s="1"/>
  <c r="Q17" i="1" s="1"/>
  <c r="AF76" i="1"/>
  <c r="X30" i="1"/>
  <c r="Y30" i="1" s="1"/>
  <c r="AE18" i="1"/>
  <c r="X50" i="1"/>
  <c r="Y50" i="1" s="1"/>
  <c r="AG64" i="1"/>
  <c r="AF64" i="1"/>
  <c r="Z64" i="1"/>
  <c r="AD64" i="1" s="1"/>
  <c r="U64" i="1"/>
  <c r="S64" i="1" s="1"/>
  <c r="V64" i="1" s="1"/>
  <c r="P64" i="1" s="1"/>
  <c r="Q64" i="1" s="1"/>
  <c r="U40" i="1"/>
  <c r="S40" i="1" s="1"/>
  <c r="V40" i="1" s="1"/>
  <c r="P40" i="1" s="1"/>
  <c r="Q40" i="1" s="1"/>
  <c r="AE21" i="1"/>
  <c r="U21" i="1"/>
  <c r="S21" i="1" s="1"/>
  <c r="V21" i="1" s="1"/>
  <c r="P21" i="1" s="1"/>
  <c r="Q21" i="1" s="1"/>
  <c r="AE155" i="1"/>
  <c r="AE160" i="1"/>
  <c r="X126" i="1"/>
  <c r="Y126" i="1" s="1"/>
  <c r="U126" i="1" s="1"/>
  <c r="S126" i="1" s="1"/>
  <c r="V126" i="1" s="1"/>
  <c r="P126" i="1" s="1"/>
  <c r="Q126" i="1" s="1"/>
  <c r="AE126" i="1"/>
  <c r="AG116" i="1"/>
  <c r="AH116" i="1" s="1"/>
  <c r="Z116" i="1"/>
  <c r="AD116" i="1" s="1"/>
  <c r="X48" i="1"/>
  <c r="Y48" i="1" s="1"/>
  <c r="AE48" i="1"/>
  <c r="U48" i="1"/>
  <c r="S48" i="1" s="1"/>
  <c r="V48" i="1" s="1"/>
  <c r="P48" i="1" s="1"/>
  <c r="Q48" i="1" s="1"/>
  <c r="AE158" i="1"/>
  <c r="U158" i="1"/>
  <c r="S158" i="1" s="1"/>
  <c r="V158" i="1" s="1"/>
  <c r="P158" i="1" s="1"/>
  <c r="Q158" i="1" s="1"/>
  <c r="X165" i="1"/>
  <c r="Y165" i="1" s="1"/>
  <c r="AE154" i="1"/>
  <c r="U154" i="1"/>
  <c r="S154" i="1" s="1"/>
  <c r="V154" i="1" s="1"/>
  <c r="P154" i="1" s="1"/>
  <c r="Q154" i="1" s="1"/>
  <c r="AE149" i="1"/>
  <c r="X149" i="1"/>
  <c r="Y149" i="1" s="1"/>
  <c r="X140" i="1"/>
  <c r="Y140" i="1" s="1"/>
  <c r="AE139" i="1"/>
  <c r="U139" i="1"/>
  <c r="S139" i="1" s="1"/>
  <c r="V139" i="1" s="1"/>
  <c r="P139" i="1" s="1"/>
  <c r="Q139" i="1" s="1"/>
  <c r="AE135" i="1"/>
  <c r="U135" i="1"/>
  <c r="S135" i="1" s="1"/>
  <c r="V135" i="1" s="1"/>
  <c r="P135" i="1" s="1"/>
  <c r="Q135" i="1" s="1"/>
  <c r="AE111" i="1"/>
  <c r="U111" i="1"/>
  <c r="S111" i="1" s="1"/>
  <c r="V111" i="1" s="1"/>
  <c r="P111" i="1" s="1"/>
  <c r="Q111" i="1" s="1"/>
  <c r="X111" i="1"/>
  <c r="Y111" i="1" s="1"/>
  <c r="X101" i="1"/>
  <c r="Y101" i="1" s="1"/>
  <c r="Z119" i="1"/>
  <c r="AD119" i="1" s="1"/>
  <c r="AG119" i="1"/>
  <c r="AH119" i="1" s="1"/>
  <c r="X124" i="1"/>
  <c r="Y124" i="1" s="1"/>
  <c r="X130" i="1"/>
  <c r="Y130" i="1" s="1"/>
  <c r="U130" i="1" s="1"/>
  <c r="S130" i="1" s="1"/>
  <c r="V130" i="1" s="1"/>
  <c r="P130" i="1" s="1"/>
  <c r="Q130" i="1" s="1"/>
  <c r="X95" i="1"/>
  <c r="Y95" i="1" s="1"/>
  <c r="U95" i="1" s="1"/>
  <c r="S95" i="1" s="1"/>
  <c r="V95" i="1" s="1"/>
  <c r="P95" i="1" s="1"/>
  <c r="Q95" i="1" s="1"/>
  <c r="X84" i="1"/>
  <c r="Y84" i="1" s="1"/>
  <c r="X85" i="1"/>
  <c r="Y85" i="1" s="1"/>
  <c r="AE82" i="1"/>
  <c r="U82" i="1"/>
  <c r="S82" i="1" s="1"/>
  <c r="V82" i="1" s="1"/>
  <c r="P82" i="1" s="1"/>
  <c r="Q82" i="1" s="1"/>
  <c r="X82" i="1"/>
  <c r="Y82" i="1" s="1"/>
  <c r="X97" i="1"/>
  <c r="Y97" i="1" s="1"/>
  <c r="X74" i="1"/>
  <c r="Y74" i="1" s="1"/>
  <c r="U89" i="1"/>
  <c r="S89" i="1" s="1"/>
  <c r="V89" i="1" s="1"/>
  <c r="P89" i="1" s="1"/>
  <c r="Q89" i="1" s="1"/>
  <c r="AE89" i="1"/>
  <c r="AE65" i="1"/>
  <c r="U65" i="1"/>
  <c r="S65" i="1" s="1"/>
  <c r="V65" i="1" s="1"/>
  <c r="P65" i="1" s="1"/>
  <c r="Q65" i="1" s="1"/>
  <c r="U76" i="1"/>
  <c r="S76" i="1" s="1"/>
  <c r="V76" i="1" s="1"/>
  <c r="P76" i="1" s="1"/>
  <c r="Q76" i="1" s="1"/>
  <c r="Z72" i="1"/>
  <c r="AD72" i="1" s="1"/>
  <c r="AG72" i="1"/>
  <c r="AE67" i="1"/>
  <c r="U67" i="1"/>
  <c r="S67" i="1" s="1"/>
  <c r="V67" i="1" s="1"/>
  <c r="P67" i="1" s="1"/>
  <c r="Q67" i="1" s="1"/>
  <c r="X67" i="1"/>
  <c r="Y67" i="1" s="1"/>
  <c r="AF72" i="1"/>
  <c r="AF57" i="1"/>
  <c r="AE51" i="1"/>
  <c r="U51" i="1"/>
  <c r="S51" i="1" s="1"/>
  <c r="V51" i="1" s="1"/>
  <c r="P51" i="1" s="1"/>
  <c r="Q51" i="1" s="1"/>
  <c r="X18" i="1"/>
  <c r="Y18" i="1" s="1"/>
  <c r="AG44" i="1"/>
  <c r="AH44" i="1" s="1"/>
  <c r="AF44" i="1"/>
  <c r="Z44" i="1"/>
  <c r="AD44" i="1" s="1"/>
  <c r="X52" i="1"/>
  <c r="Y52" i="1" s="1"/>
  <c r="U52" i="1" s="1"/>
  <c r="S52" i="1" s="1"/>
  <c r="V52" i="1" s="1"/>
  <c r="P52" i="1" s="1"/>
  <c r="Q52" i="1" s="1"/>
  <c r="AE52" i="1"/>
  <c r="X31" i="1"/>
  <c r="Y31" i="1" s="1"/>
  <c r="U66" i="1"/>
  <c r="S66" i="1" s="1"/>
  <c r="V66" i="1" s="1"/>
  <c r="P66" i="1" s="1"/>
  <c r="Q66" i="1" s="1"/>
  <c r="AE66" i="1"/>
  <c r="U34" i="1"/>
  <c r="S34" i="1" s="1"/>
  <c r="V34" i="1" s="1"/>
  <c r="P34" i="1" s="1"/>
  <c r="Q34" i="1" s="1"/>
  <c r="AE34" i="1"/>
  <c r="X34" i="1"/>
  <c r="Y34" i="1" s="1"/>
  <c r="AG56" i="1"/>
  <c r="AF56" i="1"/>
  <c r="Z56" i="1"/>
  <c r="AD56" i="1" s="1"/>
  <c r="AG68" i="1" l="1"/>
  <c r="AH68" i="1" s="1"/>
  <c r="Z68" i="1"/>
  <c r="AD68" i="1" s="1"/>
  <c r="AF68" i="1"/>
  <c r="U68" i="1"/>
  <c r="S68" i="1" s="1"/>
  <c r="V68" i="1" s="1"/>
  <c r="P68" i="1" s="1"/>
  <c r="Q68" i="1" s="1"/>
  <c r="Z69" i="1"/>
  <c r="AD69" i="1" s="1"/>
  <c r="AG69" i="1"/>
  <c r="AF69" i="1"/>
  <c r="AG67" i="1"/>
  <c r="AH67" i="1" s="1"/>
  <c r="Z67" i="1"/>
  <c r="AD67" i="1" s="1"/>
  <c r="AF67" i="1"/>
  <c r="AG48" i="1"/>
  <c r="AF48" i="1"/>
  <c r="Z48" i="1"/>
  <c r="AD48" i="1" s="1"/>
  <c r="AH64" i="1"/>
  <c r="Z79" i="1"/>
  <c r="AD79" i="1" s="1"/>
  <c r="AG79" i="1"/>
  <c r="AH79" i="1" s="1"/>
  <c r="AF79" i="1"/>
  <c r="AG154" i="1"/>
  <c r="Z154" i="1"/>
  <c r="AD154" i="1" s="1"/>
  <c r="AF154" i="1"/>
  <c r="AH45" i="1"/>
  <c r="Z43" i="1"/>
  <c r="AD43" i="1" s="1"/>
  <c r="AG43" i="1"/>
  <c r="AH43" i="1" s="1"/>
  <c r="AF43" i="1"/>
  <c r="Z54" i="1"/>
  <c r="AD54" i="1" s="1"/>
  <c r="AG54" i="1"/>
  <c r="AH54" i="1" s="1"/>
  <c r="AF54" i="1"/>
  <c r="U54" i="1"/>
  <c r="S54" i="1" s="1"/>
  <c r="V54" i="1" s="1"/>
  <c r="P54" i="1" s="1"/>
  <c r="Q54" i="1" s="1"/>
  <c r="AG100" i="1"/>
  <c r="Z100" i="1"/>
  <c r="AD100" i="1" s="1"/>
  <c r="AF100" i="1"/>
  <c r="Z117" i="1"/>
  <c r="AD117" i="1" s="1"/>
  <c r="AG117" i="1"/>
  <c r="AH117" i="1" s="1"/>
  <c r="AF117" i="1"/>
  <c r="Z137" i="1"/>
  <c r="AD137" i="1" s="1"/>
  <c r="AG137" i="1"/>
  <c r="AH137" i="1" s="1"/>
  <c r="AF137" i="1"/>
  <c r="U137" i="1"/>
  <c r="S137" i="1" s="1"/>
  <c r="V137" i="1" s="1"/>
  <c r="P137" i="1" s="1"/>
  <c r="Q137" i="1" s="1"/>
  <c r="U43" i="1"/>
  <c r="S43" i="1" s="1"/>
  <c r="V43" i="1" s="1"/>
  <c r="P43" i="1" s="1"/>
  <c r="Q43" i="1" s="1"/>
  <c r="Z26" i="1"/>
  <c r="AD26" i="1" s="1"/>
  <c r="AG26" i="1"/>
  <c r="AH26" i="1" s="1"/>
  <c r="AF26" i="1"/>
  <c r="AH151" i="1"/>
  <c r="Z39" i="1"/>
  <c r="AD39" i="1" s="1"/>
  <c r="AG39" i="1"/>
  <c r="AF39" i="1"/>
  <c r="AH57" i="1"/>
  <c r="Z132" i="1"/>
  <c r="AD132" i="1" s="1"/>
  <c r="AG132" i="1"/>
  <c r="AH132" i="1" s="1"/>
  <c r="U132" i="1"/>
  <c r="S132" i="1" s="1"/>
  <c r="V132" i="1" s="1"/>
  <c r="P132" i="1" s="1"/>
  <c r="Q132" i="1" s="1"/>
  <c r="AF132" i="1"/>
  <c r="AH152" i="1"/>
  <c r="Z85" i="1"/>
  <c r="AD85" i="1" s="1"/>
  <c r="AG85" i="1"/>
  <c r="AF85" i="1"/>
  <c r="Z145" i="1"/>
  <c r="AD145" i="1" s="1"/>
  <c r="AG145" i="1"/>
  <c r="AF145" i="1"/>
  <c r="Z18" i="1"/>
  <c r="AD18" i="1" s="1"/>
  <c r="AG18" i="1"/>
  <c r="AH18" i="1" s="1"/>
  <c r="AF18" i="1"/>
  <c r="Z165" i="1"/>
  <c r="AD165" i="1" s="1"/>
  <c r="AF165" i="1"/>
  <c r="AG165" i="1"/>
  <c r="Z98" i="1"/>
  <c r="AD98" i="1" s="1"/>
  <c r="AG98" i="1"/>
  <c r="AH98" i="1" s="1"/>
  <c r="AF98" i="1"/>
  <c r="Z160" i="1"/>
  <c r="AD160" i="1" s="1"/>
  <c r="AG160" i="1"/>
  <c r="AF160" i="1"/>
  <c r="Z115" i="1"/>
  <c r="AD115" i="1" s="1"/>
  <c r="AG115" i="1"/>
  <c r="AH115" i="1" s="1"/>
  <c r="AF115" i="1"/>
  <c r="Z129" i="1"/>
  <c r="AD129" i="1" s="1"/>
  <c r="AG129" i="1"/>
  <c r="AF129" i="1"/>
  <c r="AH56" i="1"/>
  <c r="AF31" i="1"/>
  <c r="Z31" i="1"/>
  <c r="AD31" i="1" s="1"/>
  <c r="AG31" i="1"/>
  <c r="AH72" i="1"/>
  <c r="Z84" i="1"/>
  <c r="AD84" i="1" s="1"/>
  <c r="AG84" i="1"/>
  <c r="AF84" i="1"/>
  <c r="Z101" i="1"/>
  <c r="AD101" i="1" s="1"/>
  <c r="AG101" i="1"/>
  <c r="AF101" i="1"/>
  <c r="Z140" i="1"/>
  <c r="AD140" i="1" s="1"/>
  <c r="AG140" i="1"/>
  <c r="AF140" i="1"/>
  <c r="U18" i="1"/>
  <c r="S18" i="1" s="1"/>
  <c r="V18" i="1" s="1"/>
  <c r="P18" i="1" s="1"/>
  <c r="Q18" i="1" s="1"/>
  <c r="Z93" i="1"/>
  <c r="AD93" i="1" s="1"/>
  <c r="AG93" i="1"/>
  <c r="AF93" i="1"/>
  <c r="U98" i="1"/>
  <c r="S98" i="1" s="1"/>
  <c r="V98" i="1" s="1"/>
  <c r="P98" i="1" s="1"/>
  <c r="Q98" i="1" s="1"/>
  <c r="Z63" i="1"/>
  <c r="AD63" i="1" s="1"/>
  <c r="AG63" i="1"/>
  <c r="AF63" i="1"/>
  <c r="AH40" i="1"/>
  <c r="Z73" i="1"/>
  <c r="AD73" i="1" s="1"/>
  <c r="AG73" i="1"/>
  <c r="AF73" i="1"/>
  <c r="U115" i="1"/>
  <c r="S115" i="1" s="1"/>
  <c r="V115" i="1" s="1"/>
  <c r="P115" i="1" s="1"/>
  <c r="Q115" i="1" s="1"/>
  <c r="Z147" i="1"/>
  <c r="AD147" i="1" s="1"/>
  <c r="AG147" i="1"/>
  <c r="AH147" i="1" s="1"/>
  <c r="AF147" i="1"/>
  <c r="AG70" i="1"/>
  <c r="AF70" i="1"/>
  <c r="Z70" i="1"/>
  <c r="AD70" i="1" s="1"/>
  <c r="Z65" i="1"/>
  <c r="AD65" i="1" s="1"/>
  <c r="AG65" i="1"/>
  <c r="AH65" i="1" s="1"/>
  <c r="AF65" i="1"/>
  <c r="AH123" i="1"/>
  <c r="Z38" i="1"/>
  <c r="AD38" i="1" s="1"/>
  <c r="AG38" i="1"/>
  <c r="AF38" i="1"/>
  <c r="U93" i="1"/>
  <c r="S93" i="1" s="1"/>
  <c r="V93" i="1" s="1"/>
  <c r="P93" i="1" s="1"/>
  <c r="Q93" i="1" s="1"/>
  <c r="Z128" i="1"/>
  <c r="AD128" i="1" s="1"/>
  <c r="AG128" i="1"/>
  <c r="AH128" i="1" s="1"/>
  <c r="AF128" i="1"/>
  <c r="U128" i="1"/>
  <c r="S128" i="1" s="1"/>
  <c r="V128" i="1" s="1"/>
  <c r="P128" i="1" s="1"/>
  <c r="Q128" i="1" s="1"/>
  <c r="Z107" i="1"/>
  <c r="AD107" i="1" s="1"/>
  <c r="AG107" i="1"/>
  <c r="AF107" i="1"/>
  <c r="AH24" i="1"/>
  <c r="Z144" i="1"/>
  <c r="AD144" i="1" s="1"/>
  <c r="AG144" i="1"/>
  <c r="AH144" i="1" s="1"/>
  <c r="AF144" i="1"/>
  <c r="Z120" i="1"/>
  <c r="AD120" i="1" s="1"/>
  <c r="AG120" i="1"/>
  <c r="AH120" i="1" s="1"/>
  <c r="AF120" i="1"/>
  <c r="Z74" i="1"/>
  <c r="AD74" i="1" s="1"/>
  <c r="AG74" i="1"/>
  <c r="AF74" i="1"/>
  <c r="AH20" i="1"/>
  <c r="Z34" i="1"/>
  <c r="AD34" i="1" s="1"/>
  <c r="AG34" i="1"/>
  <c r="AH34" i="1" s="1"/>
  <c r="AF34" i="1"/>
  <c r="Z97" i="1"/>
  <c r="AD97" i="1" s="1"/>
  <c r="AG97" i="1"/>
  <c r="AH97" i="1" s="1"/>
  <c r="AF97" i="1"/>
  <c r="Z111" i="1"/>
  <c r="AD111" i="1" s="1"/>
  <c r="AG111" i="1"/>
  <c r="AH111" i="1" s="1"/>
  <c r="AF111" i="1"/>
  <c r="AG142" i="1"/>
  <c r="AH142" i="1" s="1"/>
  <c r="Z142" i="1"/>
  <c r="AD142" i="1" s="1"/>
  <c r="AF142" i="1"/>
  <c r="U63" i="1"/>
  <c r="S63" i="1" s="1"/>
  <c r="V63" i="1" s="1"/>
  <c r="P63" i="1" s="1"/>
  <c r="Q63" i="1" s="1"/>
  <c r="AH76" i="1"/>
  <c r="AH66" i="1"/>
  <c r="AH134" i="1"/>
  <c r="Z102" i="1"/>
  <c r="AD102" i="1" s="1"/>
  <c r="AG102" i="1"/>
  <c r="AH102" i="1" s="1"/>
  <c r="AF102" i="1"/>
  <c r="Z121" i="1"/>
  <c r="AD121" i="1" s="1"/>
  <c r="AG121" i="1"/>
  <c r="AH121" i="1" s="1"/>
  <c r="AF121" i="1"/>
  <c r="Z161" i="1"/>
  <c r="AD161" i="1" s="1"/>
  <c r="AG161" i="1"/>
  <c r="AH161" i="1" s="1"/>
  <c r="AF161" i="1"/>
  <c r="Z23" i="1"/>
  <c r="AD23" i="1" s="1"/>
  <c r="AG23" i="1"/>
  <c r="AH23" i="1" s="1"/>
  <c r="AF23" i="1"/>
  <c r="Z21" i="1"/>
  <c r="AD21" i="1" s="1"/>
  <c r="AG21" i="1"/>
  <c r="AF21" i="1"/>
  <c r="Z125" i="1"/>
  <c r="AD125" i="1" s="1"/>
  <c r="AG125" i="1"/>
  <c r="AF125" i="1"/>
  <c r="AF27" i="1"/>
  <c r="Z27" i="1"/>
  <c r="AD27" i="1" s="1"/>
  <c r="AG27" i="1"/>
  <c r="AH27" i="1" s="1"/>
  <c r="Z103" i="1"/>
  <c r="AD103" i="1" s="1"/>
  <c r="AG103" i="1"/>
  <c r="AF103" i="1"/>
  <c r="AH83" i="1"/>
  <c r="U26" i="1"/>
  <c r="S26" i="1" s="1"/>
  <c r="V26" i="1" s="1"/>
  <c r="P26" i="1" s="1"/>
  <c r="Q26" i="1" s="1"/>
  <c r="Z55" i="1"/>
  <c r="AD55" i="1" s="1"/>
  <c r="AG55" i="1"/>
  <c r="AF55" i="1"/>
  <c r="AH91" i="1"/>
  <c r="Z131" i="1"/>
  <c r="AD131" i="1" s="1"/>
  <c r="AG131" i="1"/>
  <c r="AH131" i="1" s="1"/>
  <c r="AF131" i="1"/>
  <c r="AG162" i="1"/>
  <c r="AH162" i="1" s="1"/>
  <c r="Z162" i="1"/>
  <c r="AD162" i="1" s="1"/>
  <c r="AF162" i="1"/>
  <c r="Z81" i="1"/>
  <c r="AD81" i="1" s="1"/>
  <c r="AG81" i="1"/>
  <c r="U81" i="1"/>
  <c r="S81" i="1" s="1"/>
  <c r="V81" i="1" s="1"/>
  <c r="P81" i="1" s="1"/>
  <c r="Q81" i="1" s="1"/>
  <c r="AF81" i="1"/>
  <c r="U107" i="1"/>
  <c r="S107" i="1" s="1"/>
  <c r="V107" i="1" s="1"/>
  <c r="P107" i="1" s="1"/>
  <c r="Q107" i="1" s="1"/>
  <c r="U165" i="1"/>
  <c r="S165" i="1" s="1"/>
  <c r="V165" i="1" s="1"/>
  <c r="P165" i="1" s="1"/>
  <c r="Q165" i="1" s="1"/>
  <c r="Z17" i="1"/>
  <c r="AD17" i="1" s="1"/>
  <c r="AG17" i="1"/>
  <c r="AF17" i="1"/>
  <c r="AG29" i="1"/>
  <c r="Z29" i="1"/>
  <c r="AD29" i="1" s="1"/>
  <c r="AF29" i="1"/>
  <c r="Z96" i="1"/>
  <c r="AD96" i="1" s="1"/>
  <c r="AG96" i="1"/>
  <c r="AH96" i="1" s="1"/>
  <c r="AF96" i="1"/>
  <c r="U85" i="1"/>
  <c r="S85" i="1" s="1"/>
  <c r="V85" i="1" s="1"/>
  <c r="P85" i="1" s="1"/>
  <c r="Q85" i="1" s="1"/>
  <c r="AH60" i="1"/>
  <c r="Z62" i="1"/>
  <c r="AD62" i="1" s="1"/>
  <c r="AG62" i="1"/>
  <c r="AF62" i="1"/>
  <c r="U62" i="1"/>
  <c r="S62" i="1" s="1"/>
  <c r="V62" i="1" s="1"/>
  <c r="P62" i="1" s="1"/>
  <c r="Q62" i="1" s="1"/>
  <c r="AH133" i="1"/>
  <c r="AH139" i="1"/>
  <c r="Z25" i="1"/>
  <c r="AD25" i="1" s="1"/>
  <c r="AG25" i="1"/>
  <c r="AH25" i="1" s="1"/>
  <c r="AF25" i="1"/>
  <c r="AG95" i="1"/>
  <c r="AF95" i="1"/>
  <c r="Z95" i="1"/>
  <c r="AD95" i="1" s="1"/>
  <c r="Z149" i="1"/>
  <c r="AD149" i="1" s="1"/>
  <c r="AG149" i="1"/>
  <c r="AF149" i="1"/>
  <c r="AG126" i="1"/>
  <c r="AH126" i="1" s="1"/>
  <c r="AF126" i="1"/>
  <c r="Z126" i="1"/>
  <c r="AD126" i="1" s="1"/>
  <c r="Z30" i="1"/>
  <c r="AD30" i="1" s="1"/>
  <c r="AG30" i="1"/>
  <c r="AF30" i="1"/>
  <c r="Z89" i="1"/>
  <c r="AD89" i="1" s="1"/>
  <c r="AG89" i="1"/>
  <c r="AF89" i="1"/>
  <c r="Z99" i="1"/>
  <c r="AD99" i="1" s="1"/>
  <c r="AG99" i="1"/>
  <c r="AF99" i="1"/>
  <c r="Z159" i="1"/>
  <c r="AD159" i="1" s="1"/>
  <c r="AG159" i="1"/>
  <c r="AH159" i="1" s="1"/>
  <c r="AF159" i="1"/>
  <c r="U159" i="1"/>
  <c r="S159" i="1" s="1"/>
  <c r="V159" i="1" s="1"/>
  <c r="P159" i="1" s="1"/>
  <c r="Q159" i="1" s="1"/>
  <c r="U30" i="1"/>
  <c r="S30" i="1" s="1"/>
  <c r="V30" i="1" s="1"/>
  <c r="P30" i="1" s="1"/>
  <c r="Q30" i="1" s="1"/>
  <c r="Z78" i="1"/>
  <c r="AD78" i="1" s="1"/>
  <c r="AG78" i="1"/>
  <c r="AF78" i="1"/>
  <c r="AH87" i="1"/>
  <c r="AG108" i="1"/>
  <c r="AH108" i="1" s="1"/>
  <c r="Z108" i="1"/>
  <c r="AD108" i="1" s="1"/>
  <c r="AF108" i="1"/>
  <c r="AG158" i="1"/>
  <c r="Z158" i="1"/>
  <c r="AD158" i="1" s="1"/>
  <c r="AF158" i="1"/>
  <c r="U78" i="1"/>
  <c r="S78" i="1" s="1"/>
  <c r="V78" i="1" s="1"/>
  <c r="P78" i="1" s="1"/>
  <c r="Q78" i="1" s="1"/>
  <c r="U73" i="1"/>
  <c r="S73" i="1" s="1"/>
  <c r="V73" i="1" s="1"/>
  <c r="P73" i="1" s="1"/>
  <c r="Q73" i="1" s="1"/>
  <c r="U101" i="1"/>
  <c r="S101" i="1" s="1"/>
  <c r="V101" i="1" s="1"/>
  <c r="P101" i="1" s="1"/>
  <c r="Q101" i="1" s="1"/>
  <c r="AG150" i="1"/>
  <c r="Z150" i="1"/>
  <c r="AD150" i="1" s="1"/>
  <c r="AF150" i="1"/>
  <c r="U121" i="1"/>
  <c r="S121" i="1" s="1"/>
  <c r="V121" i="1" s="1"/>
  <c r="P121" i="1" s="1"/>
  <c r="Q121" i="1" s="1"/>
  <c r="Z153" i="1"/>
  <c r="AD153" i="1" s="1"/>
  <c r="AF153" i="1"/>
  <c r="AG153" i="1"/>
  <c r="AH61" i="1"/>
  <c r="Z46" i="1"/>
  <c r="AD46" i="1" s="1"/>
  <c r="AG46" i="1"/>
  <c r="AF46" i="1"/>
  <c r="U46" i="1"/>
  <c r="S46" i="1" s="1"/>
  <c r="V46" i="1" s="1"/>
  <c r="P46" i="1" s="1"/>
  <c r="Q46" i="1" s="1"/>
  <c r="AH135" i="1"/>
  <c r="Z50" i="1"/>
  <c r="AD50" i="1" s="1"/>
  <c r="AG50" i="1"/>
  <c r="AH50" i="1" s="1"/>
  <c r="U50" i="1"/>
  <c r="S50" i="1" s="1"/>
  <c r="V50" i="1" s="1"/>
  <c r="P50" i="1" s="1"/>
  <c r="Q50" i="1" s="1"/>
  <c r="AF50" i="1"/>
  <c r="Z110" i="1"/>
  <c r="AD110" i="1" s="1"/>
  <c r="AG110" i="1"/>
  <c r="U110" i="1"/>
  <c r="S110" i="1" s="1"/>
  <c r="V110" i="1" s="1"/>
  <c r="P110" i="1" s="1"/>
  <c r="Q110" i="1" s="1"/>
  <c r="AF110" i="1"/>
  <c r="Z157" i="1"/>
  <c r="AD157" i="1" s="1"/>
  <c r="AG157" i="1"/>
  <c r="AF157" i="1"/>
  <c r="Z114" i="1"/>
  <c r="AD114" i="1" s="1"/>
  <c r="AG114" i="1"/>
  <c r="U114" i="1"/>
  <c r="S114" i="1" s="1"/>
  <c r="V114" i="1" s="1"/>
  <c r="P114" i="1" s="1"/>
  <c r="Q114" i="1" s="1"/>
  <c r="AF114" i="1"/>
  <c r="Z19" i="1"/>
  <c r="AD19" i="1" s="1"/>
  <c r="AG19" i="1"/>
  <c r="AH19" i="1" s="1"/>
  <c r="AF19" i="1"/>
  <c r="Z163" i="1"/>
  <c r="AD163" i="1" s="1"/>
  <c r="AG163" i="1"/>
  <c r="AF163" i="1"/>
  <c r="AH141" i="1"/>
  <c r="Z155" i="1"/>
  <c r="AD155" i="1" s="1"/>
  <c r="AG155" i="1"/>
  <c r="AF155" i="1"/>
  <c r="AG52" i="1"/>
  <c r="AF52" i="1"/>
  <c r="Z52" i="1"/>
  <c r="AD52" i="1" s="1"/>
  <c r="Z82" i="1"/>
  <c r="AD82" i="1" s="1"/>
  <c r="AG82" i="1"/>
  <c r="AH82" i="1" s="1"/>
  <c r="AF82" i="1"/>
  <c r="AG130" i="1"/>
  <c r="AF130" i="1"/>
  <c r="Z130" i="1"/>
  <c r="AD130" i="1" s="1"/>
  <c r="U149" i="1"/>
  <c r="S149" i="1" s="1"/>
  <c r="V149" i="1" s="1"/>
  <c r="P149" i="1" s="1"/>
  <c r="Q149" i="1" s="1"/>
  <c r="AG112" i="1"/>
  <c r="Z112" i="1"/>
  <c r="AD112" i="1" s="1"/>
  <c r="AF112" i="1"/>
  <c r="U99" i="1"/>
  <c r="S99" i="1" s="1"/>
  <c r="V99" i="1" s="1"/>
  <c r="P99" i="1" s="1"/>
  <c r="Q99" i="1" s="1"/>
  <c r="AH88" i="1"/>
  <c r="Z58" i="1"/>
  <c r="AD58" i="1" s="1"/>
  <c r="AG58" i="1"/>
  <c r="AF58" i="1"/>
  <c r="U58" i="1"/>
  <c r="S58" i="1" s="1"/>
  <c r="V58" i="1" s="1"/>
  <c r="P58" i="1" s="1"/>
  <c r="Q58" i="1" s="1"/>
  <c r="U74" i="1"/>
  <c r="S74" i="1" s="1"/>
  <c r="V74" i="1" s="1"/>
  <c r="P74" i="1" s="1"/>
  <c r="Q74" i="1" s="1"/>
  <c r="AH164" i="1"/>
  <c r="Z22" i="1"/>
  <c r="AD22" i="1" s="1"/>
  <c r="AG22" i="1"/>
  <c r="AF22" i="1"/>
  <c r="Z47" i="1"/>
  <c r="AD47" i="1" s="1"/>
  <c r="AG47" i="1"/>
  <c r="AH47" i="1" s="1"/>
  <c r="AF47" i="1"/>
  <c r="Z106" i="1"/>
  <c r="AD106" i="1" s="1"/>
  <c r="AG106" i="1"/>
  <c r="AF106" i="1"/>
  <c r="Z59" i="1"/>
  <c r="AD59" i="1" s="1"/>
  <c r="AG59" i="1"/>
  <c r="AH59" i="1" s="1"/>
  <c r="AF59" i="1"/>
  <c r="AG104" i="1"/>
  <c r="AH104" i="1" s="1"/>
  <c r="Z104" i="1"/>
  <c r="AD104" i="1" s="1"/>
  <c r="AF104" i="1"/>
  <c r="U144" i="1"/>
  <c r="S144" i="1" s="1"/>
  <c r="V144" i="1" s="1"/>
  <c r="P144" i="1" s="1"/>
  <c r="Q144" i="1" s="1"/>
  <c r="U147" i="1"/>
  <c r="S147" i="1" s="1"/>
  <c r="V147" i="1" s="1"/>
  <c r="P147" i="1" s="1"/>
  <c r="Q147" i="1" s="1"/>
  <c r="Z42" i="1"/>
  <c r="AD42" i="1" s="1"/>
  <c r="AG42" i="1"/>
  <c r="AH42" i="1" s="1"/>
  <c r="AF42" i="1"/>
  <c r="U42" i="1"/>
  <c r="S42" i="1" s="1"/>
  <c r="V42" i="1" s="1"/>
  <c r="P42" i="1" s="1"/>
  <c r="Q42" i="1" s="1"/>
  <c r="Z94" i="1"/>
  <c r="AD94" i="1" s="1"/>
  <c r="AG94" i="1"/>
  <c r="AF94" i="1"/>
  <c r="U106" i="1"/>
  <c r="S106" i="1" s="1"/>
  <c r="V106" i="1" s="1"/>
  <c r="P106" i="1" s="1"/>
  <c r="Q106" i="1" s="1"/>
  <c r="AG148" i="1"/>
  <c r="AH148" i="1" s="1"/>
  <c r="Z148" i="1"/>
  <c r="AD148" i="1" s="1"/>
  <c r="AF148" i="1"/>
  <c r="AH28" i="1"/>
  <c r="Z77" i="1"/>
  <c r="AD77" i="1" s="1"/>
  <c r="AG77" i="1"/>
  <c r="AF77" i="1"/>
  <c r="Z124" i="1"/>
  <c r="AD124" i="1" s="1"/>
  <c r="AG124" i="1"/>
  <c r="AF124" i="1"/>
  <c r="U124" i="1"/>
  <c r="S124" i="1" s="1"/>
  <c r="V124" i="1" s="1"/>
  <c r="P124" i="1" s="1"/>
  <c r="Q124" i="1" s="1"/>
  <c r="AG35" i="1"/>
  <c r="AH35" i="1" s="1"/>
  <c r="Z35" i="1"/>
  <c r="AD35" i="1" s="1"/>
  <c r="AF35" i="1"/>
  <c r="Z90" i="1"/>
  <c r="AD90" i="1" s="1"/>
  <c r="AG90" i="1"/>
  <c r="AF90" i="1"/>
  <c r="AG118" i="1"/>
  <c r="AH118" i="1" s="1"/>
  <c r="Z118" i="1"/>
  <c r="AD118" i="1" s="1"/>
  <c r="AF118" i="1"/>
  <c r="U96" i="1"/>
  <c r="S96" i="1" s="1"/>
  <c r="V96" i="1" s="1"/>
  <c r="P96" i="1" s="1"/>
  <c r="Q96" i="1" s="1"/>
  <c r="Z136" i="1"/>
  <c r="AD136" i="1" s="1"/>
  <c r="AG136" i="1"/>
  <c r="AF136" i="1"/>
  <c r="Z51" i="1"/>
  <c r="AD51" i="1" s="1"/>
  <c r="AG51" i="1"/>
  <c r="AH51" i="1" s="1"/>
  <c r="AF51" i="1"/>
  <c r="AG122" i="1"/>
  <c r="AH122" i="1" s="1"/>
  <c r="AF122" i="1"/>
  <c r="Z122" i="1"/>
  <c r="AD122" i="1" s="1"/>
  <c r="U122" i="1"/>
  <c r="S122" i="1" s="1"/>
  <c r="V122" i="1" s="1"/>
  <c r="P122" i="1" s="1"/>
  <c r="Q122" i="1" s="1"/>
  <c r="Z86" i="1"/>
  <c r="AD86" i="1" s="1"/>
  <c r="AG86" i="1"/>
  <c r="AF86" i="1"/>
  <c r="AG138" i="1"/>
  <c r="AH138" i="1" s="1"/>
  <c r="Z138" i="1"/>
  <c r="AD138" i="1" s="1"/>
  <c r="AF138" i="1"/>
  <c r="U157" i="1"/>
  <c r="S157" i="1" s="1"/>
  <c r="V157" i="1" s="1"/>
  <c r="P157" i="1" s="1"/>
  <c r="Q157" i="1" s="1"/>
  <c r="U97" i="1"/>
  <c r="S97" i="1" s="1"/>
  <c r="V97" i="1" s="1"/>
  <c r="P97" i="1" s="1"/>
  <c r="Q97" i="1" s="1"/>
  <c r="AH92" i="1"/>
  <c r="U148" i="1"/>
  <c r="S148" i="1" s="1"/>
  <c r="V148" i="1" s="1"/>
  <c r="P148" i="1" s="1"/>
  <c r="Q148" i="1" s="1"/>
  <c r="AH109" i="1"/>
  <c r="AH22" i="1" l="1"/>
  <c r="AH58" i="1"/>
  <c r="AH52" i="1"/>
  <c r="AH157" i="1"/>
  <c r="AH153" i="1"/>
  <c r="AH30" i="1"/>
  <c r="AH125" i="1"/>
  <c r="AH31" i="1"/>
  <c r="AH165" i="1"/>
  <c r="AH124" i="1"/>
  <c r="AH90" i="1"/>
  <c r="AH29" i="1"/>
  <c r="AH81" i="1"/>
  <c r="AH21" i="1"/>
  <c r="AH74" i="1"/>
  <c r="AH73" i="1"/>
  <c r="AH93" i="1"/>
  <c r="AH160" i="1"/>
  <c r="AH39" i="1"/>
  <c r="AH100" i="1"/>
  <c r="AH130" i="1"/>
  <c r="AH78" i="1"/>
  <c r="AH62" i="1"/>
  <c r="AH103" i="1"/>
  <c r="AH136" i="1"/>
  <c r="AH106" i="1"/>
  <c r="AH110" i="1"/>
  <c r="AH158" i="1"/>
  <c r="AH86" i="1"/>
  <c r="AH155" i="1"/>
  <c r="AH99" i="1"/>
  <c r="AH95" i="1"/>
  <c r="AH101" i="1"/>
  <c r="AH85" i="1"/>
  <c r="AH69" i="1"/>
  <c r="AH77" i="1"/>
  <c r="AH94" i="1"/>
  <c r="AH114" i="1"/>
  <c r="AH46" i="1"/>
  <c r="AH89" i="1"/>
  <c r="AH17" i="1"/>
  <c r="AH55" i="1"/>
  <c r="AH107" i="1"/>
  <c r="AH38" i="1"/>
  <c r="AH70" i="1"/>
  <c r="AH84" i="1"/>
  <c r="AH129" i="1"/>
  <c r="AH48" i="1"/>
  <c r="AH112" i="1"/>
  <c r="AH163" i="1"/>
  <c r="AH150" i="1"/>
  <c r="AH149" i="1"/>
  <c r="AH154" i="1"/>
  <c r="AH63" i="1"/>
  <c r="AH140" i="1"/>
  <c r="AH145" i="1"/>
</calcChain>
</file>

<file path=xl/sharedStrings.xml><?xml version="1.0" encoding="utf-8"?>
<sst xmlns="http://schemas.openxmlformats.org/spreadsheetml/2006/main" count="3692" uniqueCount="1180">
  <si>
    <t>File opened</t>
  </si>
  <si>
    <t>2023-07-10 08:59:55</t>
  </si>
  <si>
    <t>Console s/n</t>
  </si>
  <si>
    <t>68C-831536</t>
  </si>
  <si>
    <t>Console ver</t>
  </si>
  <si>
    <t>Bluestem v.2.1.08</t>
  </si>
  <si>
    <t>Scripts ver</t>
  </si>
  <si>
    <t>2022.05  2.1.08, Aug 2022</t>
  </si>
  <si>
    <t>Head s/n</t>
  </si>
  <si>
    <t>68H-891536</t>
  </si>
  <si>
    <t>Head ver</t>
  </si>
  <si>
    <t>1.4.22</t>
  </si>
  <si>
    <t>Head cal</t>
  </si>
  <si>
    <t>{"oxygen": "21", "co2azero": "0.991611", "co2aspan1": "0.997022", "co2aspan2": "-0.013494", "co2aspan2a": "0.279733", "co2aspan2b": "0.277844", "co2aspanconc1": "2505", "co2aspanconc2": "300.8", "co2bzero": "0.996636", "co2bspan1": "0.996597", "co2bspan2": "-0.0127205", "co2bspan2a": "0.279525", "co2bspan2b": "0.27758", "co2bspanconc1": "2505", "co2bspanconc2": "300.8", "h2oazero": "1.1167", "h2oaspan1": "1.01499", "h2oaspan2": "0", "h2oaspan2a": "0.069471", "h2oaspan2b": "0.0705127", "h2oaspanconc1": "12.29", "h2oaspanconc2": "0", "h2obzero": "1.11258", "h2obspan1": "1.02548", "h2obspan2": "0", "h2obspan2a": "0.069362", "h2obspan2b": "0.0711294", "h2obspanconc1": "12.29", "h2obspanconc2": "0", "tazero": "0.135651", "tbzero": "0.272522", "flowmeterzero": "1.0022", "flowazero": "0.297", "flowbzero": "0.32708", "chamberpressurezero": "2.59479", "ssa_ref": "30477.6", "ssb_ref": "28473.8"}</t>
  </si>
  <si>
    <t>CO2 rangematch</t>
  </si>
  <si>
    <t>Mon May 15 12:19</t>
  </si>
  <si>
    <t>H2O rangematch</t>
  </si>
  <si>
    <t>Mon May 15 12:29</t>
  </si>
  <si>
    <t>Chamber type</t>
  </si>
  <si>
    <t>6800-01A</t>
  </si>
  <si>
    <t>Chamber s/n</t>
  </si>
  <si>
    <t>MPF-651434</t>
  </si>
  <si>
    <t>Chamber rev</t>
  </si>
  <si>
    <t>0</t>
  </si>
  <si>
    <t>Chamber cal</t>
  </si>
  <si>
    <t>Fluorometer</t>
  </si>
  <si>
    <t>Flr. Version</t>
  </si>
  <si>
    <t>08:59:55</t>
  </si>
  <si>
    <t>Stability Definition:	A (GasEx): Slp&lt;0.7 Std&lt;0.2 Per=15	gsw (GasEx): Slp&lt;0.05 Std&lt;0.05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</si>
  <si>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</si>
  <si>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</si>
  <si>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</si>
  <si>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</si>
  <si>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</si>
  <si>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</si>
  <si>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</si>
  <si>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</si>
  <si>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</si>
  <si>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</si>
  <si>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</si>
  <si>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</si>
  <si>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</si>
  <si>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</si>
  <si>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</si>
  <si>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</si>
  <si>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</si>
  <si>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</si>
  <si>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</si>
  <si>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</si>
  <si>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</si>
  <si>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</si>
  <si>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</si>
  <si>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</si>
  <si>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</si>
  <si>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</si>
  <si>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</si>
  <si>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</si>
  <si>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</si>
  <si>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</si>
  <si>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</si>
  <si>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</si>
  <si>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</si>
  <si>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</si>
  <si>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</si>
  <si>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</si>
  <si>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</si>
  <si>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</si>
  <si>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</si>
  <si>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</si>
  <si>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</si>
  <si>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</si>
  <si>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</si>
  <si>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</si>
  <si>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</si>
  <si>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</si>
  <si>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</si>
  <si>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</si>
  <si>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</si>
  <si>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</si>
  <si>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</si>
  <si>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</si>
  <si>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2.89555 83.2326 364.371 609.714 853.626 1067.78 1232.3 1338.39</t>
  </si>
  <si>
    <t>Fs_true</t>
  </si>
  <si>
    <t>0.566942 108.393 400.55 600.864 800.296 1000.89 1200.77 1401.15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</si>
  <si>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</si>
  <si>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</si>
  <si>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</si>
  <si>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</si>
  <si>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</si>
  <si>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</si>
  <si>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</si>
  <si>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</si>
  <si>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</si>
  <si>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</si>
  <si>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</si>
  <si>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</si>
  <si>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</si>
  <si>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</si>
  <si>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</si>
  <si>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</si>
  <si>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</si>
  <si>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</si>
  <si>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</si>
  <si>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</si>
  <si>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</si>
  <si>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</si>
  <si>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</si>
  <si>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</si>
  <si>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</si>
  <si>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</si>
  <si>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</si>
  <si>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</si>
  <si>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type</t>
  </si>
  <si>
    <t>plot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</si>
  <si>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</si>
  <si>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</si>
  <si>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</si>
  <si>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</si>
  <si>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</si>
  <si>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</si>
  <si>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</si>
  <si>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</si>
  <si>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</si>
  <si>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</si>
  <si>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</si>
  <si>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</si>
  <si>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</si>
  <si>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</si>
  <si>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</si>
  <si>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</si>
  <si>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</si>
  <si>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</si>
  <si>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</si>
  <si>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</si>
  <si>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</si>
  <si>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</si>
  <si>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</si>
  <si>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</si>
  <si>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</si>
  <si>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</si>
  <si>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</si>
  <si>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</si>
  <si>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</si>
  <si>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</si>
  <si>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</si>
  <si>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</si>
  <si>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</si>
  <si>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</si>
  <si>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</si>
  <si>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</si>
  <si>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</si>
  <si>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</si>
  <si>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</si>
  <si>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</si>
  <si>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</si>
  <si>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</si>
  <si>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</si>
  <si>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</si>
  <si>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</si>
  <si>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</si>
  <si>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</si>
  <si>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</si>
  <si>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</si>
  <si>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</si>
  <si>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</si>
  <si>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</si>
  <si>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</si>
  <si>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</si>
  <si>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</si>
  <si>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</si>
  <si>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</si>
  <si>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</si>
  <si>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</si>
  <si>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</si>
  <si>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</si>
  <si>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</si>
  <si>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</si>
  <si>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</si>
  <si>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</si>
  <si>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</si>
  <si>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</si>
  <si>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</si>
  <si>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</si>
  <si>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</si>
  <si>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</si>
  <si>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</si>
  <si>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</si>
  <si>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</si>
  <si>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</si>
  <si>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</si>
  <si>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</si>
  <si>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</si>
  <si>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</si>
  <si>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</si>
  <si>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</si>
  <si>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</si>
  <si>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</si>
  <si>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</si>
  <si>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</si>
  <si>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</si>
  <si>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</si>
  <si>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</si>
  <si>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</si>
  <si>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</si>
  <si>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</si>
  <si>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</si>
  <si>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</si>
  <si>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</si>
  <si>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</si>
  <si>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</si>
  <si>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</si>
  <si>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</si>
  <si>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</si>
  <si>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</si>
  <si>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</si>
  <si>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</si>
  <si>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</si>
  <si>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</si>
  <si>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</si>
  <si>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</si>
  <si>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</si>
  <si>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</si>
  <si>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</si>
  <si>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</si>
  <si>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</si>
  <si>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</si>
  <si>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</si>
  <si>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</si>
  <si>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</si>
  <si>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</si>
  <si>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</si>
  <si>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</si>
  <si>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</si>
  <si>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</si>
  <si>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</si>
  <si>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</si>
  <si>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</si>
  <si>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</si>
  <si>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</si>
  <si>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</si>
  <si>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</si>
  <si>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</si>
  <si>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</si>
  <si>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</si>
  <si>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</si>
  <si>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</si>
  <si>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</si>
  <si>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</si>
  <si>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</si>
  <si>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</si>
  <si>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</si>
  <si>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</si>
  <si>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</si>
  <si>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</si>
  <si>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</si>
  <si>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</si>
  <si>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</si>
  <si>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</si>
  <si>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</si>
  <si>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</si>
  <si>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</si>
  <si>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</si>
  <si>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</si>
  <si>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</si>
  <si>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</si>
  <si>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</si>
  <si>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</si>
  <si>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</si>
  <si>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</si>
  <si>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</si>
  <si>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</si>
  <si>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</si>
  <si>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</si>
  <si>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</si>
  <si>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</si>
  <si>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</si>
  <si>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</si>
  <si>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</si>
  <si>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</si>
  <si>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</si>
  <si>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</si>
  <si>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</si>
  <si>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</si>
  <si>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</si>
  <si>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</si>
  <si>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</si>
  <si>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</si>
  <si>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</si>
  <si>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</si>
  <si>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</si>
  <si>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</si>
  <si>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</si>
  <si>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</si>
  <si>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</si>
  <si>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</si>
  <si>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</si>
  <si>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</si>
  <si>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</si>
  <si>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</si>
  <si>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</si>
  <si>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</si>
  <si>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</si>
  <si>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</si>
  <si>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</si>
  <si>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</si>
  <si>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</si>
  <si>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</si>
  <si>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</si>
  <si>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</si>
  <si>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</si>
  <si>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</si>
  <si>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</si>
  <si>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</si>
  <si>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</si>
  <si>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</si>
  <si>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</si>
  <si>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</si>
  <si>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</si>
  <si>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</si>
  <si>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</si>
  <si>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</si>
  <si>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</si>
  <si>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</si>
  <si>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</si>
  <si>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</si>
  <si>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</si>
  <si>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</si>
  <si>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</si>
  <si>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</si>
  <si>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</si>
  <si>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</si>
  <si>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</si>
  <si>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</si>
  <si>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</si>
  <si>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</si>
  <si>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</si>
  <si>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</si>
  <si>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</si>
  <si>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</si>
  <si>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</si>
  <si>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</si>
  <si>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</si>
  <si>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</si>
  <si>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</si>
  <si>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</si>
  <si>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</si>
  <si>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</si>
  <si>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</si>
  <si>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</si>
  <si>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</si>
  <si>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</si>
  <si>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</si>
  <si>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</si>
  <si>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</si>
  <si>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</si>
  <si>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</si>
  <si>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</si>
  <si>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</si>
  <si>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</si>
  <si>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</si>
  <si>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</si>
  <si>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</si>
  <si>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</si>
  <si>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</si>
  <si>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</si>
  <si>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</si>
  <si>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</si>
  <si>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</si>
  <si>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</si>
  <si>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</si>
  <si>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</si>
  <si>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</si>
  <si>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</si>
  <si>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</si>
  <si>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</si>
  <si>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</si>
  <si>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</si>
  <si>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</si>
  <si>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</si>
  <si>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</si>
  <si>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</si>
  <si>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</si>
  <si>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</si>
  <si>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</si>
  <si>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</si>
  <si>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</si>
  <si>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</si>
  <si>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</si>
  <si>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</si>
  <si>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</si>
  <si>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</si>
  <si>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</si>
  <si>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</si>
  <si>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</si>
  <si>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</si>
  <si>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</si>
  <si>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</si>
  <si>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</si>
  <si>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</si>
  <si>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</si>
  <si>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</si>
  <si>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</si>
  <si>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</si>
  <si>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</si>
  <si>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</si>
  <si>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</si>
  <si>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</si>
  <si>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</si>
  <si>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</si>
  <si>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</si>
  <si>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</si>
  <si>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</si>
  <si>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20230710 09:29:00</t>
  </si>
  <si>
    <t>09:29:00</t>
  </si>
  <si>
    <t>none</t>
  </si>
  <si>
    <t>aci</t>
  </si>
  <si>
    <t>1</t>
  </si>
  <si>
    <t>hn1a</t>
  </si>
  <si>
    <t>MPF-13509-20230709-13_10_20</t>
  </si>
  <si>
    <t>MPF-13570-20230710-09_27_55</t>
  </si>
  <si>
    <t>DARK-13571-20230710-09_28_02</t>
  </si>
  <si>
    <t>0: Broadleaf</t>
  </si>
  <si>
    <t>09:28:27</t>
  </si>
  <si>
    <t>2/2</t>
  </si>
  <si>
    <t>00000000</t>
  </si>
  <si>
    <t>iiiiiiii</t>
  </si>
  <si>
    <t>off</t>
  </si>
  <si>
    <t>20230710 09:31:42</t>
  </si>
  <si>
    <t>09:31:42</t>
  </si>
  <si>
    <t>MPF-13572-20230710-09_30_37</t>
  </si>
  <si>
    <t>DARK-13573-20230710-09_30_44</t>
  </si>
  <si>
    <t>09:31:12</t>
  </si>
  <si>
    <t>20230710 09:34:17</t>
  </si>
  <si>
    <t>09:34:17</t>
  </si>
  <si>
    <t>MPF-13574-20230710-09_33_11</t>
  </si>
  <si>
    <t>DARK-13575-20230710-09_33_18</t>
  </si>
  <si>
    <t>09:33:43</t>
  </si>
  <si>
    <t>20230710 09:36:38</t>
  </si>
  <si>
    <t>09:36:38</t>
  </si>
  <si>
    <t>MPF-13576-20230710-09_35_33</t>
  </si>
  <si>
    <t>DARK-13577-20230710-09_35_40</t>
  </si>
  <si>
    <t>09:36:05</t>
  </si>
  <si>
    <t>20230710 09:39:10</t>
  </si>
  <si>
    <t>09:39:10</t>
  </si>
  <si>
    <t>MPF-13578-20230710-09_38_05</t>
  </si>
  <si>
    <t>DARK-13579-20230710-09_38_12</t>
  </si>
  <si>
    <t>09:38:32</t>
  </si>
  <si>
    <t>20230710 09:41:19</t>
  </si>
  <si>
    <t>09:41:19</t>
  </si>
  <si>
    <t>MPF-13580-20230710-09_40_14</t>
  </si>
  <si>
    <t>DARK-13581-20230710-09_40_21</t>
  </si>
  <si>
    <t>09:40:35</t>
  </si>
  <si>
    <t>20230710 09:43:13</t>
  </si>
  <si>
    <t>09:43:13</t>
  </si>
  <si>
    <t>MPF-13582-20230710-09_42_08</t>
  </si>
  <si>
    <t>DARK-13583-20230710-09_42_15</t>
  </si>
  <si>
    <t>09:42:41</t>
  </si>
  <si>
    <t>20230710 09:46:23</t>
  </si>
  <si>
    <t>09:46:23</t>
  </si>
  <si>
    <t>MPF-13584-20230710-09_45_17</t>
  </si>
  <si>
    <t>DARK-13585-20230710-09_45_24</t>
  </si>
  <si>
    <t>09:44:34</t>
  </si>
  <si>
    <t>1/2</t>
  </si>
  <si>
    <t>20230710 09:48:39</t>
  </si>
  <si>
    <t>09:48:39</t>
  </si>
  <si>
    <t>MPF-13586-20230710-09_47_33</t>
  </si>
  <si>
    <t>DARK-13587-20230710-09_47_40</t>
  </si>
  <si>
    <t>09:48:06</t>
  </si>
  <si>
    <t>20230710 09:50:34</t>
  </si>
  <si>
    <t>09:50:34</t>
  </si>
  <si>
    <t>MPF-13588-20230710-09_49_28</t>
  </si>
  <si>
    <t>DARK-13589-20230710-09_49_35</t>
  </si>
  <si>
    <t>09:49:57</t>
  </si>
  <si>
    <t>20230710 09:52:31</t>
  </si>
  <si>
    <t>09:52:31</t>
  </si>
  <si>
    <t>MPF-13590-20230710-09_51_25</t>
  </si>
  <si>
    <t>DARK-13591-20230710-09_51_32</t>
  </si>
  <si>
    <t>09:51:56</t>
  </si>
  <si>
    <t>20230710 09:54:38</t>
  </si>
  <si>
    <t>09:54:38</t>
  </si>
  <si>
    <t>MPF-13592-20230710-09_53_33</t>
  </si>
  <si>
    <t>DARK-13593-20230710-09_53_40</t>
  </si>
  <si>
    <t>09:54:04</t>
  </si>
  <si>
    <t>20230710 09:56:32</t>
  </si>
  <si>
    <t>09:56:32</t>
  </si>
  <si>
    <t>MPF-13594-20230710-09_55_27</t>
  </si>
  <si>
    <t>DARK-13595-20230710-09_55_34</t>
  </si>
  <si>
    <t>09:55:56</t>
  </si>
  <si>
    <t>20230710 09:58:21</t>
  </si>
  <si>
    <t>09:58:21</t>
  </si>
  <si>
    <t>MPF-13596-20230710-09_57_15</t>
  </si>
  <si>
    <t>DARK-13597-20230710-09_57_22</t>
  </si>
  <si>
    <t>09:57:47</t>
  </si>
  <si>
    <t>20230710 10:00:12</t>
  </si>
  <si>
    <t>10:00:12</t>
  </si>
  <si>
    <t>MPF-13598-20230710-09_59_06</t>
  </si>
  <si>
    <t>DARK-13599-20230710-09_59_13</t>
  </si>
  <si>
    <t>09:59:37</t>
  </si>
  <si>
    <t>20230710 10:27:18</t>
  </si>
  <si>
    <t>10:27:18</t>
  </si>
  <si>
    <t>2</t>
  </si>
  <si>
    <t>zg12a</t>
  </si>
  <si>
    <t>MPF-13600-20230710-10_26_12</t>
  </si>
  <si>
    <t>DARK-13601-20230710-10_26_20</t>
  </si>
  <si>
    <t>10:26:44</t>
  </si>
  <si>
    <t>20230710 10:29:03</t>
  </si>
  <si>
    <t>10:29:03</t>
  </si>
  <si>
    <t>MPF-13602-20230710-10_27_58</t>
  </si>
  <si>
    <t>DARK-13603-20230710-10_28_05</t>
  </si>
  <si>
    <t>10:28:34</t>
  </si>
  <si>
    <t>20230710 10:31:08</t>
  </si>
  <si>
    <t>10:31:08</t>
  </si>
  <si>
    <t>MPF-13604-20230710-10_30_03</t>
  </si>
  <si>
    <t>DARK-13605-20230710-10_30_10</t>
  </si>
  <si>
    <t>10:30:36</t>
  </si>
  <si>
    <t>20230710 10:33:10</t>
  </si>
  <si>
    <t>10:33:10</t>
  </si>
  <si>
    <t>MPF-13606-20230710-10_32_04</t>
  </si>
  <si>
    <t>DARK-13607-20230710-10_32_12</t>
  </si>
  <si>
    <t>10:32:38</t>
  </si>
  <si>
    <t>20230710 10:35:01</t>
  </si>
  <si>
    <t>10:35:01</t>
  </si>
  <si>
    <t>MPF-13608-20230710-10_33_56</t>
  </si>
  <si>
    <t>DARK-13609-20230710-10_34_03</t>
  </si>
  <si>
    <t>10:34:28</t>
  </si>
  <si>
    <t>20230710 10:36:54</t>
  </si>
  <si>
    <t>10:36:54</t>
  </si>
  <si>
    <t>MPF-13610-20230710-10_35_48</t>
  </si>
  <si>
    <t>DARK-13611-20230710-10_35_56</t>
  </si>
  <si>
    <t>10:36:17</t>
  </si>
  <si>
    <t>20230710 10:39:01</t>
  </si>
  <si>
    <t>10:39:01</t>
  </si>
  <si>
    <t>MPF-13612-20230710-10_37_55</t>
  </si>
  <si>
    <t>DARK-13613-20230710-10_38_03</t>
  </si>
  <si>
    <t>10:38:27</t>
  </si>
  <si>
    <t>20230710 10:42:10</t>
  </si>
  <si>
    <t>10:42:10</t>
  </si>
  <si>
    <t>MPF-13614-20230710-10_41_05</t>
  </si>
  <si>
    <t>DARK-13615-20230710-10_41_12</t>
  </si>
  <si>
    <t>10:40:27</t>
  </si>
  <si>
    <t>20230710 10:43:51</t>
  </si>
  <si>
    <t>10:43:51</t>
  </si>
  <si>
    <t>MPF-13616-20230710-10_42_46</t>
  </si>
  <si>
    <t>DARK-13617-20230710-10_42_53</t>
  </si>
  <si>
    <t>10:43:19</t>
  </si>
  <si>
    <t>20230710 10:45:37</t>
  </si>
  <si>
    <t>10:45:37</t>
  </si>
  <si>
    <t>MPF-13618-20230710-10_44_31</t>
  </si>
  <si>
    <t>DARK-13619-20230710-10_44_39</t>
  </si>
  <si>
    <t>10:45:00</t>
  </si>
  <si>
    <t>20230710 10:47:41</t>
  </si>
  <si>
    <t>10:47:41</t>
  </si>
  <si>
    <t>MPF-13620-20230710-10_46_36</t>
  </si>
  <si>
    <t>DARK-13621-20230710-10_46_43</t>
  </si>
  <si>
    <t>10:47:04</t>
  </si>
  <si>
    <t>20230710 10:49:54</t>
  </si>
  <si>
    <t>10:49:54</t>
  </si>
  <si>
    <t>MPF-13622-20230710-10_48_49</t>
  </si>
  <si>
    <t>DARK-13623-20230710-10_48_56</t>
  </si>
  <si>
    <t>10:49:16</t>
  </si>
  <si>
    <t>20230710 10:51:47</t>
  </si>
  <si>
    <t>10:51:47</t>
  </si>
  <si>
    <t>MPF-13624-20230710-10_50_42</t>
  </si>
  <si>
    <t>DARK-13625-20230710-10_50_49</t>
  </si>
  <si>
    <t>10:51:08</t>
  </si>
  <si>
    <t>20230710 10:53:46</t>
  </si>
  <si>
    <t>10:53:46</t>
  </si>
  <si>
    <t>MPF-13626-20230710-10_52_40</t>
  </si>
  <si>
    <t>DARK-13627-20230710-10_52_47</t>
  </si>
  <si>
    <t>10:53:05</t>
  </si>
  <si>
    <t>20230710 10:55:48</t>
  </si>
  <si>
    <t>10:55:48</t>
  </si>
  <si>
    <t>MPF-13628-20230710-10_54_42</t>
  </si>
  <si>
    <t>DARK-13629-20230710-10_54_50</t>
  </si>
  <si>
    <t>10:55:14</t>
  </si>
  <si>
    <t>20230710 11:09:54</t>
  </si>
  <si>
    <t>11:09:54</t>
  </si>
  <si>
    <t>3</t>
  </si>
  <si>
    <t>wt</t>
  </si>
  <si>
    <t>MPF-13630-20230710-11_08_48</t>
  </si>
  <si>
    <t>DARK-13631-20230710-11_08_56</t>
  </si>
  <si>
    <t>11:09:20</t>
  </si>
  <si>
    <t>20230710 11:11:43</t>
  </si>
  <si>
    <t>11:11:43</t>
  </si>
  <si>
    <t>MPF-13632-20230710-11_10_38</t>
  </si>
  <si>
    <t>DARK-13633-20230710-11_10_45</t>
  </si>
  <si>
    <t>11:11:13</t>
  </si>
  <si>
    <t>20230710 11:14:25</t>
  </si>
  <si>
    <t>11:14:25</t>
  </si>
  <si>
    <t>MPF-13634-20230710-11_13_19</t>
  </si>
  <si>
    <t>DARK-13635-20230710-11_13_27</t>
  </si>
  <si>
    <t>11:13:50</t>
  </si>
  <si>
    <t>20230710 11:16:29</t>
  </si>
  <si>
    <t>11:16:29</t>
  </si>
  <si>
    <t>MPF-13636-20230710-11_15_24</t>
  </si>
  <si>
    <t>DARK-13637-20230710-11_15_31</t>
  </si>
  <si>
    <t>11:15:55</t>
  </si>
  <si>
    <t>20230710 11:18:26</t>
  </si>
  <si>
    <t>11:18:26</t>
  </si>
  <si>
    <t>MPF-13638-20230710-11_17_20</t>
  </si>
  <si>
    <t>DARK-13639-20230710-11_17_28</t>
  </si>
  <si>
    <t>11:17:52</t>
  </si>
  <si>
    <t>20230710 11:20:24</t>
  </si>
  <si>
    <t>11:20:24</t>
  </si>
  <si>
    <t>MPF-13640-20230710-11_19_18</t>
  </si>
  <si>
    <t>DARK-13641-20230710-11_19_26</t>
  </si>
  <si>
    <t>11:19:51</t>
  </si>
  <si>
    <t>20230710 11:22:09</t>
  </si>
  <si>
    <t>11:22:09</t>
  </si>
  <si>
    <t>MPF-13642-20230710-11_21_04</t>
  </si>
  <si>
    <t>DARK-13643-20230710-11_21_11</t>
  </si>
  <si>
    <t>11:21:36</t>
  </si>
  <si>
    <t>20230710 11:25:19</t>
  </si>
  <si>
    <t>11:25:19</t>
  </si>
  <si>
    <t>MPF-13644-20230710-11_24_13</t>
  </si>
  <si>
    <t>DARK-13645-20230710-11_24_21</t>
  </si>
  <si>
    <t>11:23:58</t>
  </si>
  <si>
    <t>20230710 11:26:58</t>
  </si>
  <si>
    <t>11:26:58</t>
  </si>
  <si>
    <t>MPF-13646-20230710-11_25_53</t>
  </si>
  <si>
    <t>DARK-13647-20230710-11_26_00</t>
  </si>
  <si>
    <t>11:26:28</t>
  </si>
  <si>
    <t>20230710 11:28:48</t>
  </si>
  <si>
    <t>11:28:48</t>
  </si>
  <si>
    <t>MPF-13648-20230710-11_27_43</t>
  </si>
  <si>
    <t>DARK-13649-20230710-11_27_50</t>
  </si>
  <si>
    <t>11:28:12</t>
  </si>
  <si>
    <t>20230710 11:30:48</t>
  </si>
  <si>
    <t>11:30:48</t>
  </si>
  <si>
    <t>MPF-13650-20230710-11_29_42</t>
  </si>
  <si>
    <t>DARK-13651-20230710-11_29_50</t>
  </si>
  <si>
    <t>11:30:12</t>
  </si>
  <si>
    <t>20230710 11:32:27</t>
  </si>
  <si>
    <t>11:32:27</t>
  </si>
  <si>
    <t>MPF-13652-20230710-11_31_22</t>
  </si>
  <si>
    <t>DARK-13653-20230710-11_31_29</t>
  </si>
  <si>
    <t>11:33:05</t>
  </si>
  <si>
    <t>20230710 11:35:19</t>
  </si>
  <si>
    <t>11:35:19</t>
  </si>
  <si>
    <t>MPF-13654-20230710-11_34_14</t>
  </si>
  <si>
    <t>DARK-13655-20230710-11_34_21</t>
  </si>
  <si>
    <t>11:34:44</t>
  </si>
  <si>
    <t>20230710 11:37:29</t>
  </si>
  <si>
    <t>11:37:29</t>
  </si>
  <si>
    <t>MPF-13656-20230710-11_36_23</t>
  </si>
  <si>
    <t>DARK-13657-20230710-11_36_31</t>
  </si>
  <si>
    <t>11:36:55</t>
  </si>
  <si>
    <t>20230710 11:39:16</t>
  </si>
  <si>
    <t>11:39:16</t>
  </si>
  <si>
    <t>MPF-13658-20230710-11_38_10</t>
  </si>
  <si>
    <t>DARK-13659-20230710-11_38_18</t>
  </si>
  <si>
    <t>11:38:41</t>
  </si>
  <si>
    <t>20230710 12:08:56</t>
  </si>
  <si>
    <t>12:08:56</t>
  </si>
  <si>
    <t>6</t>
  </si>
  <si>
    <t>zg5b</t>
  </si>
  <si>
    <t>MPF-13660-20230710-12_07_51</t>
  </si>
  <si>
    <t>DARK-13661-20230710-12_07_58</t>
  </si>
  <si>
    <t>12:08:15</t>
  </si>
  <si>
    <t>20230710 12:10:44</t>
  </si>
  <si>
    <t>12:10:44</t>
  </si>
  <si>
    <t>MPF-13662-20230710-12_09_39</t>
  </si>
  <si>
    <t>DARK-13663-20230710-12_09_46</t>
  </si>
  <si>
    <t>12:10:09</t>
  </si>
  <si>
    <t>20230710 12:12:35</t>
  </si>
  <si>
    <t>12:12:35</t>
  </si>
  <si>
    <t>MPF-13664-20230710-12_11_30</t>
  </si>
  <si>
    <t>DARK-13665-20230710-12_11_37</t>
  </si>
  <si>
    <t>12:12:05</t>
  </si>
  <si>
    <t>20230710 12:14:15</t>
  </si>
  <si>
    <t>12:14:15</t>
  </si>
  <si>
    <t>MPF-13666-20230710-12_13_09</t>
  </si>
  <si>
    <t>DARK-13667-20230710-12_13_17</t>
  </si>
  <si>
    <t>12:14:44</t>
  </si>
  <si>
    <t>20230710 12:16:15</t>
  </si>
  <si>
    <t>12:16:15</t>
  </si>
  <si>
    <t>MPF-13668-20230710-12_15_09</t>
  </si>
  <si>
    <t>DARK-13669-20230710-12_15_17</t>
  </si>
  <si>
    <t>12:16:44</t>
  </si>
  <si>
    <t>20230710 12:18:59</t>
  </si>
  <si>
    <t>12:18:59</t>
  </si>
  <si>
    <t>MPF-13670-20230710-12_17_54</t>
  </si>
  <si>
    <t>DARK-13671-20230710-12_18_01</t>
  </si>
  <si>
    <t>12:18:25</t>
  </si>
  <si>
    <t>20230710 12:20:39</t>
  </si>
  <si>
    <t>12:20:39</t>
  </si>
  <si>
    <t>MPF-13672-20230710-12_19_33</t>
  </si>
  <si>
    <t>DARK-13673-20230710-12_19_41</t>
  </si>
  <si>
    <t>12:21:13</t>
  </si>
  <si>
    <t>20230710 12:24:14</t>
  </si>
  <si>
    <t>12:24:14</t>
  </si>
  <si>
    <t>MPF-13674-20230710-12_23_08</t>
  </si>
  <si>
    <t>DARK-13675-20230710-12_23_16</t>
  </si>
  <si>
    <t>12:23:23</t>
  </si>
  <si>
    <t>20230710 12:26:44</t>
  </si>
  <si>
    <t>12:26:44</t>
  </si>
  <si>
    <t>MPF-13676-20230710-12_25_38</t>
  </si>
  <si>
    <t>DARK-13677-20230710-12_25_46</t>
  </si>
  <si>
    <t>12:25:26</t>
  </si>
  <si>
    <t>20230710 12:28:23</t>
  </si>
  <si>
    <t>12:28:23</t>
  </si>
  <si>
    <t>MPF-13678-20230710-12_27_18</t>
  </si>
  <si>
    <t>DARK-13679-20230710-12_27_25</t>
  </si>
  <si>
    <t>12:28:55</t>
  </si>
  <si>
    <t>20230710 12:30:59</t>
  </si>
  <si>
    <t>12:30:59</t>
  </si>
  <si>
    <t>MPF-13680-20230710-12_29_54</t>
  </si>
  <si>
    <t>DARK-13681-20230710-12_30_01</t>
  </si>
  <si>
    <t>12:30:28</t>
  </si>
  <si>
    <t>20230710 12:32:57</t>
  </si>
  <si>
    <t>12:32:57</t>
  </si>
  <si>
    <t>MPF-13682-20230710-12_31_51</t>
  </si>
  <si>
    <t>DARK-13683-20230710-12_31_59</t>
  </si>
  <si>
    <t>12:32:27</t>
  </si>
  <si>
    <t>20230710 12:35:25</t>
  </si>
  <si>
    <t>12:35:25</t>
  </si>
  <si>
    <t>MPF-13684-20230710-12_34_20</t>
  </si>
  <si>
    <t>DARK-13685-20230710-12_34_27</t>
  </si>
  <si>
    <t>12:34:50</t>
  </si>
  <si>
    <t>20230710 12:37:31</t>
  </si>
  <si>
    <t>12:37:31</t>
  </si>
  <si>
    <t>MPF-13686-20230710-12_36_26</t>
  </si>
  <si>
    <t>DARK-13687-20230710-12_36_33</t>
  </si>
  <si>
    <t>12:36:55</t>
  </si>
  <si>
    <t>20230710 12:39:14</t>
  </si>
  <si>
    <t>12:39:14</t>
  </si>
  <si>
    <t>MPF-13688-20230710-12_38_09</t>
  </si>
  <si>
    <t>DARK-13689-20230710-12_38_16</t>
  </si>
  <si>
    <t>12:38:45</t>
  </si>
  <si>
    <t>20230710 13:12:31</t>
  </si>
  <si>
    <t>13:12:31</t>
  </si>
  <si>
    <t>5</t>
  </si>
  <si>
    <t>MPF-13690-20230710-13_11_26</t>
  </si>
  <si>
    <t>DARK-13691-20230710-13_11_33</t>
  </si>
  <si>
    <t>13:11:55</t>
  </si>
  <si>
    <t>20230710 13:15:03</t>
  </si>
  <si>
    <t>13:15:03</t>
  </si>
  <si>
    <t>MPF-13692-20230710-13_13_58</t>
  </si>
  <si>
    <t>DARK-13693-20230710-13_14_05</t>
  </si>
  <si>
    <t>13:15:39</t>
  </si>
  <si>
    <t>20230710 13:17:41</t>
  </si>
  <si>
    <t>13:17:41</t>
  </si>
  <si>
    <t>MPF-13694-20230710-13_16_36</t>
  </si>
  <si>
    <t>DARK-13695-20230710-13_16_43</t>
  </si>
  <si>
    <t>13:16:53</t>
  </si>
  <si>
    <t>20230710 13:19:53</t>
  </si>
  <si>
    <t>13:19:53</t>
  </si>
  <si>
    <t>MPF-13696-20230710-13_18_48</t>
  </si>
  <si>
    <t>DARK-13697-20230710-13_18_55</t>
  </si>
  <si>
    <t>13:19:14</t>
  </si>
  <si>
    <t>20230710 13:22:01</t>
  </si>
  <si>
    <t>13:22:01</t>
  </si>
  <si>
    <t>MPF-13698-20230710-13_20_56</t>
  </si>
  <si>
    <t>DARK-13699-20230710-13_21_03</t>
  </si>
  <si>
    <t>13:21:27</t>
  </si>
  <si>
    <t>20230710 13:23:59</t>
  </si>
  <si>
    <t>13:23:59</t>
  </si>
  <si>
    <t>MPF-13700-20230710-13_22_54</t>
  </si>
  <si>
    <t>DARK-13701-20230710-13_23_01</t>
  </si>
  <si>
    <t>13:23:18</t>
  </si>
  <si>
    <t>20230710 13:26:04</t>
  </si>
  <si>
    <t>13:26:04</t>
  </si>
  <si>
    <t>MPF-13702-20230710-13_24_59</t>
  </si>
  <si>
    <t>DARK-13703-20230710-13_25_06</t>
  </si>
  <si>
    <t>13:25:28</t>
  </si>
  <si>
    <t>20230710 13:29:13</t>
  </si>
  <si>
    <t>13:29:13</t>
  </si>
  <si>
    <t>MPF-13704-20230710-13_28_08</t>
  </si>
  <si>
    <t>DARK-13705-20230710-13_28_15</t>
  </si>
  <si>
    <t>13:27:45</t>
  </si>
  <si>
    <t>20230710 13:31:20</t>
  </si>
  <si>
    <t>13:31:20</t>
  </si>
  <si>
    <t>MPF-13706-20230710-13_30_15</t>
  </si>
  <si>
    <t>DARK-13707-20230710-13_30_22</t>
  </si>
  <si>
    <t>13:30:33</t>
  </si>
  <si>
    <t>20230710 13:33:21</t>
  </si>
  <si>
    <t>13:33:21</t>
  </si>
  <si>
    <t>MPF-13708-20230710-13_32_16</t>
  </si>
  <si>
    <t>DARK-13709-20230710-13_32_23</t>
  </si>
  <si>
    <t>13:32:47</t>
  </si>
  <si>
    <t>20230710 13:35:25</t>
  </si>
  <si>
    <t>13:35:25</t>
  </si>
  <si>
    <t>MPF-13710-20230710-13_34_20</t>
  </si>
  <si>
    <t>DARK-13711-20230710-13_34_27</t>
  </si>
  <si>
    <t>13:34:54</t>
  </si>
  <si>
    <t>20230710 13:37:18</t>
  </si>
  <si>
    <t>13:37:18</t>
  </si>
  <si>
    <t>MPF-13712-20230710-13_36_13</t>
  </si>
  <si>
    <t>DARK-13713-20230710-13_36_20</t>
  </si>
  <si>
    <t>13:36:48</t>
  </si>
  <si>
    <t>20230710 13:39:14</t>
  </si>
  <si>
    <t>13:39:14</t>
  </si>
  <si>
    <t>MPF-13714-20230710-13_38_09</t>
  </si>
  <si>
    <t>DARK-13715-20230710-13_38_16</t>
  </si>
  <si>
    <t>13:38:43</t>
  </si>
  <si>
    <t>20230710 13:41:13</t>
  </si>
  <si>
    <t>13:41:13</t>
  </si>
  <si>
    <t>MPF-13716-20230710-13_40_08</t>
  </si>
  <si>
    <t>DARK-13717-20230710-13_40_15</t>
  </si>
  <si>
    <t>13:40:38</t>
  </si>
  <si>
    <t>20230710 13:42:56</t>
  </si>
  <si>
    <t>13:42:56</t>
  </si>
  <si>
    <t>MPF-13718-20230710-13_41_51</t>
  </si>
  <si>
    <t>DARK-13719-20230710-13_41_58</t>
  </si>
  <si>
    <t>13:42:21</t>
  </si>
  <si>
    <t>20230710 13:48:37</t>
  </si>
  <si>
    <t>13:48:37</t>
  </si>
  <si>
    <t>MPF-13720-20230710-13_47_32</t>
  </si>
  <si>
    <t>DARK-13721-20230710-13_47_39</t>
  </si>
  <si>
    <t>13:49:12</t>
  </si>
  <si>
    <t>20230710 13:51:32</t>
  </si>
  <si>
    <t>13:51:32</t>
  </si>
  <si>
    <t>MPF-13722-20230710-13_50_27</t>
  </si>
  <si>
    <t>DARK-13723-20230710-13_50_34</t>
  </si>
  <si>
    <t>13:50:40</t>
  </si>
  <si>
    <t>20230710 13:54:02</t>
  </si>
  <si>
    <t>13:54:02</t>
  </si>
  <si>
    <t>MPF-13724-20230710-13_52_57</t>
  </si>
  <si>
    <t>DARK-13725-20230710-13_53_04</t>
  </si>
  <si>
    <t>13:53:19</t>
  </si>
  <si>
    <t>20230710 13:56:06</t>
  </si>
  <si>
    <t>13:56:06</t>
  </si>
  <si>
    <t>MPF-13726-20230710-13_55_01</t>
  </si>
  <si>
    <t>DARK-13727-20230710-13_55_08</t>
  </si>
  <si>
    <t>13:55:25</t>
  </si>
  <si>
    <t>20230710 13:58:15</t>
  </si>
  <si>
    <t>13:58:15</t>
  </si>
  <si>
    <t>MPF-13728-20230710-13_57_10</t>
  </si>
  <si>
    <t>DARK-13729-20230710-13_57_17</t>
  </si>
  <si>
    <t>13:57:33</t>
  </si>
  <si>
    <t>20230710 14:00:14</t>
  </si>
  <si>
    <t>14:00:14</t>
  </si>
  <si>
    <t>MPF-13730-20230710-13_59_09</t>
  </si>
  <si>
    <t>DARK-13731-20230710-13_59_16</t>
  </si>
  <si>
    <t>13:59:34</t>
  </si>
  <si>
    <t>20230710 14:02:27</t>
  </si>
  <si>
    <t>14:02:27</t>
  </si>
  <si>
    <t>MPF-13732-20230710-14_01_22</t>
  </si>
  <si>
    <t>DARK-13733-20230710-14_01_29</t>
  </si>
  <si>
    <t>14:01:48</t>
  </si>
  <si>
    <t>20230710 14:05:36</t>
  </si>
  <si>
    <t>14:05:36</t>
  </si>
  <si>
    <t>MPF-13734-20230710-14_04_31</t>
  </si>
  <si>
    <t>DARK-13735-20230710-14_04_39</t>
  </si>
  <si>
    <t>14:04:08</t>
  </si>
  <si>
    <t>20230710 14:07:16</t>
  </si>
  <si>
    <t>14:07:16</t>
  </si>
  <si>
    <t>MPF-13736-20230710-14_06_11</t>
  </si>
  <si>
    <t>DARK-13737-20230710-14_06_18</t>
  </si>
  <si>
    <t>14:06:47</t>
  </si>
  <si>
    <t>20230710 14:09:27</t>
  </si>
  <si>
    <t>14:09:27</t>
  </si>
  <si>
    <t>MPF-13738-20230710-14_08_22</t>
  </si>
  <si>
    <t>DARK-13739-20230710-14_08_30</t>
  </si>
  <si>
    <t>14:08:50</t>
  </si>
  <si>
    <t>20230710 14:11:39</t>
  </si>
  <si>
    <t>14:11:39</t>
  </si>
  <si>
    <t>MPF-13740-20230710-14_10_34</t>
  </si>
  <si>
    <t>DARK-13741-20230710-14_10_41</t>
  </si>
  <si>
    <t>14:10:57</t>
  </si>
  <si>
    <t>20230710 14:13:46</t>
  </si>
  <si>
    <t>14:13:46</t>
  </si>
  <si>
    <t>MPF-13742-20230710-14_12_41</t>
  </si>
  <si>
    <t>DARK-13743-20230710-14_12_49</t>
  </si>
  <si>
    <t>14:13:04</t>
  </si>
  <si>
    <t>20230710 14:15:56</t>
  </si>
  <si>
    <t>14:15:56</t>
  </si>
  <si>
    <t>MPF-13744-20230710-14_14_51</t>
  </si>
  <si>
    <t>DARK-13745-20230710-14_14_58</t>
  </si>
  <si>
    <t>14:15:15</t>
  </si>
  <si>
    <t>20230710 14:17:57</t>
  </si>
  <si>
    <t>14:17:57</t>
  </si>
  <si>
    <t>MPF-13746-20230710-14_16_52</t>
  </si>
  <si>
    <t>DARK-13747-20230710-14_16_59</t>
  </si>
  <si>
    <t>14:17:17</t>
  </si>
  <si>
    <t>20230710 14:19:49</t>
  </si>
  <si>
    <t>14:19:49</t>
  </si>
  <si>
    <t>MPF-13748-20230710-14_18_44</t>
  </si>
  <si>
    <t>DARK-13749-20230710-14_18_51</t>
  </si>
  <si>
    <t>14:19:10</t>
  </si>
  <si>
    <t>20230710 14:35:25</t>
  </si>
  <si>
    <t>14:35:25</t>
  </si>
  <si>
    <t>MPF-13750-20230710-14_34_20</t>
  </si>
  <si>
    <t>DARK-13751-20230710-14_34_28</t>
  </si>
  <si>
    <t>14:34:48</t>
  </si>
  <si>
    <t>20230710 14:37:40</t>
  </si>
  <si>
    <t>14:37:40</t>
  </si>
  <si>
    <t>MPF-13752-20230710-14_36_35</t>
  </si>
  <si>
    <t>DARK-13753-20230710-14_36_43</t>
  </si>
  <si>
    <t>14:37:08</t>
  </si>
  <si>
    <t>20230710 14:39:55</t>
  </si>
  <si>
    <t>14:39:55</t>
  </si>
  <si>
    <t>MPF-13754-20230710-14_38_50</t>
  </si>
  <si>
    <t>DARK-13755-20230710-14_38_58</t>
  </si>
  <si>
    <t>14:39:15</t>
  </si>
  <si>
    <t>20230710 14:42:09</t>
  </si>
  <si>
    <t>14:42:09</t>
  </si>
  <si>
    <t>MPF-13756-20230710-14_41_04</t>
  </si>
  <si>
    <t>DARK-13757-20230710-14_41_11</t>
  </si>
  <si>
    <t>14:41:29</t>
  </si>
  <si>
    <t>20230710 14:44:11</t>
  </si>
  <si>
    <t>14:44:11</t>
  </si>
  <si>
    <t>MPF-13758-20230710-14_43_06</t>
  </si>
  <si>
    <t>DARK-13759-20230710-14_43_13</t>
  </si>
  <si>
    <t>14:43:31</t>
  </si>
  <si>
    <t>20230710 14:46:13</t>
  </si>
  <si>
    <t>14:46:13</t>
  </si>
  <si>
    <t>MPF-13760-20230710-14_45_08</t>
  </si>
  <si>
    <t>DARK-13761-20230710-14_45_15</t>
  </si>
  <si>
    <t>14:45:32</t>
  </si>
  <si>
    <t>20230710 14:48:35</t>
  </si>
  <si>
    <t>14:48:35</t>
  </si>
  <si>
    <t>MPF-13762-20230710-14_47_30</t>
  </si>
  <si>
    <t>DARK-13763-20230710-14_47_37</t>
  </si>
  <si>
    <t>14:47:42</t>
  </si>
  <si>
    <t>20230710 14:51:45</t>
  </si>
  <si>
    <t>14:51:45</t>
  </si>
  <si>
    <t>MPF-13764-20230710-14_50_40</t>
  </si>
  <si>
    <t>DARK-13765-20230710-14_50_47</t>
  </si>
  <si>
    <t>14:49:57</t>
  </si>
  <si>
    <t>20230710 14:54:51</t>
  </si>
  <si>
    <t>14:54:51</t>
  </si>
  <si>
    <t>MPF-13766-20230710-14_53_46</t>
  </si>
  <si>
    <t>DARK-13767-20230710-14_53_53</t>
  </si>
  <si>
    <t>14:54:07</t>
  </si>
  <si>
    <t>20230710 14:57:06</t>
  </si>
  <si>
    <t>14:57:06</t>
  </si>
  <si>
    <t>MPF-13768-20230710-14_56_01</t>
  </si>
  <si>
    <t>DARK-13769-20230710-14_56_08</t>
  </si>
  <si>
    <t>14:56:29</t>
  </si>
  <si>
    <t>20230710 14:59:50</t>
  </si>
  <si>
    <t>14:59:50</t>
  </si>
  <si>
    <t>MPF-13770-20230710-14_58_45</t>
  </si>
  <si>
    <t>DARK-13771-20230710-14_58_53</t>
  </si>
  <si>
    <t>14:58:54</t>
  </si>
  <si>
    <t>20230710 15:02:03</t>
  </si>
  <si>
    <t>15:02:03</t>
  </si>
  <si>
    <t>MPF-13772-20230710-15_00_58</t>
  </si>
  <si>
    <t>DARK-13773-20230710-15_01_05</t>
  </si>
  <si>
    <t>15:01:17</t>
  </si>
  <si>
    <t>20230710 15:04:10</t>
  </si>
  <si>
    <t>15:04:10</t>
  </si>
  <si>
    <t>MPF-13774-20230710-15_03_05</t>
  </si>
  <si>
    <t>DARK-13775-20230710-15_03_12</t>
  </si>
  <si>
    <t>15:03:25</t>
  </si>
  <si>
    <t>20230710 15:05:51</t>
  </si>
  <si>
    <t>15:05:51</t>
  </si>
  <si>
    <t>MPF-13776-20230710-15_04_46</t>
  </si>
  <si>
    <t>DARK-13777-20230710-15_04_53</t>
  </si>
  <si>
    <t>15:05:19</t>
  </si>
  <si>
    <t>20230710 15:07:52</t>
  </si>
  <si>
    <t>15:07:52</t>
  </si>
  <si>
    <t>MPF-13778-20230710-15_06_47</t>
  </si>
  <si>
    <t>DARK-13779-20230710-15_06_55</t>
  </si>
  <si>
    <t>15:07:14</t>
  </si>
  <si>
    <t>20230710 15:16:47</t>
  </si>
  <si>
    <t>15:16:47</t>
  </si>
  <si>
    <t>MPF-13780-20230710-15_15_42</t>
  </si>
  <si>
    <t>DARK-13781-20230710-15_15_50</t>
  </si>
  <si>
    <t>15:16:16</t>
  </si>
  <si>
    <t>20230710 15:18:58</t>
  </si>
  <si>
    <t>15:18:58</t>
  </si>
  <si>
    <t>MPF-13782-20230710-15_17_53</t>
  </si>
  <si>
    <t>DARK-13783-20230710-15_18_01</t>
  </si>
  <si>
    <t>15:18:03</t>
  </si>
  <si>
    <t>20230710 15:20:52</t>
  </si>
  <si>
    <t>15:20:52</t>
  </si>
  <si>
    <t>MPF-13784-20230710-15_19_47</t>
  </si>
  <si>
    <t>DARK-13785-20230710-15_19_54</t>
  </si>
  <si>
    <t>15:20:18</t>
  </si>
  <si>
    <t>20230710 15:22:46</t>
  </si>
  <si>
    <t>15:22:46</t>
  </si>
  <si>
    <t>MPF-13786-20230710-15_21_41</t>
  </si>
  <si>
    <t>DARK-13787-20230710-15_21_49</t>
  </si>
  <si>
    <t>15:22:09</t>
  </si>
  <si>
    <t>20230710 15:25:16</t>
  </si>
  <si>
    <t>15:25:16</t>
  </si>
  <si>
    <t>MPF-13788-20230710-15_24_11</t>
  </si>
  <si>
    <t>DARK-13789-20230710-15_24_19</t>
  </si>
  <si>
    <t>15:24:36</t>
  </si>
  <si>
    <t>20230710 15:26:56</t>
  </si>
  <si>
    <t>15:26:56</t>
  </si>
  <si>
    <t>MPF-13790-20230710-15_25_51</t>
  </si>
  <si>
    <t>DARK-13791-20230710-15_25_59</t>
  </si>
  <si>
    <t>15:27:33</t>
  </si>
  <si>
    <t>20230710 15:29:58</t>
  </si>
  <si>
    <t>15:29:58</t>
  </si>
  <si>
    <t>MPF-13792-20230710-15_28_53</t>
  </si>
  <si>
    <t>DARK-13793-20230710-15_29_01</t>
  </si>
  <si>
    <t>15:29:11</t>
  </si>
  <si>
    <t>20230710 15:33:08</t>
  </si>
  <si>
    <t>15:33:08</t>
  </si>
  <si>
    <t>MPF-13794-20230710-15_32_03</t>
  </si>
  <si>
    <t>DARK-13795-20230710-15_32_10</t>
  </si>
  <si>
    <t>15:31:29</t>
  </si>
  <si>
    <t>20230710 15:35:21</t>
  </si>
  <si>
    <t>15:35:21</t>
  </si>
  <si>
    <t>MPF-13796-20230710-15_34_16</t>
  </si>
  <si>
    <t>DARK-13797-20230710-15_34_24</t>
  </si>
  <si>
    <t>15:34:20</t>
  </si>
  <si>
    <t>20230710 15:37:01</t>
  </si>
  <si>
    <t>15:37:01</t>
  </si>
  <si>
    <t>MPF-13798-20230710-15_35_56</t>
  </si>
  <si>
    <t>DARK-13799-20230710-15_36_03</t>
  </si>
  <si>
    <t>15:37:30</t>
  </si>
  <si>
    <t>20230710 15:39:01</t>
  </si>
  <si>
    <t>15:39:01</t>
  </si>
  <si>
    <t>MPF-13800-20230710-15_37_56</t>
  </si>
  <si>
    <t>DARK-13801-20230710-15_38_03</t>
  </si>
  <si>
    <t>15:39:28</t>
  </si>
  <si>
    <t>20230710 15:41:47</t>
  </si>
  <si>
    <t>15:41:47</t>
  </si>
  <si>
    <t>MPF-13802-20230710-15_40_42</t>
  </si>
  <si>
    <t>DARK-13803-20230710-15_40_50</t>
  </si>
  <si>
    <t>15:41:07</t>
  </si>
  <si>
    <t>20230710 15:43:57</t>
  </si>
  <si>
    <t>15:43:57</t>
  </si>
  <si>
    <t>MPF-13804-20230710-15_42_52</t>
  </si>
  <si>
    <t>DARK-13805-20230710-15_43_00</t>
  </si>
  <si>
    <t>15:43:08</t>
  </si>
  <si>
    <t>20230710 15:45:51</t>
  </si>
  <si>
    <t>15:45:51</t>
  </si>
  <si>
    <t>MPF-13806-20230710-15_44_46</t>
  </si>
  <si>
    <t>DARK-13807-20230710-15_44_53</t>
  </si>
  <si>
    <t>15:45:19</t>
  </si>
  <si>
    <t>20230710 15:48:34</t>
  </si>
  <si>
    <t>15:48:34</t>
  </si>
  <si>
    <t>MPF-13808-20230710-15_47_29</t>
  </si>
  <si>
    <t>DARK-13809-20230710-15_47_36</t>
  </si>
  <si>
    <t>15:48:00</t>
  </si>
  <si>
    <t>20230710 16:10:32</t>
  </si>
  <si>
    <t>16:10:32</t>
  </si>
  <si>
    <t>MPF-13810-20230710-16_09_27</t>
  </si>
  <si>
    <t>DARK-13811-20230710-16_09_34</t>
  </si>
  <si>
    <t>16:09:48</t>
  </si>
  <si>
    <t>20230710 16:12:41</t>
  </si>
  <si>
    <t>16:12:41</t>
  </si>
  <si>
    <t>MPF-13812-20230710-16_11_36</t>
  </si>
  <si>
    <t>DARK-13813-20230710-16_11_44</t>
  </si>
  <si>
    <t>16:12:07</t>
  </si>
  <si>
    <t>20230710 16:14:40</t>
  </si>
  <si>
    <t>16:14:40</t>
  </si>
  <si>
    <t>MPF-13814-20230710-16_13_35</t>
  </si>
  <si>
    <t>DARK-13815-20230710-16_13_42</t>
  </si>
  <si>
    <t>16:14:04</t>
  </si>
  <si>
    <t>20230710 16:16:19</t>
  </si>
  <si>
    <t>16:16:19</t>
  </si>
  <si>
    <t>MPF-13816-20230710-16_15_14</t>
  </si>
  <si>
    <t>DARK-13817-20230710-16_15_22</t>
  </si>
  <si>
    <t>16:16:49</t>
  </si>
  <si>
    <t>20230710 16:18:20</t>
  </si>
  <si>
    <t>16:18:20</t>
  </si>
  <si>
    <t>MPF-13818-20230710-16_17_15</t>
  </si>
  <si>
    <t>DARK-13819-20230710-16_17_23</t>
  </si>
  <si>
    <t>16:18:55</t>
  </si>
  <si>
    <t>20230710 16:21:13</t>
  </si>
  <si>
    <t>16:21:13</t>
  </si>
  <si>
    <t>MPF-13820-20230710-16_20_08</t>
  </si>
  <si>
    <t>DARK-13821-20230710-16_20_15</t>
  </si>
  <si>
    <t>16:20:31</t>
  </si>
  <si>
    <t>20230710 16:22:52</t>
  </si>
  <si>
    <t>16:22:52</t>
  </si>
  <si>
    <t>MPF-13822-20230710-16_21_47</t>
  </si>
  <si>
    <t>DARK-13823-20230710-16_21_55</t>
  </si>
  <si>
    <t>16:23:25</t>
  </si>
  <si>
    <t>20230710 16:26:26</t>
  </si>
  <si>
    <t>16:26:26</t>
  </si>
  <si>
    <t>MPF-13824-20230710-16_25_21</t>
  </si>
  <si>
    <t>DARK-13825-20230710-16_25_29</t>
  </si>
  <si>
    <t>16:27:00</t>
  </si>
  <si>
    <t>20230710 16:29:05</t>
  </si>
  <si>
    <t>16:29:05</t>
  </si>
  <si>
    <t>MPF-13826-20230710-16_28_00</t>
  </si>
  <si>
    <t>DARK-13827-20230710-16_28_07</t>
  </si>
  <si>
    <t>16:28:34</t>
  </si>
  <si>
    <t>20230710 16:30:58</t>
  </si>
  <si>
    <t>16:30:58</t>
  </si>
  <si>
    <t>MPF-13828-20230710-16_29_53</t>
  </si>
  <si>
    <t>DARK-13829-20230710-16_30_01</t>
  </si>
  <si>
    <t>16:30:18</t>
  </si>
  <si>
    <t>20230710 16:33:14</t>
  </si>
  <si>
    <t>16:33:14</t>
  </si>
  <si>
    <t>MPF-13830-20230710-16_32_09</t>
  </si>
  <si>
    <t>DARK-13831-20230710-16_32_16</t>
  </si>
  <si>
    <t>16:32:27</t>
  </si>
  <si>
    <t>20230710 16:35:35</t>
  </si>
  <si>
    <t>16:35:35</t>
  </si>
  <si>
    <t>MPF-13832-20230710-16_34_30</t>
  </si>
  <si>
    <t>DARK-13833-20230710-16_34_37</t>
  </si>
  <si>
    <t>16:34:49</t>
  </si>
  <si>
    <t>20230710 16:37:48</t>
  </si>
  <si>
    <t>16:37:48</t>
  </si>
  <si>
    <t>MPF-13834-20230710-16_36_43</t>
  </si>
  <si>
    <t>DARK-13835-20230710-16_36_51</t>
  </si>
  <si>
    <t>16:36:54</t>
  </si>
  <si>
    <t>20230710 16:39:41</t>
  </si>
  <si>
    <t>16:39:41</t>
  </si>
  <si>
    <t>MPF-13836-20230710-16_38_36</t>
  </si>
  <si>
    <t>DARK-13837-20230710-16_38_43</t>
  </si>
  <si>
    <t>16:39:03</t>
  </si>
  <si>
    <t>20230710 16:42:08</t>
  </si>
  <si>
    <t>16:42:08</t>
  </si>
  <si>
    <t>MPF-13838-20230710-16_41_03</t>
  </si>
  <si>
    <t>DARK-13839-20230710-16_41_10</t>
  </si>
  <si>
    <t>16:41:22</t>
  </si>
  <si>
    <t>20230710 17:02:31</t>
  </si>
  <si>
    <t>17:02:31</t>
  </si>
  <si>
    <t>MPF-13840-20230710-17_01_27</t>
  </si>
  <si>
    <t>DARK-13841-20230710-17_01_34</t>
  </si>
  <si>
    <t>17:01:50</t>
  </si>
  <si>
    <t>20230710 17:04:19</t>
  </si>
  <si>
    <t>17:04:19</t>
  </si>
  <si>
    <t>MPF-13842-20230710-17_03_15</t>
  </si>
  <si>
    <t>DARK-13843-20230710-17_03_22</t>
  </si>
  <si>
    <t>17:03:46</t>
  </si>
  <si>
    <t>20230710 17:06:27</t>
  </si>
  <si>
    <t>17:06:27</t>
  </si>
  <si>
    <t>MPF-13844-20230710-17_05_23</t>
  </si>
  <si>
    <t>DARK-13845-20230710-17_05_30</t>
  </si>
  <si>
    <t>17:05:52</t>
  </si>
  <si>
    <t>20230710 17:08:27</t>
  </si>
  <si>
    <t>17:08:27</t>
  </si>
  <si>
    <t>MPF-13846-20230710-17_07_23</t>
  </si>
  <si>
    <t>DARK-13847-20230710-17_07_30</t>
  </si>
  <si>
    <t>17:07:52</t>
  </si>
  <si>
    <t>20230710 17:10:32</t>
  </si>
  <si>
    <t>17:10:32</t>
  </si>
  <si>
    <t>MPF-13848-20230710-17_09_27</t>
  </si>
  <si>
    <t>DARK-13849-20230710-17_09_34</t>
  </si>
  <si>
    <t>17:09:59</t>
  </si>
  <si>
    <t>20230710 17:12:22</t>
  </si>
  <si>
    <t>17:12:22</t>
  </si>
  <si>
    <t>MPF-13850-20230710-17_11_18</t>
  </si>
  <si>
    <t>DARK-13851-20230710-17_11_25</t>
  </si>
  <si>
    <t>17:11:50</t>
  </si>
  <si>
    <t>20230710 17:15:02</t>
  </si>
  <si>
    <t>17:15:02</t>
  </si>
  <si>
    <t>MPF-13852-20230710-17_13_57</t>
  </si>
  <si>
    <t>DARK-13853-20230710-17_14_04</t>
  </si>
  <si>
    <t>17:14:26</t>
  </si>
  <si>
    <t>20230710 17:17:54</t>
  </si>
  <si>
    <t>17:17:54</t>
  </si>
  <si>
    <t>MPF-13854-20230710-17_16_50</t>
  </si>
  <si>
    <t>DARK-13855-20230710-17_16_57</t>
  </si>
  <si>
    <t>17:16:23</t>
  </si>
  <si>
    <t>20230710 17:20:52</t>
  </si>
  <si>
    <t>17:20:52</t>
  </si>
  <si>
    <t>MPF-13856-20230710-17_19_47</t>
  </si>
  <si>
    <t>DARK-13857-20230710-17_19_54</t>
  </si>
  <si>
    <t>17:19:05</t>
  </si>
  <si>
    <t>20230710 17:22:40</t>
  </si>
  <si>
    <t>17:22:40</t>
  </si>
  <si>
    <t>MPF-13858-20230710-17_21_36</t>
  </si>
  <si>
    <t>DARK-13859-20230710-17_21_43</t>
  </si>
  <si>
    <t>17:22:01</t>
  </si>
  <si>
    <t>20230710 17:25:08</t>
  </si>
  <si>
    <t>17:25:08</t>
  </si>
  <si>
    <t>MPF-13860-20230710-17_24_03</t>
  </si>
  <si>
    <t>DARK-13861-20230710-17_24_10</t>
  </si>
  <si>
    <t>17:24:27</t>
  </si>
  <si>
    <t>20230710 17:27:02</t>
  </si>
  <si>
    <t>17:27:02</t>
  </si>
  <si>
    <t>MPF-13862-20230710-17_25_57</t>
  </si>
  <si>
    <t>DARK-13863-20230710-17_26_04</t>
  </si>
  <si>
    <t>17:26:26</t>
  </si>
  <si>
    <t>20230710 17:29:16</t>
  </si>
  <si>
    <t>17:29:16</t>
  </si>
  <si>
    <t>MPF-13864-20230710-17_28_12</t>
  </si>
  <si>
    <t>DARK-13865-20230710-17_28_19</t>
  </si>
  <si>
    <t>17:28:34</t>
  </si>
  <si>
    <t>20230710 17:31:19</t>
  </si>
  <si>
    <t>17:31:19</t>
  </si>
  <si>
    <t>MPF-13866-20230710-17_30_15</t>
  </si>
  <si>
    <t>DARK-13867-20230710-17_30_22</t>
  </si>
  <si>
    <t>17:30:36</t>
  </si>
  <si>
    <t>20230710 17:33:19</t>
  </si>
  <si>
    <t>17:33:19</t>
  </si>
  <si>
    <t>MPF-13868-20230710-17_32_15</t>
  </si>
  <si>
    <t>DARK-13869-20230710-17_32_22</t>
  </si>
  <si>
    <t>17:32:40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</si>
</sst>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V166"/>
  <sheetViews>
    <sheetView tabSelected="1" topLeftCell="A88" workbookViewId="0"/>
  </sheetViews>
  <sheetFormatPr defaultRowHeight="15" x14ac:dyDescent="0.25"/>
  <sheetData>
    <row r="2" spans="1:282" x14ac:dyDescent="0.25">
      <c r="A2" t="s">
        <v>29</v>
      </c>
      <c r="B2" t="s">
        <v>30</v>
      </c>
      <c r="C2" t="s">
        <v>32</v>
      </c>
    </row>
    <row r="3" spans="1:282" x14ac:dyDescent="0.25">
      <c r="B3" t="s">
        <v>31</v>
      </c>
      <c r="C3">
        <v>21</v>
      </c>
    </row>
    <row r="4" spans="1:282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2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2" x14ac:dyDescent="0.25">
      <c r="B7">
        <v>0</v>
      </c>
      <c r="C7">
        <v>1</v>
      </c>
      <c r="D7">
        <v>0</v>
      </c>
      <c r="E7">
        <v>0</v>
      </c>
    </row>
    <row r="8" spans="1:282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2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2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2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90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91</v>
      </c>
      <c r="CX14" t="s">
        <v>92</v>
      </c>
      <c r="CY14" t="s">
        <v>92</v>
      </c>
      <c r="CZ14" t="s">
        <v>92</v>
      </c>
      <c r="DA14" t="s">
        <v>92</v>
      </c>
      <c r="DB14" t="s">
        <v>93</v>
      </c>
      <c r="DC14" t="s">
        <v>93</v>
      </c>
      <c r="DD14" t="s">
        <v>93</v>
      </c>
      <c r="DE14" t="s">
        <v>93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88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192</v>
      </c>
      <c r="CK15" t="s">
        <v>172</v>
      </c>
      <c r="CL15" t="s">
        <v>193</v>
      </c>
      <c r="CM15" t="s">
        <v>194</v>
      </c>
      <c r="CN15" t="s">
        <v>195</v>
      </c>
      <c r="CO15" t="s">
        <v>146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116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107</v>
      </c>
      <c r="FF15" t="s">
        <v>110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25">
      <c r="B16" t="s">
        <v>382</v>
      </c>
      <c r="C16" t="s">
        <v>382</v>
      </c>
      <c r="F16" t="s">
        <v>382</v>
      </c>
      <c r="K16" t="s">
        <v>382</v>
      </c>
      <c r="L16" t="s">
        <v>383</v>
      </c>
      <c r="M16" t="s">
        <v>384</v>
      </c>
      <c r="N16" t="s">
        <v>385</v>
      </c>
      <c r="O16" t="s">
        <v>386</v>
      </c>
      <c r="P16" t="s">
        <v>386</v>
      </c>
      <c r="Q16" t="s">
        <v>219</v>
      </c>
      <c r="R16" t="s">
        <v>219</v>
      </c>
      <c r="S16" t="s">
        <v>383</v>
      </c>
      <c r="T16" t="s">
        <v>383</v>
      </c>
      <c r="U16" t="s">
        <v>383</v>
      </c>
      <c r="V16" t="s">
        <v>383</v>
      </c>
      <c r="W16" t="s">
        <v>387</v>
      </c>
      <c r="X16" t="s">
        <v>388</v>
      </c>
      <c r="Y16" t="s">
        <v>388</v>
      </c>
      <c r="Z16" t="s">
        <v>389</v>
      </c>
      <c r="AA16" t="s">
        <v>390</v>
      </c>
      <c r="AB16" t="s">
        <v>389</v>
      </c>
      <c r="AC16" t="s">
        <v>389</v>
      </c>
      <c r="AD16" t="s">
        <v>389</v>
      </c>
      <c r="AE16" t="s">
        <v>387</v>
      </c>
      <c r="AF16" t="s">
        <v>387</v>
      </c>
      <c r="AG16" t="s">
        <v>387</v>
      </c>
      <c r="AH16" t="s">
        <v>387</v>
      </c>
      <c r="AI16" t="s">
        <v>391</v>
      </c>
      <c r="AJ16" t="s">
        <v>390</v>
      </c>
      <c r="AL16" t="s">
        <v>390</v>
      </c>
      <c r="AM16" t="s">
        <v>391</v>
      </c>
      <c r="AS16" t="s">
        <v>385</v>
      </c>
      <c r="AZ16" t="s">
        <v>385</v>
      </c>
      <c r="BA16" t="s">
        <v>385</v>
      </c>
      <c r="BB16" t="s">
        <v>385</v>
      </c>
      <c r="BC16" t="s">
        <v>392</v>
      </c>
      <c r="BQ16" t="s">
        <v>393</v>
      </c>
      <c r="BS16" t="s">
        <v>393</v>
      </c>
      <c r="BT16" t="s">
        <v>385</v>
      </c>
      <c r="BW16" t="s">
        <v>393</v>
      </c>
      <c r="BX16" t="s">
        <v>390</v>
      </c>
      <c r="CA16" t="s">
        <v>394</v>
      </c>
      <c r="CB16" t="s">
        <v>394</v>
      </c>
      <c r="CD16" t="s">
        <v>395</v>
      </c>
      <c r="CE16" t="s">
        <v>393</v>
      </c>
      <c r="CG16" t="s">
        <v>393</v>
      </c>
      <c r="CH16" t="s">
        <v>385</v>
      </c>
      <c r="CL16" t="s">
        <v>393</v>
      </c>
      <c r="CN16" t="s">
        <v>396</v>
      </c>
      <c r="CQ16" t="s">
        <v>393</v>
      </c>
      <c r="CR16" t="s">
        <v>393</v>
      </c>
      <c r="CT16" t="s">
        <v>393</v>
      </c>
      <c r="CV16" t="s">
        <v>393</v>
      </c>
      <c r="CX16" t="s">
        <v>385</v>
      </c>
      <c r="CY16" t="s">
        <v>385</v>
      </c>
      <c r="DA16" t="s">
        <v>397</v>
      </c>
      <c r="DB16" t="s">
        <v>398</v>
      </c>
      <c r="DE16" t="s">
        <v>383</v>
      </c>
      <c r="DF16" t="s">
        <v>382</v>
      </c>
      <c r="DG16" t="s">
        <v>386</v>
      </c>
      <c r="DH16" t="s">
        <v>386</v>
      </c>
      <c r="DI16" t="s">
        <v>399</v>
      </c>
      <c r="DJ16" t="s">
        <v>399</v>
      </c>
      <c r="DK16" t="s">
        <v>386</v>
      </c>
      <c r="DL16" t="s">
        <v>399</v>
      </c>
      <c r="DM16" t="s">
        <v>391</v>
      </c>
      <c r="DN16" t="s">
        <v>389</v>
      </c>
      <c r="DO16" t="s">
        <v>389</v>
      </c>
      <c r="DP16" t="s">
        <v>388</v>
      </c>
      <c r="DQ16" t="s">
        <v>388</v>
      </c>
      <c r="DR16" t="s">
        <v>388</v>
      </c>
      <c r="DS16" t="s">
        <v>388</v>
      </c>
      <c r="DT16" t="s">
        <v>388</v>
      </c>
      <c r="DU16" t="s">
        <v>400</v>
      </c>
      <c r="DV16" t="s">
        <v>385</v>
      </c>
      <c r="DW16" t="s">
        <v>385</v>
      </c>
      <c r="DX16" t="s">
        <v>386</v>
      </c>
      <c r="DY16" t="s">
        <v>386</v>
      </c>
      <c r="DZ16" t="s">
        <v>386</v>
      </c>
      <c r="EA16" t="s">
        <v>399</v>
      </c>
      <c r="EB16" t="s">
        <v>386</v>
      </c>
      <c r="EC16" t="s">
        <v>399</v>
      </c>
      <c r="ED16" t="s">
        <v>389</v>
      </c>
      <c r="EE16" t="s">
        <v>389</v>
      </c>
      <c r="EF16" t="s">
        <v>388</v>
      </c>
      <c r="EG16" t="s">
        <v>388</v>
      </c>
      <c r="EH16" t="s">
        <v>385</v>
      </c>
      <c r="EM16" t="s">
        <v>385</v>
      </c>
      <c r="EP16" t="s">
        <v>388</v>
      </c>
      <c r="EQ16" t="s">
        <v>388</v>
      </c>
      <c r="ER16" t="s">
        <v>388</v>
      </c>
      <c r="ES16" t="s">
        <v>388</v>
      </c>
      <c r="ET16" t="s">
        <v>388</v>
      </c>
      <c r="EU16" t="s">
        <v>385</v>
      </c>
      <c r="EV16" t="s">
        <v>385</v>
      </c>
      <c r="EW16" t="s">
        <v>385</v>
      </c>
      <c r="EX16" t="s">
        <v>382</v>
      </c>
      <c r="FA16" t="s">
        <v>401</v>
      </c>
      <c r="FB16" t="s">
        <v>401</v>
      </c>
      <c r="FD16" t="s">
        <v>382</v>
      </c>
      <c r="FE16" t="s">
        <v>402</v>
      </c>
      <c r="FG16" t="s">
        <v>382</v>
      </c>
      <c r="FH16" t="s">
        <v>382</v>
      </c>
      <c r="FJ16" t="s">
        <v>403</v>
      </c>
      <c r="FK16" t="s">
        <v>404</v>
      </c>
      <c r="FL16" t="s">
        <v>403</v>
      </c>
      <c r="FM16" t="s">
        <v>404</v>
      </c>
      <c r="FN16" t="s">
        <v>403</v>
      </c>
      <c r="FO16" t="s">
        <v>404</v>
      </c>
      <c r="FP16" t="s">
        <v>390</v>
      </c>
      <c r="FQ16" t="s">
        <v>390</v>
      </c>
      <c r="FR16" t="s">
        <v>385</v>
      </c>
      <c r="FS16" t="s">
        <v>405</v>
      </c>
      <c r="FT16" t="s">
        <v>385</v>
      </c>
      <c r="FV16" t="s">
        <v>383</v>
      </c>
      <c r="FW16" t="s">
        <v>406</v>
      </c>
      <c r="FX16" t="s">
        <v>383</v>
      </c>
      <c r="GC16" t="s">
        <v>407</v>
      </c>
      <c r="GD16" t="s">
        <v>407</v>
      </c>
      <c r="GQ16" t="s">
        <v>407</v>
      </c>
      <c r="GR16" t="s">
        <v>407</v>
      </c>
      <c r="GS16" t="s">
        <v>408</v>
      </c>
      <c r="GT16" t="s">
        <v>408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407</v>
      </c>
      <c r="HJ16" t="s">
        <v>409</v>
      </c>
      <c r="HK16" t="s">
        <v>409</v>
      </c>
      <c r="HL16" t="s">
        <v>409</v>
      </c>
      <c r="HM16" t="s">
        <v>410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HY16" t="s">
        <v>407</v>
      </c>
      <c r="IF16" t="s">
        <v>407</v>
      </c>
      <c r="IG16" t="s">
        <v>390</v>
      </c>
      <c r="IH16" t="s">
        <v>390</v>
      </c>
      <c r="II16" t="s">
        <v>403</v>
      </c>
      <c r="IJ16" t="s">
        <v>404</v>
      </c>
      <c r="IK16" t="s">
        <v>404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411</v>
      </c>
      <c r="IX16" t="s">
        <v>411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407</v>
      </c>
      <c r="JE16" t="s">
        <v>388</v>
      </c>
      <c r="JF16" t="s">
        <v>407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25">
      <c r="A17">
        <v>1</v>
      </c>
      <c r="B17">
        <v>1688999340.5999999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417</v>
      </c>
      <c r="J17" t="s">
        <v>416</v>
      </c>
      <c r="K17">
        <v>1688999340.5999999</v>
      </c>
      <c r="L17">
        <f t="shared" ref="L17:L48" si="0">(M17)/1000</f>
        <v>5.7974862244027587E-3</v>
      </c>
      <c r="M17">
        <f t="shared" ref="M17:M48" si="1">1000*DM17*AK17*(DI17-DJ17)/(100*DB17*(1000-AK17*DI17))</f>
        <v>5.7974862244027587</v>
      </c>
      <c r="N17">
        <f t="shared" ref="N17:N48" si="2">DM17*AK17*(DH17-DG17*(1000-AK17*DJ17)/(1000-AK17*DI17))/(100*DB17)</f>
        <v>54.589896911749335</v>
      </c>
      <c r="O17">
        <f t="shared" ref="O17:O48" si="3">DG17 - IF(AK17&gt;1, N17*DB17*100/(AM17*DU17), 0)</f>
        <v>332.23599999999999</v>
      </c>
      <c r="P17">
        <f t="shared" ref="P17:P48" si="4">((V17-L17/2)*O17-N17)/(V17+L17/2)</f>
        <v>106.41368109830916</v>
      </c>
      <c r="Q17">
        <f t="shared" ref="Q17:Q48" si="5">P17*(DN17+DO17)/1000</f>
        <v>10.566809076852447</v>
      </c>
      <c r="R17">
        <f t="shared" ref="R17:R48" si="6">(DG17 - IF(AK17&gt;1, N17*DB17*100/(AM17*DU17), 0))*(DN17+DO17)/1000</f>
        <v>32.990817949562796</v>
      </c>
      <c r="S17">
        <f t="shared" ref="S17:S48" si="7">2/((1/U17-1/T17)+SIGN(U17)*SQRT((1/U17-1/T17)*(1/U17-1/T17) + 4*DC17/((DC17+1)*(DC17+1))*(2*1/U17*1/T17-1/T17*1/T17)))</f>
        <v>0.4229504620063867</v>
      </c>
      <c r="T17">
        <f t="shared" ref="T17:T48" si="8">IF(LEFT(DD17,1)&lt;&gt;"0",IF(LEFT(DD17,1)="1",3,DE17),$D$5+$E$5*(DU17*DN17/($K$5*1000))+$F$5*(DU17*DN17/($K$5*1000))*MAX(MIN(DB17,$J$5),$I$5)*MAX(MIN(DB17,$J$5),$I$5)+$G$5*MAX(MIN(DB17,$J$5),$I$5)*(DU17*DN17/($K$5*1000))+$H$5*(DU17*DN17/($K$5*1000))*(DU17*DN17/($K$5*1000)))</f>
        <v>2.9165763244805416</v>
      </c>
      <c r="U17">
        <f t="shared" ref="U17:U48" si="9">L17*(1000-(1000*0.61365*EXP(17.502*Y17/(240.97+Y17))/(DN17+DO17)+DI17)/2)/(1000*0.61365*EXP(17.502*Y17/(240.97+Y17))/(DN17+DO17)-DI17)</f>
        <v>0.39159299597825192</v>
      </c>
      <c r="V17">
        <f t="shared" ref="V17:V48" si="10">1/((DC17+1)/(S17/1.6)+1/(T17/1.37)) + DC17/((DC17+1)/(S17/1.6) + DC17/(T17/1.37))</f>
        <v>0.24736894884965299</v>
      </c>
      <c r="W17">
        <f t="shared" ref="W17:W48" si="11">(CX17*DA17)</f>
        <v>289.6010040126979</v>
      </c>
      <c r="X17">
        <f t="shared" ref="X17:X48" si="12">(DP17+(W17+2*0.95*0.0000000567*(((DP17+$B$7)+273)^4-(DP17+273)^4)-44100*L17)/(1.84*29.3*T17+8*0.95*0.0000000567*(DP17+273)^3))</f>
        <v>30.536864933602228</v>
      </c>
      <c r="Y17">
        <f t="shared" ref="Y17:Y48" si="13">($C$7*DQ17+$D$7*DR17+$E$7*X17)</f>
        <v>30.027699999999999</v>
      </c>
      <c r="Z17">
        <f t="shared" ref="Z17:Z48" si="14">0.61365*EXP(17.502*Y17/(240.97+Y17))</f>
        <v>4.2672331277263673</v>
      </c>
      <c r="AA17">
        <f t="shared" ref="AA17:AA48" si="15">(AB17/AC17*100)</f>
        <v>65.611195963351349</v>
      </c>
      <c r="AB17">
        <f t="shared" ref="AB17:AB48" si="16">DI17*(DN17+DO17)/1000</f>
        <v>2.8498018980974305</v>
      </c>
      <c r="AC17">
        <f t="shared" ref="AC17:AC48" si="17">0.61365*EXP(17.502*DP17/(240.97+DP17))</f>
        <v>4.3434689099239305</v>
      </c>
      <c r="AD17">
        <f t="shared" ref="AD17:AD48" si="18">(Z17-DI17*(DN17+DO17)/1000)</f>
        <v>1.4174312296289369</v>
      </c>
      <c r="AE17">
        <f t="shared" ref="AE17:AE48" si="19">(-L17*44100)</f>
        <v>-255.66914249616167</v>
      </c>
      <c r="AF17">
        <f t="shared" ref="AF17:AF48" si="20">2*29.3*T17*0.92*(DP17-Y17)</f>
        <v>48.53951346802571</v>
      </c>
      <c r="AG17">
        <f t="shared" ref="AG17:AG48" si="21">2*0.95*0.0000000567*(((DP17+$B$7)+273)^4-(Y17+273)^4)</f>
        <v>3.7071814959238139</v>
      </c>
      <c r="AH17">
        <f t="shared" ref="AH17:AH48" si="22">W17+AG17+AE17+AF17</f>
        <v>86.178556480485753</v>
      </c>
      <c r="AI17">
        <v>0</v>
      </c>
      <c r="AJ17">
        <v>0</v>
      </c>
      <c r="AK17">
        <f t="shared" ref="AK17:AK48" si="23">IF(AI17*$H$13&gt;=AM17,1,(AM17/(AM17-AI17*$H$13)))</f>
        <v>1</v>
      </c>
      <c r="AL17">
        <f t="shared" ref="AL17:AL48" si="24">(AK17-1)*100</f>
        <v>0</v>
      </c>
      <c r="AM17">
        <f t="shared" ref="AM17:AM48" si="25">MAX(0,($B$13+$C$13*DU17)/(1+$D$13*DU17)*DN17/(DP17+273)*$E$13)</f>
        <v>51908.475354883478</v>
      </c>
      <c r="AN17" t="s">
        <v>418</v>
      </c>
      <c r="AO17">
        <v>8197.4</v>
      </c>
      <c r="AP17">
        <v>619.92999999999995</v>
      </c>
      <c r="AQ17">
        <v>3131.443117258741</v>
      </c>
      <c r="AR17">
        <f t="shared" ref="AR17:AR48" si="26">1-AP17/AQ17</f>
        <v>0.80203057287443702</v>
      </c>
      <c r="AS17">
        <v>-1.0448500102641549</v>
      </c>
      <c r="AT17" t="s">
        <v>419</v>
      </c>
      <c r="AU17">
        <v>8167.48</v>
      </c>
      <c r="AV17">
        <v>780.12865384615384</v>
      </c>
      <c r="AW17">
        <v>1183.1790248951361</v>
      </c>
      <c r="AX17">
        <f t="shared" ref="AX17:AX48" si="27">1-AV17/AW17</f>
        <v>0.34065036868339027</v>
      </c>
      <c r="AY17">
        <v>0.5</v>
      </c>
      <c r="AZ17">
        <f t="shared" ref="AZ17:AZ48" si="28">CY17</f>
        <v>1513.3692000065794</v>
      </c>
      <c r="BA17">
        <f t="shared" ref="BA17:BA48" si="29">N17</f>
        <v>54.589896911749335</v>
      </c>
      <c r="BB17">
        <f t="shared" ref="BB17:BB48" si="30">AX17*AY17*AZ17</f>
        <v>257.76488796816432</v>
      </c>
      <c r="BC17">
        <f t="shared" ref="BC17:BC48" si="31">(BA17-AS17)/AZ17</f>
        <v>3.6762177346923421E-2</v>
      </c>
      <c r="BD17">
        <f t="shared" ref="BD17:BD48" si="32">(AQ17-AW17)/AW17</f>
        <v>1.6466350834238948</v>
      </c>
      <c r="BE17">
        <f t="shared" ref="BE17:BE48" si="33">AP17/(AR17+AP17/AW17)</f>
        <v>467.52470510538865</v>
      </c>
      <c r="BF17" t="s">
        <v>420</v>
      </c>
      <c r="BG17">
        <v>605.78</v>
      </c>
      <c r="BH17">
        <f t="shared" ref="BH17:BH48" si="34">IF(BG17&lt;&gt;0, BG17, BE17)</f>
        <v>605.78</v>
      </c>
      <c r="BI17">
        <f t="shared" ref="BI17:BI48" si="35">1-BH17/AW17</f>
        <v>0.48800647471443337</v>
      </c>
      <c r="BJ17">
        <f t="shared" ref="BJ17:BJ48" si="36">(AW17-AV17)/(AW17-BH17)</f>
        <v>0.69804477262874132</v>
      </c>
      <c r="BK17">
        <f t="shared" ref="BK17:BK48" si="37">(AQ17-AW17)/(AQ17-BH17)</f>
        <v>0.7713871573173926</v>
      </c>
      <c r="BL17">
        <f t="shared" ref="BL17:BL48" si="38">(AW17-AV17)/(AW17-AP17)</f>
        <v>0.7155811252829436</v>
      </c>
      <c r="BM17">
        <f t="shared" ref="BM17:BM48" si="39">(AQ17-AW17)/(AQ17-AP17)</f>
        <v>0.77573319405557806</v>
      </c>
      <c r="BN17">
        <f t="shared" ref="BN17:BN48" si="40">(BJ17*BH17/AV17)</f>
        <v>0.54204080349858519</v>
      </c>
      <c r="BO17">
        <f t="shared" ref="BO17:BO48" si="41">(1-BN17)</f>
        <v>0.45795919650141481</v>
      </c>
      <c r="BP17">
        <v>13570</v>
      </c>
      <c r="BQ17">
        <v>290.00000000000011</v>
      </c>
      <c r="BR17">
        <v>1055.81</v>
      </c>
      <c r="BS17">
        <v>295</v>
      </c>
      <c r="BT17">
        <v>8167.48</v>
      </c>
      <c r="BU17">
        <v>1057.71</v>
      </c>
      <c r="BV17">
        <v>-1.9</v>
      </c>
      <c r="BW17">
        <v>300.00000000000011</v>
      </c>
      <c r="BX17">
        <v>19.399999999999999</v>
      </c>
      <c r="BY17">
        <v>1183.1790248951361</v>
      </c>
      <c r="BZ17">
        <v>4.2006011586786816</v>
      </c>
      <c r="CA17">
        <v>-102.4786443148696</v>
      </c>
      <c r="CB17">
        <v>3.1505241656834708</v>
      </c>
      <c r="CC17">
        <v>0.97421820449907437</v>
      </c>
      <c r="CD17">
        <v>-4.230870300333707E-3</v>
      </c>
      <c r="CE17">
        <v>289.99999999999989</v>
      </c>
      <c r="CF17">
        <v>1053.98</v>
      </c>
      <c r="CG17">
        <v>635</v>
      </c>
      <c r="CH17">
        <v>8157.04</v>
      </c>
      <c r="CI17">
        <v>1057.55</v>
      </c>
      <c r="CJ17">
        <v>-3.57</v>
      </c>
      <c r="CX17">
        <f t="shared" ref="CX17:CX48" si="42">$B$11*DV17+$C$11*DW17+$F$11*EH17*(1-EK17)</f>
        <v>1800.22</v>
      </c>
      <c r="CY17">
        <f t="shared" ref="CY17:CY48" si="43">CX17*CZ17</f>
        <v>1513.3692000065794</v>
      </c>
      <c r="CZ17">
        <f t="shared" ref="CZ17:CZ48" si="44">($B$11*$D$9+$C$11*$D$9+$F$11*((EU17+EM17)/MAX(EU17+EM17+EV17, 0.1)*$I$9+EV17/MAX(EU17+EM17+EV17, 0.1)*$J$9))/($B$11+$C$11+$F$11)</f>
        <v>0.84065791959126068</v>
      </c>
      <c r="DA17">
        <f t="shared" ref="DA17:DA48" si="45">($B$11*$K$9+$C$11*$K$9+$F$11*((EU17+EM17)/MAX(EU17+EM17+EV17, 0.1)*$P$9+EV17/MAX(EU17+EM17+EV17, 0.1)*$Q$9))/($B$11+$C$11+$F$11)</f>
        <v>0.16086978481113301</v>
      </c>
      <c r="DB17">
        <v>6</v>
      </c>
      <c r="DC17">
        <v>0.5</v>
      </c>
      <c r="DD17" t="s">
        <v>421</v>
      </c>
      <c r="DE17">
        <v>2</v>
      </c>
      <c r="DF17">
        <v>1688999340.5999999</v>
      </c>
      <c r="DG17">
        <v>332.23599999999999</v>
      </c>
      <c r="DH17">
        <v>400.05700000000002</v>
      </c>
      <c r="DI17">
        <v>28.699100000000001</v>
      </c>
      <c r="DJ17">
        <v>21.941600000000001</v>
      </c>
      <c r="DK17">
        <v>332.82499999999999</v>
      </c>
      <c r="DL17">
        <v>28.5304</v>
      </c>
      <c r="DM17">
        <v>499.98700000000002</v>
      </c>
      <c r="DN17">
        <v>99.200800000000001</v>
      </c>
      <c r="DO17">
        <v>9.8547300000000004E-2</v>
      </c>
      <c r="DP17">
        <v>30.336400000000001</v>
      </c>
      <c r="DQ17">
        <v>30.027699999999999</v>
      </c>
      <c r="DR17">
        <v>999.9</v>
      </c>
      <c r="DS17">
        <v>0</v>
      </c>
      <c r="DT17">
        <v>0</v>
      </c>
      <c r="DU17">
        <v>10006.200000000001</v>
      </c>
      <c r="DV17">
        <v>0</v>
      </c>
      <c r="DW17">
        <v>1603.3</v>
      </c>
      <c r="DX17">
        <v>-67.821399999999997</v>
      </c>
      <c r="DY17">
        <v>342.05200000000002</v>
      </c>
      <c r="DZ17">
        <v>409.03199999999998</v>
      </c>
      <c r="EA17">
        <v>6.75753</v>
      </c>
      <c r="EB17">
        <v>400.05700000000002</v>
      </c>
      <c r="EC17">
        <v>21.941600000000001</v>
      </c>
      <c r="ED17">
        <v>2.8469699999999998</v>
      </c>
      <c r="EE17">
        <v>2.1766200000000002</v>
      </c>
      <c r="EF17">
        <v>23.158999999999999</v>
      </c>
      <c r="EG17">
        <v>18.7913</v>
      </c>
      <c r="EH17">
        <v>1800.22</v>
      </c>
      <c r="EI17">
        <v>0.97800699999999996</v>
      </c>
      <c r="EJ17">
        <v>2.1992500000000002E-2</v>
      </c>
      <c r="EK17">
        <v>0</v>
      </c>
      <c r="EL17">
        <v>780.55799999999999</v>
      </c>
      <c r="EM17">
        <v>4.9999900000000004</v>
      </c>
      <c r="EN17">
        <v>19173.900000000001</v>
      </c>
      <c r="EO17">
        <v>15865.8</v>
      </c>
      <c r="EP17">
        <v>50.311999999999998</v>
      </c>
      <c r="EQ17">
        <v>50.875</v>
      </c>
      <c r="ER17">
        <v>50.686999999999998</v>
      </c>
      <c r="ES17">
        <v>51.25</v>
      </c>
      <c r="ET17">
        <v>52</v>
      </c>
      <c r="EU17">
        <v>1755.74</v>
      </c>
      <c r="EV17">
        <v>39.479999999999997</v>
      </c>
      <c r="EW17">
        <v>0</v>
      </c>
      <c r="EX17">
        <v>1688999416.8</v>
      </c>
      <c r="EY17">
        <v>0</v>
      </c>
      <c r="EZ17">
        <v>780.12865384615384</v>
      </c>
      <c r="FA17">
        <v>2.5473162341317188</v>
      </c>
      <c r="FB17">
        <v>173.1794867389566</v>
      </c>
      <c r="FC17">
        <v>19166.93461538462</v>
      </c>
      <c r="FD17">
        <v>15</v>
      </c>
      <c r="FE17">
        <v>1688999307.5999999</v>
      </c>
      <c r="FF17" t="s">
        <v>422</v>
      </c>
      <c r="FG17">
        <v>1688999307.0999999</v>
      </c>
      <c r="FH17">
        <v>1688999307.5999999</v>
      </c>
      <c r="FI17">
        <v>3</v>
      </c>
      <c r="FJ17">
        <v>0.04</v>
      </c>
      <c r="FK17">
        <v>-1.7000000000000001E-2</v>
      </c>
      <c r="FL17">
        <v>-0.58399999999999996</v>
      </c>
      <c r="FM17">
        <v>0.16900000000000001</v>
      </c>
      <c r="FN17">
        <v>400</v>
      </c>
      <c r="FO17">
        <v>22</v>
      </c>
      <c r="FP17">
        <v>0.02</v>
      </c>
      <c r="FQ17">
        <v>0.01</v>
      </c>
      <c r="FR17">
        <v>54.678931614437467</v>
      </c>
      <c r="FS17">
        <v>-1.0524043659079449E-2</v>
      </c>
      <c r="FT17">
        <v>3.069329666368267E-2</v>
      </c>
      <c r="FU17">
        <v>1</v>
      </c>
      <c r="FV17">
        <v>0.42334448553946619</v>
      </c>
      <c r="FW17">
        <v>2.979040891854429E-2</v>
      </c>
      <c r="FX17">
        <v>3.1656776617887761E-3</v>
      </c>
      <c r="FY17">
        <v>1</v>
      </c>
      <c r="FZ17">
        <v>2</v>
      </c>
      <c r="GA17">
        <v>2</v>
      </c>
      <c r="GB17" t="s">
        <v>423</v>
      </c>
      <c r="GC17">
        <v>2.9607199999999998</v>
      </c>
      <c r="GD17">
        <v>2.7418300000000002</v>
      </c>
      <c r="GE17">
        <v>7.7487E-2</v>
      </c>
      <c r="GF17">
        <v>8.9358800000000002E-2</v>
      </c>
      <c r="GG17">
        <v>0.13158300000000001</v>
      </c>
      <c r="GH17">
        <v>0.108677</v>
      </c>
      <c r="GI17">
        <v>21724.9</v>
      </c>
      <c r="GJ17">
        <v>19976.3</v>
      </c>
      <c r="GK17">
        <v>23472.400000000001</v>
      </c>
      <c r="GL17">
        <v>21976.5</v>
      </c>
      <c r="GM17">
        <v>28725.599999999999</v>
      </c>
      <c r="GN17">
        <v>27299.8</v>
      </c>
      <c r="GO17">
        <v>37031.9</v>
      </c>
      <c r="GP17">
        <v>34160</v>
      </c>
      <c r="GQ17">
        <v>2.02555</v>
      </c>
      <c r="GR17">
        <v>1.94068</v>
      </c>
      <c r="GS17">
        <v>7.2844300000000001E-2</v>
      </c>
      <c r="GT17">
        <v>0</v>
      </c>
      <c r="GU17">
        <v>28.841200000000001</v>
      </c>
      <c r="GV17">
        <v>999.9</v>
      </c>
      <c r="GW17">
        <v>57.7</v>
      </c>
      <c r="GX17">
        <v>33.6</v>
      </c>
      <c r="GY17">
        <v>30.392099999999999</v>
      </c>
      <c r="GZ17">
        <v>60.639099999999999</v>
      </c>
      <c r="HA17">
        <v>38.377400000000002</v>
      </c>
      <c r="HB17">
        <v>1</v>
      </c>
      <c r="HC17">
        <v>0.31342500000000001</v>
      </c>
      <c r="HD17">
        <v>2.04095</v>
      </c>
      <c r="HE17">
        <v>20.101500000000001</v>
      </c>
      <c r="HF17">
        <v>5.2613200000000004</v>
      </c>
      <c r="HG17">
        <v>11.962</v>
      </c>
      <c r="HH17">
        <v>4.9792500000000004</v>
      </c>
      <c r="HI17">
        <v>3.29725</v>
      </c>
      <c r="HJ17">
        <v>9999</v>
      </c>
      <c r="HK17">
        <v>9999</v>
      </c>
      <c r="HL17">
        <v>9999</v>
      </c>
      <c r="HM17">
        <v>999.9</v>
      </c>
      <c r="HN17">
        <v>1.86412</v>
      </c>
      <c r="HO17">
        <v>1.86005</v>
      </c>
      <c r="HP17">
        <v>1.86676</v>
      </c>
      <c r="HQ17">
        <v>1.86331</v>
      </c>
      <c r="HR17">
        <v>1.8620300000000001</v>
      </c>
      <c r="HS17">
        <v>1.86205</v>
      </c>
      <c r="HT17">
        <v>1.86331</v>
      </c>
      <c r="HU17">
        <v>1.8645799999999999</v>
      </c>
      <c r="HV17">
        <v>0</v>
      </c>
      <c r="HW17">
        <v>0</v>
      </c>
      <c r="HX17">
        <v>0</v>
      </c>
      <c r="HY17">
        <v>0</v>
      </c>
      <c r="HZ17" t="s">
        <v>424</v>
      </c>
      <c r="IA17" t="s">
        <v>425</v>
      </c>
      <c r="IB17" t="s">
        <v>426</v>
      </c>
      <c r="IC17" t="s">
        <v>426</v>
      </c>
      <c r="ID17" t="s">
        <v>426</v>
      </c>
      <c r="IE17" t="s">
        <v>426</v>
      </c>
      <c r="IF17">
        <v>0</v>
      </c>
      <c r="IG17">
        <v>100</v>
      </c>
      <c r="IH17">
        <v>100</v>
      </c>
      <c r="II17">
        <v>-0.58899999999999997</v>
      </c>
      <c r="IJ17">
        <v>0.16869999999999999</v>
      </c>
      <c r="IK17">
        <v>-0.58553356668216594</v>
      </c>
      <c r="IL17">
        <v>-8.3322953065825546E-5</v>
      </c>
      <c r="IM17">
        <v>2.3872336679552741E-7</v>
      </c>
      <c r="IN17">
        <v>-5.428329794194132E-11</v>
      </c>
      <c r="IO17">
        <v>0.16865500000000111</v>
      </c>
      <c r="IP17">
        <v>0</v>
      </c>
      <c r="IQ17">
        <v>0</v>
      </c>
      <c r="IR17">
        <v>0</v>
      </c>
      <c r="IS17">
        <v>2</v>
      </c>
      <c r="IT17">
        <v>2035</v>
      </c>
      <c r="IU17">
        <v>1</v>
      </c>
      <c r="IV17">
        <v>21</v>
      </c>
      <c r="IW17">
        <v>0.6</v>
      </c>
      <c r="IX17">
        <v>0.6</v>
      </c>
      <c r="IY17">
        <v>1.0607899999999999</v>
      </c>
      <c r="IZ17">
        <v>2.65381</v>
      </c>
      <c r="JA17">
        <v>1.4514199999999999</v>
      </c>
      <c r="JB17">
        <v>2.2985799999999998</v>
      </c>
      <c r="JC17">
        <v>1.5942400000000001</v>
      </c>
      <c r="JD17">
        <v>2.34497</v>
      </c>
      <c r="JE17">
        <v>40.1967</v>
      </c>
      <c r="JF17">
        <v>23.921099999999999</v>
      </c>
      <c r="JG17">
        <v>18</v>
      </c>
      <c r="JH17">
        <v>508.09399999999999</v>
      </c>
      <c r="JI17">
        <v>497.26499999999999</v>
      </c>
      <c r="JJ17">
        <v>27.515000000000001</v>
      </c>
      <c r="JK17">
        <v>31.079699999999999</v>
      </c>
      <c r="JL17">
        <v>30.000699999999998</v>
      </c>
      <c r="JM17">
        <v>31.020099999999999</v>
      </c>
      <c r="JN17">
        <v>31.015599999999999</v>
      </c>
      <c r="JO17">
        <v>21.1892</v>
      </c>
      <c r="JP17">
        <v>35.755699999999997</v>
      </c>
      <c r="JQ17">
        <v>59.558900000000001</v>
      </c>
      <c r="JR17">
        <v>27.486799999999999</v>
      </c>
      <c r="JS17">
        <v>400</v>
      </c>
      <c r="JT17">
        <v>21.971800000000002</v>
      </c>
      <c r="JU17">
        <v>99.260300000000001</v>
      </c>
      <c r="JV17">
        <v>98.575800000000001</v>
      </c>
    </row>
    <row r="18" spans="1:282" x14ac:dyDescent="0.25">
      <c r="A18">
        <v>2</v>
      </c>
      <c r="B18">
        <v>1688999502.5999999</v>
      </c>
      <c r="C18">
        <v>162</v>
      </c>
      <c r="D18" t="s">
        <v>427</v>
      </c>
      <c r="E18" t="s">
        <v>428</v>
      </c>
      <c r="F18" t="s">
        <v>414</v>
      </c>
      <c r="G18" t="s">
        <v>415</v>
      </c>
      <c r="H18" t="s">
        <v>416</v>
      </c>
      <c r="I18" t="s">
        <v>417</v>
      </c>
      <c r="J18" t="s">
        <v>416</v>
      </c>
      <c r="K18">
        <v>1688999502.5999999</v>
      </c>
      <c r="L18">
        <f t="shared" si="0"/>
        <v>6.27977784092313E-3</v>
      </c>
      <c r="M18">
        <f t="shared" si="1"/>
        <v>6.2797778409231304</v>
      </c>
      <c r="N18">
        <f t="shared" si="2"/>
        <v>46.220451296224944</v>
      </c>
      <c r="O18">
        <f t="shared" si="3"/>
        <v>242.78200000000001</v>
      </c>
      <c r="P18">
        <f t="shared" si="4"/>
        <v>67.835079435738649</v>
      </c>
      <c r="Q18">
        <f t="shared" si="5"/>
        <v>6.7357538317136934</v>
      </c>
      <c r="R18">
        <f t="shared" si="6"/>
        <v>24.1072878571666</v>
      </c>
      <c r="S18">
        <f t="shared" si="7"/>
        <v>0.46410479096811957</v>
      </c>
      <c r="T18">
        <f t="shared" si="8"/>
        <v>2.9180655382342078</v>
      </c>
      <c r="U18">
        <f t="shared" si="9"/>
        <v>0.42665506148887733</v>
      </c>
      <c r="V18">
        <f t="shared" si="10"/>
        <v>0.26977185005731752</v>
      </c>
      <c r="W18">
        <f t="shared" si="11"/>
        <v>289.5478980127067</v>
      </c>
      <c r="X18">
        <f t="shared" si="12"/>
        <v>30.401561573423688</v>
      </c>
      <c r="Y18">
        <f t="shared" si="13"/>
        <v>29.9924</v>
      </c>
      <c r="Z18">
        <f t="shared" si="14"/>
        <v>4.2585902789191197</v>
      </c>
      <c r="AA18">
        <f t="shared" si="15"/>
        <v>65.636881915355744</v>
      </c>
      <c r="AB18">
        <f t="shared" si="16"/>
        <v>2.8493987707047999</v>
      </c>
      <c r="AC18">
        <f t="shared" si="17"/>
        <v>4.3411549841434249</v>
      </c>
      <c r="AD18">
        <f t="shared" si="18"/>
        <v>1.4091915082143198</v>
      </c>
      <c r="AE18">
        <f t="shared" si="19"/>
        <v>-276.93820278471003</v>
      </c>
      <c r="AF18">
        <f t="shared" si="20"/>
        <v>52.654585389800729</v>
      </c>
      <c r="AG18">
        <f t="shared" si="21"/>
        <v>4.0185290910656137</v>
      </c>
      <c r="AH18">
        <f t="shared" si="22"/>
        <v>69.282809708862999</v>
      </c>
      <c r="AI18">
        <v>0</v>
      </c>
      <c r="AJ18">
        <v>0</v>
      </c>
      <c r="AK18">
        <f t="shared" si="23"/>
        <v>1</v>
      </c>
      <c r="AL18">
        <f t="shared" si="24"/>
        <v>0</v>
      </c>
      <c r="AM18">
        <f t="shared" si="25"/>
        <v>51952.374615757501</v>
      </c>
      <c r="AN18" t="s">
        <v>418</v>
      </c>
      <c r="AO18">
        <v>8197.4</v>
      </c>
      <c r="AP18">
        <v>619.92999999999995</v>
      </c>
      <c r="AQ18">
        <v>3131.443117258741</v>
      </c>
      <c r="AR18">
        <f t="shared" si="26"/>
        <v>0.80203057287443702</v>
      </c>
      <c r="AS18">
        <v>-1.0448500102641549</v>
      </c>
      <c r="AT18" t="s">
        <v>429</v>
      </c>
      <c r="AU18">
        <v>8171.06</v>
      </c>
      <c r="AV18">
        <v>762.98380769230766</v>
      </c>
      <c r="AW18">
        <v>1093.475123269742</v>
      </c>
      <c r="AX18">
        <f t="shared" si="27"/>
        <v>0.30223944609657816</v>
      </c>
      <c r="AY18">
        <v>0.5</v>
      </c>
      <c r="AZ18">
        <f t="shared" si="28"/>
        <v>1513.0842000065838</v>
      </c>
      <c r="BA18">
        <f t="shared" si="29"/>
        <v>46.220451296224944</v>
      </c>
      <c r="BB18">
        <f t="shared" si="30"/>
        <v>228.65686525373698</v>
      </c>
      <c r="BC18">
        <f t="shared" si="31"/>
        <v>3.1237720482629742E-2</v>
      </c>
      <c r="BD18">
        <f t="shared" si="32"/>
        <v>1.8637534138819787</v>
      </c>
      <c r="BE18">
        <f t="shared" si="33"/>
        <v>452.84536752630652</v>
      </c>
      <c r="BF18" t="s">
        <v>430</v>
      </c>
      <c r="BG18">
        <v>595.94000000000005</v>
      </c>
      <c r="BH18">
        <f t="shared" si="34"/>
        <v>595.94000000000005</v>
      </c>
      <c r="BI18">
        <f t="shared" si="35"/>
        <v>0.45500360518673488</v>
      </c>
      <c r="BJ18">
        <f t="shared" si="36"/>
        <v>0.66425725565962968</v>
      </c>
      <c r="BK18">
        <f t="shared" si="37"/>
        <v>0.8037726241063935</v>
      </c>
      <c r="BL18">
        <f t="shared" si="38"/>
        <v>0.69790881446619601</v>
      </c>
      <c r="BM18">
        <f t="shared" si="39"/>
        <v>0.81145026875806014</v>
      </c>
      <c r="BN18">
        <f t="shared" si="40"/>
        <v>0.51882813887636159</v>
      </c>
      <c r="BO18">
        <f t="shared" si="41"/>
        <v>0.48117186112363841</v>
      </c>
      <c r="BP18">
        <v>13572</v>
      </c>
      <c r="BQ18">
        <v>290.00000000000011</v>
      </c>
      <c r="BR18">
        <v>985.71</v>
      </c>
      <c r="BS18">
        <v>295</v>
      </c>
      <c r="BT18">
        <v>8171.06</v>
      </c>
      <c r="BU18">
        <v>987.99</v>
      </c>
      <c r="BV18">
        <v>-2.2799999999999998</v>
      </c>
      <c r="BW18">
        <v>300.00000000000011</v>
      </c>
      <c r="BX18">
        <v>19.3</v>
      </c>
      <c r="BY18">
        <v>1093.475123269742</v>
      </c>
      <c r="BZ18">
        <v>3.8750449983523039</v>
      </c>
      <c r="CA18">
        <v>-86.190000799823949</v>
      </c>
      <c r="CB18">
        <v>2.9076926944566339</v>
      </c>
      <c r="CC18">
        <v>0.96911713762676754</v>
      </c>
      <c r="CD18">
        <v>-4.2319750834260289E-3</v>
      </c>
      <c r="CE18">
        <v>289.99999999999989</v>
      </c>
      <c r="CF18">
        <v>986.93</v>
      </c>
      <c r="CG18">
        <v>675</v>
      </c>
      <c r="CH18">
        <v>8159.55</v>
      </c>
      <c r="CI18">
        <v>987.84</v>
      </c>
      <c r="CJ18">
        <v>-0.91</v>
      </c>
      <c r="CX18">
        <f t="shared" si="42"/>
        <v>1799.88</v>
      </c>
      <c r="CY18">
        <f t="shared" si="43"/>
        <v>1513.0842000065838</v>
      </c>
      <c r="CZ18">
        <f t="shared" si="44"/>
        <v>0.84065837722880621</v>
      </c>
      <c r="DA18">
        <f t="shared" si="45"/>
        <v>0.16087066805159603</v>
      </c>
      <c r="DB18">
        <v>6</v>
      </c>
      <c r="DC18">
        <v>0.5</v>
      </c>
      <c r="DD18" t="s">
        <v>421</v>
      </c>
      <c r="DE18">
        <v>2</v>
      </c>
      <c r="DF18">
        <v>1688999502.5999999</v>
      </c>
      <c r="DG18">
        <v>242.78200000000001</v>
      </c>
      <c r="DH18">
        <v>300.06599999999997</v>
      </c>
      <c r="DI18">
        <v>28.696000000000002</v>
      </c>
      <c r="DJ18">
        <v>21.377800000000001</v>
      </c>
      <c r="DK18">
        <v>243.339</v>
      </c>
      <c r="DL18">
        <v>28.5337</v>
      </c>
      <c r="DM18">
        <v>500.08800000000002</v>
      </c>
      <c r="DN18">
        <v>99.197999999999993</v>
      </c>
      <c r="DO18">
        <v>9.8026299999999997E-2</v>
      </c>
      <c r="DP18">
        <v>30.327100000000002</v>
      </c>
      <c r="DQ18">
        <v>29.9924</v>
      </c>
      <c r="DR18">
        <v>999.9</v>
      </c>
      <c r="DS18">
        <v>0</v>
      </c>
      <c r="DT18">
        <v>0</v>
      </c>
      <c r="DU18">
        <v>10015</v>
      </c>
      <c r="DV18">
        <v>0</v>
      </c>
      <c r="DW18">
        <v>1616.89</v>
      </c>
      <c r="DX18">
        <v>-57.284599999999998</v>
      </c>
      <c r="DY18">
        <v>249.95400000000001</v>
      </c>
      <c r="DZ18">
        <v>306.62099999999998</v>
      </c>
      <c r="EA18">
        <v>7.3182299999999998</v>
      </c>
      <c r="EB18">
        <v>300.06599999999997</v>
      </c>
      <c r="EC18">
        <v>21.377800000000001</v>
      </c>
      <c r="ED18">
        <v>2.84659</v>
      </c>
      <c r="EE18">
        <v>2.1206399999999999</v>
      </c>
      <c r="EF18">
        <v>23.1568</v>
      </c>
      <c r="EG18">
        <v>18.375</v>
      </c>
      <c r="EH18">
        <v>1799.88</v>
      </c>
      <c r="EI18">
        <v>0.97799199999999997</v>
      </c>
      <c r="EJ18">
        <v>2.2008099999999999E-2</v>
      </c>
      <c r="EK18">
        <v>0</v>
      </c>
      <c r="EL18">
        <v>763.05499999999995</v>
      </c>
      <c r="EM18">
        <v>4.9999900000000004</v>
      </c>
      <c r="EN18">
        <v>18847.900000000001</v>
      </c>
      <c r="EO18">
        <v>15862.7</v>
      </c>
      <c r="EP18">
        <v>49.561999999999998</v>
      </c>
      <c r="EQ18">
        <v>50.311999999999998</v>
      </c>
      <c r="ER18">
        <v>50</v>
      </c>
      <c r="ES18">
        <v>50.311999999999998</v>
      </c>
      <c r="ET18">
        <v>51.25</v>
      </c>
      <c r="EU18">
        <v>1755.38</v>
      </c>
      <c r="EV18">
        <v>39.5</v>
      </c>
      <c r="EW18">
        <v>0</v>
      </c>
      <c r="EX18">
        <v>160.20000004768369</v>
      </c>
      <c r="EY18">
        <v>0</v>
      </c>
      <c r="EZ18">
        <v>762.98380769230766</v>
      </c>
      <c r="FA18">
        <v>0.99271795141021046</v>
      </c>
      <c r="FB18">
        <v>142.7076930872858</v>
      </c>
      <c r="FC18">
        <v>18827.7</v>
      </c>
      <c r="FD18">
        <v>15</v>
      </c>
      <c r="FE18">
        <v>1688999472.0999999</v>
      </c>
      <c r="FF18" t="s">
        <v>431</v>
      </c>
      <c r="FG18">
        <v>1688999465.0999999</v>
      </c>
      <c r="FH18">
        <v>1688999472.0999999</v>
      </c>
      <c r="FI18">
        <v>4</v>
      </c>
      <c r="FJ18">
        <v>3.5000000000000003E-2</v>
      </c>
      <c r="FK18">
        <v>-6.0000000000000001E-3</v>
      </c>
      <c r="FL18">
        <v>-0.55500000000000005</v>
      </c>
      <c r="FM18">
        <v>0.159</v>
      </c>
      <c r="FN18">
        <v>300</v>
      </c>
      <c r="FO18">
        <v>22</v>
      </c>
      <c r="FP18">
        <v>0.04</v>
      </c>
      <c r="FQ18">
        <v>0.01</v>
      </c>
      <c r="FR18">
        <v>46.246155597041152</v>
      </c>
      <c r="FS18">
        <v>0.22964097344128051</v>
      </c>
      <c r="FT18">
        <v>4.8457953788586021E-2</v>
      </c>
      <c r="FU18">
        <v>1</v>
      </c>
      <c r="FV18">
        <v>0.45982328273039952</v>
      </c>
      <c r="FW18">
        <v>3.8108530508150648E-2</v>
      </c>
      <c r="FX18">
        <v>3.3474189926455682E-3</v>
      </c>
      <c r="FY18">
        <v>1</v>
      </c>
      <c r="FZ18">
        <v>2</v>
      </c>
      <c r="GA18">
        <v>2</v>
      </c>
      <c r="GB18" t="s">
        <v>423</v>
      </c>
      <c r="GC18">
        <v>2.9608099999999999</v>
      </c>
      <c r="GD18">
        <v>2.7413799999999999</v>
      </c>
      <c r="GE18">
        <v>5.9900500000000002E-2</v>
      </c>
      <c r="GF18">
        <v>7.1188500000000002E-2</v>
      </c>
      <c r="GG18">
        <v>0.131545</v>
      </c>
      <c r="GH18">
        <v>0.106682</v>
      </c>
      <c r="GI18">
        <v>22134.400000000001</v>
      </c>
      <c r="GJ18">
        <v>20371</v>
      </c>
      <c r="GK18">
        <v>23468.2</v>
      </c>
      <c r="GL18">
        <v>21973</v>
      </c>
      <c r="GM18">
        <v>28722.1</v>
      </c>
      <c r="GN18">
        <v>27358.3</v>
      </c>
      <c r="GO18">
        <v>37026</v>
      </c>
      <c r="GP18">
        <v>34156.5</v>
      </c>
      <c r="GQ18">
        <v>2.0241500000000001</v>
      </c>
      <c r="GR18">
        <v>1.93215</v>
      </c>
      <c r="GS18">
        <v>7.1309499999999998E-2</v>
      </c>
      <c r="GT18">
        <v>0</v>
      </c>
      <c r="GU18">
        <v>28.8308</v>
      </c>
      <c r="GV18">
        <v>999.9</v>
      </c>
      <c r="GW18">
        <v>55.8</v>
      </c>
      <c r="GX18">
        <v>34.1</v>
      </c>
      <c r="GY18">
        <v>30.223800000000001</v>
      </c>
      <c r="GZ18">
        <v>60.489100000000001</v>
      </c>
      <c r="HA18">
        <v>37.932699999999997</v>
      </c>
      <c r="HB18">
        <v>1</v>
      </c>
      <c r="HC18">
        <v>0.32219500000000001</v>
      </c>
      <c r="HD18">
        <v>1.4699500000000001</v>
      </c>
      <c r="HE18">
        <v>20.1096</v>
      </c>
      <c r="HF18">
        <v>5.2647599999999999</v>
      </c>
      <c r="HG18">
        <v>11.962</v>
      </c>
      <c r="HH18">
        <v>4.9797500000000001</v>
      </c>
      <c r="HI18">
        <v>3.29793</v>
      </c>
      <c r="HJ18">
        <v>9999</v>
      </c>
      <c r="HK18">
        <v>9999</v>
      </c>
      <c r="HL18">
        <v>9999</v>
      </c>
      <c r="HM18">
        <v>999.9</v>
      </c>
      <c r="HN18">
        <v>1.8641399999999999</v>
      </c>
      <c r="HO18">
        <v>1.86005</v>
      </c>
      <c r="HP18">
        <v>1.86676</v>
      </c>
      <c r="HQ18">
        <v>1.8633999999999999</v>
      </c>
      <c r="HR18">
        <v>1.8620399999999999</v>
      </c>
      <c r="HS18">
        <v>1.86206</v>
      </c>
      <c r="HT18">
        <v>1.8633900000000001</v>
      </c>
      <c r="HU18">
        <v>1.8646199999999999</v>
      </c>
      <c r="HV18">
        <v>0</v>
      </c>
      <c r="HW18">
        <v>0</v>
      </c>
      <c r="HX18">
        <v>0</v>
      </c>
      <c r="HY18">
        <v>0</v>
      </c>
      <c r="HZ18" t="s">
        <v>424</v>
      </c>
      <c r="IA18" t="s">
        <v>425</v>
      </c>
      <c r="IB18" t="s">
        <v>426</v>
      </c>
      <c r="IC18" t="s">
        <v>426</v>
      </c>
      <c r="ID18" t="s">
        <v>426</v>
      </c>
      <c r="IE18" t="s">
        <v>426</v>
      </c>
      <c r="IF18">
        <v>0</v>
      </c>
      <c r="IG18">
        <v>100</v>
      </c>
      <c r="IH18">
        <v>100</v>
      </c>
      <c r="II18">
        <v>-0.55700000000000005</v>
      </c>
      <c r="IJ18">
        <v>0.1623</v>
      </c>
      <c r="IK18">
        <v>-0.55019533368560891</v>
      </c>
      <c r="IL18">
        <v>-8.3322953065825546E-5</v>
      </c>
      <c r="IM18">
        <v>2.3872336679552741E-7</v>
      </c>
      <c r="IN18">
        <v>-5.428329794194132E-11</v>
      </c>
      <c r="IO18">
        <v>0.16234223935845679</v>
      </c>
      <c r="IP18">
        <v>0</v>
      </c>
      <c r="IQ18">
        <v>0</v>
      </c>
      <c r="IR18">
        <v>0</v>
      </c>
      <c r="IS18">
        <v>2</v>
      </c>
      <c r="IT18">
        <v>2035</v>
      </c>
      <c r="IU18">
        <v>1</v>
      </c>
      <c r="IV18">
        <v>21</v>
      </c>
      <c r="IW18">
        <v>0.6</v>
      </c>
      <c r="IX18">
        <v>0.5</v>
      </c>
      <c r="IY18">
        <v>0.84472700000000001</v>
      </c>
      <c r="IZ18">
        <v>2.6403799999999999</v>
      </c>
      <c r="JA18">
        <v>1.4514199999999999</v>
      </c>
      <c r="JB18">
        <v>2.2973599999999998</v>
      </c>
      <c r="JC18">
        <v>1.5942400000000001</v>
      </c>
      <c r="JD18">
        <v>2.3547400000000001</v>
      </c>
      <c r="JE18">
        <v>40.706699999999998</v>
      </c>
      <c r="JF18">
        <v>23.9299</v>
      </c>
      <c r="JG18">
        <v>18</v>
      </c>
      <c r="JH18">
        <v>508.52</v>
      </c>
      <c r="JI18">
        <v>492.25</v>
      </c>
      <c r="JJ18">
        <v>27.9176</v>
      </c>
      <c r="JK18">
        <v>31.231999999999999</v>
      </c>
      <c r="JL18">
        <v>30.0002</v>
      </c>
      <c r="JM18">
        <v>31.1693</v>
      </c>
      <c r="JN18">
        <v>31.1629</v>
      </c>
      <c r="JO18">
        <v>16.8537</v>
      </c>
      <c r="JP18">
        <v>38.0184</v>
      </c>
      <c r="JQ18">
        <v>54.993499999999997</v>
      </c>
      <c r="JR18">
        <v>27.918600000000001</v>
      </c>
      <c r="JS18">
        <v>300</v>
      </c>
      <c r="JT18">
        <v>21.229399999999998</v>
      </c>
      <c r="JU18">
        <v>99.243700000000004</v>
      </c>
      <c r="JV18">
        <v>98.563400000000001</v>
      </c>
    </row>
    <row r="19" spans="1:282" x14ac:dyDescent="0.25">
      <c r="A19">
        <v>3</v>
      </c>
      <c r="B19">
        <v>1688999657</v>
      </c>
      <c r="C19">
        <v>316.40000009536737</v>
      </c>
      <c r="D19" t="s">
        <v>432</v>
      </c>
      <c r="E19" t="s">
        <v>433</v>
      </c>
      <c r="F19" t="s">
        <v>414</v>
      </c>
      <c r="G19" t="s">
        <v>415</v>
      </c>
      <c r="H19" t="s">
        <v>416</v>
      </c>
      <c r="I19" t="s">
        <v>417</v>
      </c>
      <c r="J19" t="s">
        <v>416</v>
      </c>
      <c r="K19">
        <v>1688999657</v>
      </c>
      <c r="L19">
        <f t="shared" si="0"/>
        <v>6.8719931063791623E-3</v>
      </c>
      <c r="M19">
        <f t="shared" si="1"/>
        <v>6.8719931063791622</v>
      </c>
      <c r="N19">
        <f t="shared" si="2"/>
        <v>33.760263331207476</v>
      </c>
      <c r="O19">
        <f t="shared" si="3"/>
        <v>158.244</v>
      </c>
      <c r="P19">
        <f t="shared" si="4"/>
        <v>42.824703022098291</v>
      </c>
      <c r="Q19">
        <f t="shared" si="5"/>
        <v>4.2523959393400199</v>
      </c>
      <c r="R19">
        <f t="shared" si="6"/>
        <v>15.7132705083252</v>
      </c>
      <c r="S19">
        <f t="shared" si="7"/>
        <v>0.51771646516871928</v>
      </c>
      <c r="T19">
        <f t="shared" si="8"/>
        <v>2.911739290790226</v>
      </c>
      <c r="U19">
        <f t="shared" si="9"/>
        <v>0.47148452543003255</v>
      </c>
      <c r="V19">
        <f t="shared" si="10"/>
        <v>0.29848678343918311</v>
      </c>
      <c r="W19">
        <f t="shared" si="11"/>
        <v>289.57068001269914</v>
      </c>
      <c r="X19">
        <f t="shared" si="12"/>
        <v>30.237413044158284</v>
      </c>
      <c r="Y19">
        <f t="shared" si="13"/>
        <v>29.952500000000001</v>
      </c>
      <c r="Z19">
        <f t="shared" si="14"/>
        <v>4.2488395375522456</v>
      </c>
      <c r="AA19">
        <f t="shared" si="15"/>
        <v>65.764285866245388</v>
      </c>
      <c r="AB19">
        <f t="shared" si="16"/>
        <v>2.8533104366021704</v>
      </c>
      <c r="AC19">
        <f t="shared" si="17"/>
        <v>4.3386929532016394</v>
      </c>
      <c r="AD19">
        <f t="shared" si="18"/>
        <v>1.3955291009500752</v>
      </c>
      <c r="AE19">
        <f t="shared" si="19"/>
        <v>-303.05489599132108</v>
      </c>
      <c r="AF19">
        <f t="shared" si="20"/>
        <v>57.249763048861517</v>
      </c>
      <c r="AG19">
        <f t="shared" si="21"/>
        <v>4.377641328209994</v>
      </c>
      <c r="AH19">
        <f t="shared" si="22"/>
        <v>48.143188398449603</v>
      </c>
      <c r="AI19">
        <v>0</v>
      </c>
      <c r="AJ19">
        <v>0</v>
      </c>
      <c r="AK19">
        <f t="shared" si="23"/>
        <v>1</v>
      </c>
      <c r="AL19">
        <f t="shared" si="24"/>
        <v>0</v>
      </c>
      <c r="AM19">
        <f t="shared" si="25"/>
        <v>51774.19939542847</v>
      </c>
      <c r="AN19" t="s">
        <v>418</v>
      </c>
      <c r="AO19">
        <v>8197.4</v>
      </c>
      <c r="AP19">
        <v>619.92999999999995</v>
      </c>
      <c r="AQ19">
        <v>3131.443117258741</v>
      </c>
      <c r="AR19">
        <f t="shared" si="26"/>
        <v>0.80203057287443702</v>
      </c>
      <c r="AS19">
        <v>-1.0448500102641549</v>
      </c>
      <c r="AT19" t="s">
        <v>434</v>
      </c>
      <c r="AU19">
        <v>8173.19</v>
      </c>
      <c r="AV19">
        <v>763.78812000000005</v>
      </c>
      <c r="AW19">
        <v>997.5102694556532</v>
      </c>
      <c r="AX19">
        <f t="shared" si="27"/>
        <v>0.23430550703322239</v>
      </c>
      <c r="AY19">
        <v>0.5</v>
      </c>
      <c r="AZ19">
        <f t="shared" si="28"/>
        <v>1513.2096000065796</v>
      </c>
      <c r="BA19">
        <f t="shared" si="29"/>
        <v>33.760263331207476</v>
      </c>
      <c r="BB19">
        <f t="shared" si="30"/>
        <v>177.27667128854065</v>
      </c>
      <c r="BC19">
        <f t="shared" si="31"/>
        <v>2.3000854172032938E-2</v>
      </c>
      <c r="BD19">
        <f t="shared" si="32"/>
        <v>2.1392590263432445</v>
      </c>
      <c r="BE19">
        <f t="shared" si="33"/>
        <v>435.49460245599391</v>
      </c>
      <c r="BF19" t="s">
        <v>435</v>
      </c>
      <c r="BG19">
        <v>584.37</v>
      </c>
      <c r="BH19">
        <f t="shared" si="34"/>
        <v>584.37</v>
      </c>
      <c r="BI19">
        <f t="shared" si="35"/>
        <v>0.4141714447522491</v>
      </c>
      <c r="BJ19">
        <f t="shared" si="36"/>
        <v>0.56572105586221744</v>
      </c>
      <c r="BK19">
        <f t="shared" si="37"/>
        <v>0.8377980331007181</v>
      </c>
      <c r="BL19">
        <f t="shared" si="38"/>
        <v>0.6189999011140167</v>
      </c>
      <c r="BM19">
        <f t="shared" si="39"/>
        <v>0.84966024391392647</v>
      </c>
      <c r="BN19">
        <f t="shared" si="40"/>
        <v>0.43283000187827481</v>
      </c>
      <c r="BO19">
        <f t="shared" si="41"/>
        <v>0.56716999812172519</v>
      </c>
      <c r="BP19">
        <v>13574</v>
      </c>
      <c r="BQ19">
        <v>290.00000000000011</v>
      </c>
      <c r="BR19">
        <v>928.02</v>
      </c>
      <c r="BS19">
        <v>285</v>
      </c>
      <c r="BT19">
        <v>8173.19</v>
      </c>
      <c r="BU19">
        <v>929.78</v>
      </c>
      <c r="BV19">
        <v>-1.76</v>
      </c>
      <c r="BW19">
        <v>300.00000000000011</v>
      </c>
      <c r="BX19">
        <v>19.3</v>
      </c>
      <c r="BY19">
        <v>997.5102694556532</v>
      </c>
      <c r="BZ19">
        <v>3.034085623342528</v>
      </c>
      <c r="CA19">
        <v>-55.359334347106383</v>
      </c>
      <c r="CB19">
        <v>2.2772935028934991</v>
      </c>
      <c r="CC19">
        <v>0.95476139771338464</v>
      </c>
      <c r="CD19">
        <v>-4.232739933259181E-3</v>
      </c>
      <c r="CE19">
        <v>289.99999999999989</v>
      </c>
      <c r="CF19">
        <v>930.07</v>
      </c>
      <c r="CG19">
        <v>635</v>
      </c>
      <c r="CH19">
        <v>8163.16</v>
      </c>
      <c r="CI19">
        <v>929.69</v>
      </c>
      <c r="CJ19">
        <v>0.38</v>
      </c>
      <c r="CX19">
        <f t="shared" si="42"/>
        <v>1800.03</v>
      </c>
      <c r="CY19">
        <f t="shared" si="43"/>
        <v>1513.2096000065796</v>
      </c>
      <c r="CZ19">
        <f t="shared" si="44"/>
        <v>0.84065798903717148</v>
      </c>
      <c r="DA19">
        <f t="shared" si="45"/>
        <v>0.16086991884174107</v>
      </c>
      <c r="DB19">
        <v>6</v>
      </c>
      <c r="DC19">
        <v>0.5</v>
      </c>
      <c r="DD19" t="s">
        <v>421</v>
      </c>
      <c r="DE19">
        <v>2</v>
      </c>
      <c r="DF19">
        <v>1688999657</v>
      </c>
      <c r="DG19">
        <v>158.244</v>
      </c>
      <c r="DH19">
        <v>200.059</v>
      </c>
      <c r="DI19">
        <v>28.7349</v>
      </c>
      <c r="DJ19">
        <v>20.725899999999999</v>
      </c>
      <c r="DK19">
        <v>158.74</v>
      </c>
      <c r="DL19">
        <v>28.576899999999998</v>
      </c>
      <c r="DM19">
        <v>500.02699999999999</v>
      </c>
      <c r="DN19">
        <v>99.198999999999998</v>
      </c>
      <c r="DO19">
        <v>9.8733299999999996E-2</v>
      </c>
      <c r="DP19">
        <v>30.3172</v>
      </c>
      <c r="DQ19">
        <v>29.952500000000001</v>
      </c>
      <c r="DR19">
        <v>999.9</v>
      </c>
      <c r="DS19">
        <v>0</v>
      </c>
      <c r="DT19">
        <v>0</v>
      </c>
      <c r="DU19">
        <v>9978.75</v>
      </c>
      <c r="DV19">
        <v>0</v>
      </c>
      <c r="DW19">
        <v>1629.74</v>
      </c>
      <c r="DX19">
        <v>-41.815600000000003</v>
      </c>
      <c r="DY19">
        <v>162.92500000000001</v>
      </c>
      <c r="DZ19">
        <v>204.29400000000001</v>
      </c>
      <c r="EA19">
        <v>8.0090500000000002</v>
      </c>
      <c r="EB19">
        <v>200.059</v>
      </c>
      <c r="EC19">
        <v>20.725899999999999</v>
      </c>
      <c r="ED19">
        <v>2.8504800000000001</v>
      </c>
      <c r="EE19">
        <v>2.05599</v>
      </c>
      <c r="EF19">
        <v>23.179300000000001</v>
      </c>
      <c r="EG19">
        <v>17.882200000000001</v>
      </c>
      <c r="EH19">
        <v>1800.03</v>
      </c>
      <c r="EI19">
        <v>0.97800699999999996</v>
      </c>
      <c r="EJ19">
        <v>2.1993499999999999E-2</v>
      </c>
      <c r="EK19">
        <v>0</v>
      </c>
      <c r="EL19">
        <v>763.98099999999999</v>
      </c>
      <c r="EM19">
        <v>4.9999900000000004</v>
      </c>
      <c r="EN19">
        <v>18815.8</v>
      </c>
      <c r="EO19">
        <v>15864.1</v>
      </c>
      <c r="EP19">
        <v>49.061999999999998</v>
      </c>
      <c r="EQ19">
        <v>50</v>
      </c>
      <c r="ER19">
        <v>49.561999999999998</v>
      </c>
      <c r="ES19">
        <v>50.061999999999998</v>
      </c>
      <c r="ET19">
        <v>50.811999999999998</v>
      </c>
      <c r="EU19">
        <v>1755.55</v>
      </c>
      <c r="EV19">
        <v>39.479999999999997</v>
      </c>
      <c r="EW19">
        <v>0</v>
      </c>
      <c r="EX19">
        <v>152.4000000953674</v>
      </c>
      <c r="EY19">
        <v>0</v>
      </c>
      <c r="EZ19">
        <v>763.78812000000005</v>
      </c>
      <c r="FA19">
        <v>-0.28307691929994799</v>
      </c>
      <c r="FB19">
        <v>-24.376922973156159</v>
      </c>
      <c r="FC19">
        <v>18816.88</v>
      </c>
      <c r="FD19">
        <v>15</v>
      </c>
      <c r="FE19">
        <v>1688999623.5999999</v>
      </c>
      <c r="FF19" t="s">
        <v>436</v>
      </c>
      <c r="FG19">
        <v>1688999615.5999999</v>
      </c>
      <c r="FH19">
        <v>1688999623.5999999</v>
      </c>
      <c r="FI19">
        <v>5</v>
      </c>
      <c r="FJ19">
        <v>6.2E-2</v>
      </c>
      <c r="FK19">
        <v>-4.0000000000000001E-3</v>
      </c>
      <c r="FL19">
        <v>-0.496</v>
      </c>
      <c r="FM19">
        <v>0.14499999999999999</v>
      </c>
      <c r="FN19">
        <v>200</v>
      </c>
      <c r="FO19">
        <v>21</v>
      </c>
      <c r="FP19">
        <v>0.05</v>
      </c>
      <c r="FQ19">
        <v>0.01</v>
      </c>
      <c r="FR19">
        <v>33.724583718618319</v>
      </c>
      <c r="FS19">
        <v>-0.1351419260781942</v>
      </c>
      <c r="FT19">
        <v>1.721007965095156E-2</v>
      </c>
      <c r="FU19">
        <v>1</v>
      </c>
      <c r="FV19">
        <v>0.51783998225516847</v>
      </c>
      <c r="FW19">
        <v>4.5351723228134827E-2</v>
      </c>
      <c r="FX19">
        <v>4.7180508312547453E-3</v>
      </c>
      <c r="FY19">
        <v>1</v>
      </c>
      <c r="FZ19">
        <v>2</v>
      </c>
      <c r="GA19">
        <v>2</v>
      </c>
      <c r="GB19" t="s">
        <v>423</v>
      </c>
      <c r="GC19">
        <v>2.9605299999999999</v>
      </c>
      <c r="GD19">
        <v>2.7417799999999999</v>
      </c>
      <c r="GE19">
        <v>4.1222200000000001E-2</v>
      </c>
      <c r="GF19">
        <v>5.0565199999999998E-2</v>
      </c>
      <c r="GG19">
        <v>0.13164600000000001</v>
      </c>
      <c r="GH19">
        <v>0.104367</v>
      </c>
      <c r="GI19">
        <v>22570.1</v>
      </c>
      <c r="GJ19">
        <v>20819.900000000001</v>
      </c>
      <c r="GK19">
        <v>23464.6</v>
      </c>
      <c r="GL19">
        <v>21970</v>
      </c>
      <c r="GM19">
        <v>28714.2</v>
      </c>
      <c r="GN19">
        <v>27426.5</v>
      </c>
      <c r="GO19">
        <v>37020.699999999997</v>
      </c>
      <c r="GP19">
        <v>34152.9</v>
      </c>
      <c r="GQ19">
        <v>2.0236000000000001</v>
      </c>
      <c r="GR19">
        <v>1.9246000000000001</v>
      </c>
      <c r="GS19">
        <v>6.6794500000000007E-2</v>
      </c>
      <c r="GT19">
        <v>0</v>
      </c>
      <c r="GU19">
        <v>28.8644</v>
      </c>
      <c r="GV19">
        <v>999.9</v>
      </c>
      <c r="GW19">
        <v>54.1</v>
      </c>
      <c r="GX19">
        <v>34.5</v>
      </c>
      <c r="GY19">
        <v>29.960599999999999</v>
      </c>
      <c r="GZ19">
        <v>60.9191</v>
      </c>
      <c r="HA19">
        <v>38.826099999999997</v>
      </c>
      <c r="HB19">
        <v>1</v>
      </c>
      <c r="HC19">
        <v>0.33147100000000002</v>
      </c>
      <c r="HD19">
        <v>1.19326</v>
      </c>
      <c r="HE19">
        <v>20.1129</v>
      </c>
      <c r="HF19">
        <v>5.26356</v>
      </c>
      <c r="HG19">
        <v>11.962</v>
      </c>
      <c r="HH19">
        <v>4.9796500000000004</v>
      </c>
      <c r="HI19">
        <v>3.2977500000000002</v>
      </c>
      <c r="HJ19">
        <v>9999</v>
      </c>
      <c r="HK19">
        <v>9999</v>
      </c>
      <c r="HL19">
        <v>9999</v>
      </c>
      <c r="HM19">
        <v>999.9</v>
      </c>
      <c r="HN19">
        <v>1.8641700000000001</v>
      </c>
      <c r="HO19">
        <v>1.86005</v>
      </c>
      <c r="HP19">
        <v>1.86677</v>
      </c>
      <c r="HQ19">
        <v>1.8633999999999999</v>
      </c>
      <c r="HR19">
        <v>1.86208</v>
      </c>
      <c r="HS19">
        <v>1.86215</v>
      </c>
      <c r="HT19">
        <v>1.8633999999999999</v>
      </c>
      <c r="HU19">
        <v>1.8646199999999999</v>
      </c>
      <c r="HV19">
        <v>0</v>
      </c>
      <c r="HW19">
        <v>0</v>
      </c>
      <c r="HX19">
        <v>0</v>
      </c>
      <c r="HY19">
        <v>0</v>
      </c>
      <c r="HZ19" t="s">
        <v>424</v>
      </c>
      <c r="IA19" t="s">
        <v>425</v>
      </c>
      <c r="IB19" t="s">
        <v>426</v>
      </c>
      <c r="IC19" t="s">
        <v>426</v>
      </c>
      <c r="ID19" t="s">
        <v>426</v>
      </c>
      <c r="IE19" t="s">
        <v>426</v>
      </c>
      <c r="IF19">
        <v>0</v>
      </c>
      <c r="IG19">
        <v>100</v>
      </c>
      <c r="IH19">
        <v>100</v>
      </c>
      <c r="II19">
        <v>-0.496</v>
      </c>
      <c r="IJ19">
        <v>0.158</v>
      </c>
      <c r="IK19">
        <v>-0.48845280029979737</v>
      </c>
      <c r="IL19">
        <v>-8.3322953065825546E-5</v>
      </c>
      <c r="IM19">
        <v>2.3872336679552741E-7</v>
      </c>
      <c r="IN19">
        <v>-5.428329794194132E-11</v>
      </c>
      <c r="IO19">
        <v>0.15799895980542919</v>
      </c>
      <c r="IP19">
        <v>0</v>
      </c>
      <c r="IQ19">
        <v>0</v>
      </c>
      <c r="IR19">
        <v>0</v>
      </c>
      <c r="IS19">
        <v>2</v>
      </c>
      <c r="IT19">
        <v>2035</v>
      </c>
      <c r="IU19">
        <v>1</v>
      </c>
      <c r="IV19">
        <v>21</v>
      </c>
      <c r="IW19">
        <v>0.7</v>
      </c>
      <c r="IX19">
        <v>0.6</v>
      </c>
      <c r="IY19">
        <v>0.617676</v>
      </c>
      <c r="IZ19">
        <v>2.6452599999999999</v>
      </c>
      <c r="JA19">
        <v>1.4514199999999999</v>
      </c>
      <c r="JB19">
        <v>2.2949199999999998</v>
      </c>
      <c r="JC19">
        <v>1.5942400000000001</v>
      </c>
      <c r="JD19">
        <v>2.3889200000000002</v>
      </c>
      <c r="JE19">
        <v>41.170499999999997</v>
      </c>
      <c r="JF19">
        <v>23.9299</v>
      </c>
      <c r="JG19">
        <v>18</v>
      </c>
      <c r="JH19">
        <v>509.28500000000003</v>
      </c>
      <c r="JI19">
        <v>487.79399999999998</v>
      </c>
      <c r="JJ19">
        <v>28.055599999999998</v>
      </c>
      <c r="JK19">
        <v>31.351299999999998</v>
      </c>
      <c r="JL19">
        <v>30.0002</v>
      </c>
      <c r="JM19">
        <v>31.295000000000002</v>
      </c>
      <c r="JN19">
        <v>31.289300000000001</v>
      </c>
      <c r="JO19">
        <v>12.3401</v>
      </c>
      <c r="JP19">
        <v>39.376100000000001</v>
      </c>
      <c r="JQ19">
        <v>50.805999999999997</v>
      </c>
      <c r="JR19">
        <v>28.088200000000001</v>
      </c>
      <c r="JS19">
        <v>200</v>
      </c>
      <c r="JT19">
        <v>20.625900000000001</v>
      </c>
      <c r="JU19">
        <v>99.229200000000006</v>
      </c>
      <c r="JV19">
        <v>98.551900000000003</v>
      </c>
    </row>
    <row r="20" spans="1:282" x14ac:dyDescent="0.25">
      <c r="A20">
        <v>4</v>
      </c>
      <c r="B20">
        <v>1688999798.5</v>
      </c>
      <c r="C20">
        <v>457.90000009536737</v>
      </c>
      <c r="D20" t="s">
        <v>437</v>
      </c>
      <c r="E20" t="s">
        <v>438</v>
      </c>
      <c r="F20" t="s">
        <v>414</v>
      </c>
      <c r="G20" t="s">
        <v>415</v>
      </c>
      <c r="H20" t="s">
        <v>416</v>
      </c>
      <c r="I20" t="s">
        <v>417</v>
      </c>
      <c r="J20" t="s">
        <v>416</v>
      </c>
      <c r="K20">
        <v>1688999798.5</v>
      </c>
      <c r="L20">
        <f t="shared" si="0"/>
        <v>7.3007890276738426E-3</v>
      </c>
      <c r="M20">
        <f t="shared" si="1"/>
        <v>7.3007890276738427</v>
      </c>
      <c r="N20">
        <f t="shared" si="2"/>
        <v>21.306071890891669</v>
      </c>
      <c r="O20">
        <f t="shared" si="3"/>
        <v>93.65</v>
      </c>
      <c r="P20">
        <f t="shared" si="4"/>
        <v>25.502919693907938</v>
      </c>
      <c r="Q20">
        <f t="shared" si="5"/>
        <v>2.532533982923181</v>
      </c>
      <c r="R20">
        <f t="shared" si="6"/>
        <v>9.2997903905650006</v>
      </c>
      <c r="S20">
        <f t="shared" si="7"/>
        <v>0.55638809837087155</v>
      </c>
      <c r="T20">
        <f t="shared" si="8"/>
        <v>2.9210280161128033</v>
      </c>
      <c r="U20">
        <f t="shared" si="9"/>
        <v>0.50352113278063737</v>
      </c>
      <c r="V20">
        <f t="shared" si="10"/>
        <v>0.31903093951490102</v>
      </c>
      <c r="W20">
        <f t="shared" si="11"/>
        <v>289.57604701270219</v>
      </c>
      <c r="X20">
        <f t="shared" si="12"/>
        <v>30.140221811902943</v>
      </c>
      <c r="Y20">
        <f t="shared" si="13"/>
        <v>29.940999999999999</v>
      </c>
      <c r="Z20">
        <f t="shared" si="14"/>
        <v>4.2460327882188844</v>
      </c>
      <c r="AA20">
        <f t="shared" si="15"/>
        <v>65.81185095144366</v>
      </c>
      <c r="AB20">
        <f t="shared" si="16"/>
        <v>2.8576820931913205</v>
      </c>
      <c r="AC20">
        <f t="shared" si="17"/>
        <v>4.3421998498412293</v>
      </c>
      <c r="AD20">
        <f t="shared" si="18"/>
        <v>1.3883506950275639</v>
      </c>
      <c r="AE20">
        <f t="shared" si="19"/>
        <v>-321.96479612041645</v>
      </c>
      <c r="AF20">
        <f t="shared" si="20"/>
        <v>61.46384387654404</v>
      </c>
      <c r="AG20">
        <f t="shared" si="21"/>
        <v>4.6849889836796921</v>
      </c>
      <c r="AH20">
        <f t="shared" si="22"/>
        <v>33.760083752509495</v>
      </c>
      <c r="AI20">
        <v>0</v>
      </c>
      <c r="AJ20">
        <v>0</v>
      </c>
      <c r="AK20">
        <f t="shared" si="23"/>
        <v>1</v>
      </c>
      <c r="AL20">
        <f t="shared" si="24"/>
        <v>0</v>
      </c>
      <c r="AM20">
        <f t="shared" si="25"/>
        <v>52036.140734317894</v>
      </c>
      <c r="AN20" t="s">
        <v>418</v>
      </c>
      <c r="AO20">
        <v>8197.4</v>
      </c>
      <c r="AP20">
        <v>619.92999999999995</v>
      </c>
      <c r="AQ20">
        <v>3131.443117258741</v>
      </c>
      <c r="AR20">
        <f t="shared" si="26"/>
        <v>0.80203057287443702</v>
      </c>
      <c r="AS20">
        <v>-1.0448500102641549</v>
      </c>
      <c r="AT20" t="s">
        <v>439</v>
      </c>
      <c r="AU20">
        <v>8174.67</v>
      </c>
      <c r="AV20">
        <v>780.40196153846171</v>
      </c>
      <c r="AW20">
        <v>953.85320562549055</v>
      </c>
      <c r="AX20">
        <f t="shared" si="27"/>
        <v>0.18184270185818363</v>
      </c>
      <c r="AY20">
        <v>0.5</v>
      </c>
      <c r="AZ20">
        <f t="shared" si="28"/>
        <v>1513.2351000065814</v>
      </c>
      <c r="BA20">
        <f t="shared" si="29"/>
        <v>21.306071890891669</v>
      </c>
      <c r="BB20">
        <f t="shared" si="30"/>
        <v>137.58537956591775</v>
      </c>
      <c r="BC20">
        <f t="shared" si="31"/>
        <v>1.4770290420212044E-2</v>
      </c>
      <c r="BD20">
        <f t="shared" si="32"/>
        <v>2.2829402876570435</v>
      </c>
      <c r="BE20">
        <f t="shared" si="33"/>
        <v>426.96303828624769</v>
      </c>
      <c r="BF20" t="s">
        <v>440</v>
      </c>
      <c r="BG20">
        <v>590.20000000000005</v>
      </c>
      <c r="BH20">
        <f t="shared" si="34"/>
        <v>590.20000000000005</v>
      </c>
      <c r="BI20">
        <f t="shared" si="35"/>
        <v>0.38124650992499876</v>
      </c>
      <c r="BJ20">
        <f t="shared" si="36"/>
        <v>0.47696883020373593</v>
      </c>
      <c r="BK20">
        <f t="shared" si="37"/>
        <v>0.85689948232195645</v>
      </c>
      <c r="BL20">
        <f t="shared" si="38"/>
        <v>0.51943453214677737</v>
      </c>
      <c r="BM20">
        <f t="shared" si="39"/>
        <v>0.86704301748184365</v>
      </c>
      <c r="BN20">
        <f t="shared" si="40"/>
        <v>0.36072052283324646</v>
      </c>
      <c r="BO20">
        <f t="shared" si="41"/>
        <v>0.6392794771667536</v>
      </c>
      <c r="BP20">
        <v>13576</v>
      </c>
      <c r="BQ20">
        <v>290.00000000000011</v>
      </c>
      <c r="BR20">
        <v>895.67</v>
      </c>
      <c r="BS20">
        <v>295</v>
      </c>
      <c r="BT20">
        <v>8174.67</v>
      </c>
      <c r="BU20">
        <v>897.03</v>
      </c>
      <c r="BV20">
        <v>-1.36</v>
      </c>
      <c r="BW20">
        <v>300.00000000000011</v>
      </c>
      <c r="BX20">
        <v>19.3</v>
      </c>
      <c r="BY20">
        <v>953.85320562549055</v>
      </c>
      <c r="BZ20">
        <v>3.218163328819764</v>
      </c>
      <c r="CA20">
        <v>-46.450855709414043</v>
      </c>
      <c r="CB20">
        <v>2.4159159987240959</v>
      </c>
      <c r="CC20">
        <v>0.92959130331951401</v>
      </c>
      <c r="CD20">
        <v>-4.2332484983314857E-3</v>
      </c>
      <c r="CE20">
        <v>289.99999999999989</v>
      </c>
      <c r="CF20">
        <v>892.81</v>
      </c>
      <c r="CG20">
        <v>655</v>
      </c>
      <c r="CH20">
        <v>8164.07</v>
      </c>
      <c r="CI20">
        <v>896.96</v>
      </c>
      <c r="CJ20">
        <v>-4.1500000000000004</v>
      </c>
      <c r="CX20">
        <f t="shared" si="42"/>
        <v>1800.06</v>
      </c>
      <c r="CY20">
        <f t="shared" si="43"/>
        <v>1513.2351000065814</v>
      </c>
      <c r="CZ20">
        <f t="shared" si="44"/>
        <v>0.84065814473216527</v>
      </c>
      <c r="DA20">
        <f t="shared" si="45"/>
        <v>0.16087021933307902</v>
      </c>
      <c r="DB20">
        <v>6</v>
      </c>
      <c r="DC20">
        <v>0.5</v>
      </c>
      <c r="DD20" t="s">
        <v>421</v>
      </c>
      <c r="DE20">
        <v>2</v>
      </c>
      <c r="DF20">
        <v>1688999798.5</v>
      </c>
      <c r="DG20">
        <v>93.65</v>
      </c>
      <c r="DH20">
        <v>120.033</v>
      </c>
      <c r="DI20">
        <v>28.777200000000001</v>
      </c>
      <c r="DJ20">
        <v>20.2699</v>
      </c>
      <c r="DK20">
        <v>94.0852</v>
      </c>
      <c r="DL20">
        <v>28.622399999999999</v>
      </c>
      <c r="DM20">
        <v>500.09</v>
      </c>
      <c r="DN20">
        <v>99.205500000000001</v>
      </c>
      <c r="DO20">
        <v>9.81881E-2</v>
      </c>
      <c r="DP20">
        <v>30.331299999999999</v>
      </c>
      <c r="DQ20">
        <v>29.940999999999999</v>
      </c>
      <c r="DR20">
        <v>999.9</v>
      </c>
      <c r="DS20">
        <v>0</v>
      </c>
      <c r="DT20">
        <v>0</v>
      </c>
      <c r="DU20">
        <v>10031.200000000001</v>
      </c>
      <c r="DV20">
        <v>0</v>
      </c>
      <c r="DW20">
        <v>1641.54</v>
      </c>
      <c r="DX20">
        <v>-26.383299999999998</v>
      </c>
      <c r="DY20">
        <v>96.424899999999994</v>
      </c>
      <c r="DZ20">
        <v>122.517</v>
      </c>
      <c r="EA20">
        <v>8.5072200000000002</v>
      </c>
      <c r="EB20">
        <v>120.033</v>
      </c>
      <c r="EC20">
        <v>20.2699</v>
      </c>
      <c r="ED20">
        <v>2.8548499999999999</v>
      </c>
      <c r="EE20">
        <v>2.0108899999999998</v>
      </c>
      <c r="EF20">
        <v>23.204699999999999</v>
      </c>
      <c r="EG20">
        <v>17.5303</v>
      </c>
      <c r="EH20">
        <v>1800.06</v>
      </c>
      <c r="EI20">
        <v>0.97800299999999996</v>
      </c>
      <c r="EJ20">
        <v>2.1996700000000001E-2</v>
      </c>
      <c r="EK20">
        <v>0</v>
      </c>
      <c r="EL20">
        <v>780.36300000000006</v>
      </c>
      <c r="EM20">
        <v>4.9999900000000004</v>
      </c>
      <c r="EN20">
        <v>19060</v>
      </c>
      <c r="EO20">
        <v>15864.4</v>
      </c>
      <c r="EP20">
        <v>48.811999999999998</v>
      </c>
      <c r="EQ20">
        <v>49.875</v>
      </c>
      <c r="ER20">
        <v>49.25</v>
      </c>
      <c r="ES20">
        <v>49.875</v>
      </c>
      <c r="ET20">
        <v>50.561999999999998</v>
      </c>
      <c r="EU20">
        <v>1755.57</v>
      </c>
      <c r="EV20">
        <v>39.49</v>
      </c>
      <c r="EW20">
        <v>0</v>
      </c>
      <c r="EX20">
        <v>139.4000000953674</v>
      </c>
      <c r="EY20">
        <v>0</v>
      </c>
      <c r="EZ20">
        <v>780.40196153846171</v>
      </c>
      <c r="FA20">
        <v>-1.9462906128941651</v>
      </c>
      <c r="FB20">
        <v>69.41538403073622</v>
      </c>
      <c r="FC20">
        <v>19083.553846153849</v>
      </c>
      <c r="FD20">
        <v>15</v>
      </c>
      <c r="FE20">
        <v>1688999765</v>
      </c>
      <c r="FF20" t="s">
        <v>441</v>
      </c>
      <c r="FG20">
        <v>1688999751</v>
      </c>
      <c r="FH20">
        <v>1688999765</v>
      </c>
      <c r="FI20">
        <v>6</v>
      </c>
      <c r="FJ20">
        <v>5.8999999999999997E-2</v>
      </c>
      <c r="FK20">
        <v>-3.0000000000000001E-3</v>
      </c>
      <c r="FL20">
        <v>-0.436</v>
      </c>
      <c r="FM20">
        <v>0.125</v>
      </c>
      <c r="FN20">
        <v>120</v>
      </c>
      <c r="FO20">
        <v>20</v>
      </c>
      <c r="FP20">
        <v>0.05</v>
      </c>
      <c r="FQ20">
        <v>0.01</v>
      </c>
      <c r="FR20">
        <v>21.38367875785973</v>
      </c>
      <c r="FS20">
        <v>-0.51202645949643455</v>
      </c>
      <c r="FT20">
        <v>4.3868399060517912E-2</v>
      </c>
      <c r="FU20">
        <v>1</v>
      </c>
      <c r="FV20">
        <v>0.55739448876875464</v>
      </c>
      <c r="FW20">
        <v>4.7976914108201769E-2</v>
      </c>
      <c r="FX20">
        <v>5.262868478627304E-3</v>
      </c>
      <c r="FY20">
        <v>1</v>
      </c>
      <c r="FZ20">
        <v>2</v>
      </c>
      <c r="GA20">
        <v>2</v>
      </c>
      <c r="GB20" t="s">
        <v>423</v>
      </c>
      <c r="GC20">
        <v>2.9605600000000001</v>
      </c>
      <c r="GD20">
        <v>2.7416900000000002</v>
      </c>
      <c r="GE20">
        <v>2.53876E-2</v>
      </c>
      <c r="GF20">
        <v>3.1875800000000003E-2</v>
      </c>
      <c r="GG20">
        <v>0.13176599999999999</v>
      </c>
      <c r="GH20">
        <v>0.102731</v>
      </c>
      <c r="GI20">
        <v>22938.7</v>
      </c>
      <c r="GJ20">
        <v>21227.1</v>
      </c>
      <c r="GK20">
        <v>23461.1</v>
      </c>
      <c r="GL20">
        <v>21967.9</v>
      </c>
      <c r="GM20">
        <v>28705.9</v>
      </c>
      <c r="GN20">
        <v>27474.7</v>
      </c>
      <c r="GO20">
        <v>37015.699999999997</v>
      </c>
      <c r="GP20">
        <v>34150.800000000003</v>
      </c>
      <c r="GQ20">
        <v>2.0230000000000001</v>
      </c>
      <c r="GR20">
        <v>1.9176299999999999</v>
      </c>
      <c r="GS20">
        <v>6.2379999999999998E-2</v>
      </c>
      <c r="GT20">
        <v>0</v>
      </c>
      <c r="GU20">
        <v>28.925000000000001</v>
      </c>
      <c r="GV20">
        <v>999.9</v>
      </c>
      <c r="GW20">
        <v>52.4</v>
      </c>
      <c r="GX20">
        <v>35</v>
      </c>
      <c r="GY20">
        <v>29.833600000000001</v>
      </c>
      <c r="GZ20">
        <v>59.869100000000003</v>
      </c>
      <c r="HA20">
        <v>38.709899999999998</v>
      </c>
      <c r="HB20">
        <v>1</v>
      </c>
      <c r="HC20">
        <v>0.339781</v>
      </c>
      <c r="HD20">
        <v>1.2109799999999999</v>
      </c>
      <c r="HE20">
        <v>20.111699999999999</v>
      </c>
      <c r="HF20">
        <v>5.2626600000000003</v>
      </c>
      <c r="HG20">
        <v>11.962</v>
      </c>
      <c r="HH20">
        <v>4.9797000000000002</v>
      </c>
      <c r="HI20">
        <v>3.29793</v>
      </c>
      <c r="HJ20">
        <v>9999</v>
      </c>
      <c r="HK20">
        <v>9999</v>
      </c>
      <c r="HL20">
        <v>9999</v>
      </c>
      <c r="HM20">
        <v>999.9</v>
      </c>
      <c r="HN20">
        <v>1.8641700000000001</v>
      </c>
      <c r="HO20">
        <v>1.8601399999999999</v>
      </c>
      <c r="HP20">
        <v>1.8668100000000001</v>
      </c>
      <c r="HQ20">
        <v>1.8633999999999999</v>
      </c>
      <c r="HR20">
        <v>1.86216</v>
      </c>
      <c r="HS20">
        <v>1.8621799999999999</v>
      </c>
      <c r="HT20">
        <v>1.8633999999999999</v>
      </c>
      <c r="HU20">
        <v>1.86463</v>
      </c>
      <c r="HV20">
        <v>0</v>
      </c>
      <c r="HW20">
        <v>0</v>
      </c>
      <c r="HX20">
        <v>0</v>
      </c>
      <c r="HY20">
        <v>0</v>
      </c>
      <c r="HZ20" t="s">
        <v>424</v>
      </c>
      <c r="IA20" t="s">
        <v>425</v>
      </c>
      <c r="IB20" t="s">
        <v>426</v>
      </c>
      <c r="IC20" t="s">
        <v>426</v>
      </c>
      <c r="ID20" t="s">
        <v>426</v>
      </c>
      <c r="IE20" t="s">
        <v>426</v>
      </c>
      <c r="IF20">
        <v>0</v>
      </c>
      <c r="IG20">
        <v>100</v>
      </c>
      <c r="IH20">
        <v>100</v>
      </c>
      <c r="II20">
        <v>-0.435</v>
      </c>
      <c r="IJ20">
        <v>0.15479999999999999</v>
      </c>
      <c r="IK20">
        <v>-0.42943258163964593</v>
      </c>
      <c r="IL20">
        <v>-8.3322953065825546E-5</v>
      </c>
      <c r="IM20">
        <v>2.3872336679552741E-7</v>
      </c>
      <c r="IN20">
        <v>-5.428329794194132E-11</v>
      </c>
      <c r="IO20">
        <v>0.15478230700551321</v>
      </c>
      <c r="IP20">
        <v>0</v>
      </c>
      <c r="IQ20">
        <v>0</v>
      </c>
      <c r="IR20">
        <v>0</v>
      </c>
      <c r="IS20">
        <v>2</v>
      </c>
      <c r="IT20">
        <v>2035</v>
      </c>
      <c r="IU20">
        <v>1</v>
      </c>
      <c r="IV20">
        <v>21</v>
      </c>
      <c r="IW20">
        <v>0.8</v>
      </c>
      <c r="IX20">
        <v>0.6</v>
      </c>
      <c r="IY20">
        <v>0.43212899999999999</v>
      </c>
      <c r="IZ20">
        <v>2.6660200000000001</v>
      </c>
      <c r="JA20">
        <v>1.4514199999999999</v>
      </c>
      <c r="JB20">
        <v>2.2924799999999999</v>
      </c>
      <c r="JC20">
        <v>1.5942400000000001</v>
      </c>
      <c r="JD20">
        <v>2.33521</v>
      </c>
      <c r="JE20">
        <v>41.586599999999997</v>
      </c>
      <c r="JF20">
        <v>23.921099999999999</v>
      </c>
      <c r="JG20">
        <v>18</v>
      </c>
      <c r="JH20">
        <v>509.87599999999998</v>
      </c>
      <c r="JI20">
        <v>483.65100000000001</v>
      </c>
      <c r="JJ20">
        <v>28.0853</v>
      </c>
      <c r="JK20">
        <v>31.455100000000002</v>
      </c>
      <c r="JL20">
        <v>30.0001</v>
      </c>
      <c r="JM20">
        <v>31.405200000000001</v>
      </c>
      <c r="JN20">
        <v>31.4008</v>
      </c>
      <c r="JO20">
        <v>8.6108100000000007</v>
      </c>
      <c r="JP20">
        <v>40.101799999999997</v>
      </c>
      <c r="JQ20">
        <v>46.006500000000003</v>
      </c>
      <c r="JR20">
        <v>28.110600000000002</v>
      </c>
      <c r="JS20">
        <v>120</v>
      </c>
      <c r="JT20">
        <v>20.191500000000001</v>
      </c>
      <c r="JU20">
        <v>99.215299999999999</v>
      </c>
      <c r="JV20">
        <v>98.544499999999999</v>
      </c>
    </row>
    <row r="21" spans="1:282" x14ac:dyDescent="0.25">
      <c r="A21">
        <v>5</v>
      </c>
      <c r="B21">
        <v>1688999950.5</v>
      </c>
      <c r="C21">
        <v>609.90000009536743</v>
      </c>
      <c r="D21" t="s">
        <v>442</v>
      </c>
      <c r="E21" t="s">
        <v>443</v>
      </c>
      <c r="F21" t="s">
        <v>414</v>
      </c>
      <c r="G21" t="s">
        <v>415</v>
      </c>
      <c r="H21" t="s">
        <v>416</v>
      </c>
      <c r="I21" t="s">
        <v>417</v>
      </c>
      <c r="J21" t="s">
        <v>416</v>
      </c>
      <c r="K21">
        <v>1688999950.5</v>
      </c>
      <c r="L21">
        <f t="shared" si="0"/>
        <v>7.5500246655750419E-3</v>
      </c>
      <c r="M21">
        <f t="shared" si="1"/>
        <v>7.5500246655750418</v>
      </c>
      <c r="N21">
        <f t="shared" si="2"/>
        <v>12.939580029262977</v>
      </c>
      <c r="O21">
        <f t="shared" si="3"/>
        <v>53.964700000000001</v>
      </c>
      <c r="P21">
        <f t="shared" si="4"/>
        <v>13.98931022025886</v>
      </c>
      <c r="Q21">
        <f t="shared" si="5"/>
        <v>1.3892910834804149</v>
      </c>
      <c r="R21">
        <f t="shared" si="6"/>
        <v>5.3592832921899598</v>
      </c>
      <c r="S21">
        <f t="shared" si="7"/>
        <v>0.57755179960944047</v>
      </c>
      <c r="T21">
        <f t="shared" si="8"/>
        <v>2.9178684912226394</v>
      </c>
      <c r="U21">
        <f t="shared" si="9"/>
        <v>0.52075070810128332</v>
      </c>
      <c r="V21">
        <f t="shared" si="10"/>
        <v>0.33010578079702407</v>
      </c>
      <c r="W21">
        <f t="shared" si="11"/>
        <v>289.57343401270555</v>
      </c>
      <c r="X21">
        <f t="shared" si="12"/>
        <v>30.20492892871318</v>
      </c>
      <c r="Y21">
        <f t="shared" si="13"/>
        <v>29.946200000000001</v>
      </c>
      <c r="Z21">
        <f t="shared" si="14"/>
        <v>4.2473017268425561</v>
      </c>
      <c r="AA21">
        <f t="shared" si="15"/>
        <v>65.353922902519514</v>
      </c>
      <c r="AB21">
        <f t="shared" si="16"/>
        <v>2.8589723160490799</v>
      </c>
      <c r="AC21">
        <f t="shared" si="17"/>
        <v>4.374599395224462</v>
      </c>
      <c r="AD21">
        <f t="shared" si="18"/>
        <v>1.3883294107934763</v>
      </c>
      <c r="AE21">
        <f t="shared" si="19"/>
        <v>-332.95608775185934</v>
      </c>
      <c r="AF21">
        <f t="shared" si="20"/>
        <v>80.997954128269086</v>
      </c>
      <c r="AG21">
        <f t="shared" si="21"/>
        <v>6.1847639857529391</v>
      </c>
      <c r="AH21">
        <f t="shared" si="22"/>
        <v>43.800064374868256</v>
      </c>
      <c r="AI21">
        <v>0</v>
      </c>
      <c r="AJ21">
        <v>0</v>
      </c>
      <c r="AK21">
        <f t="shared" si="23"/>
        <v>1</v>
      </c>
      <c r="AL21">
        <f t="shared" si="24"/>
        <v>0</v>
      </c>
      <c r="AM21">
        <f t="shared" si="25"/>
        <v>51924.122825893755</v>
      </c>
      <c r="AN21" t="s">
        <v>418</v>
      </c>
      <c r="AO21">
        <v>8197.4</v>
      </c>
      <c r="AP21">
        <v>619.92999999999995</v>
      </c>
      <c r="AQ21">
        <v>3131.443117258741</v>
      </c>
      <c r="AR21">
        <f t="shared" si="26"/>
        <v>0.80203057287443702</v>
      </c>
      <c r="AS21">
        <v>-1.0448500102641549</v>
      </c>
      <c r="AT21" t="s">
        <v>444</v>
      </c>
      <c r="AU21">
        <v>8179.01</v>
      </c>
      <c r="AV21">
        <v>792.14828000000011</v>
      </c>
      <c r="AW21">
        <v>902.52942607907619</v>
      </c>
      <c r="AX21">
        <f t="shared" si="27"/>
        <v>0.12230199136953668</v>
      </c>
      <c r="AY21">
        <v>0.5</v>
      </c>
      <c r="AZ21">
        <f t="shared" si="28"/>
        <v>1513.2186000065831</v>
      </c>
      <c r="BA21">
        <f t="shared" si="29"/>
        <v>12.939580029262977</v>
      </c>
      <c r="BB21">
        <f t="shared" si="30"/>
        <v>92.534824079113747</v>
      </c>
      <c r="BC21">
        <f t="shared" si="31"/>
        <v>9.2415134465478384E-3</v>
      </c>
      <c r="BD21">
        <f t="shared" si="32"/>
        <v>2.4696299386745713</v>
      </c>
      <c r="BE21">
        <f t="shared" si="33"/>
        <v>416.36464950752173</v>
      </c>
      <c r="BF21" t="s">
        <v>445</v>
      </c>
      <c r="BG21">
        <v>608.35</v>
      </c>
      <c r="BH21">
        <f t="shared" si="34"/>
        <v>608.35</v>
      </c>
      <c r="BI21">
        <f t="shared" si="35"/>
        <v>0.32594995529076665</v>
      </c>
      <c r="BJ21">
        <f t="shared" si="36"/>
        <v>0.37521708282007915</v>
      </c>
      <c r="BK21">
        <f t="shared" si="37"/>
        <v>0.88340524411612176</v>
      </c>
      <c r="BL21">
        <f t="shared" si="38"/>
        <v>0.39059225140885284</v>
      </c>
      <c r="BM21">
        <f t="shared" si="39"/>
        <v>0.8874784192297881</v>
      </c>
      <c r="BN21">
        <f t="shared" si="40"/>
        <v>0.28815730349574847</v>
      </c>
      <c r="BO21">
        <f t="shared" si="41"/>
        <v>0.71184269650425147</v>
      </c>
      <c r="BP21">
        <v>13578</v>
      </c>
      <c r="BQ21">
        <v>290.00000000000011</v>
      </c>
      <c r="BR21">
        <v>860.07</v>
      </c>
      <c r="BS21">
        <v>255</v>
      </c>
      <c r="BT21">
        <v>8179.01</v>
      </c>
      <c r="BU21">
        <v>861.26</v>
      </c>
      <c r="BV21">
        <v>-1.19</v>
      </c>
      <c r="BW21">
        <v>300.00000000000011</v>
      </c>
      <c r="BX21">
        <v>19.3</v>
      </c>
      <c r="BY21">
        <v>902.52942607907619</v>
      </c>
      <c r="BZ21">
        <v>1.9420950880116661</v>
      </c>
      <c r="CA21">
        <v>-33.752490615945348</v>
      </c>
      <c r="CB21">
        <v>1.4583671845687971</v>
      </c>
      <c r="CC21">
        <v>0.9503234318369993</v>
      </c>
      <c r="CD21">
        <v>-4.2341361512791961E-3</v>
      </c>
      <c r="CE21">
        <v>289.99999999999989</v>
      </c>
      <c r="CF21">
        <v>857.98</v>
      </c>
      <c r="CG21">
        <v>685</v>
      </c>
      <c r="CH21">
        <v>8165.5</v>
      </c>
      <c r="CI21">
        <v>861.19</v>
      </c>
      <c r="CJ21">
        <v>-3.21</v>
      </c>
      <c r="CX21">
        <f t="shared" si="42"/>
        <v>1800.04</v>
      </c>
      <c r="CY21">
        <f t="shared" si="43"/>
        <v>1513.2186000065831</v>
      </c>
      <c r="CZ21">
        <f t="shared" si="44"/>
        <v>0.84065831870768604</v>
      </c>
      <c r="DA21">
        <f t="shared" si="45"/>
        <v>0.16087055510583406</v>
      </c>
      <c r="DB21">
        <v>6</v>
      </c>
      <c r="DC21">
        <v>0.5</v>
      </c>
      <c r="DD21" t="s">
        <v>421</v>
      </c>
      <c r="DE21">
        <v>2</v>
      </c>
      <c r="DF21">
        <v>1688999950.5</v>
      </c>
      <c r="DG21">
        <v>53.964700000000001</v>
      </c>
      <c r="DH21">
        <v>69.979100000000003</v>
      </c>
      <c r="DI21">
        <v>28.7881</v>
      </c>
      <c r="DJ21">
        <v>19.989999999999998</v>
      </c>
      <c r="DK21">
        <v>54.374400000000001</v>
      </c>
      <c r="DL21">
        <v>28.6313</v>
      </c>
      <c r="DM21">
        <v>500.06299999999999</v>
      </c>
      <c r="DN21">
        <v>99.211600000000004</v>
      </c>
      <c r="DO21">
        <v>9.9306800000000001E-2</v>
      </c>
      <c r="DP21">
        <v>30.461099999999998</v>
      </c>
      <c r="DQ21">
        <v>29.946200000000001</v>
      </c>
      <c r="DR21">
        <v>999.9</v>
      </c>
      <c r="DS21">
        <v>0</v>
      </c>
      <c r="DT21">
        <v>0</v>
      </c>
      <c r="DU21">
        <v>10012.5</v>
      </c>
      <c r="DV21">
        <v>0</v>
      </c>
      <c r="DW21">
        <v>1653.76</v>
      </c>
      <c r="DX21">
        <v>-16.014500000000002</v>
      </c>
      <c r="DY21">
        <v>55.564300000000003</v>
      </c>
      <c r="DZ21">
        <v>71.406499999999994</v>
      </c>
      <c r="EA21">
        <v>8.7980300000000007</v>
      </c>
      <c r="EB21">
        <v>69.979100000000003</v>
      </c>
      <c r="EC21">
        <v>19.989999999999998</v>
      </c>
      <c r="ED21">
        <v>2.8561100000000001</v>
      </c>
      <c r="EE21">
        <v>1.9832399999999999</v>
      </c>
      <c r="EF21">
        <v>23.212</v>
      </c>
      <c r="EG21">
        <v>17.311199999999999</v>
      </c>
      <c r="EH21">
        <v>1800.04</v>
      </c>
      <c r="EI21">
        <v>0.97799700000000001</v>
      </c>
      <c r="EJ21">
        <v>2.2003000000000002E-2</v>
      </c>
      <c r="EK21">
        <v>0</v>
      </c>
      <c r="EL21">
        <v>792.38300000000004</v>
      </c>
      <c r="EM21">
        <v>4.9999900000000004</v>
      </c>
      <c r="EN21">
        <v>19319.099999999999</v>
      </c>
      <c r="EO21">
        <v>15864.2</v>
      </c>
      <c r="EP21">
        <v>48.436999999999998</v>
      </c>
      <c r="EQ21">
        <v>49.436999999999998</v>
      </c>
      <c r="ER21">
        <v>48.875</v>
      </c>
      <c r="ES21">
        <v>49.5</v>
      </c>
      <c r="ET21">
        <v>50.25</v>
      </c>
      <c r="EU21">
        <v>1755.54</v>
      </c>
      <c r="EV21">
        <v>39.5</v>
      </c>
      <c r="EW21">
        <v>0</v>
      </c>
      <c r="EX21">
        <v>150.20000004768369</v>
      </c>
      <c r="EY21">
        <v>0</v>
      </c>
      <c r="EZ21">
        <v>792.14828000000011</v>
      </c>
      <c r="FA21">
        <v>-2.2465384643653632</v>
      </c>
      <c r="FB21">
        <v>-36.246153773469992</v>
      </c>
      <c r="FC21">
        <v>19323.128000000001</v>
      </c>
      <c r="FD21">
        <v>15</v>
      </c>
      <c r="FE21">
        <v>1688999912</v>
      </c>
      <c r="FF21" t="s">
        <v>446</v>
      </c>
      <c r="FG21">
        <v>1688999891</v>
      </c>
      <c r="FH21">
        <v>1688999912</v>
      </c>
      <c r="FI21">
        <v>7</v>
      </c>
      <c r="FJ21">
        <v>2.4E-2</v>
      </c>
      <c r="FK21">
        <v>2E-3</v>
      </c>
      <c r="FL21">
        <v>-0.41099999999999998</v>
      </c>
      <c r="FM21">
        <v>0.115</v>
      </c>
      <c r="FN21">
        <v>70</v>
      </c>
      <c r="FO21">
        <v>20</v>
      </c>
      <c r="FP21">
        <v>0.05</v>
      </c>
      <c r="FQ21">
        <v>0.01</v>
      </c>
      <c r="FR21">
        <v>12.96879508573085</v>
      </c>
      <c r="FS21">
        <v>-0.6831741575920689</v>
      </c>
      <c r="FT21">
        <v>5.6090608466001127E-2</v>
      </c>
      <c r="FU21">
        <v>1</v>
      </c>
      <c r="FV21">
        <v>0.58217817070866262</v>
      </c>
      <c r="FW21">
        <v>-2.6326718381844701E-2</v>
      </c>
      <c r="FX21">
        <v>2.371387345016511E-3</v>
      </c>
      <c r="FY21">
        <v>1</v>
      </c>
      <c r="FZ21">
        <v>2</v>
      </c>
      <c r="GA21">
        <v>2</v>
      </c>
      <c r="GB21" t="s">
        <v>423</v>
      </c>
      <c r="GC21">
        <v>2.9604400000000002</v>
      </c>
      <c r="GD21">
        <v>2.7426499999999998</v>
      </c>
      <c r="GE21">
        <v>1.4977000000000001E-2</v>
      </c>
      <c r="GF21">
        <v>1.9101699999999999E-2</v>
      </c>
      <c r="GG21">
        <v>0.13178000000000001</v>
      </c>
      <c r="GH21">
        <v>0.10172200000000001</v>
      </c>
      <c r="GI21">
        <v>23183.1</v>
      </c>
      <c r="GJ21">
        <v>21507.9</v>
      </c>
      <c r="GK21">
        <v>23460.9</v>
      </c>
      <c r="GL21">
        <v>21969.1</v>
      </c>
      <c r="GM21">
        <v>28705.5</v>
      </c>
      <c r="GN21">
        <v>27507.599999999999</v>
      </c>
      <c r="GO21">
        <v>37016.400000000001</v>
      </c>
      <c r="GP21">
        <v>34153.5</v>
      </c>
      <c r="GQ21">
        <v>2.0226999999999999</v>
      </c>
      <c r="GR21">
        <v>1.91252</v>
      </c>
      <c r="GS21">
        <v>7.5213600000000005E-2</v>
      </c>
      <c r="GT21">
        <v>0</v>
      </c>
      <c r="GU21">
        <v>28.720800000000001</v>
      </c>
      <c r="GV21">
        <v>999.9</v>
      </c>
      <c r="GW21">
        <v>50.6</v>
      </c>
      <c r="GX21">
        <v>35.5</v>
      </c>
      <c r="GY21">
        <v>29.613399999999999</v>
      </c>
      <c r="GZ21">
        <v>60.179099999999998</v>
      </c>
      <c r="HA21">
        <v>38.581699999999998</v>
      </c>
      <c r="HB21">
        <v>1</v>
      </c>
      <c r="HC21">
        <v>0.34203499999999998</v>
      </c>
      <c r="HD21">
        <v>0.66217000000000004</v>
      </c>
      <c r="HE21">
        <v>20.116499999999998</v>
      </c>
      <c r="HF21">
        <v>5.2622200000000001</v>
      </c>
      <c r="HG21">
        <v>11.962</v>
      </c>
      <c r="HH21">
        <v>4.9797000000000002</v>
      </c>
      <c r="HI21">
        <v>3.2977799999999999</v>
      </c>
      <c r="HJ21">
        <v>9999</v>
      </c>
      <c r="HK21">
        <v>9999</v>
      </c>
      <c r="HL21">
        <v>9999</v>
      </c>
      <c r="HM21">
        <v>999.9</v>
      </c>
      <c r="HN21">
        <v>1.8641799999999999</v>
      </c>
      <c r="HO21">
        <v>1.8601700000000001</v>
      </c>
      <c r="HP21">
        <v>1.8667899999999999</v>
      </c>
      <c r="HQ21">
        <v>1.86341</v>
      </c>
      <c r="HR21">
        <v>1.86216</v>
      </c>
      <c r="HS21">
        <v>1.8621700000000001</v>
      </c>
      <c r="HT21">
        <v>1.8633999999999999</v>
      </c>
      <c r="HU21">
        <v>1.8646400000000001</v>
      </c>
      <c r="HV21">
        <v>0</v>
      </c>
      <c r="HW21">
        <v>0</v>
      </c>
      <c r="HX21">
        <v>0</v>
      </c>
      <c r="HY21">
        <v>0</v>
      </c>
      <c r="HZ21" t="s">
        <v>424</v>
      </c>
      <c r="IA21" t="s">
        <v>425</v>
      </c>
      <c r="IB21" t="s">
        <v>426</v>
      </c>
      <c r="IC21" t="s">
        <v>426</v>
      </c>
      <c r="ID21" t="s">
        <v>426</v>
      </c>
      <c r="IE21" t="s">
        <v>426</v>
      </c>
      <c r="IF21">
        <v>0</v>
      </c>
      <c r="IG21">
        <v>100</v>
      </c>
      <c r="IH21">
        <v>100</v>
      </c>
      <c r="II21">
        <v>-0.41</v>
      </c>
      <c r="IJ21">
        <v>0.15679999999999999</v>
      </c>
      <c r="IK21">
        <v>-0.4058727495081309</v>
      </c>
      <c r="IL21">
        <v>-8.3322953065825546E-5</v>
      </c>
      <c r="IM21">
        <v>2.3872336679552741E-7</v>
      </c>
      <c r="IN21">
        <v>-5.428329794194132E-11</v>
      </c>
      <c r="IO21">
        <v>0.15682707464777551</v>
      </c>
      <c r="IP21">
        <v>0</v>
      </c>
      <c r="IQ21">
        <v>0</v>
      </c>
      <c r="IR21">
        <v>0</v>
      </c>
      <c r="IS21">
        <v>2</v>
      </c>
      <c r="IT21">
        <v>2035</v>
      </c>
      <c r="IU21">
        <v>1</v>
      </c>
      <c r="IV21">
        <v>21</v>
      </c>
      <c r="IW21">
        <v>1</v>
      </c>
      <c r="IX21">
        <v>0.6</v>
      </c>
      <c r="IY21">
        <v>0.31372100000000003</v>
      </c>
      <c r="IZ21">
        <v>2.6855500000000001</v>
      </c>
      <c r="JA21">
        <v>1.4514199999999999</v>
      </c>
      <c r="JB21">
        <v>2.2888199999999999</v>
      </c>
      <c r="JC21">
        <v>1.5942400000000001</v>
      </c>
      <c r="JD21">
        <v>2.4108900000000002</v>
      </c>
      <c r="JE21">
        <v>41.953800000000001</v>
      </c>
      <c r="JF21">
        <v>23.9299</v>
      </c>
      <c r="JG21">
        <v>18</v>
      </c>
      <c r="JH21">
        <v>510.33100000000002</v>
      </c>
      <c r="JI21">
        <v>480.54899999999998</v>
      </c>
      <c r="JJ21">
        <v>28.659400000000002</v>
      </c>
      <c r="JK21">
        <v>31.5076</v>
      </c>
      <c r="JL21">
        <v>29.999500000000001</v>
      </c>
      <c r="JM21">
        <v>31.478100000000001</v>
      </c>
      <c r="JN21">
        <v>31.4727</v>
      </c>
      <c r="JO21">
        <v>6.2560900000000004</v>
      </c>
      <c r="JP21">
        <v>39.458100000000002</v>
      </c>
      <c r="JQ21">
        <v>41.332700000000003</v>
      </c>
      <c r="JR21">
        <v>28.672799999999999</v>
      </c>
      <c r="JS21">
        <v>70</v>
      </c>
      <c r="JT21">
        <v>19.962199999999999</v>
      </c>
      <c r="JU21">
        <v>99.215900000000005</v>
      </c>
      <c r="JV21">
        <v>98.551299999999998</v>
      </c>
    </row>
    <row r="22" spans="1:282" x14ac:dyDescent="0.25">
      <c r="A22">
        <v>6</v>
      </c>
      <c r="B22">
        <v>1689000079.5</v>
      </c>
      <c r="C22">
        <v>738.90000009536743</v>
      </c>
      <c r="D22" t="s">
        <v>447</v>
      </c>
      <c r="E22" t="s">
        <v>448</v>
      </c>
      <c r="F22" t="s">
        <v>414</v>
      </c>
      <c r="G22" t="s">
        <v>415</v>
      </c>
      <c r="H22" t="s">
        <v>416</v>
      </c>
      <c r="I22" t="s">
        <v>417</v>
      </c>
      <c r="J22" t="s">
        <v>416</v>
      </c>
      <c r="K22">
        <v>1689000079.5</v>
      </c>
      <c r="L22">
        <f t="shared" si="0"/>
        <v>7.7148589709292699E-3</v>
      </c>
      <c r="M22">
        <f t="shared" si="1"/>
        <v>7.7148589709292699</v>
      </c>
      <c r="N22">
        <f t="shared" si="2"/>
        <v>5.5708911189147727</v>
      </c>
      <c r="O22">
        <f t="shared" si="3"/>
        <v>22.998200000000001</v>
      </c>
      <c r="P22">
        <f t="shared" si="4"/>
        <v>6.2591910571584952</v>
      </c>
      <c r="Q22">
        <f t="shared" si="5"/>
        <v>0.62162802590242505</v>
      </c>
      <c r="R22">
        <f t="shared" si="6"/>
        <v>2.2840532482162796</v>
      </c>
      <c r="S22">
        <f t="shared" si="7"/>
        <v>0.59562394695201248</v>
      </c>
      <c r="T22">
        <f t="shared" si="8"/>
        <v>2.9196708914770304</v>
      </c>
      <c r="U22">
        <f t="shared" si="9"/>
        <v>0.5354436789856295</v>
      </c>
      <c r="V22">
        <f t="shared" si="10"/>
        <v>0.33955113240303869</v>
      </c>
      <c r="W22">
        <f t="shared" si="11"/>
        <v>289.53513001270721</v>
      </c>
      <c r="X22">
        <f t="shared" si="12"/>
        <v>30.144846803438757</v>
      </c>
      <c r="Y22">
        <f t="shared" si="13"/>
        <v>29.935300000000002</v>
      </c>
      <c r="Z22">
        <f t="shared" si="14"/>
        <v>4.2446422158676871</v>
      </c>
      <c r="AA22">
        <f t="shared" si="15"/>
        <v>65.553650300397479</v>
      </c>
      <c r="AB22">
        <f t="shared" si="16"/>
        <v>2.86490365509672</v>
      </c>
      <c r="AC22">
        <f t="shared" si="17"/>
        <v>4.370319031767707</v>
      </c>
      <c r="AD22">
        <f t="shared" si="18"/>
        <v>1.3797385607709671</v>
      </c>
      <c r="AE22">
        <f t="shared" si="19"/>
        <v>-340.22528061798079</v>
      </c>
      <c r="AF22">
        <f t="shared" si="20"/>
        <v>80.07207463543584</v>
      </c>
      <c r="AG22">
        <f t="shared" si="21"/>
        <v>6.109445704094691</v>
      </c>
      <c r="AH22">
        <f t="shared" si="22"/>
        <v>35.491369734256963</v>
      </c>
      <c r="AI22">
        <v>0</v>
      </c>
      <c r="AJ22">
        <v>0</v>
      </c>
      <c r="AK22">
        <f t="shared" si="23"/>
        <v>1</v>
      </c>
      <c r="AL22">
        <f t="shared" si="24"/>
        <v>0</v>
      </c>
      <c r="AM22">
        <f t="shared" si="25"/>
        <v>51978.392611868127</v>
      </c>
      <c r="AN22" t="s">
        <v>418</v>
      </c>
      <c r="AO22">
        <v>8197.4</v>
      </c>
      <c r="AP22">
        <v>619.92999999999995</v>
      </c>
      <c r="AQ22">
        <v>3131.443117258741</v>
      </c>
      <c r="AR22">
        <f t="shared" si="26"/>
        <v>0.80203057287443702</v>
      </c>
      <c r="AS22">
        <v>-1.0448500102641549</v>
      </c>
      <c r="AT22" t="s">
        <v>449</v>
      </c>
      <c r="AU22">
        <v>8189.96</v>
      </c>
      <c r="AV22">
        <v>808.59136000000001</v>
      </c>
      <c r="AW22">
        <v>879.9732495094886</v>
      </c>
      <c r="AX22">
        <f t="shared" si="27"/>
        <v>8.1118249389146801E-2</v>
      </c>
      <c r="AY22">
        <v>0.5</v>
      </c>
      <c r="AZ22">
        <f t="shared" si="28"/>
        <v>1513.0170000065841</v>
      </c>
      <c r="BA22">
        <f t="shared" si="29"/>
        <v>5.5708911189147727</v>
      </c>
      <c r="BB22">
        <f t="shared" si="30"/>
        <v>61.366645168276406</v>
      </c>
      <c r="BC22">
        <f t="shared" si="31"/>
        <v>4.3725491049671867E-3</v>
      </c>
      <c r="BD22">
        <f t="shared" si="32"/>
        <v>2.5585662621042835</v>
      </c>
      <c r="BE22">
        <f t="shared" si="33"/>
        <v>411.49859630867422</v>
      </c>
      <c r="BF22" t="s">
        <v>450</v>
      </c>
      <c r="BG22">
        <v>637.61</v>
      </c>
      <c r="BH22">
        <f t="shared" si="34"/>
        <v>637.61</v>
      </c>
      <c r="BI22">
        <f t="shared" si="35"/>
        <v>0.27542115586421045</v>
      </c>
      <c r="BJ22">
        <f t="shared" si="36"/>
        <v>0.29452439531965413</v>
      </c>
      <c r="BK22">
        <f t="shared" si="37"/>
        <v>0.90281496871935929</v>
      </c>
      <c r="BL22">
        <f t="shared" si="38"/>
        <v>0.27450006737007782</v>
      </c>
      <c r="BM22">
        <f t="shared" si="39"/>
        <v>0.89645952962677733</v>
      </c>
      <c r="BN22">
        <f t="shared" si="40"/>
        <v>0.23224549381750093</v>
      </c>
      <c r="BO22">
        <f t="shared" si="41"/>
        <v>0.76775450618249907</v>
      </c>
      <c r="BP22">
        <v>13580</v>
      </c>
      <c r="BQ22">
        <v>290.00000000000011</v>
      </c>
      <c r="BR22">
        <v>854.15</v>
      </c>
      <c r="BS22">
        <v>145</v>
      </c>
      <c r="BT22">
        <v>8189.96</v>
      </c>
      <c r="BU22">
        <v>852.78</v>
      </c>
      <c r="BV22">
        <v>1.37</v>
      </c>
      <c r="BW22">
        <v>300.00000000000011</v>
      </c>
      <c r="BX22">
        <v>19.3</v>
      </c>
      <c r="BY22">
        <v>879.9732495094886</v>
      </c>
      <c r="BZ22">
        <v>2.9800316441881138</v>
      </c>
      <c r="CA22">
        <v>-22.269584104665402</v>
      </c>
      <c r="CB22">
        <v>2.238172715160009</v>
      </c>
      <c r="CC22">
        <v>0.77952828091361348</v>
      </c>
      <c r="CD22">
        <v>-4.2346700778642951E-3</v>
      </c>
      <c r="CE22">
        <v>289.99999999999989</v>
      </c>
      <c r="CF22">
        <v>851.51</v>
      </c>
      <c r="CG22">
        <v>645</v>
      </c>
      <c r="CH22">
        <v>8168.22</v>
      </c>
      <c r="CI22">
        <v>852.71</v>
      </c>
      <c r="CJ22">
        <v>-1.2</v>
      </c>
      <c r="CX22">
        <f t="shared" si="42"/>
        <v>1799.8</v>
      </c>
      <c r="CY22">
        <f t="shared" si="43"/>
        <v>1513.0170000065841</v>
      </c>
      <c r="CZ22">
        <f t="shared" si="44"/>
        <v>0.84065840649326817</v>
      </c>
      <c r="DA22">
        <f t="shared" si="45"/>
        <v>0.16087072453200757</v>
      </c>
      <c r="DB22">
        <v>6</v>
      </c>
      <c r="DC22">
        <v>0.5</v>
      </c>
      <c r="DD22" t="s">
        <v>421</v>
      </c>
      <c r="DE22">
        <v>2</v>
      </c>
      <c r="DF22">
        <v>1689000079.5</v>
      </c>
      <c r="DG22">
        <v>22.998200000000001</v>
      </c>
      <c r="DH22">
        <v>29.8949</v>
      </c>
      <c r="DI22">
        <v>28.846800000000002</v>
      </c>
      <c r="DJ22">
        <v>19.857700000000001</v>
      </c>
      <c r="DK22">
        <v>23.360399999999998</v>
      </c>
      <c r="DL22">
        <v>28.6922</v>
      </c>
      <c r="DM22">
        <v>500.09300000000002</v>
      </c>
      <c r="DN22">
        <v>99.214699999999993</v>
      </c>
      <c r="DO22">
        <v>9.9735400000000002E-2</v>
      </c>
      <c r="DP22">
        <v>30.443999999999999</v>
      </c>
      <c r="DQ22">
        <v>29.935300000000002</v>
      </c>
      <c r="DR22">
        <v>999.9</v>
      </c>
      <c r="DS22">
        <v>0</v>
      </c>
      <c r="DT22">
        <v>0</v>
      </c>
      <c r="DU22">
        <v>10022.5</v>
      </c>
      <c r="DV22">
        <v>0</v>
      </c>
      <c r="DW22">
        <v>1665.34</v>
      </c>
      <c r="DX22">
        <v>-6.8966900000000004</v>
      </c>
      <c r="DY22">
        <v>23.6813</v>
      </c>
      <c r="DZ22">
        <v>30.500499999999999</v>
      </c>
      <c r="EA22">
        <v>8.9891100000000002</v>
      </c>
      <c r="EB22">
        <v>29.8949</v>
      </c>
      <c r="EC22">
        <v>19.857700000000001</v>
      </c>
      <c r="ED22">
        <v>2.8620299999999999</v>
      </c>
      <c r="EE22">
        <v>1.97018</v>
      </c>
      <c r="EF22">
        <v>23.246300000000002</v>
      </c>
      <c r="EG22">
        <v>17.206700000000001</v>
      </c>
      <c r="EH22">
        <v>1799.8</v>
      </c>
      <c r="EI22">
        <v>0.97799100000000005</v>
      </c>
      <c r="EJ22">
        <v>2.20091E-2</v>
      </c>
      <c r="EK22">
        <v>0</v>
      </c>
      <c r="EL22">
        <v>808.29200000000003</v>
      </c>
      <c r="EM22">
        <v>4.9999900000000004</v>
      </c>
      <c r="EN22">
        <v>19623.8</v>
      </c>
      <c r="EO22">
        <v>15862</v>
      </c>
      <c r="EP22">
        <v>48.25</v>
      </c>
      <c r="EQ22">
        <v>49.125</v>
      </c>
      <c r="ER22">
        <v>48.625</v>
      </c>
      <c r="ES22">
        <v>49.125</v>
      </c>
      <c r="ET22">
        <v>50</v>
      </c>
      <c r="EU22">
        <v>1755.3</v>
      </c>
      <c r="EV22">
        <v>39.5</v>
      </c>
      <c r="EW22">
        <v>0</v>
      </c>
      <c r="EX22">
        <v>127.2000000476837</v>
      </c>
      <c r="EY22">
        <v>0</v>
      </c>
      <c r="EZ22">
        <v>808.59136000000001</v>
      </c>
      <c r="FA22">
        <v>-1.72961539756189</v>
      </c>
      <c r="FB22">
        <v>-217.79230773878589</v>
      </c>
      <c r="FC22">
        <v>19642.076000000001</v>
      </c>
      <c r="FD22">
        <v>15</v>
      </c>
      <c r="FE22">
        <v>1689000035</v>
      </c>
      <c r="FF22" t="s">
        <v>451</v>
      </c>
      <c r="FG22">
        <v>1689000019.5</v>
      </c>
      <c r="FH22">
        <v>1689000035</v>
      </c>
      <c r="FI22">
        <v>8</v>
      </c>
      <c r="FJ22">
        <v>4.4999999999999998E-2</v>
      </c>
      <c r="FK22">
        <v>-2E-3</v>
      </c>
      <c r="FL22">
        <v>-0.36299999999999999</v>
      </c>
      <c r="FM22">
        <v>0.112</v>
      </c>
      <c r="FN22">
        <v>30</v>
      </c>
      <c r="FO22">
        <v>20</v>
      </c>
      <c r="FP22">
        <v>0.14000000000000001</v>
      </c>
      <c r="FQ22">
        <v>0.01</v>
      </c>
      <c r="FR22">
        <v>5.6347110092831656</v>
      </c>
      <c r="FS22">
        <v>-0.52903787637064126</v>
      </c>
      <c r="FT22">
        <v>6.7919711248940931E-2</v>
      </c>
      <c r="FU22">
        <v>1</v>
      </c>
      <c r="FV22">
        <v>0.5979452033266397</v>
      </c>
      <c r="FW22">
        <v>2.1426404101673089E-3</v>
      </c>
      <c r="FX22">
        <v>1.2801205610819921E-3</v>
      </c>
      <c r="FY22">
        <v>1</v>
      </c>
      <c r="FZ22">
        <v>2</v>
      </c>
      <c r="GA22">
        <v>2</v>
      </c>
      <c r="GB22" t="s">
        <v>423</v>
      </c>
      <c r="GC22">
        <v>2.9605299999999999</v>
      </c>
      <c r="GD22">
        <v>2.74316</v>
      </c>
      <c r="GE22">
        <v>6.5222700000000002E-3</v>
      </c>
      <c r="GF22">
        <v>8.3104200000000007E-3</v>
      </c>
      <c r="GG22">
        <v>0.13197400000000001</v>
      </c>
      <c r="GH22">
        <v>0.101246</v>
      </c>
      <c r="GI22">
        <v>23384.400000000001</v>
      </c>
      <c r="GJ22">
        <v>21747.200000000001</v>
      </c>
      <c r="GK22">
        <v>23463.3</v>
      </c>
      <c r="GL22">
        <v>21972</v>
      </c>
      <c r="GM22">
        <v>28701.1</v>
      </c>
      <c r="GN22">
        <v>27525.3</v>
      </c>
      <c r="GO22">
        <v>37019.9</v>
      </c>
      <c r="GP22">
        <v>34158</v>
      </c>
      <c r="GQ22">
        <v>2.0231499999999998</v>
      </c>
      <c r="GR22">
        <v>1.90947</v>
      </c>
      <c r="GS22">
        <v>7.0519700000000005E-2</v>
      </c>
      <c r="GT22">
        <v>0</v>
      </c>
      <c r="GU22">
        <v>28.7865</v>
      </c>
      <c r="GV22">
        <v>999.9</v>
      </c>
      <c r="GW22">
        <v>49</v>
      </c>
      <c r="GX22">
        <v>35.9</v>
      </c>
      <c r="GY22">
        <v>29.316500000000001</v>
      </c>
      <c r="GZ22">
        <v>59.8491</v>
      </c>
      <c r="HA22">
        <v>38.4255</v>
      </c>
      <c r="HB22">
        <v>1</v>
      </c>
      <c r="HC22">
        <v>0.33979399999999998</v>
      </c>
      <c r="HD22">
        <v>0.60829</v>
      </c>
      <c r="HE22">
        <v>20.117999999999999</v>
      </c>
      <c r="HF22">
        <v>5.26281</v>
      </c>
      <c r="HG22">
        <v>11.962</v>
      </c>
      <c r="HH22">
        <v>4.9797000000000002</v>
      </c>
      <c r="HI22">
        <v>3.2979799999999999</v>
      </c>
      <c r="HJ22">
        <v>9999</v>
      </c>
      <c r="HK22">
        <v>9999</v>
      </c>
      <c r="HL22">
        <v>9999</v>
      </c>
      <c r="HM22">
        <v>999.9</v>
      </c>
      <c r="HN22">
        <v>1.8641799999999999</v>
      </c>
      <c r="HO22">
        <v>1.86019</v>
      </c>
      <c r="HP22">
        <v>1.8668800000000001</v>
      </c>
      <c r="HQ22">
        <v>1.86344</v>
      </c>
      <c r="HR22">
        <v>1.8621700000000001</v>
      </c>
      <c r="HS22">
        <v>1.8621799999999999</v>
      </c>
      <c r="HT22">
        <v>1.86341</v>
      </c>
      <c r="HU22">
        <v>1.8647</v>
      </c>
      <c r="HV22">
        <v>0</v>
      </c>
      <c r="HW22">
        <v>0</v>
      </c>
      <c r="HX22">
        <v>0</v>
      </c>
      <c r="HY22">
        <v>0</v>
      </c>
      <c r="HZ22" t="s">
        <v>424</v>
      </c>
      <c r="IA22" t="s">
        <v>425</v>
      </c>
      <c r="IB22" t="s">
        <v>426</v>
      </c>
      <c r="IC22" t="s">
        <v>426</v>
      </c>
      <c r="ID22" t="s">
        <v>426</v>
      </c>
      <c r="IE22" t="s">
        <v>426</v>
      </c>
      <c r="IF22">
        <v>0</v>
      </c>
      <c r="IG22">
        <v>100</v>
      </c>
      <c r="IH22">
        <v>100</v>
      </c>
      <c r="II22">
        <v>-0.36199999999999999</v>
      </c>
      <c r="IJ22">
        <v>0.15459999999999999</v>
      </c>
      <c r="IK22">
        <v>-0.36043259434541242</v>
      </c>
      <c r="IL22">
        <v>-8.3322953065825546E-5</v>
      </c>
      <c r="IM22">
        <v>2.3872336679552741E-7</v>
      </c>
      <c r="IN22">
        <v>-5.428329794194132E-11</v>
      </c>
      <c r="IO22">
        <v>0.15465156988744169</v>
      </c>
      <c r="IP22">
        <v>0</v>
      </c>
      <c r="IQ22">
        <v>0</v>
      </c>
      <c r="IR22">
        <v>0</v>
      </c>
      <c r="IS22">
        <v>2</v>
      </c>
      <c r="IT22">
        <v>2035</v>
      </c>
      <c r="IU22">
        <v>1</v>
      </c>
      <c r="IV22">
        <v>21</v>
      </c>
      <c r="IW22">
        <v>1</v>
      </c>
      <c r="IX22">
        <v>0.7</v>
      </c>
      <c r="IY22">
        <v>0.220947</v>
      </c>
      <c r="IZ22">
        <v>2.7075200000000001</v>
      </c>
      <c r="JA22">
        <v>1.4514199999999999</v>
      </c>
      <c r="JB22">
        <v>2.2875999999999999</v>
      </c>
      <c r="JC22">
        <v>1.5942400000000001</v>
      </c>
      <c r="JD22">
        <v>2.3754900000000001</v>
      </c>
      <c r="JE22">
        <v>42.191499999999998</v>
      </c>
      <c r="JF22">
        <v>23.9299</v>
      </c>
      <c r="JG22">
        <v>18</v>
      </c>
      <c r="JH22">
        <v>510.74599999999998</v>
      </c>
      <c r="JI22">
        <v>478.51</v>
      </c>
      <c r="JJ22">
        <v>28.6114</v>
      </c>
      <c r="JK22">
        <v>31.496600000000001</v>
      </c>
      <c r="JL22">
        <v>29.9999</v>
      </c>
      <c r="JM22">
        <v>31.491800000000001</v>
      </c>
      <c r="JN22">
        <v>31.494599999999998</v>
      </c>
      <c r="JO22">
        <v>4.3837799999999998</v>
      </c>
      <c r="JP22">
        <v>38.816499999999998</v>
      </c>
      <c r="JQ22">
        <v>37.4893</v>
      </c>
      <c r="JR22">
        <v>28.605799999999999</v>
      </c>
      <c r="JS22">
        <v>30</v>
      </c>
      <c r="JT22">
        <v>19.744399999999999</v>
      </c>
      <c r="JU22">
        <v>99.225700000000003</v>
      </c>
      <c r="JV22">
        <v>98.564099999999996</v>
      </c>
    </row>
    <row r="23" spans="1:282" x14ac:dyDescent="0.25">
      <c r="A23">
        <v>7</v>
      </c>
      <c r="B23">
        <v>1689000193.5</v>
      </c>
      <c r="C23">
        <v>852.90000009536743</v>
      </c>
      <c r="D23" t="s">
        <v>452</v>
      </c>
      <c r="E23" t="s">
        <v>453</v>
      </c>
      <c r="F23" t="s">
        <v>414</v>
      </c>
      <c r="G23" t="s">
        <v>415</v>
      </c>
      <c r="H23" t="s">
        <v>416</v>
      </c>
      <c r="I23" t="s">
        <v>417</v>
      </c>
      <c r="J23" t="s">
        <v>416</v>
      </c>
      <c r="K23">
        <v>1689000193.5</v>
      </c>
      <c r="L23">
        <f t="shared" si="0"/>
        <v>7.7383380555038081E-3</v>
      </c>
      <c r="M23">
        <f t="shared" si="1"/>
        <v>7.7383380555038084</v>
      </c>
      <c r="N23">
        <f t="shared" si="2"/>
        <v>1.913466259533471</v>
      </c>
      <c r="O23">
        <f t="shared" si="3"/>
        <v>7.7753500000000004</v>
      </c>
      <c r="P23">
        <f t="shared" si="4"/>
        <v>2.091704042731064</v>
      </c>
      <c r="Q23">
        <f t="shared" si="5"/>
        <v>0.20774105735001291</v>
      </c>
      <c r="R23">
        <f t="shared" si="6"/>
        <v>0.77222178533318508</v>
      </c>
      <c r="S23">
        <f t="shared" si="7"/>
        <v>0.60305459560538588</v>
      </c>
      <c r="T23">
        <f t="shared" si="8"/>
        <v>2.9163568766103292</v>
      </c>
      <c r="U23">
        <f t="shared" si="9"/>
        <v>0.54138401596496044</v>
      </c>
      <c r="V23">
        <f t="shared" si="10"/>
        <v>0.34337880545405225</v>
      </c>
      <c r="W23">
        <f t="shared" si="11"/>
        <v>289.56212101269625</v>
      </c>
      <c r="X23">
        <f t="shared" si="12"/>
        <v>30.108166835499159</v>
      </c>
      <c r="Y23">
        <f t="shared" si="13"/>
        <v>29.929300000000001</v>
      </c>
      <c r="Z23">
        <f t="shared" si="14"/>
        <v>4.2431788843039016</v>
      </c>
      <c r="AA23">
        <f t="shared" si="15"/>
        <v>65.886729535901353</v>
      </c>
      <c r="AB23">
        <f t="shared" si="16"/>
        <v>2.8744525426699297</v>
      </c>
      <c r="AC23">
        <f t="shared" si="17"/>
        <v>4.3627185063172007</v>
      </c>
      <c r="AD23">
        <f t="shared" si="18"/>
        <v>1.3687263416339719</v>
      </c>
      <c r="AE23">
        <f t="shared" si="19"/>
        <v>-341.26070824771796</v>
      </c>
      <c r="AF23">
        <f t="shared" si="20"/>
        <v>76.144857844578141</v>
      </c>
      <c r="AG23">
        <f t="shared" si="21"/>
        <v>5.8153559161684045</v>
      </c>
      <c r="AH23">
        <f t="shared" si="22"/>
        <v>30.26162652572485</v>
      </c>
      <c r="AI23">
        <v>0</v>
      </c>
      <c r="AJ23">
        <v>0</v>
      </c>
      <c r="AK23">
        <f t="shared" si="23"/>
        <v>1</v>
      </c>
      <c r="AL23">
        <f t="shared" si="24"/>
        <v>0</v>
      </c>
      <c r="AM23">
        <f t="shared" si="25"/>
        <v>51889.419627889409</v>
      </c>
      <c r="AN23" t="s">
        <v>418</v>
      </c>
      <c r="AO23">
        <v>8197.4</v>
      </c>
      <c r="AP23">
        <v>619.92999999999995</v>
      </c>
      <c r="AQ23">
        <v>3131.443117258741</v>
      </c>
      <c r="AR23">
        <f t="shared" si="26"/>
        <v>0.80203057287443702</v>
      </c>
      <c r="AS23">
        <v>-1.0448500102641549</v>
      </c>
      <c r="AT23" t="s">
        <v>454</v>
      </c>
      <c r="AU23">
        <v>8194.23</v>
      </c>
      <c r="AV23">
        <v>816.81239999999991</v>
      </c>
      <c r="AW23">
        <v>875.61859108075566</v>
      </c>
      <c r="AX23">
        <f t="shared" si="27"/>
        <v>6.7159596289718571E-2</v>
      </c>
      <c r="AY23">
        <v>0.5</v>
      </c>
      <c r="AZ23">
        <f t="shared" si="28"/>
        <v>1513.1673000065782</v>
      </c>
      <c r="BA23">
        <f t="shared" si="29"/>
        <v>1.913466259533471</v>
      </c>
      <c r="BB23">
        <f t="shared" si="30"/>
        <v>50.811852493622631</v>
      </c>
      <c r="BC23">
        <f t="shared" si="31"/>
        <v>1.9550490350834075E-3</v>
      </c>
      <c r="BD23">
        <f t="shared" si="32"/>
        <v>2.5762638540984764</v>
      </c>
      <c r="BE23">
        <f t="shared" si="33"/>
        <v>410.54382900506812</v>
      </c>
      <c r="BF23" t="s">
        <v>455</v>
      </c>
      <c r="BG23">
        <v>663.99</v>
      </c>
      <c r="BH23">
        <f t="shared" si="34"/>
        <v>663.99</v>
      </c>
      <c r="BI23">
        <f t="shared" si="35"/>
        <v>0.24169038121900477</v>
      </c>
      <c r="BJ23">
        <f t="shared" si="36"/>
        <v>0.27787451015215525</v>
      </c>
      <c r="BK23">
        <f t="shared" si="37"/>
        <v>0.91423197077159934</v>
      </c>
      <c r="BL23">
        <f t="shared" si="38"/>
        <v>0.22999145496555468</v>
      </c>
      <c r="BM23">
        <f t="shared" si="39"/>
        <v>0.89819340805998493</v>
      </c>
      <c r="BN23">
        <f t="shared" si="40"/>
        <v>0.22588527793643876</v>
      </c>
      <c r="BO23">
        <f t="shared" si="41"/>
        <v>0.77411472206356124</v>
      </c>
      <c r="BP23">
        <v>13582</v>
      </c>
      <c r="BQ23">
        <v>290.00000000000011</v>
      </c>
      <c r="BR23">
        <v>853.67</v>
      </c>
      <c r="BS23">
        <v>115</v>
      </c>
      <c r="BT23">
        <v>8194.23</v>
      </c>
      <c r="BU23">
        <v>851.32</v>
      </c>
      <c r="BV23">
        <v>2.35</v>
      </c>
      <c r="BW23">
        <v>300.00000000000011</v>
      </c>
      <c r="BX23">
        <v>19.3</v>
      </c>
      <c r="BY23">
        <v>875.61859108075566</v>
      </c>
      <c r="BZ23">
        <v>2.0069917263065919</v>
      </c>
      <c r="CA23">
        <v>-19.912178182282791</v>
      </c>
      <c r="CB23">
        <v>1.507578597311751</v>
      </c>
      <c r="CC23">
        <v>0.86169606742004734</v>
      </c>
      <c r="CD23">
        <v>-4.2351214682981178E-3</v>
      </c>
      <c r="CE23">
        <v>289.99999999999989</v>
      </c>
      <c r="CF23">
        <v>849.57</v>
      </c>
      <c r="CG23">
        <v>615</v>
      </c>
      <c r="CH23">
        <v>8170.41</v>
      </c>
      <c r="CI23">
        <v>851.25</v>
      </c>
      <c r="CJ23">
        <v>-1.68</v>
      </c>
      <c r="CX23">
        <f t="shared" si="42"/>
        <v>1799.98</v>
      </c>
      <c r="CY23">
        <f t="shared" si="43"/>
        <v>1513.1673000065782</v>
      </c>
      <c r="CZ23">
        <f t="shared" si="44"/>
        <v>0.84065784064632842</v>
      </c>
      <c r="DA23">
        <f t="shared" si="45"/>
        <v>0.16086963244741401</v>
      </c>
      <c r="DB23">
        <v>6</v>
      </c>
      <c r="DC23">
        <v>0.5</v>
      </c>
      <c r="DD23" t="s">
        <v>421</v>
      </c>
      <c r="DE23">
        <v>2</v>
      </c>
      <c r="DF23">
        <v>1689000193.5</v>
      </c>
      <c r="DG23">
        <v>7.7753500000000004</v>
      </c>
      <c r="DH23">
        <v>10.1432</v>
      </c>
      <c r="DI23">
        <v>28.942299999999999</v>
      </c>
      <c r="DJ23">
        <v>19.927</v>
      </c>
      <c r="DK23">
        <v>8.1491299999999995</v>
      </c>
      <c r="DL23">
        <v>28.786300000000001</v>
      </c>
      <c r="DM23">
        <v>500.108</v>
      </c>
      <c r="DN23">
        <v>99.219099999999997</v>
      </c>
      <c r="DO23">
        <v>9.7559099999999996E-2</v>
      </c>
      <c r="DP23">
        <v>30.413599999999999</v>
      </c>
      <c r="DQ23">
        <v>29.929300000000001</v>
      </c>
      <c r="DR23">
        <v>999.9</v>
      </c>
      <c r="DS23">
        <v>0</v>
      </c>
      <c r="DT23">
        <v>0</v>
      </c>
      <c r="DU23">
        <v>10003.1</v>
      </c>
      <c r="DV23">
        <v>0</v>
      </c>
      <c r="DW23">
        <v>1674.57</v>
      </c>
      <c r="DX23">
        <v>-2.3678400000000002</v>
      </c>
      <c r="DY23">
        <v>8.0070899999999998</v>
      </c>
      <c r="DZ23">
        <v>10.349399999999999</v>
      </c>
      <c r="EA23">
        <v>9.0152800000000006</v>
      </c>
      <c r="EB23">
        <v>10.1432</v>
      </c>
      <c r="EC23">
        <v>19.927</v>
      </c>
      <c r="ED23">
        <v>2.8716200000000001</v>
      </c>
      <c r="EE23">
        <v>1.9771399999999999</v>
      </c>
      <c r="EF23">
        <v>23.3017</v>
      </c>
      <c r="EG23">
        <v>17.2624</v>
      </c>
      <c r="EH23">
        <v>1799.98</v>
      </c>
      <c r="EI23">
        <v>0.97800900000000002</v>
      </c>
      <c r="EJ23">
        <v>2.1991299999999998E-2</v>
      </c>
      <c r="EK23">
        <v>0</v>
      </c>
      <c r="EL23">
        <v>817.03399999999999</v>
      </c>
      <c r="EM23">
        <v>4.9999900000000004</v>
      </c>
      <c r="EN23">
        <v>19754.8</v>
      </c>
      <c r="EO23">
        <v>15863.7</v>
      </c>
      <c r="EP23">
        <v>48.125</v>
      </c>
      <c r="EQ23">
        <v>49</v>
      </c>
      <c r="ER23">
        <v>48.5</v>
      </c>
      <c r="ES23">
        <v>49</v>
      </c>
      <c r="ET23">
        <v>49.875</v>
      </c>
      <c r="EU23">
        <v>1755.51</v>
      </c>
      <c r="EV23">
        <v>39.47</v>
      </c>
      <c r="EW23">
        <v>0</v>
      </c>
      <c r="EX23">
        <v>111.7999999523163</v>
      </c>
      <c r="EY23">
        <v>0</v>
      </c>
      <c r="EZ23">
        <v>816.81239999999991</v>
      </c>
      <c r="FA23">
        <v>-0.95961539908060467</v>
      </c>
      <c r="FB23">
        <v>38.75384673773258</v>
      </c>
      <c r="FC23">
        <v>19748.36</v>
      </c>
      <c r="FD23">
        <v>15</v>
      </c>
      <c r="FE23">
        <v>1689000161.5</v>
      </c>
      <c r="FF23" t="s">
        <v>456</v>
      </c>
      <c r="FG23">
        <v>1689000143</v>
      </c>
      <c r="FH23">
        <v>1689000161.5</v>
      </c>
      <c r="FI23">
        <v>9</v>
      </c>
      <c r="FJ23">
        <v>-1.2999999999999999E-2</v>
      </c>
      <c r="FK23">
        <v>1E-3</v>
      </c>
      <c r="FL23">
        <v>-0.374</v>
      </c>
      <c r="FM23">
        <v>0.111</v>
      </c>
      <c r="FN23">
        <v>10</v>
      </c>
      <c r="FO23">
        <v>20</v>
      </c>
      <c r="FP23">
        <v>0.16</v>
      </c>
      <c r="FQ23">
        <v>0.01</v>
      </c>
      <c r="FR23">
        <v>1.9875378587018899</v>
      </c>
      <c r="FS23">
        <v>-0.59219244467568133</v>
      </c>
      <c r="FT23">
        <v>4.975549996985433E-2</v>
      </c>
      <c r="FU23">
        <v>1</v>
      </c>
      <c r="FV23">
        <v>0.59666131916989495</v>
      </c>
      <c r="FW23">
        <v>3.2051480335095868E-2</v>
      </c>
      <c r="FX23">
        <v>2.4601835575830812E-3</v>
      </c>
      <c r="FY23">
        <v>1</v>
      </c>
      <c r="FZ23">
        <v>2</v>
      </c>
      <c r="GA23">
        <v>2</v>
      </c>
      <c r="GB23" t="s">
        <v>423</v>
      </c>
      <c r="GC23">
        <v>2.96055</v>
      </c>
      <c r="GD23">
        <v>2.7408199999999998</v>
      </c>
      <c r="GE23">
        <v>2.2878600000000001E-3</v>
      </c>
      <c r="GF23">
        <v>2.8399900000000001E-3</v>
      </c>
      <c r="GG23">
        <v>0.13227</v>
      </c>
      <c r="GH23">
        <v>0.101492</v>
      </c>
      <c r="GI23">
        <v>23483.200000000001</v>
      </c>
      <c r="GJ23">
        <v>21866.6</v>
      </c>
      <c r="GK23">
        <v>23462.6</v>
      </c>
      <c r="GL23">
        <v>21971.5</v>
      </c>
      <c r="GM23">
        <v>28690.3</v>
      </c>
      <c r="GN23">
        <v>27517.1</v>
      </c>
      <c r="GO23">
        <v>37019.199999999997</v>
      </c>
      <c r="GP23">
        <v>34157.699999999997</v>
      </c>
      <c r="GQ23">
        <v>2.0226199999999999</v>
      </c>
      <c r="GR23">
        <v>1.90642</v>
      </c>
      <c r="GS23">
        <v>6.9234500000000004E-2</v>
      </c>
      <c r="GT23">
        <v>0</v>
      </c>
      <c r="GU23">
        <v>28.801400000000001</v>
      </c>
      <c r="GV23">
        <v>999.9</v>
      </c>
      <c r="GW23">
        <v>47.6</v>
      </c>
      <c r="GX23">
        <v>36.1</v>
      </c>
      <c r="GY23">
        <v>28.796099999999999</v>
      </c>
      <c r="GZ23">
        <v>60.359099999999998</v>
      </c>
      <c r="HA23">
        <v>38.269199999999998</v>
      </c>
      <c r="HB23">
        <v>1</v>
      </c>
      <c r="HC23">
        <v>0.34212100000000001</v>
      </c>
      <c r="HD23">
        <v>0.105507</v>
      </c>
      <c r="HE23">
        <v>20.1175</v>
      </c>
      <c r="HF23">
        <v>5.25997</v>
      </c>
      <c r="HG23">
        <v>11.962</v>
      </c>
      <c r="HH23">
        <v>4.9791999999999996</v>
      </c>
      <c r="HI23">
        <v>3.29725</v>
      </c>
      <c r="HJ23">
        <v>9999</v>
      </c>
      <c r="HK23">
        <v>9999</v>
      </c>
      <c r="HL23">
        <v>9999</v>
      </c>
      <c r="HM23">
        <v>999.9</v>
      </c>
      <c r="HN23">
        <v>1.8641799999999999</v>
      </c>
      <c r="HO23">
        <v>1.8602000000000001</v>
      </c>
      <c r="HP23">
        <v>1.86686</v>
      </c>
      <c r="HQ23">
        <v>1.8634299999999999</v>
      </c>
      <c r="HR23">
        <v>1.8621700000000001</v>
      </c>
      <c r="HS23">
        <v>1.8621799999999999</v>
      </c>
      <c r="HT23">
        <v>1.8633999999999999</v>
      </c>
      <c r="HU23">
        <v>1.8647100000000001</v>
      </c>
      <c r="HV23">
        <v>0</v>
      </c>
      <c r="HW23">
        <v>0</v>
      </c>
      <c r="HX23">
        <v>0</v>
      </c>
      <c r="HY23">
        <v>0</v>
      </c>
      <c r="HZ23" t="s">
        <v>424</v>
      </c>
      <c r="IA23" t="s">
        <v>425</v>
      </c>
      <c r="IB23" t="s">
        <v>426</v>
      </c>
      <c r="IC23" t="s">
        <v>426</v>
      </c>
      <c r="ID23" t="s">
        <v>426</v>
      </c>
      <c r="IE23" t="s">
        <v>426</v>
      </c>
      <c r="IF23">
        <v>0</v>
      </c>
      <c r="IG23">
        <v>100</v>
      </c>
      <c r="IH23">
        <v>100</v>
      </c>
      <c r="II23">
        <v>-0.374</v>
      </c>
      <c r="IJ23">
        <v>0.156</v>
      </c>
      <c r="IK23">
        <v>-0.37311151192614023</v>
      </c>
      <c r="IL23">
        <v>-8.3322953065825546E-5</v>
      </c>
      <c r="IM23">
        <v>2.3872336679552741E-7</v>
      </c>
      <c r="IN23">
        <v>-5.428329794194132E-11</v>
      </c>
      <c r="IO23">
        <v>0.15594242968423969</v>
      </c>
      <c r="IP23">
        <v>0</v>
      </c>
      <c r="IQ23">
        <v>0</v>
      </c>
      <c r="IR23">
        <v>0</v>
      </c>
      <c r="IS23">
        <v>2</v>
      </c>
      <c r="IT23">
        <v>2035</v>
      </c>
      <c r="IU23">
        <v>1</v>
      </c>
      <c r="IV23">
        <v>21</v>
      </c>
      <c r="IW23">
        <v>0.8</v>
      </c>
      <c r="IX23">
        <v>0.5</v>
      </c>
      <c r="IY23">
        <v>0.17333999999999999</v>
      </c>
      <c r="IZ23">
        <v>2.7355999999999998</v>
      </c>
      <c r="JA23">
        <v>1.4526399999999999</v>
      </c>
      <c r="JB23">
        <v>2.2863799999999999</v>
      </c>
      <c r="JC23">
        <v>1.5942400000000001</v>
      </c>
      <c r="JD23">
        <v>2.2814899999999998</v>
      </c>
      <c r="JE23">
        <v>42.403799999999997</v>
      </c>
      <c r="JF23">
        <v>23.921099999999999</v>
      </c>
      <c r="JG23">
        <v>18</v>
      </c>
      <c r="JH23">
        <v>510.62400000000002</v>
      </c>
      <c r="JI23">
        <v>476.50200000000001</v>
      </c>
      <c r="JJ23">
        <v>28.539400000000001</v>
      </c>
      <c r="JK23">
        <v>31.5076</v>
      </c>
      <c r="JL23">
        <v>29.998799999999999</v>
      </c>
      <c r="JM23">
        <v>31.516500000000001</v>
      </c>
      <c r="JN23">
        <v>31.519200000000001</v>
      </c>
      <c r="JO23">
        <v>3.4447100000000002</v>
      </c>
      <c r="JP23">
        <v>37.574399999999997</v>
      </c>
      <c r="JQ23">
        <v>34.896099999999997</v>
      </c>
      <c r="JR23">
        <v>28.641300000000001</v>
      </c>
      <c r="JS23">
        <v>10</v>
      </c>
      <c r="JT23">
        <v>19.7318</v>
      </c>
      <c r="JU23">
        <v>99.223299999999995</v>
      </c>
      <c r="JV23">
        <v>98.563000000000002</v>
      </c>
    </row>
    <row r="24" spans="1:282" x14ac:dyDescent="0.25">
      <c r="A24">
        <v>8</v>
      </c>
      <c r="B24">
        <v>1689000383</v>
      </c>
      <c r="C24">
        <v>1042.400000095367</v>
      </c>
      <c r="D24" t="s">
        <v>457</v>
      </c>
      <c r="E24" t="s">
        <v>458</v>
      </c>
      <c r="F24" t="s">
        <v>414</v>
      </c>
      <c r="G24" t="s">
        <v>415</v>
      </c>
      <c r="H24" t="s">
        <v>416</v>
      </c>
      <c r="I24" t="s">
        <v>417</v>
      </c>
      <c r="J24" t="s">
        <v>416</v>
      </c>
      <c r="K24">
        <v>1689000383</v>
      </c>
      <c r="L24">
        <f t="shared" si="0"/>
        <v>7.1332065507144528E-3</v>
      </c>
      <c r="M24">
        <f t="shared" si="1"/>
        <v>7.1332065507144531</v>
      </c>
      <c r="N24">
        <f t="shared" si="2"/>
        <v>50.702848157269436</v>
      </c>
      <c r="O24">
        <f t="shared" si="3"/>
        <v>336.197</v>
      </c>
      <c r="P24">
        <f t="shared" si="4"/>
        <v>163.45836433610532</v>
      </c>
      <c r="Q24">
        <f t="shared" si="5"/>
        <v>16.233880726859482</v>
      </c>
      <c r="R24">
        <f t="shared" si="6"/>
        <v>33.389432354196394</v>
      </c>
      <c r="S24">
        <f t="shared" si="7"/>
        <v>0.52766146292183036</v>
      </c>
      <c r="T24">
        <f t="shared" si="8"/>
        <v>2.9202212667653984</v>
      </c>
      <c r="U24">
        <f t="shared" si="9"/>
        <v>0.47984999291421437</v>
      </c>
      <c r="V24">
        <f t="shared" si="10"/>
        <v>0.30384007847776839</v>
      </c>
      <c r="W24">
        <f t="shared" si="11"/>
        <v>289.56110401269962</v>
      </c>
      <c r="X24">
        <f t="shared" si="12"/>
        <v>30.431821265827473</v>
      </c>
      <c r="Y24">
        <f t="shared" si="13"/>
        <v>30.087700000000002</v>
      </c>
      <c r="Z24">
        <f t="shared" si="14"/>
        <v>4.2819585984058248</v>
      </c>
      <c r="AA24">
        <f t="shared" si="15"/>
        <v>64.906065842714142</v>
      </c>
      <c r="AB24">
        <f t="shared" si="16"/>
        <v>2.8586654342445601</v>
      </c>
      <c r="AC24">
        <f t="shared" si="17"/>
        <v>4.4043116727671023</v>
      </c>
      <c r="AD24">
        <f t="shared" si="18"/>
        <v>1.4232931641612647</v>
      </c>
      <c r="AE24">
        <f t="shared" si="19"/>
        <v>-314.57440888650734</v>
      </c>
      <c r="AF24">
        <f t="shared" si="20"/>
        <v>77.410774224776773</v>
      </c>
      <c r="AG24">
        <f t="shared" si="21"/>
        <v>5.9136890936391637</v>
      </c>
      <c r="AH24">
        <f t="shared" si="22"/>
        <v>58.311158444608211</v>
      </c>
      <c r="AI24">
        <v>0</v>
      </c>
      <c r="AJ24">
        <v>0</v>
      </c>
      <c r="AK24">
        <f t="shared" si="23"/>
        <v>1</v>
      </c>
      <c r="AL24">
        <f t="shared" si="24"/>
        <v>0</v>
      </c>
      <c r="AM24">
        <f t="shared" si="25"/>
        <v>51970.875288294774</v>
      </c>
      <c r="AN24" t="s">
        <v>418</v>
      </c>
      <c r="AO24">
        <v>8197.4</v>
      </c>
      <c r="AP24">
        <v>619.92999999999995</v>
      </c>
      <c r="AQ24">
        <v>3131.443117258741</v>
      </c>
      <c r="AR24">
        <f t="shared" si="26"/>
        <v>0.80203057287443702</v>
      </c>
      <c r="AS24">
        <v>-1.0448500102641549</v>
      </c>
      <c r="AT24" t="s">
        <v>459</v>
      </c>
      <c r="AU24">
        <v>8181.98</v>
      </c>
      <c r="AV24">
        <v>762.0938799999999</v>
      </c>
      <c r="AW24">
        <v>1184.6286567802349</v>
      </c>
      <c r="AX24">
        <f t="shared" si="27"/>
        <v>0.35668120500196632</v>
      </c>
      <c r="AY24">
        <v>0.5</v>
      </c>
      <c r="AZ24">
        <f t="shared" si="28"/>
        <v>1513.1592000065802</v>
      </c>
      <c r="BA24">
        <f t="shared" si="29"/>
        <v>50.702848157269436</v>
      </c>
      <c r="BB24">
        <f t="shared" si="30"/>
        <v>269.8577234090792</v>
      </c>
      <c r="BC24">
        <f t="shared" si="31"/>
        <v>3.4198449288950272E-2</v>
      </c>
      <c r="BD24">
        <f t="shared" si="32"/>
        <v>1.6433963920557657</v>
      </c>
      <c r="BE24">
        <f t="shared" si="33"/>
        <v>467.75087990527959</v>
      </c>
      <c r="BF24" t="s">
        <v>460</v>
      </c>
      <c r="BG24">
        <v>606.30999999999995</v>
      </c>
      <c r="BH24">
        <f t="shared" si="34"/>
        <v>606.30999999999995</v>
      </c>
      <c r="BI24">
        <f t="shared" si="35"/>
        <v>0.48818560438346814</v>
      </c>
      <c r="BJ24">
        <f t="shared" si="36"/>
        <v>0.73062622453282033</v>
      </c>
      <c r="BK24">
        <f t="shared" si="37"/>
        <v>0.77097498233754436</v>
      </c>
      <c r="BL24">
        <f t="shared" si="38"/>
        <v>0.74824824126449763</v>
      </c>
      <c r="BM24">
        <f t="shared" si="39"/>
        <v>0.77515599942532232</v>
      </c>
      <c r="BN24">
        <f t="shared" si="40"/>
        <v>0.5812748242991983</v>
      </c>
      <c r="BO24">
        <f t="shared" si="41"/>
        <v>0.4187251757008017</v>
      </c>
      <c r="BP24">
        <v>13584</v>
      </c>
      <c r="BQ24">
        <v>290.00000000000011</v>
      </c>
      <c r="BR24">
        <v>1007.88</v>
      </c>
      <c r="BS24">
        <v>285</v>
      </c>
      <c r="BT24">
        <v>8181.98</v>
      </c>
      <c r="BU24">
        <v>1010.46</v>
      </c>
      <c r="BV24">
        <v>-2.58</v>
      </c>
      <c r="BW24">
        <v>300.00000000000011</v>
      </c>
      <c r="BX24">
        <v>19.3</v>
      </c>
      <c r="BY24">
        <v>1184.6286567802349</v>
      </c>
      <c r="BZ24">
        <v>4.9931024584534702</v>
      </c>
      <c r="CA24">
        <v>-142.5054447003765</v>
      </c>
      <c r="CB24">
        <v>3.7518210240966701</v>
      </c>
      <c r="CC24">
        <v>0.98096156124178302</v>
      </c>
      <c r="CD24">
        <v>-4.2368104560623022E-3</v>
      </c>
      <c r="CE24">
        <v>289.99999999999989</v>
      </c>
      <c r="CF24">
        <v>991.55</v>
      </c>
      <c r="CG24">
        <v>635</v>
      </c>
      <c r="CH24">
        <v>8172.32</v>
      </c>
      <c r="CI24">
        <v>1010.25</v>
      </c>
      <c r="CJ24">
        <v>-18.7</v>
      </c>
      <c r="CX24">
        <f t="shared" si="42"/>
        <v>1799.97</v>
      </c>
      <c r="CY24">
        <f t="shared" si="43"/>
        <v>1513.1592000065802</v>
      </c>
      <c r="CZ24">
        <f t="shared" si="44"/>
        <v>0.84065801097050519</v>
      </c>
      <c r="DA24">
        <f t="shared" si="45"/>
        <v>0.16086996117307489</v>
      </c>
      <c r="DB24">
        <v>6</v>
      </c>
      <c r="DC24">
        <v>0.5</v>
      </c>
      <c r="DD24" t="s">
        <v>421</v>
      </c>
      <c r="DE24">
        <v>2</v>
      </c>
      <c r="DF24">
        <v>1689000383</v>
      </c>
      <c r="DG24">
        <v>336.197</v>
      </c>
      <c r="DH24">
        <v>399.90699999999998</v>
      </c>
      <c r="DI24">
        <v>28.783799999999999</v>
      </c>
      <c r="DJ24">
        <v>20.471800000000002</v>
      </c>
      <c r="DK24">
        <v>336.64299999999997</v>
      </c>
      <c r="DL24">
        <v>28.625800000000002</v>
      </c>
      <c r="DM24">
        <v>500.08800000000002</v>
      </c>
      <c r="DN24">
        <v>99.215199999999996</v>
      </c>
      <c r="DO24">
        <v>9.9881200000000003E-2</v>
      </c>
      <c r="DP24">
        <v>30.5794</v>
      </c>
      <c r="DQ24">
        <v>30.087700000000002</v>
      </c>
      <c r="DR24">
        <v>999.9</v>
      </c>
      <c r="DS24">
        <v>0</v>
      </c>
      <c r="DT24">
        <v>0</v>
      </c>
      <c r="DU24">
        <v>10025.6</v>
      </c>
      <c r="DV24">
        <v>0</v>
      </c>
      <c r="DW24">
        <v>1690.38</v>
      </c>
      <c r="DX24">
        <v>-63.7104</v>
      </c>
      <c r="DY24">
        <v>346.161</v>
      </c>
      <c r="DZ24">
        <v>408.26499999999999</v>
      </c>
      <c r="EA24">
        <v>8.3120799999999999</v>
      </c>
      <c r="EB24">
        <v>399.90699999999998</v>
      </c>
      <c r="EC24">
        <v>20.471800000000002</v>
      </c>
      <c r="ED24">
        <v>2.8557999999999999</v>
      </c>
      <c r="EE24">
        <v>2.03111</v>
      </c>
      <c r="EF24">
        <v>23.2102</v>
      </c>
      <c r="EG24">
        <v>17.689</v>
      </c>
      <c r="EH24">
        <v>1799.97</v>
      </c>
      <c r="EI24">
        <v>0.97800600000000004</v>
      </c>
      <c r="EJ24">
        <v>2.1994400000000001E-2</v>
      </c>
      <c r="EK24">
        <v>0</v>
      </c>
      <c r="EL24">
        <v>762.20100000000002</v>
      </c>
      <c r="EM24">
        <v>4.9999900000000004</v>
      </c>
      <c r="EN24">
        <v>18744</v>
      </c>
      <c r="EO24">
        <v>15863.6</v>
      </c>
      <c r="EP24">
        <v>47.811999999999998</v>
      </c>
      <c r="EQ24">
        <v>48.686999999999998</v>
      </c>
      <c r="ER24">
        <v>48.186999999999998</v>
      </c>
      <c r="ES24">
        <v>48.686999999999998</v>
      </c>
      <c r="ET24">
        <v>49.625</v>
      </c>
      <c r="EU24">
        <v>1755.49</v>
      </c>
      <c r="EV24">
        <v>39.479999999999997</v>
      </c>
      <c r="EW24">
        <v>0</v>
      </c>
      <c r="EX24">
        <v>187.4000000953674</v>
      </c>
      <c r="EY24">
        <v>0</v>
      </c>
      <c r="EZ24">
        <v>762.0938799999999</v>
      </c>
      <c r="FA24">
        <v>-0.56207692474504833</v>
      </c>
      <c r="FB24">
        <v>-31.330769382621352</v>
      </c>
      <c r="FC24">
        <v>18788.504000000001</v>
      </c>
      <c r="FD24">
        <v>15</v>
      </c>
      <c r="FE24">
        <v>1689000274</v>
      </c>
      <c r="FF24" t="s">
        <v>461</v>
      </c>
      <c r="FG24">
        <v>1689000274</v>
      </c>
      <c r="FH24">
        <v>1689000273</v>
      </c>
      <c r="FI24">
        <v>10</v>
      </c>
      <c r="FJ24">
        <v>-7.0000000000000007E-2</v>
      </c>
      <c r="FK24">
        <v>2E-3</v>
      </c>
      <c r="FL24">
        <v>-0.442</v>
      </c>
      <c r="FM24">
        <v>0.109</v>
      </c>
      <c r="FN24">
        <v>400</v>
      </c>
      <c r="FO24">
        <v>20</v>
      </c>
      <c r="FP24">
        <v>0.05</v>
      </c>
      <c r="FQ24">
        <v>0.01</v>
      </c>
      <c r="FR24">
        <v>50.288967901920692</v>
      </c>
      <c r="FS24">
        <v>3.6173790704529449</v>
      </c>
      <c r="FT24">
        <v>0.26187972290398692</v>
      </c>
      <c r="FU24">
        <v>0</v>
      </c>
      <c r="FV24">
        <v>0.53262261129678268</v>
      </c>
      <c r="FW24">
        <v>-2.649915497859311E-2</v>
      </c>
      <c r="FX24">
        <v>1.977233667256344E-3</v>
      </c>
      <c r="FY24">
        <v>1</v>
      </c>
      <c r="FZ24">
        <v>1</v>
      </c>
      <c r="GA24">
        <v>2</v>
      </c>
      <c r="GB24" t="s">
        <v>462</v>
      </c>
      <c r="GC24">
        <v>2.96048</v>
      </c>
      <c r="GD24">
        <v>2.7433399999999999</v>
      </c>
      <c r="GE24">
        <v>7.8102000000000005E-2</v>
      </c>
      <c r="GF24">
        <v>8.9216699999999996E-2</v>
      </c>
      <c r="GG24">
        <v>0.13175500000000001</v>
      </c>
      <c r="GH24">
        <v>0.10342700000000001</v>
      </c>
      <c r="GI24">
        <v>21700.9</v>
      </c>
      <c r="GJ24">
        <v>19975.7</v>
      </c>
      <c r="GK24">
        <v>23463.599999999999</v>
      </c>
      <c r="GL24">
        <v>21973.9</v>
      </c>
      <c r="GM24">
        <v>28713.7</v>
      </c>
      <c r="GN24">
        <v>27465.5</v>
      </c>
      <c r="GO24">
        <v>37020.5</v>
      </c>
      <c r="GP24">
        <v>34161.9</v>
      </c>
      <c r="GQ24">
        <v>2.0223300000000002</v>
      </c>
      <c r="GR24">
        <v>1.9047499999999999</v>
      </c>
      <c r="GS24">
        <v>7.7225299999999997E-2</v>
      </c>
      <c r="GT24">
        <v>0</v>
      </c>
      <c r="GU24">
        <v>28.829799999999999</v>
      </c>
      <c r="GV24">
        <v>999.9</v>
      </c>
      <c r="GW24">
        <v>45.6</v>
      </c>
      <c r="GX24">
        <v>36.700000000000003</v>
      </c>
      <c r="GY24">
        <v>28.506799999999998</v>
      </c>
      <c r="GZ24">
        <v>60.199100000000001</v>
      </c>
      <c r="HA24">
        <v>39.038499999999999</v>
      </c>
      <c r="HB24">
        <v>1</v>
      </c>
      <c r="HC24">
        <v>0.34548000000000001</v>
      </c>
      <c r="HD24">
        <v>1.7036800000000001</v>
      </c>
      <c r="HE24">
        <v>20.1069</v>
      </c>
      <c r="HF24">
        <v>5.2631100000000002</v>
      </c>
      <c r="HG24">
        <v>11.962</v>
      </c>
      <c r="HH24">
        <v>4.9798499999999999</v>
      </c>
      <c r="HI24">
        <v>3.2979799999999999</v>
      </c>
      <c r="HJ24">
        <v>9999</v>
      </c>
      <c r="HK24">
        <v>9999</v>
      </c>
      <c r="HL24">
        <v>9999</v>
      </c>
      <c r="HM24">
        <v>999.9</v>
      </c>
      <c r="HN24">
        <v>1.8642300000000001</v>
      </c>
      <c r="HO24">
        <v>1.8602000000000001</v>
      </c>
      <c r="HP24">
        <v>1.8669</v>
      </c>
      <c r="HQ24">
        <v>1.8634999999999999</v>
      </c>
      <c r="HR24">
        <v>1.8621799999999999</v>
      </c>
      <c r="HS24">
        <v>1.8621799999999999</v>
      </c>
      <c r="HT24">
        <v>1.86344</v>
      </c>
      <c r="HU24">
        <v>1.8647800000000001</v>
      </c>
      <c r="HV24">
        <v>0</v>
      </c>
      <c r="HW24">
        <v>0</v>
      </c>
      <c r="HX24">
        <v>0</v>
      </c>
      <c r="HY24">
        <v>0</v>
      </c>
      <c r="HZ24" t="s">
        <v>424</v>
      </c>
      <c r="IA24" t="s">
        <v>425</v>
      </c>
      <c r="IB24" t="s">
        <v>426</v>
      </c>
      <c r="IC24" t="s">
        <v>426</v>
      </c>
      <c r="ID24" t="s">
        <v>426</v>
      </c>
      <c r="IE24" t="s">
        <v>426</v>
      </c>
      <c r="IF24">
        <v>0</v>
      </c>
      <c r="IG24">
        <v>100</v>
      </c>
      <c r="IH24">
        <v>100</v>
      </c>
      <c r="II24">
        <v>-0.44600000000000001</v>
      </c>
      <c r="IJ24">
        <v>0.158</v>
      </c>
      <c r="IK24">
        <v>-0.44336014272179941</v>
      </c>
      <c r="IL24">
        <v>-8.3322953065825546E-5</v>
      </c>
      <c r="IM24">
        <v>2.3872336679552741E-7</v>
      </c>
      <c r="IN24">
        <v>-5.428329794194132E-11</v>
      </c>
      <c r="IO24">
        <v>0.15801084355479131</v>
      </c>
      <c r="IP24">
        <v>0</v>
      </c>
      <c r="IQ24">
        <v>0</v>
      </c>
      <c r="IR24">
        <v>0</v>
      </c>
      <c r="IS24">
        <v>2</v>
      </c>
      <c r="IT24">
        <v>2035</v>
      </c>
      <c r="IU24">
        <v>1</v>
      </c>
      <c r="IV24">
        <v>21</v>
      </c>
      <c r="IW24">
        <v>1.8</v>
      </c>
      <c r="IX24">
        <v>1.8</v>
      </c>
      <c r="IY24">
        <v>1.0632299999999999</v>
      </c>
      <c r="IZ24">
        <v>2.67822</v>
      </c>
      <c r="JA24">
        <v>1.4514199999999999</v>
      </c>
      <c r="JB24">
        <v>2.2851599999999999</v>
      </c>
      <c r="JC24">
        <v>1.5942400000000001</v>
      </c>
      <c r="JD24">
        <v>2.31934</v>
      </c>
      <c r="JE24">
        <v>42.724200000000003</v>
      </c>
      <c r="JF24">
        <v>23.912400000000002</v>
      </c>
      <c r="JG24">
        <v>18</v>
      </c>
      <c r="JH24">
        <v>510.47800000000001</v>
      </c>
      <c r="JI24">
        <v>475.40300000000002</v>
      </c>
      <c r="JJ24">
        <v>28.319099999999999</v>
      </c>
      <c r="JK24">
        <v>31.504799999999999</v>
      </c>
      <c r="JL24">
        <v>30.000399999999999</v>
      </c>
      <c r="JM24">
        <v>31.521999999999998</v>
      </c>
      <c r="JN24">
        <v>31.532900000000001</v>
      </c>
      <c r="JO24">
        <v>21.2408</v>
      </c>
      <c r="JP24">
        <v>31.904199999999999</v>
      </c>
      <c r="JQ24">
        <v>29.957699999999999</v>
      </c>
      <c r="JR24">
        <v>28.218800000000002</v>
      </c>
      <c r="JS24">
        <v>400</v>
      </c>
      <c r="JT24">
        <v>20.584099999999999</v>
      </c>
      <c r="JU24">
        <v>99.227199999999996</v>
      </c>
      <c r="JV24">
        <v>98.5745</v>
      </c>
    </row>
    <row r="25" spans="1:282" x14ac:dyDescent="0.25">
      <c r="A25">
        <v>9</v>
      </c>
      <c r="B25">
        <v>1689000519</v>
      </c>
      <c r="C25">
        <v>1178.400000095367</v>
      </c>
      <c r="D25" t="s">
        <v>463</v>
      </c>
      <c r="E25" t="s">
        <v>464</v>
      </c>
      <c r="F25" t="s">
        <v>414</v>
      </c>
      <c r="G25" t="s">
        <v>415</v>
      </c>
      <c r="H25" t="s">
        <v>416</v>
      </c>
      <c r="I25" t="s">
        <v>417</v>
      </c>
      <c r="J25" t="s">
        <v>416</v>
      </c>
      <c r="K25">
        <v>1689000519</v>
      </c>
      <c r="L25">
        <f t="shared" si="0"/>
        <v>6.9368192178054598E-3</v>
      </c>
      <c r="M25">
        <f t="shared" si="1"/>
        <v>6.9368192178054597</v>
      </c>
      <c r="N25">
        <f t="shared" si="2"/>
        <v>55.525004621823243</v>
      </c>
      <c r="O25">
        <f t="shared" si="3"/>
        <v>330.81700000000001</v>
      </c>
      <c r="P25">
        <f t="shared" si="4"/>
        <v>139.62248652091159</v>
      </c>
      <c r="Q25">
        <f t="shared" si="5"/>
        <v>13.866737767924736</v>
      </c>
      <c r="R25">
        <f t="shared" si="6"/>
        <v>32.855399602731602</v>
      </c>
      <c r="S25">
        <f t="shared" si="7"/>
        <v>0.51851138281672615</v>
      </c>
      <c r="T25">
        <f t="shared" si="8"/>
        <v>2.9162236896173113</v>
      </c>
      <c r="U25">
        <f t="shared" si="9"/>
        <v>0.47220865282370239</v>
      </c>
      <c r="V25">
        <f t="shared" si="10"/>
        <v>0.29894519679055043</v>
      </c>
      <c r="W25">
        <f t="shared" si="11"/>
        <v>289.5403560127005</v>
      </c>
      <c r="X25">
        <f t="shared" si="12"/>
        <v>30.276359924529139</v>
      </c>
      <c r="Y25">
        <f t="shared" si="13"/>
        <v>29.944199999999999</v>
      </c>
      <c r="Z25">
        <f t="shared" si="14"/>
        <v>4.2468136344181699</v>
      </c>
      <c r="AA25">
        <f t="shared" si="15"/>
        <v>65.245886316720743</v>
      </c>
      <c r="AB25">
        <f t="shared" si="16"/>
        <v>2.8398994292320805</v>
      </c>
      <c r="AC25">
        <f t="shared" si="17"/>
        <v>4.3526107001542735</v>
      </c>
      <c r="AD25">
        <f t="shared" si="18"/>
        <v>1.4069142051860895</v>
      </c>
      <c r="AE25">
        <f t="shared" si="19"/>
        <v>-305.91372750522078</v>
      </c>
      <c r="AF25">
        <f t="shared" si="20"/>
        <v>67.431422771789087</v>
      </c>
      <c r="AG25">
        <f t="shared" si="21"/>
        <v>5.149473268757542</v>
      </c>
      <c r="AH25">
        <f t="shared" si="22"/>
        <v>56.20752454802637</v>
      </c>
      <c r="AI25">
        <v>0</v>
      </c>
      <c r="AJ25">
        <v>0</v>
      </c>
      <c r="AK25">
        <f t="shared" si="23"/>
        <v>1</v>
      </c>
      <c r="AL25">
        <f t="shared" si="24"/>
        <v>0</v>
      </c>
      <c r="AM25">
        <f t="shared" si="25"/>
        <v>51892.524603574398</v>
      </c>
      <c r="AN25" t="s">
        <v>418</v>
      </c>
      <c r="AO25">
        <v>8197.4</v>
      </c>
      <c r="AP25">
        <v>619.92999999999995</v>
      </c>
      <c r="AQ25">
        <v>3131.443117258741</v>
      </c>
      <c r="AR25">
        <f t="shared" si="26"/>
        <v>0.80203057287443702</v>
      </c>
      <c r="AS25">
        <v>-1.0448500102641549</v>
      </c>
      <c r="AT25" t="s">
        <v>465</v>
      </c>
      <c r="AU25">
        <v>8184.2</v>
      </c>
      <c r="AV25">
        <v>777.4298</v>
      </c>
      <c r="AW25">
        <v>1195.4161595323051</v>
      </c>
      <c r="AX25">
        <f t="shared" si="27"/>
        <v>0.34965761186952515</v>
      </c>
      <c r="AY25">
        <v>0.5</v>
      </c>
      <c r="AZ25">
        <f t="shared" si="28"/>
        <v>1513.0500000065804</v>
      </c>
      <c r="BA25">
        <f t="shared" si="29"/>
        <v>55.525004621823243</v>
      </c>
      <c r="BB25">
        <f t="shared" si="30"/>
        <v>264.52472482074296</v>
      </c>
      <c r="BC25">
        <f t="shared" si="31"/>
        <v>3.7387961159143036E-2</v>
      </c>
      <c r="BD25">
        <f t="shared" si="32"/>
        <v>1.6195422341319927</v>
      </c>
      <c r="BE25">
        <f t="shared" si="33"/>
        <v>469.42350654470215</v>
      </c>
      <c r="BF25" t="s">
        <v>466</v>
      </c>
      <c r="BG25">
        <v>610.37</v>
      </c>
      <c r="BH25">
        <f t="shared" si="34"/>
        <v>610.37</v>
      </c>
      <c r="BI25">
        <f t="shared" si="35"/>
        <v>0.48940793954232531</v>
      </c>
      <c r="BJ25">
        <f t="shared" si="36"/>
        <v>0.71445022366517164</v>
      </c>
      <c r="BK25">
        <f t="shared" si="37"/>
        <v>0.76793764705704048</v>
      </c>
      <c r="BL25">
        <f t="shared" si="38"/>
        <v>0.7263187004740489</v>
      </c>
      <c r="BM25">
        <f t="shared" si="39"/>
        <v>0.77086077887563054</v>
      </c>
      <c r="BN25">
        <f t="shared" si="40"/>
        <v>0.56092393553541531</v>
      </c>
      <c r="BO25">
        <f t="shared" si="41"/>
        <v>0.43907606446458469</v>
      </c>
      <c r="BP25">
        <v>13586</v>
      </c>
      <c r="BQ25">
        <v>290.00000000000011</v>
      </c>
      <c r="BR25">
        <v>1045.26</v>
      </c>
      <c r="BS25">
        <v>265</v>
      </c>
      <c r="BT25">
        <v>8184.2</v>
      </c>
      <c r="BU25">
        <v>1047.52</v>
      </c>
      <c r="BV25">
        <v>-2.2599999999999998</v>
      </c>
      <c r="BW25">
        <v>300.00000000000011</v>
      </c>
      <c r="BX25">
        <v>19.3</v>
      </c>
      <c r="BY25">
        <v>1195.4161595323051</v>
      </c>
      <c r="BZ25">
        <v>3.5057536029602181</v>
      </c>
      <c r="CA25">
        <v>-121.0371801210072</v>
      </c>
      <c r="CB25">
        <v>2.634505824991185</v>
      </c>
      <c r="CC25">
        <v>0.98690831427662573</v>
      </c>
      <c r="CD25">
        <v>-4.2371686318131317E-3</v>
      </c>
      <c r="CE25">
        <v>289.99999999999989</v>
      </c>
      <c r="CF25">
        <v>1037.55</v>
      </c>
      <c r="CG25">
        <v>695</v>
      </c>
      <c r="CH25">
        <v>8171.44</v>
      </c>
      <c r="CI25">
        <v>1047.29</v>
      </c>
      <c r="CJ25">
        <v>-9.74</v>
      </c>
      <c r="CX25">
        <f t="shared" si="42"/>
        <v>1799.84</v>
      </c>
      <c r="CY25">
        <f t="shared" si="43"/>
        <v>1513.0500000065804</v>
      </c>
      <c r="CZ25">
        <f t="shared" si="44"/>
        <v>0.84065805849774455</v>
      </c>
      <c r="DA25">
        <f t="shared" si="45"/>
        <v>0.16087005290064701</v>
      </c>
      <c r="DB25">
        <v>6</v>
      </c>
      <c r="DC25">
        <v>0.5</v>
      </c>
      <c r="DD25" t="s">
        <v>421</v>
      </c>
      <c r="DE25">
        <v>2</v>
      </c>
      <c r="DF25">
        <v>1689000519</v>
      </c>
      <c r="DG25">
        <v>330.81700000000001</v>
      </c>
      <c r="DH25">
        <v>400.18400000000003</v>
      </c>
      <c r="DI25">
        <v>28.5946</v>
      </c>
      <c r="DJ25">
        <v>20.510400000000001</v>
      </c>
      <c r="DK25">
        <v>331.26100000000002</v>
      </c>
      <c r="DL25">
        <v>28.433499999999999</v>
      </c>
      <c r="DM25">
        <v>500.12099999999998</v>
      </c>
      <c r="DN25">
        <v>99.217500000000001</v>
      </c>
      <c r="DO25">
        <v>9.8434800000000003E-2</v>
      </c>
      <c r="DP25">
        <v>30.373100000000001</v>
      </c>
      <c r="DQ25">
        <v>29.944199999999999</v>
      </c>
      <c r="DR25">
        <v>999.9</v>
      </c>
      <c r="DS25">
        <v>0</v>
      </c>
      <c r="DT25">
        <v>0</v>
      </c>
      <c r="DU25">
        <v>10002.5</v>
      </c>
      <c r="DV25">
        <v>0</v>
      </c>
      <c r="DW25">
        <v>1702.16</v>
      </c>
      <c r="DX25">
        <v>-69.366799999999998</v>
      </c>
      <c r="DY25">
        <v>340.55500000000001</v>
      </c>
      <c r="DZ25">
        <v>408.56299999999999</v>
      </c>
      <c r="EA25">
        <v>8.0841600000000007</v>
      </c>
      <c r="EB25">
        <v>400.18400000000003</v>
      </c>
      <c r="EC25">
        <v>20.510400000000001</v>
      </c>
      <c r="ED25">
        <v>2.8370799999999998</v>
      </c>
      <c r="EE25">
        <v>2.0349900000000001</v>
      </c>
      <c r="EF25">
        <v>23.101400000000002</v>
      </c>
      <c r="EG25">
        <v>17.719200000000001</v>
      </c>
      <c r="EH25">
        <v>1799.84</v>
      </c>
      <c r="EI25">
        <v>0.97800200000000004</v>
      </c>
      <c r="EJ25">
        <v>2.19975E-2</v>
      </c>
      <c r="EK25">
        <v>0</v>
      </c>
      <c r="EL25">
        <v>777.93100000000004</v>
      </c>
      <c r="EM25">
        <v>4.9999900000000004</v>
      </c>
      <c r="EN25">
        <v>19106</v>
      </c>
      <c r="EO25">
        <v>15862.4</v>
      </c>
      <c r="EP25">
        <v>47.75</v>
      </c>
      <c r="EQ25">
        <v>48.561999999999998</v>
      </c>
      <c r="ER25">
        <v>48.125</v>
      </c>
      <c r="ES25">
        <v>48.625</v>
      </c>
      <c r="ET25">
        <v>49.5</v>
      </c>
      <c r="EU25">
        <v>1755.36</v>
      </c>
      <c r="EV25">
        <v>39.479999999999997</v>
      </c>
      <c r="EW25">
        <v>0</v>
      </c>
      <c r="EX25">
        <v>134</v>
      </c>
      <c r="EY25">
        <v>0</v>
      </c>
      <c r="EZ25">
        <v>777.4298</v>
      </c>
      <c r="FA25">
        <v>4.7573077043750489</v>
      </c>
      <c r="FB25">
        <v>296.92307973250149</v>
      </c>
      <c r="FC25">
        <v>19076.831999999999</v>
      </c>
      <c r="FD25">
        <v>15</v>
      </c>
      <c r="FE25">
        <v>1689000486.5</v>
      </c>
      <c r="FF25" t="s">
        <v>467</v>
      </c>
      <c r="FG25">
        <v>1689000476.5</v>
      </c>
      <c r="FH25">
        <v>1689000486.5</v>
      </c>
      <c r="FI25">
        <v>11</v>
      </c>
      <c r="FJ25">
        <v>3.0000000000000001E-3</v>
      </c>
      <c r="FK25">
        <v>3.0000000000000001E-3</v>
      </c>
      <c r="FL25">
        <v>-0.439</v>
      </c>
      <c r="FM25">
        <v>0.13200000000000001</v>
      </c>
      <c r="FN25">
        <v>400</v>
      </c>
      <c r="FO25">
        <v>20</v>
      </c>
      <c r="FP25">
        <v>0.03</v>
      </c>
      <c r="FQ25">
        <v>0.01</v>
      </c>
      <c r="FR25">
        <v>55.467044206447817</v>
      </c>
      <c r="FS25">
        <v>-0.34146064613657801</v>
      </c>
      <c r="FT25">
        <v>6.7785613215198048E-2</v>
      </c>
      <c r="FU25">
        <v>1</v>
      </c>
      <c r="FV25">
        <v>0.52724838448121591</v>
      </c>
      <c r="FW25">
        <v>-3.4363867702435692E-2</v>
      </c>
      <c r="FX25">
        <v>3.6991448747197022E-3</v>
      </c>
      <c r="FY25">
        <v>1</v>
      </c>
      <c r="FZ25">
        <v>2</v>
      </c>
      <c r="GA25">
        <v>2</v>
      </c>
      <c r="GB25" t="s">
        <v>423</v>
      </c>
      <c r="GC25">
        <v>2.9605399999999999</v>
      </c>
      <c r="GD25">
        <v>2.7416800000000001</v>
      </c>
      <c r="GE25">
        <v>7.7102699999999996E-2</v>
      </c>
      <c r="GF25">
        <v>8.9263099999999998E-2</v>
      </c>
      <c r="GG25">
        <v>0.13114000000000001</v>
      </c>
      <c r="GH25">
        <v>0.103563</v>
      </c>
      <c r="GI25">
        <v>21724.9</v>
      </c>
      <c r="GJ25">
        <v>19975.900000000001</v>
      </c>
      <c r="GK25">
        <v>23464.2</v>
      </c>
      <c r="GL25">
        <v>21975.4</v>
      </c>
      <c r="GM25">
        <v>28735.5</v>
      </c>
      <c r="GN25">
        <v>27463.4</v>
      </c>
      <c r="GO25">
        <v>37021.699999999997</v>
      </c>
      <c r="GP25">
        <v>34164.5</v>
      </c>
      <c r="GQ25">
        <v>2.02122</v>
      </c>
      <c r="GR25">
        <v>1.9017299999999999</v>
      </c>
      <c r="GS25">
        <v>7.8193799999999994E-2</v>
      </c>
      <c r="GT25">
        <v>0</v>
      </c>
      <c r="GU25">
        <v>28.670300000000001</v>
      </c>
      <c r="GV25">
        <v>999.9</v>
      </c>
      <c r="GW25">
        <v>44.4</v>
      </c>
      <c r="GX25">
        <v>37</v>
      </c>
      <c r="GY25">
        <v>28.213899999999999</v>
      </c>
      <c r="GZ25">
        <v>60.219099999999997</v>
      </c>
      <c r="HA25">
        <v>38.441499999999998</v>
      </c>
      <c r="HB25">
        <v>1</v>
      </c>
      <c r="HC25">
        <v>0.34427799999999997</v>
      </c>
      <c r="HD25">
        <v>0.53003500000000003</v>
      </c>
      <c r="HE25">
        <v>20.117699999999999</v>
      </c>
      <c r="HF25">
        <v>5.26356</v>
      </c>
      <c r="HG25">
        <v>11.962</v>
      </c>
      <c r="HH25">
        <v>4.9797000000000002</v>
      </c>
      <c r="HI25">
        <v>3.2978999999999998</v>
      </c>
      <c r="HJ25">
        <v>9999</v>
      </c>
      <c r="HK25">
        <v>9999</v>
      </c>
      <c r="HL25">
        <v>9999</v>
      </c>
      <c r="HM25">
        <v>999.9</v>
      </c>
      <c r="HN25">
        <v>1.8642399999999999</v>
      </c>
      <c r="HO25">
        <v>1.8602000000000001</v>
      </c>
      <c r="HP25">
        <v>1.8668899999999999</v>
      </c>
      <c r="HQ25">
        <v>1.8634999999999999</v>
      </c>
      <c r="HR25">
        <v>1.8621799999999999</v>
      </c>
      <c r="HS25">
        <v>1.8621799999999999</v>
      </c>
      <c r="HT25">
        <v>1.86344</v>
      </c>
      <c r="HU25">
        <v>1.86476</v>
      </c>
      <c r="HV25">
        <v>0</v>
      </c>
      <c r="HW25">
        <v>0</v>
      </c>
      <c r="HX25">
        <v>0</v>
      </c>
      <c r="HY25">
        <v>0</v>
      </c>
      <c r="HZ25" t="s">
        <v>424</v>
      </c>
      <c r="IA25" t="s">
        <v>425</v>
      </c>
      <c r="IB25" t="s">
        <v>426</v>
      </c>
      <c r="IC25" t="s">
        <v>426</v>
      </c>
      <c r="ID25" t="s">
        <v>426</v>
      </c>
      <c r="IE25" t="s">
        <v>426</v>
      </c>
      <c r="IF25">
        <v>0</v>
      </c>
      <c r="IG25">
        <v>100</v>
      </c>
      <c r="IH25">
        <v>100</v>
      </c>
      <c r="II25">
        <v>-0.44400000000000001</v>
      </c>
      <c r="IJ25">
        <v>0.16109999999999999</v>
      </c>
      <c r="IK25">
        <v>-0.44067639784028201</v>
      </c>
      <c r="IL25">
        <v>-8.3322953065825546E-5</v>
      </c>
      <c r="IM25">
        <v>2.3872336679552741E-7</v>
      </c>
      <c r="IN25">
        <v>-5.428329794194132E-11</v>
      </c>
      <c r="IO25">
        <v>0.16100798597076299</v>
      </c>
      <c r="IP25">
        <v>0</v>
      </c>
      <c r="IQ25">
        <v>0</v>
      </c>
      <c r="IR25">
        <v>0</v>
      </c>
      <c r="IS25">
        <v>2</v>
      </c>
      <c r="IT25">
        <v>2035</v>
      </c>
      <c r="IU25">
        <v>1</v>
      </c>
      <c r="IV25">
        <v>21</v>
      </c>
      <c r="IW25">
        <v>0.7</v>
      </c>
      <c r="IX25">
        <v>0.5</v>
      </c>
      <c r="IY25">
        <v>1.0632299999999999</v>
      </c>
      <c r="IZ25">
        <v>2.6867700000000001</v>
      </c>
      <c r="JA25">
        <v>1.4526399999999999</v>
      </c>
      <c r="JB25">
        <v>2.2839399999999999</v>
      </c>
      <c r="JC25">
        <v>1.5942400000000001</v>
      </c>
      <c r="JD25">
        <v>2.3046899999999999</v>
      </c>
      <c r="JE25">
        <v>42.992899999999999</v>
      </c>
      <c r="JF25">
        <v>23.921099999999999</v>
      </c>
      <c r="JG25">
        <v>18</v>
      </c>
      <c r="JH25">
        <v>509.959</v>
      </c>
      <c r="JI25">
        <v>473.32499999999999</v>
      </c>
      <c r="JJ25">
        <v>28.765000000000001</v>
      </c>
      <c r="JK25">
        <v>31.5214</v>
      </c>
      <c r="JL25">
        <v>30.000299999999999</v>
      </c>
      <c r="JM25">
        <v>31.544</v>
      </c>
      <c r="JN25">
        <v>31.546500000000002</v>
      </c>
      <c r="JO25">
        <v>21.231000000000002</v>
      </c>
      <c r="JP25">
        <v>31.466699999999999</v>
      </c>
      <c r="JQ25">
        <v>27.246700000000001</v>
      </c>
      <c r="JR25">
        <v>28.775099999999998</v>
      </c>
      <c r="JS25">
        <v>400</v>
      </c>
      <c r="JT25">
        <v>20.549800000000001</v>
      </c>
      <c r="JU25">
        <v>99.230199999999996</v>
      </c>
      <c r="JV25">
        <v>98.581599999999995</v>
      </c>
    </row>
    <row r="26" spans="1:282" x14ac:dyDescent="0.25">
      <c r="A26">
        <v>10</v>
      </c>
      <c r="B26">
        <v>1689000634</v>
      </c>
      <c r="C26">
        <v>1293.400000095367</v>
      </c>
      <c r="D26" t="s">
        <v>468</v>
      </c>
      <c r="E26" t="s">
        <v>469</v>
      </c>
      <c r="F26" t="s">
        <v>414</v>
      </c>
      <c r="G26" t="s">
        <v>415</v>
      </c>
      <c r="H26" t="s">
        <v>416</v>
      </c>
      <c r="I26" t="s">
        <v>417</v>
      </c>
      <c r="J26" t="s">
        <v>416</v>
      </c>
      <c r="K26">
        <v>1689000634</v>
      </c>
      <c r="L26">
        <f t="shared" si="0"/>
        <v>6.7446410267444504E-3</v>
      </c>
      <c r="M26">
        <f t="shared" si="1"/>
        <v>6.7446410267444508</v>
      </c>
      <c r="N26">
        <f t="shared" si="2"/>
        <v>55.871765206635381</v>
      </c>
      <c r="O26">
        <f t="shared" si="3"/>
        <v>330.447</v>
      </c>
      <c r="P26">
        <f t="shared" si="4"/>
        <v>135.72185671409491</v>
      </c>
      <c r="Q26">
        <f t="shared" si="5"/>
        <v>13.479425251936233</v>
      </c>
      <c r="R26">
        <f t="shared" si="6"/>
        <v>32.8188527925141</v>
      </c>
      <c r="S26">
        <f t="shared" si="7"/>
        <v>0.51109823174674895</v>
      </c>
      <c r="T26">
        <f t="shared" si="8"/>
        <v>2.9166592603537564</v>
      </c>
      <c r="U26">
        <f t="shared" si="9"/>
        <v>0.46605457994886268</v>
      </c>
      <c r="V26">
        <f t="shared" si="10"/>
        <v>0.29499958267066578</v>
      </c>
      <c r="W26">
        <f t="shared" si="11"/>
        <v>289.59621601269805</v>
      </c>
      <c r="X26">
        <f t="shared" si="12"/>
        <v>30.222266843947498</v>
      </c>
      <c r="Y26">
        <f t="shared" si="13"/>
        <v>29.887699999999999</v>
      </c>
      <c r="Z26">
        <f t="shared" si="14"/>
        <v>4.2330452052416376</v>
      </c>
      <c r="AA26">
        <f t="shared" si="15"/>
        <v>65.801602153232437</v>
      </c>
      <c r="AB26">
        <f t="shared" si="16"/>
        <v>2.8469880809317401</v>
      </c>
      <c r="AC26">
        <f t="shared" si="17"/>
        <v>4.326624258026345</v>
      </c>
      <c r="AD26">
        <f t="shared" si="18"/>
        <v>1.3860571243098976</v>
      </c>
      <c r="AE26">
        <f t="shared" si="19"/>
        <v>-297.43866927943026</v>
      </c>
      <c r="AF26">
        <f t="shared" si="20"/>
        <v>59.893833577432694</v>
      </c>
      <c r="AG26">
        <f t="shared" si="21"/>
        <v>4.5695315290066771</v>
      </c>
      <c r="AH26">
        <f t="shared" si="22"/>
        <v>56.620911839707155</v>
      </c>
      <c r="AI26">
        <v>0</v>
      </c>
      <c r="AJ26">
        <v>0</v>
      </c>
      <c r="AK26">
        <f t="shared" si="23"/>
        <v>1</v>
      </c>
      <c r="AL26">
        <f t="shared" si="24"/>
        <v>0</v>
      </c>
      <c r="AM26">
        <f t="shared" si="25"/>
        <v>51922.796172689588</v>
      </c>
      <c r="AN26" t="s">
        <v>418</v>
      </c>
      <c r="AO26">
        <v>8197.4</v>
      </c>
      <c r="AP26">
        <v>619.92999999999995</v>
      </c>
      <c r="AQ26">
        <v>3131.443117258741</v>
      </c>
      <c r="AR26">
        <f t="shared" si="26"/>
        <v>0.80203057287443702</v>
      </c>
      <c r="AS26">
        <v>-1.0448500102641549</v>
      </c>
      <c r="AT26" t="s">
        <v>470</v>
      </c>
      <c r="AU26">
        <v>8183.36</v>
      </c>
      <c r="AV26">
        <v>781.78195999999991</v>
      </c>
      <c r="AW26">
        <v>1201.5603924953159</v>
      </c>
      <c r="AX26">
        <f t="shared" si="27"/>
        <v>0.34936107674417405</v>
      </c>
      <c r="AY26">
        <v>0.5</v>
      </c>
      <c r="AZ26">
        <f t="shared" si="28"/>
        <v>1513.3440000065793</v>
      </c>
      <c r="BA26">
        <f t="shared" si="29"/>
        <v>55.871765206635381</v>
      </c>
      <c r="BB26">
        <f t="shared" si="30"/>
        <v>264.35174466331694</v>
      </c>
      <c r="BC26">
        <f t="shared" si="31"/>
        <v>3.7609833069448907E-2</v>
      </c>
      <c r="BD26">
        <f t="shared" si="32"/>
        <v>1.6061470874182036</v>
      </c>
      <c r="BE26">
        <f t="shared" si="33"/>
        <v>470.36801437407502</v>
      </c>
      <c r="BF26" t="s">
        <v>471</v>
      </c>
      <c r="BG26">
        <v>615.15</v>
      </c>
      <c r="BH26">
        <f t="shared" si="34"/>
        <v>615.15</v>
      </c>
      <c r="BI26">
        <f t="shared" si="35"/>
        <v>0.488040714522472</v>
      </c>
      <c r="BJ26">
        <f t="shared" si="36"/>
        <v>0.71584412191103697</v>
      </c>
      <c r="BK26">
        <f t="shared" si="37"/>
        <v>0.76695465704164323</v>
      </c>
      <c r="BL26">
        <f t="shared" si="38"/>
        <v>0.7217271275910786</v>
      </c>
      <c r="BM26">
        <f t="shared" si="39"/>
        <v>0.76841435208980624</v>
      </c>
      <c r="BN26">
        <f t="shared" si="40"/>
        <v>0.56326640179005216</v>
      </c>
      <c r="BO26">
        <f t="shared" si="41"/>
        <v>0.43673359820994784</v>
      </c>
      <c r="BP26">
        <v>13588</v>
      </c>
      <c r="BQ26">
        <v>290.00000000000011</v>
      </c>
      <c r="BR26">
        <v>1057.08</v>
      </c>
      <c r="BS26">
        <v>295</v>
      </c>
      <c r="BT26">
        <v>8183.36</v>
      </c>
      <c r="BU26">
        <v>1059.47</v>
      </c>
      <c r="BV26">
        <v>-2.39</v>
      </c>
      <c r="BW26">
        <v>300.00000000000011</v>
      </c>
      <c r="BX26">
        <v>19.3</v>
      </c>
      <c r="BY26">
        <v>1201.5603924953159</v>
      </c>
      <c r="BZ26">
        <v>3.786806241764662</v>
      </c>
      <c r="CA26">
        <v>-116.27890678230381</v>
      </c>
      <c r="CB26">
        <v>2.8458969204287579</v>
      </c>
      <c r="CC26">
        <v>0.9835043001466196</v>
      </c>
      <c r="CD26">
        <v>-4.2373971078976591E-3</v>
      </c>
      <c r="CE26">
        <v>289.99999999999989</v>
      </c>
      <c r="CF26">
        <v>1051.95</v>
      </c>
      <c r="CG26">
        <v>675</v>
      </c>
      <c r="CH26">
        <v>8172.56</v>
      </c>
      <c r="CI26">
        <v>1059.28</v>
      </c>
      <c r="CJ26">
        <v>-7.33</v>
      </c>
      <c r="CX26">
        <f t="shared" si="42"/>
        <v>1800.19</v>
      </c>
      <c r="CY26">
        <f t="shared" si="43"/>
        <v>1513.3440000065793</v>
      </c>
      <c r="CZ26">
        <f t="shared" si="44"/>
        <v>0.84065793055542981</v>
      </c>
      <c r="DA26">
        <f t="shared" si="45"/>
        <v>0.16086980597197964</v>
      </c>
      <c r="DB26">
        <v>6</v>
      </c>
      <c r="DC26">
        <v>0.5</v>
      </c>
      <c r="DD26" t="s">
        <v>421</v>
      </c>
      <c r="DE26">
        <v>2</v>
      </c>
      <c r="DF26">
        <v>1689000634</v>
      </c>
      <c r="DG26">
        <v>330.447</v>
      </c>
      <c r="DH26">
        <v>400.15199999999999</v>
      </c>
      <c r="DI26">
        <v>28.665800000000001</v>
      </c>
      <c r="DJ26">
        <v>20.806000000000001</v>
      </c>
      <c r="DK26">
        <v>330.95499999999998</v>
      </c>
      <c r="DL26">
        <v>28.501999999999999</v>
      </c>
      <c r="DM26">
        <v>500.11200000000002</v>
      </c>
      <c r="DN26">
        <v>99.217399999999998</v>
      </c>
      <c r="DO26">
        <v>9.9140300000000001E-2</v>
      </c>
      <c r="DP26">
        <v>30.268599999999999</v>
      </c>
      <c r="DQ26">
        <v>29.887699999999999</v>
      </c>
      <c r="DR26">
        <v>999.9</v>
      </c>
      <c r="DS26">
        <v>0</v>
      </c>
      <c r="DT26">
        <v>0</v>
      </c>
      <c r="DU26">
        <v>10005</v>
      </c>
      <c r="DV26">
        <v>0</v>
      </c>
      <c r="DW26">
        <v>1708.95</v>
      </c>
      <c r="DX26">
        <v>-69.704700000000003</v>
      </c>
      <c r="DY26">
        <v>340.19900000000001</v>
      </c>
      <c r="DZ26">
        <v>408.654</v>
      </c>
      <c r="EA26">
        <v>7.8598400000000002</v>
      </c>
      <c r="EB26">
        <v>400.15199999999999</v>
      </c>
      <c r="EC26">
        <v>20.806000000000001</v>
      </c>
      <c r="ED26">
        <v>2.84415</v>
      </c>
      <c r="EE26">
        <v>2.0643199999999999</v>
      </c>
      <c r="EF26">
        <v>23.142600000000002</v>
      </c>
      <c r="EG26">
        <v>17.9465</v>
      </c>
      <c r="EH26">
        <v>1800.19</v>
      </c>
      <c r="EI26">
        <v>0.97800600000000004</v>
      </c>
      <c r="EJ26">
        <v>2.1994400000000001E-2</v>
      </c>
      <c r="EK26">
        <v>0</v>
      </c>
      <c r="EL26">
        <v>781.94500000000005</v>
      </c>
      <c r="EM26">
        <v>4.9999900000000004</v>
      </c>
      <c r="EN26">
        <v>19202.900000000001</v>
      </c>
      <c r="EO26">
        <v>15865.5</v>
      </c>
      <c r="EP26">
        <v>47.686999999999998</v>
      </c>
      <c r="EQ26">
        <v>48.5</v>
      </c>
      <c r="ER26">
        <v>48</v>
      </c>
      <c r="ES26">
        <v>48.5</v>
      </c>
      <c r="ET26">
        <v>49.5</v>
      </c>
      <c r="EU26">
        <v>1755.71</v>
      </c>
      <c r="EV26">
        <v>39.479999999999997</v>
      </c>
      <c r="EW26">
        <v>0</v>
      </c>
      <c r="EX26">
        <v>113</v>
      </c>
      <c r="EY26">
        <v>0</v>
      </c>
      <c r="EZ26">
        <v>781.78195999999991</v>
      </c>
      <c r="FA26">
        <v>1.3895384584830599</v>
      </c>
      <c r="FB26">
        <v>237.39230727291769</v>
      </c>
      <c r="FC26">
        <v>19162.768</v>
      </c>
      <c r="FD26">
        <v>15</v>
      </c>
      <c r="FE26">
        <v>1689000597.5</v>
      </c>
      <c r="FF26" t="s">
        <v>472</v>
      </c>
      <c r="FG26">
        <v>1689000591.5</v>
      </c>
      <c r="FH26">
        <v>1689000597.5</v>
      </c>
      <c r="FI26">
        <v>12</v>
      </c>
      <c r="FJ26">
        <v>-6.4000000000000001E-2</v>
      </c>
      <c r="FK26">
        <v>3.0000000000000001E-3</v>
      </c>
      <c r="FL26">
        <v>-0.503</v>
      </c>
      <c r="FM26">
        <v>0.14000000000000001</v>
      </c>
      <c r="FN26">
        <v>400</v>
      </c>
      <c r="FO26">
        <v>21</v>
      </c>
      <c r="FP26">
        <v>0.04</v>
      </c>
      <c r="FQ26">
        <v>0.02</v>
      </c>
      <c r="FR26">
        <v>55.984217473143801</v>
      </c>
      <c r="FS26">
        <v>-0.62977340423243189</v>
      </c>
      <c r="FT26">
        <v>5.9759184345437602E-2</v>
      </c>
      <c r="FU26">
        <v>1</v>
      </c>
      <c r="FV26">
        <v>0.51108356558493617</v>
      </c>
      <c r="FW26">
        <v>-4.0978722124657297E-3</v>
      </c>
      <c r="FX26">
        <v>1.4394295172266069E-3</v>
      </c>
      <c r="FY26">
        <v>1</v>
      </c>
      <c r="FZ26">
        <v>2</v>
      </c>
      <c r="GA26">
        <v>2</v>
      </c>
      <c r="GB26" t="s">
        <v>423</v>
      </c>
      <c r="GC26">
        <v>2.9605100000000002</v>
      </c>
      <c r="GD26">
        <v>2.74241</v>
      </c>
      <c r="GE26">
        <v>7.7044199999999993E-2</v>
      </c>
      <c r="GF26">
        <v>8.9256500000000003E-2</v>
      </c>
      <c r="GG26">
        <v>0.131355</v>
      </c>
      <c r="GH26">
        <v>0.104602</v>
      </c>
      <c r="GI26">
        <v>21725.1</v>
      </c>
      <c r="GJ26">
        <v>19975.400000000001</v>
      </c>
      <c r="GK26">
        <v>23463</v>
      </c>
      <c r="GL26">
        <v>21974.7</v>
      </c>
      <c r="GM26">
        <v>28726.799999999999</v>
      </c>
      <c r="GN26">
        <v>27430.6</v>
      </c>
      <c r="GO26">
        <v>37019.800000000003</v>
      </c>
      <c r="GP26">
        <v>34164</v>
      </c>
      <c r="GQ26">
        <v>2.0216500000000002</v>
      </c>
      <c r="GR26">
        <v>1.8994800000000001</v>
      </c>
      <c r="GS26">
        <v>6.9141400000000006E-2</v>
      </c>
      <c r="GT26">
        <v>0</v>
      </c>
      <c r="GU26">
        <v>28.761299999999999</v>
      </c>
      <c r="GV26">
        <v>999.9</v>
      </c>
      <c r="GW26">
        <v>43.6</v>
      </c>
      <c r="GX26">
        <v>37.299999999999997</v>
      </c>
      <c r="GY26">
        <v>28.1631</v>
      </c>
      <c r="GZ26">
        <v>60.269199999999998</v>
      </c>
      <c r="HA26">
        <v>38.906199999999998</v>
      </c>
      <c r="HB26">
        <v>1</v>
      </c>
      <c r="HC26">
        <v>0.34653499999999998</v>
      </c>
      <c r="HD26">
        <v>-8.8080099999999995E-2</v>
      </c>
      <c r="HE26">
        <v>20.117699999999999</v>
      </c>
      <c r="HF26">
        <v>5.2608699999999997</v>
      </c>
      <c r="HG26">
        <v>11.962</v>
      </c>
      <c r="HH26">
        <v>4.9798</v>
      </c>
      <c r="HI26">
        <v>3.298</v>
      </c>
      <c r="HJ26">
        <v>9999</v>
      </c>
      <c r="HK26">
        <v>9999</v>
      </c>
      <c r="HL26">
        <v>9999</v>
      </c>
      <c r="HM26">
        <v>999.9</v>
      </c>
      <c r="HN26">
        <v>1.8642099999999999</v>
      </c>
      <c r="HO26">
        <v>1.8602000000000001</v>
      </c>
      <c r="HP26">
        <v>1.8669</v>
      </c>
      <c r="HQ26">
        <v>1.8634900000000001</v>
      </c>
      <c r="HR26">
        <v>1.8621799999999999</v>
      </c>
      <c r="HS26">
        <v>1.86219</v>
      </c>
      <c r="HT26">
        <v>1.8634200000000001</v>
      </c>
      <c r="HU26">
        <v>1.86476</v>
      </c>
      <c r="HV26">
        <v>0</v>
      </c>
      <c r="HW26">
        <v>0</v>
      </c>
      <c r="HX26">
        <v>0</v>
      </c>
      <c r="HY26">
        <v>0</v>
      </c>
      <c r="HZ26" t="s">
        <v>424</v>
      </c>
      <c r="IA26" t="s">
        <v>425</v>
      </c>
      <c r="IB26" t="s">
        <v>426</v>
      </c>
      <c r="IC26" t="s">
        <v>426</v>
      </c>
      <c r="ID26" t="s">
        <v>426</v>
      </c>
      <c r="IE26" t="s">
        <v>426</v>
      </c>
      <c r="IF26">
        <v>0</v>
      </c>
      <c r="IG26">
        <v>100</v>
      </c>
      <c r="IH26">
        <v>100</v>
      </c>
      <c r="II26">
        <v>-0.50800000000000001</v>
      </c>
      <c r="IJ26">
        <v>0.1638</v>
      </c>
      <c r="IK26">
        <v>-0.50453630777798197</v>
      </c>
      <c r="IL26">
        <v>-8.3322953065825546E-5</v>
      </c>
      <c r="IM26">
        <v>2.3872336679552741E-7</v>
      </c>
      <c r="IN26">
        <v>-5.428329794194132E-11</v>
      </c>
      <c r="IO26">
        <v>0.16379486446836641</v>
      </c>
      <c r="IP26">
        <v>0</v>
      </c>
      <c r="IQ26">
        <v>0</v>
      </c>
      <c r="IR26">
        <v>0</v>
      </c>
      <c r="IS26">
        <v>2</v>
      </c>
      <c r="IT26">
        <v>2035</v>
      </c>
      <c r="IU26">
        <v>1</v>
      </c>
      <c r="IV26">
        <v>21</v>
      </c>
      <c r="IW26">
        <v>0.7</v>
      </c>
      <c r="IX26">
        <v>0.6</v>
      </c>
      <c r="IY26">
        <v>1.0632299999999999</v>
      </c>
      <c r="IZ26">
        <v>2.6916500000000001</v>
      </c>
      <c r="JA26">
        <v>1.4526399999999999</v>
      </c>
      <c r="JB26">
        <v>2.2839399999999999</v>
      </c>
      <c r="JC26">
        <v>1.5942400000000001</v>
      </c>
      <c r="JD26">
        <v>2.2644000000000002</v>
      </c>
      <c r="JE26">
        <v>43.155000000000001</v>
      </c>
      <c r="JF26">
        <v>23.947399999999998</v>
      </c>
      <c r="JG26">
        <v>18</v>
      </c>
      <c r="JH26">
        <v>510.33300000000003</v>
      </c>
      <c r="JI26">
        <v>471.84</v>
      </c>
      <c r="JJ26">
        <v>28.314599999999999</v>
      </c>
      <c r="JK26">
        <v>31.529699999999998</v>
      </c>
      <c r="JL26">
        <v>29.997800000000002</v>
      </c>
      <c r="JM26">
        <v>31.555</v>
      </c>
      <c r="JN26">
        <v>31.562899999999999</v>
      </c>
      <c r="JO26">
        <v>21.242899999999999</v>
      </c>
      <c r="JP26">
        <v>30.3385</v>
      </c>
      <c r="JQ26">
        <v>25.6112</v>
      </c>
      <c r="JR26">
        <v>28.383700000000001</v>
      </c>
      <c r="JS26">
        <v>400</v>
      </c>
      <c r="JT26">
        <v>20.729500000000002</v>
      </c>
      <c r="JU26">
        <v>99.225099999999998</v>
      </c>
      <c r="JV26">
        <v>98.579400000000007</v>
      </c>
    </row>
    <row r="27" spans="1:282" x14ac:dyDescent="0.25">
      <c r="A27">
        <v>11</v>
      </c>
      <c r="B27">
        <v>1689000751</v>
      </c>
      <c r="C27">
        <v>1410.400000095367</v>
      </c>
      <c r="D27" t="s">
        <v>473</v>
      </c>
      <c r="E27" t="s">
        <v>474</v>
      </c>
      <c r="F27" t="s">
        <v>414</v>
      </c>
      <c r="G27" t="s">
        <v>415</v>
      </c>
      <c r="H27" t="s">
        <v>416</v>
      </c>
      <c r="I27" t="s">
        <v>417</v>
      </c>
      <c r="J27" t="s">
        <v>416</v>
      </c>
      <c r="K27">
        <v>1689000751</v>
      </c>
      <c r="L27">
        <f t="shared" si="0"/>
        <v>6.6466911004219734E-3</v>
      </c>
      <c r="M27">
        <f t="shared" si="1"/>
        <v>6.6466911004219735</v>
      </c>
      <c r="N27">
        <f t="shared" si="2"/>
        <v>58.420261553036326</v>
      </c>
      <c r="O27">
        <f t="shared" si="3"/>
        <v>426.67599999999999</v>
      </c>
      <c r="P27">
        <f t="shared" si="4"/>
        <v>212.93737138341316</v>
      </c>
      <c r="Q27">
        <f t="shared" si="5"/>
        <v>21.147654904289144</v>
      </c>
      <c r="R27">
        <f t="shared" si="6"/>
        <v>42.374885842351205</v>
      </c>
      <c r="S27">
        <f t="shared" si="7"/>
        <v>0.48917424789019914</v>
      </c>
      <c r="T27">
        <f t="shared" si="8"/>
        <v>2.9168285838807253</v>
      </c>
      <c r="U27">
        <f t="shared" si="9"/>
        <v>0.44774667385418654</v>
      </c>
      <c r="V27">
        <f t="shared" si="10"/>
        <v>0.28327082566478234</v>
      </c>
      <c r="W27">
        <f t="shared" si="11"/>
        <v>289.55791201269972</v>
      </c>
      <c r="X27">
        <f t="shared" si="12"/>
        <v>30.436464587841272</v>
      </c>
      <c r="Y27">
        <f t="shared" si="13"/>
        <v>30.0761</v>
      </c>
      <c r="Z27">
        <f t="shared" si="14"/>
        <v>4.2791082259668807</v>
      </c>
      <c r="AA27">
        <f t="shared" si="15"/>
        <v>65.340341193975419</v>
      </c>
      <c r="AB27">
        <f t="shared" si="16"/>
        <v>2.8577891715948605</v>
      </c>
      <c r="AC27">
        <f t="shared" si="17"/>
        <v>4.3736979626582633</v>
      </c>
      <c r="AD27">
        <f t="shared" si="18"/>
        <v>1.4213190543720202</v>
      </c>
      <c r="AE27">
        <f t="shared" si="19"/>
        <v>-293.11907752860901</v>
      </c>
      <c r="AF27">
        <f t="shared" si="20"/>
        <v>59.975936681047251</v>
      </c>
      <c r="AG27">
        <f t="shared" si="21"/>
        <v>4.5840792563909813</v>
      </c>
      <c r="AH27">
        <f t="shared" si="22"/>
        <v>60.998850421528921</v>
      </c>
      <c r="AI27">
        <v>0</v>
      </c>
      <c r="AJ27">
        <v>0</v>
      </c>
      <c r="AK27">
        <f t="shared" si="23"/>
        <v>1</v>
      </c>
      <c r="AL27">
        <f t="shared" si="24"/>
        <v>0</v>
      </c>
      <c r="AM27">
        <f t="shared" si="25"/>
        <v>51895.240101539333</v>
      </c>
      <c r="AN27" t="s">
        <v>418</v>
      </c>
      <c r="AO27">
        <v>8197.4</v>
      </c>
      <c r="AP27">
        <v>619.92999999999995</v>
      </c>
      <c r="AQ27">
        <v>3131.443117258741</v>
      </c>
      <c r="AR27">
        <f t="shared" si="26"/>
        <v>0.80203057287443702</v>
      </c>
      <c r="AS27">
        <v>-1.0448500102641549</v>
      </c>
      <c r="AT27" t="s">
        <v>475</v>
      </c>
      <c r="AU27">
        <v>8183.91</v>
      </c>
      <c r="AV27">
        <v>792.31369230769224</v>
      </c>
      <c r="AW27">
        <v>1241.997577981381</v>
      </c>
      <c r="AX27">
        <f t="shared" si="27"/>
        <v>0.36206502624953596</v>
      </c>
      <c r="AY27">
        <v>0.5</v>
      </c>
      <c r="AZ27">
        <f t="shared" si="28"/>
        <v>1513.1424000065799</v>
      </c>
      <c r="BA27">
        <f t="shared" si="29"/>
        <v>58.420261553036326</v>
      </c>
      <c r="BB27">
        <f t="shared" si="30"/>
        <v>273.92797138883412</v>
      </c>
      <c r="BC27">
        <f t="shared" si="31"/>
        <v>3.92990848469E-2</v>
      </c>
      <c r="BD27">
        <f t="shared" si="32"/>
        <v>1.5212956714040267</v>
      </c>
      <c r="BE27">
        <f t="shared" si="33"/>
        <v>476.44042245731873</v>
      </c>
      <c r="BF27" t="s">
        <v>476</v>
      </c>
      <c r="BG27">
        <v>618.83000000000004</v>
      </c>
      <c r="BH27">
        <f t="shared" si="34"/>
        <v>618.83000000000004</v>
      </c>
      <c r="BI27">
        <f t="shared" si="35"/>
        <v>0.50174621032209687</v>
      </c>
      <c r="BJ27">
        <f t="shared" si="36"/>
        <v>0.72160988723184893</v>
      </c>
      <c r="BK27">
        <f t="shared" si="37"/>
        <v>0.75198426940425411</v>
      </c>
      <c r="BL27">
        <f t="shared" si="38"/>
        <v>0.72288590756155457</v>
      </c>
      <c r="BM27">
        <f t="shared" si="39"/>
        <v>0.75231362571565874</v>
      </c>
      <c r="BN27">
        <f t="shared" si="40"/>
        <v>0.56360738284738299</v>
      </c>
      <c r="BO27">
        <f t="shared" si="41"/>
        <v>0.43639261715261701</v>
      </c>
      <c r="BP27">
        <v>13590</v>
      </c>
      <c r="BQ27">
        <v>290.00000000000011</v>
      </c>
      <c r="BR27">
        <v>1089.8900000000001</v>
      </c>
      <c r="BS27">
        <v>275</v>
      </c>
      <c r="BT27">
        <v>8183.91</v>
      </c>
      <c r="BU27">
        <v>1092.6199999999999</v>
      </c>
      <c r="BV27">
        <v>-2.73</v>
      </c>
      <c r="BW27">
        <v>300.00000000000011</v>
      </c>
      <c r="BX27">
        <v>19.3</v>
      </c>
      <c r="BY27">
        <v>1241.997577981381</v>
      </c>
      <c r="BZ27">
        <v>5.4131865085001474</v>
      </c>
      <c r="CA27">
        <v>-122.2453565456083</v>
      </c>
      <c r="CB27">
        <v>4.0680897052120653</v>
      </c>
      <c r="CC27">
        <v>0.96992454005844941</v>
      </c>
      <c r="CD27">
        <v>-4.2375078976640713E-3</v>
      </c>
      <c r="CE27">
        <v>289.99999999999989</v>
      </c>
      <c r="CF27">
        <v>1084.8499999999999</v>
      </c>
      <c r="CG27">
        <v>665</v>
      </c>
      <c r="CH27">
        <v>8172.7</v>
      </c>
      <c r="CI27">
        <v>1092.42</v>
      </c>
      <c r="CJ27">
        <v>-7.57</v>
      </c>
      <c r="CX27">
        <f t="shared" si="42"/>
        <v>1799.95</v>
      </c>
      <c r="CY27">
        <f t="shared" si="43"/>
        <v>1513.1424000065799</v>
      </c>
      <c r="CZ27">
        <f t="shared" si="44"/>
        <v>0.84065801828194109</v>
      </c>
      <c r="DA27">
        <f t="shared" si="45"/>
        <v>0.16086997528414662</v>
      </c>
      <c r="DB27">
        <v>6</v>
      </c>
      <c r="DC27">
        <v>0.5</v>
      </c>
      <c r="DD27" t="s">
        <v>421</v>
      </c>
      <c r="DE27">
        <v>2</v>
      </c>
      <c r="DF27">
        <v>1689000751</v>
      </c>
      <c r="DG27">
        <v>426.67599999999999</v>
      </c>
      <c r="DH27">
        <v>500.17099999999999</v>
      </c>
      <c r="DI27">
        <v>28.775300000000001</v>
      </c>
      <c r="DJ27">
        <v>21.030100000000001</v>
      </c>
      <c r="DK27">
        <v>427.16699999999997</v>
      </c>
      <c r="DL27">
        <v>28.613199999999999</v>
      </c>
      <c r="DM27">
        <v>500.08499999999998</v>
      </c>
      <c r="DN27">
        <v>99.215100000000007</v>
      </c>
      <c r="DO27">
        <v>9.8866200000000001E-2</v>
      </c>
      <c r="DP27">
        <v>30.4575</v>
      </c>
      <c r="DQ27">
        <v>30.0761</v>
      </c>
      <c r="DR27">
        <v>999.9</v>
      </c>
      <c r="DS27">
        <v>0</v>
      </c>
      <c r="DT27">
        <v>0</v>
      </c>
      <c r="DU27">
        <v>10006.200000000001</v>
      </c>
      <c r="DV27">
        <v>0</v>
      </c>
      <c r="DW27">
        <v>664.74400000000003</v>
      </c>
      <c r="DX27">
        <v>-73.495000000000005</v>
      </c>
      <c r="DY27">
        <v>439.31700000000001</v>
      </c>
      <c r="DZ27">
        <v>510.91500000000002</v>
      </c>
      <c r="EA27">
        <v>7.7452399999999999</v>
      </c>
      <c r="EB27">
        <v>500.17099999999999</v>
      </c>
      <c r="EC27">
        <v>21.030100000000001</v>
      </c>
      <c r="ED27">
        <v>2.8549500000000001</v>
      </c>
      <c r="EE27">
        <v>2.0865</v>
      </c>
      <c r="EF27">
        <v>23.205300000000001</v>
      </c>
      <c r="EG27">
        <v>18.116499999999998</v>
      </c>
      <c r="EH27">
        <v>1799.95</v>
      </c>
      <c r="EI27">
        <v>0.97800600000000004</v>
      </c>
      <c r="EJ27">
        <v>2.1994400000000001E-2</v>
      </c>
      <c r="EK27">
        <v>0</v>
      </c>
      <c r="EL27">
        <v>792.59199999999998</v>
      </c>
      <c r="EM27">
        <v>4.9999900000000004</v>
      </c>
      <c r="EN27">
        <v>17921.5</v>
      </c>
      <c r="EO27">
        <v>15863.4</v>
      </c>
      <c r="EP27">
        <v>47.561999999999998</v>
      </c>
      <c r="EQ27">
        <v>48.436999999999998</v>
      </c>
      <c r="ER27">
        <v>48</v>
      </c>
      <c r="ES27">
        <v>48.436999999999998</v>
      </c>
      <c r="ET27">
        <v>49.375</v>
      </c>
      <c r="EU27">
        <v>1755.47</v>
      </c>
      <c r="EV27">
        <v>39.479999999999997</v>
      </c>
      <c r="EW27">
        <v>0</v>
      </c>
      <c r="EX27">
        <v>114.80000019073491</v>
      </c>
      <c r="EY27">
        <v>0</v>
      </c>
      <c r="EZ27">
        <v>792.31369230769224</v>
      </c>
      <c r="FA27">
        <v>0.9706666567379838</v>
      </c>
      <c r="FB27">
        <v>-5484.5675213057393</v>
      </c>
      <c r="FC27">
        <v>19084.415384615389</v>
      </c>
      <c r="FD27">
        <v>15</v>
      </c>
      <c r="FE27">
        <v>1689000716.5</v>
      </c>
      <c r="FF27" t="s">
        <v>477</v>
      </c>
      <c r="FG27">
        <v>1689000712</v>
      </c>
      <c r="FH27">
        <v>1689000716.5</v>
      </c>
      <c r="FI27">
        <v>13</v>
      </c>
      <c r="FJ27">
        <v>8.9999999999999993E-3</v>
      </c>
      <c r="FK27">
        <v>-2E-3</v>
      </c>
      <c r="FL27">
        <v>-0.48399999999999999</v>
      </c>
      <c r="FM27">
        <v>0.13500000000000001</v>
      </c>
      <c r="FN27">
        <v>500</v>
      </c>
      <c r="FO27">
        <v>21</v>
      </c>
      <c r="FP27">
        <v>0.04</v>
      </c>
      <c r="FQ27">
        <v>0.01</v>
      </c>
      <c r="FR27">
        <v>58.413863294658483</v>
      </c>
      <c r="FS27">
        <v>-0.65157564686559288</v>
      </c>
      <c r="FT27">
        <v>6.548561925901232E-2</v>
      </c>
      <c r="FU27">
        <v>1</v>
      </c>
      <c r="FV27">
        <v>0.492298973436753</v>
      </c>
      <c r="FW27">
        <v>-1.3183988122487351E-2</v>
      </c>
      <c r="FX27">
        <v>2.0186674975800922E-3</v>
      </c>
      <c r="FY27">
        <v>1</v>
      </c>
      <c r="FZ27">
        <v>2</v>
      </c>
      <c r="GA27">
        <v>2</v>
      </c>
      <c r="GB27" t="s">
        <v>423</v>
      </c>
      <c r="GC27">
        <v>2.96041</v>
      </c>
      <c r="GD27">
        <v>2.7421500000000001</v>
      </c>
      <c r="GE27">
        <v>9.3926200000000001E-2</v>
      </c>
      <c r="GF27">
        <v>0.10546</v>
      </c>
      <c r="GG27">
        <v>0.13169800000000001</v>
      </c>
      <c r="GH27">
        <v>0.105382</v>
      </c>
      <c r="GI27">
        <v>21326.799999999999</v>
      </c>
      <c r="GJ27">
        <v>19619.7</v>
      </c>
      <c r="GK27">
        <v>23461.9</v>
      </c>
      <c r="GL27">
        <v>21974.400000000001</v>
      </c>
      <c r="GM27">
        <v>28715.1</v>
      </c>
      <c r="GN27">
        <v>27407.1</v>
      </c>
      <c r="GO27">
        <v>37018.1</v>
      </c>
      <c r="GP27">
        <v>34163.699999999997</v>
      </c>
      <c r="GQ27">
        <v>2.0211999999999999</v>
      </c>
      <c r="GR27">
        <v>1.8972</v>
      </c>
      <c r="GS27">
        <v>7.3760699999999998E-2</v>
      </c>
      <c r="GT27">
        <v>0</v>
      </c>
      <c r="GU27">
        <v>28.874700000000001</v>
      </c>
      <c r="GV27">
        <v>999.9</v>
      </c>
      <c r="GW27">
        <v>42.8</v>
      </c>
      <c r="GX27">
        <v>37.6</v>
      </c>
      <c r="GY27">
        <v>28.103000000000002</v>
      </c>
      <c r="GZ27">
        <v>59.999099999999999</v>
      </c>
      <c r="HA27">
        <v>38.874200000000002</v>
      </c>
      <c r="HB27">
        <v>1</v>
      </c>
      <c r="HC27">
        <v>0.35452699999999998</v>
      </c>
      <c r="HD27">
        <v>2.2341700000000002</v>
      </c>
      <c r="HE27">
        <v>20.099499999999999</v>
      </c>
      <c r="HF27">
        <v>5.2611699999999999</v>
      </c>
      <c r="HG27">
        <v>11.962</v>
      </c>
      <c r="HH27">
        <v>4.9794</v>
      </c>
      <c r="HI27">
        <v>3.2973300000000001</v>
      </c>
      <c r="HJ27">
        <v>9999</v>
      </c>
      <c r="HK27">
        <v>9999</v>
      </c>
      <c r="HL27">
        <v>9999</v>
      </c>
      <c r="HM27">
        <v>999.9</v>
      </c>
      <c r="HN27">
        <v>1.8641799999999999</v>
      </c>
      <c r="HO27">
        <v>1.8602000000000001</v>
      </c>
      <c r="HP27">
        <v>1.8668899999999999</v>
      </c>
      <c r="HQ27">
        <v>1.8634299999999999</v>
      </c>
      <c r="HR27">
        <v>1.8621799999999999</v>
      </c>
      <c r="HS27">
        <v>1.8621799999999999</v>
      </c>
      <c r="HT27">
        <v>1.8634200000000001</v>
      </c>
      <c r="HU27">
        <v>1.8647400000000001</v>
      </c>
      <c r="HV27">
        <v>0</v>
      </c>
      <c r="HW27">
        <v>0</v>
      </c>
      <c r="HX27">
        <v>0</v>
      </c>
      <c r="HY27">
        <v>0</v>
      </c>
      <c r="HZ27" t="s">
        <v>424</v>
      </c>
      <c r="IA27" t="s">
        <v>425</v>
      </c>
      <c r="IB27" t="s">
        <v>426</v>
      </c>
      <c r="IC27" t="s">
        <v>426</v>
      </c>
      <c r="ID27" t="s">
        <v>426</v>
      </c>
      <c r="IE27" t="s">
        <v>426</v>
      </c>
      <c r="IF27">
        <v>0</v>
      </c>
      <c r="IG27">
        <v>100</v>
      </c>
      <c r="IH27">
        <v>100</v>
      </c>
      <c r="II27">
        <v>-0.49099999999999999</v>
      </c>
      <c r="IJ27">
        <v>0.16209999999999999</v>
      </c>
      <c r="IK27">
        <v>-0.49530170637346782</v>
      </c>
      <c r="IL27">
        <v>-8.3322953065825546E-5</v>
      </c>
      <c r="IM27">
        <v>2.3872336679552741E-7</v>
      </c>
      <c r="IN27">
        <v>-5.428329794194132E-11</v>
      </c>
      <c r="IO27">
        <v>0.16209693066523739</v>
      </c>
      <c r="IP27">
        <v>0</v>
      </c>
      <c r="IQ27">
        <v>0</v>
      </c>
      <c r="IR27">
        <v>0</v>
      </c>
      <c r="IS27">
        <v>2</v>
      </c>
      <c r="IT27">
        <v>2035</v>
      </c>
      <c r="IU27">
        <v>1</v>
      </c>
      <c r="IV27">
        <v>21</v>
      </c>
      <c r="IW27">
        <v>0.7</v>
      </c>
      <c r="IX27">
        <v>0.6</v>
      </c>
      <c r="IY27">
        <v>1.27441</v>
      </c>
      <c r="IZ27">
        <v>2.68066</v>
      </c>
      <c r="JA27">
        <v>1.4514199999999999</v>
      </c>
      <c r="JB27">
        <v>2.2839399999999999</v>
      </c>
      <c r="JC27">
        <v>1.5942400000000001</v>
      </c>
      <c r="JD27">
        <v>2.4121100000000002</v>
      </c>
      <c r="JE27">
        <v>43.317599999999999</v>
      </c>
      <c r="JF27">
        <v>23.956199999999999</v>
      </c>
      <c r="JG27">
        <v>18</v>
      </c>
      <c r="JH27">
        <v>510.23599999999999</v>
      </c>
      <c r="JI27">
        <v>470.387</v>
      </c>
      <c r="JJ27">
        <v>27.729800000000001</v>
      </c>
      <c r="JK27">
        <v>31.548999999999999</v>
      </c>
      <c r="JL27">
        <v>30.000800000000002</v>
      </c>
      <c r="JM27">
        <v>31.577000000000002</v>
      </c>
      <c r="JN27">
        <v>31.584800000000001</v>
      </c>
      <c r="JO27">
        <v>25.459900000000001</v>
      </c>
      <c r="JP27">
        <v>29.357500000000002</v>
      </c>
      <c r="JQ27">
        <v>23.714300000000001</v>
      </c>
      <c r="JR27">
        <v>27.6373</v>
      </c>
      <c r="JS27">
        <v>500</v>
      </c>
      <c r="JT27">
        <v>21.060600000000001</v>
      </c>
      <c r="JU27">
        <v>99.220500000000001</v>
      </c>
      <c r="JV27">
        <v>98.578500000000005</v>
      </c>
    </row>
    <row r="28" spans="1:282" x14ac:dyDescent="0.25">
      <c r="A28">
        <v>12</v>
      </c>
      <c r="B28">
        <v>1689000878.5</v>
      </c>
      <c r="C28">
        <v>1537.900000095367</v>
      </c>
      <c r="D28" t="s">
        <v>478</v>
      </c>
      <c r="E28" t="s">
        <v>479</v>
      </c>
      <c r="F28" t="s">
        <v>414</v>
      </c>
      <c r="G28" t="s">
        <v>415</v>
      </c>
      <c r="H28" t="s">
        <v>416</v>
      </c>
      <c r="I28" t="s">
        <v>417</v>
      </c>
      <c r="J28" t="s">
        <v>416</v>
      </c>
      <c r="K28">
        <v>1689000878.5</v>
      </c>
      <c r="L28">
        <f t="shared" si="0"/>
        <v>6.5457962647030715E-3</v>
      </c>
      <c r="M28">
        <f t="shared" si="1"/>
        <v>6.5457962647030712</v>
      </c>
      <c r="N28">
        <f t="shared" si="2"/>
        <v>59.511752572170529</v>
      </c>
      <c r="O28">
        <f t="shared" si="3"/>
        <v>623.78899999999999</v>
      </c>
      <c r="P28">
        <f t="shared" si="4"/>
        <v>396.71589972612736</v>
      </c>
      <c r="Q28">
        <f t="shared" si="5"/>
        <v>39.400438066906666</v>
      </c>
      <c r="R28">
        <f t="shared" si="6"/>
        <v>61.952545583085403</v>
      </c>
      <c r="S28">
        <f t="shared" si="7"/>
        <v>0.47715329441171384</v>
      </c>
      <c r="T28">
        <f t="shared" si="8"/>
        <v>2.914487721309666</v>
      </c>
      <c r="U28">
        <f t="shared" si="9"/>
        <v>0.43761986833518329</v>
      </c>
      <c r="V28">
        <f t="shared" si="10"/>
        <v>0.27679087076687786</v>
      </c>
      <c r="W28">
        <f t="shared" si="11"/>
        <v>289.55689501270302</v>
      </c>
      <c r="X28">
        <f t="shared" si="12"/>
        <v>30.274845666691139</v>
      </c>
      <c r="Y28">
        <f t="shared" si="13"/>
        <v>29.989899999999999</v>
      </c>
      <c r="Z28">
        <f t="shared" si="14"/>
        <v>4.2579787580438611</v>
      </c>
      <c r="AA28">
        <f t="shared" si="15"/>
        <v>65.299031391027256</v>
      </c>
      <c r="AB28">
        <f t="shared" si="16"/>
        <v>2.8254056949071003</v>
      </c>
      <c r="AC28">
        <f t="shared" si="17"/>
        <v>4.3268722900158352</v>
      </c>
      <c r="AD28">
        <f t="shared" si="18"/>
        <v>1.4325730631367608</v>
      </c>
      <c r="AE28">
        <f t="shared" si="19"/>
        <v>-288.66961527340544</v>
      </c>
      <c r="AF28">
        <f t="shared" si="20"/>
        <v>43.948103610139995</v>
      </c>
      <c r="AG28">
        <f t="shared" si="21"/>
        <v>3.3571820623346249</v>
      </c>
      <c r="AH28">
        <f t="shared" si="22"/>
        <v>48.192565411772208</v>
      </c>
      <c r="AI28">
        <v>0</v>
      </c>
      <c r="AJ28">
        <v>0</v>
      </c>
      <c r="AK28">
        <f t="shared" si="23"/>
        <v>1</v>
      </c>
      <c r="AL28">
        <f t="shared" si="24"/>
        <v>0</v>
      </c>
      <c r="AM28">
        <f t="shared" si="25"/>
        <v>51860.872445815548</v>
      </c>
      <c r="AN28" t="s">
        <v>418</v>
      </c>
      <c r="AO28">
        <v>8197.4</v>
      </c>
      <c r="AP28">
        <v>619.92999999999995</v>
      </c>
      <c r="AQ28">
        <v>3131.443117258741</v>
      </c>
      <c r="AR28">
        <f t="shared" si="26"/>
        <v>0.80203057287443702</v>
      </c>
      <c r="AS28">
        <v>-1.0448500102641549</v>
      </c>
      <c r="AT28" t="s">
        <v>480</v>
      </c>
      <c r="AU28">
        <v>8186.22</v>
      </c>
      <c r="AV28">
        <v>795.19146153846168</v>
      </c>
      <c r="AW28">
        <v>1270.4686230322891</v>
      </c>
      <c r="AX28">
        <f t="shared" si="27"/>
        <v>0.37409594607654328</v>
      </c>
      <c r="AY28">
        <v>0.5</v>
      </c>
      <c r="AZ28">
        <f t="shared" si="28"/>
        <v>1513.134300006582</v>
      </c>
      <c r="BA28">
        <f t="shared" si="29"/>
        <v>59.511752572170529</v>
      </c>
      <c r="BB28">
        <f t="shared" si="30"/>
        <v>283.02870375091516</v>
      </c>
      <c r="BC28">
        <f t="shared" si="31"/>
        <v>4.0020639663096179E-2</v>
      </c>
      <c r="BD28">
        <f t="shared" si="32"/>
        <v>1.4647937465663448</v>
      </c>
      <c r="BE28">
        <f t="shared" si="33"/>
        <v>480.57171091135444</v>
      </c>
      <c r="BF28" t="s">
        <v>481</v>
      </c>
      <c r="BG28">
        <v>616.79999999999995</v>
      </c>
      <c r="BH28">
        <f t="shared" si="34"/>
        <v>616.79999999999995</v>
      </c>
      <c r="BI28">
        <f t="shared" si="35"/>
        <v>0.51450985186249354</v>
      </c>
      <c r="BJ28">
        <f t="shared" si="36"/>
        <v>0.72709190061636209</v>
      </c>
      <c r="BK28">
        <f t="shared" si="37"/>
        <v>0.7400551121763691</v>
      </c>
      <c r="BL28">
        <f t="shared" si="38"/>
        <v>0.73059022887598368</v>
      </c>
      <c r="BM28">
        <f t="shared" si="39"/>
        <v>0.7409774137503462</v>
      </c>
      <c r="BN28">
        <f t="shared" si="40"/>
        <v>0.56397774120023114</v>
      </c>
      <c r="BO28">
        <f t="shared" si="41"/>
        <v>0.43602225879976886</v>
      </c>
      <c r="BP28">
        <v>13592</v>
      </c>
      <c r="BQ28">
        <v>290.00000000000011</v>
      </c>
      <c r="BR28">
        <v>1101.1600000000001</v>
      </c>
      <c r="BS28">
        <v>265</v>
      </c>
      <c r="BT28">
        <v>8186.22</v>
      </c>
      <c r="BU28">
        <v>1103.8699999999999</v>
      </c>
      <c r="BV28">
        <v>-2.71</v>
      </c>
      <c r="BW28">
        <v>300.00000000000011</v>
      </c>
      <c r="BX28">
        <v>19.3</v>
      </c>
      <c r="BY28">
        <v>1270.4686230322891</v>
      </c>
      <c r="BZ28">
        <v>3.8796229978046441</v>
      </c>
      <c r="CA28">
        <v>-136.38433176268879</v>
      </c>
      <c r="CB28">
        <v>2.916178303232432</v>
      </c>
      <c r="CC28">
        <v>0.98736041164708144</v>
      </c>
      <c r="CD28">
        <v>-4.2382289210233627E-3</v>
      </c>
      <c r="CE28">
        <v>289.99999999999989</v>
      </c>
      <c r="CF28">
        <v>1095.23</v>
      </c>
      <c r="CG28">
        <v>635</v>
      </c>
      <c r="CH28">
        <v>8175.25</v>
      </c>
      <c r="CI28">
        <v>1103.6400000000001</v>
      </c>
      <c r="CJ28">
        <v>-8.41</v>
      </c>
      <c r="CX28">
        <f t="shared" si="42"/>
        <v>1799.94</v>
      </c>
      <c r="CY28">
        <f t="shared" si="43"/>
        <v>1513.134300006582</v>
      </c>
      <c r="CZ28">
        <f t="shared" si="44"/>
        <v>0.84065818860994357</v>
      </c>
      <c r="DA28">
        <f t="shared" si="45"/>
        <v>0.16087030401719113</v>
      </c>
      <c r="DB28">
        <v>6</v>
      </c>
      <c r="DC28">
        <v>0.5</v>
      </c>
      <c r="DD28" t="s">
        <v>421</v>
      </c>
      <c r="DE28">
        <v>2</v>
      </c>
      <c r="DF28">
        <v>1689000878.5</v>
      </c>
      <c r="DG28">
        <v>623.78899999999999</v>
      </c>
      <c r="DH28">
        <v>700.08600000000001</v>
      </c>
      <c r="DI28">
        <v>28.448499999999999</v>
      </c>
      <c r="DJ28">
        <v>20.8187</v>
      </c>
      <c r="DK28">
        <v>624.35500000000002</v>
      </c>
      <c r="DL28">
        <v>28.287199999999999</v>
      </c>
      <c r="DM28">
        <v>500.11099999999999</v>
      </c>
      <c r="DN28">
        <v>99.218299999999999</v>
      </c>
      <c r="DO28">
        <v>9.8208599999999993E-2</v>
      </c>
      <c r="DP28">
        <v>30.269600000000001</v>
      </c>
      <c r="DQ28">
        <v>29.989899999999999</v>
      </c>
      <c r="DR28">
        <v>999.9</v>
      </c>
      <c r="DS28">
        <v>0</v>
      </c>
      <c r="DT28">
        <v>0</v>
      </c>
      <c r="DU28">
        <v>9992.5</v>
      </c>
      <c r="DV28">
        <v>0</v>
      </c>
      <c r="DW28">
        <v>1728.99</v>
      </c>
      <c r="DX28">
        <v>-76.297200000000004</v>
      </c>
      <c r="DY28">
        <v>642.05399999999997</v>
      </c>
      <c r="DZ28">
        <v>714.971</v>
      </c>
      <c r="EA28">
        <v>7.6298199999999996</v>
      </c>
      <c r="EB28">
        <v>700.08600000000001</v>
      </c>
      <c r="EC28">
        <v>20.8187</v>
      </c>
      <c r="ED28">
        <v>2.8226100000000001</v>
      </c>
      <c r="EE28">
        <v>2.0655999999999999</v>
      </c>
      <c r="EF28">
        <v>23.0169</v>
      </c>
      <c r="EG28">
        <v>17.956299999999999</v>
      </c>
      <c r="EH28">
        <v>1799.94</v>
      </c>
      <c r="EI28">
        <v>0.97799899999999995</v>
      </c>
      <c r="EJ28">
        <v>2.2000700000000002E-2</v>
      </c>
      <c r="EK28">
        <v>0</v>
      </c>
      <c r="EL28">
        <v>794.79</v>
      </c>
      <c r="EM28">
        <v>4.9999900000000004</v>
      </c>
      <c r="EN28">
        <v>19343.2</v>
      </c>
      <c r="EO28">
        <v>15863.3</v>
      </c>
      <c r="EP28">
        <v>47.625</v>
      </c>
      <c r="EQ28">
        <v>48.5</v>
      </c>
      <c r="ER28">
        <v>48</v>
      </c>
      <c r="ES28">
        <v>48.5</v>
      </c>
      <c r="ET28">
        <v>49.436999999999998</v>
      </c>
      <c r="EU28">
        <v>1755.45</v>
      </c>
      <c r="EV28">
        <v>39.49</v>
      </c>
      <c r="EW28">
        <v>0</v>
      </c>
      <c r="EX28">
        <v>125.4000000953674</v>
      </c>
      <c r="EY28">
        <v>0</v>
      </c>
      <c r="EZ28">
        <v>795.19146153846168</v>
      </c>
      <c r="FA28">
        <v>-7.5282049378487342E-2</v>
      </c>
      <c r="FB28">
        <v>442.79999963984272</v>
      </c>
      <c r="FC28">
        <v>19318.11153846154</v>
      </c>
      <c r="FD28">
        <v>15</v>
      </c>
      <c r="FE28">
        <v>1689000844</v>
      </c>
      <c r="FF28" t="s">
        <v>482</v>
      </c>
      <c r="FG28">
        <v>1689000844</v>
      </c>
      <c r="FH28">
        <v>1689000841.5</v>
      </c>
      <c r="FI28">
        <v>14</v>
      </c>
      <c r="FJ28">
        <v>-9.9000000000000005E-2</v>
      </c>
      <c r="FK28">
        <v>-1E-3</v>
      </c>
      <c r="FL28">
        <v>-0.55400000000000005</v>
      </c>
      <c r="FM28">
        <v>0.13800000000000001</v>
      </c>
      <c r="FN28">
        <v>700</v>
      </c>
      <c r="FO28">
        <v>21</v>
      </c>
      <c r="FP28">
        <v>0.05</v>
      </c>
      <c r="FQ28">
        <v>0.01</v>
      </c>
      <c r="FR28">
        <v>59.498944731720748</v>
      </c>
      <c r="FS28">
        <v>-0.31906411550785291</v>
      </c>
      <c r="FT28">
        <v>5.1080530688807961E-2</v>
      </c>
      <c r="FU28">
        <v>1</v>
      </c>
      <c r="FV28">
        <v>0.48458900278934408</v>
      </c>
      <c r="FW28">
        <v>-4.7037247285223703E-2</v>
      </c>
      <c r="FX28">
        <v>3.53693220989235E-3</v>
      </c>
      <c r="FY28">
        <v>1</v>
      </c>
      <c r="FZ28">
        <v>2</v>
      </c>
      <c r="GA28">
        <v>2</v>
      </c>
      <c r="GB28" t="s">
        <v>423</v>
      </c>
      <c r="GC28">
        <v>2.9603999999999999</v>
      </c>
      <c r="GD28">
        <v>2.7413699999999999</v>
      </c>
      <c r="GE28">
        <v>0.123737</v>
      </c>
      <c r="GF28">
        <v>0.13366500000000001</v>
      </c>
      <c r="GG28">
        <v>0.13064999999999999</v>
      </c>
      <c r="GH28">
        <v>0.10463</v>
      </c>
      <c r="GI28">
        <v>20622.400000000001</v>
      </c>
      <c r="GJ28">
        <v>18998.599999999999</v>
      </c>
      <c r="GK28">
        <v>23458.9</v>
      </c>
      <c r="GL28">
        <v>21971.7</v>
      </c>
      <c r="GM28">
        <v>28749.599999999999</v>
      </c>
      <c r="GN28">
        <v>27429.599999999999</v>
      </c>
      <c r="GO28">
        <v>37013.800000000003</v>
      </c>
      <c r="GP28">
        <v>34160.300000000003</v>
      </c>
      <c r="GQ28">
        <v>2.0205000000000002</v>
      </c>
      <c r="GR28">
        <v>1.89347</v>
      </c>
      <c r="GS28">
        <v>6.7651299999999998E-2</v>
      </c>
      <c r="GT28">
        <v>0</v>
      </c>
      <c r="GU28">
        <v>28.888000000000002</v>
      </c>
      <c r="GV28">
        <v>999.9</v>
      </c>
      <c r="GW28">
        <v>42.1</v>
      </c>
      <c r="GX28">
        <v>37.9</v>
      </c>
      <c r="GY28">
        <v>28.093800000000002</v>
      </c>
      <c r="GZ28">
        <v>60.469099999999997</v>
      </c>
      <c r="HA28">
        <v>38.4696</v>
      </c>
      <c r="HB28">
        <v>1</v>
      </c>
      <c r="HC28">
        <v>0.358323</v>
      </c>
      <c r="HD28">
        <v>1.21685</v>
      </c>
      <c r="HE28">
        <v>20.112100000000002</v>
      </c>
      <c r="HF28">
        <v>5.2611699999999999</v>
      </c>
      <c r="HG28">
        <v>11.962</v>
      </c>
      <c r="HH28">
        <v>4.9794499999999999</v>
      </c>
      <c r="HI28">
        <v>3.2974000000000001</v>
      </c>
      <c r="HJ28">
        <v>9999</v>
      </c>
      <c r="HK28">
        <v>9999</v>
      </c>
      <c r="HL28">
        <v>9999</v>
      </c>
      <c r="HM28">
        <v>999.9</v>
      </c>
      <c r="HN28">
        <v>1.8641700000000001</v>
      </c>
      <c r="HO28">
        <v>1.8602000000000001</v>
      </c>
      <c r="HP28">
        <v>1.8668499999999999</v>
      </c>
      <c r="HQ28">
        <v>1.8634200000000001</v>
      </c>
      <c r="HR28">
        <v>1.86215</v>
      </c>
      <c r="HS28">
        <v>1.8621799999999999</v>
      </c>
      <c r="HT28">
        <v>1.8633999999999999</v>
      </c>
      <c r="HU28">
        <v>1.8646499999999999</v>
      </c>
      <c r="HV28">
        <v>0</v>
      </c>
      <c r="HW28">
        <v>0</v>
      </c>
      <c r="HX28">
        <v>0</v>
      </c>
      <c r="HY28">
        <v>0</v>
      </c>
      <c r="HZ28" t="s">
        <v>424</v>
      </c>
      <c r="IA28" t="s">
        <v>425</v>
      </c>
      <c r="IB28" t="s">
        <v>426</v>
      </c>
      <c r="IC28" t="s">
        <v>426</v>
      </c>
      <c r="ID28" t="s">
        <v>426</v>
      </c>
      <c r="IE28" t="s">
        <v>426</v>
      </c>
      <c r="IF28">
        <v>0</v>
      </c>
      <c r="IG28">
        <v>100</v>
      </c>
      <c r="IH28">
        <v>100</v>
      </c>
      <c r="II28">
        <v>-0.56599999999999995</v>
      </c>
      <c r="IJ28">
        <v>0.1613</v>
      </c>
      <c r="IK28">
        <v>-0.59402931911083312</v>
      </c>
      <c r="IL28">
        <v>-8.3322953065825546E-5</v>
      </c>
      <c r="IM28">
        <v>2.3872336679552741E-7</v>
      </c>
      <c r="IN28">
        <v>-5.428329794194132E-11</v>
      </c>
      <c r="IO28">
        <v>0.16135528762021331</v>
      </c>
      <c r="IP28">
        <v>0</v>
      </c>
      <c r="IQ28">
        <v>0</v>
      </c>
      <c r="IR28">
        <v>0</v>
      </c>
      <c r="IS28">
        <v>2</v>
      </c>
      <c r="IT28">
        <v>2035</v>
      </c>
      <c r="IU28">
        <v>1</v>
      </c>
      <c r="IV28">
        <v>21</v>
      </c>
      <c r="IW28">
        <v>0.6</v>
      </c>
      <c r="IX28">
        <v>0.6</v>
      </c>
      <c r="IY28">
        <v>1.6772499999999999</v>
      </c>
      <c r="IZ28">
        <v>2.68066</v>
      </c>
      <c r="JA28">
        <v>1.4514199999999999</v>
      </c>
      <c r="JB28">
        <v>2.2827099999999998</v>
      </c>
      <c r="JC28">
        <v>1.5942400000000001</v>
      </c>
      <c r="JD28">
        <v>2.3791500000000001</v>
      </c>
      <c r="JE28">
        <v>43.508099999999999</v>
      </c>
      <c r="JF28">
        <v>23.991199999999999</v>
      </c>
      <c r="JG28">
        <v>18</v>
      </c>
      <c r="JH28">
        <v>510.24900000000002</v>
      </c>
      <c r="JI28">
        <v>468.15800000000002</v>
      </c>
      <c r="JJ28">
        <v>28.0124</v>
      </c>
      <c r="JK28">
        <v>31.612400000000001</v>
      </c>
      <c r="JL28">
        <v>29.999700000000001</v>
      </c>
      <c r="JM28">
        <v>31.629799999999999</v>
      </c>
      <c r="JN28">
        <v>31.637</v>
      </c>
      <c r="JO28">
        <v>33.505200000000002</v>
      </c>
      <c r="JP28">
        <v>29.9344</v>
      </c>
      <c r="JQ28">
        <v>21.6816</v>
      </c>
      <c r="JR28">
        <v>28.070799999999998</v>
      </c>
      <c r="JS28">
        <v>700</v>
      </c>
      <c r="JT28">
        <v>20.8353</v>
      </c>
      <c r="JU28">
        <v>99.208500000000001</v>
      </c>
      <c r="JV28">
        <v>98.567800000000005</v>
      </c>
    </row>
    <row r="29" spans="1:282" x14ac:dyDescent="0.25">
      <c r="A29">
        <v>13</v>
      </c>
      <c r="B29">
        <v>1689000992.5</v>
      </c>
      <c r="C29">
        <v>1651.900000095367</v>
      </c>
      <c r="D29" t="s">
        <v>483</v>
      </c>
      <c r="E29" t="s">
        <v>484</v>
      </c>
      <c r="F29" t="s">
        <v>414</v>
      </c>
      <c r="G29" t="s">
        <v>415</v>
      </c>
      <c r="H29" t="s">
        <v>416</v>
      </c>
      <c r="I29" t="s">
        <v>417</v>
      </c>
      <c r="J29" t="s">
        <v>416</v>
      </c>
      <c r="K29">
        <v>1689000992.5</v>
      </c>
      <c r="L29">
        <f t="shared" si="0"/>
        <v>6.254759106298787E-3</v>
      </c>
      <c r="M29">
        <f t="shared" si="1"/>
        <v>6.2547591062987866</v>
      </c>
      <c r="N29">
        <f t="shared" si="2"/>
        <v>59.577696733682615</v>
      </c>
      <c r="O29">
        <f t="shared" si="3"/>
        <v>822.51499999999999</v>
      </c>
      <c r="P29">
        <f t="shared" si="4"/>
        <v>580.55419783007653</v>
      </c>
      <c r="Q29">
        <f t="shared" si="5"/>
        <v>57.65961790199151</v>
      </c>
      <c r="R29">
        <f t="shared" si="6"/>
        <v>81.690737567515995</v>
      </c>
      <c r="S29">
        <f t="shared" si="7"/>
        <v>0.45414295899894874</v>
      </c>
      <c r="T29">
        <f t="shared" si="8"/>
        <v>2.9160244648030673</v>
      </c>
      <c r="U29">
        <f t="shared" si="9"/>
        <v>0.41819401805307171</v>
      </c>
      <c r="V29">
        <f t="shared" si="10"/>
        <v>0.26436359146184579</v>
      </c>
      <c r="W29">
        <f t="shared" si="11"/>
        <v>289.55689501270302</v>
      </c>
      <c r="X29">
        <f t="shared" si="12"/>
        <v>30.372684668008343</v>
      </c>
      <c r="Y29">
        <f t="shared" si="13"/>
        <v>30.0229</v>
      </c>
      <c r="Z29">
        <f t="shared" si="14"/>
        <v>4.2660569989113739</v>
      </c>
      <c r="AA29">
        <f t="shared" si="15"/>
        <v>65.407918607283904</v>
      </c>
      <c r="AB29">
        <f t="shared" si="16"/>
        <v>2.8336882729601598</v>
      </c>
      <c r="AC29">
        <f t="shared" si="17"/>
        <v>4.3323321293464874</v>
      </c>
      <c r="AD29">
        <f t="shared" si="18"/>
        <v>1.4323687259512141</v>
      </c>
      <c r="AE29">
        <f t="shared" si="19"/>
        <v>-275.83487658777648</v>
      </c>
      <c r="AF29">
        <f t="shared" si="20"/>
        <v>42.241980631314448</v>
      </c>
      <c r="AG29">
        <f t="shared" si="21"/>
        <v>3.2260290914582894</v>
      </c>
      <c r="AH29">
        <f t="shared" si="22"/>
        <v>59.190028147699309</v>
      </c>
      <c r="AI29">
        <v>0</v>
      </c>
      <c r="AJ29">
        <v>0</v>
      </c>
      <c r="AK29">
        <f t="shared" si="23"/>
        <v>1</v>
      </c>
      <c r="AL29">
        <f t="shared" si="24"/>
        <v>0</v>
      </c>
      <c r="AM29">
        <f t="shared" si="25"/>
        <v>51900.835885628454</v>
      </c>
      <c r="AN29" t="s">
        <v>418</v>
      </c>
      <c r="AO29">
        <v>8197.4</v>
      </c>
      <c r="AP29">
        <v>619.92999999999995</v>
      </c>
      <c r="AQ29">
        <v>3131.443117258741</v>
      </c>
      <c r="AR29">
        <f t="shared" si="26"/>
        <v>0.80203057287443702</v>
      </c>
      <c r="AS29">
        <v>-1.0448500102641549</v>
      </c>
      <c r="AT29" t="s">
        <v>485</v>
      </c>
      <c r="AU29">
        <v>8184.91</v>
      </c>
      <c r="AV29">
        <v>794.64207999999985</v>
      </c>
      <c r="AW29">
        <v>1270.7903939569881</v>
      </c>
      <c r="AX29">
        <f t="shared" si="27"/>
        <v>0.37468674316490325</v>
      </c>
      <c r="AY29">
        <v>0.5</v>
      </c>
      <c r="AZ29">
        <f t="shared" si="28"/>
        <v>1513.134300006582</v>
      </c>
      <c r="BA29">
        <f t="shared" si="29"/>
        <v>59.577696733682615</v>
      </c>
      <c r="BB29">
        <f t="shared" si="30"/>
        <v>283.47568142028592</v>
      </c>
      <c r="BC29">
        <f t="shared" si="31"/>
        <v>4.006422083200617E-2</v>
      </c>
      <c r="BD29">
        <f t="shared" si="32"/>
        <v>1.4641696476065194</v>
      </c>
      <c r="BE29">
        <f t="shared" si="33"/>
        <v>480.61774366280275</v>
      </c>
      <c r="BF29" t="s">
        <v>486</v>
      </c>
      <c r="BG29">
        <v>616.71</v>
      </c>
      <c r="BH29">
        <f t="shared" si="34"/>
        <v>616.71</v>
      </c>
      <c r="BI29">
        <f t="shared" si="35"/>
        <v>0.51470360262978698</v>
      </c>
      <c r="BJ29">
        <f t="shared" si="36"/>
        <v>0.72796603958182471</v>
      </c>
      <c r="BK29">
        <f t="shared" si="37"/>
        <v>0.73990067197667975</v>
      </c>
      <c r="BL29">
        <f t="shared" si="38"/>
        <v>0.73156750414967531</v>
      </c>
      <c r="BM29">
        <f t="shared" si="39"/>
        <v>0.74084929539711608</v>
      </c>
      <c r="BN29">
        <f t="shared" si="40"/>
        <v>0.56496370827795483</v>
      </c>
      <c r="BO29">
        <f t="shared" si="41"/>
        <v>0.43503629172204517</v>
      </c>
      <c r="BP29">
        <v>13594</v>
      </c>
      <c r="BQ29">
        <v>290.00000000000011</v>
      </c>
      <c r="BR29">
        <v>1103.73</v>
      </c>
      <c r="BS29">
        <v>295</v>
      </c>
      <c r="BT29">
        <v>8184.91</v>
      </c>
      <c r="BU29">
        <v>1106.3499999999999</v>
      </c>
      <c r="BV29">
        <v>-2.62</v>
      </c>
      <c r="BW29">
        <v>300.00000000000011</v>
      </c>
      <c r="BX29">
        <v>19.3</v>
      </c>
      <c r="BY29">
        <v>1270.7903939569881</v>
      </c>
      <c r="BZ29">
        <v>4.2321391024063084</v>
      </c>
      <c r="CA29">
        <v>-134.59688228342441</v>
      </c>
      <c r="CB29">
        <v>3.1811712546393269</v>
      </c>
      <c r="CC29">
        <v>0.98459995669565414</v>
      </c>
      <c r="CD29">
        <v>-4.2382878754171384E-3</v>
      </c>
      <c r="CE29">
        <v>289.99999999999989</v>
      </c>
      <c r="CF29">
        <v>1097.3699999999999</v>
      </c>
      <c r="CG29">
        <v>665</v>
      </c>
      <c r="CH29">
        <v>8174.38</v>
      </c>
      <c r="CI29">
        <v>1106.1300000000001</v>
      </c>
      <c r="CJ29">
        <v>-8.76</v>
      </c>
      <c r="CX29">
        <f t="shared" si="42"/>
        <v>1799.94</v>
      </c>
      <c r="CY29">
        <f t="shared" si="43"/>
        <v>1513.134300006582</v>
      </c>
      <c r="CZ29">
        <f t="shared" si="44"/>
        <v>0.84065818860994357</v>
      </c>
      <c r="DA29">
        <f t="shared" si="45"/>
        <v>0.16087030401719113</v>
      </c>
      <c r="DB29">
        <v>6</v>
      </c>
      <c r="DC29">
        <v>0.5</v>
      </c>
      <c r="DD29" t="s">
        <v>421</v>
      </c>
      <c r="DE29">
        <v>2</v>
      </c>
      <c r="DF29">
        <v>1689000992.5</v>
      </c>
      <c r="DG29">
        <v>822.51499999999999</v>
      </c>
      <c r="DH29">
        <v>900.17899999999997</v>
      </c>
      <c r="DI29">
        <v>28.531400000000001</v>
      </c>
      <c r="DJ29">
        <v>21.240100000000002</v>
      </c>
      <c r="DK29">
        <v>822.96</v>
      </c>
      <c r="DL29">
        <v>28.367599999999999</v>
      </c>
      <c r="DM29">
        <v>500.01799999999997</v>
      </c>
      <c r="DN29">
        <v>99.219099999999997</v>
      </c>
      <c r="DO29">
        <v>9.9134399999999998E-2</v>
      </c>
      <c r="DP29">
        <v>30.291599999999999</v>
      </c>
      <c r="DQ29">
        <v>30.0229</v>
      </c>
      <c r="DR29">
        <v>999.9</v>
      </c>
      <c r="DS29">
        <v>0</v>
      </c>
      <c r="DT29">
        <v>0</v>
      </c>
      <c r="DU29">
        <v>10001.200000000001</v>
      </c>
      <c r="DV29">
        <v>0</v>
      </c>
      <c r="DW29">
        <v>1734.01</v>
      </c>
      <c r="DX29">
        <v>-77.664400000000001</v>
      </c>
      <c r="DY29">
        <v>846.67100000000005</v>
      </c>
      <c r="DZ29">
        <v>919.71400000000006</v>
      </c>
      <c r="EA29">
        <v>7.2912999999999997</v>
      </c>
      <c r="EB29">
        <v>900.17899999999997</v>
      </c>
      <c r="EC29">
        <v>21.240100000000002</v>
      </c>
      <c r="ED29">
        <v>2.8308599999999999</v>
      </c>
      <c r="EE29">
        <v>2.1074299999999999</v>
      </c>
      <c r="EF29">
        <v>23.065200000000001</v>
      </c>
      <c r="EG29">
        <v>18.275400000000001</v>
      </c>
      <c r="EH29">
        <v>1799.94</v>
      </c>
      <c r="EI29">
        <v>0.97799899999999995</v>
      </c>
      <c r="EJ29">
        <v>2.2000700000000002E-2</v>
      </c>
      <c r="EK29">
        <v>0</v>
      </c>
      <c r="EL29">
        <v>794.15899999999999</v>
      </c>
      <c r="EM29">
        <v>4.9999900000000004</v>
      </c>
      <c r="EN29">
        <v>19344.400000000001</v>
      </c>
      <c r="EO29">
        <v>15863.3</v>
      </c>
      <c r="EP29">
        <v>47.625</v>
      </c>
      <c r="EQ29">
        <v>48.5</v>
      </c>
      <c r="ER29">
        <v>48</v>
      </c>
      <c r="ES29">
        <v>48.436999999999998</v>
      </c>
      <c r="ET29">
        <v>49.436999999999998</v>
      </c>
      <c r="EU29">
        <v>1755.45</v>
      </c>
      <c r="EV29">
        <v>39.49</v>
      </c>
      <c r="EW29">
        <v>0</v>
      </c>
      <c r="EX29">
        <v>111.80000019073491</v>
      </c>
      <c r="EY29">
        <v>0</v>
      </c>
      <c r="EZ29">
        <v>794.64207999999985</v>
      </c>
      <c r="FA29">
        <v>1.12192307842812</v>
      </c>
      <c r="FB29">
        <v>18.715384199998319</v>
      </c>
      <c r="FC29">
        <v>19347.759999999998</v>
      </c>
      <c r="FD29">
        <v>15</v>
      </c>
      <c r="FE29">
        <v>1689000956.5</v>
      </c>
      <c r="FF29" t="s">
        <v>487</v>
      </c>
      <c r="FG29">
        <v>1689000947</v>
      </c>
      <c r="FH29">
        <v>1689000956.5</v>
      </c>
      <c r="FI29">
        <v>15</v>
      </c>
      <c r="FJ29">
        <v>8.5999999999999993E-2</v>
      </c>
      <c r="FK29">
        <v>2E-3</v>
      </c>
      <c r="FL29">
        <v>-0.42899999999999999</v>
      </c>
      <c r="FM29">
        <v>0.14199999999999999</v>
      </c>
      <c r="FN29">
        <v>900</v>
      </c>
      <c r="FO29">
        <v>21</v>
      </c>
      <c r="FP29">
        <v>0.05</v>
      </c>
      <c r="FQ29">
        <v>0.01</v>
      </c>
      <c r="FR29">
        <v>59.506229981631243</v>
      </c>
      <c r="FS29">
        <v>-0.56980649041666642</v>
      </c>
      <c r="FT29">
        <v>6.7865378586522543E-2</v>
      </c>
      <c r="FU29">
        <v>1</v>
      </c>
      <c r="FV29">
        <v>0.459372489281343</v>
      </c>
      <c r="FW29">
        <v>-9.5798129115739882E-3</v>
      </c>
      <c r="FX29">
        <v>2.574363458202545E-3</v>
      </c>
      <c r="FY29">
        <v>1</v>
      </c>
      <c r="FZ29">
        <v>2</v>
      </c>
      <c r="GA29">
        <v>2</v>
      </c>
      <c r="GB29" t="s">
        <v>423</v>
      </c>
      <c r="GC29">
        <v>2.9601099999999998</v>
      </c>
      <c r="GD29">
        <v>2.7423700000000002</v>
      </c>
      <c r="GE29">
        <v>0.14923400000000001</v>
      </c>
      <c r="GF29">
        <v>0.15795200000000001</v>
      </c>
      <c r="GG29">
        <v>0.13089300000000001</v>
      </c>
      <c r="GH29">
        <v>0.106097</v>
      </c>
      <c r="GI29">
        <v>20020.099999999999</v>
      </c>
      <c r="GJ29">
        <v>18463.8</v>
      </c>
      <c r="GK29">
        <v>23456.6</v>
      </c>
      <c r="GL29">
        <v>21969.5</v>
      </c>
      <c r="GM29">
        <v>28740.3</v>
      </c>
      <c r="GN29">
        <v>27383.200000000001</v>
      </c>
      <c r="GO29">
        <v>37010</v>
      </c>
      <c r="GP29">
        <v>34157.5</v>
      </c>
      <c r="GQ29">
        <v>2.0194700000000001</v>
      </c>
      <c r="GR29">
        <v>1.89188</v>
      </c>
      <c r="GS29">
        <v>7.1059899999999995E-2</v>
      </c>
      <c r="GT29">
        <v>0</v>
      </c>
      <c r="GU29">
        <v>28.865400000000001</v>
      </c>
      <c r="GV29">
        <v>999.9</v>
      </c>
      <c r="GW29">
        <v>41.6</v>
      </c>
      <c r="GX29">
        <v>38.200000000000003</v>
      </c>
      <c r="GY29">
        <v>28.216699999999999</v>
      </c>
      <c r="GZ29">
        <v>60.139200000000002</v>
      </c>
      <c r="HA29">
        <v>39.2348</v>
      </c>
      <c r="HB29">
        <v>1</v>
      </c>
      <c r="HC29">
        <v>0.36553600000000003</v>
      </c>
      <c r="HD29">
        <v>1.9837</v>
      </c>
      <c r="HE29">
        <v>20.104500000000002</v>
      </c>
      <c r="HF29">
        <v>5.2610200000000003</v>
      </c>
      <c r="HG29">
        <v>11.962</v>
      </c>
      <c r="HH29">
        <v>4.9793000000000003</v>
      </c>
      <c r="HI29">
        <v>3.2973300000000001</v>
      </c>
      <c r="HJ29">
        <v>9999</v>
      </c>
      <c r="HK29">
        <v>9999</v>
      </c>
      <c r="HL29">
        <v>9999</v>
      </c>
      <c r="HM29">
        <v>999.9</v>
      </c>
      <c r="HN29">
        <v>1.8641700000000001</v>
      </c>
      <c r="HO29">
        <v>1.8602000000000001</v>
      </c>
      <c r="HP29">
        <v>1.8668100000000001</v>
      </c>
      <c r="HQ29">
        <v>1.8634200000000001</v>
      </c>
      <c r="HR29">
        <v>1.8621700000000001</v>
      </c>
      <c r="HS29">
        <v>1.8621799999999999</v>
      </c>
      <c r="HT29">
        <v>1.8633999999999999</v>
      </c>
      <c r="HU29">
        <v>1.8646799999999999</v>
      </c>
      <c r="HV29">
        <v>0</v>
      </c>
      <c r="HW29">
        <v>0</v>
      </c>
      <c r="HX29">
        <v>0</v>
      </c>
      <c r="HY29">
        <v>0</v>
      </c>
      <c r="HZ29" t="s">
        <v>424</v>
      </c>
      <c r="IA29" t="s">
        <v>425</v>
      </c>
      <c r="IB29" t="s">
        <v>426</v>
      </c>
      <c r="IC29" t="s">
        <v>426</v>
      </c>
      <c r="ID29" t="s">
        <v>426</v>
      </c>
      <c r="IE29" t="s">
        <v>426</v>
      </c>
      <c r="IF29">
        <v>0</v>
      </c>
      <c r="IG29">
        <v>100</v>
      </c>
      <c r="IH29">
        <v>100</v>
      </c>
      <c r="II29">
        <v>-0.44500000000000001</v>
      </c>
      <c r="IJ29">
        <v>0.1638</v>
      </c>
      <c r="IK29">
        <v>-0.50827568855835281</v>
      </c>
      <c r="IL29">
        <v>-8.3322953065825546E-5</v>
      </c>
      <c r="IM29">
        <v>2.3872336679552741E-7</v>
      </c>
      <c r="IN29">
        <v>-5.428329794194132E-11</v>
      </c>
      <c r="IO29">
        <v>0.16383676299461339</v>
      </c>
      <c r="IP29">
        <v>0</v>
      </c>
      <c r="IQ29">
        <v>0</v>
      </c>
      <c r="IR29">
        <v>0</v>
      </c>
      <c r="IS29">
        <v>2</v>
      </c>
      <c r="IT29">
        <v>2035</v>
      </c>
      <c r="IU29">
        <v>1</v>
      </c>
      <c r="IV29">
        <v>21</v>
      </c>
      <c r="IW29">
        <v>0.8</v>
      </c>
      <c r="IX29">
        <v>0.6</v>
      </c>
      <c r="IY29">
        <v>2.0593300000000001</v>
      </c>
      <c r="IZ29">
        <v>2.67944</v>
      </c>
      <c r="JA29">
        <v>1.4514199999999999</v>
      </c>
      <c r="JB29">
        <v>2.2814899999999998</v>
      </c>
      <c r="JC29">
        <v>1.5942400000000001</v>
      </c>
      <c r="JD29">
        <v>2.2619600000000002</v>
      </c>
      <c r="JE29">
        <v>43.6447</v>
      </c>
      <c r="JF29">
        <v>23.991199999999999</v>
      </c>
      <c r="JG29">
        <v>18</v>
      </c>
      <c r="JH29">
        <v>509.99599999999998</v>
      </c>
      <c r="JI29">
        <v>467.40899999999999</v>
      </c>
      <c r="JJ29">
        <v>27.6815</v>
      </c>
      <c r="JK29">
        <v>31.659600000000001</v>
      </c>
      <c r="JL29">
        <v>30.000299999999999</v>
      </c>
      <c r="JM29">
        <v>31.676400000000001</v>
      </c>
      <c r="JN29">
        <v>31.683199999999999</v>
      </c>
      <c r="JO29">
        <v>41.175899999999999</v>
      </c>
      <c r="JP29">
        <v>28.603200000000001</v>
      </c>
      <c r="JQ29">
        <v>20.295500000000001</v>
      </c>
      <c r="JR29">
        <v>27.663399999999999</v>
      </c>
      <c r="JS29">
        <v>900</v>
      </c>
      <c r="JT29">
        <v>21.217400000000001</v>
      </c>
      <c r="JU29">
        <v>99.198400000000007</v>
      </c>
      <c r="JV29">
        <v>98.558899999999994</v>
      </c>
    </row>
    <row r="30" spans="1:282" x14ac:dyDescent="0.25">
      <c r="A30">
        <v>14</v>
      </c>
      <c r="B30">
        <v>1689001101</v>
      </c>
      <c r="C30">
        <v>1760.400000095367</v>
      </c>
      <c r="D30" t="s">
        <v>488</v>
      </c>
      <c r="E30" t="s">
        <v>489</v>
      </c>
      <c r="F30" t="s">
        <v>414</v>
      </c>
      <c r="G30" t="s">
        <v>415</v>
      </c>
      <c r="H30" t="s">
        <v>416</v>
      </c>
      <c r="I30" t="s">
        <v>417</v>
      </c>
      <c r="J30" t="s">
        <v>416</v>
      </c>
      <c r="K30">
        <v>1689001101</v>
      </c>
      <c r="L30">
        <f t="shared" si="0"/>
        <v>6.2036299654170245E-3</v>
      </c>
      <c r="M30">
        <f t="shared" si="1"/>
        <v>6.2036299654170248</v>
      </c>
      <c r="N30">
        <f t="shared" si="2"/>
        <v>58.908690800572401</v>
      </c>
      <c r="O30">
        <f t="shared" si="3"/>
        <v>1121.1400000000001</v>
      </c>
      <c r="P30">
        <f t="shared" si="4"/>
        <v>869.84338652272822</v>
      </c>
      <c r="Q30">
        <f t="shared" si="5"/>
        <v>86.390598343969984</v>
      </c>
      <c r="R30">
        <f t="shared" si="6"/>
        <v>111.34872889538001</v>
      </c>
      <c r="S30">
        <f t="shared" si="7"/>
        <v>0.44428180174308007</v>
      </c>
      <c r="T30">
        <f t="shared" si="8"/>
        <v>2.9138381905026707</v>
      </c>
      <c r="U30">
        <f t="shared" si="9"/>
        <v>0.40978992468715231</v>
      </c>
      <c r="V30">
        <f t="shared" si="10"/>
        <v>0.25899415037321544</v>
      </c>
      <c r="W30">
        <f t="shared" si="11"/>
        <v>289.55370301270318</v>
      </c>
      <c r="X30">
        <f t="shared" si="12"/>
        <v>30.310060431162533</v>
      </c>
      <c r="Y30">
        <f t="shared" si="13"/>
        <v>30.031099999999999</v>
      </c>
      <c r="Z30">
        <f t="shared" si="14"/>
        <v>4.2680663899327689</v>
      </c>
      <c r="AA30">
        <f t="shared" si="15"/>
        <v>65.334039579585095</v>
      </c>
      <c r="AB30">
        <f t="shared" si="16"/>
        <v>2.8181813660834996</v>
      </c>
      <c r="AC30">
        <f t="shared" si="17"/>
        <v>4.3134962788434343</v>
      </c>
      <c r="AD30">
        <f t="shared" si="18"/>
        <v>1.4498850238492693</v>
      </c>
      <c r="AE30">
        <f t="shared" si="19"/>
        <v>-273.58008147489079</v>
      </c>
      <c r="AF30">
        <f t="shared" si="20"/>
        <v>28.983260815117095</v>
      </c>
      <c r="AG30">
        <f t="shared" si="21"/>
        <v>2.2143753469751335</v>
      </c>
      <c r="AH30">
        <f t="shared" si="22"/>
        <v>47.171257699904629</v>
      </c>
      <c r="AI30">
        <v>0</v>
      </c>
      <c r="AJ30">
        <v>0</v>
      </c>
      <c r="AK30">
        <f t="shared" si="23"/>
        <v>1</v>
      </c>
      <c r="AL30">
        <f t="shared" si="24"/>
        <v>0</v>
      </c>
      <c r="AM30">
        <f t="shared" si="25"/>
        <v>51851.642640170081</v>
      </c>
      <c r="AN30" t="s">
        <v>418</v>
      </c>
      <c r="AO30">
        <v>8197.4</v>
      </c>
      <c r="AP30">
        <v>619.92999999999995</v>
      </c>
      <c r="AQ30">
        <v>3131.443117258741</v>
      </c>
      <c r="AR30">
        <f t="shared" si="26"/>
        <v>0.80203057287443702</v>
      </c>
      <c r="AS30">
        <v>-1.0448500102641549</v>
      </c>
      <c r="AT30" t="s">
        <v>490</v>
      </c>
      <c r="AU30">
        <v>8184.76</v>
      </c>
      <c r="AV30">
        <v>794.1561999999999</v>
      </c>
      <c r="AW30">
        <v>1273.819842970481</v>
      </c>
      <c r="AX30">
        <f t="shared" si="27"/>
        <v>0.37655532343720655</v>
      </c>
      <c r="AY30">
        <v>0.5</v>
      </c>
      <c r="AZ30">
        <f t="shared" si="28"/>
        <v>1513.1175000065821</v>
      </c>
      <c r="BA30">
        <f t="shared" si="29"/>
        <v>58.908690800572401</v>
      </c>
      <c r="BB30">
        <f t="shared" si="30"/>
        <v>284.88622480673797</v>
      </c>
      <c r="BC30">
        <f t="shared" si="31"/>
        <v>3.9622528197959354E-2</v>
      </c>
      <c r="BD30">
        <f t="shared" si="32"/>
        <v>1.4583092613445086</v>
      </c>
      <c r="BE30">
        <f t="shared" si="33"/>
        <v>481.05042894304114</v>
      </c>
      <c r="BF30" t="s">
        <v>491</v>
      </c>
      <c r="BG30">
        <v>617.57000000000005</v>
      </c>
      <c r="BH30">
        <f t="shared" si="34"/>
        <v>617.57000000000005</v>
      </c>
      <c r="BI30">
        <f t="shared" si="35"/>
        <v>0.51518261910580754</v>
      </c>
      <c r="BJ30">
        <f t="shared" si="36"/>
        <v>0.73091620227946785</v>
      </c>
      <c r="BK30">
        <f t="shared" si="37"/>
        <v>0.7389487009248541</v>
      </c>
      <c r="BL30">
        <f t="shared" si="38"/>
        <v>0.73355420355127743</v>
      </c>
      <c r="BM30">
        <f t="shared" si="39"/>
        <v>0.73964307075402147</v>
      </c>
      <c r="BN30">
        <f t="shared" si="40"/>
        <v>0.5683918592359174</v>
      </c>
      <c r="BO30">
        <f t="shared" si="41"/>
        <v>0.4316081407640826</v>
      </c>
      <c r="BP30">
        <v>13596</v>
      </c>
      <c r="BQ30">
        <v>290.00000000000011</v>
      </c>
      <c r="BR30">
        <v>1105.6099999999999</v>
      </c>
      <c r="BS30">
        <v>295</v>
      </c>
      <c r="BT30">
        <v>8184.76</v>
      </c>
      <c r="BU30">
        <v>1107.8800000000001</v>
      </c>
      <c r="BV30">
        <v>-2.27</v>
      </c>
      <c r="BW30">
        <v>300.00000000000011</v>
      </c>
      <c r="BX30">
        <v>19.3</v>
      </c>
      <c r="BY30">
        <v>1273.819842970481</v>
      </c>
      <c r="BZ30">
        <v>3.4516110349061382</v>
      </c>
      <c r="CA30">
        <v>-135.81654637291629</v>
      </c>
      <c r="CB30">
        <v>2.594427173154215</v>
      </c>
      <c r="CC30">
        <v>0.98988604916560508</v>
      </c>
      <c r="CD30">
        <v>-4.2383119021134636E-3</v>
      </c>
      <c r="CE30">
        <v>289.99999999999989</v>
      </c>
      <c r="CF30">
        <v>1099.6400000000001</v>
      </c>
      <c r="CG30">
        <v>655</v>
      </c>
      <c r="CH30">
        <v>8174.55</v>
      </c>
      <c r="CI30">
        <v>1107.67</v>
      </c>
      <c r="CJ30">
        <v>-8.0299999999999994</v>
      </c>
      <c r="CX30">
        <f t="shared" si="42"/>
        <v>1799.92</v>
      </c>
      <c r="CY30">
        <f t="shared" si="43"/>
        <v>1513.1175000065821</v>
      </c>
      <c r="CZ30">
        <f t="shared" si="44"/>
        <v>0.84065819592347546</v>
      </c>
      <c r="DA30">
        <f t="shared" si="45"/>
        <v>0.16087031813230765</v>
      </c>
      <c r="DB30">
        <v>6</v>
      </c>
      <c r="DC30">
        <v>0.5</v>
      </c>
      <c r="DD30" t="s">
        <v>421</v>
      </c>
      <c r="DE30">
        <v>2</v>
      </c>
      <c r="DF30">
        <v>1689001101</v>
      </c>
      <c r="DG30">
        <v>1121.1400000000001</v>
      </c>
      <c r="DH30">
        <v>1200.1600000000001</v>
      </c>
      <c r="DI30">
        <v>28.375499999999999</v>
      </c>
      <c r="DJ30">
        <v>21.143899999999999</v>
      </c>
      <c r="DK30">
        <v>1121.4100000000001</v>
      </c>
      <c r="DL30">
        <v>28.210799999999999</v>
      </c>
      <c r="DM30">
        <v>500.10500000000002</v>
      </c>
      <c r="DN30">
        <v>99.218699999999998</v>
      </c>
      <c r="DO30">
        <v>9.8716999999999999E-2</v>
      </c>
      <c r="DP30">
        <v>30.215599999999998</v>
      </c>
      <c r="DQ30">
        <v>30.031099999999999</v>
      </c>
      <c r="DR30">
        <v>999.9</v>
      </c>
      <c r="DS30">
        <v>0</v>
      </c>
      <c r="DT30">
        <v>0</v>
      </c>
      <c r="DU30">
        <v>9988.75</v>
      </c>
      <c r="DV30">
        <v>0</v>
      </c>
      <c r="DW30">
        <v>1741.62</v>
      </c>
      <c r="DX30">
        <v>-79.016800000000003</v>
      </c>
      <c r="DY30">
        <v>1153.8800000000001</v>
      </c>
      <c r="DZ30">
        <v>1226.08</v>
      </c>
      <c r="EA30">
        <v>7.2315899999999997</v>
      </c>
      <c r="EB30">
        <v>1200.1600000000001</v>
      </c>
      <c r="EC30">
        <v>21.143899999999999</v>
      </c>
      <c r="ED30">
        <v>2.8153800000000002</v>
      </c>
      <c r="EE30">
        <v>2.0978699999999999</v>
      </c>
      <c r="EF30">
        <v>22.974499999999999</v>
      </c>
      <c r="EG30">
        <v>18.202999999999999</v>
      </c>
      <c r="EH30">
        <v>1799.92</v>
      </c>
      <c r="EI30">
        <v>0.97799899999999995</v>
      </c>
      <c r="EJ30">
        <v>2.2000700000000002E-2</v>
      </c>
      <c r="EK30">
        <v>0</v>
      </c>
      <c r="EL30">
        <v>793.92</v>
      </c>
      <c r="EM30">
        <v>4.9999900000000004</v>
      </c>
      <c r="EN30">
        <v>19347.7</v>
      </c>
      <c r="EO30">
        <v>15863.1</v>
      </c>
      <c r="EP30">
        <v>47.686999999999998</v>
      </c>
      <c r="EQ30">
        <v>48.561999999999998</v>
      </c>
      <c r="ER30">
        <v>48.061999999999998</v>
      </c>
      <c r="ES30">
        <v>48.561999999999998</v>
      </c>
      <c r="ET30">
        <v>49.436999999999998</v>
      </c>
      <c r="EU30">
        <v>1755.43</v>
      </c>
      <c r="EV30">
        <v>39.49</v>
      </c>
      <c r="EW30">
        <v>0</v>
      </c>
      <c r="EX30">
        <v>106.80000019073491</v>
      </c>
      <c r="EY30">
        <v>0</v>
      </c>
      <c r="EZ30">
        <v>794.1561999999999</v>
      </c>
      <c r="FA30">
        <v>0.1961538561935478</v>
      </c>
      <c r="FB30">
        <v>-56.323076536946118</v>
      </c>
      <c r="FC30">
        <v>19346.704000000002</v>
      </c>
      <c r="FD30">
        <v>15</v>
      </c>
      <c r="FE30">
        <v>1689001067</v>
      </c>
      <c r="FF30" t="s">
        <v>492</v>
      </c>
      <c r="FG30">
        <v>1689001062</v>
      </c>
      <c r="FH30">
        <v>1689001067</v>
      </c>
      <c r="FI30">
        <v>16</v>
      </c>
      <c r="FJ30">
        <v>0.111</v>
      </c>
      <c r="FK30">
        <v>1E-3</v>
      </c>
      <c r="FL30">
        <v>-0.249</v>
      </c>
      <c r="FM30">
        <v>0.151</v>
      </c>
      <c r="FN30">
        <v>1200</v>
      </c>
      <c r="FO30">
        <v>21</v>
      </c>
      <c r="FP30">
        <v>0.03</v>
      </c>
      <c r="FQ30">
        <v>0.01</v>
      </c>
      <c r="FR30">
        <v>58.958675755103961</v>
      </c>
      <c r="FS30">
        <v>-0.62653104666463177</v>
      </c>
      <c r="FT30">
        <v>0.13130801487309121</v>
      </c>
      <c r="FU30">
        <v>1</v>
      </c>
      <c r="FV30">
        <v>0.44577812471540462</v>
      </c>
      <c r="FW30">
        <v>-1.631425557444467E-3</v>
      </c>
      <c r="FX30">
        <v>1.1499754249069351E-3</v>
      </c>
      <c r="FY30">
        <v>1</v>
      </c>
      <c r="FZ30">
        <v>2</v>
      </c>
      <c r="GA30">
        <v>2</v>
      </c>
      <c r="GB30" t="s">
        <v>423</v>
      </c>
      <c r="GC30">
        <v>2.96027</v>
      </c>
      <c r="GD30">
        <v>2.7418499999999999</v>
      </c>
      <c r="GE30">
        <v>0.18193699999999999</v>
      </c>
      <c r="GF30">
        <v>0.189355</v>
      </c>
      <c r="GG30">
        <v>0.13037699999999999</v>
      </c>
      <c r="GH30">
        <v>0.10574699999999999</v>
      </c>
      <c r="GI30">
        <v>19248.3</v>
      </c>
      <c r="GJ30">
        <v>17773.599999999999</v>
      </c>
      <c r="GK30">
        <v>23454.6</v>
      </c>
      <c r="GL30">
        <v>21968.1</v>
      </c>
      <c r="GM30">
        <v>28758</v>
      </c>
      <c r="GN30">
        <v>27395</v>
      </c>
      <c r="GO30">
        <v>37007</v>
      </c>
      <c r="GP30">
        <v>34156.1</v>
      </c>
      <c r="GQ30">
        <v>2.01857</v>
      </c>
      <c r="GR30">
        <v>1.8895500000000001</v>
      </c>
      <c r="GS30">
        <v>7.0259000000000002E-2</v>
      </c>
      <c r="GT30">
        <v>0</v>
      </c>
      <c r="GU30">
        <v>28.886700000000001</v>
      </c>
      <c r="GV30">
        <v>999.9</v>
      </c>
      <c r="GW30">
        <v>41.1</v>
      </c>
      <c r="GX30">
        <v>38.5</v>
      </c>
      <c r="GY30">
        <v>28.3322</v>
      </c>
      <c r="GZ30">
        <v>60.3992</v>
      </c>
      <c r="HA30">
        <v>39.290900000000001</v>
      </c>
      <c r="HB30">
        <v>1</v>
      </c>
      <c r="HC30">
        <v>0.36969000000000002</v>
      </c>
      <c r="HD30">
        <v>1.9876400000000001</v>
      </c>
      <c r="HE30">
        <v>20.1053</v>
      </c>
      <c r="HF30">
        <v>5.2632599999999998</v>
      </c>
      <c r="HG30">
        <v>11.962</v>
      </c>
      <c r="HH30">
        <v>4.9795999999999996</v>
      </c>
      <c r="HI30">
        <v>3.2976999999999999</v>
      </c>
      <c r="HJ30">
        <v>9999</v>
      </c>
      <c r="HK30">
        <v>9999</v>
      </c>
      <c r="HL30">
        <v>9999</v>
      </c>
      <c r="HM30">
        <v>999.9</v>
      </c>
      <c r="HN30">
        <v>1.8641799999999999</v>
      </c>
      <c r="HO30">
        <v>1.8602000000000001</v>
      </c>
      <c r="HP30">
        <v>1.8668</v>
      </c>
      <c r="HQ30">
        <v>1.8634200000000001</v>
      </c>
      <c r="HR30">
        <v>1.8621700000000001</v>
      </c>
      <c r="HS30">
        <v>1.8621799999999999</v>
      </c>
      <c r="HT30">
        <v>1.8633999999999999</v>
      </c>
      <c r="HU30">
        <v>1.86467</v>
      </c>
      <c r="HV30">
        <v>0</v>
      </c>
      <c r="HW30">
        <v>0</v>
      </c>
      <c r="HX30">
        <v>0</v>
      </c>
      <c r="HY30">
        <v>0</v>
      </c>
      <c r="HZ30" t="s">
        <v>424</v>
      </c>
      <c r="IA30" t="s">
        <v>425</v>
      </c>
      <c r="IB30" t="s">
        <v>426</v>
      </c>
      <c r="IC30" t="s">
        <v>426</v>
      </c>
      <c r="ID30" t="s">
        <v>426</v>
      </c>
      <c r="IE30" t="s">
        <v>426</v>
      </c>
      <c r="IF30">
        <v>0</v>
      </c>
      <c r="IG30">
        <v>100</v>
      </c>
      <c r="IH30">
        <v>100</v>
      </c>
      <c r="II30">
        <v>-0.27</v>
      </c>
      <c r="IJ30">
        <v>0.16470000000000001</v>
      </c>
      <c r="IK30">
        <v>-0.3991047238818492</v>
      </c>
      <c r="IL30">
        <v>-8.3322953065825546E-5</v>
      </c>
      <c r="IM30">
        <v>2.3872336679552741E-7</v>
      </c>
      <c r="IN30">
        <v>-5.428329794194132E-11</v>
      </c>
      <c r="IO30">
        <v>0.1646093885878174</v>
      </c>
      <c r="IP30">
        <v>0</v>
      </c>
      <c r="IQ30">
        <v>0</v>
      </c>
      <c r="IR30">
        <v>0</v>
      </c>
      <c r="IS30">
        <v>2</v>
      </c>
      <c r="IT30">
        <v>2035</v>
      </c>
      <c r="IU30">
        <v>1</v>
      </c>
      <c r="IV30">
        <v>21</v>
      </c>
      <c r="IW30">
        <v>0.7</v>
      </c>
      <c r="IX30">
        <v>0.6</v>
      </c>
      <c r="IY30">
        <v>2.6037599999999999</v>
      </c>
      <c r="IZ30">
        <v>2.6709000000000001</v>
      </c>
      <c r="JA30">
        <v>1.4514199999999999</v>
      </c>
      <c r="JB30">
        <v>2.2814899999999998</v>
      </c>
      <c r="JC30">
        <v>1.5942400000000001</v>
      </c>
      <c r="JD30">
        <v>2.33765</v>
      </c>
      <c r="JE30">
        <v>43.781700000000001</v>
      </c>
      <c r="JF30">
        <v>23.991199999999999</v>
      </c>
      <c r="JG30">
        <v>18</v>
      </c>
      <c r="JH30">
        <v>509.87599999999998</v>
      </c>
      <c r="JI30">
        <v>466.178</v>
      </c>
      <c r="JJ30">
        <v>27.6433</v>
      </c>
      <c r="JK30">
        <v>31.720500000000001</v>
      </c>
      <c r="JL30">
        <v>30.000599999999999</v>
      </c>
      <c r="JM30">
        <v>31.728999999999999</v>
      </c>
      <c r="JN30">
        <v>31.733799999999999</v>
      </c>
      <c r="JO30">
        <v>52.031199999999998</v>
      </c>
      <c r="JP30">
        <v>29.195599999999999</v>
      </c>
      <c r="JQ30">
        <v>18.640999999999998</v>
      </c>
      <c r="JR30">
        <v>27.6</v>
      </c>
      <c r="JS30">
        <v>1200</v>
      </c>
      <c r="JT30">
        <v>21.1693</v>
      </c>
      <c r="JU30">
        <v>99.190100000000001</v>
      </c>
      <c r="JV30">
        <v>98.554100000000005</v>
      </c>
    </row>
    <row r="31" spans="1:282" x14ac:dyDescent="0.25">
      <c r="A31">
        <v>15</v>
      </c>
      <c r="B31">
        <v>1689001212</v>
      </c>
      <c r="C31">
        <v>1871.400000095367</v>
      </c>
      <c r="D31" t="s">
        <v>493</v>
      </c>
      <c r="E31" t="s">
        <v>494</v>
      </c>
      <c r="F31" t="s">
        <v>414</v>
      </c>
      <c r="G31" t="s">
        <v>415</v>
      </c>
      <c r="H31" t="s">
        <v>416</v>
      </c>
      <c r="I31" t="s">
        <v>417</v>
      </c>
      <c r="J31" t="s">
        <v>416</v>
      </c>
      <c r="K31">
        <v>1689001212</v>
      </c>
      <c r="L31">
        <f t="shared" si="0"/>
        <v>6.0047190235410124E-3</v>
      </c>
      <c r="M31">
        <f t="shared" si="1"/>
        <v>6.0047190235410124</v>
      </c>
      <c r="N31">
        <f t="shared" si="2"/>
        <v>59.089680411214978</v>
      </c>
      <c r="O31">
        <f t="shared" si="3"/>
        <v>1419.02</v>
      </c>
      <c r="P31">
        <f t="shared" si="4"/>
        <v>1150.6542986665399</v>
      </c>
      <c r="Q31">
        <f t="shared" si="5"/>
        <v>114.2787476591059</v>
      </c>
      <c r="R31">
        <f t="shared" si="6"/>
        <v>140.93184085884999</v>
      </c>
      <c r="S31">
        <f t="shared" si="7"/>
        <v>0.42583617596260814</v>
      </c>
      <c r="T31">
        <f t="shared" si="8"/>
        <v>2.9136016641744078</v>
      </c>
      <c r="U31">
        <f t="shared" si="9"/>
        <v>0.39403673587709276</v>
      </c>
      <c r="V31">
        <f t="shared" si="10"/>
        <v>0.24893183499988256</v>
      </c>
      <c r="W31">
        <f t="shared" si="11"/>
        <v>289.59200701270146</v>
      </c>
      <c r="X31">
        <f t="shared" si="12"/>
        <v>30.28537919658196</v>
      </c>
      <c r="Y31">
        <f t="shared" si="13"/>
        <v>30.0075</v>
      </c>
      <c r="Z31">
        <f t="shared" si="14"/>
        <v>4.2622854925660194</v>
      </c>
      <c r="AA31">
        <f t="shared" si="15"/>
        <v>65.260550018493106</v>
      </c>
      <c r="AB31">
        <f t="shared" si="16"/>
        <v>2.8026369584277502</v>
      </c>
      <c r="AC31">
        <f t="shared" si="17"/>
        <v>4.2945346884657845</v>
      </c>
      <c r="AD31">
        <f t="shared" si="18"/>
        <v>1.4596485341382692</v>
      </c>
      <c r="AE31">
        <f t="shared" si="19"/>
        <v>-264.80810893815863</v>
      </c>
      <c r="AF31">
        <f t="shared" si="20"/>
        <v>20.624353600260779</v>
      </c>
      <c r="AG31">
        <f t="shared" si="21"/>
        <v>1.5750842404878078</v>
      </c>
      <c r="AH31">
        <f t="shared" si="22"/>
        <v>46.983335915291406</v>
      </c>
      <c r="AI31">
        <v>0</v>
      </c>
      <c r="AJ31">
        <v>0</v>
      </c>
      <c r="AK31">
        <f t="shared" si="23"/>
        <v>1</v>
      </c>
      <c r="AL31">
        <f t="shared" si="24"/>
        <v>0</v>
      </c>
      <c r="AM31">
        <f t="shared" si="25"/>
        <v>51858.029556152913</v>
      </c>
      <c r="AN31" t="s">
        <v>418</v>
      </c>
      <c r="AO31">
        <v>8197.4</v>
      </c>
      <c r="AP31">
        <v>619.92999999999995</v>
      </c>
      <c r="AQ31">
        <v>3131.443117258741</v>
      </c>
      <c r="AR31">
        <f t="shared" si="26"/>
        <v>0.80203057287443702</v>
      </c>
      <c r="AS31">
        <v>-1.0448500102641549</v>
      </c>
      <c r="AT31" t="s">
        <v>495</v>
      </c>
      <c r="AU31">
        <v>8184.71</v>
      </c>
      <c r="AV31">
        <v>794.10763999999983</v>
      </c>
      <c r="AW31">
        <v>1274.063086004031</v>
      </c>
      <c r="AX31">
        <f t="shared" si="27"/>
        <v>0.3767124652432734</v>
      </c>
      <c r="AY31">
        <v>0.5</v>
      </c>
      <c r="AZ31">
        <f t="shared" si="28"/>
        <v>1513.3191000065808</v>
      </c>
      <c r="BA31">
        <f t="shared" si="29"/>
        <v>59.089680411214978</v>
      </c>
      <c r="BB31">
        <f t="shared" si="30"/>
        <v>285.04308443160545</v>
      </c>
      <c r="BC31">
        <f t="shared" si="31"/>
        <v>3.9736847583049489E-2</v>
      </c>
      <c r="BD31">
        <f t="shared" si="32"/>
        <v>1.4578399230450929</v>
      </c>
      <c r="BE31">
        <f t="shared" si="33"/>
        <v>481.08511492503095</v>
      </c>
      <c r="BF31" t="s">
        <v>496</v>
      </c>
      <c r="BG31">
        <v>622.29</v>
      </c>
      <c r="BH31">
        <f t="shared" si="34"/>
        <v>622.29</v>
      </c>
      <c r="BI31">
        <f t="shared" si="35"/>
        <v>0.51157049691177447</v>
      </c>
      <c r="BJ31">
        <f t="shared" si="36"/>
        <v>0.73638426671865176</v>
      </c>
      <c r="BK31">
        <f t="shared" si="37"/>
        <v>0.7402418044873661</v>
      </c>
      <c r="BL31">
        <f t="shared" si="38"/>
        <v>0.7337275185635137</v>
      </c>
      <c r="BM31">
        <f t="shared" si="39"/>
        <v>0.73954621956424327</v>
      </c>
      <c r="BN31">
        <f t="shared" si="40"/>
        <v>0.57705598366532507</v>
      </c>
      <c r="BO31">
        <f t="shared" si="41"/>
        <v>0.42294401633467493</v>
      </c>
      <c r="BP31">
        <v>13598</v>
      </c>
      <c r="BQ31">
        <v>290.00000000000011</v>
      </c>
      <c r="BR31">
        <v>1105.1600000000001</v>
      </c>
      <c r="BS31">
        <v>295</v>
      </c>
      <c r="BT31">
        <v>8184.71</v>
      </c>
      <c r="BU31">
        <v>1108.53</v>
      </c>
      <c r="BV31">
        <v>-3.37</v>
      </c>
      <c r="BW31">
        <v>300.00000000000011</v>
      </c>
      <c r="BX31">
        <v>19.3</v>
      </c>
      <c r="BY31">
        <v>1274.063086004031</v>
      </c>
      <c r="BZ31">
        <v>4.4653634976531098</v>
      </c>
      <c r="CA31">
        <v>-135.48414490690831</v>
      </c>
      <c r="CB31">
        <v>3.356391120309663</v>
      </c>
      <c r="CC31">
        <v>0.98310622694239791</v>
      </c>
      <c r="CD31">
        <v>-4.23829454949944E-3</v>
      </c>
      <c r="CE31">
        <v>289.99999999999989</v>
      </c>
      <c r="CF31">
        <v>1100.26</v>
      </c>
      <c r="CG31">
        <v>625</v>
      </c>
      <c r="CH31">
        <v>8175.41</v>
      </c>
      <c r="CI31">
        <v>1108.3399999999999</v>
      </c>
      <c r="CJ31">
        <v>-8.08</v>
      </c>
      <c r="CX31">
        <f t="shared" si="42"/>
        <v>1800.16</v>
      </c>
      <c r="CY31">
        <f t="shared" si="43"/>
        <v>1513.3191000065808</v>
      </c>
      <c r="CZ31">
        <f t="shared" si="44"/>
        <v>0.84065810817181852</v>
      </c>
      <c r="DA31">
        <f t="shared" si="45"/>
        <v>0.16087014877160999</v>
      </c>
      <c r="DB31">
        <v>6</v>
      </c>
      <c r="DC31">
        <v>0.5</v>
      </c>
      <c r="DD31" t="s">
        <v>421</v>
      </c>
      <c r="DE31">
        <v>2</v>
      </c>
      <c r="DF31">
        <v>1689001212</v>
      </c>
      <c r="DG31">
        <v>1419.02</v>
      </c>
      <c r="DH31">
        <v>1500.15</v>
      </c>
      <c r="DI31">
        <v>28.2193</v>
      </c>
      <c r="DJ31">
        <v>21.217199999999998</v>
      </c>
      <c r="DK31">
        <v>1419.31</v>
      </c>
      <c r="DL31">
        <v>28.0549</v>
      </c>
      <c r="DM31">
        <v>500.01600000000002</v>
      </c>
      <c r="DN31">
        <v>99.217699999999994</v>
      </c>
      <c r="DO31">
        <v>9.8617499999999997E-2</v>
      </c>
      <c r="DP31">
        <v>30.1388</v>
      </c>
      <c r="DQ31">
        <v>30.0075</v>
      </c>
      <c r="DR31">
        <v>999.9</v>
      </c>
      <c r="DS31">
        <v>0</v>
      </c>
      <c r="DT31">
        <v>0</v>
      </c>
      <c r="DU31">
        <v>9987.5</v>
      </c>
      <c r="DV31">
        <v>0</v>
      </c>
      <c r="DW31">
        <v>1748.47</v>
      </c>
      <c r="DX31">
        <v>-81.127300000000005</v>
      </c>
      <c r="DY31">
        <v>1460.22</v>
      </c>
      <c r="DZ31">
        <v>1532.66</v>
      </c>
      <c r="EA31">
        <v>7.0021100000000001</v>
      </c>
      <c r="EB31">
        <v>1500.15</v>
      </c>
      <c r="EC31">
        <v>21.217199999999998</v>
      </c>
      <c r="ED31">
        <v>2.7998599999999998</v>
      </c>
      <c r="EE31">
        <v>2.1051299999999999</v>
      </c>
      <c r="EF31">
        <v>22.883299999999998</v>
      </c>
      <c r="EG31">
        <v>18.257999999999999</v>
      </c>
      <c r="EH31">
        <v>1800.16</v>
      </c>
      <c r="EI31">
        <v>0.97800200000000004</v>
      </c>
      <c r="EJ31">
        <v>2.1997599999999999E-2</v>
      </c>
      <c r="EK31">
        <v>0</v>
      </c>
      <c r="EL31">
        <v>794.26</v>
      </c>
      <c r="EM31">
        <v>4.9999900000000004</v>
      </c>
      <c r="EN31">
        <v>19362.3</v>
      </c>
      <c r="EO31">
        <v>15865.2</v>
      </c>
      <c r="EP31">
        <v>47.686999999999998</v>
      </c>
      <c r="EQ31">
        <v>48.686999999999998</v>
      </c>
      <c r="ER31">
        <v>48.061999999999998</v>
      </c>
      <c r="ES31">
        <v>48.625</v>
      </c>
      <c r="ET31">
        <v>49.5</v>
      </c>
      <c r="EU31">
        <v>1755.67</v>
      </c>
      <c r="EV31">
        <v>39.49</v>
      </c>
      <c r="EW31">
        <v>0</v>
      </c>
      <c r="EX31">
        <v>109.2000000476837</v>
      </c>
      <c r="EY31">
        <v>0</v>
      </c>
      <c r="EZ31">
        <v>794.10763999999983</v>
      </c>
      <c r="FA31">
        <v>0.42830769292500109</v>
      </c>
      <c r="FB31">
        <v>0.32307671923602721</v>
      </c>
      <c r="FC31">
        <v>19354.491999999998</v>
      </c>
      <c r="FD31">
        <v>15</v>
      </c>
      <c r="FE31">
        <v>1689001177.5</v>
      </c>
      <c r="FF31" t="s">
        <v>497</v>
      </c>
      <c r="FG31">
        <v>1689001175.5</v>
      </c>
      <c r="FH31">
        <v>1689001177.5</v>
      </c>
      <c r="FI31">
        <v>17</v>
      </c>
      <c r="FJ31">
        <v>-0.105</v>
      </c>
      <c r="FK31">
        <v>0</v>
      </c>
      <c r="FL31">
        <v>-0.27500000000000002</v>
      </c>
      <c r="FM31">
        <v>0.15</v>
      </c>
      <c r="FN31">
        <v>1500</v>
      </c>
      <c r="FO31">
        <v>21</v>
      </c>
      <c r="FP31">
        <v>0.02</v>
      </c>
      <c r="FQ31">
        <v>0.01</v>
      </c>
      <c r="FR31">
        <v>58.988317782566938</v>
      </c>
      <c r="FS31">
        <v>-0.55190491160312583</v>
      </c>
      <c r="FT31">
        <v>6.5079289621082392E-2</v>
      </c>
      <c r="FU31">
        <v>1</v>
      </c>
      <c r="FV31">
        <v>0.43048750131543051</v>
      </c>
      <c r="FW31">
        <v>-1.818658422804641E-2</v>
      </c>
      <c r="FX31">
        <v>1.7976113190437211E-3</v>
      </c>
      <c r="FY31">
        <v>1</v>
      </c>
      <c r="FZ31">
        <v>2</v>
      </c>
      <c r="GA31">
        <v>2</v>
      </c>
      <c r="GB31" t="s">
        <v>423</v>
      </c>
      <c r="GC31">
        <v>2.9599600000000001</v>
      </c>
      <c r="GD31">
        <v>2.7417400000000001</v>
      </c>
      <c r="GE31">
        <v>0.20996400000000001</v>
      </c>
      <c r="GF31">
        <v>0.21653700000000001</v>
      </c>
      <c r="GG31">
        <v>0.129859</v>
      </c>
      <c r="GH31">
        <v>0.105988</v>
      </c>
      <c r="GI31">
        <v>18585.400000000001</v>
      </c>
      <c r="GJ31">
        <v>17175</v>
      </c>
      <c r="GK31">
        <v>23451.200000000001</v>
      </c>
      <c r="GL31">
        <v>21965.9</v>
      </c>
      <c r="GM31">
        <v>28774.7</v>
      </c>
      <c r="GN31">
        <v>27387</v>
      </c>
      <c r="GO31">
        <v>37003</v>
      </c>
      <c r="GP31">
        <v>34153.300000000003</v>
      </c>
      <c r="GQ31">
        <v>2.0175299999999998</v>
      </c>
      <c r="GR31">
        <v>1.88733</v>
      </c>
      <c r="GS31">
        <v>7.0072700000000002E-2</v>
      </c>
      <c r="GT31">
        <v>0</v>
      </c>
      <c r="GU31">
        <v>28.866099999999999</v>
      </c>
      <c r="GV31">
        <v>999.9</v>
      </c>
      <c r="GW31">
        <v>40.6</v>
      </c>
      <c r="GX31">
        <v>38.799999999999997</v>
      </c>
      <c r="GY31">
        <v>28.445900000000002</v>
      </c>
      <c r="GZ31">
        <v>60.249200000000002</v>
      </c>
      <c r="HA31">
        <v>38.649799999999999</v>
      </c>
      <c r="HB31">
        <v>1</v>
      </c>
      <c r="HC31">
        <v>0.37462899999999999</v>
      </c>
      <c r="HD31">
        <v>1.7723800000000001</v>
      </c>
      <c r="HE31">
        <v>20.107199999999999</v>
      </c>
      <c r="HF31">
        <v>5.2611699999999999</v>
      </c>
      <c r="HG31">
        <v>11.962</v>
      </c>
      <c r="HH31">
        <v>4.9791499999999997</v>
      </c>
      <c r="HI31">
        <v>3.2972299999999999</v>
      </c>
      <c r="HJ31">
        <v>9999</v>
      </c>
      <c r="HK31">
        <v>9999</v>
      </c>
      <c r="HL31">
        <v>9999</v>
      </c>
      <c r="HM31">
        <v>999.9</v>
      </c>
      <c r="HN31">
        <v>1.8641700000000001</v>
      </c>
      <c r="HO31">
        <v>1.8602000000000001</v>
      </c>
      <c r="HP31">
        <v>1.8667800000000001</v>
      </c>
      <c r="HQ31">
        <v>1.86341</v>
      </c>
      <c r="HR31">
        <v>1.8621399999999999</v>
      </c>
      <c r="HS31">
        <v>1.8621799999999999</v>
      </c>
      <c r="HT31">
        <v>1.8633999999999999</v>
      </c>
      <c r="HU31">
        <v>1.8646799999999999</v>
      </c>
      <c r="HV31">
        <v>0</v>
      </c>
      <c r="HW31">
        <v>0</v>
      </c>
      <c r="HX31">
        <v>0</v>
      </c>
      <c r="HY31">
        <v>0</v>
      </c>
      <c r="HZ31" t="s">
        <v>424</v>
      </c>
      <c r="IA31" t="s">
        <v>425</v>
      </c>
      <c r="IB31" t="s">
        <v>426</v>
      </c>
      <c r="IC31" t="s">
        <v>426</v>
      </c>
      <c r="ID31" t="s">
        <v>426</v>
      </c>
      <c r="IE31" t="s">
        <v>426</v>
      </c>
      <c r="IF31">
        <v>0</v>
      </c>
      <c r="IG31">
        <v>100</v>
      </c>
      <c r="IH31">
        <v>100</v>
      </c>
      <c r="II31">
        <v>-0.28999999999999998</v>
      </c>
      <c r="IJ31">
        <v>0.16439999999999999</v>
      </c>
      <c r="IK31">
        <v>-0.50405464505272279</v>
      </c>
      <c r="IL31">
        <v>-8.3322953065825546E-5</v>
      </c>
      <c r="IM31">
        <v>2.3872336679552741E-7</v>
      </c>
      <c r="IN31">
        <v>-5.428329794194132E-11</v>
      </c>
      <c r="IO31">
        <v>0.1644647946346898</v>
      </c>
      <c r="IP31">
        <v>0</v>
      </c>
      <c r="IQ31">
        <v>0</v>
      </c>
      <c r="IR31">
        <v>0</v>
      </c>
      <c r="IS31">
        <v>2</v>
      </c>
      <c r="IT31">
        <v>2035</v>
      </c>
      <c r="IU31">
        <v>1</v>
      </c>
      <c r="IV31">
        <v>21</v>
      </c>
      <c r="IW31">
        <v>0.6</v>
      </c>
      <c r="IX31">
        <v>0.6</v>
      </c>
      <c r="IY31">
        <v>3.1152299999999999</v>
      </c>
      <c r="IZ31">
        <v>2.67334</v>
      </c>
      <c r="JA31">
        <v>1.4526399999999999</v>
      </c>
      <c r="JB31">
        <v>2.2814899999999998</v>
      </c>
      <c r="JC31">
        <v>1.5942400000000001</v>
      </c>
      <c r="JD31">
        <v>2.34619</v>
      </c>
      <c r="JE31">
        <v>43.9467</v>
      </c>
      <c r="JF31">
        <v>23.9999</v>
      </c>
      <c r="JG31">
        <v>18</v>
      </c>
      <c r="JH31">
        <v>509.76299999999998</v>
      </c>
      <c r="JI31">
        <v>465.137</v>
      </c>
      <c r="JJ31">
        <v>27.687799999999999</v>
      </c>
      <c r="JK31">
        <v>31.794499999999999</v>
      </c>
      <c r="JL31">
        <v>30.0001</v>
      </c>
      <c r="JM31">
        <v>31.793399999999998</v>
      </c>
      <c r="JN31">
        <v>31.797799999999999</v>
      </c>
      <c r="JO31">
        <v>62.264400000000002</v>
      </c>
      <c r="JP31">
        <v>28.8108</v>
      </c>
      <c r="JQ31">
        <v>17.128599999999999</v>
      </c>
      <c r="JR31">
        <v>27.691099999999999</v>
      </c>
      <c r="JS31">
        <v>1500</v>
      </c>
      <c r="JT31">
        <v>21.2042</v>
      </c>
      <c r="JU31">
        <v>99.178100000000001</v>
      </c>
      <c r="JV31">
        <v>98.545299999999997</v>
      </c>
    </row>
    <row r="32" spans="1:282" x14ac:dyDescent="0.25">
      <c r="A32">
        <v>16</v>
      </c>
      <c r="B32">
        <v>1689002838.0999999</v>
      </c>
      <c r="C32">
        <v>3497.5</v>
      </c>
      <c r="D32" t="s">
        <v>498</v>
      </c>
      <c r="E32" t="s">
        <v>499</v>
      </c>
      <c r="F32" t="s">
        <v>414</v>
      </c>
      <c r="G32" t="s">
        <v>415</v>
      </c>
      <c r="H32" t="s">
        <v>500</v>
      </c>
      <c r="I32" t="s">
        <v>501</v>
      </c>
      <c r="J32" t="s">
        <v>416</v>
      </c>
      <c r="K32">
        <v>1689002838.0999999</v>
      </c>
      <c r="L32">
        <f t="shared" si="0"/>
        <v>4.3784873077461995E-3</v>
      </c>
      <c r="M32">
        <f t="shared" si="1"/>
        <v>4.3784873077461999</v>
      </c>
      <c r="N32">
        <f t="shared" si="2"/>
        <v>42.998578959561677</v>
      </c>
      <c r="O32">
        <f t="shared" si="3"/>
        <v>346.673</v>
      </c>
      <c r="P32">
        <f t="shared" si="4"/>
        <v>105.8585186943502</v>
      </c>
      <c r="Q32">
        <f t="shared" si="5"/>
        <v>10.514207268588462</v>
      </c>
      <c r="R32">
        <f t="shared" si="6"/>
        <v>34.432673169626597</v>
      </c>
      <c r="S32">
        <f t="shared" si="7"/>
        <v>0.30683153990131334</v>
      </c>
      <c r="T32">
        <f t="shared" si="8"/>
        <v>2.9183074819790145</v>
      </c>
      <c r="U32">
        <f t="shared" si="9"/>
        <v>0.28996966523121742</v>
      </c>
      <c r="V32">
        <f t="shared" si="10"/>
        <v>0.18266875179822833</v>
      </c>
      <c r="W32">
        <f t="shared" si="11"/>
        <v>289.58243101270187</v>
      </c>
      <c r="X32">
        <f t="shared" si="12"/>
        <v>30.858861630315925</v>
      </c>
      <c r="Y32">
        <f t="shared" si="13"/>
        <v>30.0382</v>
      </c>
      <c r="Z32">
        <f t="shared" si="14"/>
        <v>4.269806894726365</v>
      </c>
      <c r="AA32">
        <f t="shared" si="15"/>
        <v>65.184393037452153</v>
      </c>
      <c r="AB32">
        <f t="shared" si="16"/>
        <v>2.8235997782792803</v>
      </c>
      <c r="AC32">
        <f t="shared" si="17"/>
        <v>4.3317113908799634</v>
      </c>
      <c r="AD32">
        <f t="shared" si="18"/>
        <v>1.4462071164470847</v>
      </c>
      <c r="AE32">
        <f t="shared" si="19"/>
        <v>-193.09129027160739</v>
      </c>
      <c r="AF32">
        <f t="shared" si="20"/>
        <v>39.474546855785</v>
      </c>
      <c r="AG32">
        <f t="shared" si="21"/>
        <v>3.0125118814462493</v>
      </c>
      <c r="AH32">
        <f t="shared" si="22"/>
        <v>138.97819947832573</v>
      </c>
      <c r="AI32">
        <v>0</v>
      </c>
      <c r="AJ32">
        <v>0</v>
      </c>
      <c r="AK32">
        <f t="shared" si="23"/>
        <v>1</v>
      </c>
      <c r="AL32">
        <f t="shared" si="24"/>
        <v>0</v>
      </c>
      <c r="AM32">
        <f t="shared" si="25"/>
        <v>51966.322235437881</v>
      </c>
      <c r="AN32" t="s">
        <v>418</v>
      </c>
      <c r="AO32">
        <v>8197.4</v>
      </c>
      <c r="AP32">
        <v>619.92999999999995</v>
      </c>
      <c r="AQ32">
        <v>3131.443117258741</v>
      </c>
      <c r="AR32">
        <f t="shared" si="26"/>
        <v>0.80203057287443702</v>
      </c>
      <c r="AS32">
        <v>-1.0448500102641549</v>
      </c>
      <c r="AT32" t="s">
        <v>502</v>
      </c>
      <c r="AU32">
        <v>8185.53</v>
      </c>
      <c r="AV32">
        <v>760.95053846153849</v>
      </c>
      <c r="AW32">
        <v>1098.148499247834</v>
      </c>
      <c r="AX32">
        <f t="shared" si="27"/>
        <v>0.30706043947358297</v>
      </c>
      <c r="AY32">
        <v>0.5</v>
      </c>
      <c r="AZ32">
        <f t="shared" si="28"/>
        <v>1513.268700006581</v>
      </c>
      <c r="BA32">
        <f t="shared" si="29"/>
        <v>42.998578959561677</v>
      </c>
      <c r="BB32">
        <f t="shared" si="30"/>
        <v>232.33247603281916</v>
      </c>
      <c r="BC32">
        <f t="shared" si="31"/>
        <v>2.9104830470381298E-2</v>
      </c>
      <c r="BD32">
        <f t="shared" si="32"/>
        <v>1.8515661765267557</v>
      </c>
      <c r="BE32">
        <f t="shared" si="33"/>
        <v>453.64488265836195</v>
      </c>
      <c r="BF32" t="s">
        <v>503</v>
      </c>
      <c r="BG32">
        <v>605.95000000000005</v>
      </c>
      <c r="BH32">
        <f t="shared" si="34"/>
        <v>605.95000000000005</v>
      </c>
      <c r="BI32">
        <f t="shared" si="35"/>
        <v>0.44820759631776619</v>
      </c>
      <c r="BJ32">
        <f t="shared" si="36"/>
        <v>0.68508530867443407</v>
      </c>
      <c r="BK32">
        <f t="shared" si="37"/>
        <v>0.80510796252650896</v>
      </c>
      <c r="BL32">
        <f t="shared" si="38"/>
        <v>0.70511274933248569</v>
      </c>
      <c r="BM32">
        <f t="shared" si="39"/>
        <v>0.8095894877229235</v>
      </c>
      <c r="BN32">
        <f t="shared" si="40"/>
        <v>0.54553801043437411</v>
      </c>
      <c r="BO32">
        <f t="shared" si="41"/>
        <v>0.45446198956562589</v>
      </c>
      <c r="BP32">
        <v>13600</v>
      </c>
      <c r="BQ32">
        <v>290.00000000000011</v>
      </c>
      <c r="BR32">
        <v>993.17</v>
      </c>
      <c r="BS32">
        <v>295</v>
      </c>
      <c r="BT32">
        <v>8185.53</v>
      </c>
      <c r="BU32">
        <v>995.82</v>
      </c>
      <c r="BV32">
        <v>-2.65</v>
      </c>
      <c r="BW32">
        <v>300.00000000000011</v>
      </c>
      <c r="BX32">
        <v>19.3</v>
      </c>
      <c r="BY32">
        <v>1098.148499247834</v>
      </c>
      <c r="BZ32">
        <v>3.9877560369106</v>
      </c>
      <c r="CA32">
        <v>-83.765320867197161</v>
      </c>
      <c r="CB32">
        <v>2.9976972592066682</v>
      </c>
      <c r="CC32">
        <v>0.96538182427890951</v>
      </c>
      <c r="CD32">
        <v>-4.2384838709677436E-3</v>
      </c>
      <c r="CE32">
        <v>289.99999999999989</v>
      </c>
      <c r="CF32">
        <v>991.82</v>
      </c>
      <c r="CG32">
        <v>645</v>
      </c>
      <c r="CH32">
        <v>8175.6</v>
      </c>
      <c r="CI32">
        <v>995.69</v>
      </c>
      <c r="CJ32">
        <v>-3.87</v>
      </c>
      <c r="CX32">
        <f t="shared" si="42"/>
        <v>1800.1</v>
      </c>
      <c r="CY32">
        <f t="shared" si="43"/>
        <v>1513.268700006581</v>
      </c>
      <c r="CZ32">
        <f t="shared" si="44"/>
        <v>0.84065813010753909</v>
      </c>
      <c r="DA32">
        <f t="shared" si="45"/>
        <v>0.16087019110755063</v>
      </c>
      <c r="DB32">
        <v>6</v>
      </c>
      <c r="DC32">
        <v>0.5</v>
      </c>
      <c r="DD32" t="s">
        <v>421</v>
      </c>
      <c r="DE32">
        <v>2</v>
      </c>
      <c r="DF32">
        <v>1689002838.0999999</v>
      </c>
      <c r="DG32">
        <v>346.673</v>
      </c>
      <c r="DH32">
        <v>400.07900000000001</v>
      </c>
      <c r="DI32">
        <v>28.4284</v>
      </c>
      <c r="DJ32">
        <v>23.3249</v>
      </c>
      <c r="DK32">
        <v>347.096</v>
      </c>
      <c r="DL32">
        <v>28.238099999999999</v>
      </c>
      <c r="DM32">
        <v>500.12900000000002</v>
      </c>
      <c r="DN32">
        <v>99.223600000000005</v>
      </c>
      <c r="DO32">
        <v>9.9604200000000004E-2</v>
      </c>
      <c r="DP32">
        <v>30.289100000000001</v>
      </c>
      <c r="DQ32">
        <v>30.0382</v>
      </c>
      <c r="DR32">
        <v>999.9</v>
      </c>
      <c r="DS32">
        <v>0</v>
      </c>
      <c r="DT32">
        <v>0</v>
      </c>
      <c r="DU32">
        <v>10013.799999999999</v>
      </c>
      <c r="DV32">
        <v>0</v>
      </c>
      <c r="DW32">
        <v>1764.55</v>
      </c>
      <c r="DX32">
        <v>-53.405900000000003</v>
      </c>
      <c r="DY32">
        <v>356.81599999999997</v>
      </c>
      <c r="DZ32">
        <v>409.63299999999998</v>
      </c>
      <c r="EA32">
        <v>5.10351</v>
      </c>
      <c r="EB32">
        <v>400.07900000000001</v>
      </c>
      <c r="EC32">
        <v>23.3249</v>
      </c>
      <c r="ED32">
        <v>2.82077</v>
      </c>
      <c r="EE32">
        <v>2.3143799999999999</v>
      </c>
      <c r="EF32">
        <v>23.0061</v>
      </c>
      <c r="EG32">
        <v>19.776900000000001</v>
      </c>
      <c r="EH32">
        <v>1800.1</v>
      </c>
      <c r="EI32">
        <v>0.97799899999999995</v>
      </c>
      <c r="EJ32">
        <v>2.2000800000000001E-2</v>
      </c>
      <c r="EK32">
        <v>0</v>
      </c>
      <c r="EL32">
        <v>761.18499999999995</v>
      </c>
      <c r="EM32">
        <v>4.9999900000000004</v>
      </c>
      <c r="EN32">
        <v>18364.8</v>
      </c>
      <c r="EO32">
        <v>15864.7</v>
      </c>
      <c r="EP32">
        <v>47.625</v>
      </c>
      <c r="EQ32">
        <v>48.561999999999998</v>
      </c>
      <c r="ER32">
        <v>48</v>
      </c>
      <c r="ES32">
        <v>48.436999999999998</v>
      </c>
      <c r="ET32">
        <v>49.436999999999998</v>
      </c>
      <c r="EU32">
        <v>1755.61</v>
      </c>
      <c r="EV32">
        <v>39.49</v>
      </c>
      <c r="EW32">
        <v>0</v>
      </c>
      <c r="EX32">
        <v>1624.2000000476839</v>
      </c>
      <c r="EY32">
        <v>0</v>
      </c>
      <c r="EZ32">
        <v>760.95053846153849</v>
      </c>
      <c r="FA32">
        <v>0.61353845264504403</v>
      </c>
      <c r="FB32">
        <v>-187.846153743044</v>
      </c>
      <c r="FC32">
        <v>18424.442307692301</v>
      </c>
      <c r="FD32">
        <v>15</v>
      </c>
      <c r="FE32">
        <v>1689002804.0999999</v>
      </c>
      <c r="FF32" t="s">
        <v>504</v>
      </c>
      <c r="FG32">
        <v>1689002804.0999999</v>
      </c>
      <c r="FH32">
        <v>1689002800.5999999</v>
      </c>
      <c r="FI32">
        <v>19</v>
      </c>
      <c r="FJ32">
        <v>0.30199999999999999</v>
      </c>
      <c r="FK32">
        <v>-0.115</v>
      </c>
      <c r="FL32">
        <v>-0.41899999999999998</v>
      </c>
      <c r="FM32">
        <v>0.19</v>
      </c>
      <c r="FN32">
        <v>400</v>
      </c>
      <c r="FO32">
        <v>23</v>
      </c>
      <c r="FP32">
        <v>0.03</v>
      </c>
      <c r="FQ32">
        <v>0.02</v>
      </c>
      <c r="FR32">
        <v>42.945294388311588</v>
      </c>
      <c r="FS32">
        <v>-0.62665935880613499</v>
      </c>
      <c r="FT32">
        <v>7.1152241380755571E-2</v>
      </c>
      <c r="FU32">
        <v>1</v>
      </c>
      <c r="FV32">
        <v>0.30948412605316022</v>
      </c>
      <c r="FW32">
        <v>-5.8454325438176344E-3</v>
      </c>
      <c r="FX32">
        <v>1.768791746336976E-3</v>
      </c>
      <c r="FY32">
        <v>1</v>
      </c>
      <c r="FZ32">
        <v>2</v>
      </c>
      <c r="GA32">
        <v>2</v>
      </c>
      <c r="GB32" t="s">
        <v>423</v>
      </c>
      <c r="GC32">
        <v>2.9597199999999999</v>
      </c>
      <c r="GD32">
        <v>2.74295</v>
      </c>
      <c r="GE32">
        <v>7.9871800000000007E-2</v>
      </c>
      <c r="GF32">
        <v>8.9116399999999998E-2</v>
      </c>
      <c r="GG32">
        <v>0.13031999999999999</v>
      </c>
      <c r="GH32">
        <v>0.113097</v>
      </c>
      <c r="GI32">
        <v>21642</v>
      </c>
      <c r="GJ32">
        <v>19948.7</v>
      </c>
      <c r="GK32">
        <v>23447.5</v>
      </c>
      <c r="GL32">
        <v>21944.1</v>
      </c>
      <c r="GM32">
        <v>28747.7</v>
      </c>
      <c r="GN32">
        <v>27143.5</v>
      </c>
      <c r="GO32">
        <v>36996</v>
      </c>
      <c r="GP32">
        <v>34134</v>
      </c>
      <c r="GQ32">
        <v>2.00895</v>
      </c>
      <c r="GR32">
        <v>1.8674999999999999</v>
      </c>
      <c r="GS32">
        <v>5.8561599999999998E-2</v>
      </c>
      <c r="GT32">
        <v>0</v>
      </c>
      <c r="GU32">
        <v>29.084499999999998</v>
      </c>
      <c r="GV32">
        <v>999.9</v>
      </c>
      <c r="GW32">
        <v>37.200000000000003</v>
      </c>
      <c r="GX32">
        <v>41</v>
      </c>
      <c r="GY32">
        <v>29.312899999999999</v>
      </c>
      <c r="GZ32">
        <v>60.213799999999999</v>
      </c>
      <c r="HA32">
        <v>38.866199999999999</v>
      </c>
      <c r="HB32">
        <v>1</v>
      </c>
      <c r="HC32">
        <v>0.40370899999999998</v>
      </c>
      <c r="HD32">
        <v>2.2440099999999998</v>
      </c>
      <c r="HE32">
        <v>20.100100000000001</v>
      </c>
      <c r="HF32">
        <v>5.25847</v>
      </c>
      <c r="HG32">
        <v>11.962</v>
      </c>
      <c r="HH32">
        <v>4.9791999999999996</v>
      </c>
      <c r="HI32">
        <v>3.2973300000000001</v>
      </c>
      <c r="HJ32">
        <v>9999</v>
      </c>
      <c r="HK32">
        <v>9999</v>
      </c>
      <c r="HL32">
        <v>9999</v>
      </c>
      <c r="HM32">
        <v>999.9</v>
      </c>
      <c r="HN32">
        <v>1.86426</v>
      </c>
      <c r="HO32">
        <v>1.8602099999999999</v>
      </c>
      <c r="HP32">
        <v>1.86687</v>
      </c>
      <c r="HQ32">
        <v>1.8635200000000001</v>
      </c>
      <c r="HR32">
        <v>1.8621799999999999</v>
      </c>
      <c r="HS32">
        <v>1.8621799999999999</v>
      </c>
      <c r="HT32">
        <v>1.86344</v>
      </c>
      <c r="HU32">
        <v>1.86477</v>
      </c>
      <c r="HV32">
        <v>0</v>
      </c>
      <c r="HW32">
        <v>0</v>
      </c>
      <c r="HX32">
        <v>0</v>
      </c>
      <c r="HY32">
        <v>0</v>
      </c>
      <c r="HZ32" t="s">
        <v>424</v>
      </c>
      <c r="IA32" t="s">
        <v>425</v>
      </c>
      <c r="IB32" t="s">
        <v>426</v>
      </c>
      <c r="IC32" t="s">
        <v>426</v>
      </c>
      <c r="ID32" t="s">
        <v>426</v>
      </c>
      <c r="IE32" t="s">
        <v>426</v>
      </c>
      <c r="IF32">
        <v>0</v>
      </c>
      <c r="IG32">
        <v>100</v>
      </c>
      <c r="IH32">
        <v>100</v>
      </c>
      <c r="II32">
        <v>-0.42299999999999999</v>
      </c>
      <c r="IJ32">
        <v>0.1903</v>
      </c>
      <c r="IK32">
        <v>-0.42047362782870901</v>
      </c>
      <c r="IL32">
        <v>-8.3322953065825546E-5</v>
      </c>
      <c r="IM32">
        <v>2.3872336679552741E-7</v>
      </c>
      <c r="IN32">
        <v>-5.428329794194132E-11</v>
      </c>
      <c r="IO32">
        <v>0.19032999999999589</v>
      </c>
      <c r="IP32">
        <v>0</v>
      </c>
      <c r="IQ32">
        <v>0</v>
      </c>
      <c r="IR32">
        <v>0</v>
      </c>
      <c r="IS32">
        <v>2</v>
      </c>
      <c r="IT32">
        <v>2035</v>
      </c>
      <c r="IU32">
        <v>1</v>
      </c>
      <c r="IV32">
        <v>21</v>
      </c>
      <c r="IW32">
        <v>0.6</v>
      </c>
      <c r="IX32">
        <v>0.6</v>
      </c>
      <c r="IY32">
        <v>1.073</v>
      </c>
      <c r="IZ32">
        <v>2.6684600000000001</v>
      </c>
      <c r="JA32">
        <v>1.4514199999999999</v>
      </c>
      <c r="JB32">
        <v>2.2802699999999998</v>
      </c>
      <c r="JC32">
        <v>1.5942400000000001</v>
      </c>
      <c r="JD32">
        <v>2.4084500000000002</v>
      </c>
      <c r="JE32">
        <v>45.518599999999999</v>
      </c>
      <c r="JF32">
        <v>24.043700000000001</v>
      </c>
      <c r="JG32">
        <v>18</v>
      </c>
      <c r="JH32">
        <v>508.10199999999998</v>
      </c>
      <c r="JI32">
        <v>454.89699999999999</v>
      </c>
      <c r="JJ32">
        <v>27.6326</v>
      </c>
      <c r="JK32">
        <v>32.213900000000002</v>
      </c>
      <c r="JL32">
        <v>30.000499999999999</v>
      </c>
      <c r="JM32">
        <v>32.238900000000001</v>
      </c>
      <c r="JN32">
        <v>32.251899999999999</v>
      </c>
      <c r="JO32">
        <v>21.427800000000001</v>
      </c>
      <c r="JP32">
        <v>22.087399999999999</v>
      </c>
      <c r="JQ32">
        <v>22.839700000000001</v>
      </c>
      <c r="JR32">
        <v>27.613299999999999</v>
      </c>
      <c r="JS32">
        <v>400</v>
      </c>
      <c r="JT32">
        <v>23.301300000000001</v>
      </c>
      <c r="JU32">
        <v>99.160499999999999</v>
      </c>
      <c r="JV32">
        <v>98.472999999999999</v>
      </c>
    </row>
    <row r="33" spans="1:282" x14ac:dyDescent="0.25">
      <c r="A33">
        <v>17</v>
      </c>
      <c r="B33">
        <v>1689002943.5999999</v>
      </c>
      <c r="C33">
        <v>3603</v>
      </c>
      <c r="D33" t="s">
        <v>505</v>
      </c>
      <c r="E33" t="s">
        <v>506</v>
      </c>
      <c r="F33" t="s">
        <v>414</v>
      </c>
      <c r="G33" t="s">
        <v>415</v>
      </c>
      <c r="H33" t="s">
        <v>500</v>
      </c>
      <c r="I33" t="s">
        <v>501</v>
      </c>
      <c r="J33" t="s">
        <v>416</v>
      </c>
      <c r="K33">
        <v>1689002943.5999999</v>
      </c>
      <c r="L33">
        <f t="shared" si="0"/>
        <v>4.6720852899489749E-3</v>
      </c>
      <c r="M33">
        <f t="shared" si="1"/>
        <v>4.6720852899489751</v>
      </c>
      <c r="N33">
        <f t="shared" si="2"/>
        <v>35.831377377631611</v>
      </c>
      <c r="O33">
        <f t="shared" si="3"/>
        <v>255.68899999999999</v>
      </c>
      <c r="P33">
        <f t="shared" si="4"/>
        <v>72.136976225232587</v>
      </c>
      <c r="Q33">
        <f t="shared" si="5"/>
        <v>7.1651179425198572</v>
      </c>
      <c r="R33">
        <f t="shared" si="6"/>
        <v>25.396709669182599</v>
      </c>
      <c r="S33">
        <f t="shared" si="7"/>
        <v>0.33646134690181656</v>
      </c>
      <c r="T33">
        <f t="shared" si="8"/>
        <v>2.9139986106553879</v>
      </c>
      <c r="U33">
        <f t="shared" si="9"/>
        <v>0.31627258008646425</v>
      </c>
      <c r="V33">
        <f t="shared" si="10"/>
        <v>0.19938321618906121</v>
      </c>
      <c r="W33">
        <f t="shared" si="11"/>
        <v>289.59519901270136</v>
      </c>
      <c r="X33">
        <f t="shared" si="12"/>
        <v>30.660403857934483</v>
      </c>
      <c r="Y33">
        <f t="shared" si="13"/>
        <v>29.9269</v>
      </c>
      <c r="Z33">
        <f t="shared" si="14"/>
        <v>4.2425936747982451</v>
      </c>
      <c r="AA33">
        <f t="shared" si="15"/>
        <v>65.736377182327004</v>
      </c>
      <c r="AB33">
        <f t="shared" si="16"/>
        <v>2.8275292803077998</v>
      </c>
      <c r="AC33">
        <f t="shared" si="17"/>
        <v>4.3013159554949905</v>
      </c>
      <c r="AD33">
        <f t="shared" si="18"/>
        <v>1.4150643944904453</v>
      </c>
      <c r="AE33">
        <f t="shared" si="19"/>
        <v>-206.03896128674978</v>
      </c>
      <c r="AF33">
        <f t="shared" si="20"/>
        <v>37.609618647578166</v>
      </c>
      <c r="AG33">
        <f t="shared" si="21"/>
        <v>2.8711052450066452</v>
      </c>
      <c r="AH33">
        <f t="shared" si="22"/>
        <v>124.03696161853637</v>
      </c>
      <c r="AI33">
        <v>0</v>
      </c>
      <c r="AJ33">
        <v>0</v>
      </c>
      <c r="AK33">
        <f t="shared" si="23"/>
        <v>1</v>
      </c>
      <c r="AL33">
        <f t="shared" si="24"/>
        <v>0</v>
      </c>
      <c r="AM33">
        <f t="shared" si="25"/>
        <v>51864.831028498615</v>
      </c>
      <c r="AN33" t="s">
        <v>418</v>
      </c>
      <c r="AO33">
        <v>8197.4</v>
      </c>
      <c r="AP33">
        <v>619.92999999999995</v>
      </c>
      <c r="AQ33">
        <v>3131.443117258741</v>
      </c>
      <c r="AR33">
        <f t="shared" si="26"/>
        <v>0.80203057287443702</v>
      </c>
      <c r="AS33">
        <v>-1.0448500102641549</v>
      </c>
      <c r="AT33" t="s">
        <v>507</v>
      </c>
      <c r="AU33">
        <v>8184.36</v>
      </c>
      <c r="AV33">
        <v>735.80295999999998</v>
      </c>
      <c r="AW33">
        <v>1023.465131923899</v>
      </c>
      <c r="AX33">
        <f t="shared" si="27"/>
        <v>0.28106690003513324</v>
      </c>
      <c r="AY33">
        <v>0.5</v>
      </c>
      <c r="AZ33">
        <f t="shared" si="28"/>
        <v>1513.3359000065809</v>
      </c>
      <c r="BA33">
        <f t="shared" si="29"/>
        <v>35.831377377631611</v>
      </c>
      <c r="BB33">
        <f t="shared" si="30"/>
        <v>212.67431506336402</v>
      </c>
      <c r="BC33">
        <f t="shared" si="31"/>
        <v>2.4367509809114691E-2</v>
      </c>
      <c r="BD33">
        <f t="shared" si="32"/>
        <v>2.0596480716175325</v>
      </c>
      <c r="BE33">
        <f t="shared" si="33"/>
        <v>440.37021310702119</v>
      </c>
      <c r="BF33" t="s">
        <v>508</v>
      </c>
      <c r="BG33">
        <v>591.78</v>
      </c>
      <c r="BH33">
        <f t="shared" si="34"/>
        <v>591.78</v>
      </c>
      <c r="BI33">
        <f t="shared" si="35"/>
        <v>0.42178782496715039</v>
      </c>
      <c r="BJ33">
        <f t="shared" si="36"/>
        <v>0.66637034878145962</v>
      </c>
      <c r="BK33">
        <f t="shared" si="37"/>
        <v>0.83002267938991403</v>
      </c>
      <c r="BL33">
        <f t="shared" si="38"/>
        <v>0.71285533567408943</v>
      </c>
      <c r="BM33">
        <f t="shared" si="39"/>
        <v>0.83932589117258971</v>
      </c>
      <c r="BN33">
        <f t="shared" si="40"/>
        <v>0.53593783450109</v>
      </c>
      <c r="BO33">
        <f t="shared" si="41"/>
        <v>0.46406216549891</v>
      </c>
      <c r="BP33">
        <v>13602</v>
      </c>
      <c r="BQ33">
        <v>290.00000000000011</v>
      </c>
      <c r="BR33">
        <v>928.02</v>
      </c>
      <c r="BS33">
        <v>295</v>
      </c>
      <c r="BT33">
        <v>8184.36</v>
      </c>
      <c r="BU33">
        <v>928.89</v>
      </c>
      <c r="BV33">
        <v>-0.87</v>
      </c>
      <c r="BW33">
        <v>300.00000000000011</v>
      </c>
      <c r="BX33">
        <v>19.3</v>
      </c>
      <c r="BY33">
        <v>1023.465131923899</v>
      </c>
      <c r="BZ33">
        <v>3.0004264362314781</v>
      </c>
      <c r="CA33">
        <v>-77.399860454727204</v>
      </c>
      <c r="CB33">
        <v>2.255172644931994</v>
      </c>
      <c r="CC33">
        <v>0.97678147221141243</v>
      </c>
      <c r="CD33">
        <v>-4.2379176863181333E-3</v>
      </c>
      <c r="CE33">
        <v>289.99999999999989</v>
      </c>
      <c r="CF33">
        <v>924.95</v>
      </c>
      <c r="CG33">
        <v>635</v>
      </c>
      <c r="CH33">
        <v>8174.71</v>
      </c>
      <c r="CI33">
        <v>928.78</v>
      </c>
      <c r="CJ33">
        <v>-3.83</v>
      </c>
      <c r="CX33">
        <f t="shared" si="42"/>
        <v>1800.18</v>
      </c>
      <c r="CY33">
        <f t="shared" si="43"/>
        <v>1513.3359000065809</v>
      </c>
      <c r="CZ33">
        <f t="shared" si="44"/>
        <v>0.84065810086023662</v>
      </c>
      <c r="DA33">
        <f t="shared" si="45"/>
        <v>0.16087013466025693</v>
      </c>
      <c r="DB33">
        <v>6</v>
      </c>
      <c r="DC33">
        <v>0.5</v>
      </c>
      <c r="DD33" t="s">
        <v>421</v>
      </c>
      <c r="DE33">
        <v>2</v>
      </c>
      <c r="DF33">
        <v>1689002943.5999999</v>
      </c>
      <c r="DG33">
        <v>255.68899999999999</v>
      </c>
      <c r="DH33">
        <v>300.11200000000002</v>
      </c>
      <c r="DI33">
        <v>28.466999999999999</v>
      </c>
      <c r="DJ33">
        <v>23.021100000000001</v>
      </c>
      <c r="DK33">
        <v>256.13200000000001</v>
      </c>
      <c r="DL33">
        <v>28.276</v>
      </c>
      <c r="DM33">
        <v>500.09199999999998</v>
      </c>
      <c r="DN33">
        <v>99.227800000000002</v>
      </c>
      <c r="DO33">
        <v>9.8763400000000001E-2</v>
      </c>
      <c r="DP33">
        <v>30.1663</v>
      </c>
      <c r="DQ33">
        <v>29.9269</v>
      </c>
      <c r="DR33">
        <v>999.9</v>
      </c>
      <c r="DS33">
        <v>0</v>
      </c>
      <c r="DT33">
        <v>0</v>
      </c>
      <c r="DU33">
        <v>9988.75</v>
      </c>
      <c r="DV33">
        <v>0</v>
      </c>
      <c r="DW33">
        <v>1766.52</v>
      </c>
      <c r="DX33">
        <v>-44.423400000000001</v>
      </c>
      <c r="DY33">
        <v>263.18099999999998</v>
      </c>
      <c r="DZ33">
        <v>307.18400000000003</v>
      </c>
      <c r="EA33">
        <v>5.4458500000000001</v>
      </c>
      <c r="EB33">
        <v>300.11200000000002</v>
      </c>
      <c r="EC33">
        <v>23.021100000000001</v>
      </c>
      <c r="ED33">
        <v>2.8247100000000001</v>
      </c>
      <c r="EE33">
        <v>2.2843300000000002</v>
      </c>
      <c r="EF33">
        <v>23.029199999999999</v>
      </c>
      <c r="EG33">
        <v>19.566299999999998</v>
      </c>
      <c r="EH33">
        <v>1800.18</v>
      </c>
      <c r="EI33">
        <v>0.97800200000000004</v>
      </c>
      <c r="EJ33">
        <v>2.1997599999999999E-2</v>
      </c>
      <c r="EK33">
        <v>0</v>
      </c>
      <c r="EL33">
        <v>735.50900000000001</v>
      </c>
      <c r="EM33">
        <v>4.9999900000000004</v>
      </c>
      <c r="EN33">
        <v>17893.900000000001</v>
      </c>
      <c r="EO33">
        <v>15865.4</v>
      </c>
      <c r="EP33">
        <v>47.75</v>
      </c>
      <c r="EQ33">
        <v>48.75</v>
      </c>
      <c r="ER33">
        <v>48.125</v>
      </c>
      <c r="ES33">
        <v>48.625</v>
      </c>
      <c r="ET33">
        <v>49.561999999999998</v>
      </c>
      <c r="EU33">
        <v>1755.69</v>
      </c>
      <c r="EV33">
        <v>39.49</v>
      </c>
      <c r="EW33">
        <v>0</v>
      </c>
      <c r="EX33">
        <v>103.3999998569489</v>
      </c>
      <c r="EY33">
        <v>0</v>
      </c>
      <c r="EZ33">
        <v>735.80295999999998</v>
      </c>
      <c r="FA33">
        <v>-0.30861536295761982</v>
      </c>
      <c r="FB33">
        <v>-80.72307685433347</v>
      </c>
      <c r="FC33">
        <v>17884.716</v>
      </c>
      <c r="FD33">
        <v>15</v>
      </c>
      <c r="FE33">
        <v>1689002914.5999999</v>
      </c>
      <c r="FF33" t="s">
        <v>509</v>
      </c>
      <c r="FG33">
        <v>1689002913.5999999</v>
      </c>
      <c r="FH33">
        <v>1689002914.5999999</v>
      </c>
      <c r="FI33">
        <v>20</v>
      </c>
      <c r="FJ33">
        <v>-1.6E-2</v>
      </c>
      <c r="FK33">
        <v>1E-3</v>
      </c>
      <c r="FL33">
        <v>-0.441</v>
      </c>
      <c r="FM33">
        <v>0.191</v>
      </c>
      <c r="FN33">
        <v>300</v>
      </c>
      <c r="FO33">
        <v>23</v>
      </c>
      <c r="FP33">
        <v>0.05</v>
      </c>
      <c r="FQ33">
        <v>0.02</v>
      </c>
      <c r="FR33">
        <v>35.66431721311848</v>
      </c>
      <c r="FS33">
        <v>-0.50746334587671849</v>
      </c>
      <c r="FT33">
        <v>6.3387191451630936E-2</v>
      </c>
      <c r="FU33">
        <v>1</v>
      </c>
      <c r="FV33">
        <v>0.33494260440279328</v>
      </c>
      <c r="FW33">
        <v>4.3681578803865653E-2</v>
      </c>
      <c r="FX33">
        <v>4.5755181530984079E-3</v>
      </c>
      <c r="FY33">
        <v>1</v>
      </c>
      <c r="FZ33">
        <v>2</v>
      </c>
      <c r="GA33">
        <v>2</v>
      </c>
      <c r="GB33" t="s">
        <v>423</v>
      </c>
      <c r="GC33">
        <v>2.9595600000000002</v>
      </c>
      <c r="GD33">
        <v>2.7418999999999998</v>
      </c>
      <c r="GE33">
        <v>6.2362399999999998E-2</v>
      </c>
      <c r="GF33">
        <v>7.1011599999999994E-2</v>
      </c>
      <c r="GG33">
        <v>0.13043199999999999</v>
      </c>
      <c r="GH33">
        <v>0.112066</v>
      </c>
      <c r="GI33">
        <v>22051.8</v>
      </c>
      <c r="GJ33">
        <v>20343.3</v>
      </c>
      <c r="GK33">
        <v>23445.8</v>
      </c>
      <c r="GL33">
        <v>21942.400000000001</v>
      </c>
      <c r="GM33">
        <v>28741.4</v>
      </c>
      <c r="GN33">
        <v>27172.799999999999</v>
      </c>
      <c r="GO33">
        <v>36993.599999999999</v>
      </c>
      <c r="GP33">
        <v>34131.599999999999</v>
      </c>
      <c r="GQ33">
        <v>2.0093800000000002</v>
      </c>
      <c r="GR33">
        <v>1.86402</v>
      </c>
      <c r="GS33">
        <v>4.9620900000000003E-2</v>
      </c>
      <c r="GT33">
        <v>0</v>
      </c>
      <c r="GU33">
        <v>29.1187</v>
      </c>
      <c r="GV33">
        <v>999.9</v>
      </c>
      <c r="GW33">
        <v>37</v>
      </c>
      <c r="GX33">
        <v>41.1</v>
      </c>
      <c r="GY33">
        <v>29.312000000000001</v>
      </c>
      <c r="GZ33">
        <v>60.483800000000002</v>
      </c>
      <c r="HA33">
        <v>39.703499999999998</v>
      </c>
      <c r="HB33">
        <v>1</v>
      </c>
      <c r="HC33">
        <v>0.40662900000000002</v>
      </c>
      <c r="HD33">
        <v>1.63388</v>
      </c>
      <c r="HE33">
        <v>20.109200000000001</v>
      </c>
      <c r="HF33">
        <v>5.2634100000000004</v>
      </c>
      <c r="HG33">
        <v>11.962</v>
      </c>
      <c r="HH33">
        <v>4.9797500000000001</v>
      </c>
      <c r="HI33">
        <v>3.298</v>
      </c>
      <c r="HJ33">
        <v>9999</v>
      </c>
      <c r="HK33">
        <v>9999</v>
      </c>
      <c r="HL33">
        <v>9999</v>
      </c>
      <c r="HM33">
        <v>999.9</v>
      </c>
      <c r="HN33">
        <v>1.8642300000000001</v>
      </c>
      <c r="HO33">
        <v>1.8602000000000001</v>
      </c>
      <c r="HP33">
        <v>1.86686</v>
      </c>
      <c r="HQ33">
        <v>1.8635299999999999</v>
      </c>
      <c r="HR33">
        <v>1.8621799999999999</v>
      </c>
      <c r="HS33">
        <v>1.8621799999999999</v>
      </c>
      <c r="HT33">
        <v>1.8634299999999999</v>
      </c>
      <c r="HU33">
        <v>1.86473</v>
      </c>
      <c r="HV33">
        <v>0</v>
      </c>
      <c r="HW33">
        <v>0</v>
      </c>
      <c r="HX33">
        <v>0</v>
      </c>
      <c r="HY33">
        <v>0</v>
      </c>
      <c r="HZ33" t="s">
        <v>424</v>
      </c>
      <c r="IA33" t="s">
        <v>425</v>
      </c>
      <c r="IB33" t="s">
        <v>426</v>
      </c>
      <c r="IC33" t="s">
        <v>426</v>
      </c>
      <c r="ID33" t="s">
        <v>426</v>
      </c>
      <c r="IE33" t="s">
        <v>426</v>
      </c>
      <c r="IF33">
        <v>0</v>
      </c>
      <c r="IG33">
        <v>100</v>
      </c>
      <c r="IH33">
        <v>100</v>
      </c>
      <c r="II33">
        <v>-0.443</v>
      </c>
      <c r="IJ33">
        <v>0.191</v>
      </c>
      <c r="IK33">
        <v>-0.43619051863076308</v>
      </c>
      <c r="IL33">
        <v>-8.3322953065825546E-5</v>
      </c>
      <c r="IM33">
        <v>2.3872336679552741E-7</v>
      </c>
      <c r="IN33">
        <v>-5.428329794194132E-11</v>
      </c>
      <c r="IO33">
        <v>0.19096000000000399</v>
      </c>
      <c r="IP33">
        <v>0</v>
      </c>
      <c r="IQ33">
        <v>0</v>
      </c>
      <c r="IR33">
        <v>0</v>
      </c>
      <c r="IS33">
        <v>2</v>
      </c>
      <c r="IT33">
        <v>2035</v>
      </c>
      <c r="IU33">
        <v>1</v>
      </c>
      <c r="IV33">
        <v>21</v>
      </c>
      <c r="IW33">
        <v>0.5</v>
      </c>
      <c r="IX33">
        <v>0.5</v>
      </c>
      <c r="IY33">
        <v>0.852051</v>
      </c>
      <c r="IZ33">
        <v>2.67944</v>
      </c>
      <c r="JA33">
        <v>1.4526399999999999</v>
      </c>
      <c r="JB33">
        <v>2.2790499999999998</v>
      </c>
      <c r="JC33">
        <v>1.5942400000000001</v>
      </c>
      <c r="JD33">
        <v>2.3022499999999999</v>
      </c>
      <c r="JE33">
        <v>45.633099999999999</v>
      </c>
      <c r="JF33">
        <v>24.043700000000001</v>
      </c>
      <c r="JG33">
        <v>18</v>
      </c>
      <c r="JH33">
        <v>508.82400000000001</v>
      </c>
      <c r="JI33">
        <v>452.85199999999998</v>
      </c>
      <c r="JJ33">
        <v>27.769200000000001</v>
      </c>
      <c r="JK33">
        <v>32.279400000000003</v>
      </c>
      <c r="JL33">
        <v>30.000399999999999</v>
      </c>
      <c r="JM33">
        <v>32.289900000000003</v>
      </c>
      <c r="JN33">
        <v>32.300199999999997</v>
      </c>
      <c r="JO33">
        <v>17.015699999999999</v>
      </c>
      <c r="JP33">
        <v>23.415900000000001</v>
      </c>
      <c r="JQ33">
        <v>22.183499999999999</v>
      </c>
      <c r="JR33">
        <v>27.784600000000001</v>
      </c>
      <c r="JS33">
        <v>300</v>
      </c>
      <c r="JT33">
        <v>22.901499999999999</v>
      </c>
      <c r="JU33">
        <v>99.153800000000004</v>
      </c>
      <c r="JV33">
        <v>98.465999999999994</v>
      </c>
    </row>
    <row r="34" spans="1:282" x14ac:dyDescent="0.25">
      <c r="A34">
        <v>18</v>
      </c>
      <c r="B34">
        <v>1689003068.5999999</v>
      </c>
      <c r="C34">
        <v>3728</v>
      </c>
      <c r="D34" t="s">
        <v>510</v>
      </c>
      <c r="E34" t="s">
        <v>511</v>
      </c>
      <c r="F34" t="s">
        <v>414</v>
      </c>
      <c r="G34" t="s">
        <v>415</v>
      </c>
      <c r="H34" t="s">
        <v>500</v>
      </c>
      <c r="I34" t="s">
        <v>501</v>
      </c>
      <c r="J34" t="s">
        <v>416</v>
      </c>
      <c r="K34">
        <v>1689003068.5999999</v>
      </c>
      <c r="L34">
        <f t="shared" si="0"/>
        <v>5.1653532375505835E-3</v>
      </c>
      <c r="M34">
        <f t="shared" si="1"/>
        <v>5.1653532375505833</v>
      </c>
      <c r="N34">
        <f t="shared" si="2"/>
        <v>26.356750937436907</v>
      </c>
      <c r="O34">
        <f t="shared" si="3"/>
        <v>167.43</v>
      </c>
      <c r="P34">
        <f t="shared" si="4"/>
        <v>46.213735804920866</v>
      </c>
      <c r="Q34">
        <f t="shared" si="5"/>
        <v>4.5903602910559238</v>
      </c>
      <c r="R34">
        <f t="shared" si="6"/>
        <v>16.630640439366001</v>
      </c>
      <c r="S34">
        <f t="shared" si="7"/>
        <v>0.37687923567516801</v>
      </c>
      <c r="T34">
        <f t="shared" si="8"/>
        <v>2.9208196588704336</v>
      </c>
      <c r="U34">
        <f t="shared" si="9"/>
        <v>0.35179759583275233</v>
      </c>
      <c r="V34">
        <f t="shared" si="10"/>
        <v>0.22198773239986097</v>
      </c>
      <c r="W34">
        <f t="shared" si="11"/>
        <v>289.55210701270329</v>
      </c>
      <c r="X34">
        <f t="shared" si="12"/>
        <v>30.662687331727948</v>
      </c>
      <c r="Y34">
        <f t="shared" si="13"/>
        <v>29.990500000000001</v>
      </c>
      <c r="Z34">
        <f t="shared" si="14"/>
        <v>4.2581255160740312</v>
      </c>
      <c r="AA34">
        <f t="shared" si="15"/>
        <v>65.803059891998899</v>
      </c>
      <c r="AB34">
        <f t="shared" si="16"/>
        <v>2.8519020432595399</v>
      </c>
      <c r="AC34">
        <f t="shared" si="17"/>
        <v>4.3339960906685846</v>
      </c>
      <c r="AD34">
        <f t="shared" si="18"/>
        <v>1.4062234728144913</v>
      </c>
      <c r="AE34">
        <f t="shared" si="19"/>
        <v>-227.79207777598074</v>
      </c>
      <c r="AF34">
        <f t="shared" si="20"/>
        <v>48.468413224409275</v>
      </c>
      <c r="AG34">
        <f t="shared" si="21"/>
        <v>3.6949964741265373</v>
      </c>
      <c r="AH34">
        <f t="shared" si="22"/>
        <v>113.92343893525835</v>
      </c>
      <c r="AI34">
        <v>0</v>
      </c>
      <c r="AJ34">
        <v>0</v>
      </c>
      <c r="AK34">
        <f t="shared" si="23"/>
        <v>1</v>
      </c>
      <c r="AL34">
        <f t="shared" si="24"/>
        <v>0</v>
      </c>
      <c r="AM34">
        <f t="shared" si="25"/>
        <v>52036.40999163477</v>
      </c>
      <c r="AN34" t="s">
        <v>418</v>
      </c>
      <c r="AO34">
        <v>8197.4</v>
      </c>
      <c r="AP34">
        <v>619.92999999999995</v>
      </c>
      <c r="AQ34">
        <v>3131.443117258741</v>
      </c>
      <c r="AR34">
        <f t="shared" si="26"/>
        <v>0.80203057287443702</v>
      </c>
      <c r="AS34">
        <v>-1.0448500102641549</v>
      </c>
      <c r="AT34" t="s">
        <v>512</v>
      </c>
      <c r="AU34">
        <v>8184.55</v>
      </c>
      <c r="AV34">
        <v>722.76136000000008</v>
      </c>
      <c r="AW34">
        <v>930.05548736304877</v>
      </c>
      <c r="AX34">
        <f t="shared" si="27"/>
        <v>0.22288361305278881</v>
      </c>
      <c r="AY34">
        <v>0.5</v>
      </c>
      <c r="AZ34">
        <f t="shared" si="28"/>
        <v>1513.1091000065821</v>
      </c>
      <c r="BA34">
        <f t="shared" si="29"/>
        <v>26.356750937436907</v>
      </c>
      <c r="BB34">
        <f t="shared" si="30"/>
        <v>168.62361157626029</v>
      </c>
      <c r="BC34">
        <f t="shared" si="31"/>
        <v>1.8109468079718683E-2</v>
      </c>
      <c r="BD34">
        <f t="shared" si="32"/>
        <v>2.3669422521630437</v>
      </c>
      <c r="BE34">
        <f t="shared" si="33"/>
        <v>422.12822631404549</v>
      </c>
      <c r="BF34" t="s">
        <v>513</v>
      </c>
      <c r="BG34">
        <v>582.57000000000005</v>
      </c>
      <c r="BH34">
        <f t="shared" si="34"/>
        <v>582.57000000000005</v>
      </c>
      <c r="BI34">
        <f t="shared" si="35"/>
        <v>0.37361801751018231</v>
      </c>
      <c r="BJ34">
        <f t="shared" si="36"/>
        <v>0.59655477682286695</v>
      </c>
      <c r="BK34">
        <f t="shared" si="37"/>
        <v>0.86367093559495733</v>
      </c>
      <c r="BL34">
        <f t="shared" si="38"/>
        <v>0.66842015832249069</v>
      </c>
      <c r="BM34">
        <f t="shared" si="39"/>
        <v>0.87651846799767308</v>
      </c>
      <c r="BN34">
        <f t="shared" si="40"/>
        <v>0.48084324310543886</v>
      </c>
      <c r="BO34">
        <f t="shared" si="41"/>
        <v>0.5191567568945612</v>
      </c>
      <c r="BP34">
        <v>13604</v>
      </c>
      <c r="BQ34">
        <v>290.00000000000011</v>
      </c>
      <c r="BR34">
        <v>864.98</v>
      </c>
      <c r="BS34">
        <v>275</v>
      </c>
      <c r="BT34">
        <v>8184.55</v>
      </c>
      <c r="BU34">
        <v>866.12</v>
      </c>
      <c r="BV34">
        <v>-1.1399999999999999</v>
      </c>
      <c r="BW34">
        <v>300.00000000000011</v>
      </c>
      <c r="BX34">
        <v>19.3</v>
      </c>
      <c r="BY34">
        <v>930.05548736304877</v>
      </c>
      <c r="BZ34">
        <v>2.5547152466160461</v>
      </c>
      <c r="CA34">
        <v>-52.32874249058051</v>
      </c>
      <c r="CB34">
        <v>1.920057909111397</v>
      </c>
      <c r="CC34">
        <v>0.96367249648934705</v>
      </c>
      <c r="CD34">
        <v>-4.2376160177975686E-3</v>
      </c>
      <c r="CE34">
        <v>289.99999999999989</v>
      </c>
      <c r="CF34">
        <v>862.2</v>
      </c>
      <c r="CG34">
        <v>645</v>
      </c>
      <c r="CH34">
        <v>8173.94</v>
      </c>
      <c r="CI34">
        <v>866.04</v>
      </c>
      <c r="CJ34">
        <v>-3.84</v>
      </c>
      <c r="CX34">
        <f t="shared" si="42"/>
        <v>1799.91</v>
      </c>
      <c r="CY34">
        <f t="shared" si="43"/>
        <v>1513.1091000065821</v>
      </c>
      <c r="CZ34">
        <f t="shared" si="44"/>
        <v>0.84065819958030241</v>
      </c>
      <c r="DA34">
        <f t="shared" si="45"/>
        <v>0.16087032518998354</v>
      </c>
      <c r="DB34">
        <v>6</v>
      </c>
      <c r="DC34">
        <v>0.5</v>
      </c>
      <c r="DD34" t="s">
        <v>421</v>
      </c>
      <c r="DE34">
        <v>2</v>
      </c>
      <c r="DF34">
        <v>1689003068.5999999</v>
      </c>
      <c r="DG34">
        <v>167.43</v>
      </c>
      <c r="DH34">
        <v>200.08799999999999</v>
      </c>
      <c r="DI34">
        <v>28.7117</v>
      </c>
      <c r="DJ34">
        <v>22.692699999999999</v>
      </c>
      <c r="DK34">
        <v>167.768</v>
      </c>
      <c r="DL34">
        <v>28.540800000000001</v>
      </c>
      <c r="DM34">
        <v>500.12099999999998</v>
      </c>
      <c r="DN34">
        <v>99.2303</v>
      </c>
      <c r="DO34">
        <v>9.8616200000000001E-2</v>
      </c>
      <c r="DP34">
        <v>30.298300000000001</v>
      </c>
      <c r="DQ34">
        <v>29.990500000000001</v>
      </c>
      <c r="DR34">
        <v>999.9</v>
      </c>
      <c r="DS34">
        <v>0</v>
      </c>
      <c r="DT34">
        <v>0</v>
      </c>
      <c r="DU34">
        <v>10027.5</v>
      </c>
      <c r="DV34">
        <v>0</v>
      </c>
      <c r="DW34">
        <v>1778.4</v>
      </c>
      <c r="DX34">
        <v>-32.658200000000001</v>
      </c>
      <c r="DY34">
        <v>172.37899999999999</v>
      </c>
      <c r="DZ34">
        <v>204.73400000000001</v>
      </c>
      <c r="EA34">
        <v>6.0190299999999999</v>
      </c>
      <c r="EB34">
        <v>200.08799999999999</v>
      </c>
      <c r="EC34">
        <v>22.692699999999999</v>
      </c>
      <c r="ED34">
        <v>2.8490700000000002</v>
      </c>
      <c r="EE34">
        <v>2.2517999999999998</v>
      </c>
      <c r="EF34">
        <v>23.171199999999999</v>
      </c>
      <c r="EG34">
        <v>19.335699999999999</v>
      </c>
      <c r="EH34">
        <v>1799.91</v>
      </c>
      <c r="EI34">
        <v>0.97799899999999995</v>
      </c>
      <c r="EJ34">
        <v>2.2000700000000002E-2</v>
      </c>
      <c r="EK34">
        <v>0</v>
      </c>
      <c r="EL34">
        <v>722.95</v>
      </c>
      <c r="EM34">
        <v>4.9999900000000004</v>
      </c>
      <c r="EN34">
        <v>17680.3</v>
      </c>
      <c r="EO34">
        <v>15863.1</v>
      </c>
      <c r="EP34">
        <v>47.75</v>
      </c>
      <c r="EQ34">
        <v>48.811999999999998</v>
      </c>
      <c r="ER34">
        <v>48.186999999999998</v>
      </c>
      <c r="ES34">
        <v>48.686999999999998</v>
      </c>
      <c r="ET34">
        <v>49.561999999999998</v>
      </c>
      <c r="EU34">
        <v>1755.42</v>
      </c>
      <c r="EV34">
        <v>39.49</v>
      </c>
      <c r="EW34">
        <v>0</v>
      </c>
      <c r="EX34">
        <v>123.2000000476837</v>
      </c>
      <c r="EY34">
        <v>0</v>
      </c>
      <c r="EZ34">
        <v>722.76136000000008</v>
      </c>
      <c r="FA34">
        <v>-1.3183846012531479</v>
      </c>
      <c r="FB34">
        <v>-34.276923730855863</v>
      </c>
      <c r="FC34">
        <v>17676.027999999998</v>
      </c>
      <c r="FD34">
        <v>15</v>
      </c>
      <c r="FE34">
        <v>1689003036.5999999</v>
      </c>
      <c r="FF34" t="s">
        <v>514</v>
      </c>
      <c r="FG34">
        <v>1689003029.0999999</v>
      </c>
      <c r="FH34">
        <v>1689003036.5999999</v>
      </c>
      <c r="FI34">
        <v>21</v>
      </c>
      <c r="FJ34">
        <v>0.106</v>
      </c>
      <c r="FK34">
        <v>-0.02</v>
      </c>
      <c r="FL34">
        <v>-0.33800000000000002</v>
      </c>
      <c r="FM34">
        <v>0.17100000000000001</v>
      </c>
      <c r="FN34">
        <v>200</v>
      </c>
      <c r="FO34">
        <v>23</v>
      </c>
      <c r="FP34">
        <v>7.0000000000000007E-2</v>
      </c>
      <c r="FQ34">
        <v>0.01</v>
      </c>
      <c r="FR34">
        <v>26.26225727845674</v>
      </c>
      <c r="FS34">
        <v>0.16734165466083389</v>
      </c>
      <c r="FT34">
        <v>3.9964711835228463E-2</v>
      </c>
      <c r="FU34">
        <v>1</v>
      </c>
      <c r="FV34">
        <v>0.3744050889798633</v>
      </c>
      <c r="FW34">
        <v>3.463782238849878E-2</v>
      </c>
      <c r="FX34">
        <v>2.8366900081564081E-3</v>
      </c>
      <c r="FY34">
        <v>1</v>
      </c>
      <c r="FZ34">
        <v>2</v>
      </c>
      <c r="GA34">
        <v>2</v>
      </c>
      <c r="GB34" t="s">
        <v>423</v>
      </c>
      <c r="GC34">
        <v>2.9595699999999998</v>
      </c>
      <c r="GD34">
        <v>2.7420900000000001</v>
      </c>
      <c r="GE34">
        <v>4.3200500000000003E-2</v>
      </c>
      <c r="GF34">
        <v>5.0438499999999997E-2</v>
      </c>
      <c r="GG34">
        <v>0.13125999999999999</v>
      </c>
      <c r="GH34">
        <v>0.110944</v>
      </c>
      <c r="GI34">
        <v>22499.9</v>
      </c>
      <c r="GJ34">
        <v>20791.7</v>
      </c>
      <c r="GK34">
        <v>23443.8</v>
      </c>
      <c r="GL34">
        <v>21940.7</v>
      </c>
      <c r="GM34">
        <v>28710.400000000001</v>
      </c>
      <c r="GN34">
        <v>27205.1</v>
      </c>
      <c r="GO34">
        <v>36990.699999999997</v>
      </c>
      <c r="GP34">
        <v>34129.800000000003</v>
      </c>
      <c r="GQ34">
        <v>2.0087700000000002</v>
      </c>
      <c r="GR34">
        <v>1.8614999999999999</v>
      </c>
      <c r="GS34">
        <v>4.8883299999999998E-2</v>
      </c>
      <c r="GT34">
        <v>0</v>
      </c>
      <c r="GU34">
        <v>29.194500000000001</v>
      </c>
      <c r="GV34">
        <v>999.9</v>
      </c>
      <c r="GW34">
        <v>36.6</v>
      </c>
      <c r="GX34">
        <v>41.2</v>
      </c>
      <c r="GY34">
        <v>29.147600000000001</v>
      </c>
      <c r="GZ34">
        <v>60.073799999999999</v>
      </c>
      <c r="HA34">
        <v>39.451099999999997</v>
      </c>
      <c r="HB34">
        <v>1</v>
      </c>
      <c r="HC34">
        <v>0.41244900000000001</v>
      </c>
      <c r="HD34">
        <v>2.1591300000000002</v>
      </c>
      <c r="HE34">
        <v>20.102599999999999</v>
      </c>
      <c r="HF34">
        <v>5.2634100000000004</v>
      </c>
      <c r="HG34">
        <v>11.962</v>
      </c>
      <c r="HH34">
        <v>4.9797500000000001</v>
      </c>
      <c r="HI34">
        <v>3.2978800000000001</v>
      </c>
      <c r="HJ34">
        <v>9999</v>
      </c>
      <c r="HK34">
        <v>9999</v>
      </c>
      <c r="HL34">
        <v>9999</v>
      </c>
      <c r="HM34">
        <v>999.9</v>
      </c>
      <c r="HN34">
        <v>1.8642300000000001</v>
      </c>
      <c r="HO34">
        <v>1.8602099999999999</v>
      </c>
      <c r="HP34">
        <v>1.8667899999999999</v>
      </c>
      <c r="HQ34">
        <v>1.8634900000000001</v>
      </c>
      <c r="HR34">
        <v>1.8621799999999999</v>
      </c>
      <c r="HS34">
        <v>1.8621799999999999</v>
      </c>
      <c r="HT34">
        <v>1.86344</v>
      </c>
      <c r="HU34">
        <v>1.86477</v>
      </c>
      <c r="HV34">
        <v>0</v>
      </c>
      <c r="HW34">
        <v>0</v>
      </c>
      <c r="HX34">
        <v>0</v>
      </c>
      <c r="HY34">
        <v>0</v>
      </c>
      <c r="HZ34" t="s">
        <v>424</v>
      </c>
      <c r="IA34" t="s">
        <v>425</v>
      </c>
      <c r="IB34" t="s">
        <v>426</v>
      </c>
      <c r="IC34" t="s">
        <v>426</v>
      </c>
      <c r="ID34" t="s">
        <v>426</v>
      </c>
      <c r="IE34" t="s">
        <v>426</v>
      </c>
      <c r="IF34">
        <v>0</v>
      </c>
      <c r="IG34">
        <v>100</v>
      </c>
      <c r="IH34">
        <v>100</v>
      </c>
      <c r="II34">
        <v>-0.33800000000000002</v>
      </c>
      <c r="IJ34">
        <v>0.1709</v>
      </c>
      <c r="IK34">
        <v>-0.33050150164395631</v>
      </c>
      <c r="IL34">
        <v>-8.3322953065825546E-5</v>
      </c>
      <c r="IM34">
        <v>2.3872336679552741E-7</v>
      </c>
      <c r="IN34">
        <v>-5.428329794194132E-11</v>
      </c>
      <c r="IO34">
        <v>0.17090000000000319</v>
      </c>
      <c r="IP34">
        <v>0</v>
      </c>
      <c r="IQ34">
        <v>0</v>
      </c>
      <c r="IR34">
        <v>0</v>
      </c>
      <c r="IS34">
        <v>2</v>
      </c>
      <c r="IT34">
        <v>2035</v>
      </c>
      <c r="IU34">
        <v>1</v>
      </c>
      <c r="IV34">
        <v>21</v>
      </c>
      <c r="IW34">
        <v>0.7</v>
      </c>
      <c r="IX34">
        <v>0.5</v>
      </c>
      <c r="IY34">
        <v>0.62377899999999997</v>
      </c>
      <c r="IZ34">
        <v>2.6855500000000001</v>
      </c>
      <c r="JA34">
        <v>1.4526399999999999</v>
      </c>
      <c r="JB34">
        <v>2.2790499999999998</v>
      </c>
      <c r="JC34">
        <v>1.5942400000000001</v>
      </c>
      <c r="JD34">
        <v>2.2985799999999998</v>
      </c>
      <c r="JE34">
        <v>45.747999999999998</v>
      </c>
      <c r="JF34">
        <v>24.061199999999999</v>
      </c>
      <c r="JG34">
        <v>18</v>
      </c>
      <c r="JH34">
        <v>508.93</v>
      </c>
      <c r="JI34">
        <v>451.517</v>
      </c>
      <c r="JJ34">
        <v>27.629100000000001</v>
      </c>
      <c r="JK34">
        <v>32.3476</v>
      </c>
      <c r="JL34">
        <v>30.0002</v>
      </c>
      <c r="JM34">
        <v>32.346699999999998</v>
      </c>
      <c r="JN34">
        <v>32.353099999999998</v>
      </c>
      <c r="JO34">
        <v>12.453200000000001</v>
      </c>
      <c r="JP34">
        <v>24.314</v>
      </c>
      <c r="JQ34">
        <v>20.611599999999999</v>
      </c>
      <c r="JR34">
        <v>27.628599999999999</v>
      </c>
      <c r="JS34">
        <v>200</v>
      </c>
      <c r="JT34">
        <v>22.5214</v>
      </c>
      <c r="JU34">
        <v>99.145700000000005</v>
      </c>
      <c r="JV34">
        <v>98.459699999999998</v>
      </c>
    </row>
    <row r="35" spans="1:282" x14ac:dyDescent="0.25">
      <c r="A35">
        <v>19</v>
      </c>
      <c r="B35">
        <v>1689003190.0999999</v>
      </c>
      <c r="C35">
        <v>3849.5</v>
      </c>
      <c r="D35" t="s">
        <v>515</v>
      </c>
      <c r="E35" t="s">
        <v>516</v>
      </c>
      <c r="F35" t="s">
        <v>414</v>
      </c>
      <c r="G35" t="s">
        <v>415</v>
      </c>
      <c r="H35" t="s">
        <v>500</v>
      </c>
      <c r="I35" t="s">
        <v>501</v>
      </c>
      <c r="J35" t="s">
        <v>416</v>
      </c>
      <c r="K35">
        <v>1689003190.0999999</v>
      </c>
      <c r="L35">
        <f t="shared" si="0"/>
        <v>5.5236652489273445E-3</v>
      </c>
      <c r="M35">
        <f t="shared" si="1"/>
        <v>5.5236652489273448</v>
      </c>
      <c r="N35">
        <f t="shared" si="2"/>
        <v>16.795282385624642</v>
      </c>
      <c r="O35">
        <f t="shared" si="3"/>
        <v>99.2834</v>
      </c>
      <c r="P35">
        <f t="shared" si="4"/>
        <v>27.445397982939198</v>
      </c>
      <c r="Q35">
        <f t="shared" si="5"/>
        <v>2.7261562065463165</v>
      </c>
      <c r="R35">
        <f t="shared" si="6"/>
        <v>9.8618375760217205</v>
      </c>
      <c r="S35">
        <f t="shared" si="7"/>
        <v>0.40709536480175229</v>
      </c>
      <c r="T35">
        <f t="shared" si="8"/>
        <v>2.9162466726592835</v>
      </c>
      <c r="U35">
        <f t="shared" si="9"/>
        <v>0.37795499992627957</v>
      </c>
      <c r="V35">
        <f t="shared" si="10"/>
        <v>0.23866596554677502</v>
      </c>
      <c r="W35">
        <f t="shared" si="11"/>
        <v>289.57923901270203</v>
      </c>
      <c r="X35">
        <f t="shared" si="12"/>
        <v>30.63110096514497</v>
      </c>
      <c r="Y35">
        <f t="shared" si="13"/>
        <v>29.964300000000001</v>
      </c>
      <c r="Z35">
        <f t="shared" si="14"/>
        <v>4.2517211870943967</v>
      </c>
      <c r="AA35">
        <f t="shared" si="15"/>
        <v>65.574372458400219</v>
      </c>
      <c r="AB35">
        <f t="shared" si="16"/>
        <v>2.8519580745520203</v>
      </c>
      <c r="AC35">
        <f t="shared" si="17"/>
        <v>4.3491961381121511</v>
      </c>
      <c r="AD35">
        <f t="shared" si="18"/>
        <v>1.3997631125423764</v>
      </c>
      <c r="AE35">
        <f t="shared" si="19"/>
        <v>-243.59363747769589</v>
      </c>
      <c r="AF35">
        <f t="shared" si="20"/>
        <v>62.117894862542421</v>
      </c>
      <c r="AG35">
        <f t="shared" si="21"/>
        <v>4.7438124562322885</v>
      </c>
      <c r="AH35">
        <f t="shared" si="22"/>
        <v>112.84730885378082</v>
      </c>
      <c r="AI35">
        <v>0</v>
      </c>
      <c r="AJ35">
        <v>0</v>
      </c>
      <c r="AK35">
        <f t="shared" si="23"/>
        <v>1</v>
      </c>
      <c r="AL35">
        <f t="shared" si="24"/>
        <v>0</v>
      </c>
      <c r="AM35">
        <f t="shared" si="25"/>
        <v>51895.825691283375</v>
      </c>
      <c r="AN35" t="s">
        <v>418</v>
      </c>
      <c r="AO35">
        <v>8197.4</v>
      </c>
      <c r="AP35">
        <v>619.92999999999995</v>
      </c>
      <c r="AQ35">
        <v>3131.443117258741</v>
      </c>
      <c r="AR35">
        <f t="shared" si="26"/>
        <v>0.80203057287443702</v>
      </c>
      <c r="AS35">
        <v>-1.0448500102641549</v>
      </c>
      <c r="AT35" t="s">
        <v>517</v>
      </c>
      <c r="AU35">
        <v>8184.75</v>
      </c>
      <c r="AV35">
        <v>728.62757692307707</v>
      </c>
      <c r="AW35">
        <v>856.55901769483455</v>
      </c>
      <c r="AX35">
        <f t="shared" si="27"/>
        <v>0.14935508018588806</v>
      </c>
      <c r="AY35">
        <v>0.5</v>
      </c>
      <c r="AZ35">
        <f t="shared" si="28"/>
        <v>1513.2519000065813</v>
      </c>
      <c r="BA35">
        <f t="shared" si="29"/>
        <v>16.795282385624642</v>
      </c>
      <c r="BB35">
        <f t="shared" si="30"/>
        <v>113.0059294334652</v>
      </c>
      <c r="BC35">
        <f t="shared" si="31"/>
        <v>1.1789268128995053E-2</v>
      </c>
      <c r="BD35">
        <f t="shared" si="32"/>
        <v>2.6558404646606353</v>
      </c>
      <c r="BE35">
        <f t="shared" si="33"/>
        <v>406.30493520478649</v>
      </c>
      <c r="BF35" t="s">
        <v>518</v>
      </c>
      <c r="BG35">
        <v>585.03</v>
      </c>
      <c r="BH35">
        <f t="shared" si="34"/>
        <v>585.03</v>
      </c>
      <c r="BI35">
        <f t="shared" si="35"/>
        <v>0.3169997771146833</v>
      </c>
      <c r="BJ35">
        <f t="shared" si="36"/>
        <v>0.47115200378155081</v>
      </c>
      <c r="BK35">
        <f t="shared" si="37"/>
        <v>0.89336804155833893</v>
      </c>
      <c r="BL35">
        <f t="shared" si="38"/>
        <v>0.54064138886272406</v>
      </c>
      <c r="BM35">
        <f t="shared" si="39"/>
        <v>0.90578228874507738</v>
      </c>
      <c r="BN35">
        <f t="shared" si="40"/>
        <v>0.37829759056926338</v>
      </c>
      <c r="BO35">
        <f t="shared" si="41"/>
        <v>0.62170240943073662</v>
      </c>
      <c r="BP35">
        <v>13606</v>
      </c>
      <c r="BQ35">
        <v>290.00000000000011</v>
      </c>
      <c r="BR35">
        <v>816.04</v>
      </c>
      <c r="BS35">
        <v>275</v>
      </c>
      <c r="BT35">
        <v>8184.75</v>
      </c>
      <c r="BU35">
        <v>816.17</v>
      </c>
      <c r="BV35">
        <v>-0.13</v>
      </c>
      <c r="BW35">
        <v>300.00000000000011</v>
      </c>
      <c r="BX35">
        <v>19.3</v>
      </c>
      <c r="BY35">
        <v>856.55901769483455</v>
      </c>
      <c r="BZ35">
        <v>2.0066931203266289</v>
      </c>
      <c r="CA35">
        <v>-33.060811051624029</v>
      </c>
      <c r="CB35">
        <v>1.508218866482802</v>
      </c>
      <c r="CC35">
        <v>0.94493667080850652</v>
      </c>
      <c r="CD35">
        <v>-4.2375879866518341E-3</v>
      </c>
      <c r="CE35">
        <v>289.99999999999989</v>
      </c>
      <c r="CF35">
        <v>813.99</v>
      </c>
      <c r="CG35">
        <v>615</v>
      </c>
      <c r="CH35">
        <v>8175.1</v>
      </c>
      <c r="CI35">
        <v>816.12</v>
      </c>
      <c r="CJ35">
        <v>-2.13</v>
      </c>
      <c r="CX35">
        <f t="shared" si="42"/>
        <v>1800.08</v>
      </c>
      <c r="CY35">
        <f t="shared" si="43"/>
        <v>1513.2519000065813</v>
      </c>
      <c r="CZ35">
        <f t="shared" si="44"/>
        <v>0.84065813741977102</v>
      </c>
      <c r="DA35">
        <f t="shared" si="45"/>
        <v>0.16087020522015802</v>
      </c>
      <c r="DB35">
        <v>6</v>
      </c>
      <c r="DC35">
        <v>0.5</v>
      </c>
      <c r="DD35" t="s">
        <v>421</v>
      </c>
      <c r="DE35">
        <v>2</v>
      </c>
      <c r="DF35">
        <v>1689003190.0999999</v>
      </c>
      <c r="DG35">
        <v>99.2834</v>
      </c>
      <c r="DH35">
        <v>120.092</v>
      </c>
      <c r="DI35">
        <v>28.7119</v>
      </c>
      <c r="DJ35">
        <v>22.274999999999999</v>
      </c>
      <c r="DK35">
        <v>99.598299999999995</v>
      </c>
      <c r="DL35">
        <v>28.558299999999999</v>
      </c>
      <c r="DM35">
        <v>500.09199999999998</v>
      </c>
      <c r="DN35">
        <v>99.231700000000004</v>
      </c>
      <c r="DO35">
        <v>9.8475800000000002E-2</v>
      </c>
      <c r="DP35">
        <v>30.359400000000001</v>
      </c>
      <c r="DQ35">
        <v>29.964300000000001</v>
      </c>
      <c r="DR35">
        <v>999.9</v>
      </c>
      <c r="DS35">
        <v>0</v>
      </c>
      <c r="DT35">
        <v>0</v>
      </c>
      <c r="DU35">
        <v>10001.200000000001</v>
      </c>
      <c r="DV35">
        <v>0</v>
      </c>
      <c r="DW35">
        <v>1790.57</v>
      </c>
      <c r="DX35">
        <v>-20.808800000000002</v>
      </c>
      <c r="DY35">
        <v>102.218</v>
      </c>
      <c r="DZ35">
        <v>122.828</v>
      </c>
      <c r="EA35">
        <v>6.4369500000000004</v>
      </c>
      <c r="EB35">
        <v>120.092</v>
      </c>
      <c r="EC35">
        <v>22.274999999999999</v>
      </c>
      <c r="ED35">
        <v>2.8491300000000002</v>
      </c>
      <c r="EE35">
        <v>2.2103899999999999</v>
      </c>
      <c r="EF35">
        <v>23.171600000000002</v>
      </c>
      <c r="EG35">
        <v>19.037800000000001</v>
      </c>
      <c r="EH35">
        <v>1800.08</v>
      </c>
      <c r="EI35">
        <v>0.97799899999999995</v>
      </c>
      <c r="EJ35">
        <v>2.2000700000000002E-2</v>
      </c>
      <c r="EK35">
        <v>0</v>
      </c>
      <c r="EL35">
        <v>728.48500000000001</v>
      </c>
      <c r="EM35">
        <v>4.9999900000000004</v>
      </c>
      <c r="EN35">
        <v>17822.599999999999</v>
      </c>
      <c r="EO35">
        <v>15864.5</v>
      </c>
      <c r="EP35">
        <v>47.75</v>
      </c>
      <c r="EQ35">
        <v>48.811999999999998</v>
      </c>
      <c r="ER35">
        <v>48.186999999999998</v>
      </c>
      <c r="ES35">
        <v>48.625</v>
      </c>
      <c r="ET35">
        <v>49.561999999999998</v>
      </c>
      <c r="EU35">
        <v>1755.59</v>
      </c>
      <c r="EV35">
        <v>39.49</v>
      </c>
      <c r="EW35">
        <v>0</v>
      </c>
      <c r="EX35">
        <v>119.3999998569489</v>
      </c>
      <c r="EY35">
        <v>0</v>
      </c>
      <c r="EZ35">
        <v>728.62757692307707</v>
      </c>
      <c r="FA35">
        <v>-3.040923079733</v>
      </c>
      <c r="FB35">
        <v>209.88376017593691</v>
      </c>
      <c r="FC35">
        <v>17791.026923076919</v>
      </c>
      <c r="FD35">
        <v>15</v>
      </c>
      <c r="FE35">
        <v>1689003158.5999999</v>
      </c>
      <c r="FF35" t="s">
        <v>519</v>
      </c>
      <c r="FG35">
        <v>1689003143.0999999</v>
      </c>
      <c r="FH35">
        <v>1689003158.5999999</v>
      </c>
      <c r="FI35">
        <v>22</v>
      </c>
      <c r="FJ35">
        <v>2.1999999999999999E-2</v>
      </c>
      <c r="FK35">
        <v>-1.7000000000000001E-2</v>
      </c>
      <c r="FL35">
        <v>-0.316</v>
      </c>
      <c r="FM35">
        <v>0.154</v>
      </c>
      <c r="FN35">
        <v>120</v>
      </c>
      <c r="FO35">
        <v>22</v>
      </c>
      <c r="FP35">
        <v>0.06</v>
      </c>
      <c r="FQ35">
        <v>0.01</v>
      </c>
      <c r="FR35">
        <v>16.761972749819499</v>
      </c>
      <c r="FS35">
        <v>-0.61264553156988255</v>
      </c>
      <c r="FT35">
        <v>6.655643307939782E-2</v>
      </c>
      <c r="FU35">
        <v>1</v>
      </c>
      <c r="FV35">
        <v>0.40282979788788331</v>
      </c>
      <c r="FW35">
        <v>4.8784643821787148E-2</v>
      </c>
      <c r="FX35">
        <v>4.5180085973479172E-3</v>
      </c>
      <c r="FY35">
        <v>1</v>
      </c>
      <c r="FZ35">
        <v>2</v>
      </c>
      <c r="GA35">
        <v>2</v>
      </c>
      <c r="GB35" t="s">
        <v>423</v>
      </c>
      <c r="GC35">
        <v>2.9594499999999999</v>
      </c>
      <c r="GD35">
        <v>2.7417199999999999</v>
      </c>
      <c r="GE35">
        <v>2.67166E-2</v>
      </c>
      <c r="GF35">
        <v>3.1803199999999997E-2</v>
      </c>
      <c r="GG35">
        <v>0.131302</v>
      </c>
      <c r="GH35">
        <v>0.10951</v>
      </c>
      <c r="GI35">
        <v>22886.3</v>
      </c>
      <c r="GJ35">
        <v>21199.200000000001</v>
      </c>
      <c r="GK35">
        <v>23443.1</v>
      </c>
      <c r="GL35">
        <v>21940.7</v>
      </c>
      <c r="GM35">
        <v>28708</v>
      </c>
      <c r="GN35">
        <v>27249</v>
      </c>
      <c r="GO35">
        <v>36990.400000000001</v>
      </c>
      <c r="GP35">
        <v>34130.300000000003</v>
      </c>
      <c r="GQ35">
        <v>2.0084200000000001</v>
      </c>
      <c r="GR35">
        <v>1.8591200000000001</v>
      </c>
      <c r="GS35">
        <v>5.2727799999999998E-2</v>
      </c>
      <c r="GT35">
        <v>0</v>
      </c>
      <c r="GU35">
        <v>29.105599999999999</v>
      </c>
      <c r="GV35">
        <v>999.9</v>
      </c>
      <c r="GW35">
        <v>36.1</v>
      </c>
      <c r="GX35">
        <v>41.4</v>
      </c>
      <c r="GY35">
        <v>29.054400000000001</v>
      </c>
      <c r="GZ35">
        <v>60.323799999999999</v>
      </c>
      <c r="HA35">
        <v>39.010399999999997</v>
      </c>
      <c r="HB35">
        <v>1</v>
      </c>
      <c r="HC35">
        <v>0.41349799999999998</v>
      </c>
      <c r="HD35">
        <v>1.36084</v>
      </c>
      <c r="HE35">
        <v>20.112500000000001</v>
      </c>
      <c r="HF35">
        <v>5.2634100000000004</v>
      </c>
      <c r="HG35">
        <v>11.962</v>
      </c>
      <c r="HH35">
        <v>4.9797500000000001</v>
      </c>
      <c r="HI35">
        <v>3.2979799999999999</v>
      </c>
      <c r="HJ35">
        <v>9999</v>
      </c>
      <c r="HK35">
        <v>9999</v>
      </c>
      <c r="HL35">
        <v>9999</v>
      </c>
      <c r="HM35">
        <v>999.9</v>
      </c>
      <c r="HN35">
        <v>1.8642000000000001</v>
      </c>
      <c r="HO35">
        <v>1.8602000000000001</v>
      </c>
      <c r="HP35">
        <v>1.8667899999999999</v>
      </c>
      <c r="HQ35">
        <v>1.8634599999999999</v>
      </c>
      <c r="HR35">
        <v>1.8621700000000001</v>
      </c>
      <c r="HS35">
        <v>1.8621799999999999</v>
      </c>
      <c r="HT35">
        <v>1.8634200000000001</v>
      </c>
      <c r="HU35">
        <v>1.8647</v>
      </c>
      <c r="HV35">
        <v>0</v>
      </c>
      <c r="HW35">
        <v>0</v>
      </c>
      <c r="HX35">
        <v>0</v>
      </c>
      <c r="HY35">
        <v>0</v>
      </c>
      <c r="HZ35" t="s">
        <v>424</v>
      </c>
      <c r="IA35" t="s">
        <v>425</v>
      </c>
      <c r="IB35" t="s">
        <v>426</v>
      </c>
      <c r="IC35" t="s">
        <v>426</v>
      </c>
      <c r="ID35" t="s">
        <v>426</v>
      </c>
      <c r="IE35" t="s">
        <v>426</v>
      </c>
      <c r="IF35">
        <v>0</v>
      </c>
      <c r="IG35">
        <v>100</v>
      </c>
      <c r="IH35">
        <v>100</v>
      </c>
      <c r="II35">
        <v>-0.315</v>
      </c>
      <c r="IJ35">
        <v>0.15359999999999999</v>
      </c>
      <c r="IK35">
        <v>-0.30898817571481768</v>
      </c>
      <c r="IL35">
        <v>-8.3322953065825546E-5</v>
      </c>
      <c r="IM35">
        <v>2.3872336679552741E-7</v>
      </c>
      <c r="IN35">
        <v>-5.428329794194132E-11</v>
      </c>
      <c r="IO35">
        <v>0.15362380952380761</v>
      </c>
      <c r="IP35">
        <v>0</v>
      </c>
      <c r="IQ35">
        <v>0</v>
      </c>
      <c r="IR35">
        <v>0</v>
      </c>
      <c r="IS35">
        <v>2</v>
      </c>
      <c r="IT35">
        <v>2035</v>
      </c>
      <c r="IU35">
        <v>1</v>
      </c>
      <c r="IV35">
        <v>21</v>
      </c>
      <c r="IW35">
        <v>0.8</v>
      </c>
      <c r="IX35">
        <v>0.5</v>
      </c>
      <c r="IY35">
        <v>0.43579099999999998</v>
      </c>
      <c r="IZ35">
        <v>2.7002000000000002</v>
      </c>
      <c r="JA35">
        <v>1.4514199999999999</v>
      </c>
      <c r="JB35">
        <v>2.2790499999999998</v>
      </c>
      <c r="JC35">
        <v>1.5942400000000001</v>
      </c>
      <c r="JD35">
        <v>2.36694</v>
      </c>
      <c r="JE35">
        <v>45.776800000000001</v>
      </c>
      <c r="JF35">
        <v>24.061199999999999</v>
      </c>
      <c r="JG35">
        <v>18</v>
      </c>
      <c r="JH35">
        <v>509.15</v>
      </c>
      <c r="JI35">
        <v>450.25</v>
      </c>
      <c r="JJ35">
        <v>28.230499999999999</v>
      </c>
      <c r="JK35">
        <v>32.3996</v>
      </c>
      <c r="JL35">
        <v>30</v>
      </c>
      <c r="JM35">
        <v>32.398000000000003</v>
      </c>
      <c r="JN35">
        <v>32.401200000000003</v>
      </c>
      <c r="JO35">
        <v>8.6833500000000008</v>
      </c>
      <c r="JP35">
        <v>24.809100000000001</v>
      </c>
      <c r="JQ35">
        <v>19.449300000000001</v>
      </c>
      <c r="JR35">
        <v>28.238800000000001</v>
      </c>
      <c r="JS35">
        <v>120</v>
      </c>
      <c r="JT35">
        <v>22.139099999999999</v>
      </c>
      <c r="JU35">
        <v>99.144099999999995</v>
      </c>
      <c r="JV35">
        <v>98.460700000000003</v>
      </c>
    </row>
    <row r="36" spans="1:282" x14ac:dyDescent="0.25">
      <c r="A36">
        <v>20</v>
      </c>
      <c r="B36">
        <v>1689003301.5999999</v>
      </c>
      <c r="C36">
        <v>3961</v>
      </c>
      <c r="D36" t="s">
        <v>520</v>
      </c>
      <c r="E36" t="s">
        <v>521</v>
      </c>
      <c r="F36" t="s">
        <v>414</v>
      </c>
      <c r="G36" t="s">
        <v>415</v>
      </c>
      <c r="H36" t="s">
        <v>500</v>
      </c>
      <c r="I36" t="s">
        <v>501</v>
      </c>
      <c r="J36" t="s">
        <v>416</v>
      </c>
      <c r="K36">
        <v>1689003301.5999999</v>
      </c>
      <c r="L36">
        <f t="shared" si="0"/>
        <v>5.7105520918590766E-3</v>
      </c>
      <c r="M36">
        <f t="shared" si="1"/>
        <v>5.7105520918590766</v>
      </c>
      <c r="N36">
        <f t="shared" si="2"/>
        <v>10.17208633357118</v>
      </c>
      <c r="O36">
        <f t="shared" si="3"/>
        <v>57.505699999999997</v>
      </c>
      <c r="P36">
        <f t="shared" si="4"/>
        <v>15.585441579751256</v>
      </c>
      <c r="Q36">
        <f t="shared" si="5"/>
        <v>1.5481285850414117</v>
      </c>
      <c r="R36">
        <f t="shared" si="6"/>
        <v>5.7121395962549792</v>
      </c>
      <c r="S36">
        <f t="shared" si="7"/>
        <v>0.42339318091250483</v>
      </c>
      <c r="T36">
        <f t="shared" si="8"/>
        <v>2.9203205061642734</v>
      </c>
      <c r="U36">
        <f t="shared" si="9"/>
        <v>0.39200973222533186</v>
      </c>
      <c r="V36">
        <f t="shared" si="10"/>
        <v>0.24763162514950671</v>
      </c>
      <c r="W36">
        <f t="shared" si="11"/>
        <v>289.58402701270182</v>
      </c>
      <c r="X36">
        <f t="shared" si="12"/>
        <v>30.639435995060627</v>
      </c>
      <c r="Y36">
        <f t="shared" si="13"/>
        <v>29.981200000000001</v>
      </c>
      <c r="Z36">
        <f t="shared" si="14"/>
        <v>4.255851261917031</v>
      </c>
      <c r="AA36">
        <f t="shared" si="15"/>
        <v>65.55948949651733</v>
      </c>
      <c r="AB36">
        <f t="shared" si="16"/>
        <v>2.8606837561220195</v>
      </c>
      <c r="AC36">
        <f t="shared" si="17"/>
        <v>4.363493032193281</v>
      </c>
      <c r="AD36">
        <f t="shared" si="18"/>
        <v>1.3951675057950115</v>
      </c>
      <c r="AE36">
        <f t="shared" si="19"/>
        <v>-251.83534725098528</v>
      </c>
      <c r="AF36">
        <f t="shared" si="20"/>
        <v>68.565258980386602</v>
      </c>
      <c r="AG36">
        <f t="shared" si="21"/>
        <v>5.2307999802277596</v>
      </c>
      <c r="AH36">
        <f t="shared" si="22"/>
        <v>111.54473872233089</v>
      </c>
      <c r="AI36">
        <v>0</v>
      </c>
      <c r="AJ36">
        <v>0</v>
      </c>
      <c r="AK36">
        <f t="shared" si="23"/>
        <v>1</v>
      </c>
      <c r="AL36">
        <f t="shared" si="24"/>
        <v>0</v>
      </c>
      <c r="AM36">
        <f t="shared" si="25"/>
        <v>52001.948342143281</v>
      </c>
      <c r="AN36" t="s">
        <v>418</v>
      </c>
      <c r="AO36">
        <v>8197.4</v>
      </c>
      <c r="AP36">
        <v>619.92999999999995</v>
      </c>
      <c r="AQ36">
        <v>3131.443117258741</v>
      </c>
      <c r="AR36">
        <f t="shared" si="26"/>
        <v>0.80203057287443702</v>
      </c>
      <c r="AS36">
        <v>-1.0448500102641549</v>
      </c>
      <c r="AT36" t="s">
        <v>522</v>
      </c>
      <c r="AU36">
        <v>8191.97</v>
      </c>
      <c r="AV36">
        <v>742.71380769230768</v>
      </c>
      <c r="AW36">
        <v>832.39345688880871</v>
      </c>
      <c r="AX36">
        <f t="shared" si="27"/>
        <v>0.1077370905000764</v>
      </c>
      <c r="AY36">
        <v>0.5</v>
      </c>
      <c r="AZ36">
        <f t="shared" si="28"/>
        <v>1513.2771000065811</v>
      </c>
      <c r="BA36">
        <f t="shared" si="29"/>
        <v>10.17208633357118</v>
      </c>
      <c r="BB36">
        <f t="shared" si="30"/>
        <v>81.518035937551105</v>
      </c>
      <c r="BC36">
        <f t="shared" si="31"/>
        <v>7.4123479062668382E-3</v>
      </c>
      <c r="BD36">
        <f t="shared" si="32"/>
        <v>2.7619746903861593</v>
      </c>
      <c r="BE36">
        <f t="shared" si="33"/>
        <v>400.7857458585907</v>
      </c>
      <c r="BF36" t="s">
        <v>523</v>
      </c>
      <c r="BG36">
        <v>601.86</v>
      </c>
      <c r="BH36">
        <f t="shared" si="34"/>
        <v>601.86</v>
      </c>
      <c r="BI36">
        <f t="shared" si="35"/>
        <v>0.27695250963463958</v>
      </c>
      <c r="BJ36">
        <f t="shared" si="36"/>
        <v>0.38900925881554571</v>
      </c>
      <c r="BK36">
        <f t="shared" si="37"/>
        <v>0.90886503973088129</v>
      </c>
      <c r="BL36">
        <f t="shared" si="38"/>
        <v>0.42209446513634691</v>
      </c>
      <c r="BM36">
        <f t="shared" si="39"/>
        <v>0.91540420178226733</v>
      </c>
      <c r="BN36">
        <f t="shared" si="40"/>
        <v>0.31523463019785358</v>
      </c>
      <c r="BO36">
        <f t="shared" si="41"/>
        <v>0.68476536980214642</v>
      </c>
      <c r="BP36">
        <v>13608</v>
      </c>
      <c r="BQ36">
        <v>290.00000000000011</v>
      </c>
      <c r="BR36">
        <v>803.52</v>
      </c>
      <c r="BS36">
        <v>185</v>
      </c>
      <c r="BT36">
        <v>8191.97</v>
      </c>
      <c r="BU36">
        <v>802.61</v>
      </c>
      <c r="BV36">
        <v>0.91</v>
      </c>
      <c r="BW36">
        <v>300.00000000000011</v>
      </c>
      <c r="BX36">
        <v>19.3</v>
      </c>
      <c r="BY36">
        <v>832.39345688880871</v>
      </c>
      <c r="BZ36">
        <v>2.4075389481494121</v>
      </c>
      <c r="CA36">
        <v>-24.39713593934713</v>
      </c>
      <c r="CB36">
        <v>1.8095322225596731</v>
      </c>
      <c r="CC36">
        <v>0.86652655826737268</v>
      </c>
      <c r="CD36">
        <v>-4.2376077864293704E-3</v>
      </c>
      <c r="CE36">
        <v>289.99999999999989</v>
      </c>
      <c r="CF36">
        <v>800.68</v>
      </c>
      <c r="CG36">
        <v>675</v>
      </c>
      <c r="CH36">
        <v>8173.42</v>
      </c>
      <c r="CI36">
        <v>802.54</v>
      </c>
      <c r="CJ36">
        <v>-1.86</v>
      </c>
      <c r="CX36">
        <f t="shared" si="42"/>
        <v>1800.11</v>
      </c>
      <c r="CY36">
        <f t="shared" si="43"/>
        <v>1513.2771000065811</v>
      </c>
      <c r="CZ36">
        <f t="shared" si="44"/>
        <v>0.84065812645148419</v>
      </c>
      <c r="DA36">
        <f t="shared" si="45"/>
        <v>0.16087018405136455</v>
      </c>
      <c r="DB36">
        <v>6</v>
      </c>
      <c r="DC36">
        <v>0.5</v>
      </c>
      <c r="DD36" t="s">
        <v>421</v>
      </c>
      <c r="DE36">
        <v>2</v>
      </c>
      <c r="DF36">
        <v>1689003301.5999999</v>
      </c>
      <c r="DG36">
        <v>57.505699999999997</v>
      </c>
      <c r="DH36">
        <v>70.1036</v>
      </c>
      <c r="DI36">
        <v>28.799299999999999</v>
      </c>
      <c r="DJ36">
        <v>22.145399999999999</v>
      </c>
      <c r="DK36">
        <v>57.783499999999997</v>
      </c>
      <c r="DL36">
        <v>28.648900000000001</v>
      </c>
      <c r="DM36">
        <v>500.10599999999999</v>
      </c>
      <c r="DN36">
        <v>99.232699999999994</v>
      </c>
      <c r="DO36">
        <v>9.9011399999999999E-2</v>
      </c>
      <c r="DP36">
        <v>30.416699999999999</v>
      </c>
      <c r="DQ36">
        <v>29.981200000000001</v>
      </c>
      <c r="DR36">
        <v>999.9</v>
      </c>
      <c r="DS36">
        <v>0</v>
      </c>
      <c r="DT36">
        <v>0</v>
      </c>
      <c r="DU36">
        <v>10024.4</v>
      </c>
      <c r="DV36">
        <v>0</v>
      </c>
      <c r="DW36">
        <v>1792.3</v>
      </c>
      <c r="DX36">
        <v>-12.597799999999999</v>
      </c>
      <c r="DY36">
        <v>59.210999999999999</v>
      </c>
      <c r="DZ36">
        <v>71.691199999999995</v>
      </c>
      <c r="EA36">
        <v>6.6539299999999999</v>
      </c>
      <c r="EB36">
        <v>70.1036</v>
      </c>
      <c r="EC36">
        <v>22.145399999999999</v>
      </c>
      <c r="ED36">
        <v>2.8578299999999999</v>
      </c>
      <c r="EE36">
        <v>2.1975500000000001</v>
      </c>
      <c r="EF36">
        <v>23.222000000000001</v>
      </c>
      <c r="EG36">
        <v>18.944400000000002</v>
      </c>
      <c r="EH36">
        <v>1800.11</v>
      </c>
      <c r="EI36">
        <v>0.97799899999999995</v>
      </c>
      <c r="EJ36">
        <v>2.2000700000000002E-2</v>
      </c>
      <c r="EK36">
        <v>0</v>
      </c>
      <c r="EL36">
        <v>742.66700000000003</v>
      </c>
      <c r="EM36">
        <v>4.9999900000000004</v>
      </c>
      <c r="EN36">
        <v>18011.7</v>
      </c>
      <c r="EO36">
        <v>15864.8</v>
      </c>
      <c r="EP36">
        <v>47.686999999999998</v>
      </c>
      <c r="EQ36">
        <v>48.686999999999998</v>
      </c>
      <c r="ER36">
        <v>48.125</v>
      </c>
      <c r="ES36">
        <v>48.561999999999998</v>
      </c>
      <c r="ET36">
        <v>49.561999999999998</v>
      </c>
      <c r="EU36">
        <v>1755.62</v>
      </c>
      <c r="EV36">
        <v>39.49</v>
      </c>
      <c r="EW36">
        <v>0</v>
      </c>
      <c r="EX36">
        <v>109.3999998569489</v>
      </c>
      <c r="EY36">
        <v>0</v>
      </c>
      <c r="EZ36">
        <v>742.71380769230768</v>
      </c>
      <c r="FA36">
        <v>-1.945401683143549</v>
      </c>
      <c r="FB36">
        <v>85.682051702465571</v>
      </c>
      <c r="FC36">
        <v>18001.038461538461</v>
      </c>
      <c r="FD36">
        <v>15</v>
      </c>
      <c r="FE36">
        <v>1689003268.0999999</v>
      </c>
      <c r="FF36" t="s">
        <v>524</v>
      </c>
      <c r="FG36">
        <v>1689003261.0999999</v>
      </c>
      <c r="FH36">
        <v>1689003268.0999999</v>
      </c>
      <c r="FI36">
        <v>23</v>
      </c>
      <c r="FJ36">
        <v>3.5000000000000003E-2</v>
      </c>
      <c r="FK36">
        <v>-3.0000000000000001E-3</v>
      </c>
      <c r="FL36">
        <v>-0.27800000000000002</v>
      </c>
      <c r="FM36">
        <v>0.15</v>
      </c>
      <c r="FN36">
        <v>70</v>
      </c>
      <c r="FO36">
        <v>22</v>
      </c>
      <c r="FP36">
        <v>0.12</v>
      </c>
      <c r="FQ36">
        <v>0.01</v>
      </c>
      <c r="FR36">
        <v>10.162458426191471</v>
      </c>
      <c r="FS36">
        <v>-0.63985528582594176</v>
      </c>
      <c r="FT36">
        <v>6.596467064582269E-2</v>
      </c>
      <c r="FU36">
        <v>1</v>
      </c>
      <c r="FV36">
        <v>0.42714575434833563</v>
      </c>
      <c r="FW36">
        <v>-6.0241740691638424E-3</v>
      </c>
      <c r="FX36">
        <v>2.4286508017190211E-3</v>
      </c>
      <c r="FY36">
        <v>1</v>
      </c>
      <c r="FZ36">
        <v>2</v>
      </c>
      <c r="GA36">
        <v>2</v>
      </c>
      <c r="GB36" t="s">
        <v>423</v>
      </c>
      <c r="GC36">
        <v>2.9594800000000001</v>
      </c>
      <c r="GD36">
        <v>2.7424499999999998</v>
      </c>
      <c r="GE36">
        <v>1.5846200000000001E-2</v>
      </c>
      <c r="GF36">
        <v>1.90823E-2</v>
      </c>
      <c r="GG36">
        <v>0.13158800000000001</v>
      </c>
      <c r="GH36">
        <v>0.109065</v>
      </c>
      <c r="GI36">
        <v>23143.4</v>
      </c>
      <c r="GJ36">
        <v>21480</v>
      </c>
      <c r="GK36">
        <v>23444.799999999999</v>
      </c>
      <c r="GL36">
        <v>21943.3</v>
      </c>
      <c r="GM36">
        <v>28700</v>
      </c>
      <c r="GN36">
        <v>27264.9</v>
      </c>
      <c r="GO36">
        <v>36993.5</v>
      </c>
      <c r="GP36">
        <v>34133.9</v>
      </c>
      <c r="GQ36">
        <v>2.00895</v>
      </c>
      <c r="GR36">
        <v>1.8585499999999999</v>
      </c>
      <c r="GS36">
        <v>5.7227899999999998E-2</v>
      </c>
      <c r="GT36">
        <v>0</v>
      </c>
      <c r="GU36">
        <v>29.049199999999999</v>
      </c>
      <c r="GV36">
        <v>999.9</v>
      </c>
      <c r="GW36">
        <v>35.6</v>
      </c>
      <c r="GX36">
        <v>41.5</v>
      </c>
      <c r="GY36">
        <v>28.805599999999998</v>
      </c>
      <c r="GZ36">
        <v>60.053800000000003</v>
      </c>
      <c r="HA36">
        <v>38.918300000000002</v>
      </c>
      <c r="HB36">
        <v>1</v>
      </c>
      <c r="HC36">
        <v>0.410244</v>
      </c>
      <c r="HD36">
        <v>1.03037</v>
      </c>
      <c r="HE36">
        <v>20.1142</v>
      </c>
      <c r="HF36">
        <v>5.2601199999999997</v>
      </c>
      <c r="HG36">
        <v>11.962</v>
      </c>
      <c r="HH36">
        <v>4.9790000000000001</v>
      </c>
      <c r="HI36">
        <v>3.2972800000000002</v>
      </c>
      <c r="HJ36">
        <v>9999</v>
      </c>
      <c r="HK36">
        <v>9999</v>
      </c>
      <c r="HL36">
        <v>9999</v>
      </c>
      <c r="HM36">
        <v>999.9</v>
      </c>
      <c r="HN36">
        <v>1.8641700000000001</v>
      </c>
      <c r="HO36">
        <v>1.8602000000000001</v>
      </c>
      <c r="HP36">
        <v>1.8668100000000001</v>
      </c>
      <c r="HQ36">
        <v>1.8635200000000001</v>
      </c>
      <c r="HR36">
        <v>1.8621399999999999</v>
      </c>
      <c r="HS36">
        <v>1.8621700000000001</v>
      </c>
      <c r="HT36">
        <v>1.8634200000000001</v>
      </c>
      <c r="HU36">
        <v>1.8647400000000001</v>
      </c>
      <c r="HV36">
        <v>0</v>
      </c>
      <c r="HW36">
        <v>0</v>
      </c>
      <c r="HX36">
        <v>0</v>
      </c>
      <c r="HY36">
        <v>0</v>
      </c>
      <c r="HZ36" t="s">
        <v>424</v>
      </c>
      <c r="IA36" t="s">
        <v>425</v>
      </c>
      <c r="IB36" t="s">
        <v>426</v>
      </c>
      <c r="IC36" t="s">
        <v>426</v>
      </c>
      <c r="ID36" t="s">
        <v>426</v>
      </c>
      <c r="IE36" t="s">
        <v>426</v>
      </c>
      <c r="IF36">
        <v>0</v>
      </c>
      <c r="IG36">
        <v>100</v>
      </c>
      <c r="IH36">
        <v>100</v>
      </c>
      <c r="II36">
        <v>-0.27800000000000002</v>
      </c>
      <c r="IJ36">
        <v>0.15040000000000001</v>
      </c>
      <c r="IK36">
        <v>-0.27377039632857852</v>
      </c>
      <c r="IL36">
        <v>-8.3322953065825546E-5</v>
      </c>
      <c r="IM36">
        <v>2.3872336679552741E-7</v>
      </c>
      <c r="IN36">
        <v>-5.428329794194132E-11</v>
      </c>
      <c r="IO36">
        <v>0.1504000000000012</v>
      </c>
      <c r="IP36">
        <v>0</v>
      </c>
      <c r="IQ36">
        <v>0</v>
      </c>
      <c r="IR36">
        <v>0</v>
      </c>
      <c r="IS36">
        <v>2</v>
      </c>
      <c r="IT36">
        <v>2035</v>
      </c>
      <c r="IU36">
        <v>1</v>
      </c>
      <c r="IV36">
        <v>21</v>
      </c>
      <c r="IW36">
        <v>0.7</v>
      </c>
      <c r="IX36">
        <v>0.6</v>
      </c>
      <c r="IY36">
        <v>0.316162</v>
      </c>
      <c r="IZ36">
        <v>2.7148400000000001</v>
      </c>
      <c r="JA36">
        <v>1.4514199999999999</v>
      </c>
      <c r="JB36">
        <v>2.2790499999999998</v>
      </c>
      <c r="JC36">
        <v>1.5942400000000001</v>
      </c>
      <c r="JD36">
        <v>2.4340799999999998</v>
      </c>
      <c r="JE36">
        <v>45.776800000000001</v>
      </c>
      <c r="JF36">
        <v>24.078700000000001</v>
      </c>
      <c r="JG36">
        <v>18</v>
      </c>
      <c r="JH36">
        <v>509.56</v>
      </c>
      <c r="JI36">
        <v>449.91699999999997</v>
      </c>
      <c r="JJ36">
        <v>28.398800000000001</v>
      </c>
      <c r="JK36">
        <v>32.390999999999998</v>
      </c>
      <c r="JL36">
        <v>29.999700000000001</v>
      </c>
      <c r="JM36">
        <v>32.405799999999999</v>
      </c>
      <c r="JN36">
        <v>32.409700000000001</v>
      </c>
      <c r="JO36">
        <v>6.2911400000000004</v>
      </c>
      <c r="JP36">
        <v>23.463200000000001</v>
      </c>
      <c r="JQ36">
        <v>18.1815</v>
      </c>
      <c r="JR36">
        <v>28.401499999999999</v>
      </c>
      <c r="JS36">
        <v>70</v>
      </c>
      <c r="JT36">
        <v>22.040700000000001</v>
      </c>
      <c r="JU36">
        <v>99.152000000000001</v>
      </c>
      <c r="JV36">
        <v>98.471599999999995</v>
      </c>
    </row>
    <row r="37" spans="1:282" x14ac:dyDescent="0.25">
      <c r="A37">
        <v>21</v>
      </c>
      <c r="B37">
        <v>1689003414</v>
      </c>
      <c r="C37">
        <v>4073.400000095367</v>
      </c>
      <c r="D37" t="s">
        <v>525</v>
      </c>
      <c r="E37" t="s">
        <v>526</v>
      </c>
      <c r="F37" t="s">
        <v>414</v>
      </c>
      <c r="G37" t="s">
        <v>415</v>
      </c>
      <c r="H37" t="s">
        <v>500</v>
      </c>
      <c r="I37" t="s">
        <v>501</v>
      </c>
      <c r="J37" t="s">
        <v>416</v>
      </c>
      <c r="K37">
        <v>1689003414</v>
      </c>
      <c r="L37">
        <f t="shared" si="0"/>
        <v>5.8233736805874629E-3</v>
      </c>
      <c r="M37">
        <f t="shared" si="1"/>
        <v>5.823373680587463</v>
      </c>
      <c r="N37">
        <f t="shared" si="2"/>
        <v>4.5266068529025896</v>
      </c>
      <c r="O37">
        <f t="shared" si="3"/>
        <v>24.539400000000001</v>
      </c>
      <c r="P37">
        <f t="shared" si="4"/>
        <v>6.3252605675422418</v>
      </c>
      <c r="Q37">
        <f t="shared" si="5"/>
        <v>0.62829749988487138</v>
      </c>
      <c r="R37">
        <f t="shared" si="6"/>
        <v>2.4375349448513997</v>
      </c>
      <c r="S37">
        <f t="shared" si="7"/>
        <v>0.43408856284980907</v>
      </c>
      <c r="T37">
        <f t="shared" si="8"/>
        <v>2.9163585690633562</v>
      </c>
      <c r="U37">
        <f t="shared" si="9"/>
        <v>0.40112448434336989</v>
      </c>
      <c r="V37">
        <f t="shared" si="10"/>
        <v>0.25345556928594914</v>
      </c>
      <c r="W37">
        <f t="shared" si="11"/>
        <v>289.58402701270182</v>
      </c>
      <c r="X37">
        <f t="shared" si="12"/>
        <v>30.665914926259042</v>
      </c>
      <c r="Y37">
        <f t="shared" si="13"/>
        <v>30.014199999999999</v>
      </c>
      <c r="Z37">
        <f t="shared" si="14"/>
        <v>4.2639259854763552</v>
      </c>
      <c r="AA37">
        <f t="shared" si="15"/>
        <v>65.648019444487218</v>
      </c>
      <c r="AB37">
        <f t="shared" si="16"/>
        <v>2.8736796116262</v>
      </c>
      <c r="AC37">
        <f t="shared" si="17"/>
        <v>4.3774048873724505</v>
      </c>
      <c r="AD37">
        <f t="shared" si="18"/>
        <v>1.3902463738501551</v>
      </c>
      <c r="AE37">
        <f t="shared" si="19"/>
        <v>-256.81077931390712</v>
      </c>
      <c r="AF37">
        <f t="shared" si="20"/>
        <v>72.025561886625198</v>
      </c>
      <c r="AG37">
        <f t="shared" si="21"/>
        <v>5.5046615051354433</v>
      </c>
      <c r="AH37">
        <f t="shared" si="22"/>
        <v>110.30347109055536</v>
      </c>
      <c r="AI37">
        <v>0</v>
      </c>
      <c r="AJ37">
        <v>0</v>
      </c>
      <c r="AK37">
        <f t="shared" si="23"/>
        <v>1</v>
      </c>
      <c r="AL37">
        <f t="shared" si="24"/>
        <v>0</v>
      </c>
      <c r="AM37">
        <f t="shared" si="25"/>
        <v>51879.687708471749</v>
      </c>
      <c r="AN37" t="s">
        <v>418</v>
      </c>
      <c r="AO37">
        <v>8197.4</v>
      </c>
      <c r="AP37">
        <v>619.92999999999995</v>
      </c>
      <c r="AQ37">
        <v>3131.443117258741</v>
      </c>
      <c r="AR37">
        <f t="shared" si="26"/>
        <v>0.80203057287443702</v>
      </c>
      <c r="AS37">
        <v>-1.0448500102641549</v>
      </c>
      <c r="AT37" t="s">
        <v>527</v>
      </c>
      <c r="AU37">
        <v>8196.84</v>
      </c>
      <c r="AV37">
        <v>759.24144000000001</v>
      </c>
      <c r="AW37">
        <v>821.103464207</v>
      </c>
      <c r="AX37">
        <f t="shared" si="27"/>
        <v>7.5340108650917337E-2</v>
      </c>
      <c r="AY37">
        <v>0.5</v>
      </c>
      <c r="AZ37">
        <f t="shared" si="28"/>
        <v>1513.2771000065811</v>
      </c>
      <c r="BA37">
        <f t="shared" si="29"/>
        <v>4.5266068529025896</v>
      </c>
      <c r="BB37">
        <f t="shared" si="30"/>
        <v>57.005230566720464</v>
      </c>
      <c r="BC37">
        <f t="shared" si="31"/>
        <v>3.6817162323691511E-3</v>
      </c>
      <c r="BD37">
        <f t="shared" si="32"/>
        <v>2.8137010179137487</v>
      </c>
      <c r="BE37">
        <f t="shared" si="33"/>
        <v>398.14986390269132</v>
      </c>
      <c r="BF37" t="s">
        <v>528</v>
      </c>
      <c r="BG37">
        <v>627.6</v>
      </c>
      <c r="BH37">
        <f t="shared" si="34"/>
        <v>627.6</v>
      </c>
      <c r="BI37">
        <f t="shared" si="35"/>
        <v>0.23566270590988248</v>
      </c>
      <c r="BJ37">
        <f t="shared" si="36"/>
        <v>0.31969466004403518</v>
      </c>
      <c r="BK37">
        <f t="shared" si="37"/>
        <v>0.92271741672902752</v>
      </c>
      <c r="BL37">
        <f t="shared" si="38"/>
        <v>0.30750588528587575</v>
      </c>
      <c r="BM37">
        <f t="shared" si="39"/>
        <v>0.91989949691101902</v>
      </c>
      <c r="BN37">
        <f t="shared" si="40"/>
        <v>0.26426424859480335</v>
      </c>
      <c r="BO37">
        <f t="shared" si="41"/>
        <v>0.73573575140519665</v>
      </c>
      <c r="BP37">
        <v>13610</v>
      </c>
      <c r="BQ37">
        <v>290.00000000000011</v>
      </c>
      <c r="BR37">
        <v>804.03</v>
      </c>
      <c r="BS37">
        <v>135</v>
      </c>
      <c r="BT37">
        <v>8196.84</v>
      </c>
      <c r="BU37">
        <v>801.71</v>
      </c>
      <c r="BV37">
        <v>2.3199999999999998</v>
      </c>
      <c r="BW37">
        <v>300.00000000000011</v>
      </c>
      <c r="BX37">
        <v>19.3</v>
      </c>
      <c r="BY37">
        <v>821.103464207</v>
      </c>
      <c r="BZ37">
        <v>2.2420350703172329</v>
      </c>
      <c r="CA37">
        <v>-15.89404745524503</v>
      </c>
      <c r="CB37">
        <v>1.685146042270746</v>
      </c>
      <c r="CC37">
        <v>0.76060155754790759</v>
      </c>
      <c r="CD37">
        <v>-4.237610233592877E-3</v>
      </c>
      <c r="CE37">
        <v>289.99999999999989</v>
      </c>
      <c r="CF37">
        <v>800.62</v>
      </c>
      <c r="CG37">
        <v>665</v>
      </c>
      <c r="CH37">
        <v>8173.74</v>
      </c>
      <c r="CI37">
        <v>801.66</v>
      </c>
      <c r="CJ37">
        <v>-1.04</v>
      </c>
      <c r="CX37">
        <f t="shared" si="42"/>
        <v>1800.11</v>
      </c>
      <c r="CY37">
        <f t="shared" si="43"/>
        <v>1513.2771000065811</v>
      </c>
      <c r="CZ37">
        <f t="shared" si="44"/>
        <v>0.84065812645148419</v>
      </c>
      <c r="DA37">
        <f t="shared" si="45"/>
        <v>0.16087018405136455</v>
      </c>
      <c r="DB37">
        <v>6</v>
      </c>
      <c r="DC37">
        <v>0.5</v>
      </c>
      <c r="DD37" t="s">
        <v>421</v>
      </c>
      <c r="DE37">
        <v>2</v>
      </c>
      <c r="DF37">
        <v>1689003414</v>
      </c>
      <c r="DG37">
        <v>24.539400000000001</v>
      </c>
      <c r="DH37">
        <v>30.1401</v>
      </c>
      <c r="DI37">
        <v>28.930199999999999</v>
      </c>
      <c r="DJ37">
        <v>22.147600000000001</v>
      </c>
      <c r="DK37">
        <v>24.8172</v>
      </c>
      <c r="DL37">
        <v>28.783799999999999</v>
      </c>
      <c r="DM37">
        <v>500.24200000000002</v>
      </c>
      <c r="DN37">
        <v>99.231099999999998</v>
      </c>
      <c r="DO37">
        <v>0.100381</v>
      </c>
      <c r="DP37">
        <v>30.472300000000001</v>
      </c>
      <c r="DQ37">
        <v>30.014199999999999</v>
      </c>
      <c r="DR37">
        <v>999.9</v>
      </c>
      <c r="DS37">
        <v>0</v>
      </c>
      <c r="DT37">
        <v>0</v>
      </c>
      <c r="DU37">
        <v>10001.9</v>
      </c>
      <c r="DV37">
        <v>0</v>
      </c>
      <c r="DW37">
        <v>1797.82</v>
      </c>
      <c r="DX37">
        <v>-5.6006099999999996</v>
      </c>
      <c r="DY37">
        <v>25.270499999999998</v>
      </c>
      <c r="DZ37">
        <v>30.822700000000001</v>
      </c>
      <c r="EA37">
        <v>6.7825899999999999</v>
      </c>
      <c r="EB37">
        <v>30.1401</v>
      </c>
      <c r="EC37">
        <v>22.147600000000001</v>
      </c>
      <c r="ED37">
        <v>2.8707699999999998</v>
      </c>
      <c r="EE37">
        <v>2.19773</v>
      </c>
      <c r="EF37">
        <v>23.296800000000001</v>
      </c>
      <c r="EG37">
        <v>18.945799999999998</v>
      </c>
      <c r="EH37">
        <v>1800.11</v>
      </c>
      <c r="EI37">
        <v>0.97799899999999995</v>
      </c>
      <c r="EJ37">
        <v>2.2000700000000002E-2</v>
      </c>
      <c r="EK37">
        <v>0</v>
      </c>
      <c r="EL37">
        <v>759.14599999999996</v>
      </c>
      <c r="EM37">
        <v>4.9999900000000004</v>
      </c>
      <c r="EN37">
        <v>18255.8</v>
      </c>
      <c r="EO37">
        <v>15864.8</v>
      </c>
      <c r="EP37">
        <v>47.686999999999998</v>
      </c>
      <c r="EQ37">
        <v>48.625</v>
      </c>
      <c r="ER37">
        <v>48.125</v>
      </c>
      <c r="ES37">
        <v>48.436999999999998</v>
      </c>
      <c r="ET37">
        <v>49.5</v>
      </c>
      <c r="EU37">
        <v>1755.62</v>
      </c>
      <c r="EV37">
        <v>39.49</v>
      </c>
      <c r="EW37">
        <v>0</v>
      </c>
      <c r="EX37">
        <v>110.5999999046326</v>
      </c>
      <c r="EY37">
        <v>0</v>
      </c>
      <c r="EZ37">
        <v>759.24144000000001</v>
      </c>
      <c r="FA37">
        <v>-1.113461553920025</v>
      </c>
      <c r="FB37">
        <v>-428.50000057311797</v>
      </c>
      <c r="FC37">
        <v>18338.080000000002</v>
      </c>
      <c r="FD37">
        <v>15</v>
      </c>
      <c r="FE37">
        <v>1689003377.5</v>
      </c>
      <c r="FF37" t="s">
        <v>529</v>
      </c>
      <c r="FG37">
        <v>1689003369.5999999</v>
      </c>
      <c r="FH37">
        <v>1689003377.5</v>
      </c>
      <c r="FI37">
        <v>24</v>
      </c>
      <c r="FJ37">
        <v>-2E-3</v>
      </c>
      <c r="FK37">
        <v>-4.0000000000000001E-3</v>
      </c>
      <c r="FL37">
        <v>-0.27800000000000002</v>
      </c>
      <c r="FM37">
        <v>0.14599999999999999</v>
      </c>
      <c r="FN37">
        <v>30</v>
      </c>
      <c r="FO37">
        <v>22</v>
      </c>
      <c r="FP37">
        <v>0.36</v>
      </c>
      <c r="FQ37">
        <v>0.01</v>
      </c>
      <c r="FR37">
        <v>4.472735883024554</v>
      </c>
      <c r="FS37">
        <v>-0.51398947739758127</v>
      </c>
      <c r="FT37">
        <v>5.7978697096722917E-2</v>
      </c>
      <c r="FU37">
        <v>1</v>
      </c>
      <c r="FV37">
        <v>0.43768657380038217</v>
      </c>
      <c r="FW37">
        <v>-1.9132765515353461E-2</v>
      </c>
      <c r="FX37">
        <v>2.132189343449783E-3</v>
      </c>
      <c r="FY37">
        <v>1</v>
      </c>
      <c r="FZ37">
        <v>2</v>
      </c>
      <c r="GA37">
        <v>2</v>
      </c>
      <c r="GB37" t="s">
        <v>423</v>
      </c>
      <c r="GC37">
        <v>2.9598499999999999</v>
      </c>
      <c r="GD37">
        <v>2.74363</v>
      </c>
      <c r="GE37">
        <v>6.90597E-3</v>
      </c>
      <c r="GF37">
        <v>8.35464E-3</v>
      </c>
      <c r="GG37">
        <v>0.132017</v>
      </c>
      <c r="GH37">
        <v>0.109073</v>
      </c>
      <c r="GI37">
        <v>23355</v>
      </c>
      <c r="GJ37">
        <v>21716.6</v>
      </c>
      <c r="GK37">
        <v>23446.2</v>
      </c>
      <c r="GL37">
        <v>21945.1</v>
      </c>
      <c r="GM37">
        <v>28686.400000000001</v>
      </c>
      <c r="GN37">
        <v>27266.2</v>
      </c>
      <c r="GO37">
        <v>36995.599999999999</v>
      </c>
      <c r="GP37">
        <v>34136.699999999997</v>
      </c>
      <c r="GQ37">
        <v>2.0093299999999998</v>
      </c>
      <c r="GR37">
        <v>1.8580000000000001</v>
      </c>
      <c r="GS37">
        <v>5.6922399999999998E-2</v>
      </c>
      <c r="GT37">
        <v>0</v>
      </c>
      <c r="GU37">
        <v>29.087199999999999</v>
      </c>
      <c r="GV37">
        <v>999.9</v>
      </c>
      <c r="GW37">
        <v>35.200000000000003</v>
      </c>
      <c r="GX37">
        <v>41.6</v>
      </c>
      <c r="GY37">
        <v>28.631699999999999</v>
      </c>
      <c r="GZ37">
        <v>60.4238</v>
      </c>
      <c r="HA37">
        <v>39.483199999999997</v>
      </c>
      <c r="HB37">
        <v>1</v>
      </c>
      <c r="HC37">
        <v>0.41163899999999998</v>
      </c>
      <c r="HD37">
        <v>2.1518099999999998</v>
      </c>
      <c r="HE37">
        <v>20.101400000000002</v>
      </c>
      <c r="HF37">
        <v>5.26281</v>
      </c>
      <c r="HG37">
        <v>11.962199999999999</v>
      </c>
      <c r="HH37">
        <v>4.9797500000000001</v>
      </c>
      <c r="HI37">
        <v>3.298</v>
      </c>
      <c r="HJ37">
        <v>9999</v>
      </c>
      <c r="HK37">
        <v>9999</v>
      </c>
      <c r="HL37">
        <v>9999</v>
      </c>
      <c r="HM37">
        <v>999.9</v>
      </c>
      <c r="HN37">
        <v>1.8642000000000001</v>
      </c>
      <c r="HO37">
        <v>1.8602000000000001</v>
      </c>
      <c r="HP37">
        <v>1.8668100000000001</v>
      </c>
      <c r="HQ37">
        <v>1.8634599999999999</v>
      </c>
      <c r="HR37">
        <v>1.86215</v>
      </c>
      <c r="HS37">
        <v>1.8621799999999999</v>
      </c>
      <c r="HT37">
        <v>1.8633999999999999</v>
      </c>
      <c r="HU37">
        <v>1.8647</v>
      </c>
      <c r="HV37">
        <v>0</v>
      </c>
      <c r="HW37">
        <v>0</v>
      </c>
      <c r="HX37">
        <v>0</v>
      </c>
      <c r="HY37">
        <v>0</v>
      </c>
      <c r="HZ37" t="s">
        <v>424</v>
      </c>
      <c r="IA37" t="s">
        <v>425</v>
      </c>
      <c r="IB37" t="s">
        <v>426</v>
      </c>
      <c r="IC37" t="s">
        <v>426</v>
      </c>
      <c r="ID37" t="s">
        <v>426</v>
      </c>
      <c r="IE37" t="s">
        <v>426</v>
      </c>
      <c r="IF37">
        <v>0</v>
      </c>
      <c r="IG37">
        <v>100</v>
      </c>
      <c r="IH37">
        <v>100</v>
      </c>
      <c r="II37">
        <v>-0.27800000000000002</v>
      </c>
      <c r="IJ37">
        <v>0.1464</v>
      </c>
      <c r="IK37">
        <v>-0.27583408298283307</v>
      </c>
      <c r="IL37">
        <v>-8.3322953065825546E-5</v>
      </c>
      <c r="IM37">
        <v>2.3872336679552741E-7</v>
      </c>
      <c r="IN37">
        <v>-5.428329794194132E-11</v>
      </c>
      <c r="IO37">
        <v>0.14632857142856889</v>
      </c>
      <c r="IP37">
        <v>0</v>
      </c>
      <c r="IQ37">
        <v>0</v>
      </c>
      <c r="IR37">
        <v>0</v>
      </c>
      <c r="IS37">
        <v>2</v>
      </c>
      <c r="IT37">
        <v>2035</v>
      </c>
      <c r="IU37">
        <v>1</v>
      </c>
      <c r="IV37">
        <v>21</v>
      </c>
      <c r="IW37">
        <v>0.7</v>
      </c>
      <c r="IX37">
        <v>0.6</v>
      </c>
      <c r="IY37">
        <v>0.220947</v>
      </c>
      <c r="IZ37">
        <v>2.7355999999999998</v>
      </c>
      <c r="JA37">
        <v>1.4526399999999999</v>
      </c>
      <c r="JB37">
        <v>2.2790499999999998</v>
      </c>
      <c r="JC37">
        <v>1.5942400000000001</v>
      </c>
      <c r="JD37">
        <v>2.3877000000000002</v>
      </c>
      <c r="JE37">
        <v>45.834400000000002</v>
      </c>
      <c r="JF37">
        <v>24.087499999999999</v>
      </c>
      <c r="JG37">
        <v>18</v>
      </c>
      <c r="JH37">
        <v>509.67</v>
      </c>
      <c r="JI37">
        <v>449.46199999999999</v>
      </c>
      <c r="JJ37">
        <v>27.791699999999999</v>
      </c>
      <c r="JK37">
        <v>32.3538</v>
      </c>
      <c r="JL37">
        <v>29.9999</v>
      </c>
      <c r="JM37">
        <v>32.3904</v>
      </c>
      <c r="JN37">
        <v>32.401200000000003</v>
      </c>
      <c r="JO37">
        <v>4.39473</v>
      </c>
      <c r="JP37">
        <v>22.5517</v>
      </c>
      <c r="JQ37">
        <v>17.059100000000001</v>
      </c>
      <c r="JR37">
        <v>27.782599999999999</v>
      </c>
      <c r="JS37">
        <v>30</v>
      </c>
      <c r="JT37">
        <v>21.978000000000002</v>
      </c>
      <c r="JU37">
        <v>99.157799999999995</v>
      </c>
      <c r="JV37">
        <v>98.479600000000005</v>
      </c>
    </row>
    <row r="38" spans="1:282" x14ac:dyDescent="0.25">
      <c r="A38">
        <v>22</v>
      </c>
      <c r="B38">
        <v>1689003541</v>
      </c>
      <c r="C38">
        <v>4200.4000000953674</v>
      </c>
      <c r="D38" t="s">
        <v>530</v>
      </c>
      <c r="E38" t="s">
        <v>531</v>
      </c>
      <c r="F38" t="s">
        <v>414</v>
      </c>
      <c r="G38" t="s">
        <v>415</v>
      </c>
      <c r="H38" t="s">
        <v>500</v>
      </c>
      <c r="I38" t="s">
        <v>501</v>
      </c>
      <c r="J38" t="s">
        <v>416</v>
      </c>
      <c r="K38">
        <v>1689003541</v>
      </c>
      <c r="L38">
        <f t="shared" si="0"/>
        <v>6.0614329913551484E-3</v>
      </c>
      <c r="M38">
        <f t="shared" si="1"/>
        <v>6.0614329913551481</v>
      </c>
      <c r="N38">
        <f t="shared" si="2"/>
        <v>1.5081394803722634</v>
      </c>
      <c r="O38">
        <f t="shared" si="3"/>
        <v>8.2400900000000004</v>
      </c>
      <c r="P38">
        <f t="shared" si="4"/>
        <v>2.3669858662526813</v>
      </c>
      <c r="Q38">
        <f t="shared" si="5"/>
        <v>0.23511730183463672</v>
      </c>
      <c r="R38">
        <f t="shared" si="6"/>
        <v>0.81850413865874394</v>
      </c>
      <c r="S38">
        <f t="shared" si="7"/>
        <v>0.45033994908169955</v>
      </c>
      <c r="T38">
        <f t="shared" si="8"/>
        <v>2.9096910046405156</v>
      </c>
      <c r="U38">
        <f t="shared" si="9"/>
        <v>0.41489494239208413</v>
      </c>
      <c r="V38">
        <f t="shared" si="10"/>
        <v>0.26226106077711298</v>
      </c>
      <c r="W38">
        <f t="shared" si="11"/>
        <v>289.55051101270334</v>
      </c>
      <c r="X38">
        <f t="shared" si="12"/>
        <v>30.603374982005008</v>
      </c>
      <c r="Y38">
        <f t="shared" si="13"/>
        <v>29.997</v>
      </c>
      <c r="Z38">
        <f t="shared" si="14"/>
        <v>4.2597156773156035</v>
      </c>
      <c r="AA38">
        <f t="shared" si="15"/>
        <v>65.349899570708203</v>
      </c>
      <c r="AB38">
        <f t="shared" si="16"/>
        <v>2.8605314546143195</v>
      </c>
      <c r="AC38">
        <f t="shared" si="17"/>
        <v>4.3772545534201495</v>
      </c>
      <c r="AD38">
        <f t="shared" si="18"/>
        <v>1.3991842227012841</v>
      </c>
      <c r="AE38">
        <f t="shared" si="19"/>
        <v>-267.30919491876205</v>
      </c>
      <c r="AF38">
        <f t="shared" si="20"/>
        <v>74.464889006602377</v>
      </c>
      <c r="AG38">
        <f t="shared" si="21"/>
        <v>5.7036299018601984</v>
      </c>
      <c r="AH38">
        <f t="shared" si="22"/>
        <v>102.40983500240388</v>
      </c>
      <c r="AI38">
        <v>0</v>
      </c>
      <c r="AJ38">
        <v>0</v>
      </c>
      <c r="AK38">
        <f t="shared" si="23"/>
        <v>1</v>
      </c>
      <c r="AL38">
        <f t="shared" si="24"/>
        <v>0</v>
      </c>
      <c r="AM38">
        <f t="shared" si="25"/>
        <v>51690.366659869906</v>
      </c>
      <c r="AN38" t="s">
        <v>418</v>
      </c>
      <c r="AO38">
        <v>8197.4</v>
      </c>
      <c r="AP38">
        <v>619.92999999999995</v>
      </c>
      <c r="AQ38">
        <v>3131.443117258741</v>
      </c>
      <c r="AR38">
        <f t="shared" si="26"/>
        <v>0.80203057287443702</v>
      </c>
      <c r="AS38">
        <v>-1.0448500102641549</v>
      </c>
      <c r="AT38" t="s">
        <v>532</v>
      </c>
      <c r="AU38">
        <v>8202.2199999999993</v>
      </c>
      <c r="AV38">
        <v>767.04240000000004</v>
      </c>
      <c r="AW38">
        <v>821.37687309978503</v>
      </c>
      <c r="AX38">
        <f t="shared" si="27"/>
        <v>6.6150478397002721E-2</v>
      </c>
      <c r="AY38">
        <v>0.5</v>
      </c>
      <c r="AZ38">
        <f t="shared" si="28"/>
        <v>1513.1007000065822</v>
      </c>
      <c r="BA38">
        <f t="shared" si="29"/>
        <v>1.5081394803722634</v>
      </c>
      <c r="BB38">
        <f t="shared" si="30"/>
        <v>50.046167584137557</v>
      </c>
      <c r="BC38">
        <f t="shared" si="31"/>
        <v>1.6872568300479356E-3</v>
      </c>
      <c r="BD38">
        <f t="shared" si="32"/>
        <v>2.812431564381674</v>
      </c>
      <c r="BE38">
        <f t="shared" si="33"/>
        <v>398.21413793217101</v>
      </c>
      <c r="BF38" t="s">
        <v>533</v>
      </c>
      <c r="BG38">
        <v>645.23</v>
      </c>
      <c r="BH38">
        <f t="shared" si="34"/>
        <v>645.23</v>
      </c>
      <c r="BI38">
        <f t="shared" si="35"/>
        <v>0.21445316865938324</v>
      </c>
      <c r="BJ38">
        <f t="shared" si="36"/>
        <v>0.3084611843720052</v>
      </c>
      <c r="BK38">
        <f t="shared" si="37"/>
        <v>0.9291505334450163</v>
      </c>
      <c r="BL38">
        <f t="shared" si="38"/>
        <v>0.26972110444658448</v>
      </c>
      <c r="BM38">
        <f t="shared" si="39"/>
        <v>0.91979063469130529</v>
      </c>
      <c r="BN38">
        <f t="shared" si="40"/>
        <v>0.25947510853682781</v>
      </c>
      <c r="BO38">
        <f t="shared" si="41"/>
        <v>0.74052489146317213</v>
      </c>
      <c r="BP38">
        <v>13612</v>
      </c>
      <c r="BQ38">
        <v>290.00000000000011</v>
      </c>
      <c r="BR38">
        <v>803.64</v>
      </c>
      <c r="BS38">
        <v>85</v>
      </c>
      <c r="BT38">
        <v>8202.2199999999993</v>
      </c>
      <c r="BU38">
        <v>801.06</v>
      </c>
      <c r="BV38">
        <v>2.58</v>
      </c>
      <c r="BW38">
        <v>300.00000000000011</v>
      </c>
      <c r="BX38">
        <v>19.3</v>
      </c>
      <c r="BY38">
        <v>821.37687309978503</v>
      </c>
      <c r="BZ38">
        <v>1.6720412970393941</v>
      </c>
      <c r="CA38">
        <v>-16.66122257874386</v>
      </c>
      <c r="CB38">
        <v>1.2567163919230351</v>
      </c>
      <c r="CC38">
        <v>0.86258865226945558</v>
      </c>
      <c r="CD38">
        <v>-4.2375483870967746E-3</v>
      </c>
      <c r="CE38">
        <v>289.99999999999989</v>
      </c>
      <c r="CF38">
        <v>800.1</v>
      </c>
      <c r="CG38">
        <v>645</v>
      </c>
      <c r="CH38">
        <v>8174.27</v>
      </c>
      <c r="CI38">
        <v>800.99</v>
      </c>
      <c r="CJ38">
        <v>-0.89</v>
      </c>
      <c r="CX38">
        <f t="shared" si="42"/>
        <v>1799.9</v>
      </c>
      <c r="CY38">
        <f t="shared" si="43"/>
        <v>1513.1007000065822</v>
      </c>
      <c r="CZ38">
        <f t="shared" si="44"/>
        <v>0.84065820323716989</v>
      </c>
      <c r="DA38">
        <f t="shared" si="45"/>
        <v>0.16087033224773784</v>
      </c>
      <c r="DB38">
        <v>6</v>
      </c>
      <c r="DC38">
        <v>0.5</v>
      </c>
      <c r="DD38" t="s">
        <v>421</v>
      </c>
      <c r="DE38">
        <v>2</v>
      </c>
      <c r="DF38">
        <v>1689003541</v>
      </c>
      <c r="DG38">
        <v>8.2400900000000004</v>
      </c>
      <c r="DH38">
        <v>10.1097</v>
      </c>
      <c r="DI38">
        <v>28.797699999999999</v>
      </c>
      <c r="DJ38">
        <v>21.733799999999999</v>
      </c>
      <c r="DK38">
        <v>8.5275400000000001</v>
      </c>
      <c r="DL38">
        <v>28.6525</v>
      </c>
      <c r="DM38">
        <v>500.02499999999998</v>
      </c>
      <c r="DN38">
        <v>99.231999999999999</v>
      </c>
      <c r="DO38">
        <v>9.9941600000000005E-2</v>
      </c>
      <c r="DP38">
        <v>30.471699999999998</v>
      </c>
      <c r="DQ38">
        <v>29.997</v>
      </c>
      <c r="DR38">
        <v>999.9</v>
      </c>
      <c r="DS38">
        <v>0</v>
      </c>
      <c r="DT38">
        <v>0</v>
      </c>
      <c r="DU38">
        <v>9963.75</v>
      </c>
      <c r="DV38">
        <v>0</v>
      </c>
      <c r="DW38">
        <v>1825.44</v>
      </c>
      <c r="DX38">
        <v>-1.8696600000000001</v>
      </c>
      <c r="DY38">
        <v>8.4844200000000001</v>
      </c>
      <c r="DZ38">
        <v>10.3344</v>
      </c>
      <c r="EA38">
        <v>7.0638199999999998</v>
      </c>
      <c r="EB38">
        <v>10.1097</v>
      </c>
      <c r="EC38">
        <v>21.733799999999999</v>
      </c>
      <c r="ED38">
        <v>2.85765</v>
      </c>
      <c r="EE38">
        <v>2.1566900000000002</v>
      </c>
      <c r="EF38">
        <v>23.2209</v>
      </c>
      <c r="EG38">
        <v>18.644200000000001</v>
      </c>
      <c r="EH38">
        <v>1799.9</v>
      </c>
      <c r="EI38">
        <v>0.97799599999999998</v>
      </c>
      <c r="EJ38">
        <v>2.20039E-2</v>
      </c>
      <c r="EK38">
        <v>0</v>
      </c>
      <c r="EL38">
        <v>766.46199999999999</v>
      </c>
      <c r="EM38">
        <v>4.9999900000000004</v>
      </c>
      <c r="EN38">
        <v>18556.7</v>
      </c>
      <c r="EO38">
        <v>15862.9</v>
      </c>
      <c r="EP38">
        <v>47.75</v>
      </c>
      <c r="EQ38">
        <v>48.625</v>
      </c>
      <c r="ER38">
        <v>48.125</v>
      </c>
      <c r="ES38">
        <v>48.436999999999998</v>
      </c>
      <c r="ET38">
        <v>49.5</v>
      </c>
      <c r="EU38">
        <v>1755.41</v>
      </c>
      <c r="EV38">
        <v>39.49</v>
      </c>
      <c r="EW38">
        <v>0</v>
      </c>
      <c r="EX38">
        <v>125</v>
      </c>
      <c r="EY38">
        <v>0</v>
      </c>
      <c r="EZ38">
        <v>767.04240000000004</v>
      </c>
      <c r="FA38">
        <v>-0.39115385180744899</v>
      </c>
      <c r="FB38">
        <v>204.4153843690504</v>
      </c>
      <c r="FC38">
        <v>18578.472000000002</v>
      </c>
      <c r="FD38">
        <v>15</v>
      </c>
      <c r="FE38">
        <v>1689003507.5</v>
      </c>
      <c r="FF38" t="s">
        <v>534</v>
      </c>
      <c r="FG38">
        <v>1689003497.5</v>
      </c>
      <c r="FH38">
        <v>1689003507.5</v>
      </c>
      <c r="FI38">
        <v>25</v>
      </c>
      <c r="FJ38">
        <v>-1.0999999999999999E-2</v>
      </c>
      <c r="FK38">
        <v>-1E-3</v>
      </c>
      <c r="FL38">
        <v>-0.28799999999999998</v>
      </c>
      <c r="FM38">
        <v>0.14499999999999999</v>
      </c>
      <c r="FN38">
        <v>10</v>
      </c>
      <c r="FO38">
        <v>22</v>
      </c>
      <c r="FP38">
        <v>0.19</v>
      </c>
      <c r="FQ38">
        <v>0.01</v>
      </c>
      <c r="FR38">
        <v>1.5232594081040329</v>
      </c>
      <c r="FS38">
        <v>-0.36155330159028792</v>
      </c>
      <c r="FT38">
        <v>4.5414450069944039E-2</v>
      </c>
      <c r="FU38">
        <v>1</v>
      </c>
      <c r="FV38">
        <v>0.4500437988412776</v>
      </c>
      <c r="FW38">
        <v>-3.7189710542317551E-3</v>
      </c>
      <c r="FX38">
        <v>5.3553632443425027E-4</v>
      </c>
      <c r="FY38">
        <v>1</v>
      </c>
      <c r="FZ38">
        <v>2</v>
      </c>
      <c r="GA38">
        <v>2</v>
      </c>
      <c r="GB38" t="s">
        <v>423</v>
      </c>
      <c r="GC38">
        <v>2.9593500000000001</v>
      </c>
      <c r="GD38">
        <v>2.7428499999999998</v>
      </c>
      <c r="GE38">
        <v>2.3873499999999999E-3</v>
      </c>
      <c r="GF38">
        <v>2.8229700000000002E-3</v>
      </c>
      <c r="GG38">
        <v>0.131606</v>
      </c>
      <c r="GH38">
        <v>0.107652</v>
      </c>
      <c r="GI38">
        <v>23462.1</v>
      </c>
      <c r="GJ38">
        <v>21838.799999999999</v>
      </c>
      <c r="GK38">
        <v>23447.200000000001</v>
      </c>
      <c r="GL38">
        <v>21946.3</v>
      </c>
      <c r="GM38">
        <v>28700.7</v>
      </c>
      <c r="GN38">
        <v>27311.4</v>
      </c>
      <c r="GO38">
        <v>36996.800000000003</v>
      </c>
      <c r="GP38">
        <v>34138.6</v>
      </c>
      <c r="GQ38">
        <v>2.0096500000000002</v>
      </c>
      <c r="GR38">
        <v>1.8568</v>
      </c>
      <c r="GS38">
        <v>5.44935E-2</v>
      </c>
      <c r="GT38">
        <v>0</v>
      </c>
      <c r="GU38">
        <v>29.109500000000001</v>
      </c>
      <c r="GV38">
        <v>999.9</v>
      </c>
      <c r="GW38">
        <v>34.799999999999997</v>
      </c>
      <c r="GX38">
        <v>41.7</v>
      </c>
      <c r="GY38">
        <v>28.455100000000002</v>
      </c>
      <c r="GZ38">
        <v>60.443800000000003</v>
      </c>
      <c r="HA38">
        <v>39.755600000000001</v>
      </c>
      <c r="HB38">
        <v>1</v>
      </c>
      <c r="HC38">
        <v>0.409827</v>
      </c>
      <c r="HD38">
        <v>1.72133</v>
      </c>
      <c r="HE38">
        <v>20.106300000000001</v>
      </c>
      <c r="HF38">
        <v>5.2641600000000004</v>
      </c>
      <c r="HG38">
        <v>11.962</v>
      </c>
      <c r="HH38">
        <v>4.9798</v>
      </c>
      <c r="HI38">
        <v>3.2979500000000002</v>
      </c>
      <c r="HJ38">
        <v>9999</v>
      </c>
      <c r="HK38">
        <v>9999</v>
      </c>
      <c r="HL38">
        <v>9999</v>
      </c>
      <c r="HM38">
        <v>999.9</v>
      </c>
      <c r="HN38">
        <v>1.8641700000000001</v>
      </c>
      <c r="HO38">
        <v>1.86019</v>
      </c>
      <c r="HP38">
        <v>1.86676</v>
      </c>
      <c r="HQ38">
        <v>1.8634299999999999</v>
      </c>
      <c r="HR38">
        <v>1.8620699999999999</v>
      </c>
      <c r="HS38">
        <v>1.8621700000000001</v>
      </c>
      <c r="HT38">
        <v>1.8633999999999999</v>
      </c>
      <c r="HU38">
        <v>1.86463</v>
      </c>
      <c r="HV38">
        <v>0</v>
      </c>
      <c r="HW38">
        <v>0</v>
      </c>
      <c r="HX38">
        <v>0</v>
      </c>
      <c r="HY38">
        <v>0</v>
      </c>
      <c r="HZ38" t="s">
        <v>424</v>
      </c>
      <c r="IA38" t="s">
        <v>425</v>
      </c>
      <c r="IB38" t="s">
        <v>426</v>
      </c>
      <c r="IC38" t="s">
        <v>426</v>
      </c>
      <c r="ID38" t="s">
        <v>426</v>
      </c>
      <c r="IE38" t="s">
        <v>426</v>
      </c>
      <c r="IF38">
        <v>0</v>
      </c>
      <c r="IG38">
        <v>100</v>
      </c>
      <c r="IH38">
        <v>100</v>
      </c>
      <c r="II38">
        <v>-0.28699999999999998</v>
      </c>
      <c r="IJ38">
        <v>0.1452</v>
      </c>
      <c r="IK38">
        <v>-0.28675626132074877</v>
      </c>
      <c r="IL38">
        <v>-8.3322953065825546E-5</v>
      </c>
      <c r="IM38">
        <v>2.3872336679552741E-7</v>
      </c>
      <c r="IN38">
        <v>-5.428329794194132E-11</v>
      </c>
      <c r="IO38">
        <v>0.145119344975527</v>
      </c>
      <c r="IP38">
        <v>0</v>
      </c>
      <c r="IQ38">
        <v>0</v>
      </c>
      <c r="IR38">
        <v>0</v>
      </c>
      <c r="IS38">
        <v>2</v>
      </c>
      <c r="IT38">
        <v>2035</v>
      </c>
      <c r="IU38">
        <v>1</v>
      </c>
      <c r="IV38">
        <v>21</v>
      </c>
      <c r="IW38">
        <v>0.7</v>
      </c>
      <c r="IX38">
        <v>0.6</v>
      </c>
      <c r="IY38">
        <v>0.17333999999999999</v>
      </c>
      <c r="IZ38">
        <v>2.7648899999999998</v>
      </c>
      <c r="JA38">
        <v>1.4526399999999999</v>
      </c>
      <c r="JB38">
        <v>2.2790499999999998</v>
      </c>
      <c r="JC38">
        <v>1.5942400000000001</v>
      </c>
      <c r="JD38">
        <v>2.2631800000000002</v>
      </c>
      <c r="JE38">
        <v>45.892099999999999</v>
      </c>
      <c r="JF38">
        <v>24.105</v>
      </c>
      <c r="JG38">
        <v>18</v>
      </c>
      <c r="JH38">
        <v>509.774</v>
      </c>
      <c r="JI38">
        <v>448.529</v>
      </c>
      <c r="JJ38">
        <v>28.091000000000001</v>
      </c>
      <c r="JK38">
        <v>32.328000000000003</v>
      </c>
      <c r="JL38">
        <v>30.0002</v>
      </c>
      <c r="JM38">
        <v>32.378100000000003</v>
      </c>
      <c r="JN38">
        <v>32.389899999999997</v>
      </c>
      <c r="JO38">
        <v>3.4446099999999999</v>
      </c>
      <c r="JP38">
        <v>23.798200000000001</v>
      </c>
      <c r="JQ38">
        <v>15.270799999999999</v>
      </c>
      <c r="JR38">
        <v>28.089099999999998</v>
      </c>
      <c r="JS38">
        <v>10</v>
      </c>
      <c r="JT38">
        <v>21.652000000000001</v>
      </c>
      <c r="JU38">
        <v>99.1614</v>
      </c>
      <c r="JV38">
        <v>98.484999999999999</v>
      </c>
    </row>
    <row r="39" spans="1:282" x14ac:dyDescent="0.25">
      <c r="A39">
        <v>23</v>
      </c>
      <c r="B39">
        <v>1689003730.5</v>
      </c>
      <c r="C39">
        <v>4389.9000000953674</v>
      </c>
      <c r="D39" t="s">
        <v>535</v>
      </c>
      <c r="E39" t="s">
        <v>536</v>
      </c>
      <c r="F39" t="s">
        <v>414</v>
      </c>
      <c r="G39" t="s">
        <v>415</v>
      </c>
      <c r="H39" t="s">
        <v>500</v>
      </c>
      <c r="I39" t="s">
        <v>501</v>
      </c>
      <c r="J39" t="s">
        <v>416</v>
      </c>
      <c r="K39">
        <v>1689003730.5</v>
      </c>
      <c r="L39">
        <f t="shared" si="0"/>
        <v>5.7568807436415874E-3</v>
      </c>
      <c r="M39">
        <f t="shared" si="1"/>
        <v>5.7568807436415872</v>
      </c>
      <c r="N39">
        <f t="shared" si="2"/>
        <v>42.608985398230473</v>
      </c>
      <c r="O39">
        <f t="shared" si="3"/>
        <v>346.488</v>
      </c>
      <c r="P39">
        <f t="shared" si="4"/>
        <v>166.22456730918401</v>
      </c>
      <c r="Q39">
        <f t="shared" si="5"/>
        <v>16.511152095749903</v>
      </c>
      <c r="R39">
        <f t="shared" si="6"/>
        <v>34.416790249247995</v>
      </c>
      <c r="S39">
        <f t="shared" si="7"/>
        <v>0.41782398135589027</v>
      </c>
      <c r="T39">
        <f t="shared" si="8"/>
        <v>2.9161169989807276</v>
      </c>
      <c r="U39">
        <f t="shared" si="9"/>
        <v>0.38718812044497386</v>
      </c>
      <c r="V39">
        <f t="shared" si="10"/>
        <v>0.24455763042483736</v>
      </c>
      <c r="W39">
        <f t="shared" si="11"/>
        <v>289.53774301270386</v>
      </c>
      <c r="X39">
        <f t="shared" si="12"/>
        <v>30.708077396424162</v>
      </c>
      <c r="Y39">
        <f t="shared" si="13"/>
        <v>30.032599999999999</v>
      </c>
      <c r="Z39">
        <f t="shared" si="14"/>
        <v>4.2684340506890068</v>
      </c>
      <c r="AA39">
        <f t="shared" si="15"/>
        <v>64.886433591101138</v>
      </c>
      <c r="AB39">
        <f t="shared" si="16"/>
        <v>2.8444252198559998</v>
      </c>
      <c r="AC39">
        <f t="shared" si="17"/>
        <v>4.3836978894246066</v>
      </c>
      <c r="AD39">
        <f t="shared" si="18"/>
        <v>1.424008830833007</v>
      </c>
      <c r="AE39">
        <f t="shared" si="19"/>
        <v>-253.87844079459401</v>
      </c>
      <c r="AF39">
        <f t="shared" si="20"/>
        <v>73.072927596878017</v>
      </c>
      <c r="AG39">
        <f t="shared" si="21"/>
        <v>5.5863725963146376</v>
      </c>
      <c r="AH39">
        <f t="shared" si="22"/>
        <v>114.31860241130248</v>
      </c>
      <c r="AI39">
        <v>0</v>
      </c>
      <c r="AJ39">
        <v>0</v>
      </c>
      <c r="AK39">
        <f t="shared" si="23"/>
        <v>1</v>
      </c>
      <c r="AL39">
        <f t="shared" si="24"/>
        <v>0</v>
      </c>
      <c r="AM39">
        <f t="shared" si="25"/>
        <v>51868.512211118745</v>
      </c>
      <c r="AN39" t="s">
        <v>418</v>
      </c>
      <c r="AO39">
        <v>8197.4</v>
      </c>
      <c r="AP39">
        <v>619.92999999999995</v>
      </c>
      <c r="AQ39">
        <v>3131.443117258741</v>
      </c>
      <c r="AR39">
        <f t="shared" si="26"/>
        <v>0.80203057287443702</v>
      </c>
      <c r="AS39">
        <v>-1.0448500102641549</v>
      </c>
      <c r="AT39" t="s">
        <v>537</v>
      </c>
      <c r="AU39">
        <v>8186.15</v>
      </c>
      <c r="AV39">
        <v>724.79011999999989</v>
      </c>
      <c r="AW39">
        <v>1048.5993988725829</v>
      </c>
      <c r="AX39">
        <f t="shared" si="27"/>
        <v>0.30880170179453792</v>
      </c>
      <c r="AY39">
        <v>0.5</v>
      </c>
      <c r="AZ39">
        <f t="shared" si="28"/>
        <v>1513.0335000065822</v>
      </c>
      <c r="BA39">
        <f t="shared" si="29"/>
        <v>42.608985398230473</v>
      </c>
      <c r="BB39">
        <f t="shared" si="30"/>
        <v>233.6136598370893</v>
      </c>
      <c r="BC39">
        <f t="shared" si="31"/>
        <v>2.8851863100390521E-2</v>
      </c>
      <c r="BD39">
        <f t="shared" si="32"/>
        <v>1.9863102349911301</v>
      </c>
      <c r="BE39">
        <f t="shared" si="33"/>
        <v>444.95925206311773</v>
      </c>
      <c r="BF39" t="s">
        <v>538</v>
      </c>
      <c r="BG39">
        <v>592.83000000000004</v>
      </c>
      <c r="BH39">
        <f t="shared" si="34"/>
        <v>592.83000000000004</v>
      </c>
      <c r="BI39">
        <f t="shared" si="35"/>
        <v>0.43464587082789674</v>
      </c>
      <c r="BJ39">
        <f t="shared" si="36"/>
        <v>0.71046735404697225</v>
      </c>
      <c r="BK39">
        <f t="shared" si="37"/>
        <v>0.820465199768315</v>
      </c>
      <c r="BL39">
        <f t="shared" si="38"/>
        <v>0.75538230562809916</v>
      </c>
      <c r="BM39">
        <f t="shared" si="39"/>
        <v>0.82931827195054986</v>
      </c>
      <c r="BN39">
        <f t="shared" si="40"/>
        <v>0.58111493227814237</v>
      </c>
      <c r="BO39">
        <f t="shared" si="41"/>
        <v>0.41888506772185763</v>
      </c>
      <c r="BP39">
        <v>13614</v>
      </c>
      <c r="BQ39">
        <v>290.00000000000011</v>
      </c>
      <c r="BR39">
        <v>923.31</v>
      </c>
      <c r="BS39">
        <v>265</v>
      </c>
      <c r="BT39">
        <v>8186.15</v>
      </c>
      <c r="BU39">
        <v>925.43</v>
      </c>
      <c r="BV39">
        <v>-2.12</v>
      </c>
      <c r="BW39">
        <v>300.00000000000011</v>
      </c>
      <c r="BX39">
        <v>19.3</v>
      </c>
      <c r="BY39">
        <v>1048.5993988725829</v>
      </c>
      <c r="BZ39">
        <v>3.969106340315216</v>
      </c>
      <c r="CA39">
        <v>-100.82577385320261</v>
      </c>
      <c r="CB39">
        <v>2.9834061906035418</v>
      </c>
      <c r="CC39">
        <v>0.97607118626734302</v>
      </c>
      <c r="CD39">
        <v>-4.2382407119021109E-3</v>
      </c>
      <c r="CE39">
        <v>289.99999999999989</v>
      </c>
      <c r="CF39">
        <v>913.83</v>
      </c>
      <c r="CG39">
        <v>655</v>
      </c>
      <c r="CH39">
        <v>8174.5</v>
      </c>
      <c r="CI39">
        <v>925.26</v>
      </c>
      <c r="CJ39">
        <v>-11.43</v>
      </c>
      <c r="CX39">
        <f t="shared" si="42"/>
        <v>1799.82</v>
      </c>
      <c r="CY39">
        <f t="shared" si="43"/>
        <v>1513.0335000065822</v>
      </c>
      <c r="CZ39">
        <f t="shared" si="44"/>
        <v>0.84065823249357285</v>
      </c>
      <c r="DA39">
        <f t="shared" si="45"/>
        <v>0.16087038871259562</v>
      </c>
      <c r="DB39">
        <v>6</v>
      </c>
      <c r="DC39">
        <v>0.5</v>
      </c>
      <c r="DD39" t="s">
        <v>421</v>
      </c>
      <c r="DE39">
        <v>2</v>
      </c>
      <c r="DF39">
        <v>1689003730.5</v>
      </c>
      <c r="DG39">
        <v>346.488</v>
      </c>
      <c r="DH39">
        <v>399.99700000000001</v>
      </c>
      <c r="DI39">
        <v>28.635999999999999</v>
      </c>
      <c r="DJ39">
        <v>21.927499999999998</v>
      </c>
      <c r="DK39">
        <v>346.79199999999997</v>
      </c>
      <c r="DL39">
        <v>28.478999999999999</v>
      </c>
      <c r="DM39">
        <v>500.14400000000001</v>
      </c>
      <c r="DN39">
        <v>99.2303</v>
      </c>
      <c r="DO39">
        <v>0.100096</v>
      </c>
      <c r="DP39">
        <v>30.497399999999999</v>
      </c>
      <c r="DQ39">
        <v>30.032599999999999</v>
      </c>
      <c r="DR39">
        <v>999.9</v>
      </c>
      <c r="DS39">
        <v>0</v>
      </c>
      <c r="DT39">
        <v>0</v>
      </c>
      <c r="DU39">
        <v>10000.6</v>
      </c>
      <c r="DV39">
        <v>0</v>
      </c>
      <c r="DW39">
        <v>1804.64</v>
      </c>
      <c r="DX39">
        <v>-53.509599999999999</v>
      </c>
      <c r="DY39">
        <v>356.702</v>
      </c>
      <c r="DZ39">
        <v>408.96499999999997</v>
      </c>
      <c r="EA39">
        <v>6.7085299999999997</v>
      </c>
      <c r="EB39">
        <v>399.99700000000001</v>
      </c>
      <c r="EC39">
        <v>21.927499999999998</v>
      </c>
      <c r="ED39">
        <v>2.8415599999999999</v>
      </c>
      <c r="EE39">
        <v>2.1758700000000002</v>
      </c>
      <c r="EF39">
        <v>23.127500000000001</v>
      </c>
      <c r="EG39">
        <v>18.785799999999998</v>
      </c>
      <c r="EH39">
        <v>1799.82</v>
      </c>
      <c r="EI39">
        <v>0.97799599999999998</v>
      </c>
      <c r="EJ39">
        <v>2.20038E-2</v>
      </c>
      <c r="EK39">
        <v>0</v>
      </c>
      <c r="EL39">
        <v>725.37400000000002</v>
      </c>
      <c r="EM39">
        <v>4.9999900000000004</v>
      </c>
      <c r="EN39">
        <v>17789.2</v>
      </c>
      <c r="EO39">
        <v>15862.2</v>
      </c>
      <c r="EP39">
        <v>47.75</v>
      </c>
      <c r="EQ39">
        <v>48.686999999999998</v>
      </c>
      <c r="ER39">
        <v>48.125</v>
      </c>
      <c r="ES39">
        <v>48.436999999999998</v>
      </c>
      <c r="ET39">
        <v>49.5</v>
      </c>
      <c r="EU39">
        <v>1755.33</v>
      </c>
      <c r="EV39">
        <v>39.49</v>
      </c>
      <c r="EW39">
        <v>0</v>
      </c>
      <c r="EX39">
        <v>187.39999985694891</v>
      </c>
      <c r="EY39">
        <v>0</v>
      </c>
      <c r="EZ39">
        <v>724.79011999999989</v>
      </c>
      <c r="FA39">
        <v>5.2636923125955279</v>
      </c>
      <c r="FB39">
        <v>13264.36925633678</v>
      </c>
      <c r="FC39">
        <v>16534.544000000002</v>
      </c>
      <c r="FD39">
        <v>15</v>
      </c>
      <c r="FE39">
        <v>1689003627.5</v>
      </c>
      <c r="FF39" t="s">
        <v>539</v>
      </c>
      <c r="FG39">
        <v>1689003619.5</v>
      </c>
      <c r="FH39">
        <v>1689003627.5</v>
      </c>
      <c r="FI39">
        <v>26</v>
      </c>
      <c r="FJ39">
        <v>-1.4999999999999999E-2</v>
      </c>
      <c r="FK39">
        <v>1.2E-2</v>
      </c>
      <c r="FL39">
        <v>-0.3</v>
      </c>
      <c r="FM39">
        <v>0.155</v>
      </c>
      <c r="FN39">
        <v>400</v>
      </c>
      <c r="FO39">
        <v>22</v>
      </c>
      <c r="FP39">
        <v>0.09</v>
      </c>
      <c r="FQ39">
        <v>0.01</v>
      </c>
      <c r="FR39">
        <v>42.161936738746462</v>
      </c>
      <c r="FS39">
        <v>3.292904803149225</v>
      </c>
      <c r="FT39">
        <v>0.23776956845534561</v>
      </c>
      <c r="FU39">
        <v>0</v>
      </c>
      <c r="FV39">
        <v>0.4182982295810051</v>
      </c>
      <c r="FW39">
        <v>2.9401261306028219E-5</v>
      </c>
      <c r="FX39">
        <v>9.0321451632540501E-4</v>
      </c>
      <c r="FY39">
        <v>1</v>
      </c>
      <c r="FZ39">
        <v>1</v>
      </c>
      <c r="GA39">
        <v>2</v>
      </c>
      <c r="GB39" t="s">
        <v>462</v>
      </c>
      <c r="GC39">
        <v>2.9596499999999999</v>
      </c>
      <c r="GD39">
        <v>2.7433399999999999</v>
      </c>
      <c r="GE39">
        <v>7.9797199999999999E-2</v>
      </c>
      <c r="GF39">
        <v>8.90677E-2</v>
      </c>
      <c r="GG39">
        <v>0.13105800000000001</v>
      </c>
      <c r="GH39">
        <v>0.108321</v>
      </c>
      <c r="GI39">
        <v>21644.2</v>
      </c>
      <c r="GJ39">
        <v>19952.900000000001</v>
      </c>
      <c r="GK39">
        <v>23448.3</v>
      </c>
      <c r="GL39">
        <v>21947.9</v>
      </c>
      <c r="GM39">
        <v>28725.4</v>
      </c>
      <c r="GN39">
        <v>27297.9</v>
      </c>
      <c r="GO39">
        <v>36998.400000000001</v>
      </c>
      <c r="GP39">
        <v>34141.1</v>
      </c>
      <c r="GQ39">
        <v>2.0101</v>
      </c>
      <c r="GR39">
        <v>1.8563499999999999</v>
      </c>
      <c r="GS39">
        <v>4.92036E-2</v>
      </c>
      <c r="GT39">
        <v>0</v>
      </c>
      <c r="GU39">
        <v>29.231400000000001</v>
      </c>
      <c r="GV39">
        <v>999.9</v>
      </c>
      <c r="GW39">
        <v>34.200000000000003</v>
      </c>
      <c r="GX39">
        <v>41.9</v>
      </c>
      <c r="GY39">
        <v>28.261700000000001</v>
      </c>
      <c r="GZ39">
        <v>60.383899999999997</v>
      </c>
      <c r="HA39">
        <v>39.110599999999998</v>
      </c>
      <c r="HB39">
        <v>1</v>
      </c>
      <c r="HC39">
        <v>0.408412</v>
      </c>
      <c r="HD39">
        <v>1.7257499999999999</v>
      </c>
      <c r="HE39">
        <v>20.106300000000001</v>
      </c>
      <c r="HF39">
        <v>5.2644599999999997</v>
      </c>
      <c r="HG39">
        <v>11.962</v>
      </c>
      <c r="HH39">
        <v>4.9797500000000001</v>
      </c>
      <c r="HI39">
        <v>3.298</v>
      </c>
      <c r="HJ39">
        <v>9999</v>
      </c>
      <c r="HK39">
        <v>9999</v>
      </c>
      <c r="HL39">
        <v>9999</v>
      </c>
      <c r="HM39">
        <v>999.9</v>
      </c>
      <c r="HN39">
        <v>1.86416</v>
      </c>
      <c r="HO39">
        <v>1.86012</v>
      </c>
      <c r="HP39">
        <v>1.8667499999999999</v>
      </c>
      <c r="HQ39">
        <v>1.8633999999999999</v>
      </c>
      <c r="HR39">
        <v>1.8620399999999999</v>
      </c>
      <c r="HS39">
        <v>1.86206</v>
      </c>
      <c r="HT39">
        <v>1.86338</v>
      </c>
      <c r="HU39">
        <v>1.8646199999999999</v>
      </c>
      <c r="HV39">
        <v>0</v>
      </c>
      <c r="HW39">
        <v>0</v>
      </c>
      <c r="HX39">
        <v>0</v>
      </c>
      <c r="HY39">
        <v>0</v>
      </c>
      <c r="HZ39" t="s">
        <v>424</v>
      </c>
      <c r="IA39" t="s">
        <v>425</v>
      </c>
      <c r="IB39" t="s">
        <v>426</v>
      </c>
      <c r="IC39" t="s">
        <v>426</v>
      </c>
      <c r="ID39" t="s">
        <v>426</v>
      </c>
      <c r="IE39" t="s">
        <v>426</v>
      </c>
      <c r="IF39">
        <v>0</v>
      </c>
      <c r="IG39">
        <v>100</v>
      </c>
      <c r="IH39">
        <v>100</v>
      </c>
      <c r="II39">
        <v>-0.30399999999999999</v>
      </c>
      <c r="IJ39">
        <v>0.157</v>
      </c>
      <c r="IK39">
        <v>-0.30178166288204378</v>
      </c>
      <c r="IL39">
        <v>-8.3322953065825546E-5</v>
      </c>
      <c r="IM39">
        <v>2.3872336679552741E-7</v>
      </c>
      <c r="IN39">
        <v>-5.428329794194132E-11</v>
      </c>
      <c r="IO39">
        <v>0.15700666364928431</v>
      </c>
      <c r="IP39">
        <v>0</v>
      </c>
      <c r="IQ39">
        <v>0</v>
      </c>
      <c r="IR39">
        <v>0</v>
      </c>
      <c r="IS39">
        <v>2</v>
      </c>
      <c r="IT39">
        <v>2035</v>
      </c>
      <c r="IU39">
        <v>1</v>
      </c>
      <c r="IV39">
        <v>21</v>
      </c>
      <c r="IW39">
        <v>1.9</v>
      </c>
      <c r="IX39">
        <v>1.7</v>
      </c>
      <c r="IY39">
        <v>1.073</v>
      </c>
      <c r="IZ39">
        <v>2.7063000000000001</v>
      </c>
      <c r="JA39">
        <v>1.4526399999999999</v>
      </c>
      <c r="JB39">
        <v>2.2790499999999998</v>
      </c>
      <c r="JC39">
        <v>1.5942400000000001</v>
      </c>
      <c r="JD39">
        <v>2.34497</v>
      </c>
      <c r="JE39">
        <v>45.920999999999999</v>
      </c>
      <c r="JF39">
        <v>24.122499999999999</v>
      </c>
      <c r="JG39">
        <v>18</v>
      </c>
      <c r="JH39">
        <v>509.96699999999998</v>
      </c>
      <c r="JI39">
        <v>448.14499999999998</v>
      </c>
      <c r="JJ39">
        <v>28.119399999999999</v>
      </c>
      <c r="JK39">
        <v>32.315600000000003</v>
      </c>
      <c r="JL39">
        <v>30.0001</v>
      </c>
      <c r="JM39">
        <v>32.366700000000002</v>
      </c>
      <c r="JN39">
        <v>32.381399999999999</v>
      </c>
      <c r="JO39">
        <v>21.4328</v>
      </c>
      <c r="JP39">
        <v>21.687799999999999</v>
      </c>
      <c r="JQ39">
        <v>13.167400000000001</v>
      </c>
      <c r="JR39">
        <v>28.1068</v>
      </c>
      <c r="JS39">
        <v>400</v>
      </c>
      <c r="JT39">
        <v>22.0167</v>
      </c>
      <c r="JU39">
        <v>99.165800000000004</v>
      </c>
      <c r="JV39">
        <v>98.492199999999997</v>
      </c>
    </row>
    <row r="40" spans="1:282" x14ac:dyDescent="0.25">
      <c r="A40">
        <v>24</v>
      </c>
      <c r="B40">
        <v>1689003831.5</v>
      </c>
      <c r="C40">
        <v>4490.9000000953674</v>
      </c>
      <c r="D40" t="s">
        <v>540</v>
      </c>
      <c r="E40" t="s">
        <v>541</v>
      </c>
      <c r="F40" t="s">
        <v>414</v>
      </c>
      <c r="G40" t="s">
        <v>415</v>
      </c>
      <c r="H40" t="s">
        <v>500</v>
      </c>
      <c r="I40" t="s">
        <v>501</v>
      </c>
      <c r="J40" t="s">
        <v>416</v>
      </c>
      <c r="K40">
        <v>1689003831.5</v>
      </c>
      <c r="L40">
        <f t="shared" si="0"/>
        <v>5.6663793334556381E-3</v>
      </c>
      <c r="M40">
        <f t="shared" si="1"/>
        <v>5.6663793334556383</v>
      </c>
      <c r="N40">
        <f t="shared" si="2"/>
        <v>46.312144083700822</v>
      </c>
      <c r="O40">
        <f t="shared" si="3"/>
        <v>342.19400000000002</v>
      </c>
      <c r="P40">
        <f t="shared" si="4"/>
        <v>147.28524780367337</v>
      </c>
      <c r="Q40">
        <f t="shared" si="5"/>
        <v>14.629764321775886</v>
      </c>
      <c r="R40">
        <f t="shared" si="6"/>
        <v>33.989945680092205</v>
      </c>
      <c r="S40">
        <f t="shared" si="7"/>
        <v>0.41809332669156757</v>
      </c>
      <c r="T40">
        <f t="shared" si="8"/>
        <v>2.9197225850307165</v>
      </c>
      <c r="U40">
        <f t="shared" si="9"/>
        <v>0.38745441332077152</v>
      </c>
      <c r="V40">
        <f t="shared" si="10"/>
        <v>0.24472442152115353</v>
      </c>
      <c r="W40">
        <f t="shared" si="11"/>
        <v>289.57285501270235</v>
      </c>
      <c r="X40">
        <f t="shared" si="12"/>
        <v>30.610715513677341</v>
      </c>
      <c r="Y40">
        <f t="shared" si="13"/>
        <v>29.950399999999998</v>
      </c>
      <c r="Z40">
        <f t="shared" si="14"/>
        <v>4.2483268800737974</v>
      </c>
      <c r="AA40">
        <f t="shared" si="15"/>
        <v>65.409079915678291</v>
      </c>
      <c r="AB40">
        <f t="shared" si="16"/>
        <v>2.8475571306561402</v>
      </c>
      <c r="AC40">
        <f t="shared" si="17"/>
        <v>4.3534584714034361</v>
      </c>
      <c r="AD40">
        <f t="shared" si="18"/>
        <v>1.4007697494176572</v>
      </c>
      <c r="AE40">
        <f t="shared" si="19"/>
        <v>-249.88732860539363</v>
      </c>
      <c r="AF40">
        <f t="shared" si="20"/>
        <v>67.071584594179669</v>
      </c>
      <c r="AG40">
        <f t="shared" si="21"/>
        <v>5.1160987897784107</v>
      </c>
      <c r="AH40">
        <f t="shared" si="22"/>
        <v>111.87320979126677</v>
      </c>
      <c r="AI40">
        <v>0</v>
      </c>
      <c r="AJ40">
        <v>0</v>
      </c>
      <c r="AK40">
        <f t="shared" si="23"/>
        <v>1</v>
      </c>
      <c r="AL40">
        <f t="shared" si="24"/>
        <v>0</v>
      </c>
      <c r="AM40">
        <f t="shared" si="25"/>
        <v>51991.771618845414</v>
      </c>
      <c r="AN40" t="s">
        <v>418</v>
      </c>
      <c r="AO40">
        <v>8197.4</v>
      </c>
      <c r="AP40">
        <v>619.92999999999995</v>
      </c>
      <c r="AQ40">
        <v>3131.443117258741</v>
      </c>
      <c r="AR40">
        <f t="shared" si="26"/>
        <v>0.80203057287443702</v>
      </c>
      <c r="AS40">
        <v>-1.0448500102641549</v>
      </c>
      <c r="AT40" t="s">
        <v>542</v>
      </c>
      <c r="AU40">
        <v>8184.64</v>
      </c>
      <c r="AV40">
        <v>738.77096153846151</v>
      </c>
      <c r="AW40">
        <v>1082.658779410549</v>
      </c>
      <c r="AX40">
        <f t="shared" si="27"/>
        <v>0.31763268761309671</v>
      </c>
      <c r="AY40">
        <v>0.5</v>
      </c>
      <c r="AZ40">
        <f t="shared" si="28"/>
        <v>1513.2183000065816</v>
      </c>
      <c r="BA40">
        <f t="shared" si="29"/>
        <v>46.312144083700822</v>
      </c>
      <c r="BB40">
        <f t="shared" si="30"/>
        <v>240.32379778820589</v>
      </c>
      <c r="BC40">
        <f t="shared" si="31"/>
        <v>3.1295546778517681E-2</v>
      </c>
      <c r="BD40">
        <f t="shared" si="32"/>
        <v>1.892363851668619</v>
      </c>
      <c r="BE40">
        <f t="shared" si="33"/>
        <v>450.97947475585505</v>
      </c>
      <c r="BF40" t="s">
        <v>543</v>
      </c>
      <c r="BG40">
        <v>595.82000000000005</v>
      </c>
      <c r="BH40">
        <f t="shared" si="34"/>
        <v>595.82000000000005</v>
      </c>
      <c r="BI40">
        <f t="shared" si="35"/>
        <v>0.44966963614852606</v>
      </c>
      <c r="BJ40">
        <f t="shared" si="36"/>
        <v>0.70636899198633563</v>
      </c>
      <c r="BK40">
        <f t="shared" si="37"/>
        <v>0.80800033881341582</v>
      </c>
      <c r="BL40">
        <f t="shared" si="38"/>
        <v>0.74317361092204348</v>
      </c>
      <c r="BM40">
        <f t="shared" si="39"/>
        <v>0.81575697286598015</v>
      </c>
      <c r="BN40">
        <f t="shared" si="40"/>
        <v>0.56968775806896343</v>
      </c>
      <c r="BO40">
        <f t="shared" si="41"/>
        <v>0.43031224193103657</v>
      </c>
      <c r="BP40">
        <v>13616</v>
      </c>
      <c r="BQ40">
        <v>290.00000000000011</v>
      </c>
      <c r="BR40">
        <v>964.67</v>
      </c>
      <c r="BS40">
        <v>295</v>
      </c>
      <c r="BT40">
        <v>8184.64</v>
      </c>
      <c r="BU40">
        <v>967.08</v>
      </c>
      <c r="BV40">
        <v>-2.41</v>
      </c>
      <c r="BW40">
        <v>300.00000000000011</v>
      </c>
      <c r="BX40">
        <v>19.3</v>
      </c>
      <c r="BY40">
        <v>1082.658779410549</v>
      </c>
      <c r="BZ40">
        <v>3.5130862569543981</v>
      </c>
      <c r="CA40">
        <v>-94.59436820538167</v>
      </c>
      <c r="CB40">
        <v>2.6405896995028151</v>
      </c>
      <c r="CC40">
        <v>0.97864716897336002</v>
      </c>
      <c r="CD40">
        <v>-4.2381127919910938E-3</v>
      </c>
      <c r="CE40">
        <v>289.99999999999989</v>
      </c>
      <c r="CF40">
        <v>960.1</v>
      </c>
      <c r="CG40">
        <v>635</v>
      </c>
      <c r="CH40">
        <v>8174.99</v>
      </c>
      <c r="CI40">
        <v>966.95</v>
      </c>
      <c r="CJ40">
        <v>-6.85</v>
      </c>
      <c r="CX40">
        <f t="shared" si="42"/>
        <v>1800.04</v>
      </c>
      <c r="CY40">
        <f t="shared" si="43"/>
        <v>1513.2183000065816</v>
      </c>
      <c r="CZ40">
        <f t="shared" si="44"/>
        <v>0.84065815204472205</v>
      </c>
      <c r="DA40">
        <f t="shared" si="45"/>
        <v>0.1608702334463136</v>
      </c>
      <c r="DB40">
        <v>6</v>
      </c>
      <c r="DC40">
        <v>0.5</v>
      </c>
      <c r="DD40" t="s">
        <v>421</v>
      </c>
      <c r="DE40">
        <v>2</v>
      </c>
      <c r="DF40">
        <v>1689003831.5</v>
      </c>
      <c r="DG40">
        <v>342.19400000000002</v>
      </c>
      <c r="DH40">
        <v>400.07499999999999</v>
      </c>
      <c r="DI40">
        <v>28.6678</v>
      </c>
      <c r="DJ40">
        <v>22.0654</v>
      </c>
      <c r="DK40">
        <v>342.57</v>
      </c>
      <c r="DL40">
        <v>28.502700000000001</v>
      </c>
      <c r="DM40">
        <v>500.17599999999999</v>
      </c>
      <c r="DN40">
        <v>99.230500000000006</v>
      </c>
      <c r="DO40">
        <v>9.8961300000000002E-2</v>
      </c>
      <c r="DP40">
        <v>30.3765</v>
      </c>
      <c r="DQ40">
        <v>29.950399999999998</v>
      </c>
      <c r="DR40">
        <v>999.9</v>
      </c>
      <c r="DS40">
        <v>0</v>
      </c>
      <c r="DT40">
        <v>0</v>
      </c>
      <c r="DU40">
        <v>10021.200000000001</v>
      </c>
      <c r="DV40">
        <v>0</v>
      </c>
      <c r="DW40">
        <v>1869.69</v>
      </c>
      <c r="DX40">
        <v>-57.880200000000002</v>
      </c>
      <c r="DY40">
        <v>352.29399999999998</v>
      </c>
      <c r="DZ40">
        <v>409.10199999999998</v>
      </c>
      <c r="EA40">
        <v>6.6024200000000004</v>
      </c>
      <c r="EB40">
        <v>400.07499999999999</v>
      </c>
      <c r="EC40">
        <v>22.0654</v>
      </c>
      <c r="ED40">
        <v>2.8447200000000001</v>
      </c>
      <c r="EE40">
        <v>2.1895600000000002</v>
      </c>
      <c r="EF40">
        <v>23.145900000000001</v>
      </c>
      <c r="EG40">
        <v>18.886099999999999</v>
      </c>
      <c r="EH40">
        <v>1800.04</v>
      </c>
      <c r="EI40">
        <v>0.97799899999999995</v>
      </c>
      <c r="EJ40">
        <v>2.2000700000000002E-2</v>
      </c>
      <c r="EK40">
        <v>0</v>
      </c>
      <c r="EL40">
        <v>739.37099999999998</v>
      </c>
      <c r="EM40">
        <v>4.9999900000000004</v>
      </c>
      <c r="EN40">
        <v>18377.7</v>
      </c>
      <c r="EO40">
        <v>15864.2</v>
      </c>
      <c r="EP40">
        <v>47.811999999999998</v>
      </c>
      <c r="EQ40">
        <v>48.75</v>
      </c>
      <c r="ER40">
        <v>48.186999999999998</v>
      </c>
      <c r="ES40">
        <v>48.5</v>
      </c>
      <c r="ET40">
        <v>49.561999999999998</v>
      </c>
      <c r="EU40">
        <v>1755.55</v>
      </c>
      <c r="EV40">
        <v>39.49</v>
      </c>
      <c r="EW40">
        <v>0</v>
      </c>
      <c r="EX40">
        <v>99.200000047683716</v>
      </c>
      <c r="EY40">
        <v>0</v>
      </c>
      <c r="EZ40">
        <v>738.77096153846151</v>
      </c>
      <c r="FA40">
        <v>6.1746666525333271</v>
      </c>
      <c r="FB40">
        <v>2.1333328716181872</v>
      </c>
      <c r="FC40">
        <v>18376.13846153846</v>
      </c>
      <c r="FD40">
        <v>15</v>
      </c>
      <c r="FE40">
        <v>1689003799</v>
      </c>
      <c r="FF40" t="s">
        <v>544</v>
      </c>
      <c r="FG40">
        <v>1689003793</v>
      </c>
      <c r="FH40">
        <v>1689003799</v>
      </c>
      <c r="FI40">
        <v>27</v>
      </c>
      <c r="FJ40">
        <v>-7.0999999999999994E-2</v>
      </c>
      <c r="FK40">
        <v>8.0000000000000002E-3</v>
      </c>
      <c r="FL40">
        <v>-0.371</v>
      </c>
      <c r="FM40">
        <v>0.16500000000000001</v>
      </c>
      <c r="FN40">
        <v>400</v>
      </c>
      <c r="FO40">
        <v>22</v>
      </c>
      <c r="FP40">
        <v>0.06</v>
      </c>
      <c r="FQ40">
        <v>0.02</v>
      </c>
      <c r="FR40">
        <v>46.281054927588031</v>
      </c>
      <c r="FS40">
        <v>1.4123242649130259E-2</v>
      </c>
      <c r="FT40">
        <v>3.2769610378290188E-2</v>
      </c>
      <c r="FU40">
        <v>1</v>
      </c>
      <c r="FV40">
        <v>0.42034662863108258</v>
      </c>
      <c r="FW40">
        <v>4.2437762646419991E-2</v>
      </c>
      <c r="FX40">
        <v>4.3993442906723043E-3</v>
      </c>
      <c r="FY40">
        <v>1</v>
      </c>
      <c r="FZ40">
        <v>2</v>
      </c>
      <c r="GA40">
        <v>2</v>
      </c>
      <c r="GB40" t="s">
        <v>423</v>
      </c>
      <c r="GC40">
        <v>2.95973</v>
      </c>
      <c r="GD40">
        <v>2.7423799999999998</v>
      </c>
      <c r="GE40">
        <v>7.9027799999999995E-2</v>
      </c>
      <c r="GF40">
        <v>8.9082499999999995E-2</v>
      </c>
      <c r="GG40">
        <v>0.131133</v>
      </c>
      <c r="GH40">
        <v>0.108795</v>
      </c>
      <c r="GI40">
        <v>21663.4</v>
      </c>
      <c r="GJ40">
        <v>19954.2</v>
      </c>
      <c r="GK40">
        <v>23449.599999999999</v>
      </c>
      <c r="GL40">
        <v>21949.7</v>
      </c>
      <c r="GM40">
        <v>28724.6</v>
      </c>
      <c r="GN40">
        <v>27285.4</v>
      </c>
      <c r="GO40">
        <v>37000.699999999997</v>
      </c>
      <c r="GP40">
        <v>34144</v>
      </c>
      <c r="GQ40">
        <v>2.0095499999999999</v>
      </c>
      <c r="GR40">
        <v>1.8563000000000001</v>
      </c>
      <c r="GS40">
        <v>4.8220199999999998E-2</v>
      </c>
      <c r="GT40">
        <v>0</v>
      </c>
      <c r="GU40">
        <v>29.165099999999999</v>
      </c>
      <c r="GV40">
        <v>999.9</v>
      </c>
      <c r="GW40">
        <v>33.9</v>
      </c>
      <c r="GX40">
        <v>42</v>
      </c>
      <c r="GY40">
        <v>28.162700000000001</v>
      </c>
      <c r="GZ40">
        <v>60.033900000000003</v>
      </c>
      <c r="HA40">
        <v>39.046500000000002</v>
      </c>
      <c r="HB40">
        <v>1</v>
      </c>
      <c r="HC40">
        <v>0.406941</v>
      </c>
      <c r="HD40">
        <v>1.3153900000000001</v>
      </c>
      <c r="HE40">
        <v>20.111599999999999</v>
      </c>
      <c r="HF40">
        <v>5.26431</v>
      </c>
      <c r="HG40">
        <v>11.962</v>
      </c>
      <c r="HH40">
        <v>4.9797500000000001</v>
      </c>
      <c r="HI40">
        <v>3.2979799999999999</v>
      </c>
      <c r="HJ40">
        <v>9999</v>
      </c>
      <c r="HK40">
        <v>9999</v>
      </c>
      <c r="HL40">
        <v>9999</v>
      </c>
      <c r="HM40">
        <v>999.9</v>
      </c>
      <c r="HN40">
        <v>1.8641399999999999</v>
      </c>
      <c r="HO40">
        <v>1.8601399999999999</v>
      </c>
      <c r="HP40">
        <v>1.86676</v>
      </c>
      <c r="HQ40">
        <v>1.8633999999999999</v>
      </c>
      <c r="HR40">
        <v>1.8620300000000001</v>
      </c>
      <c r="HS40">
        <v>1.86205</v>
      </c>
      <c r="HT40">
        <v>1.86337</v>
      </c>
      <c r="HU40">
        <v>1.8646199999999999</v>
      </c>
      <c r="HV40">
        <v>0</v>
      </c>
      <c r="HW40">
        <v>0</v>
      </c>
      <c r="HX40">
        <v>0</v>
      </c>
      <c r="HY40">
        <v>0</v>
      </c>
      <c r="HZ40" t="s">
        <v>424</v>
      </c>
      <c r="IA40" t="s">
        <v>425</v>
      </c>
      <c r="IB40" t="s">
        <v>426</v>
      </c>
      <c r="IC40" t="s">
        <v>426</v>
      </c>
      <c r="ID40" t="s">
        <v>426</v>
      </c>
      <c r="IE40" t="s">
        <v>426</v>
      </c>
      <c r="IF40">
        <v>0</v>
      </c>
      <c r="IG40">
        <v>100</v>
      </c>
      <c r="IH40">
        <v>100</v>
      </c>
      <c r="II40">
        <v>-0.376</v>
      </c>
      <c r="IJ40">
        <v>0.1651</v>
      </c>
      <c r="IK40">
        <v>-0.37242674934317171</v>
      </c>
      <c r="IL40">
        <v>-8.3322953065825546E-5</v>
      </c>
      <c r="IM40">
        <v>2.3872336679552741E-7</v>
      </c>
      <c r="IN40">
        <v>-5.428329794194132E-11</v>
      </c>
      <c r="IO40">
        <v>0.16506000000000401</v>
      </c>
      <c r="IP40">
        <v>0</v>
      </c>
      <c r="IQ40">
        <v>0</v>
      </c>
      <c r="IR40">
        <v>0</v>
      </c>
      <c r="IS40">
        <v>2</v>
      </c>
      <c r="IT40">
        <v>2035</v>
      </c>
      <c r="IU40">
        <v>1</v>
      </c>
      <c r="IV40">
        <v>21</v>
      </c>
      <c r="IW40">
        <v>0.6</v>
      </c>
      <c r="IX40">
        <v>0.5</v>
      </c>
      <c r="IY40">
        <v>1.073</v>
      </c>
      <c r="IZ40">
        <v>2.7038600000000002</v>
      </c>
      <c r="JA40">
        <v>1.4514199999999999</v>
      </c>
      <c r="JB40">
        <v>2.2790499999999998</v>
      </c>
      <c r="JC40">
        <v>1.5942400000000001</v>
      </c>
      <c r="JD40">
        <v>2.4377399999999998</v>
      </c>
      <c r="JE40">
        <v>45.9499</v>
      </c>
      <c r="JF40">
        <v>24.122499999999999</v>
      </c>
      <c r="JG40">
        <v>18</v>
      </c>
      <c r="JH40">
        <v>509.60199999999998</v>
      </c>
      <c r="JI40">
        <v>448.08699999999999</v>
      </c>
      <c r="JJ40">
        <v>28.151</v>
      </c>
      <c r="JK40">
        <v>32.313699999999997</v>
      </c>
      <c r="JL40">
        <v>29.9999</v>
      </c>
      <c r="JM40">
        <v>32.365900000000003</v>
      </c>
      <c r="JN40">
        <v>32.378599999999999</v>
      </c>
      <c r="JO40">
        <v>21.430199999999999</v>
      </c>
      <c r="JP40">
        <v>21.681799999999999</v>
      </c>
      <c r="JQ40">
        <v>12.397399999999999</v>
      </c>
      <c r="JR40">
        <v>28.161899999999999</v>
      </c>
      <c r="JS40">
        <v>400</v>
      </c>
      <c r="JT40">
        <v>22.003</v>
      </c>
      <c r="JU40">
        <v>99.171599999999998</v>
      </c>
      <c r="JV40">
        <v>98.500500000000002</v>
      </c>
    </row>
    <row r="41" spans="1:282" x14ac:dyDescent="0.25">
      <c r="A41">
        <v>25</v>
      </c>
      <c r="B41">
        <v>1689003937</v>
      </c>
      <c r="C41">
        <v>4596.4000000953674</v>
      </c>
      <c r="D41" t="s">
        <v>545</v>
      </c>
      <c r="E41" t="s">
        <v>546</v>
      </c>
      <c r="F41" t="s">
        <v>414</v>
      </c>
      <c r="G41" t="s">
        <v>415</v>
      </c>
      <c r="H41" t="s">
        <v>500</v>
      </c>
      <c r="I41" t="s">
        <v>501</v>
      </c>
      <c r="J41" t="s">
        <v>416</v>
      </c>
      <c r="K41">
        <v>1689003937</v>
      </c>
      <c r="L41">
        <f t="shared" si="0"/>
        <v>5.5515254292079373E-3</v>
      </c>
      <c r="M41">
        <f t="shared" si="1"/>
        <v>5.5515254292079375</v>
      </c>
      <c r="N41">
        <f t="shared" si="2"/>
        <v>47.554899819715196</v>
      </c>
      <c r="O41">
        <f t="shared" si="3"/>
        <v>340.68900000000002</v>
      </c>
      <c r="P41">
        <f t="shared" si="4"/>
        <v>135.81249855113518</v>
      </c>
      <c r="Q41">
        <f t="shared" si="5"/>
        <v>13.489909077725452</v>
      </c>
      <c r="R41">
        <f t="shared" si="6"/>
        <v>33.839769408636606</v>
      </c>
      <c r="S41">
        <f t="shared" si="7"/>
        <v>0.4069611809324537</v>
      </c>
      <c r="T41">
        <f t="shared" si="8"/>
        <v>2.9120242844513924</v>
      </c>
      <c r="U41">
        <f t="shared" si="9"/>
        <v>0.37780030313481738</v>
      </c>
      <c r="V41">
        <f t="shared" si="10"/>
        <v>0.23857081982164613</v>
      </c>
      <c r="W41">
        <f t="shared" si="11"/>
        <v>289.57445101270218</v>
      </c>
      <c r="X41">
        <f t="shared" si="12"/>
        <v>30.710453445426531</v>
      </c>
      <c r="Y41">
        <f t="shared" si="13"/>
        <v>29.978100000000001</v>
      </c>
      <c r="Z41">
        <f t="shared" si="14"/>
        <v>4.2550934124790336</v>
      </c>
      <c r="AA41">
        <f t="shared" si="15"/>
        <v>65.154299712146042</v>
      </c>
      <c r="AB41">
        <f t="shared" si="16"/>
        <v>2.8477279070429398</v>
      </c>
      <c r="AC41">
        <f t="shared" si="17"/>
        <v>4.370744401557995</v>
      </c>
      <c r="AD41">
        <f t="shared" si="18"/>
        <v>1.4073655054360938</v>
      </c>
      <c r="AE41">
        <f t="shared" si="19"/>
        <v>-244.82227142807002</v>
      </c>
      <c r="AF41">
        <f t="shared" si="20"/>
        <v>73.409951687234994</v>
      </c>
      <c r="AG41">
        <f t="shared" si="21"/>
        <v>5.6170738964094973</v>
      </c>
      <c r="AH41">
        <f t="shared" si="22"/>
        <v>123.77920516827668</v>
      </c>
      <c r="AI41">
        <v>0</v>
      </c>
      <c r="AJ41">
        <v>0</v>
      </c>
      <c r="AK41">
        <f t="shared" si="23"/>
        <v>1</v>
      </c>
      <c r="AL41">
        <f t="shared" si="24"/>
        <v>0</v>
      </c>
      <c r="AM41">
        <f t="shared" si="25"/>
        <v>51760.972197297619</v>
      </c>
      <c r="AN41" t="s">
        <v>418</v>
      </c>
      <c r="AO41">
        <v>8197.4</v>
      </c>
      <c r="AP41">
        <v>619.92999999999995</v>
      </c>
      <c r="AQ41">
        <v>3131.443117258741</v>
      </c>
      <c r="AR41">
        <f t="shared" si="26"/>
        <v>0.80203057287443702</v>
      </c>
      <c r="AS41">
        <v>-1.0448500102641549</v>
      </c>
      <c r="AT41" t="s">
        <v>547</v>
      </c>
      <c r="AU41">
        <v>8184.81</v>
      </c>
      <c r="AV41">
        <v>744.5853461538461</v>
      </c>
      <c r="AW41">
        <v>1100.86596373167</v>
      </c>
      <c r="AX41">
        <f t="shared" si="27"/>
        <v>0.32363669085573199</v>
      </c>
      <c r="AY41">
        <v>0.5</v>
      </c>
      <c r="AZ41">
        <f t="shared" si="28"/>
        <v>1513.2267000065813</v>
      </c>
      <c r="BA41">
        <f t="shared" si="29"/>
        <v>47.554899819715196</v>
      </c>
      <c r="BB41">
        <f t="shared" si="30"/>
        <v>244.86784085233472</v>
      </c>
      <c r="BC41">
        <f t="shared" si="31"/>
        <v>3.2116635154381019E-2</v>
      </c>
      <c r="BD41">
        <f t="shared" si="32"/>
        <v>1.8445271453791743</v>
      </c>
      <c r="BE41">
        <f t="shared" si="33"/>
        <v>454.10794928289687</v>
      </c>
      <c r="BF41" t="s">
        <v>548</v>
      </c>
      <c r="BG41">
        <v>597.09</v>
      </c>
      <c r="BH41">
        <f t="shared" si="34"/>
        <v>597.09</v>
      </c>
      <c r="BI41">
        <f t="shared" si="35"/>
        <v>0.45761789384784957</v>
      </c>
      <c r="BJ41">
        <f t="shared" si="36"/>
        <v>0.70722035830910024</v>
      </c>
      <c r="BK41">
        <f t="shared" si="37"/>
        <v>0.80122108466219799</v>
      </c>
      <c r="BL41">
        <f t="shared" si="38"/>
        <v>0.74080676939478074</v>
      </c>
      <c r="BM41">
        <f t="shared" si="39"/>
        <v>0.80850748481990775</v>
      </c>
      <c r="BN41">
        <f t="shared" si="40"/>
        <v>0.56712666442340975</v>
      </c>
      <c r="BO41">
        <f t="shared" si="41"/>
        <v>0.43287333557659025</v>
      </c>
      <c r="BP41">
        <v>13618</v>
      </c>
      <c r="BQ41">
        <v>290.00000000000011</v>
      </c>
      <c r="BR41">
        <v>982.19</v>
      </c>
      <c r="BS41">
        <v>295</v>
      </c>
      <c r="BT41">
        <v>8184.81</v>
      </c>
      <c r="BU41">
        <v>985.45</v>
      </c>
      <c r="BV41">
        <v>-3.26</v>
      </c>
      <c r="BW41">
        <v>300.00000000000011</v>
      </c>
      <c r="BX41">
        <v>19.3</v>
      </c>
      <c r="BY41">
        <v>1100.86596373167</v>
      </c>
      <c r="BZ41">
        <v>4.7933740795593662</v>
      </c>
      <c r="CA41">
        <v>-94.467362100628435</v>
      </c>
      <c r="CB41">
        <v>3.6029783240501092</v>
      </c>
      <c r="CC41">
        <v>0.96086371942513604</v>
      </c>
      <c r="CD41">
        <v>-4.2382436040044463E-3</v>
      </c>
      <c r="CE41">
        <v>289.99999999999989</v>
      </c>
      <c r="CF41">
        <v>978.43</v>
      </c>
      <c r="CG41">
        <v>635</v>
      </c>
      <c r="CH41">
        <v>8175.15</v>
      </c>
      <c r="CI41">
        <v>985.31</v>
      </c>
      <c r="CJ41">
        <v>-6.88</v>
      </c>
      <c r="CX41">
        <f t="shared" si="42"/>
        <v>1800.05</v>
      </c>
      <c r="CY41">
        <f t="shared" si="43"/>
        <v>1513.2267000065813</v>
      </c>
      <c r="CZ41">
        <f t="shared" si="44"/>
        <v>0.84065814838842323</v>
      </c>
      <c r="DA41">
        <f t="shared" si="45"/>
        <v>0.16087022638965706</v>
      </c>
      <c r="DB41">
        <v>6</v>
      </c>
      <c r="DC41">
        <v>0.5</v>
      </c>
      <c r="DD41" t="s">
        <v>421</v>
      </c>
      <c r="DE41">
        <v>2</v>
      </c>
      <c r="DF41">
        <v>1689003937</v>
      </c>
      <c r="DG41">
        <v>340.68900000000002</v>
      </c>
      <c r="DH41">
        <v>400.01499999999999</v>
      </c>
      <c r="DI41">
        <v>28.670100000000001</v>
      </c>
      <c r="DJ41">
        <v>22.200299999999999</v>
      </c>
      <c r="DK41">
        <v>341.072</v>
      </c>
      <c r="DL41">
        <v>28.5078</v>
      </c>
      <c r="DM41">
        <v>500.08</v>
      </c>
      <c r="DN41">
        <v>99.227599999999995</v>
      </c>
      <c r="DO41">
        <v>9.9849400000000005E-2</v>
      </c>
      <c r="DP41">
        <v>30.445699999999999</v>
      </c>
      <c r="DQ41">
        <v>29.978100000000001</v>
      </c>
      <c r="DR41">
        <v>999.9</v>
      </c>
      <c r="DS41">
        <v>0</v>
      </c>
      <c r="DT41">
        <v>0</v>
      </c>
      <c r="DU41">
        <v>9977.5</v>
      </c>
      <c r="DV41">
        <v>0</v>
      </c>
      <c r="DW41">
        <v>1847.35</v>
      </c>
      <c r="DX41">
        <v>-59.326599999999999</v>
      </c>
      <c r="DY41">
        <v>350.74400000000003</v>
      </c>
      <c r="DZ41">
        <v>409.09699999999998</v>
      </c>
      <c r="EA41">
        <v>6.4698599999999997</v>
      </c>
      <c r="EB41">
        <v>400.01499999999999</v>
      </c>
      <c r="EC41">
        <v>22.200299999999999</v>
      </c>
      <c r="ED41">
        <v>2.8448699999999998</v>
      </c>
      <c r="EE41">
        <v>2.2028799999999999</v>
      </c>
      <c r="EF41">
        <v>23.146799999999999</v>
      </c>
      <c r="EG41">
        <v>18.9833</v>
      </c>
      <c r="EH41">
        <v>1800.05</v>
      </c>
      <c r="EI41">
        <v>0.97799899999999995</v>
      </c>
      <c r="EJ41">
        <v>2.2000700000000002E-2</v>
      </c>
      <c r="EK41">
        <v>0</v>
      </c>
      <c r="EL41">
        <v>745.10799999999995</v>
      </c>
      <c r="EM41">
        <v>4.9999900000000004</v>
      </c>
      <c r="EN41">
        <v>18359.3</v>
      </c>
      <c r="EO41">
        <v>15864.2</v>
      </c>
      <c r="EP41">
        <v>47.811999999999998</v>
      </c>
      <c r="EQ41">
        <v>48.686999999999998</v>
      </c>
      <c r="ER41">
        <v>48.186999999999998</v>
      </c>
      <c r="ES41">
        <v>48.5</v>
      </c>
      <c r="ET41">
        <v>49.561999999999998</v>
      </c>
      <c r="EU41">
        <v>1755.56</v>
      </c>
      <c r="EV41">
        <v>39.49</v>
      </c>
      <c r="EW41">
        <v>0</v>
      </c>
      <c r="EX41">
        <v>103.7999999523163</v>
      </c>
      <c r="EY41">
        <v>0</v>
      </c>
      <c r="EZ41">
        <v>744.5853461538461</v>
      </c>
      <c r="FA41">
        <v>3.377675217993882</v>
      </c>
      <c r="FB41">
        <v>168.44786327064071</v>
      </c>
      <c r="FC41">
        <v>18334.465384615389</v>
      </c>
      <c r="FD41">
        <v>15</v>
      </c>
      <c r="FE41">
        <v>1689003900</v>
      </c>
      <c r="FF41" t="s">
        <v>549</v>
      </c>
      <c r="FG41">
        <v>1689003900</v>
      </c>
      <c r="FH41">
        <v>1689003900</v>
      </c>
      <c r="FI41">
        <v>28</v>
      </c>
      <c r="FJ41">
        <v>-8.9999999999999993E-3</v>
      </c>
      <c r="FK41">
        <v>-3.0000000000000001E-3</v>
      </c>
      <c r="FL41">
        <v>-0.38</v>
      </c>
      <c r="FM41">
        <v>0.16200000000000001</v>
      </c>
      <c r="FN41">
        <v>400</v>
      </c>
      <c r="FO41">
        <v>22</v>
      </c>
      <c r="FP41">
        <v>0.01</v>
      </c>
      <c r="FQ41">
        <v>0.01</v>
      </c>
      <c r="FR41">
        <v>47.555352185103338</v>
      </c>
      <c r="FS41">
        <v>0.2076761167423592</v>
      </c>
      <c r="FT41">
        <v>4.2597704563346717E-2</v>
      </c>
      <c r="FU41">
        <v>1</v>
      </c>
      <c r="FV41">
        <v>0.40648706612787411</v>
      </c>
      <c r="FW41">
        <v>3.46698726570185E-2</v>
      </c>
      <c r="FX41">
        <v>2.7713455440441619E-3</v>
      </c>
      <c r="FY41">
        <v>1</v>
      </c>
      <c r="FZ41">
        <v>2</v>
      </c>
      <c r="GA41">
        <v>2</v>
      </c>
      <c r="GB41" t="s">
        <v>423</v>
      </c>
      <c r="GC41">
        <v>2.95953</v>
      </c>
      <c r="GD41">
        <v>2.74288</v>
      </c>
      <c r="GE41">
        <v>7.8757499999999994E-2</v>
      </c>
      <c r="GF41">
        <v>8.9077900000000002E-2</v>
      </c>
      <c r="GG41">
        <v>0.13115299999999999</v>
      </c>
      <c r="GH41">
        <v>0.109262</v>
      </c>
      <c r="GI41">
        <v>21672.9</v>
      </c>
      <c r="GJ41">
        <v>19958.099999999999</v>
      </c>
      <c r="GK41">
        <v>23452.9</v>
      </c>
      <c r="GL41">
        <v>21953.7</v>
      </c>
      <c r="GM41">
        <v>28728.2</v>
      </c>
      <c r="GN41">
        <v>27276.1</v>
      </c>
      <c r="GO41">
        <v>37006.6</v>
      </c>
      <c r="GP41">
        <v>34150.5</v>
      </c>
      <c r="GQ41">
        <v>2.0102000000000002</v>
      </c>
      <c r="GR41">
        <v>1.8565</v>
      </c>
      <c r="GS41">
        <v>6.0085199999999998E-2</v>
      </c>
      <c r="GT41">
        <v>0</v>
      </c>
      <c r="GU41">
        <v>28.999500000000001</v>
      </c>
      <c r="GV41">
        <v>999.9</v>
      </c>
      <c r="GW41">
        <v>33.6</v>
      </c>
      <c r="GX41">
        <v>42.1</v>
      </c>
      <c r="GY41">
        <v>28.0611</v>
      </c>
      <c r="GZ41">
        <v>60.503900000000002</v>
      </c>
      <c r="HA41">
        <v>39.471200000000003</v>
      </c>
      <c r="HB41">
        <v>1</v>
      </c>
      <c r="HC41">
        <v>0.40304400000000001</v>
      </c>
      <c r="HD41">
        <v>1.0872200000000001</v>
      </c>
      <c r="HE41">
        <v>20.113399999999999</v>
      </c>
      <c r="HF41">
        <v>5.2647599999999999</v>
      </c>
      <c r="HG41">
        <v>11.962</v>
      </c>
      <c r="HH41">
        <v>4.9798999999999998</v>
      </c>
      <c r="HI41">
        <v>3.2979799999999999</v>
      </c>
      <c r="HJ41">
        <v>9999</v>
      </c>
      <c r="HK41">
        <v>9999</v>
      </c>
      <c r="HL41">
        <v>9999</v>
      </c>
      <c r="HM41">
        <v>999.9</v>
      </c>
      <c r="HN41">
        <v>1.8641700000000001</v>
      </c>
      <c r="HO41">
        <v>1.8601000000000001</v>
      </c>
      <c r="HP41">
        <v>1.86676</v>
      </c>
      <c r="HQ41">
        <v>1.8633999999999999</v>
      </c>
      <c r="HR41">
        <v>1.86202</v>
      </c>
      <c r="HS41">
        <v>1.86208</v>
      </c>
      <c r="HT41">
        <v>1.86334</v>
      </c>
      <c r="HU41">
        <v>1.8646199999999999</v>
      </c>
      <c r="HV41">
        <v>0</v>
      </c>
      <c r="HW41">
        <v>0</v>
      </c>
      <c r="HX41">
        <v>0</v>
      </c>
      <c r="HY41">
        <v>0</v>
      </c>
      <c r="HZ41" t="s">
        <v>424</v>
      </c>
      <c r="IA41" t="s">
        <v>425</v>
      </c>
      <c r="IB41" t="s">
        <v>426</v>
      </c>
      <c r="IC41" t="s">
        <v>426</v>
      </c>
      <c r="ID41" t="s">
        <v>426</v>
      </c>
      <c r="IE41" t="s">
        <v>426</v>
      </c>
      <c r="IF41">
        <v>0</v>
      </c>
      <c r="IG41">
        <v>100</v>
      </c>
      <c r="IH41">
        <v>100</v>
      </c>
      <c r="II41">
        <v>-0.38300000000000001</v>
      </c>
      <c r="IJ41">
        <v>0.1623</v>
      </c>
      <c r="IK41">
        <v>-0.38091704041193519</v>
      </c>
      <c r="IL41">
        <v>-8.3322953065825546E-5</v>
      </c>
      <c r="IM41">
        <v>2.3872336679552741E-7</v>
      </c>
      <c r="IN41">
        <v>-5.428329794194132E-11</v>
      </c>
      <c r="IO41">
        <v>0.1623749999999973</v>
      </c>
      <c r="IP41">
        <v>0</v>
      </c>
      <c r="IQ41">
        <v>0</v>
      </c>
      <c r="IR41">
        <v>0</v>
      </c>
      <c r="IS41">
        <v>2</v>
      </c>
      <c r="IT41">
        <v>2035</v>
      </c>
      <c r="IU41">
        <v>1</v>
      </c>
      <c r="IV41">
        <v>21</v>
      </c>
      <c r="IW41">
        <v>0.6</v>
      </c>
      <c r="IX41">
        <v>0.6</v>
      </c>
      <c r="IY41">
        <v>1.07422</v>
      </c>
      <c r="IZ41">
        <v>2.7148400000000001</v>
      </c>
      <c r="JA41">
        <v>1.4526399999999999</v>
      </c>
      <c r="JB41">
        <v>2.2778299999999998</v>
      </c>
      <c r="JC41">
        <v>1.5942400000000001</v>
      </c>
      <c r="JD41">
        <v>2.2595200000000002</v>
      </c>
      <c r="JE41">
        <v>45.892099999999999</v>
      </c>
      <c r="JF41">
        <v>24.122499999999999</v>
      </c>
      <c r="JG41">
        <v>18</v>
      </c>
      <c r="JH41">
        <v>509.78699999999998</v>
      </c>
      <c r="JI41">
        <v>447.98</v>
      </c>
      <c r="JJ41">
        <v>28.506</v>
      </c>
      <c r="JK41">
        <v>32.282400000000003</v>
      </c>
      <c r="JL41">
        <v>29.9999</v>
      </c>
      <c r="JM41">
        <v>32.338500000000003</v>
      </c>
      <c r="JN41">
        <v>32.348599999999998</v>
      </c>
      <c r="JO41">
        <v>21.4405</v>
      </c>
      <c r="JP41">
        <v>20.633800000000001</v>
      </c>
      <c r="JQ41">
        <v>11.740500000000001</v>
      </c>
      <c r="JR41">
        <v>28.512899999999998</v>
      </c>
      <c r="JS41">
        <v>400</v>
      </c>
      <c r="JT41">
        <v>22.2425</v>
      </c>
      <c r="JU41">
        <v>99.186700000000002</v>
      </c>
      <c r="JV41">
        <v>98.519099999999995</v>
      </c>
    </row>
    <row r="42" spans="1:282" x14ac:dyDescent="0.25">
      <c r="A42">
        <v>26</v>
      </c>
      <c r="B42">
        <v>1689004061.5</v>
      </c>
      <c r="C42">
        <v>4720.9000000953674</v>
      </c>
      <c r="D42" t="s">
        <v>550</v>
      </c>
      <c r="E42" t="s">
        <v>551</v>
      </c>
      <c r="F42" t="s">
        <v>414</v>
      </c>
      <c r="G42" t="s">
        <v>415</v>
      </c>
      <c r="H42" t="s">
        <v>500</v>
      </c>
      <c r="I42" t="s">
        <v>501</v>
      </c>
      <c r="J42" t="s">
        <v>416</v>
      </c>
      <c r="K42">
        <v>1689004061.5</v>
      </c>
      <c r="L42">
        <f t="shared" si="0"/>
        <v>5.5739069212739807E-3</v>
      </c>
      <c r="M42">
        <f t="shared" si="1"/>
        <v>5.5739069212739807</v>
      </c>
      <c r="N42">
        <f t="shared" si="2"/>
        <v>52.337423962002418</v>
      </c>
      <c r="O42">
        <f t="shared" si="3"/>
        <v>434.38499999999999</v>
      </c>
      <c r="P42">
        <f t="shared" si="4"/>
        <v>212.01007984591868</v>
      </c>
      <c r="Q42">
        <f t="shared" si="5"/>
        <v>21.0584931128388</v>
      </c>
      <c r="R42">
        <f t="shared" si="6"/>
        <v>43.146502927920004</v>
      </c>
      <c r="S42">
        <f t="shared" si="7"/>
        <v>0.41581179095247039</v>
      </c>
      <c r="T42">
        <f t="shared" si="8"/>
        <v>2.916839168820049</v>
      </c>
      <c r="U42">
        <f t="shared" si="9"/>
        <v>0.385465738877113</v>
      </c>
      <c r="V42">
        <f t="shared" si="10"/>
        <v>0.24345774662540828</v>
      </c>
      <c r="W42">
        <f t="shared" si="11"/>
        <v>289.53455101270401</v>
      </c>
      <c r="X42">
        <f t="shared" si="12"/>
        <v>30.685684861819546</v>
      </c>
      <c r="Y42">
        <f t="shared" si="13"/>
        <v>29.96</v>
      </c>
      <c r="Z42">
        <f t="shared" si="14"/>
        <v>4.2506708972732925</v>
      </c>
      <c r="AA42">
        <f t="shared" si="15"/>
        <v>65.637093422881108</v>
      </c>
      <c r="AB42">
        <f t="shared" si="16"/>
        <v>2.8658253203424002</v>
      </c>
      <c r="AC42">
        <f t="shared" si="17"/>
        <v>4.3661673162135672</v>
      </c>
      <c r="AD42">
        <f t="shared" si="18"/>
        <v>1.3848455769308923</v>
      </c>
      <c r="AE42">
        <f t="shared" si="19"/>
        <v>-245.80929522818255</v>
      </c>
      <c r="AF42">
        <f t="shared" si="20"/>
        <v>73.499880790129595</v>
      </c>
      <c r="AG42">
        <f t="shared" si="21"/>
        <v>5.6136603966811522</v>
      </c>
      <c r="AH42">
        <f t="shared" si="22"/>
        <v>122.83879697133221</v>
      </c>
      <c r="AI42">
        <v>0</v>
      </c>
      <c r="AJ42">
        <v>0</v>
      </c>
      <c r="AK42">
        <f t="shared" si="23"/>
        <v>1</v>
      </c>
      <c r="AL42">
        <f t="shared" si="24"/>
        <v>0</v>
      </c>
      <c r="AM42">
        <f t="shared" si="25"/>
        <v>51900.957265952886</v>
      </c>
      <c r="AN42" t="s">
        <v>418</v>
      </c>
      <c r="AO42">
        <v>8197.4</v>
      </c>
      <c r="AP42">
        <v>619.92999999999995</v>
      </c>
      <c r="AQ42">
        <v>3131.443117258741</v>
      </c>
      <c r="AR42">
        <f t="shared" si="26"/>
        <v>0.80203057287443702</v>
      </c>
      <c r="AS42">
        <v>-1.0448500102641549</v>
      </c>
      <c r="AT42" t="s">
        <v>552</v>
      </c>
      <c r="AU42">
        <v>8185.8</v>
      </c>
      <c r="AV42">
        <v>759.06232</v>
      </c>
      <c r="AW42">
        <v>1160.234329764656</v>
      </c>
      <c r="AX42">
        <f t="shared" si="27"/>
        <v>0.34576809138722042</v>
      </c>
      <c r="AY42">
        <v>0.5</v>
      </c>
      <c r="AZ42">
        <f t="shared" si="28"/>
        <v>1513.0167000065824</v>
      </c>
      <c r="BA42">
        <f t="shared" si="29"/>
        <v>52.337423962002418</v>
      </c>
      <c r="BB42">
        <f t="shared" si="30"/>
        <v>261.57644829913335</v>
      </c>
      <c r="BC42">
        <f t="shared" si="31"/>
        <v>3.5282012400811129E-2</v>
      </c>
      <c r="BD42">
        <f t="shared" si="32"/>
        <v>1.6989747130598425</v>
      </c>
      <c r="BE42">
        <f t="shared" si="33"/>
        <v>463.89964904697121</v>
      </c>
      <c r="BF42" t="s">
        <v>553</v>
      </c>
      <c r="BG42">
        <v>601.29999999999995</v>
      </c>
      <c r="BH42">
        <f t="shared" si="34"/>
        <v>601.29999999999995</v>
      </c>
      <c r="BI42">
        <f t="shared" si="35"/>
        <v>0.48174262338714913</v>
      </c>
      <c r="BJ42">
        <f t="shared" si="36"/>
        <v>0.71774444402721305</v>
      </c>
      <c r="BK42">
        <f t="shared" si="37"/>
        <v>0.77908983647919972</v>
      </c>
      <c r="BL42">
        <f t="shared" si="38"/>
        <v>0.74249267989282475</v>
      </c>
      <c r="BM42">
        <f t="shared" si="39"/>
        <v>0.78486899946818278</v>
      </c>
      <c r="BN42">
        <f t="shared" si="40"/>
        <v>0.56856956645346746</v>
      </c>
      <c r="BO42">
        <f t="shared" si="41"/>
        <v>0.43143043354653254</v>
      </c>
      <c r="BP42">
        <v>13620</v>
      </c>
      <c r="BQ42">
        <v>290.00000000000011</v>
      </c>
      <c r="BR42">
        <v>1028.3499999999999</v>
      </c>
      <c r="BS42">
        <v>275</v>
      </c>
      <c r="BT42">
        <v>8185.8</v>
      </c>
      <c r="BU42">
        <v>1032.25</v>
      </c>
      <c r="BV42">
        <v>-3.9</v>
      </c>
      <c r="BW42">
        <v>300.00000000000011</v>
      </c>
      <c r="BX42">
        <v>19.3</v>
      </c>
      <c r="BY42">
        <v>1160.234329764656</v>
      </c>
      <c r="BZ42">
        <v>5.1026635044502227</v>
      </c>
      <c r="CA42">
        <v>-104.7648417247009</v>
      </c>
      <c r="CB42">
        <v>3.8356112506672511</v>
      </c>
      <c r="CC42">
        <v>0.96382614611696393</v>
      </c>
      <c r="CD42">
        <v>-4.2384649610678633E-3</v>
      </c>
      <c r="CE42">
        <v>289.99999999999989</v>
      </c>
      <c r="CF42">
        <v>1026.04</v>
      </c>
      <c r="CG42">
        <v>645</v>
      </c>
      <c r="CH42">
        <v>8175.16</v>
      </c>
      <c r="CI42">
        <v>1032.08</v>
      </c>
      <c r="CJ42">
        <v>-6.04</v>
      </c>
      <c r="CX42">
        <f t="shared" si="42"/>
        <v>1799.8</v>
      </c>
      <c r="CY42">
        <f t="shared" si="43"/>
        <v>1513.0167000065824</v>
      </c>
      <c r="CZ42">
        <f t="shared" si="44"/>
        <v>0.84065823980807997</v>
      </c>
      <c r="DA42">
        <f t="shared" si="45"/>
        <v>0.16087040282959442</v>
      </c>
      <c r="DB42">
        <v>6</v>
      </c>
      <c r="DC42">
        <v>0.5</v>
      </c>
      <c r="DD42" t="s">
        <v>421</v>
      </c>
      <c r="DE42">
        <v>2</v>
      </c>
      <c r="DF42">
        <v>1689004061.5</v>
      </c>
      <c r="DG42">
        <v>434.38499999999999</v>
      </c>
      <c r="DH42">
        <v>500.06700000000001</v>
      </c>
      <c r="DI42">
        <v>28.8522</v>
      </c>
      <c r="DJ42">
        <v>22.359300000000001</v>
      </c>
      <c r="DK42">
        <v>434.755</v>
      </c>
      <c r="DL42">
        <v>28.680900000000001</v>
      </c>
      <c r="DM42">
        <v>500.21600000000001</v>
      </c>
      <c r="DN42">
        <v>99.227599999999995</v>
      </c>
      <c r="DO42">
        <v>0.100192</v>
      </c>
      <c r="DP42">
        <v>30.427399999999999</v>
      </c>
      <c r="DQ42">
        <v>29.96</v>
      </c>
      <c r="DR42">
        <v>999.9</v>
      </c>
      <c r="DS42">
        <v>0</v>
      </c>
      <c r="DT42">
        <v>0</v>
      </c>
      <c r="DU42">
        <v>10005</v>
      </c>
      <c r="DV42">
        <v>0</v>
      </c>
      <c r="DW42">
        <v>1852.08</v>
      </c>
      <c r="DX42">
        <v>-65.6815</v>
      </c>
      <c r="DY42">
        <v>447.29</v>
      </c>
      <c r="DZ42">
        <v>511.50299999999999</v>
      </c>
      <c r="EA42">
        <v>6.4928699999999999</v>
      </c>
      <c r="EB42">
        <v>500.06700000000001</v>
      </c>
      <c r="EC42">
        <v>22.359300000000001</v>
      </c>
      <c r="ED42">
        <v>2.86293</v>
      </c>
      <c r="EE42">
        <v>2.2186599999999999</v>
      </c>
      <c r="EF42">
        <v>23.2515</v>
      </c>
      <c r="EG42">
        <v>19.0977</v>
      </c>
      <c r="EH42">
        <v>1799.8</v>
      </c>
      <c r="EI42">
        <v>0.97799599999999998</v>
      </c>
      <c r="EJ42">
        <v>2.20039E-2</v>
      </c>
      <c r="EK42">
        <v>0</v>
      </c>
      <c r="EL42">
        <v>758.93600000000004</v>
      </c>
      <c r="EM42">
        <v>4.9999900000000004</v>
      </c>
      <c r="EN42">
        <v>18624.7</v>
      </c>
      <c r="EO42">
        <v>15862</v>
      </c>
      <c r="EP42">
        <v>47.811999999999998</v>
      </c>
      <c r="EQ42">
        <v>48.686999999999998</v>
      </c>
      <c r="ER42">
        <v>48.186999999999998</v>
      </c>
      <c r="ES42">
        <v>48.5</v>
      </c>
      <c r="ET42">
        <v>49.625</v>
      </c>
      <c r="EU42">
        <v>1755.31</v>
      </c>
      <c r="EV42">
        <v>39.49</v>
      </c>
      <c r="EW42">
        <v>0</v>
      </c>
      <c r="EX42">
        <v>122.3999998569489</v>
      </c>
      <c r="EY42">
        <v>0</v>
      </c>
      <c r="EZ42">
        <v>759.06232</v>
      </c>
      <c r="FA42">
        <v>0.42369230880326619</v>
      </c>
      <c r="FB42">
        <v>103.8923081541128</v>
      </c>
      <c r="FC42">
        <v>18621.596000000001</v>
      </c>
      <c r="FD42">
        <v>15</v>
      </c>
      <c r="FE42">
        <v>1689004024</v>
      </c>
      <c r="FF42" t="s">
        <v>554</v>
      </c>
      <c r="FG42">
        <v>1689004024</v>
      </c>
      <c r="FH42">
        <v>1689004014.5</v>
      </c>
      <c r="FI42">
        <v>29</v>
      </c>
      <c r="FJ42">
        <v>7.0000000000000001E-3</v>
      </c>
      <c r="FK42">
        <v>8.9999999999999993E-3</v>
      </c>
      <c r="FL42">
        <v>-0.36299999999999999</v>
      </c>
      <c r="FM42">
        <v>0.17100000000000001</v>
      </c>
      <c r="FN42">
        <v>500</v>
      </c>
      <c r="FO42">
        <v>22</v>
      </c>
      <c r="FP42">
        <v>0.03</v>
      </c>
      <c r="FQ42">
        <v>0.01</v>
      </c>
      <c r="FR42">
        <v>52.31736744240817</v>
      </c>
      <c r="FS42">
        <v>-0.55165170032494815</v>
      </c>
      <c r="FT42">
        <v>4.5380279080352207E-2</v>
      </c>
      <c r="FU42">
        <v>1</v>
      </c>
      <c r="FV42">
        <v>0.41444971720318441</v>
      </c>
      <c r="FW42">
        <v>4.7452866385498588E-2</v>
      </c>
      <c r="FX42">
        <v>3.9593499190828229E-3</v>
      </c>
      <c r="FY42">
        <v>1</v>
      </c>
      <c r="FZ42">
        <v>2</v>
      </c>
      <c r="GA42">
        <v>2</v>
      </c>
      <c r="GB42" t="s">
        <v>423</v>
      </c>
      <c r="GC42">
        <v>2.9598900000000001</v>
      </c>
      <c r="GD42">
        <v>2.7434699999999999</v>
      </c>
      <c r="GE42">
        <v>9.50236E-2</v>
      </c>
      <c r="GF42">
        <v>0.10528700000000001</v>
      </c>
      <c r="GG42">
        <v>0.131712</v>
      </c>
      <c r="GH42">
        <v>0.10981399999999999</v>
      </c>
      <c r="GI42">
        <v>21292.400000000001</v>
      </c>
      <c r="GJ42">
        <v>19605.099999999999</v>
      </c>
      <c r="GK42">
        <v>23455</v>
      </c>
      <c r="GL42">
        <v>21956</v>
      </c>
      <c r="GM42">
        <v>28712.5</v>
      </c>
      <c r="GN42">
        <v>27262.400000000001</v>
      </c>
      <c r="GO42">
        <v>37009.5</v>
      </c>
      <c r="GP42">
        <v>34153.699999999997</v>
      </c>
      <c r="GQ42">
        <v>2.0104700000000002</v>
      </c>
      <c r="GR42">
        <v>1.857</v>
      </c>
      <c r="GS42">
        <v>5.4456299999999999E-2</v>
      </c>
      <c r="GT42">
        <v>0</v>
      </c>
      <c r="GU42">
        <v>29.0731</v>
      </c>
      <c r="GV42">
        <v>999.9</v>
      </c>
      <c r="GW42">
        <v>33.299999999999997</v>
      </c>
      <c r="GX42">
        <v>42.2</v>
      </c>
      <c r="GY42">
        <v>27.958200000000001</v>
      </c>
      <c r="GZ42">
        <v>60.0139</v>
      </c>
      <c r="HA42">
        <v>39.086500000000001</v>
      </c>
      <c r="HB42">
        <v>1</v>
      </c>
      <c r="HC42">
        <v>0.39930399999999999</v>
      </c>
      <c r="HD42">
        <v>1.14398</v>
      </c>
      <c r="HE42">
        <v>20.113499999999998</v>
      </c>
      <c r="HF42">
        <v>5.2641600000000004</v>
      </c>
      <c r="HG42">
        <v>11.962</v>
      </c>
      <c r="HH42">
        <v>4.9797000000000002</v>
      </c>
      <c r="HI42">
        <v>3.298</v>
      </c>
      <c r="HJ42">
        <v>9999</v>
      </c>
      <c r="HK42">
        <v>9999</v>
      </c>
      <c r="HL42">
        <v>9999</v>
      </c>
      <c r="HM42">
        <v>999.9</v>
      </c>
      <c r="HN42">
        <v>1.8641700000000001</v>
      </c>
      <c r="HO42">
        <v>1.86012</v>
      </c>
      <c r="HP42">
        <v>1.86676</v>
      </c>
      <c r="HQ42">
        <v>1.8633999999999999</v>
      </c>
      <c r="HR42">
        <v>1.8620300000000001</v>
      </c>
      <c r="HS42">
        <v>1.8620399999999999</v>
      </c>
      <c r="HT42">
        <v>1.8633599999999999</v>
      </c>
      <c r="HU42">
        <v>1.8646199999999999</v>
      </c>
      <c r="HV42">
        <v>0</v>
      </c>
      <c r="HW42">
        <v>0</v>
      </c>
      <c r="HX42">
        <v>0</v>
      </c>
      <c r="HY42">
        <v>0</v>
      </c>
      <c r="HZ42" t="s">
        <v>424</v>
      </c>
      <c r="IA42" t="s">
        <v>425</v>
      </c>
      <c r="IB42" t="s">
        <v>426</v>
      </c>
      <c r="IC42" t="s">
        <v>426</v>
      </c>
      <c r="ID42" t="s">
        <v>426</v>
      </c>
      <c r="IE42" t="s">
        <v>426</v>
      </c>
      <c r="IF42">
        <v>0</v>
      </c>
      <c r="IG42">
        <v>100</v>
      </c>
      <c r="IH42">
        <v>100</v>
      </c>
      <c r="II42">
        <v>-0.37</v>
      </c>
      <c r="IJ42">
        <v>0.17130000000000001</v>
      </c>
      <c r="IK42">
        <v>-0.373897654351803</v>
      </c>
      <c r="IL42">
        <v>-8.3322953065825546E-5</v>
      </c>
      <c r="IM42">
        <v>2.3872336679552741E-7</v>
      </c>
      <c r="IN42">
        <v>-5.428329794194132E-11</v>
      </c>
      <c r="IO42">
        <v>0.1712300000000013</v>
      </c>
      <c r="IP42">
        <v>0</v>
      </c>
      <c r="IQ42">
        <v>0</v>
      </c>
      <c r="IR42">
        <v>0</v>
      </c>
      <c r="IS42">
        <v>2</v>
      </c>
      <c r="IT42">
        <v>2035</v>
      </c>
      <c r="IU42">
        <v>1</v>
      </c>
      <c r="IV42">
        <v>21</v>
      </c>
      <c r="IW42">
        <v>0.6</v>
      </c>
      <c r="IX42">
        <v>0.8</v>
      </c>
      <c r="IY42">
        <v>1.2866200000000001</v>
      </c>
      <c r="IZ42">
        <v>2.6989700000000001</v>
      </c>
      <c r="JA42">
        <v>1.4514199999999999</v>
      </c>
      <c r="JB42">
        <v>2.2778299999999998</v>
      </c>
      <c r="JC42">
        <v>1.5942400000000001</v>
      </c>
      <c r="JD42">
        <v>2.4218799999999998</v>
      </c>
      <c r="JE42">
        <v>45.863199999999999</v>
      </c>
      <c r="JF42">
        <v>24.1313</v>
      </c>
      <c r="JG42">
        <v>18</v>
      </c>
      <c r="JH42">
        <v>509.68900000000002</v>
      </c>
      <c r="JI42">
        <v>448.08600000000001</v>
      </c>
      <c r="JJ42">
        <v>28.421199999999999</v>
      </c>
      <c r="JK42">
        <v>32.248100000000001</v>
      </c>
      <c r="JL42">
        <v>30</v>
      </c>
      <c r="JM42">
        <v>32.306800000000003</v>
      </c>
      <c r="JN42">
        <v>32.319200000000002</v>
      </c>
      <c r="JO42">
        <v>25.694400000000002</v>
      </c>
      <c r="JP42">
        <v>19.8916</v>
      </c>
      <c r="JQ42">
        <v>11.1562</v>
      </c>
      <c r="JR42">
        <v>28.437999999999999</v>
      </c>
      <c r="JS42">
        <v>500</v>
      </c>
      <c r="JT42">
        <v>22.265599999999999</v>
      </c>
      <c r="JU42">
        <v>99.194999999999993</v>
      </c>
      <c r="JV42">
        <v>98.528599999999997</v>
      </c>
    </row>
    <row r="43" spans="1:282" x14ac:dyDescent="0.25">
      <c r="A43">
        <v>27</v>
      </c>
      <c r="B43">
        <v>1689004194.5</v>
      </c>
      <c r="C43">
        <v>4853.9000000953674</v>
      </c>
      <c r="D43" t="s">
        <v>555</v>
      </c>
      <c r="E43" t="s">
        <v>556</v>
      </c>
      <c r="F43" t="s">
        <v>414</v>
      </c>
      <c r="G43" t="s">
        <v>415</v>
      </c>
      <c r="H43" t="s">
        <v>500</v>
      </c>
      <c r="I43" t="s">
        <v>501</v>
      </c>
      <c r="J43" t="s">
        <v>416</v>
      </c>
      <c r="K43">
        <v>1689004194.5</v>
      </c>
      <c r="L43">
        <f t="shared" si="0"/>
        <v>5.5377130260493394E-3</v>
      </c>
      <c r="M43">
        <f t="shared" si="1"/>
        <v>5.5377130260493397</v>
      </c>
      <c r="N43">
        <f t="shared" si="2"/>
        <v>56.503252900737884</v>
      </c>
      <c r="O43">
        <f t="shared" si="3"/>
        <v>628.077</v>
      </c>
      <c r="P43">
        <f t="shared" si="4"/>
        <v>381.86690432830801</v>
      </c>
      <c r="Q43">
        <f t="shared" si="5"/>
        <v>37.929506585941198</v>
      </c>
      <c r="R43">
        <f t="shared" si="6"/>
        <v>62.38469591880839</v>
      </c>
      <c r="S43">
        <f t="shared" si="7"/>
        <v>0.41105582144651004</v>
      </c>
      <c r="T43">
        <f t="shared" si="8"/>
        <v>2.9174967429029506</v>
      </c>
      <c r="U43">
        <f t="shared" si="9"/>
        <v>0.38137960363493612</v>
      </c>
      <c r="V43">
        <f t="shared" si="10"/>
        <v>0.24084976083637033</v>
      </c>
      <c r="W43">
        <f t="shared" si="11"/>
        <v>289.53193801270743</v>
      </c>
      <c r="X43">
        <f t="shared" si="12"/>
        <v>30.680644543493255</v>
      </c>
      <c r="Y43">
        <f t="shared" si="13"/>
        <v>29.962499999999999</v>
      </c>
      <c r="Z43">
        <f t="shared" si="14"/>
        <v>4.2512815033712767</v>
      </c>
      <c r="AA43">
        <f t="shared" si="15"/>
        <v>65.573134728477228</v>
      </c>
      <c r="AB43">
        <f t="shared" si="16"/>
        <v>2.8606729935164394</v>
      </c>
      <c r="AC43">
        <f t="shared" si="17"/>
        <v>4.3625686119198157</v>
      </c>
      <c r="AD43">
        <f t="shared" si="18"/>
        <v>1.3906085098548373</v>
      </c>
      <c r="AE43">
        <f t="shared" si="19"/>
        <v>-244.21314444877586</v>
      </c>
      <c r="AF43">
        <f t="shared" si="20"/>
        <v>70.858282023724712</v>
      </c>
      <c r="AG43">
        <f t="shared" si="21"/>
        <v>5.4103658905518266</v>
      </c>
      <c r="AH43">
        <f t="shared" si="22"/>
        <v>121.58744147820809</v>
      </c>
      <c r="AI43">
        <v>0</v>
      </c>
      <c r="AJ43">
        <v>0</v>
      </c>
      <c r="AK43">
        <f t="shared" si="23"/>
        <v>1</v>
      </c>
      <c r="AL43">
        <f t="shared" si="24"/>
        <v>0</v>
      </c>
      <c r="AM43">
        <f t="shared" si="25"/>
        <v>51922.115462727721</v>
      </c>
      <c r="AN43" t="s">
        <v>418</v>
      </c>
      <c r="AO43">
        <v>8197.4</v>
      </c>
      <c r="AP43">
        <v>619.92999999999995</v>
      </c>
      <c r="AQ43">
        <v>3131.443117258741</v>
      </c>
      <c r="AR43">
        <f t="shared" si="26"/>
        <v>0.80203057287443702</v>
      </c>
      <c r="AS43">
        <v>-1.0448500102641549</v>
      </c>
      <c r="AT43" t="s">
        <v>557</v>
      </c>
      <c r="AU43">
        <v>8186.16</v>
      </c>
      <c r="AV43">
        <v>768.51864</v>
      </c>
      <c r="AW43">
        <v>1212.9863353498779</v>
      </c>
      <c r="AX43">
        <f t="shared" si="27"/>
        <v>0.36642432185493179</v>
      </c>
      <c r="AY43">
        <v>0.5</v>
      </c>
      <c r="AZ43">
        <f t="shared" si="28"/>
        <v>1513.0002000065842</v>
      </c>
      <c r="BA43">
        <f t="shared" si="29"/>
        <v>56.503252900737884</v>
      </c>
      <c r="BB43">
        <f t="shared" si="30"/>
        <v>277.20003612689442</v>
      </c>
      <c r="BC43">
        <f t="shared" si="31"/>
        <v>3.8035753670588812E-2</v>
      </c>
      <c r="BD43">
        <f t="shared" si="32"/>
        <v>1.5815980163993331</v>
      </c>
      <c r="BE43">
        <f t="shared" si="33"/>
        <v>472.10890106559071</v>
      </c>
      <c r="BF43" t="s">
        <v>558</v>
      </c>
      <c r="BG43">
        <v>606.20000000000005</v>
      </c>
      <c r="BH43">
        <f t="shared" si="34"/>
        <v>606.20000000000005</v>
      </c>
      <c r="BI43">
        <f t="shared" si="35"/>
        <v>0.50024169083063441</v>
      </c>
      <c r="BJ43">
        <f t="shared" si="36"/>
        <v>0.73249456926810042</v>
      </c>
      <c r="BK43">
        <f t="shared" si="37"/>
        <v>0.75971171599169807</v>
      </c>
      <c r="BL43">
        <f t="shared" si="38"/>
        <v>0.74945273974294691</v>
      </c>
      <c r="BM43">
        <f t="shared" si="39"/>
        <v>0.7638649261775764</v>
      </c>
      <c r="BN43">
        <f t="shared" si="40"/>
        <v>0.5777845647183294</v>
      </c>
      <c r="BO43">
        <f t="shared" si="41"/>
        <v>0.4222154352816706</v>
      </c>
      <c r="BP43">
        <v>13622</v>
      </c>
      <c r="BQ43">
        <v>290.00000000000011</v>
      </c>
      <c r="BR43">
        <v>1063.6400000000001</v>
      </c>
      <c r="BS43">
        <v>295</v>
      </c>
      <c r="BT43">
        <v>8186.16</v>
      </c>
      <c r="BU43">
        <v>1067.78</v>
      </c>
      <c r="BV43">
        <v>-4.1399999999999997</v>
      </c>
      <c r="BW43">
        <v>300.00000000000011</v>
      </c>
      <c r="BX43">
        <v>19.3</v>
      </c>
      <c r="BY43">
        <v>1212.9863353498779</v>
      </c>
      <c r="BZ43">
        <v>5.8717214498888843</v>
      </c>
      <c r="CA43">
        <v>-118.8649873526473</v>
      </c>
      <c r="CB43">
        <v>4.414264363605847</v>
      </c>
      <c r="CC43">
        <v>0.96281979149101138</v>
      </c>
      <c r="CD43">
        <v>-4.2389330367074594E-3</v>
      </c>
      <c r="CE43">
        <v>289.99999999999989</v>
      </c>
      <c r="CF43">
        <v>1059.78</v>
      </c>
      <c r="CG43">
        <v>625</v>
      </c>
      <c r="CH43">
        <v>8176.84</v>
      </c>
      <c r="CI43">
        <v>1067.6199999999999</v>
      </c>
      <c r="CJ43">
        <v>-7.84</v>
      </c>
      <c r="CX43">
        <f t="shared" si="42"/>
        <v>1799.78</v>
      </c>
      <c r="CY43">
        <f t="shared" si="43"/>
        <v>1513.0002000065842</v>
      </c>
      <c r="CZ43">
        <f t="shared" si="44"/>
        <v>0.84065841380979023</v>
      </c>
      <c r="DA43">
        <f t="shared" si="45"/>
        <v>0.16087073865289503</v>
      </c>
      <c r="DB43">
        <v>6</v>
      </c>
      <c r="DC43">
        <v>0.5</v>
      </c>
      <c r="DD43" t="s">
        <v>421</v>
      </c>
      <c r="DE43">
        <v>2</v>
      </c>
      <c r="DF43">
        <v>1689004194.5</v>
      </c>
      <c r="DG43">
        <v>628.077</v>
      </c>
      <c r="DH43">
        <v>700.02599999999995</v>
      </c>
      <c r="DI43">
        <v>28.800699999999999</v>
      </c>
      <c r="DJ43">
        <v>22.349399999999999</v>
      </c>
      <c r="DK43">
        <v>628.47699999999998</v>
      </c>
      <c r="DL43">
        <v>28.630400000000002</v>
      </c>
      <c r="DM43">
        <v>500.19900000000001</v>
      </c>
      <c r="DN43">
        <v>99.227199999999996</v>
      </c>
      <c r="DO43">
        <v>9.93092E-2</v>
      </c>
      <c r="DP43">
        <v>30.413</v>
      </c>
      <c r="DQ43">
        <v>29.962499999999999</v>
      </c>
      <c r="DR43">
        <v>999.9</v>
      </c>
      <c r="DS43">
        <v>0</v>
      </c>
      <c r="DT43">
        <v>0</v>
      </c>
      <c r="DU43">
        <v>10008.799999999999</v>
      </c>
      <c r="DV43">
        <v>0</v>
      </c>
      <c r="DW43">
        <v>1912.33</v>
      </c>
      <c r="DX43">
        <v>-71.9495</v>
      </c>
      <c r="DY43">
        <v>646.702</v>
      </c>
      <c r="DZ43">
        <v>716.029</v>
      </c>
      <c r="EA43">
        <v>6.4513100000000003</v>
      </c>
      <c r="EB43">
        <v>700.02599999999995</v>
      </c>
      <c r="EC43">
        <v>22.349399999999999</v>
      </c>
      <c r="ED43">
        <v>2.8578100000000002</v>
      </c>
      <c r="EE43">
        <v>2.21767</v>
      </c>
      <c r="EF43">
        <v>23.221900000000002</v>
      </c>
      <c r="EG43">
        <v>19.090499999999999</v>
      </c>
      <c r="EH43">
        <v>1799.78</v>
      </c>
      <c r="EI43">
        <v>0.977993</v>
      </c>
      <c r="EJ43">
        <v>2.2006999999999999E-2</v>
      </c>
      <c r="EK43">
        <v>0</v>
      </c>
      <c r="EL43">
        <v>768.53899999999999</v>
      </c>
      <c r="EM43">
        <v>4.9999900000000004</v>
      </c>
      <c r="EN43">
        <v>19033.7</v>
      </c>
      <c r="EO43">
        <v>15861.8</v>
      </c>
      <c r="EP43">
        <v>47.75</v>
      </c>
      <c r="EQ43">
        <v>48.686999999999998</v>
      </c>
      <c r="ER43">
        <v>48.125</v>
      </c>
      <c r="ES43">
        <v>48.5</v>
      </c>
      <c r="ET43">
        <v>49.561999999999998</v>
      </c>
      <c r="EU43">
        <v>1755.28</v>
      </c>
      <c r="EV43">
        <v>39.5</v>
      </c>
      <c r="EW43">
        <v>0</v>
      </c>
      <c r="EX43">
        <v>131</v>
      </c>
      <c r="EY43">
        <v>0</v>
      </c>
      <c r="EZ43">
        <v>768.51864</v>
      </c>
      <c r="FA43">
        <v>0.90538463213359943</v>
      </c>
      <c r="FB43">
        <v>-35.192307725904008</v>
      </c>
      <c r="FC43">
        <v>19071.171999999999</v>
      </c>
      <c r="FD43">
        <v>15</v>
      </c>
      <c r="FE43">
        <v>1689004156.5</v>
      </c>
      <c r="FF43" t="s">
        <v>559</v>
      </c>
      <c r="FG43">
        <v>1689004156.5</v>
      </c>
      <c r="FH43">
        <v>1689004151</v>
      </c>
      <c r="FI43">
        <v>30</v>
      </c>
      <c r="FJ43">
        <v>-5.5E-2</v>
      </c>
      <c r="FK43">
        <v>-1E-3</v>
      </c>
      <c r="FL43">
        <v>-0.38800000000000001</v>
      </c>
      <c r="FM43">
        <v>0.17</v>
      </c>
      <c r="FN43">
        <v>700</v>
      </c>
      <c r="FO43">
        <v>22</v>
      </c>
      <c r="FP43">
        <v>0.05</v>
      </c>
      <c r="FQ43">
        <v>0.01</v>
      </c>
      <c r="FR43">
        <v>56.560337548024947</v>
      </c>
      <c r="FS43">
        <v>-0.64208076556621951</v>
      </c>
      <c r="FT43">
        <v>6.2867004671016496E-2</v>
      </c>
      <c r="FU43">
        <v>1</v>
      </c>
      <c r="FV43">
        <v>0.40985376706164278</v>
      </c>
      <c r="FW43">
        <v>2.5668300077150309E-2</v>
      </c>
      <c r="FX43">
        <v>2.187431419448437E-3</v>
      </c>
      <c r="FY43">
        <v>1</v>
      </c>
      <c r="FZ43">
        <v>2</v>
      </c>
      <c r="GA43">
        <v>2</v>
      </c>
      <c r="GB43" t="s">
        <v>423</v>
      </c>
      <c r="GC43">
        <v>2.9598499999999999</v>
      </c>
      <c r="GD43">
        <v>2.74261</v>
      </c>
      <c r="GE43">
        <v>0.12413100000000001</v>
      </c>
      <c r="GF43">
        <v>0.133493</v>
      </c>
      <c r="GG43">
        <v>0.131552</v>
      </c>
      <c r="GH43">
        <v>0.10978</v>
      </c>
      <c r="GI43">
        <v>20607.599999999999</v>
      </c>
      <c r="GJ43">
        <v>18987.099999999999</v>
      </c>
      <c r="GK43">
        <v>23455</v>
      </c>
      <c r="GL43">
        <v>21956.2</v>
      </c>
      <c r="GM43">
        <v>28720.1</v>
      </c>
      <c r="GN43">
        <v>27265.9</v>
      </c>
      <c r="GO43">
        <v>37009.800000000003</v>
      </c>
      <c r="GP43">
        <v>34154.6</v>
      </c>
      <c r="GQ43">
        <v>2.0104299999999999</v>
      </c>
      <c r="GR43">
        <v>1.8571200000000001</v>
      </c>
      <c r="GS43">
        <v>4.8853500000000001E-2</v>
      </c>
      <c r="GT43">
        <v>0</v>
      </c>
      <c r="GU43">
        <v>29.166899999999998</v>
      </c>
      <c r="GV43">
        <v>999.9</v>
      </c>
      <c r="GW43">
        <v>33</v>
      </c>
      <c r="GX43">
        <v>42.3</v>
      </c>
      <c r="GY43">
        <v>27.854700000000001</v>
      </c>
      <c r="GZ43">
        <v>60.3339</v>
      </c>
      <c r="HA43">
        <v>39.415100000000002</v>
      </c>
      <c r="HB43">
        <v>1</v>
      </c>
      <c r="HC43">
        <v>0.39913399999999999</v>
      </c>
      <c r="HD43">
        <v>0.47076499999999999</v>
      </c>
      <c r="HE43">
        <v>20.116499999999998</v>
      </c>
      <c r="HF43">
        <v>5.2604199999999999</v>
      </c>
      <c r="HG43">
        <v>11.962</v>
      </c>
      <c r="HH43">
        <v>4.9797000000000002</v>
      </c>
      <c r="HI43">
        <v>3.298</v>
      </c>
      <c r="HJ43">
        <v>9999</v>
      </c>
      <c r="HK43">
        <v>9999</v>
      </c>
      <c r="HL43">
        <v>9999</v>
      </c>
      <c r="HM43">
        <v>999.9</v>
      </c>
      <c r="HN43">
        <v>1.8641700000000001</v>
      </c>
      <c r="HO43">
        <v>1.8601700000000001</v>
      </c>
      <c r="HP43">
        <v>1.86676</v>
      </c>
      <c r="HQ43">
        <v>1.8633999999999999</v>
      </c>
      <c r="HR43">
        <v>1.8620300000000001</v>
      </c>
      <c r="HS43">
        <v>1.86208</v>
      </c>
      <c r="HT43">
        <v>1.86337</v>
      </c>
      <c r="HU43">
        <v>1.8646199999999999</v>
      </c>
      <c r="HV43">
        <v>0</v>
      </c>
      <c r="HW43">
        <v>0</v>
      </c>
      <c r="HX43">
        <v>0</v>
      </c>
      <c r="HY43">
        <v>0</v>
      </c>
      <c r="HZ43" t="s">
        <v>424</v>
      </c>
      <c r="IA43" t="s">
        <v>425</v>
      </c>
      <c r="IB43" t="s">
        <v>426</v>
      </c>
      <c r="IC43" t="s">
        <v>426</v>
      </c>
      <c r="ID43" t="s">
        <v>426</v>
      </c>
      <c r="IE43" t="s">
        <v>426</v>
      </c>
      <c r="IF43">
        <v>0</v>
      </c>
      <c r="IG43">
        <v>100</v>
      </c>
      <c r="IH43">
        <v>100</v>
      </c>
      <c r="II43">
        <v>-0.4</v>
      </c>
      <c r="IJ43">
        <v>0.17030000000000001</v>
      </c>
      <c r="IK43">
        <v>-0.42855935753971569</v>
      </c>
      <c r="IL43">
        <v>-8.3322953065825546E-5</v>
      </c>
      <c r="IM43">
        <v>2.3872336679552741E-7</v>
      </c>
      <c r="IN43">
        <v>-5.428329794194132E-11</v>
      </c>
      <c r="IO43">
        <v>0.17028499999999619</v>
      </c>
      <c r="IP43">
        <v>0</v>
      </c>
      <c r="IQ43">
        <v>0</v>
      </c>
      <c r="IR43">
        <v>0</v>
      </c>
      <c r="IS43">
        <v>2</v>
      </c>
      <c r="IT43">
        <v>2035</v>
      </c>
      <c r="IU43">
        <v>1</v>
      </c>
      <c r="IV43">
        <v>21</v>
      </c>
      <c r="IW43">
        <v>0.6</v>
      </c>
      <c r="IX43">
        <v>0.7</v>
      </c>
      <c r="IY43">
        <v>1.69312</v>
      </c>
      <c r="IZ43">
        <v>2.6965300000000001</v>
      </c>
      <c r="JA43">
        <v>1.4514199999999999</v>
      </c>
      <c r="JB43">
        <v>2.2778299999999998</v>
      </c>
      <c r="JC43">
        <v>1.5942400000000001</v>
      </c>
      <c r="JD43">
        <v>2.4279799999999998</v>
      </c>
      <c r="JE43">
        <v>45.892099999999999</v>
      </c>
      <c r="JF43">
        <v>24.122499999999999</v>
      </c>
      <c r="JG43">
        <v>18</v>
      </c>
      <c r="JH43">
        <v>509.63200000000001</v>
      </c>
      <c r="JI43">
        <v>448.17399999999998</v>
      </c>
      <c r="JJ43">
        <v>28.231300000000001</v>
      </c>
      <c r="JK43">
        <v>32.2624</v>
      </c>
      <c r="JL43">
        <v>29.9983</v>
      </c>
      <c r="JM43">
        <v>32.304099999999998</v>
      </c>
      <c r="JN43">
        <v>32.319200000000002</v>
      </c>
      <c r="JO43">
        <v>33.840800000000002</v>
      </c>
      <c r="JP43">
        <v>19.637599999999999</v>
      </c>
      <c r="JQ43">
        <v>10.9945</v>
      </c>
      <c r="JR43">
        <v>28.365600000000001</v>
      </c>
      <c r="JS43">
        <v>700</v>
      </c>
      <c r="JT43">
        <v>22.283899999999999</v>
      </c>
      <c r="JU43">
        <v>99.195400000000006</v>
      </c>
      <c r="JV43">
        <v>98.530699999999996</v>
      </c>
    </row>
    <row r="44" spans="1:282" x14ac:dyDescent="0.25">
      <c r="A44">
        <v>28</v>
      </c>
      <c r="B44">
        <v>1689004307.5</v>
      </c>
      <c r="C44">
        <v>4966.9000000953674</v>
      </c>
      <c r="D44" t="s">
        <v>560</v>
      </c>
      <c r="E44" t="s">
        <v>561</v>
      </c>
      <c r="F44" t="s">
        <v>414</v>
      </c>
      <c r="G44" t="s">
        <v>415</v>
      </c>
      <c r="H44" t="s">
        <v>500</v>
      </c>
      <c r="I44" t="s">
        <v>501</v>
      </c>
      <c r="J44" t="s">
        <v>416</v>
      </c>
      <c r="K44">
        <v>1689004307.5</v>
      </c>
      <c r="L44">
        <f t="shared" si="0"/>
        <v>5.4521977990072976E-3</v>
      </c>
      <c r="M44">
        <f t="shared" si="1"/>
        <v>5.4521977990072976</v>
      </c>
      <c r="N44">
        <f t="shared" si="2"/>
        <v>58.198797833767408</v>
      </c>
      <c r="O44">
        <f t="shared" si="3"/>
        <v>824.91600000000005</v>
      </c>
      <c r="P44">
        <f t="shared" si="4"/>
        <v>561.5620177226283</v>
      </c>
      <c r="Q44">
        <f t="shared" si="5"/>
        <v>55.779203288846936</v>
      </c>
      <c r="R44">
        <f t="shared" si="6"/>
        <v>81.937801717476006</v>
      </c>
      <c r="S44">
        <f t="shared" si="7"/>
        <v>0.401080898504245</v>
      </c>
      <c r="T44">
        <f t="shared" si="8"/>
        <v>2.913900624445013</v>
      </c>
      <c r="U44">
        <f t="shared" si="9"/>
        <v>0.37274204742641542</v>
      </c>
      <c r="V44">
        <f t="shared" si="10"/>
        <v>0.23534283968711595</v>
      </c>
      <c r="W44">
        <f t="shared" si="11"/>
        <v>289.56066601270612</v>
      </c>
      <c r="X44">
        <f t="shared" si="12"/>
        <v>30.602539492660689</v>
      </c>
      <c r="Y44">
        <f t="shared" si="13"/>
        <v>29.968599999999999</v>
      </c>
      <c r="Z44">
        <f t="shared" si="14"/>
        <v>4.2527717030793841</v>
      </c>
      <c r="AA44">
        <f t="shared" si="15"/>
        <v>65.749266309431505</v>
      </c>
      <c r="AB44">
        <f t="shared" si="16"/>
        <v>2.8518251859709998</v>
      </c>
      <c r="AC44">
        <f t="shared" si="17"/>
        <v>4.3374251091253857</v>
      </c>
      <c r="AD44">
        <f t="shared" si="18"/>
        <v>1.4009465171083844</v>
      </c>
      <c r="AE44">
        <f t="shared" si="19"/>
        <v>-240.44192293622183</v>
      </c>
      <c r="AF44">
        <f t="shared" si="20"/>
        <v>53.961861294755195</v>
      </c>
      <c r="AG44">
        <f t="shared" si="21"/>
        <v>4.1233934345665144</v>
      </c>
      <c r="AH44">
        <f t="shared" si="22"/>
        <v>107.20399780580603</v>
      </c>
      <c r="AI44">
        <v>0</v>
      </c>
      <c r="AJ44">
        <v>0</v>
      </c>
      <c r="AK44">
        <f t="shared" si="23"/>
        <v>1</v>
      </c>
      <c r="AL44">
        <f t="shared" si="24"/>
        <v>0</v>
      </c>
      <c r="AM44">
        <f t="shared" si="25"/>
        <v>51837.12877898389</v>
      </c>
      <c r="AN44" t="s">
        <v>418</v>
      </c>
      <c r="AO44">
        <v>8197.4</v>
      </c>
      <c r="AP44">
        <v>619.92999999999995</v>
      </c>
      <c r="AQ44">
        <v>3131.443117258741</v>
      </c>
      <c r="AR44">
        <f t="shared" si="26"/>
        <v>0.80203057287443702</v>
      </c>
      <c r="AS44">
        <v>-1.0448500102641549</v>
      </c>
      <c r="AT44" t="s">
        <v>562</v>
      </c>
      <c r="AU44">
        <v>8185.93</v>
      </c>
      <c r="AV44">
        <v>771.81357692307699</v>
      </c>
      <c r="AW44">
        <v>1237.9605071822041</v>
      </c>
      <c r="AX44">
        <f t="shared" si="27"/>
        <v>0.37654426579419076</v>
      </c>
      <c r="AY44">
        <v>0.5</v>
      </c>
      <c r="AZ44">
        <f t="shared" si="28"/>
        <v>1513.1514000065833</v>
      </c>
      <c r="BA44">
        <f t="shared" si="29"/>
        <v>58.198797833767408</v>
      </c>
      <c r="BB44">
        <f t="shared" si="30"/>
        <v>284.88424147546539</v>
      </c>
      <c r="BC44">
        <f t="shared" si="31"/>
        <v>3.915249184171115E-2</v>
      </c>
      <c r="BD44">
        <f t="shared" si="32"/>
        <v>1.5295177827493107</v>
      </c>
      <c r="BE44">
        <f t="shared" si="33"/>
        <v>475.84515371500282</v>
      </c>
      <c r="BF44" t="s">
        <v>563</v>
      </c>
      <c r="BG44">
        <v>602.61</v>
      </c>
      <c r="BH44">
        <f t="shared" si="34"/>
        <v>602.61</v>
      </c>
      <c r="BI44">
        <f t="shared" si="35"/>
        <v>0.5132235669038937</v>
      </c>
      <c r="BJ44">
        <f t="shared" si="36"/>
        <v>0.73368467482067623</v>
      </c>
      <c r="BK44">
        <f t="shared" si="37"/>
        <v>0.74875743960877694</v>
      </c>
      <c r="BL44">
        <f t="shared" si="38"/>
        <v>0.75424582579982635</v>
      </c>
      <c r="BM44">
        <f t="shared" si="39"/>
        <v>0.75392105144297616</v>
      </c>
      <c r="BN44">
        <f t="shared" si="40"/>
        <v>0.5728400420944556</v>
      </c>
      <c r="BO44">
        <f t="shared" si="41"/>
        <v>0.4271599579055444</v>
      </c>
      <c r="BP44">
        <v>13624</v>
      </c>
      <c r="BQ44">
        <v>290.00000000000011</v>
      </c>
      <c r="BR44">
        <v>1081.05</v>
      </c>
      <c r="BS44">
        <v>295</v>
      </c>
      <c r="BT44">
        <v>8185.93</v>
      </c>
      <c r="BU44">
        <v>1084.05</v>
      </c>
      <c r="BV44">
        <v>-3</v>
      </c>
      <c r="BW44">
        <v>300.00000000000011</v>
      </c>
      <c r="BX44">
        <v>19.3</v>
      </c>
      <c r="BY44">
        <v>1237.9605071822041</v>
      </c>
      <c r="BZ44">
        <v>5.8259373651156334</v>
      </c>
      <c r="CA44">
        <v>-125.9884519814385</v>
      </c>
      <c r="CB44">
        <v>4.3797053689654311</v>
      </c>
      <c r="CC44">
        <v>0.96727087066406325</v>
      </c>
      <c r="CD44">
        <v>-4.2389261401557356E-3</v>
      </c>
      <c r="CE44">
        <v>289.99999999999989</v>
      </c>
      <c r="CF44">
        <v>1075.69</v>
      </c>
      <c r="CG44">
        <v>645</v>
      </c>
      <c r="CH44">
        <v>8175.95</v>
      </c>
      <c r="CI44">
        <v>1083.8599999999999</v>
      </c>
      <c r="CJ44">
        <v>-8.17</v>
      </c>
      <c r="CX44">
        <f t="shared" si="42"/>
        <v>1799.96</v>
      </c>
      <c r="CY44">
        <f t="shared" si="43"/>
        <v>1513.1514000065833</v>
      </c>
      <c r="CZ44">
        <f t="shared" si="44"/>
        <v>0.84065834796694561</v>
      </c>
      <c r="DA44">
        <f t="shared" si="45"/>
        <v>0.16087061157620508</v>
      </c>
      <c r="DB44">
        <v>6</v>
      </c>
      <c r="DC44">
        <v>0.5</v>
      </c>
      <c r="DD44" t="s">
        <v>421</v>
      </c>
      <c r="DE44">
        <v>2</v>
      </c>
      <c r="DF44">
        <v>1689004307.5</v>
      </c>
      <c r="DG44">
        <v>824.91600000000005</v>
      </c>
      <c r="DH44">
        <v>900.12099999999998</v>
      </c>
      <c r="DI44">
        <v>28.710999999999999</v>
      </c>
      <c r="DJ44">
        <v>22.358799999999999</v>
      </c>
      <c r="DK44">
        <v>825.16600000000005</v>
      </c>
      <c r="DL44">
        <v>28.542999999999999</v>
      </c>
      <c r="DM44">
        <v>500.20400000000001</v>
      </c>
      <c r="DN44">
        <v>99.228499999999997</v>
      </c>
      <c r="DO44">
        <v>0.100161</v>
      </c>
      <c r="DP44">
        <v>30.312100000000001</v>
      </c>
      <c r="DQ44">
        <v>29.968599999999999</v>
      </c>
      <c r="DR44">
        <v>999.9</v>
      </c>
      <c r="DS44">
        <v>0</v>
      </c>
      <c r="DT44">
        <v>0</v>
      </c>
      <c r="DU44">
        <v>9988.1200000000008</v>
      </c>
      <c r="DV44">
        <v>0</v>
      </c>
      <c r="DW44">
        <v>2011.53</v>
      </c>
      <c r="DX44">
        <v>-75.205299999999994</v>
      </c>
      <c r="DY44">
        <v>849.3</v>
      </c>
      <c r="DZ44">
        <v>920.70699999999999</v>
      </c>
      <c r="EA44">
        <v>6.3522400000000001</v>
      </c>
      <c r="EB44">
        <v>900.12099999999998</v>
      </c>
      <c r="EC44">
        <v>22.358799999999999</v>
      </c>
      <c r="ED44">
        <v>2.8489499999999999</v>
      </c>
      <c r="EE44">
        <v>2.2186300000000001</v>
      </c>
      <c r="EF44">
        <v>23.170500000000001</v>
      </c>
      <c r="EG44">
        <v>19.0975</v>
      </c>
      <c r="EH44">
        <v>1799.96</v>
      </c>
      <c r="EI44">
        <v>0.97799599999999998</v>
      </c>
      <c r="EJ44">
        <v>2.20039E-2</v>
      </c>
      <c r="EK44">
        <v>0</v>
      </c>
      <c r="EL44">
        <v>771.649</v>
      </c>
      <c r="EM44">
        <v>4.9999900000000004</v>
      </c>
      <c r="EN44">
        <v>19409.400000000001</v>
      </c>
      <c r="EO44">
        <v>15863.5</v>
      </c>
      <c r="EP44">
        <v>47.75</v>
      </c>
      <c r="EQ44">
        <v>48.875</v>
      </c>
      <c r="ER44">
        <v>48.186999999999998</v>
      </c>
      <c r="ES44">
        <v>48.561999999999998</v>
      </c>
      <c r="ET44">
        <v>49.561999999999998</v>
      </c>
      <c r="EU44">
        <v>1755.46</v>
      </c>
      <c r="EV44">
        <v>39.5</v>
      </c>
      <c r="EW44">
        <v>0</v>
      </c>
      <c r="EX44">
        <v>111.2000000476837</v>
      </c>
      <c r="EY44">
        <v>0</v>
      </c>
      <c r="EZ44">
        <v>771.81357692307699</v>
      </c>
      <c r="FA44">
        <v>0.26738462159585352</v>
      </c>
      <c r="FB44">
        <v>468.73846148381278</v>
      </c>
      <c r="FC44">
        <v>19365.93076923077</v>
      </c>
      <c r="FD44">
        <v>15</v>
      </c>
      <c r="FE44">
        <v>1689004268</v>
      </c>
      <c r="FF44" t="s">
        <v>564</v>
      </c>
      <c r="FG44">
        <v>1689004268</v>
      </c>
      <c r="FH44">
        <v>1689004267</v>
      </c>
      <c r="FI44">
        <v>31</v>
      </c>
      <c r="FJ44">
        <v>0.115</v>
      </c>
      <c r="FK44">
        <v>-2E-3</v>
      </c>
      <c r="FL44">
        <v>-0.23499999999999999</v>
      </c>
      <c r="FM44">
        <v>0.16800000000000001</v>
      </c>
      <c r="FN44">
        <v>900</v>
      </c>
      <c r="FO44">
        <v>22</v>
      </c>
      <c r="FP44">
        <v>0.02</v>
      </c>
      <c r="FQ44">
        <v>0.02</v>
      </c>
      <c r="FR44">
        <v>58.22816746373492</v>
      </c>
      <c r="FS44">
        <v>-0.40186795754006382</v>
      </c>
      <c r="FT44">
        <v>7.5932117796195353E-2</v>
      </c>
      <c r="FU44">
        <v>1</v>
      </c>
      <c r="FV44">
        <v>0.39585643528821962</v>
      </c>
      <c r="FW44">
        <v>4.8479112966028817E-2</v>
      </c>
      <c r="FX44">
        <v>3.7376736755883478E-3</v>
      </c>
      <c r="FY44">
        <v>1</v>
      </c>
      <c r="FZ44">
        <v>2</v>
      </c>
      <c r="GA44">
        <v>2</v>
      </c>
      <c r="GB44" t="s">
        <v>423</v>
      </c>
      <c r="GC44">
        <v>2.9598</v>
      </c>
      <c r="GD44">
        <v>2.74329</v>
      </c>
      <c r="GE44">
        <v>0.14930199999999999</v>
      </c>
      <c r="GF44">
        <v>0.15776200000000001</v>
      </c>
      <c r="GG44">
        <v>0.131268</v>
      </c>
      <c r="GH44">
        <v>0.109805</v>
      </c>
      <c r="GI44">
        <v>20013.400000000001</v>
      </c>
      <c r="GJ44">
        <v>18453.400000000001</v>
      </c>
      <c r="GK44">
        <v>23453.1</v>
      </c>
      <c r="GL44">
        <v>21954.3</v>
      </c>
      <c r="GM44">
        <v>28729.200000000001</v>
      </c>
      <c r="GN44">
        <v>27264.6</v>
      </c>
      <c r="GO44">
        <v>37006.6</v>
      </c>
      <c r="GP44">
        <v>34152</v>
      </c>
      <c r="GQ44">
        <v>2.0095800000000001</v>
      </c>
      <c r="GR44">
        <v>1.8567</v>
      </c>
      <c r="GS44">
        <v>4.0479000000000001E-2</v>
      </c>
      <c r="GT44">
        <v>0</v>
      </c>
      <c r="GU44">
        <v>29.3094</v>
      </c>
      <c r="GV44">
        <v>999.9</v>
      </c>
      <c r="GW44">
        <v>32.9</v>
      </c>
      <c r="GX44">
        <v>42.4</v>
      </c>
      <c r="GY44">
        <v>27.9116</v>
      </c>
      <c r="GZ44">
        <v>60.2239</v>
      </c>
      <c r="HA44">
        <v>38.998399999999997</v>
      </c>
      <c r="HB44">
        <v>1</v>
      </c>
      <c r="HC44">
        <v>0.40802300000000002</v>
      </c>
      <c r="HD44">
        <v>2.2742300000000002</v>
      </c>
      <c r="HE44">
        <v>20.093699999999998</v>
      </c>
      <c r="HF44">
        <v>5.2641600000000004</v>
      </c>
      <c r="HG44">
        <v>11.962</v>
      </c>
      <c r="HH44">
        <v>4.9797000000000002</v>
      </c>
      <c r="HI44">
        <v>3.298</v>
      </c>
      <c r="HJ44">
        <v>9999</v>
      </c>
      <c r="HK44">
        <v>9999</v>
      </c>
      <c r="HL44">
        <v>9999</v>
      </c>
      <c r="HM44">
        <v>999.9</v>
      </c>
      <c r="HN44">
        <v>1.86415</v>
      </c>
      <c r="HO44">
        <v>1.8601700000000001</v>
      </c>
      <c r="HP44">
        <v>1.86676</v>
      </c>
      <c r="HQ44">
        <v>1.8633999999999999</v>
      </c>
      <c r="HR44">
        <v>1.8620300000000001</v>
      </c>
      <c r="HS44">
        <v>1.86208</v>
      </c>
      <c r="HT44">
        <v>1.8633900000000001</v>
      </c>
      <c r="HU44">
        <v>1.8646199999999999</v>
      </c>
      <c r="HV44">
        <v>0</v>
      </c>
      <c r="HW44">
        <v>0</v>
      </c>
      <c r="HX44">
        <v>0</v>
      </c>
      <c r="HY44">
        <v>0</v>
      </c>
      <c r="HZ44" t="s">
        <v>424</v>
      </c>
      <c r="IA44" t="s">
        <v>425</v>
      </c>
      <c r="IB44" t="s">
        <v>426</v>
      </c>
      <c r="IC44" t="s">
        <v>426</v>
      </c>
      <c r="ID44" t="s">
        <v>426</v>
      </c>
      <c r="IE44" t="s">
        <v>426</v>
      </c>
      <c r="IF44">
        <v>0</v>
      </c>
      <c r="IG44">
        <v>100</v>
      </c>
      <c r="IH44">
        <v>100</v>
      </c>
      <c r="II44">
        <v>-0.25</v>
      </c>
      <c r="IJ44">
        <v>0.16800000000000001</v>
      </c>
      <c r="IK44">
        <v>-0.3135549742224919</v>
      </c>
      <c r="IL44">
        <v>-8.3322953065825546E-5</v>
      </c>
      <c r="IM44">
        <v>2.3872336679552741E-7</v>
      </c>
      <c r="IN44">
        <v>-5.428329794194132E-11</v>
      </c>
      <c r="IO44">
        <v>0.1680150000000005</v>
      </c>
      <c r="IP44">
        <v>0</v>
      </c>
      <c r="IQ44">
        <v>0</v>
      </c>
      <c r="IR44">
        <v>0</v>
      </c>
      <c r="IS44">
        <v>2</v>
      </c>
      <c r="IT44">
        <v>2035</v>
      </c>
      <c r="IU44">
        <v>1</v>
      </c>
      <c r="IV44">
        <v>21</v>
      </c>
      <c r="IW44">
        <v>0.7</v>
      </c>
      <c r="IX44">
        <v>0.7</v>
      </c>
      <c r="IY44">
        <v>2.0800800000000002</v>
      </c>
      <c r="IZ44">
        <v>2.6928700000000001</v>
      </c>
      <c r="JA44">
        <v>1.4514199999999999</v>
      </c>
      <c r="JB44">
        <v>2.2790499999999998</v>
      </c>
      <c r="JC44">
        <v>1.5942400000000001</v>
      </c>
      <c r="JD44">
        <v>2.4316399999999998</v>
      </c>
      <c r="JE44">
        <v>45.9499</v>
      </c>
      <c r="JF44">
        <v>24.122499999999999</v>
      </c>
      <c r="JG44">
        <v>18</v>
      </c>
      <c r="JH44">
        <v>509.35199999999998</v>
      </c>
      <c r="JI44">
        <v>448.13299999999998</v>
      </c>
      <c r="JJ44">
        <v>27.215399999999999</v>
      </c>
      <c r="JK44">
        <v>32.314</v>
      </c>
      <c r="JL44">
        <v>30</v>
      </c>
      <c r="JM44">
        <v>32.3354</v>
      </c>
      <c r="JN44">
        <v>32.350299999999997</v>
      </c>
      <c r="JO44">
        <v>41.566200000000002</v>
      </c>
      <c r="JP44">
        <v>19.751899999999999</v>
      </c>
      <c r="JQ44">
        <v>10.233599999999999</v>
      </c>
      <c r="JR44">
        <v>27.9114</v>
      </c>
      <c r="JS44">
        <v>900</v>
      </c>
      <c r="JT44">
        <v>22.2637</v>
      </c>
      <c r="JU44">
        <v>99.187100000000001</v>
      </c>
      <c r="JV44">
        <v>98.5227</v>
      </c>
    </row>
    <row r="45" spans="1:282" x14ac:dyDescent="0.25">
      <c r="A45">
        <v>29</v>
      </c>
      <c r="B45">
        <v>1689004426</v>
      </c>
      <c r="C45">
        <v>5085.4000000953674</v>
      </c>
      <c r="D45" t="s">
        <v>565</v>
      </c>
      <c r="E45" t="s">
        <v>566</v>
      </c>
      <c r="F45" t="s">
        <v>414</v>
      </c>
      <c r="G45" t="s">
        <v>415</v>
      </c>
      <c r="H45" t="s">
        <v>500</v>
      </c>
      <c r="I45" t="s">
        <v>501</v>
      </c>
      <c r="J45" t="s">
        <v>416</v>
      </c>
      <c r="K45">
        <v>1689004426</v>
      </c>
      <c r="L45">
        <f t="shared" si="0"/>
        <v>5.3613279266084305E-3</v>
      </c>
      <c r="M45">
        <f t="shared" si="1"/>
        <v>5.3613279266084302</v>
      </c>
      <c r="N45">
        <f t="shared" si="2"/>
        <v>58.832393120814125</v>
      </c>
      <c r="O45">
        <f t="shared" si="3"/>
        <v>1122.21</v>
      </c>
      <c r="P45">
        <f t="shared" si="4"/>
        <v>839.70632315781131</v>
      </c>
      <c r="Q45">
        <f t="shared" si="5"/>
        <v>83.406510050526805</v>
      </c>
      <c r="R45">
        <f t="shared" si="6"/>
        <v>111.46708922211</v>
      </c>
      <c r="S45">
        <f t="shared" si="7"/>
        <v>0.38580550450891915</v>
      </c>
      <c r="T45">
        <f t="shared" si="8"/>
        <v>2.9060994301598733</v>
      </c>
      <c r="U45">
        <f t="shared" si="9"/>
        <v>0.35944286781386792</v>
      </c>
      <c r="V45">
        <f t="shared" si="10"/>
        <v>0.22687007908617141</v>
      </c>
      <c r="W45">
        <f t="shared" si="11"/>
        <v>289.54195201270039</v>
      </c>
      <c r="X45">
        <f t="shared" si="12"/>
        <v>30.634005706586123</v>
      </c>
      <c r="Y45">
        <f t="shared" si="13"/>
        <v>30.023299999999999</v>
      </c>
      <c r="Z45">
        <f t="shared" si="14"/>
        <v>4.2661549988546756</v>
      </c>
      <c r="AA45">
        <f t="shared" si="15"/>
        <v>65.394410964008941</v>
      </c>
      <c r="AB45">
        <f t="shared" si="16"/>
        <v>2.8375878948497997</v>
      </c>
      <c r="AC45">
        <f t="shared" si="17"/>
        <v>4.339190235097492</v>
      </c>
      <c r="AD45">
        <f t="shared" si="18"/>
        <v>1.428567104004876</v>
      </c>
      <c r="AE45">
        <f t="shared" si="19"/>
        <v>-236.4345615634318</v>
      </c>
      <c r="AF45">
        <f t="shared" si="20"/>
        <v>46.359727850470676</v>
      </c>
      <c r="AG45">
        <f t="shared" si="21"/>
        <v>3.5530863557707222</v>
      </c>
      <c r="AH45">
        <f t="shared" si="22"/>
        <v>103.02020465551001</v>
      </c>
      <c r="AI45">
        <v>0</v>
      </c>
      <c r="AJ45">
        <v>0</v>
      </c>
      <c r="AK45">
        <f t="shared" si="23"/>
        <v>1</v>
      </c>
      <c r="AL45">
        <f t="shared" si="24"/>
        <v>0</v>
      </c>
      <c r="AM45">
        <f t="shared" si="25"/>
        <v>51614.276334033959</v>
      </c>
      <c r="AN45" t="s">
        <v>418</v>
      </c>
      <c r="AO45">
        <v>8197.4</v>
      </c>
      <c r="AP45">
        <v>619.92999999999995</v>
      </c>
      <c r="AQ45">
        <v>3131.443117258741</v>
      </c>
      <c r="AR45">
        <f t="shared" si="26"/>
        <v>0.80203057287443702</v>
      </c>
      <c r="AS45">
        <v>-1.0448500102641549</v>
      </c>
      <c r="AT45" t="s">
        <v>567</v>
      </c>
      <c r="AU45">
        <v>8184.84</v>
      </c>
      <c r="AV45">
        <v>772.7112800000001</v>
      </c>
      <c r="AW45">
        <v>1249.5098613298451</v>
      </c>
      <c r="AX45">
        <f t="shared" si="27"/>
        <v>0.38158849008393692</v>
      </c>
      <c r="AY45">
        <v>0.5</v>
      </c>
      <c r="AZ45">
        <f t="shared" si="28"/>
        <v>1513.0584000065803</v>
      </c>
      <c r="BA45">
        <f t="shared" si="29"/>
        <v>58.832393120814125</v>
      </c>
      <c r="BB45">
        <f t="shared" si="30"/>
        <v>288.68283513366424</v>
      </c>
      <c r="BC45">
        <f t="shared" si="31"/>
        <v>3.9573649722190414E-2</v>
      </c>
      <c r="BD45">
        <f t="shared" si="32"/>
        <v>1.5061371776017574</v>
      </c>
      <c r="BE45">
        <f t="shared" si="33"/>
        <v>477.54178805229765</v>
      </c>
      <c r="BF45" t="s">
        <v>568</v>
      </c>
      <c r="BG45">
        <v>608.51</v>
      </c>
      <c r="BH45">
        <f t="shared" si="34"/>
        <v>608.51</v>
      </c>
      <c r="BI45">
        <f t="shared" si="35"/>
        <v>0.51300104238283728</v>
      </c>
      <c r="BJ45">
        <f t="shared" si="36"/>
        <v>0.74383570121319331</v>
      </c>
      <c r="BK45">
        <f t="shared" si="37"/>
        <v>0.7459306959249421</v>
      </c>
      <c r="BL45">
        <f t="shared" si="38"/>
        <v>0.75732819712929789</v>
      </c>
      <c r="BM45">
        <f t="shared" si="39"/>
        <v>0.74932248730716677</v>
      </c>
      <c r="BN45">
        <f t="shared" si="40"/>
        <v>0.58577048667548914</v>
      </c>
      <c r="BO45">
        <f t="shared" si="41"/>
        <v>0.41422951332451086</v>
      </c>
      <c r="BP45">
        <v>13626</v>
      </c>
      <c r="BQ45">
        <v>290.00000000000011</v>
      </c>
      <c r="BR45">
        <v>1090.3399999999999</v>
      </c>
      <c r="BS45">
        <v>295</v>
      </c>
      <c r="BT45">
        <v>8184.84</v>
      </c>
      <c r="BU45">
        <v>1094.02</v>
      </c>
      <c r="BV45">
        <v>-3.68</v>
      </c>
      <c r="BW45">
        <v>300.00000000000011</v>
      </c>
      <c r="BX45">
        <v>19.3</v>
      </c>
      <c r="BY45">
        <v>1249.5098613298451</v>
      </c>
      <c r="BZ45">
        <v>5.5934809686724689</v>
      </c>
      <c r="CA45">
        <v>-127.2645242439222</v>
      </c>
      <c r="CB45">
        <v>4.2043751128697124</v>
      </c>
      <c r="CC45">
        <v>0.97034669138708129</v>
      </c>
      <c r="CD45">
        <v>-4.238650723025583E-3</v>
      </c>
      <c r="CE45">
        <v>289.99999999999989</v>
      </c>
      <c r="CF45">
        <v>1086.3499999999999</v>
      </c>
      <c r="CG45">
        <v>625</v>
      </c>
      <c r="CH45">
        <v>8175.48</v>
      </c>
      <c r="CI45">
        <v>1093.8399999999999</v>
      </c>
      <c r="CJ45">
        <v>-7.49</v>
      </c>
      <c r="CX45">
        <f t="shared" si="42"/>
        <v>1799.85</v>
      </c>
      <c r="CY45">
        <f t="shared" si="43"/>
        <v>1513.0584000065803</v>
      </c>
      <c r="CZ45">
        <f t="shared" si="44"/>
        <v>0.8406580548415592</v>
      </c>
      <c r="DA45">
        <f t="shared" si="45"/>
        <v>0.16087004584420947</v>
      </c>
      <c r="DB45">
        <v>6</v>
      </c>
      <c r="DC45">
        <v>0.5</v>
      </c>
      <c r="DD45" t="s">
        <v>421</v>
      </c>
      <c r="DE45">
        <v>2</v>
      </c>
      <c r="DF45">
        <v>1689004426</v>
      </c>
      <c r="DG45">
        <v>1122.21</v>
      </c>
      <c r="DH45">
        <v>1200.02</v>
      </c>
      <c r="DI45">
        <v>28.567799999999998</v>
      </c>
      <c r="DJ45">
        <v>22.3187</v>
      </c>
      <c r="DK45">
        <v>1122.23</v>
      </c>
      <c r="DL45">
        <v>28.402699999999999</v>
      </c>
      <c r="DM45">
        <v>500.05599999999998</v>
      </c>
      <c r="DN45">
        <v>99.227400000000003</v>
      </c>
      <c r="DO45">
        <v>0.10079100000000001</v>
      </c>
      <c r="DP45">
        <v>30.319199999999999</v>
      </c>
      <c r="DQ45">
        <v>30.023299999999999</v>
      </c>
      <c r="DR45">
        <v>999.9</v>
      </c>
      <c r="DS45">
        <v>0</v>
      </c>
      <c r="DT45">
        <v>0</v>
      </c>
      <c r="DU45">
        <v>9943.75</v>
      </c>
      <c r="DV45">
        <v>0</v>
      </c>
      <c r="DW45">
        <v>872.779</v>
      </c>
      <c r="DX45">
        <v>-77.804400000000001</v>
      </c>
      <c r="DY45">
        <v>1155.22</v>
      </c>
      <c r="DZ45">
        <v>1227.4100000000001</v>
      </c>
      <c r="EA45">
        <v>6.2491899999999996</v>
      </c>
      <c r="EB45">
        <v>1200.02</v>
      </c>
      <c r="EC45">
        <v>22.3187</v>
      </c>
      <c r="ED45">
        <v>2.8347099999999998</v>
      </c>
      <c r="EE45">
        <v>2.21462</v>
      </c>
      <c r="EF45">
        <v>23.087599999999998</v>
      </c>
      <c r="EG45">
        <v>19.0685</v>
      </c>
      <c r="EH45">
        <v>1799.85</v>
      </c>
      <c r="EI45">
        <v>0.97800200000000004</v>
      </c>
      <c r="EJ45">
        <v>2.1997599999999999E-2</v>
      </c>
      <c r="EK45">
        <v>0</v>
      </c>
      <c r="EL45">
        <v>772.49900000000002</v>
      </c>
      <c r="EM45">
        <v>4.9999900000000004</v>
      </c>
      <c r="EN45">
        <v>15620.6</v>
      </c>
      <c r="EO45">
        <v>15862.5</v>
      </c>
      <c r="EP45">
        <v>47.875</v>
      </c>
      <c r="EQ45">
        <v>49</v>
      </c>
      <c r="ER45">
        <v>48.311999999999998</v>
      </c>
      <c r="ES45">
        <v>48.75</v>
      </c>
      <c r="ET45">
        <v>49.686999999999998</v>
      </c>
      <c r="EU45">
        <v>1755.37</v>
      </c>
      <c r="EV45">
        <v>39.479999999999997</v>
      </c>
      <c r="EW45">
        <v>0</v>
      </c>
      <c r="EX45">
        <v>116.3999998569489</v>
      </c>
      <c r="EY45">
        <v>0</v>
      </c>
      <c r="EZ45">
        <v>772.7112800000001</v>
      </c>
      <c r="FA45">
        <v>1.5923077490567102E-2</v>
      </c>
      <c r="FB45">
        <v>-15742.500027119489</v>
      </c>
      <c r="FC45">
        <v>17780.232</v>
      </c>
      <c r="FD45">
        <v>15</v>
      </c>
      <c r="FE45">
        <v>1689004385</v>
      </c>
      <c r="FF45" t="s">
        <v>569</v>
      </c>
      <c r="FG45">
        <v>1689004385</v>
      </c>
      <c r="FH45">
        <v>1689004384</v>
      </c>
      <c r="FI45">
        <v>32</v>
      </c>
      <c r="FJ45">
        <v>0.16600000000000001</v>
      </c>
      <c r="FK45">
        <v>-3.0000000000000001E-3</v>
      </c>
      <c r="FL45">
        <v>4.0000000000000001E-3</v>
      </c>
      <c r="FM45">
        <v>0.16500000000000001</v>
      </c>
      <c r="FN45">
        <v>1200</v>
      </c>
      <c r="FO45">
        <v>22</v>
      </c>
      <c r="FP45">
        <v>0.04</v>
      </c>
      <c r="FQ45">
        <v>0.02</v>
      </c>
      <c r="FR45">
        <v>58.876691632104958</v>
      </c>
      <c r="FS45">
        <v>-0.68642763052886613</v>
      </c>
      <c r="FT45">
        <v>8.9380474447475947E-2</v>
      </c>
      <c r="FU45">
        <v>1</v>
      </c>
      <c r="FV45">
        <v>0.3863328436610266</v>
      </c>
      <c r="FW45">
        <v>1.4598381601057239E-2</v>
      </c>
      <c r="FX45">
        <v>1.2354949459106299E-3</v>
      </c>
      <c r="FY45">
        <v>1</v>
      </c>
      <c r="FZ45">
        <v>2</v>
      </c>
      <c r="GA45">
        <v>2</v>
      </c>
      <c r="GB45" t="s">
        <v>423</v>
      </c>
      <c r="GC45">
        <v>2.9593400000000001</v>
      </c>
      <c r="GD45">
        <v>2.7435299999999998</v>
      </c>
      <c r="GE45">
        <v>0.18179300000000001</v>
      </c>
      <c r="GF45">
        <v>0.189135</v>
      </c>
      <c r="GG45">
        <v>0.130801</v>
      </c>
      <c r="GH45">
        <v>0.109651</v>
      </c>
      <c r="GI45">
        <v>19244.400000000001</v>
      </c>
      <c r="GJ45">
        <v>17761</v>
      </c>
      <c r="GK45">
        <v>23448.3</v>
      </c>
      <c r="GL45">
        <v>21949.200000000001</v>
      </c>
      <c r="GM45">
        <v>28741.8</v>
      </c>
      <c r="GN45">
        <v>27265.8</v>
      </c>
      <c r="GO45">
        <v>36999.199999999997</v>
      </c>
      <c r="GP45">
        <v>34145</v>
      </c>
      <c r="GQ45">
        <v>2.0083299999999999</v>
      </c>
      <c r="GR45">
        <v>1.8554999999999999</v>
      </c>
      <c r="GS45">
        <v>4.0233100000000001E-2</v>
      </c>
      <c r="GT45">
        <v>0</v>
      </c>
      <c r="GU45">
        <v>29.368300000000001</v>
      </c>
      <c r="GV45">
        <v>999.9</v>
      </c>
      <c r="GW45">
        <v>32.6</v>
      </c>
      <c r="GX45">
        <v>42.6</v>
      </c>
      <c r="GY45">
        <v>27.9499</v>
      </c>
      <c r="GZ45">
        <v>60.623899999999999</v>
      </c>
      <c r="HA45">
        <v>39.387</v>
      </c>
      <c r="HB45">
        <v>1</v>
      </c>
      <c r="HC45">
        <v>0.41780200000000001</v>
      </c>
      <c r="HD45">
        <v>2.9808300000000001</v>
      </c>
      <c r="HE45">
        <v>20.086099999999998</v>
      </c>
      <c r="HF45">
        <v>5.2646100000000002</v>
      </c>
      <c r="HG45">
        <v>11.962</v>
      </c>
      <c r="HH45">
        <v>4.9797500000000001</v>
      </c>
      <c r="HI45">
        <v>3.2979799999999999</v>
      </c>
      <c r="HJ45">
        <v>9999</v>
      </c>
      <c r="HK45">
        <v>9999</v>
      </c>
      <c r="HL45">
        <v>9999</v>
      </c>
      <c r="HM45">
        <v>999.9</v>
      </c>
      <c r="HN45">
        <v>1.86415</v>
      </c>
      <c r="HO45">
        <v>1.86012</v>
      </c>
      <c r="HP45">
        <v>1.86676</v>
      </c>
      <c r="HQ45">
        <v>1.8633999999999999</v>
      </c>
      <c r="HR45">
        <v>1.8620300000000001</v>
      </c>
      <c r="HS45">
        <v>1.86206</v>
      </c>
      <c r="HT45">
        <v>1.8633900000000001</v>
      </c>
      <c r="HU45">
        <v>1.8646199999999999</v>
      </c>
      <c r="HV45">
        <v>0</v>
      </c>
      <c r="HW45">
        <v>0</v>
      </c>
      <c r="HX45">
        <v>0</v>
      </c>
      <c r="HY45">
        <v>0</v>
      </c>
      <c r="HZ45" t="s">
        <v>424</v>
      </c>
      <c r="IA45" t="s">
        <v>425</v>
      </c>
      <c r="IB45" t="s">
        <v>426</v>
      </c>
      <c r="IC45" t="s">
        <v>426</v>
      </c>
      <c r="ID45" t="s">
        <v>426</v>
      </c>
      <c r="IE45" t="s">
        <v>426</v>
      </c>
      <c r="IF45">
        <v>0</v>
      </c>
      <c r="IG45">
        <v>100</v>
      </c>
      <c r="IH45">
        <v>100</v>
      </c>
      <c r="II45">
        <v>-0.02</v>
      </c>
      <c r="IJ45">
        <v>0.1651</v>
      </c>
      <c r="IK45">
        <v>-0.14594986127987461</v>
      </c>
      <c r="IL45">
        <v>-8.3322953065825546E-5</v>
      </c>
      <c r="IM45">
        <v>2.3872336679552741E-7</v>
      </c>
      <c r="IN45">
        <v>-5.428329794194132E-11</v>
      </c>
      <c r="IO45">
        <v>0.165185000000001</v>
      </c>
      <c r="IP45">
        <v>0</v>
      </c>
      <c r="IQ45">
        <v>0</v>
      </c>
      <c r="IR45">
        <v>0</v>
      </c>
      <c r="IS45">
        <v>2</v>
      </c>
      <c r="IT45">
        <v>2035</v>
      </c>
      <c r="IU45">
        <v>1</v>
      </c>
      <c r="IV45">
        <v>21</v>
      </c>
      <c r="IW45">
        <v>0.7</v>
      </c>
      <c r="IX45">
        <v>0.7</v>
      </c>
      <c r="IY45">
        <v>2.6281699999999999</v>
      </c>
      <c r="IZ45">
        <v>2.6965300000000001</v>
      </c>
      <c r="JA45">
        <v>1.4526399999999999</v>
      </c>
      <c r="JB45">
        <v>2.2778299999999998</v>
      </c>
      <c r="JC45">
        <v>1.5942400000000001</v>
      </c>
      <c r="JD45">
        <v>2.3095699999999999</v>
      </c>
      <c r="JE45">
        <v>46.0657</v>
      </c>
      <c r="JF45">
        <v>24.105</v>
      </c>
      <c r="JG45">
        <v>18</v>
      </c>
      <c r="JH45">
        <v>509.10899999999998</v>
      </c>
      <c r="JI45">
        <v>447.81</v>
      </c>
      <c r="JJ45">
        <v>27.1845</v>
      </c>
      <c r="JK45">
        <v>32.4</v>
      </c>
      <c r="JL45">
        <v>30.000699999999998</v>
      </c>
      <c r="JM45">
        <v>32.400799999999997</v>
      </c>
      <c r="JN45">
        <v>32.4129</v>
      </c>
      <c r="JO45">
        <v>52.529499999999999</v>
      </c>
      <c r="JP45">
        <v>19.659700000000001</v>
      </c>
      <c r="JQ45">
        <v>9.77346</v>
      </c>
      <c r="JR45">
        <v>27.1569</v>
      </c>
      <c r="JS45">
        <v>1200</v>
      </c>
      <c r="JT45">
        <v>22.3688</v>
      </c>
      <c r="JU45">
        <v>99.167100000000005</v>
      </c>
      <c r="JV45">
        <v>98.501400000000004</v>
      </c>
    </row>
    <row r="46" spans="1:282" x14ac:dyDescent="0.25">
      <c r="A46">
        <v>30</v>
      </c>
      <c r="B46">
        <v>1689004548</v>
      </c>
      <c r="C46">
        <v>5207.4000000953674</v>
      </c>
      <c r="D46" t="s">
        <v>570</v>
      </c>
      <c r="E46" t="s">
        <v>571</v>
      </c>
      <c r="F46" t="s">
        <v>414</v>
      </c>
      <c r="G46" t="s">
        <v>415</v>
      </c>
      <c r="H46" t="s">
        <v>500</v>
      </c>
      <c r="I46" t="s">
        <v>501</v>
      </c>
      <c r="J46" t="s">
        <v>416</v>
      </c>
      <c r="K46">
        <v>1689004548</v>
      </c>
      <c r="L46">
        <f t="shared" si="0"/>
        <v>5.0375662679031296E-3</v>
      </c>
      <c r="M46">
        <f t="shared" si="1"/>
        <v>5.0375662679031299</v>
      </c>
      <c r="N46">
        <f t="shared" si="2"/>
        <v>59.735286288493938</v>
      </c>
      <c r="O46">
        <f t="shared" si="3"/>
        <v>1419.79</v>
      </c>
      <c r="P46">
        <f t="shared" si="4"/>
        <v>1107.97935864138</v>
      </c>
      <c r="Q46">
        <f t="shared" si="5"/>
        <v>110.05536355526117</v>
      </c>
      <c r="R46">
        <f t="shared" si="6"/>
        <v>141.02745092086099</v>
      </c>
      <c r="S46">
        <f t="shared" si="7"/>
        <v>0.35896980593329741</v>
      </c>
      <c r="T46">
        <f t="shared" si="8"/>
        <v>2.9153610217705324</v>
      </c>
      <c r="U46">
        <f t="shared" si="9"/>
        <v>0.33609803309471165</v>
      </c>
      <c r="V46">
        <f t="shared" si="10"/>
        <v>0.21199465427972342</v>
      </c>
      <c r="W46">
        <f t="shared" si="11"/>
        <v>289.54514401270029</v>
      </c>
      <c r="X46">
        <f t="shared" si="12"/>
        <v>30.800157966784884</v>
      </c>
      <c r="Y46">
        <f t="shared" si="13"/>
        <v>30.083500000000001</v>
      </c>
      <c r="Z46">
        <f t="shared" si="14"/>
        <v>4.2809263759768506</v>
      </c>
      <c r="AA46">
        <f t="shared" si="15"/>
        <v>65.267736160395202</v>
      </c>
      <c r="AB46">
        <f t="shared" si="16"/>
        <v>2.8455403950656599</v>
      </c>
      <c r="AC46">
        <f t="shared" si="17"/>
        <v>4.3597963748470692</v>
      </c>
      <c r="AD46">
        <f t="shared" si="18"/>
        <v>1.4353859809111906</v>
      </c>
      <c r="AE46">
        <f t="shared" si="19"/>
        <v>-222.156672414528</v>
      </c>
      <c r="AF46">
        <f t="shared" si="20"/>
        <v>50.043865180372713</v>
      </c>
      <c r="AG46">
        <f t="shared" si="21"/>
        <v>3.8259641338176236</v>
      </c>
      <c r="AH46">
        <f t="shared" si="22"/>
        <v>121.25830091236264</v>
      </c>
      <c r="AI46">
        <v>0</v>
      </c>
      <c r="AJ46">
        <v>0</v>
      </c>
      <c r="AK46">
        <f t="shared" si="23"/>
        <v>1</v>
      </c>
      <c r="AL46">
        <f t="shared" si="24"/>
        <v>0</v>
      </c>
      <c r="AM46">
        <f t="shared" si="25"/>
        <v>51863.348187682714</v>
      </c>
      <c r="AN46" t="s">
        <v>418</v>
      </c>
      <c r="AO46">
        <v>8197.4</v>
      </c>
      <c r="AP46">
        <v>619.92999999999995</v>
      </c>
      <c r="AQ46">
        <v>3131.443117258741</v>
      </c>
      <c r="AR46">
        <f t="shared" si="26"/>
        <v>0.80203057287443702</v>
      </c>
      <c r="AS46">
        <v>-1.0448500102641549</v>
      </c>
      <c r="AT46" t="s">
        <v>572</v>
      </c>
      <c r="AU46">
        <v>8184.58</v>
      </c>
      <c r="AV46">
        <v>771.64484615384617</v>
      </c>
      <c r="AW46">
        <v>1257.129334786521</v>
      </c>
      <c r="AX46">
        <f t="shared" si="27"/>
        <v>0.38618499719849209</v>
      </c>
      <c r="AY46">
        <v>0.5</v>
      </c>
      <c r="AZ46">
        <f t="shared" si="28"/>
        <v>1513.0752000065804</v>
      </c>
      <c r="BA46">
        <f t="shared" si="29"/>
        <v>59.735286288493938</v>
      </c>
      <c r="BB46">
        <f t="shared" si="30"/>
        <v>292.16347093782457</v>
      </c>
      <c r="BC46">
        <f t="shared" si="31"/>
        <v>4.0169937553991869E-2</v>
      </c>
      <c r="BD46">
        <f t="shared" si="32"/>
        <v>1.4909474551323758</v>
      </c>
      <c r="BE46">
        <f t="shared" si="33"/>
        <v>478.65054217635253</v>
      </c>
      <c r="BF46" t="s">
        <v>573</v>
      </c>
      <c r="BG46">
        <v>604.71</v>
      </c>
      <c r="BH46">
        <f t="shared" si="34"/>
        <v>604.71</v>
      </c>
      <c r="BI46">
        <f t="shared" si="35"/>
        <v>0.51897550771680256</v>
      </c>
      <c r="BJ46">
        <f t="shared" si="36"/>
        <v>0.74412952337093274</v>
      </c>
      <c r="BK46">
        <f t="shared" si="37"/>
        <v>0.74179333372005185</v>
      </c>
      <c r="BL46">
        <f t="shared" si="38"/>
        <v>0.76190363380609183</v>
      </c>
      <c r="BM46">
        <f t="shared" si="39"/>
        <v>0.74628866940499616</v>
      </c>
      <c r="BN46">
        <f t="shared" si="40"/>
        <v>0.58314724231038506</v>
      </c>
      <c r="BO46">
        <f t="shared" si="41"/>
        <v>0.41685275768961494</v>
      </c>
      <c r="BP46">
        <v>13628</v>
      </c>
      <c r="BQ46">
        <v>290.00000000000011</v>
      </c>
      <c r="BR46">
        <v>1095.3800000000001</v>
      </c>
      <c r="BS46">
        <v>285</v>
      </c>
      <c r="BT46">
        <v>8184.58</v>
      </c>
      <c r="BU46">
        <v>1098.75</v>
      </c>
      <c r="BV46">
        <v>-3.37</v>
      </c>
      <c r="BW46">
        <v>300.00000000000011</v>
      </c>
      <c r="BX46">
        <v>19.3</v>
      </c>
      <c r="BY46">
        <v>1257.129334786521</v>
      </c>
      <c r="BZ46">
        <v>5.1692624054621978</v>
      </c>
      <c r="CA46">
        <v>-129.62810708731041</v>
      </c>
      <c r="CB46">
        <v>3.8853724476955929</v>
      </c>
      <c r="CC46">
        <v>0.97546221060404836</v>
      </c>
      <c r="CD46">
        <v>-4.2385270300333714E-3</v>
      </c>
      <c r="CE46">
        <v>289.99999999999989</v>
      </c>
      <c r="CF46">
        <v>1091.01</v>
      </c>
      <c r="CG46">
        <v>635</v>
      </c>
      <c r="CH46">
        <v>8174.84</v>
      </c>
      <c r="CI46">
        <v>1098.56</v>
      </c>
      <c r="CJ46">
        <v>-7.55</v>
      </c>
      <c r="CX46">
        <f t="shared" si="42"/>
        <v>1799.87</v>
      </c>
      <c r="CY46">
        <f t="shared" si="43"/>
        <v>1513.0752000065804</v>
      </c>
      <c r="CZ46">
        <f t="shared" si="44"/>
        <v>0.84065804752931073</v>
      </c>
      <c r="DA46">
        <f t="shared" si="45"/>
        <v>0.16087003173156966</v>
      </c>
      <c r="DB46">
        <v>6</v>
      </c>
      <c r="DC46">
        <v>0.5</v>
      </c>
      <c r="DD46" t="s">
        <v>421</v>
      </c>
      <c r="DE46">
        <v>2</v>
      </c>
      <c r="DF46">
        <v>1689004548</v>
      </c>
      <c r="DG46">
        <v>1419.79</v>
      </c>
      <c r="DH46">
        <v>1500.04</v>
      </c>
      <c r="DI46">
        <v>28.647400000000001</v>
      </c>
      <c r="DJ46">
        <v>22.776599999999998</v>
      </c>
      <c r="DK46">
        <v>1419.69</v>
      </c>
      <c r="DL46">
        <v>28.482099999999999</v>
      </c>
      <c r="DM46">
        <v>500.09399999999999</v>
      </c>
      <c r="DN46">
        <v>99.230599999999995</v>
      </c>
      <c r="DO46">
        <v>9.9195900000000004E-2</v>
      </c>
      <c r="DP46">
        <v>30.401900000000001</v>
      </c>
      <c r="DQ46">
        <v>30.083500000000001</v>
      </c>
      <c r="DR46">
        <v>999.9</v>
      </c>
      <c r="DS46">
        <v>0</v>
      </c>
      <c r="DT46">
        <v>0</v>
      </c>
      <c r="DU46">
        <v>9996.25</v>
      </c>
      <c r="DV46">
        <v>0</v>
      </c>
      <c r="DW46">
        <v>1080.05</v>
      </c>
      <c r="DX46">
        <v>-80.244900000000001</v>
      </c>
      <c r="DY46">
        <v>1461.66</v>
      </c>
      <c r="DZ46">
        <v>1535</v>
      </c>
      <c r="EA46">
        <v>5.8707900000000004</v>
      </c>
      <c r="EB46">
        <v>1500.04</v>
      </c>
      <c r="EC46">
        <v>22.776599999999998</v>
      </c>
      <c r="ED46">
        <v>2.8426999999999998</v>
      </c>
      <c r="EE46">
        <v>2.2601399999999998</v>
      </c>
      <c r="EF46">
        <v>23.1341</v>
      </c>
      <c r="EG46">
        <v>19.395099999999999</v>
      </c>
      <c r="EH46">
        <v>1799.87</v>
      </c>
      <c r="EI46">
        <v>0.97800200000000004</v>
      </c>
      <c r="EJ46">
        <v>2.1997599999999999E-2</v>
      </c>
      <c r="EK46">
        <v>0</v>
      </c>
      <c r="EL46">
        <v>771.46699999999998</v>
      </c>
      <c r="EM46">
        <v>4.9999900000000004</v>
      </c>
      <c r="EN46">
        <v>16044.6</v>
      </c>
      <c r="EO46">
        <v>15862.7</v>
      </c>
      <c r="EP46">
        <v>47.875</v>
      </c>
      <c r="EQ46">
        <v>48.811999999999998</v>
      </c>
      <c r="ER46">
        <v>48.311999999999998</v>
      </c>
      <c r="ES46">
        <v>48.561999999999998</v>
      </c>
      <c r="ET46">
        <v>49.625</v>
      </c>
      <c r="EU46">
        <v>1755.39</v>
      </c>
      <c r="EV46">
        <v>39.479999999999997</v>
      </c>
      <c r="EW46">
        <v>0</v>
      </c>
      <c r="EX46">
        <v>120.2000000476837</v>
      </c>
      <c r="EY46">
        <v>0</v>
      </c>
      <c r="EZ46">
        <v>771.64484615384617</v>
      </c>
      <c r="FA46">
        <v>-0.1124786347592919</v>
      </c>
      <c r="FB46">
        <v>-14166.341884981261</v>
      </c>
      <c r="FC46">
        <v>18606.926923076921</v>
      </c>
      <c r="FD46">
        <v>15</v>
      </c>
      <c r="FE46">
        <v>1689004514.5</v>
      </c>
      <c r="FF46" t="s">
        <v>574</v>
      </c>
      <c r="FG46">
        <v>1689004514.5</v>
      </c>
      <c r="FH46">
        <v>1689004502.5</v>
      </c>
      <c r="FI46">
        <v>33</v>
      </c>
      <c r="FJ46">
        <v>3.5999999999999997E-2</v>
      </c>
      <c r="FK46">
        <v>0</v>
      </c>
      <c r="FL46">
        <v>0.12</v>
      </c>
      <c r="FM46">
        <v>0.16500000000000001</v>
      </c>
      <c r="FN46">
        <v>1500</v>
      </c>
      <c r="FO46">
        <v>22</v>
      </c>
      <c r="FP46">
        <v>0.06</v>
      </c>
      <c r="FQ46">
        <v>0.02</v>
      </c>
      <c r="FR46">
        <v>59.820838239351971</v>
      </c>
      <c r="FS46">
        <v>-0.55283137436230434</v>
      </c>
      <c r="FT46">
        <v>8.721238353247468E-2</v>
      </c>
      <c r="FU46">
        <v>1</v>
      </c>
      <c r="FV46">
        <v>0.3553605269125954</v>
      </c>
      <c r="FW46">
        <v>4.5349888868771573E-2</v>
      </c>
      <c r="FX46">
        <v>3.3052168732541991E-3</v>
      </c>
      <c r="FY46">
        <v>1</v>
      </c>
      <c r="FZ46">
        <v>2</v>
      </c>
      <c r="GA46">
        <v>2</v>
      </c>
      <c r="GB46" t="s">
        <v>423</v>
      </c>
      <c r="GC46">
        <v>2.9594200000000002</v>
      </c>
      <c r="GD46">
        <v>2.7423899999999999</v>
      </c>
      <c r="GE46">
        <v>0.209782</v>
      </c>
      <c r="GF46">
        <v>0.21634800000000001</v>
      </c>
      <c r="GG46">
        <v>0.131052</v>
      </c>
      <c r="GH46">
        <v>0.11121</v>
      </c>
      <c r="GI46">
        <v>18584.099999999999</v>
      </c>
      <c r="GJ46">
        <v>17163.7</v>
      </c>
      <c r="GK46">
        <v>23446.7</v>
      </c>
      <c r="GL46">
        <v>21948.6</v>
      </c>
      <c r="GM46">
        <v>28734.400000000001</v>
      </c>
      <c r="GN46">
        <v>27218.1</v>
      </c>
      <c r="GO46">
        <v>36998.1</v>
      </c>
      <c r="GP46">
        <v>34143.800000000003</v>
      </c>
      <c r="GQ46">
        <v>2.0082499999999999</v>
      </c>
      <c r="GR46">
        <v>1.85615</v>
      </c>
      <c r="GS46">
        <v>5.8889400000000001E-2</v>
      </c>
      <c r="GT46">
        <v>0</v>
      </c>
      <c r="GU46">
        <v>29.124500000000001</v>
      </c>
      <c r="GV46">
        <v>999.9</v>
      </c>
      <c r="GW46">
        <v>32.5</v>
      </c>
      <c r="GX46">
        <v>42.6</v>
      </c>
      <c r="GY46">
        <v>27.864999999999998</v>
      </c>
      <c r="GZ46">
        <v>60.183900000000001</v>
      </c>
      <c r="HA46">
        <v>39.663499999999999</v>
      </c>
      <c r="HB46">
        <v>1</v>
      </c>
      <c r="HC46">
        <v>0.41946600000000001</v>
      </c>
      <c r="HD46">
        <v>2.67483</v>
      </c>
      <c r="HE46">
        <v>20.091000000000001</v>
      </c>
      <c r="HF46">
        <v>5.2604199999999999</v>
      </c>
      <c r="HG46">
        <v>11.962199999999999</v>
      </c>
      <c r="HH46">
        <v>4.9794999999999998</v>
      </c>
      <c r="HI46">
        <v>3.2973300000000001</v>
      </c>
      <c r="HJ46">
        <v>9999</v>
      </c>
      <c r="HK46">
        <v>9999</v>
      </c>
      <c r="HL46">
        <v>9999</v>
      </c>
      <c r="HM46">
        <v>999.9</v>
      </c>
      <c r="HN46">
        <v>1.86415</v>
      </c>
      <c r="HO46">
        <v>1.8601300000000001</v>
      </c>
      <c r="HP46">
        <v>1.8667499999999999</v>
      </c>
      <c r="HQ46">
        <v>1.8633999999999999</v>
      </c>
      <c r="HR46">
        <v>1.86205</v>
      </c>
      <c r="HS46">
        <v>1.8620699999999999</v>
      </c>
      <c r="HT46">
        <v>1.86338</v>
      </c>
      <c r="HU46">
        <v>1.8646199999999999</v>
      </c>
      <c r="HV46">
        <v>0</v>
      </c>
      <c r="HW46">
        <v>0</v>
      </c>
      <c r="HX46">
        <v>0</v>
      </c>
      <c r="HY46">
        <v>0</v>
      </c>
      <c r="HZ46" t="s">
        <v>424</v>
      </c>
      <c r="IA46" t="s">
        <v>425</v>
      </c>
      <c r="IB46" t="s">
        <v>426</v>
      </c>
      <c r="IC46" t="s">
        <v>426</v>
      </c>
      <c r="ID46" t="s">
        <v>426</v>
      </c>
      <c r="IE46" t="s">
        <v>426</v>
      </c>
      <c r="IF46">
        <v>0</v>
      </c>
      <c r="IG46">
        <v>100</v>
      </c>
      <c r="IH46">
        <v>100</v>
      </c>
      <c r="II46">
        <v>0.1</v>
      </c>
      <c r="IJ46">
        <v>0.1653</v>
      </c>
      <c r="IK46">
        <v>-0.1089159667463972</v>
      </c>
      <c r="IL46">
        <v>-8.3322953065825546E-5</v>
      </c>
      <c r="IM46">
        <v>2.3872336679552741E-7</v>
      </c>
      <c r="IN46">
        <v>-5.428329794194132E-11</v>
      </c>
      <c r="IO46">
        <v>0.16527999999999571</v>
      </c>
      <c r="IP46">
        <v>0</v>
      </c>
      <c r="IQ46">
        <v>0</v>
      </c>
      <c r="IR46">
        <v>0</v>
      </c>
      <c r="IS46">
        <v>2</v>
      </c>
      <c r="IT46">
        <v>2035</v>
      </c>
      <c r="IU46">
        <v>1</v>
      </c>
      <c r="IV46">
        <v>21</v>
      </c>
      <c r="IW46">
        <v>0.6</v>
      </c>
      <c r="IX46">
        <v>0.8</v>
      </c>
      <c r="IY46">
        <v>3.14453</v>
      </c>
      <c r="IZ46">
        <v>2.6855500000000001</v>
      </c>
      <c r="JA46">
        <v>1.4514199999999999</v>
      </c>
      <c r="JB46">
        <v>2.2778299999999998</v>
      </c>
      <c r="JC46">
        <v>1.5942400000000001</v>
      </c>
      <c r="JD46">
        <v>2.3938000000000001</v>
      </c>
      <c r="JE46">
        <v>46.036700000000003</v>
      </c>
      <c r="JF46">
        <v>24.122499999999999</v>
      </c>
      <c r="JG46">
        <v>18</v>
      </c>
      <c r="JH46">
        <v>509.23399999999998</v>
      </c>
      <c r="JI46">
        <v>448.37799999999999</v>
      </c>
      <c r="JJ46">
        <v>27.521999999999998</v>
      </c>
      <c r="JK46">
        <v>32.3996</v>
      </c>
      <c r="JL46">
        <v>30.000599999999999</v>
      </c>
      <c r="JM46">
        <v>32.4208</v>
      </c>
      <c r="JN46">
        <v>32.4268</v>
      </c>
      <c r="JO46">
        <v>62.860199999999999</v>
      </c>
      <c r="JP46">
        <v>17.460599999999999</v>
      </c>
      <c r="JQ46">
        <v>9.6313099999999991</v>
      </c>
      <c r="JR46">
        <v>27.4267</v>
      </c>
      <c r="JS46">
        <v>1500</v>
      </c>
      <c r="JT46">
        <v>22.659300000000002</v>
      </c>
      <c r="JU46">
        <v>99.162700000000001</v>
      </c>
      <c r="JV46">
        <v>98.498199999999997</v>
      </c>
    </row>
    <row r="47" spans="1:282" x14ac:dyDescent="0.25">
      <c r="A47">
        <v>31</v>
      </c>
      <c r="B47">
        <v>1689005394.0999999</v>
      </c>
      <c r="C47">
        <v>6053.5</v>
      </c>
      <c r="D47" t="s">
        <v>575</v>
      </c>
      <c r="E47" t="s">
        <v>576</v>
      </c>
      <c r="F47" t="s">
        <v>414</v>
      </c>
      <c r="G47" t="s">
        <v>415</v>
      </c>
      <c r="H47" t="s">
        <v>577</v>
      </c>
      <c r="I47" t="s">
        <v>578</v>
      </c>
      <c r="J47" t="s">
        <v>416</v>
      </c>
      <c r="K47">
        <v>1689005394.0999999</v>
      </c>
      <c r="L47">
        <f t="shared" si="0"/>
        <v>4.810994985782609E-3</v>
      </c>
      <c r="M47">
        <f t="shared" si="1"/>
        <v>4.8109949857826093</v>
      </c>
      <c r="N47">
        <f t="shared" si="2"/>
        <v>47.64186373909866</v>
      </c>
      <c r="O47">
        <f t="shared" si="3"/>
        <v>340.91699999999997</v>
      </c>
      <c r="P47">
        <f t="shared" si="4"/>
        <v>91.513989938512424</v>
      </c>
      <c r="Q47">
        <f t="shared" si="5"/>
        <v>9.0889096999298147</v>
      </c>
      <c r="R47">
        <f t="shared" si="6"/>
        <v>33.858908678912101</v>
      </c>
      <c r="S47">
        <f t="shared" si="7"/>
        <v>0.32900873922831714</v>
      </c>
      <c r="T47">
        <f t="shared" si="8"/>
        <v>2.9152438198865331</v>
      </c>
      <c r="U47">
        <f t="shared" si="9"/>
        <v>0.309684592015668</v>
      </c>
      <c r="V47">
        <f t="shared" si="10"/>
        <v>0.19519441801942261</v>
      </c>
      <c r="W47">
        <f t="shared" si="11"/>
        <v>289.59361571418918</v>
      </c>
      <c r="X47">
        <f t="shared" si="12"/>
        <v>30.598395854479278</v>
      </c>
      <c r="Y47">
        <f t="shared" si="13"/>
        <v>30.094799999999999</v>
      </c>
      <c r="Z47">
        <f t="shared" si="14"/>
        <v>4.2837040390966532</v>
      </c>
      <c r="AA47">
        <f t="shared" si="15"/>
        <v>65.093972675178364</v>
      </c>
      <c r="AB47">
        <f t="shared" si="16"/>
        <v>2.7957880223111298</v>
      </c>
      <c r="AC47">
        <f t="shared" si="17"/>
        <v>4.2950029125772193</v>
      </c>
      <c r="AD47">
        <f t="shared" si="18"/>
        <v>1.4879160167855234</v>
      </c>
      <c r="AE47">
        <f t="shared" si="19"/>
        <v>-212.16487887301307</v>
      </c>
      <c r="AF47">
        <f t="shared" si="20"/>
        <v>7.2139480791334138</v>
      </c>
      <c r="AG47">
        <f t="shared" si="21"/>
        <v>0.55086279955144946</v>
      </c>
      <c r="AH47">
        <f t="shared" si="22"/>
        <v>85.193547719860987</v>
      </c>
      <c r="AI47">
        <v>0</v>
      </c>
      <c r="AJ47">
        <v>0</v>
      </c>
      <c r="AK47">
        <f t="shared" si="23"/>
        <v>1</v>
      </c>
      <c r="AL47">
        <f t="shared" si="24"/>
        <v>0</v>
      </c>
      <c r="AM47">
        <f t="shared" si="25"/>
        <v>51904.425562213866</v>
      </c>
      <c r="AN47" t="s">
        <v>418</v>
      </c>
      <c r="AO47">
        <v>8197.4</v>
      </c>
      <c r="AP47">
        <v>619.92999999999995</v>
      </c>
      <c r="AQ47">
        <v>3131.443117258741</v>
      </c>
      <c r="AR47">
        <f t="shared" si="26"/>
        <v>0.80203057287443702</v>
      </c>
      <c r="AS47">
        <v>-1.0448500102641549</v>
      </c>
      <c r="AT47" t="s">
        <v>579</v>
      </c>
      <c r="AU47">
        <v>8186.25</v>
      </c>
      <c r="AV47">
        <v>756.11626923076926</v>
      </c>
      <c r="AW47">
        <v>1120.1009543038961</v>
      </c>
      <c r="AX47">
        <f t="shared" si="27"/>
        <v>0.32495703505522922</v>
      </c>
      <c r="AY47">
        <v>0.5</v>
      </c>
      <c r="AZ47">
        <f t="shared" si="28"/>
        <v>1513.3275065876626</v>
      </c>
      <c r="BA47">
        <f t="shared" si="29"/>
        <v>47.64186373909866</v>
      </c>
      <c r="BB47">
        <f t="shared" si="30"/>
        <v>245.88320980412485</v>
      </c>
      <c r="BC47">
        <f t="shared" si="31"/>
        <v>3.2171961150130948E-2</v>
      </c>
      <c r="BD47">
        <f t="shared" si="32"/>
        <v>1.79567935838857</v>
      </c>
      <c r="BE47">
        <f t="shared" si="33"/>
        <v>457.34765774033366</v>
      </c>
      <c r="BF47" t="s">
        <v>580</v>
      </c>
      <c r="BG47">
        <v>593.79</v>
      </c>
      <c r="BH47">
        <f t="shared" si="34"/>
        <v>593.79</v>
      </c>
      <c r="BI47">
        <f t="shared" si="35"/>
        <v>0.46987814114575066</v>
      </c>
      <c r="BJ47">
        <f t="shared" si="36"/>
        <v>0.69157725503649536</v>
      </c>
      <c r="BK47">
        <f t="shared" si="37"/>
        <v>0.79259933096276181</v>
      </c>
      <c r="BL47">
        <f t="shared" si="38"/>
        <v>0.72772055622401322</v>
      </c>
      <c r="BM47">
        <f t="shared" si="39"/>
        <v>0.80084875891477669</v>
      </c>
      <c r="BN47">
        <f t="shared" si="40"/>
        <v>0.54310649694906676</v>
      </c>
      <c r="BO47">
        <f t="shared" si="41"/>
        <v>0.45689350305093324</v>
      </c>
      <c r="BP47">
        <v>13630</v>
      </c>
      <c r="BQ47">
        <v>290.00000000000011</v>
      </c>
      <c r="BR47">
        <v>1002.36</v>
      </c>
      <c r="BS47">
        <v>295</v>
      </c>
      <c r="BT47">
        <v>8186.25</v>
      </c>
      <c r="BU47">
        <v>1004.91</v>
      </c>
      <c r="BV47">
        <v>-2.5499999999999998</v>
      </c>
      <c r="BW47">
        <v>300.00000000000011</v>
      </c>
      <c r="BX47">
        <v>19.3</v>
      </c>
      <c r="BY47">
        <v>1120.1009543038961</v>
      </c>
      <c r="BZ47">
        <v>4.2559039515433659</v>
      </c>
      <c r="CA47">
        <v>-94.297831152902518</v>
      </c>
      <c r="CB47">
        <v>3.199622705452573</v>
      </c>
      <c r="CC47">
        <v>0.96876994005768124</v>
      </c>
      <c r="CD47">
        <v>-4.2382442714126861E-3</v>
      </c>
      <c r="CE47">
        <v>289.99999999999989</v>
      </c>
      <c r="CF47">
        <v>1001.03</v>
      </c>
      <c r="CG47">
        <v>645</v>
      </c>
      <c r="CH47">
        <v>8176.63</v>
      </c>
      <c r="CI47">
        <v>1004.77</v>
      </c>
      <c r="CJ47">
        <v>-3.74</v>
      </c>
      <c r="CX47">
        <f t="shared" si="42"/>
        <v>1800.17</v>
      </c>
      <c r="CY47">
        <f t="shared" si="43"/>
        <v>1513.3275065876626</v>
      </c>
      <c r="CZ47">
        <f t="shared" si="44"/>
        <v>0.84065810817181852</v>
      </c>
      <c r="DA47">
        <f t="shared" si="45"/>
        <v>0.16087014877160999</v>
      </c>
      <c r="DB47">
        <v>6</v>
      </c>
      <c r="DC47">
        <v>0.5</v>
      </c>
      <c r="DD47" t="s">
        <v>421</v>
      </c>
      <c r="DE47">
        <v>2</v>
      </c>
      <c r="DF47">
        <v>1689005394.0999999</v>
      </c>
      <c r="DG47">
        <v>340.91699999999997</v>
      </c>
      <c r="DH47">
        <v>400.04300000000001</v>
      </c>
      <c r="DI47">
        <v>28.150099999999998</v>
      </c>
      <c r="DJ47">
        <v>22.540600000000001</v>
      </c>
      <c r="DK47">
        <v>341.33600000000001</v>
      </c>
      <c r="DL47">
        <v>27.982199999999999</v>
      </c>
      <c r="DM47">
        <v>500.10500000000002</v>
      </c>
      <c r="DN47">
        <v>99.217699999999994</v>
      </c>
      <c r="DO47">
        <v>9.9461300000000002E-2</v>
      </c>
      <c r="DP47">
        <v>30.140699999999999</v>
      </c>
      <c r="DQ47">
        <v>30.094799999999999</v>
      </c>
      <c r="DR47">
        <v>999.9</v>
      </c>
      <c r="DS47">
        <v>0</v>
      </c>
      <c r="DT47">
        <v>0</v>
      </c>
      <c r="DU47">
        <v>9996.8799999999992</v>
      </c>
      <c r="DV47">
        <v>0</v>
      </c>
      <c r="DW47">
        <v>1847.7</v>
      </c>
      <c r="DX47">
        <v>-59.126100000000001</v>
      </c>
      <c r="DY47">
        <v>350.79199999999997</v>
      </c>
      <c r="DZ47">
        <v>409.26799999999997</v>
      </c>
      <c r="EA47">
        <v>5.6095199999999998</v>
      </c>
      <c r="EB47">
        <v>400.04300000000001</v>
      </c>
      <c r="EC47">
        <v>22.540600000000001</v>
      </c>
      <c r="ED47">
        <v>2.7929900000000001</v>
      </c>
      <c r="EE47">
        <v>2.2364299999999999</v>
      </c>
      <c r="EF47">
        <v>22.842700000000001</v>
      </c>
      <c r="EG47">
        <v>19.2257</v>
      </c>
      <c r="EH47">
        <v>1800.17</v>
      </c>
      <c r="EI47">
        <v>0.97799899999999995</v>
      </c>
      <c r="EJ47">
        <v>2.2000700000000002E-2</v>
      </c>
      <c r="EK47">
        <v>0</v>
      </c>
      <c r="EL47">
        <v>756.08799999999997</v>
      </c>
      <c r="EM47">
        <v>4.9999900000000004</v>
      </c>
      <c r="EN47">
        <v>19331.099999999999</v>
      </c>
      <c r="EO47">
        <v>15865.3</v>
      </c>
      <c r="EP47">
        <v>46.875</v>
      </c>
      <c r="EQ47">
        <v>47.686999999999998</v>
      </c>
      <c r="ER47">
        <v>47.25</v>
      </c>
      <c r="ES47">
        <v>47.686999999999998</v>
      </c>
      <c r="ET47">
        <v>48.686999999999998</v>
      </c>
      <c r="EU47">
        <v>1755.67</v>
      </c>
      <c r="EV47">
        <v>39.49</v>
      </c>
      <c r="EW47">
        <v>0</v>
      </c>
      <c r="EX47">
        <v>844.20000004768372</v>
      </c>
      <c r="EY47">
        <v>0</v>
      </c>
      <c r="EZ47">
        <v>756.11626923076926</v>
      </c>
      <c r="FA47">
        <v>0.73398290054556692</v>
      </c>
      <c r="FB47">
        <v>263.00512861201992</v>
      </c>
      <c r="FC47">
        <v>19321.265384615381</v>
      </c>
      <c r="FD47">
        <v>15</v>
      </c>
      <c r="FE47">
        <v>1689005360.5999999</v>
      </c>
      <c r="FF47" t="s">
        <v>581</v>
      </c>
      <c r="FG47">
        <v>1689005357.5999999</v>
      </c>
      <c r="FH47">
        <v>1689005360.5999999</v>
      </c>
      <c r="FI47">
        <v>35</v>
      </c>
      <c r="FJ47">
        <v>8.8999999999999996E-2</v>
      </c>
      <c r="FK47">
        <v>-9.4E-2</v>
      </c>
      <c r="FL47">
        <v>-0.41399999999999998</v>
      </c>
      <c r="FM47">
        <v>0.16800000000000001</v>
      </c>
      <c r="FN47">
        <v>400</v>
      </c>
      <c r="FO47">
        <v>22</v>
      </c>
      <c r="FP47">
        <v>0.03</v>
      </c>
      <c r="FQ47">
        <v>0.02</v>
      </c>
      <c r="FR47">
        <v>47.659805226260467</v>
      </c>
      <c r="FS47">
        <v>-0.37799239000281482</v>
      </c>
      <c r="FT47">
        <v>5.1727479137071951E-2</v>
      </c>
      <c r="FU47">
        <v>1</v>
      </c>
      <c r="FV47">
        <v>0.33128710083435281</v>
      </c>
      <c r="FW47">
        <v>-7.4400774424191872E-4</v>
      </c>
      <c r="FX47">
        <v>1.6041109567001811E-3</v>
      </c>
      <c r="FY47">
        <v>1</v>
      </c>
      <c r="FZ47">
        <v>2</v>
      </c>
      <c r="GA47">
        <v>2</v>
      </c>
      <c r="GB47" t="s">
        <v>423</v>
      </c>
      <c r="GC47">
        <v>2.95987</v>
      </c>
      <c r="GD47">
        <v>2.7426599999999999</v>
      </c>
      <c r="GE47">
        <v>7.8843099999999999E-2</v>
      </c>
      <c r="GF47">
        <v>8.9129700000000006E-2</v>
      </c>
      <c r="GG47">
        <v>0.12953600000000001</v>
      </c>
      <c r="GH47">
        <v>0.110473</v>
      </c>
      <c r="GI47">
        <v>21685.9</v>
      </c>
      <c r="GJ47">
        <v>19976.2</v>
      </c>
      <c r="GK47">
        <v>23468.2</v>
      </c>
      <c r="GL47">
        <v>21974.1</v>
      </c>
      <c r="GM47">
        <v>28801.9</v>
      </c>
      <c r="GN47">
        <v>27259.5</v>
      </c>
      <c r="GO47">
        <v>37033</v>
      </c>
      <c r="GP47">
        <v>34177.5</v>
      </c>
      <c r="GQ47">
        <v>2.0077500000000001</v>
      </c>
      <c r="GR47">
        <v>1.85805</v>
      </c>
      <c r="GS47">
        <v>7.0400500000000005E-2</v>
      </c>
      <c r="GT47">
        <v>0</v>
      </c>
      <c r="GU47">
        <v>28.9482</v>
      </c>
      <c r="GV47">
        <v>999.9</v>
      </c>
      <c r="GW47">
        <v>33.200000000000003</v>
      </c>
      <c r="GX47">
        <v>42.5</v>
      </c>
      <c r="GY47">
        <v>28.3187</v>
      </c>
      <c r="GZ47">
        <v>59.971299999999999</v>
      </c>
      <c r="HA47">
        <v>39.715499999999999</v>
      </c>
      <c r="HB47">
        <v>1</v>
      </c>
      <c r="HC47">
        <v>0.388791</v>
      </c>
      <c r="HD47">
        <v>2.4820600000000002</v>
      </c>
      <c r="HE47">
        <v>20.095199999999998</v>
      </c>
      <c r="HF47">
        <v>5.25997</v>
      </c>
      <c r="HG47">
        <v>11.962</v>
      </c>
      <c r="HH47">
        <v>4.9792500000000004</v>
      </c>
      <c r="HI47">
        <v>3.29718</v>
      </c>
      <c r="HJ47">
        <v>9999</v>
      </c>
      <c r="HK47">
        <v>9999</v>
      </c>
      <c r="HL47">
        <v>9999</v>
      </c>
      <c r="HM47">
        <v>999.9</v>
      </c>
      <c r="HN47">
        <v>1.86402</v>
      </c>
      <c r="HO47">
        <v>1.86005</v>
      </c>
      <c r="HP47">
        <v>1.8666199999999999</v>
      </c>
      <c r="HQ47">
        <v>1.86328</v>
      </c>
      <c r="HR47">
        <v>1.8619699999999999</v>
      </c>
      <c r="HS47">
        <v>1.8620300000000001</v>
      </c>
      <c r="HT47">
        <v>1.8632500000000001</v>
      </c>
      <c r="HU47">
        <v>1.8645099999999999</v>
      </c>
      <c r="HV47">
        <v>0</v>
      </c>
      <c r="HW47">
        <v>0</v>
      </c>
      <c r="HX47">
        <v>0</v>
      </c>
      <c r="HY47">
        <v>0</v>
      </c>
      <c r="HZ47" t="s">
        <v>424</v>
      </c>
      <c r="IA47" t="s">
        <v>425</v>
      </c>
      <c r="IB47" t="s">
        <v>426</v>
      </c>
      <c r="IC47" t="s">
        <v>426</v>
      </c>
      <c r="ID47" t="s">
        <v>426</v>
      </c>
      <c r="IE47" t="s">
        <v>426</v>
      </c>
      <c r="IF47">
        <v>0</v>
      </c>
      <c r="IG47">
        <v>100</v>
      </c>
      <c r="IH47">
        <v>100</v>
      </c>
      <c r="II47">
        <v>-0.41899999999999998</v>
      </c>
      <c r="IJ47">
        <v>0.16789999999999999</v>
      </c>
      <c r="IK47">
        <v>-0.41588225978672511</v>
      </c>
      <c r="IL47">
        <v>-8.3322953065825546E-5</v>
      </c>
      <c r="IM47">
        <v>2.3872336679552741E-7</v>
      </c>
      <c r="IN47">
        <v>-5.428329794194132E-11</v>
      </c>
      <c r="IO47">
        <v>0.16789999999999949</v>
      </c>
      <c r="IP47">
        <v>0</v>
      </c>
      <c r="IQ47">
        <v>0</v>
      </c>
      <c r="IR47">
        <v>0</v>
      </c>
      <c r="IS47">
        <v>2</v>
      </c>
      <c r="IT47">
        <v>2035</v>
      </c>
      <c r="IU47">
        <v>1</v>
      </c>
      <c r="IV47">
        <v>21</v>
      </c>
      <c r="IW47">
        <v>0.6</v>
      </c>
      <c r="IX47">
        <v>0.6</v>
      </c>
      <c r="IY47">
        <v>1.07544</v>
      </c>
      <c r="IZ47">
        <v>2.67578</v>
      </c>
      <c r="JA47">
        <v>1.4526399999999999</v>
      </c>
      <c r="JB47">
        <v>2.2790499999999998</v>
      </c>
      <c r="JC47">
        <v>1.5942400000000001</v>
      </c>
      <c r="JD47">
        <v>2.3083499999999999</v>
      </c>
      <c r="JE47">
        <v>44.781500000000001</v>
      </c>
      <c r="JF47">
        <v>24.14</v>
      </c>
      <c r="JG47">
        <v>18</v>
      </c>
      <c r="JH47">
        <v>506.137</v>
      </c>
      <c r="JI47">
        <v>447.12599999999998</v>
      </c>
      <c r="JJ47">
        <v>27.492599999999999</v>
      </c>
      <c r="JK47">
        <v>32.055100000000003</v>
      </c>
      <c r="JL47">
        <v>30.000399999999999</v>
      </c>
      <c r="JM47">
        <v>32.102899999999998</v>
      </c>
      <c r="JN47">
        <v>32.113799999999998</v>
      </c>
      <c r="JO47">
        <v>21.476099999999999</v>
      </c>
      <c r="JP47">
        <v>21.625900000000001</v>
      </c>
      <c r="JQ47">
        <v>4.7455499999999997</v>
      </c>
      <c r="JR47">
        <v>27.410799999999998</v>
      </c>
      <c r="JS47">
        <v>400</v>
      </c>
      <c r="JT47">
        <v>22.485900000000001</v>
      </c>
      <c r="JU47">
        <v>99.255200000000002</v>
      </c>
      <c r="JV47">
        <v>98.6023</v>
      </c>
    </row>
    <row r="48" spans="1:282" x14ac:dyDescent="0.25">
      <c r="A48">
        <v>32</v>
      </c>
      <c r="B48">
        <v>1689005503.5999999</v>
      </c>
      <c r="C48">
        <v>6163</v>
      </c>
      <c r="D48" t="s">
        <v>582</v>
      </c>
      <c r="E48" t="s">
        <v>583</v>
      </c>
      <c r="F48" t="s">
        <v>414</v>
      </c>
      <c r="G48" t="s">
        <v>415</v>
      </c>
      <c r="H48" t="s">
        <v>577</v>
      </c>
      <c r="I48" t="s">
        <v>578</v>
      </c>
      <c r="J48" t="s">
        <v>416</v>
      </c>
      <c r="K48">
        <v>1689005503.5999999</v>
      </c>
      <c r="L48">
        <f t="shared" si="0"/>
        <v>5.0135396168574644E-3</v>
      </c>
      <c r="M48">
        <f t="shared" si="1"/>
        <v>5.0135396168574644</v>
      </c>
      <c r="N48">
        <f t="shared" si="2"/>
        <v>37.622605078183966</v>
      </c>
      <c r="O48">
        <f t="shared" si="3"/>
        <v>253.40600000000001</v>
      </c>
      <c r="P48">
        <f t="shared" si="4"/>
        <v>65.646764317192648</v>
      </c>
      <c r="Q48">
        <f t="shared" si="5"/>
        <v>6.5195664239047995</v>
      </c>
      <c r="R48">
        <f t="shared" si="6"/>
        <v>25.166468848843799</v>
      </c>
      <c r="S48">
        <f t="shared" si="7"/>
        <v>0.34582860166382945</v>
      </c>
      <c r="T48">
        <f t="shared" si="8"/>
        <v>2.9130844917536018</v>
      </c>
      <c r="U48">
        <f t="shared" si="9"/>
        <v>0.32453197859701305</v>
      </c>
      <c r="V48">
        <f t="shared" si="10"/>
        <v>0.2046365217420209</v>
      </c>
      <c r="W48">
        <f t="shared" si="11"/>
        <v>289.57125901270234</v>
      </c>
      <c r="X48">
        <f t="shared" si="12"/>
        <v>30.388987013650421</v>
      </c>
      <c r="Y48">
        <f t="shared" si="13"/>
        <v>30.040800000000001</v>
      </c>
      <c r="Z48">
        <f t="shared" si="14"/>
        <v>4.2704444173917366</v>
      </c>
      <c r="AA48">
        <f t="shared" si="15"/>
        <v>65.564262381780054</v>
      </c>
      <c r="AB48">
        <f t="shared" si="16"/>
        <v>2.7907503158323799</v>
      </c>
      <c r="AC48">
        <f t="shared" si="17"/>
        <v>4.2565114201725756</v>
      </c>
      <c r="AD48">
        <f t="shared" si="18"/>
        <v>1.4796941015593568</v>
      </c>
      <c r="AE48">
        <f t="shared" si="19"/>
        <v>-221.09709710341417</v>
      </c>
      <c r="AF48">
        <f t="shared" si="20"/>
        <v>-8.9361570126953858</v>
      </c>
      <c r="AG48">
        <f t="shared" si="21"/>
        <v>-0.68216574917148098</v>
      </c>
      <c r="AH48">
        <f t="shared" si="22"/>
        <v>58.855839147421307</v>
      </c>
      <c r="AI48">
        <v>0</v>
      </c>
      <c r="AJ48">
        <v>0</v>
      </c>
      <c r="AK48">
        <f t="shared" si="23"/>
        <v>1</v>
      </c>
      <c r="AL48">
        <f t="shared" si="24"/>
        <v>0</v>
      </c>
      <c r="AM48">
        <f t="shared" si="25"/>
        <v>51869.728329363534</v>
      </c>
      <c r="AN48" t="s">
        <v>418</v>
      </c>
      <c r="AO48">
        <v>8197.4</v>
      </c>
      <c r="AP48">
        <v>619.92999999999995</v>
      </c>
      <c r="AQ48">
        <v>3131.443117258741</v>
      </c>
      <c r="AR48">
        <f t="shared" si="26"/>
        <v>0.80203057287443702</v>
      </c>
      <c r="AS48">
        <v>-1.0448500102641549</v>
      </c>
      <c r="AT48" t="s">
        <v>584</v>
      </c>
      <c r="AU48">
        <v>8185.22</v>
      </c>
      <c r="AV48">
        <v>731.09065384615383</v>
      </c>
      <c r="AW48">
        <v>1014.798786193283</v>
      </c>
      <c r="AX48">
        <f t="shared" si="27"/>
        <v>0.27957082350421036</v>
      </c>
      <c r="AY48">
        <v>0.5</v>
      </c>
      <c r="AZ48">
        <f t="shared" si="28"/>
        <v>1513.2099000065816</v>
      </c>
      <c r="BA48">
        <f t="shared" si="29"/>
        <v>37.622605078183966</v>
      </c>
      <c r="BB48">
        <f t="shared" si="30"/>
        <v>211.52466893978192</v>
      </c>
      <c r="BC48">
        <f t="shared" si="31"/>
        <v>2.5553265999832504E-2</v>
      </c>
      <c r="BD48">
        <f t="shared" si="32"/>
        <v>2.0857773578991181</v>
      </c>
      <c r="BE48">
        <f t="shared" si="33"/>
        <v>438.75798684747713</v>
      </c>
      <c r="BF48" t="s">
        <v>585</v>
      </c>
      <c r="BG48">
        <v>586.54999999999995</v>
      </c>
      <c r="BH48">
        <f t="shared" si="34"/>
        <v>586.54999999999995</v>
      </c>
      <c r="BI48">
        <f t="shared" si="35"/>
        <v>0.42200364448575223</v>
      </c>
      <c r="BJ48">
        <f t="shared" si="36"/>
        <v>0.66248438172824664</v>
      </c>
      <c r="BK48">
        <f t="shared" si="37"/>
        <v>0.83172228991110808</v>
      </c>
      <c r="BL48">
        <f t="shared" si="38"/>
        <v>0.71848710829287432</v>
      </c>
      <c r="BM48">
        <f t="shared" si="39"/>
        <v>0.84277653838245792</v>
      </c>
      <c r="BN48">
        <f t="shared" si="40"/>
        <v>0.5315075662073413</v>
      </c>
      <c r="BO48">
        <f t="shared" si="41"/>
        <v>0.4684924337926587</v>
      </c>
      <c r="BP48">
        <v>13632</v>
      </c>
      <c r="BQ48">
        <v>290.00000000000011</v>
      </c>
      <c r="BR48">
        <v>925.11</v>
      </c>
      <c r="BS48">
        <v>295</v>
      </c>
      <c r="BT48">
        <v>8185.22</v>
      </c>
      <c r="BU48">
        <v>927.35</v>
      </c>
      <c r="BV48">
        <v>-2.2400000000000002</v>
      </c>
      <c r="BW48">
        <v>300.00000000000011</v>
      </c>
      <c r="BX48">
        <v>19.3</v>
      </c>
      <c r="BY48">
        <v>1014.798786193283</v>
      </c>
      <c r="BZ48">
        <v>3.1869486647088241</v>
      </c>
      <c r="CA48">
        <v>-71.580138724399703</v>
      </c>
      <c r="CB48">
        <v>2.39566611398133</v>
      </c>
      <c r="CC48">
        <v>0.96959018688560661</v>
      </c>
      <c r="CD48">
        <v>-4.2378453837597337E-3</v>
      </c>
      <c r="CE48">
        <v>289.99999999999989</v>
      </c>
      <c r="CF48">
        <v>924.25</v>
      </c>
      <c r="CG48">
        <v>645</v>
      </c>
      <c r="CH48">
        <v>8175.54</v>
      </c>
      <c r="CI48">
        <v>927.24</v>
      </c>
      <c r="CJ48">
        <v>-2.99</v>
      </c>
      <c r="CX48">
        <f t="shared" si="42"/>
        <v>1800.03</v>
      </c>
      <c r="CY48">
        <f t="shared" si="43"/>
        <v>1513.2099000065816</v>
      </c>
      <c r="CZ48">
        <f t="shared" si="44"/>
        <v>0.84065815570106139</v>
      </c>
      <c r="DA48">
        <f t="shared" si="45"/>
        <v>0.16087024050304849</v>
      </c>
      <c r="DB48">
        <v>6</v>
      </c>
      <c r="DC48">
        <v>0.5</v>
      </c>
      <c r="DD48" t="s">
        <v>421</v>
      </c>
      <c r="DE48">
        <v>2</v>
      </c>
      <c r="DF48">
        <v>1689005503.5999999</v>
      </c>
      <c r="DG48">
        <v>253.40600000000001</v>
      </c>
      <c r="DH48">
        <v>300.06900000000002</v>
      </c>
      <c r="DI48">
        <v>28.1006</v>
      </c>
      <c r="DJ48">
        <v>22.2545</v>
      </c>
      <c r="DK48">
        <v>253.84100000000001</v>
      </c>
      <c r="DL48">
        <v>27.932500000000001</v>
      </c>
      <c r="DM48">
        <v>500.09300000000002</v>
      </c>
      <c r="DN48">
        <v>99.213200000000001</v>
      </c>
      <c r="DO48">
        <v>9.9637299999999998E-2</v>
      </c>
      <c r="DP48">
        <v>29.983899999999998</v>
      </c>
      <c r="DQ48">
        <v>30.040800000000001</v>
      </c>
      <c r="DR48">
        <v>999.9</v>
      </c>
      <c r="DS48">
        <v>0</v>
      </c>
      <c r="DT48">
        <v>0</v>
      </c>
      <c r="DU48">
        <v>9985</v>
      </c>
      <c r="DV48">
        <v>0</v>
      </c>
      <c r="DW48">
        <v>1848.46</v>
      </c>
      <c r="DX48">
        <v>-46.663200000000003</v>
      </c>
      <c r="DY48">
        <v>260.73200000000003</v>
      </c>
      <c r="DZ48">
        <v>306.899</v>
      </c>
      <c r="EA48">
        <v>5.8460900000000002</v>
      </c>
      <c r="EB48">
        <v>300.06900000000002</v>
      </c>
      <c r="EC48">
        <v>22.2545</v>
      </c>
      <c r="ED48">
        <v>2.7879499999999999</v>
      </c>
      <c r="EE48">
        <v>2.2079399999999998</v>
      </c>
      <c r="EF48">
        <v>22.812899999999999</v>
      </c>
      <c r="EG48">
        <v>19.020099999999999</v>
      </c>
      <c r="EH48">
        <v>1800.03</v>
      </c>
      <c r="EI48">
        <v>0.97799899999999995</v>
      </c>
      <c r="EJ48">
        <v>2.2000700000000002E-2</v>
      </c>
      <c r="EK48">
        <v>0</v>
      </c>
      <c r="EL48">
        <v>730.649</v>
      </c>
      <c r="EM48">
        <v>4.9999900000000004</v>
      </c>
      <c r="EN48">
        <v>18830.5</v>
      </c>
      <c r="EO48">
        <v>15864</v>
      </c>
      <c r="EP48">
        <v>47</v>
      </c>
      <c r="EQ48">
        <v>47.936999999999998</v>
      </c>
      <c r="ER48">
        <v>47.375</v>
      </c>
      <c r="ES48">
        <v>47.936999999999998</v>
      </c>
      <c r="ET48">
        <v>48.811999999999998</v>
      </c>
      <c r="EU48">
        <v>1755.54</v>
      </c>
      <c r="EV48">
        <v>39.49</v>
      </c>
      <c r="EW48">
        <v>0</v>
      </c>
      <c r="EX48">
        <v>107.6000001430511</v>
      </c>
      <c r="EY48">
        <v>0</v>
      </c>
      <c r="EZ48">
        <v>731.09065384615383</v>
      </c>
      <c r="FA48">
        <v>-4.103623932800244</v>
      </c>
      <c r="FB48">
        <v>18.63247874304265</v>
      </c>
      <c r="FC48">
        <v>18821.676923076921</v>
      </c>
      <c r="FD48">
        <v>15</v>
      </c>
      <c r="FE48">
        <v>1689005473.0999999</v>
      </c>
      <c r="FF48" t="s">
        <v>586</v>
      </c>
      <c r="FG48">
        <v>1689005471.5999999</v>
      </c>
      <c r="FH48">
        <v>1689005473.0999999</v>
      </c>
      <c r="FI48">
        <v>36</v>
      </c>
      <c r="FJ48">
        <v>-1.2999999999999999E-2</v>
      </c>
      <c r="FK48">
        <v>0</v>
      </c>
      <c r="FL48">
        <v>-0.434</v>
      </c>
      <c r="FM48">
        <v>0.16800000000000001</v>
      </c>
      <c r="FN48">
        <v>300</v>
      </c>
      <c r="FO48">
        <v>22</v>
      </c>
      <c r="FP48">
        <v>0.05</v>
      </c>
      <c r="FQ48">
        <v>0.02</v>
      </c>
      <c r="FR48">
        <v>37.63200735811678</v>
      </c>
      <c r="FS48">
        <v>-0.64256463433648003</v>
      </c>
      <c r="FT48">
        <v>6.8144602754596675E-2</v>
      </c>
      <c r="FU48">
        <v>1</v>
      </c>
      <c r="FV48">
        <v>0.34704029758707078</v>
      </c>
      <c r="FW48">
        <v>3.1874615984586997E-2</v>
      </c>
      <c r="FX48">
        <v>3.403759443100889E-3</v>
      </c>
      <c r="FY48">
        <v>1</v>
      </c>
      <c r="FZ48">
        <v>2</v>
      </c>
      <c r="GA48">
        <v>2</v>
      </c>
      <c r="GB48" t="s">
        <v>423</v>
      </c>
      <c r="GC48">
        <v>2.9597799999999999</v>
      </c>
      <c r="GD48">
        <v>2.74274</v>
      </c>
      <c r="GE48">
        <v>6.1911099999999997E-2</v>
      </c>
      <c r="GF48">
        <v>7.10176E-2</v>
      </c>
      <c r="GG48">
        <v>0.129362</v>
      </c>
      <c r="GH48">
        <v>0.109483</v>
      </c>
      <c r="GI48">
        <v>22080.2</v>
      </c>
      <c r="GJ48">
        <v>20368.2</v>
      </c>
      <c r="GK48">
        <v>23464.1</v>
      </c>
      <c r="GL48">
        <v>21968.799999999999</v>
      </c>
      <c r="GM48">
        <v>28801.1</v>
      </c>
      <c r="GN48">
        <v>27283.200000000001</v>
      </c>
      <c r="GO48">
        <v>37025.4</v>
      </c>
      <c r="GP48">
        <v>34169.800000000003</v>
      </c>
      <c r="GQ48">
        <v>2.0069499999999998</v>
      </c>
      <c r="GR48">
        <v>1.8561300000000001</v>
      </c>
      <c r="GS48">
        <v>4.8454900000000002E-2</v>
      </c>
      <c r="GT48">
        <v>0</v>
      </c>
      <c r="GU48">
        <v>29.251799999999999</v>
      </c>
      <c r="GV48">
        <v>999.9</v>
      </c>
      <c r="GW48">
        <v>33.299999999999997</v>
      </c>
      <c r="GX48">
        <v>42.6</v>
      </c>
      <c r="GY48">
        <v>28.555</v>
      </c>
      <c r="GZ48">
        <v>60.531300000000002</v>
      </c>
      <c r="HA48">
        <v>39.679499999999997</v>
      </c>
      <c r="HB48">
        <v>1</v>
      </c>
      <c r="HC48">
        <v>0.39559699999999998</v>
      </c>
      <c r="HD48">
        <v>2.5327299999999999</v>
      </c>
      <c r="HE48">
        <v>20.095800000000001</v>
      </c>
      <c r="HF48">
        <v>5.26431</v>
      </c>
      <c r="HG48">
        <v>11.962</v>
      </c>
      <c r="HH48">
        <v>4.9798499999999999</v>
      </c>
      <c r="HI48">
        <v>3.2979799999999999</v>
      </c>
      <c r="HJ48">
        <v>9999</v>
      </c>
      <c r="HK48">
        <v>9999</v>
      </c>
      <c r="HL48">
        <v>9999</v>
      </c>
      <c r="HM48">
        <v>999.9</v>
      </c>
      <c r="HN48">
        <v>1.8640399999999999</v>
      </c>
      <c r="HO48">
        <v>1.86005</v>
      </c>
      <c r="HP48">
        <v>1.8666199999999999</v>
      </c>
      <c r="HQ48">
        <v>1.8633299999999999</v>
      </c>
      <c r="HR48">
        <v>1.86202</v>
      </c>
      <c r="HS48">
        <v>1.8620300000000001</v>
      </c>
      <c r="HT48">
        <v>1.86328</v>
      </c>
      <c r="HU48">
        <v>1.86459</v>
      </c>
      <c r="HV48">
        <v>0</v>
      </c>
      <c r="HW48">
        <v>0</v>
      </c>
      <c r="HX48">
        <v>0</v>
      </c>
      <c r="HY48">
        <v>0</v>
      </c>
      <c r="HZ48" t="s">
        <v>424</v>
      </c>
      <c r="IA48" t="s">
        <v>425</v>
      </c>
      <c r="IB48" t="s">
        <v>426</v>
      </c>
      <c r="IC48" t="s">
        <v>426</v>
      </c>
      <c r="ID48" t="s">
        <v>426</v>
      </c>
      <c r="IE48" t="s">
        <v>426</v>
      </c>
      <c r="IF48">
        <v>0</v>
      </c>
      <c r="IG48">
        <v>100</v>
      </c>
      <c r="IH48">
        <v>100</v>
      </c>
      <c r="II48">
        <v>-0.435</v>
      </c>
      <c r="IJ48">
        <v>0.1681</v>
      </c>
      <c r="IK48">
        <v>-0.42908915665374731</v>
      </c>
      <c r="IL48">
        <v>-8.3322953065825546E-5</v>
      </c>
      <c r="IM48">
        <v>2.3872336679552741E-7</v>
      </c>
      <c r="IN48">
        <v>-5.428329794194132E-11</v>
      </c>
      <c r="IO48">
        <v>0.16810000000000261</v>
      </c>
      <c r="IP48">
        <v>0</v>
      </c>
      <c r="IQ48">
        <v>0</v>
      </c>
      <c r="IR48">
        <v>0</v>
      </c>
      <c r="IS48">
        <v>2</v>
      </c>
      <c r="IT48">
        <v>2035</v>
      </c>
      <c r="IU48">
        <v>1</v>
      </c>
      <c r="IV48">
        <v>21</v>
      </c>
      <c r="IW48">
        <v>0.5</v>
      </c>
      <c r="IX48">
        <v>0.5</v>
      </c>
      <c r="IY48">
        <v>0.853271</v>
      </c>
      <c r="IZ48">
        <v>2.6831100000000001</v>
      </c>
      <c r="JA48">
        <v>1.4526399999999999</v>
      </c>
      <c r="JB48">
        <v>2.2790499999999998</v>
      </c>
      <c r="JC48">
        <v>1.5942400000000001</v>
      </c>
      <c r="JD48">
        <v>2.2546400000000002</v>
      </c>
      <c r="JE48">
        <v>44.865900000000003</v>
      </c>
      <c r="JF48">
        <v>24.148800000000001</v>
      </c>
      <c r="JG48">
        <v>18</v>
      </c>
      <c r="JH48">
        <v>505.88499999999999</v>
      </c>
      <c r="JI48">
        <v>446.07299999999998</v>
      </c>
      <c r="JJ48">
        <v>27.131399999999999</v>
      </c>
      <c r="JK48">
        <v>32.104799999999997</v>
      </c>
      <c r="JL48">
        <v>30.000800000000002</v>
      </c>
      <c r="JM48">
        <v>32.133600000000001</v>
      </c>
      <c r="JN48">
        <v>32.148699999999998</v>
      </c>
      <c r="JO48">
        <v>17.0471</v>
      </c>
      <c r="JP48">
        <v>23.784300000000002</v>
      </c>
      <c r="JQ48">
        <v>4.0621</v>
      </c>
      <c r="JR48">
        <v>27.105399999999999</v>
      </c>
      <c r="JS48">
        <v>300</v>
      </c>
      <c r="JT48">
        <v>22.136800000000001</v>
      </c>
      <c r="JU48">
        <v>99.236099999999993</v>
      </c>
      <c r="JV48">
        <v>98.579400000000007</v>
      </c>
    </row>
    <row r="49" spans="1:282" x14ac:dyDescent="0.25">
      <c r="A49">
        <v>33</v>
      </c>
      <c r="B49">
        <v>1689005665.0999999</v>
      </c>
      <c r="C49">
        <v>6324.5</v>
      </c>
      <c r="D49" t="s">
        <v>587</v>
      </c>
      <c r="E49" t="s">
        <v>588</v>
      </c>
      <c r="F49" t="s">
        <v>414</v>
      </c>
      <c r="G49" t="s">
        <v>415</v>
      </c>
      <c r="H49" t="s">
        <v>577</v>
      </c>
      <c r="I49" t="s">
        <v>578</v>
      </c>
      <c r="J49" t="s">
        <v>416</v>
      </c>
      <c r="K49">
        <v>1689005665.0999999</v>
      </c>
      <c r="L49">
        <f t="shared" ref="L49:L80" si="46">(M49)/1000</f>
        <v>5.4818715189179816E-3</v>
      </c>
      <c r="M49">
        <f t="shared" ref="M49:M80" si="47">1000*DM49*AK49*(DI49-DJ49)/(100*DB49*(1000-AK49*DI49))</f>
        <v>5.4818715189179814</v>
      </c>
      <c r="N49">
        <f t="shared" ref="N49:N80" si="48">DM49*AK49*(DH49-DG49*(1000-AK49*DJ49)/(1000-AK49*DI49))/(100*DB49)</f>
        <v>26.654454359254412</v>
      </c>
      <c r="O49">
        <f t="shared" ref="O49:O80" si="49">DG49 - IF(AK49&gt;1, N49*DB49*100/(AM49*DU49), 0)</f>
        <v>167.059</v>
      </c>
      <c r="P49">
        <f t="shared" ref="P49:P80" si="50">((V49-L49/2)*O49-N49)/(V49+L49/2)</f>
        <v>44.670148265788121</v>
      </c>
      <c r="Q49">
        <f t="shared" ref="Q49:Q80" si="51">P49*(DN49+DO49)/1000</f>
        <v>4.4366352349881621</v>
      </c>
      <c r="R49">
        <f t="shared" ref="R49:R80" si="52">(DG49 - IF(AK49&gt;1, N49*DB49*100/(AM49*DU49), 0))*(DN49+DO49)/1000</f>
        <v>16.592285329161101</v>
      </c>
      <c r="S49">
        <f t="shared" ref="S49:S80" si="53">2/((1/U49-1/T49)+SIGN(U49)*SQRT((1/U49-1/T49)*(1/U49-1/T49) + 4*DC49/((DC49+1)*(DC49+1))*(2*1/U49*1/T49-1/T49*1/T49)))</f>
        <v>0.37789810996631673</v>
      </c>
      <c r="T49">
        <f t="shared" ref="T49:T80" si="54">IF(LEFT(DD49,1)&lt;&gt;"0",IF(LEFT(DD49,1)="1",3,DE49),$D$5+$E$5*(DU49*DN49/($K$5*1000))+$F$5*(DU49*DN49/($K$5*1000))*MAX(MIN(DB49,$J$5),$I$5)*MAX(MIN(DB49,$J$5),$I$5)+$G$5*MAX(MIN(DB49,$J$5),$I$5)*(DU49*DN49/($K$5*1000))+$H$5*(DU49*DN49/($K$5*1000))*(DU49*DN49/($K$5*1000)))</f>
        <v>2.9147435724863819</v>
      </c>
      <c r="U49">
        <f t="shared" ref="U49:U80" si="55">L49*(1000-(1000*0.61365*EXP(17.502*Y49/(240.97+Y49))/(DN49+DO49)+DI49)/2)/(1000*0.61365*EXP(17.502*Y49/(240.97+Y49))/(DN49+DO49)-DI49)</f>
        <v>0.35263674634058612</v>
      </c>
      <c r="V49">
        <f t="shared" ref="V49:V80" si="56">1/((DC49+1)/(S49/1.6)+1/(T49/1.37)) + DC49/((DC49+1)/(S49/1.6) + DC49/(T49/1.37))</f>
        <v>0.22252672500107173</v>
      </c>
      <c r="W49">
        <f t="shared" ref="W49:W80" si="57">(CX49*DA49)</f>
        <v>289.53774301270386</v>
      </c>
      <c r="X49">
        <f t="shared" ref="X49:X80" si="58">(DP49+(W49+2*0.95*0.0000000567*(((DP49+$B$7)+273)^4-(DP49+273)^4)-44100*L49)/(1.84*29.3*T49+8*0.95*0.0000000567*(DP49+273)^3))</f>
        <v>30.177173040335219</v>
      </c>
      <c r="Y49">
        <f t="shared" ref="Y49:Y80" si="59">($C$7*DQ49+$D$7*DR49+$E$7*X49)</f>
        <v>30.0045</v>
      </c>
      <c r="Z49">
        <f t="shared" ref="Z49:Z80" si="60">0.61365*EXP(17.502*Y49/(240.97+Y49))</f>
        <v>4.2615511218062672</v>
      </c>
      <c r="AA49">
        <f t="shared" ref="AA49:AA80" si="61">(AB49/AC49*100)</f>
        <v>65.464874756355613</v>
      </c>
      <c r="AB49">
        <f t="shared" ref="AB49:AB80" si="62">DI49*(DN49+DO49)/1000</f>
        <v>2.77225713682996</v>
      </c>
      <c r="AC49">
        <f t="shared" ref="AC49:AC80" si="63">0.61365*EXP(17.502*DP49/(240.97+DP49))</f>
        <v>4.2347245712263692</v>
      </c>
      <c r="AD49">
        <f t="shared" ref="AD49:AD80" si="64">(Z49-DI49*(DN49+DO49)/1000)</f>
        <v>1.4892939849763072</v>
      </c>
      <c r="AE49">
        <f t="shared" ref="AE49:AE80" si="65">(-L49*44100)</f>
        <v>-241.75053398428298</v>
      </c>
      <c r="AF49">
        <f t="shared" ref="AF49:AF80" si="66">2*29.3*T49*0.92*(DP49-Y49)</f>
        <v>-17.2696481372394</v>
      </c>
      <c r="AG49">
        <f t="shared" ref="AG49:AG80" si="67">2*0.95*0.0000000567*(((DP49+$B$7)+273)^4-(Y49+273)^4)</f>
        <v>-1.3167559609594814</v>
      </c>
      <c r="AH49">
        <f t="shared" ref="AH49:AH80" si="68">W49+AG49+AE49+AF49</f>
        <v>29.200804930221992</v>
      </c>
      <c r="AI49">
        <v>0</v>
      </c>
      <c r="AJ49">
        <v>0</v>
      </c>
      <c r="AK49">
        <f t="shared" ref="AK49:AK80" si="69">IF(AI49*$H$13&gt;=AM49,1,(AM49/(AM49-AI49*$H$13)))</f>
        <v>1</v>
      </c>
      <c r="AL49">
        <f t="shared" ref="AL49:AL80" si="70">(AK49-1)*100</f>
        <v>0</v>
      </c>
      <c r="AM49">
        <f t="shared" ref="AM49:AM80" si="71">MAX(0,($B$13+$C$13*DU49)/(1+$D$13*DU49)*DN49/(DP49+273)*$E$13)</f>
        <v>51932.409255347979</v>
      </c>
      <c r="AN49" t="s">
        <v>418</v>
      </c>
      <c r="AO49">
        <v>8197.4</v>
      </c>
      <c r="AP49">
        <v>619.92999999999995</v>
      </c>
      <c r="AQ49">
        <v>3131.443117258741</v>
      </c>
      <c r="AR49">
        <f t="shared" ref="AR49:AR80" si="72">1-AP49/AQ49</f>
        <v>0.80203057287443702</v>
      </c>
      <c r="AS49">
        <v>-1.0448500102641549</v>
      </c>
      <c r="AT49" t="s">
        <v>589</v>
      </c>
      <c r="AU49">
        <v>8183.53</v>
      </c>
      <c r="AV49">
        <v>721.32238461538464</v>
      </c>
      <c r="AW49">
        <v>909.41763719991218</v>
      </c>
      <c r="AX49">
        <f t="shared" ref="AX49:AX80" si="73">1-AV49/AW49</f>
        <v>0.20683044279157703</v>
      </c>
      <c r="AY49">
        <v>0.5</v>
      </c>
      <c r="AZ49">
        <f t="shared" ref="AZ49:AZ80" si="74">CY49</f>
        <v>1513.0335000065822</v>
      </c>
      <c r="BA49">
        <f t="shared" ref="BA49:BA80" si="75">N49</f>
        <v>26.654454359254412</v>
      </c>
      <c r="BB49">
        <f t="shared" ref="BB49:BB80" si="76">AX49*AY49*AZ49</f>
        <v>156.47069438242548</v>
      </c>
      <c r="BC49">
        <f t="shared" ref="BC49:BC80" si="77">(BA49-AS49)/AZ49</f>
        <v>1.8307132240890943E-2</v>
      </c>
      <c r="BD49">
        <f t="shared" ref="BD49:BD80" si="78">(AQ49-AW49)/AW49</f>
        <v>2.4433498858680851</v>
      </c>
      <c r="BE49">
        <f t="shared" ref="BE49:BE80" si="79">AP49/(AR49+AP49/AW49)</f>
        <v>417.82463856975971</v>
      </c>
      <c r="BF49" t="s">
        <v>590</v>
      </c>
      <c r="BG49">
        <v>583.11</v>
      </c>
      <c r="BH49">
        <f t="shared" ref="BH49:BH80" si="80">IF(BG49&lt;&gt;0, BG49, BE49)</f>
        <v>583.11</v>
      </c>
      <c r="BI49">
        <f t="shared" ref="BI49:BI80" si="81">1-BH49/AW49</f>
        <v>0.3588094444754889</v>
      </c>
      <c r="BJ49">
        <f t="shared" ref="BJ49:BJ80" si="82">(AW49-AV49)/(AW49-BH49)</f>
        <v>0.57643533629368016</v>
      </c>
      <c r="BK49">
        <f t="shared" ref="BK49:BK80" si="83">(AQ49-AW49)/(AQ49-BH49)</f>
        <v>0.87195251869154256</v>
      </c>
      <c r="BL49">
        <f t="shared" ref="BL49:BL80" si="84">(AW49-AV49)/(AW49-AP49)</f>
        <v>0.64975228097438276</v>
      </c>
      <c r="BM49">
        <f t="shared" ref="BM49:BM80" si="85">(AQ49-AW49)/(AQ49-AP49)</f>
        <v>0.88473576537960463</v>
      </c>
      <c r="BN49">
        <f t="shared" ref="BN49:BN80" si="86">(BJ49*BH49/AV49)</f>
        <v>0.46598471933660113</v>
      </c>
      <c r="BO49">
        <f t="shared" ref="BO49:BO80" si="87">(1-BN49)</f>
        <v>0.53401528066339887</v>
      </c>
      <c r="BP49">
        <v>13634</v>
      </c>
      <c r="BQ49">
        <v>290.00000000000011</v>
      </c>
      <c r="BR49">
        <v>855.13</v>
      </c>
      <c r="BS49">
        <v>285</v>
      </c>
      <c r="BT49">
        <v>8183.53</v>
      </c>
      <c r="BU49">
        <v>857.82</v>
      </c>
      <c r="BV49">
        <v>-2.69</v>
      </c>
      <c r="BW49">
        <v>300.00000000000011</v>
      </c>
      <c r="BX49">
        <v>19.3</v>
      </c>
      <c r="BY49">
        <v>909.41763719991218</v>
      </c>
      <c r="BZ49">
        <v>2.6666124743268589</v>
      </c>
      <c r="CA49">
        <v>-42.221736236269322</v>
      </c>
      <c r="CB49">
        <v>2.0041037963575121</v>
      </c>
      <c r="CC49">
        <v>0.94065853337112448</v>
      </c>
      <c r="CD49">
        <v>-4.2369726362625152E-3</v>
      </c>
      <c r="CE49">
        <v>289.99999999999989</v>
      </c>
      <c r="CF49">
        <v>855.97</v>
      </c>
      <c r="CG49">
        <v>625</v>
      </c>
      <c r="CH49">
        <v>8174.4</v>
      </c>
      <c r="CI49">
        <v>857.77</v>
      </c>
      <c r="CJ49">
        <v>-1.8</v>
      </c>
      <c r="CX49">
        <f t="shared" ref="CX49:CX80" si="88">$B$11*DV49+$C$11*DW49+$F$11*EH49*(1-EK49)</f>
        <v>1799.82</v>
      </c>
      <c r="CY49">
        <f t="shared" ref="CY49:CY80" si="89">CX49*CZ49</f>
        <v>1513.0335000065822</v>
      </c>
      <c r="CZ49">
        <f t="shared" ref="CZ49:CZ80" si="90">($B$11*$D$9+$C$11*$D$9+$F$11*((EU49+EM49)/MAX(EU49+EM49+EV49, 0.1)*$I$9+EV49/MAX(EU49+EM49+EV49, 0.1)*$J$9))/($B$11+$C$11+$F$11)</f>
        <v>0.84065823249357285</v>
      </c>
      <c r="DA49">
        <f t="shared" ref="DA49:DA80" si="91">($B$11*$K$9+$C$11*$K$9+$F$11*((EU49+EM49)/MAX(EU49+EM49+EV49, 0.1)*$P$9+EV49/MAX(EU49+EM49+EV49, 0.1)*$Q$9))/($B$11+$C$11+$F$11)</f>
        <v>0.16087038871259562</v>
      </c>
      <c r="DB49">
        <v>6</v>
      </c>
      <c r="DC49">
        <v>0.5</v>
      </c>
      <c r="DD49" t="s">
        <v>421</v>
      </c>
      <c r="DE49">
        <v>2</v>
      </c>
      <c r="DF49">
        <v>1689005665.0999999</v>
      </c>
      <c r="DG49">
        <v>167.059</v>
      </c>
      <c r="DH49">
        <v>200.13900000000001</v>
      </c>
      <c r="DI49">
        <v>27.912400000000002</v>
      </c>
      <c r="DJ49">
        <v>21.518599999999999</v>
      </c>
      <c r="DK49">
        <v>167.40600000000001</v>
      </c>
      <c r="DL49">
        <v>27.761800000000001</v>
      </c>
      <c r="DM49">
        <v>500.065</v>
      </c>
      <c r="DN49">
        <v>99.220399999999998</v>
      </c>
      <c r="DO49">
        <v>9.9512900000000001E-2</v>
      </c>
      <c r="DP49">
        <v>29.894600000000001</v>
      </c>
      <c r="DQ49">
        <v>30.0045</v>
      </c>
      <c r="DR49">
        <v>999.9</v>
      </c>
      <c r="DS49">
        <v>0</v>
      </c>
      <c r="DT49">
        <v>0</v>
      </c>
      <c r="DU49">
        <v>9993.75</v>
      </c>
      <c r="DV49">
        <v>0</v>
      </c>
      <c r="DW49">
        <v>1807.13</v>
      </c>
      <c r="DX49">
        <v>-33.080500000000001</v>
      </c>
      <c r="DY49">
        <v>171.85599999999999</v>
      </c>
      <c r="DZ49">
        <v>204.541</v>
      </c>
      <c r="EA49">
        <v>6.39384</v>
      </c>
      <c r="EB49">
        <v>200.13900000000001</v>
      </c>
      <c r="EC49">
        <v>21.518599999999999</v>
      </c>
      <c r="ED49">
        <v>2.7694800000000002</v>
      </c>
      <c r="EE49">
        <v>2.1350799999999999</v>
      </c>
      <c r="EF49">
        <v>22.703299999999999</v>
      </c>
      <c r="EG49">
        <v>18.4833</v>
      </c>
      <c r="EH49">
        <v>1799.82</v>
      </c>
      <c r="EI49">
        <v>0.97799899999999995</v>
      </c>
      <c r="EJ49">
        <v>2.2000700000000002E-2</v>
      </c>
      <c r="EK49">
        <v>0</v>
      </c>
      <c r="EL49">
        <v>720.827</v>
      </c>
      <c r="EM49">
        <v>4.9999900000000004</v>
      </c>
      <c r="EN49">
        <v>18554.3</v>
      </c>
      <c r="EO49">
        <v>15862.2</v>
      </c>
      <c r="EP49">
        <v>47.311999999999998</v>
      </c>
      <c r="EQ49">
        <v>48.5</v>
      </c>
      <c r="ER49">
        <v>47.686999999999998</v>
      </c>
      <c r="ES49">
        <v>48.561999999999998</v>
      </c>
      <c r="ET49">
        <v>49.186999999999998</v>
      </c>
      <c r="EU49">
        <v>1755.33</v>
      </c>
      <c r="EV49">
        <v>39.49</v>
      </c>
      <c r="EW49">
        <v>0</v>
      </c>
      <c r="EX49">
        <v>159.79999995231631</v>
      </c>
      <c r="EY49">
        <v>0</v>
      </c>
      <c r="EZ49">
        <v>721.32238461538464</v>
      </c>
      <c r="FA49">
        <v>-0.9898803337590949</v>
      </c>
      <c r="FB49">
        <v>4.2837608389829596</v>
      </c>
      <c r="FC49">
        <v>18553.873076923079</v>
      </c>
      <c r="FD49">
        <v>15</v>
      </c>
      <c r="FE49">
        <v>1689005630.5999999</v>
      </c>
      <c r="FF49" t="s">
        <v>591</v>
      </c>
      <c r="FG49">
        <v>1689005616.5999999</v>
      </c>
      <c r="FH49">
        <v>1689005630.5999999</v>
      </c>
      <c r="FI49">
        <v>37</v>
      </c>
      <c r="FJ49">
        <v>0.09</v>
      </c>
      <c r="FK49">
        <v>-1.7000000000000001E-2</v>
      </c>
      <c r="FL49">
        <v>-0.34699999999999998</v>
      </c>
      <c r="FM49">
        <v>0.151</v>
      </c>
      <c r="FN49">
        <v>200</v>
      </c>
      <c r="FO49">
        <v>22</v>
      </c>
      <c r="FP49">
        <v>0.02</v>
      </c>
      <c r="FQ49">
        <v>0.02</v>
      </c>
      <c r="FR49">
        <v>26.620511793460171</v>
      </c>
      <c r="FS49">
        <v>-0.22675379687044381</v>
      </c>
      <c r="FT49">
        <v>2.8227832317177608E-2</v>
      </c>
      <c r="FU49">
        <v>1</v>
      </c>
      <c r="FV49">
        <v>0.37625208900969848</v>
      </c>
      <c r="FW49">
        <v>4.3976419849843323E-2</v>
      </c>
      <c r="FX49">
        <v>3.6823633604167369E-3</v>
      </c>
      <c r="FY49">
        <v>1</v>
      </c>
      <c r="FZ49">
        <v>2</v>
      </c>
      <c r="GA49">
        <v>2</v>
      </c>
      <c r="GB49" t="s">
        <v>423</v>
      </c>
      <c r="GC49">
        <v>2.95947</v>
      </c>
      <c r="GD49">
        <v>2.74268</v>
      </c>
      <c r="GE49">
        <v>4.3113199999999997E-2</v>
      </c>
      <c r="GF49">
        <v>5.0443599999999998E-2</v>
      </c>
      <c r="GG49">
        <v>0.12876599999999999</v>
      </c>
      <c r="GH49">
        <v>0.106907</v>
      </c>
      <c r="GI49">
        <v>22506.799999999999</v>
      </c>
      <c r="GJ49">
        <v>20803.400000000001</v>
      </c>
      <c r="GK49">
        <v>23448.9</v>
      </c>
      <c r="GL49">
        <v>21953.3</v>
      </c>
      <c r="GM49">
        <v>28803</v>
      </c>
      <c r="GN49">
        <v>27344.799999999999</v>
      </c>
      <c r="GO49">
        <v>37001.5</v>
      </c>
      <c r="GP49">
        <v>34147.599999999999</v>
      </c>
      <c r="GQ49">
        <v>2.0050500000000002</v>
      </c>
      <c r="GR49">
        <v>1.8495999999999999</v>
      </c>
      <c r="GS49">
        <v>2.69152E-2</v>
      </c>
      <c r="GT49">
        <v>0</v>
      </c>
      <c r="GU49">
        <v>29.566299999999998</v>
      </c>
      <c r="GV49">
        <v>999.9</v>
      </c>
      <c r="GW49">
        <v>33.5</v>
      </c>
      <c r="GX49">
        <v>42.7</v>
      </c>
      <c r="GY49">
        <v>28.875299999999999</v>
      </c>
      <c r="GZ49">
        <v>60.411299999999997</v>
      </c>
      <c r="HA49">
        <v>39.691499999999998</v>
      </c>
      <c r="HB49">
        <v>1</v>
      </c>
      <c r="HC49">
        <v>0.42221799999999998</v>
      </c>
      <c r="HD49">
        <v>2.6072600000000001</v>
      </c>
      <c r="HE49">
        <v>20.094000000000001</v>
      </c>
      <c r="HF49">
        <v>5.2580200000000001</v>
      </c>
      <c r="HG49">
        <v>11.962</v>
      </c>
      <c r="HH49">
        <v>4.97905</v>
      </c>
      <c r="HI49">
        <v>3.2972299999999999</v>
      </c>
      <c r="HJ49">
        <v>9999</v>
      </c>
      <c r="HK49">
        <v>9999</v>
      </c>
      <c r="HL49">
        <v>9999</v>
      </c>
      <c r="HM49">
        <v>999.9</v>
      </c>
      <c r="HN49">
        <v>1.8641099999999999</v>
      </c>
      <c r="HO49">
        <v>1.86005</v>
      </c>
      <c r="HP49">
        <v>1.86666</v>
      </c>
      <c r="HQ49">
        <v>1.8633599999999999</v>
      </c>
      <c r="HR49">
        <v>1.8620300000000001</v>
      </c>
      <c r="HS49">
        <v>1.8620300000000001</v>
      </c>
      <c r="HT49">
        <v>1.86331</v>
      </c>
      <c r="HU49">
        <v>1.8646</v>
      </c>
      <c r="HV49">
        <v>0</v>
      </c>
      <c r="HW49">
        <v>0</v>
      </c>
      <c r="HX49">
        <v>0</v>
      </c>
      <c r="HY49">
        <v>0</v>
      </c>
      <c r="HZ49" t="s">
        <v>424</v>
      </c>
      <c r="IA49" t="s">
        <v>425</v>
      </c>
      <c r="IB49" t="s">
        <v>426</v>
      </c>
      <c r="IC49" t="s">
        <v>426</v>
      </c>
      <c r="ID49" t="s">
        <v>426</v>
      </c>
      <c r="IE49" t="s">
        <v>426</v>
      </c>
      <c r="IF49">
        <v>0</v>
      </c>
      <c r="IG49">
        <v>100</v>
      </c>
      <c r="IH49">
        <v>100</v>
      </c>
      <c r="II49">
        <v>-0.34699999999999998</v>
      </c>
      <c r="IJ49">
        <v>0.15060000000000001</v>
      </c>
      <c r="IK49">
        <v>-0.33930185377439259</v>
      </c>
      <c r="IL49">
        <v>-8.3322953065825546E-5</v>
      </c>
      <c r="IM49">
        <v>2.3872336679552741E-7</v>
      </c>
      <c r="IN49">
        <v>-5.428329794194132E-11</v>
      </c>
      <c r="IO49">
        <v>0.15063000000000321</v>
      </c>
      <c r="IP49">
        <v>0</v>
      </c>
      <c r="IQ49">
        <v>0</v>
      </c>
      <c r="IR49">
        <v>0</v>
      </c>
      <c r="IS49">
        <v>2</v>
      </c>
      <c r="IT49">
        <v>2035</v>
      </c>
      <c r="IU49">
        <v>1</v>
      </c>
      <c r="IV49">
        <v>21</v>
      </c>
      <c r="IW49">
        <v>0.8</v>
      </c>
      <c r="IX49">
        <v>0.6</v>
      </c>
      <c r="IY49">
        <v>0.62377899999999997</v>
      </c>
      <c r="IZ49">
        <v>2.6940900000000001</v>
      </c>
      <c r="JA49">
        <v>1.4526399999999999</v>
      </c>
      <c r="JB49">
        <v>2.2802699999999998</v>
      </c>
      <c r="JC49">
        <v>1.5942400000000001</v>
      </c>
      <c r="JD49">
        <v>2.2692899999999998</v>
      </c>
      <c r="JE49">
        <v>45.120100000000001</v>
      </c>
      <c r="JF49">
        <v>24.148800000000001</v>
      </c>
      <c r="JG49">
        <v>18</v>
      </c>
      <c r="JH49">
        <v>506.387</v>
      </c>
      <c r="JI49">
        <v>443.11599999999999</v>
      </c>
      <c r="JJ49">
        <v>27.029599999999999</v>
      </c>
      <c r="JK49">
        <v>32.375599999999999</v>
      </c>
      <c r="JL49">
        <v>30.001100000000001</v>
      </c>
      <c r="JM49">
        <v>32.332999999999998</v>
      </c>
      <c r="JN49">
        <v>32.340499999999999</v>
      </c>
      <c r="JO49">
        <v>12.4443</v>
      </c>
      <c r="JP49">
        <v>29.635300000000001</v>
      </c>
      <c r="JQ49">
        <v>1.6013500000000001</v>
      </c>
      <c r="JR49">
        <v>27.0244</v>
      </c>
      <c r="JS49">
        <v>200</v>
      </c>
      <c r="JT49">
        <v>21.414100000000001</v>
      </c>
      <c r="JU49">
        <v>99.171899999999994</v>
      </c>
      <c r="JV49">
        <v>98.513199999999998</v>
      </c>
    </row>
    <row r="50" spans="1:282" x14ac:dyDescent="0.25">
      <c r="A50">
        <v>34</v>
      </c>
      <c r="B50">
        <v>1689005789.5999999</v>
      </c>
      <c r="C50">
        <v>6449</v>
      </c>
      <c r="D50" t="s">
        <v>592</v>
      </c>
      <c r="E50" t="s">
        <v>593</v>
      </c>
      <c r="F50" t="s">
        <v>414</v>
      </c>
      <c r="G50" t="s">
        <v>415</v>
      </c>
      <c r="H50" t="s">
        <v>577</v>
      </c>
      <c r="I50" t="s">
        <v>578</v>
      </c>
      <c r="J50" t="s">
        <v>416</v>
      </c>
      <c r="K50">
        <v>1689005789.5999999</v>
      </c>
      <c r="L50">
        <f t="shared" si="46"/>
        <v>5.656761711586313E-3</v>
      </c>
      <c r="M50">
        <f t="shared" si="47"/>
        <v>5.6567617115863129</v>
      </c>
      <c r="N50">
        <f t="shared" si="48"/>
        <v>16.480635546204159</v>
      </c>
      <c r="O50">
        <f t="shared" si="49"/>
        <v>99.659499999999994</v>
      </c>
      <c r="P50">
        <f t="shared" si="50"/>
        <v>26.675454930237109</v>
      </c>
      <c r="Q50">
        <f t="shared" si="51"/>
        <v>2.6489864773983682</v>
      </c>
      <c r="R50">
        <f t="shared" si="52"/>
        <v>9.8966135173588992</v>
      </c>
      <c r="S50">
        <f t="shared" si="53"/>
        <v>0.39270570856504888</v>
      </c>
      <c r="T50">
        <f t="shared" si="54"/>
        <v>2.910849553685205</v>
      </c>
      <c r="U50">
        <f t="shared" si="55"/>
        <v>0.36546858248166109</v>
      </c>
      <c r="V50">
        <f t="shared" si="56"/>
        <v>0.23070739499368004</v>
      </c>
      <c r="W50">
        <f t="shared" si="57"/>
        <v>289.5680670127025</v>
      </c>
      <c r="X50">
        <f t="shared" si="58"/>
        <v>30.200729529661285</v>
      </c>
      <c r="Y50">
        <f t="shared" si="59"/>
        <v>30.000800000000002</v>
      </c>
      <c r="Z50">
        <f t="shared" si="60"/>
        <v>4.2606455497365427</v>
      </c>
      <c r="AA50">
        <f t="shared" si="61"/>
        <v>65.343799935775948</v>
      </c>
      <c r="AB50">
        <f t="shared" si="62"/>
        <v>2.7780765686514801</v>
      </c>
      <c r="AC50">
        <f t="shared" si="63"/>
        <v>4.2514769134668491</v>
      </c>
      <c r="AD50">
        <f t="shared" si="64"/>
        <v>1.4825689810850626</v>
      </c>
      <c r="AE50">
        <f t="shared" si="65"/>
        <v>-249.4631914809564</v>
      </c>
      <c r="AF50">
        <f t="shared" si="66"/>
        <v>-5.8848645426856026</v>
      </c>
      <c r="AG50">
        <f t="shared" si="67"/>
        <v>-0.44944713852194268</v>
      </c>
      <c r="AH50">
        <f t="shared" si="68"/>
        <v>33.770563850538579</v>
      </c>
      <c r="AI50">
        <v>0</v>
      </c>
      <c r="AJ50">
        <v>0</v>
      </c>
      <c r="AK50">
        <f t="shared" si="69"/>
        <v>1</v>
      </c>
      <c r="AL50">
        <f t="shared" si="70"/>
        <v>0</v>
      </c>
      <c r="AM50">
        <f t="shared" si="71"/>
        <v>51809.483639474041</v>
      </c>
      <c r="AN50" t="s">
        <v>418</v>
      </c>
      <c r="AO50">
        <v>8197.4</v>
      </c>
      <c r="AP50">
        <v>619.92999999999995</v>
      </c>
      <c r="AQ50">
        <v>3131.443117258741</v>
      </c>
      <c r="AR50">
        <f t="shared" si="72"/>
        <v>0.80203057287443702</v>
      </c>
      <c r="AS50">
        <v>-1.0448500102641549</v>
      </c>
      <c r="AT50" t="s">
        <v>594</v>
      </c>
      <c r="AU50">
        <v>8182.91</v>
      </c>
      <c r="AV50">
        <v>732.31192307692299</v>
      </c>
      <c r="AW50">
        <v>851.67701779225706</v>
      </c>
      <c r="AX50">
        <f t="shared" si="73"/>
        <v>0.14015300662304575</v>
      </c>
      <c r="AY50">
        <v>0.5</v>
      </c>
      <c r="AZ50">
        <f t="shared" si="74"/>
        <v>1513.1931000065815</v>
      </c>
      <c r="BA50">
        <f t="shared" si="75"/>
        <v>16.480635546204159</v>
      </c>
      <c r="BB50">
        <f t="shared" si="76"/>
        <v>106.03928128358477</v>
      </c>
      <c r="BC50">
        <f t="shared" si="77"/>
        <v>1.1581790556930302E-2</v>
      </c>
      <c r="BD50">
        <f t="shared" si="78"/>
        <v>2.6767965459208498</v>
      </c>
      <c r="BE50">
        <f t="shared" si="79"/>
        <v>405.20316639254355</v>
      </c>
      <c r="BF50" t="s">
        <v>595</v>
      </c>
      <c r="BG50">
        <v>595.75</v>
      </c>
      <c r="BH50">
        <f t="shared" si="80"/>
        <v>595.75</v>
      </c>
      <c r="BI50">
        <f t="shared" si="81"/>
        <v>0.30049773851556871</v>
      </c>
      <c r="BJ50">
        <f t="shared" si="82"/>
        <v>0.46640286650870899</v>
      </c>
      <c r="BK50">
        <f t="shared" si="83"/>
        <v>0.89907019266237864</v>
      </c>
      <c r="BL50">
        <f t="shared" si="84"/>
        <v>0.51506636785434468</v>
      </c>
      <c r="BM50">
        <f t="shared" si="85"/>
        <v>0.90772613680584557</v>
      </c>
      <c r="BN50">
        <f t="shared" si="86"/>
        <v>0.37942780796889558</v>
      </c>
      <c r="BO50">
        <f t="shared" si="87"/>
        <v>0.62057219203110447</v>
      </c>
      <c r="BP50">
        <v>13636</v>
      </c>
      <c r="BQ50">
        <v>290.00000000000011</v>
      </c>
      <c r="BR50">
        <v>820.71</v>
      </c>
      <c r="BS50">
        <v>295</v>
      </c>
      <c r="BT50">
        <v>8182.91</v>
      </c>
      <c r="BU50">
        <v>820.7</v>
      </c>
      <c r="BV50">
        <v>0.01</v>
      </c>
      <c r="BW50">
        <v>300.00000000000011</v>
      </c>
      <c r="BX50">
        <v>19.3</v>
      </c>
      <c r="BY50">
        <v>851.67701779225706</v>
      </c>
      <c r="BZ50">
        <v>2.4379518862358061</v>
      </c>
      <c r="CA50">
        <v>-25.344833831863021</v>
      </c>
      <c r="CB50">
        <v>1.832106631774389</v>
      </c>
      <c r="CC50">
        <v>0.87236267238454457</v>
      </c>
      <c r="CD50">
        <v>-4.2366462736373846E-3</v>
      </c>
      <c r="CE50">
        <v>289.99999999999989</v>
      </c>
      <c r="CF50">
        <v>819.35</v>
      </c>
      <c r="CG50">
        <v>665</v>
      </c>
      <c r="CH50">
        <v>8172.51</v>
      </c>
      <c r="CI50">
        <v>820.66</v>
      </c>
      <c r="CJ50">
        <v>-1.31</v>
      </c>
      <c r="CX50">
        <f t="shared" si="88"/>
        <v>1800.01</v>
      </c>
      <c r="CY50">
        <f t="shared" si="89"/>
        <v>1513.1931000065815</v>
      </c>
      <c r="CZ50">
        <f t="shared" si="90"/>
        <v>0.84065816301386187</v>
      </c>
      <c r="DA50">
        <f t="shared" si="91"/>
        <v>0.16087025461675353</v>
      </c>
      <c r="DB50">
        <v>6</v>
      </c>
      <c r="DC50">
        <v>0.5</v>
      </c>
      <c r="DD50" t="s">
        <v>421</v>
      </c>
      <c r="DE50">
        <v>2</v>
      </c>
      <c r="DF50">
        <v>1689005789.5999999</v>
      </c>
      <c r="DG50">
        <v>99.659499999999994</v>
      </c>
      <c r="DH50">
        <v>120.10899999999999</v>
      </c>
      <c r="DI50">
        <v>27.9754</v>
      </c>
      <c r="DJ50">
        <v>21.378399999999999</v>
      </c>
      <c r="DK50">
        <v>99.968500000000006</v>
      </c>
      <c r="DL50">
        <v>27.831800000000001</v>
      </c>
      <c r="DM50">
        <v>500.09199999999998</v>
      </c>
      <c r="DN50">
        <v>99.204499999999996</v>
      </c>
      <c r="DO50">
        <v>9.9766199999999999E-2</v>
      </c>
      <c r="DP50">
        <v>29.9633</v>
      </c>
      <c r="DQ50">
        <v>30.000800000000002</v>
      </c>
      <c r="DR50">
        <v>999.9</v>
      </c>
      <c r="DS50">
        <v>0</v>
      </c>
      <c r="DT50">
        <v>0</v>
      </c>
      <c r="DU50">
        <v>9973.1200000000008</v>
      </c>
      <c r="DV50">
        <v>0</v>
      </c>
      <c r="DW50">
        <v>1822.72</v>
      </c>
      <c r="DX50">
        <v>-20.4496</v>
      </c>
      <c r="DY50">
        <v>102.52800000000001</v>
      </c>
      <c r="DZ50">
        <v>122.733</v>
      </c>
      <c r="EA50">
        <v>6.59701</v>
      </c>
      <c r="EB50">
        <v>120.10899999999999</v>
      </c>
      <c r="EC50">
        <v>21.378399999999999</v>
      </c>
      <c r="ED50">
        <v>2.77529</v>
      </c>
      <c r="EE50">
        <v>2.1208300000000002</v>
      </c>
      <c r="EF50">
        <v>22.7378</v>
      </c>
      <c r="EG50">
        <v>18.3765</v>
      </c>
      <c r="EH50">
        <v>1800.01</v>
      </c>
      <c r="EI50">
        <v>0.97800200000000004</v>
      </c>
      <c r="EJ50">
        <v>2.1997599999999999E-2</v>
      </c>
      <c r="EK50">
        <v>0</v>
      </c>
      <c r="EL50">
        <v>732.16</v>
      </c>
      <c r="EM50">
        <v>4.9999900000000004</v>
      </c>
      <c r="EN50">
        <v>18784</v>
      </c>
      <c r="EO50">
        <v>15863.9</v>
      </c>
      <c r="EP50">
        <v>47.436999999999998</v>
      </c>
      <c r="EQ50">
        <v>48.625</v>
      </c>
      <c r="ER50">
        <v>47.811999999999998</v>
      </c>
      <c r="ES50">
        <v>48.686999999999998</v>
      </c>
      <c r="ET50">
        <v>49.311999999999998</v>
      </c>
      <c r="EU50">
        <v>1755.52</v>
      </c>
      <c r="EV50">
        <v>39.49</v>
      </c>
      <c r="EW50">
        <v>0</v>
      </c>
      <c r="EX50">
        <v>122.3999998569489</v>
      </c>
      <c r="EY50">
        <v>0</v>
      </c>
      <c r="EZ50">
        <v>732.31192307692299</v>
      </c>
      <c r="FA50">
        <v>-1.699555551341039</v>
      </c>
      <c r="FB50">
        <v>108.23247898253901</v>
      </c>
      <c r="FC50">
        <v>18774.915384615389</v>
      </c>
      <c r="FD50">
        <v>15</v>
      </c>
      <c r="FE50">
        <v>1689005755.0999999</v>
      </c>
      <c r="FF50" t="s">
        <v>596</v>
      </c>
      <c r="FG50">
        <v>1689005740.0999999</v>
      </c>
      <c r="FH50">
        <v>1689005755.0999999</v>
      </c>
      <c r="FI50">
        <v>38</v>
      </c>
      <c r="FJ50">
        <v>3.5999999999999997E-2</v>
      </c>
      <c r="FK50">
        <v>-7.0000000000000001E-3</v>
      </c>
      <c r="FL50">
        <v>-0.31</v>
      </c>
      <c r="FM50">
        <v>0.13800000000000001</v>
      </c>
      <c r="FN50">
        <v>120</v>
      </c>
      <c r="FO50">
        <v>21</v>
      </c>
      <c r="FP50">
        <v>0.1</v>
      </c>
      <c r="FQ50">
        <v>0.01</v>
      </c>
      <c r="FR50">
        <v>16.52917479335462</v>
      </c>
      <c r="FS50">
        <v>-0.31412166095263261</v>
      </c>
      <c r="FT50">
        <v>3.4093382560540168E-2</v>
      </c>
      <c r="FU50">
        <v>1</v>
      </c>
      <c r="FV50">
        <v>0.39248075369581159</v>
      </c>
      <c r="FW50">
        <v>3.1451924266923469E-2</v>
      </c>
      <c r="FX50">
        <v>2.6711186591921862E-3</v>
      </c>
      <c r="FY50">
        <v>1</v>
      </c>
      <c r="FZ50">
        <v>2</v>
      </c>
      <c r="GA50">
        <v>2</v>
      </c>
      <c r="GB50" t="s">
        <v>423</v>
      </c>
      <c r="GC50">
        <v>2.9593500000000001</v>
      </c>
      <c r="GD50">
        <v>2.7427600000000001</v>
      </c>
      <c r="GE50">
        <v>2.6793899999999999E-2</v>
      </c>
      <c r="GF50">
        <v>3.1788299999999999E-2</v>
      </c>
      <c r="GG50">
        <v>0.12892100000000001</v>
      </c>
      <c r="GH50">
        <v>0.106364</v>
      </c>
      <c r="GI50">
        <v>22879.8</v>
      </c>
      <c r="GJ50">
        <v>21201.599999999999</v>
      </c>
      <c r="GK50">
        <v>23438.9</v>
      </c>
      <c r="GL50">
        <v>21943.5</v>
      </c>
      <c r="GM50">
        <v>28785.7</v>
      </c>
      <c r="GN50">
        <v>27349.8</v>
      </c>
      <c r="GO50">
        <v>36985.9</v>
      </c>
      <c r="GP50">
        <v>34133.9</v>
      </c>
      <c r="GQ50">
        <v>2.00318</v>
      </c>
      <c r="GR50">
        <v>1.8451200000000001</v>
      </c>
      <c r="GS50">
        <v>3.4384400000000002E-2</v>
      </c>
      <c r="GT50">
        <v>0</v>
      </c>
      <c r="GU50">
        <v>29.440999999999999</v>
      </c>
      <c r="GV50">
        <v>999.9</v>
      </c>
      <c r="GW50">
        <v>33.6</v>
      </c>
      <c r="GX50">
        <v>42.9</v>
      </c>
      <c r="GY50">
        <v>29.271899999999999</v>
      </c>
      <c r="GZ50">
        <v>60.281300000000002</v>
      </c>
      <c r="HA50">
        <v>39.118600000000001</v>
      </c>
      <c r="HB50">
        <v>1</v>
      </c>
      <c r="HC50">
        <v>0.43815799999999999</v>
      </c>
      <c r="HD50">
        <v>2.1839599999999999</v>
      </c>
      <c r="HE50">
        <v>20.101500000000001</v>
      </c>
      <c r="HF50">
        <v>5.2571199999999996</v>
      </c>
      <c r="HG50">
        <v>11.962</v>
      </c>
      <c r="HH50">
        <v>4.9793000000000003</v>
      </c>
      <c r="HI50">
        <v>3.29738</v>
      </c>
      <c r="HJ50">
        <v>9999</v>
      </c>
      <c r="HK50">
        <v>9999</v>
      </c>
      <c r="HL50">
        <v>9999</v>
      </c>
      <c r="HM50">
        <v>999.9</v>
      </c>
      <c r="HN50">
        <v>1.86408</v>
      </c>
      <c r="HO50">
        <v>1.86005</v>
      </c>
      <c r="HP50">
        <v>1.8666499999999999</v>
      </c>
      <c r="HQ50">
        <v>1.86338</v>
      </c>
      <c r="HR50">
        <v>1.8620300000000001</v>
      </c>
      <c r="HS50">
        <v>1.8620300000000001</v>
      </c>
      <c r="HT50">
        <v>1.8633</v>
      </c>
      <c r="HU50">
        <v>1.86456</v>
      </c>
      <c r="HV50">
        <v>0</v>
      </c>
      <c r="HW50">
        <v>0</v>
      </c>
      <c r="HX50">
        <v>0</v>
      </c>
      <c r="HY50">
        <v>0</v>
      </c>
      <c r="HZ50" t="s">
        <v>424</v>
      </c>
      <c r="IA50" t="s">
        <v>425</v>
      </c>
      <c r="IB50" t="s">
        <v>426</v>
      </c>
      <c r="IC50" t="s">
        <v>426</v>
      </c>
      <c r="ID50" t="s">
        <v>426</v>
      </c>
      <c r="IE50" t="s">
        <v>426</v>
      </c>
      <c r="IF50">
        <v>0</v>
      </c>
      <c r="IG50">
        <v>100</v>
      </c>
      <c r="IH50">
        <v>100</v>
      </c>
      <c r="II50">
        <v>-0.309</v>
      </c>
      <c r="IJ50">
        <v>0.14360000000000001</v>
      </c>
      <c r="IK50">
        <v>-0.30298645501687321</v>
      </c>
      <c r="IL50">
        <v>-8.3322953065825546E-5</v>
      </c>
      <c r="IM50">
        <v>2.3872336679552741E-7</v>
      </c>
      <c r="IN50">
        <v>-5.428329794194132E-11</v>
      </c>
      <c r="IO50">
        <v>0.1435634554409975</v>
      </c>
      <c r="IP50">
        <v>0</v>
      </c>
      <c r="IQ50">
        <v>0</v>
      </c>
      <c r="IR50">
        <v>0</v>
      </c>
      <c r="IS50">
        <v>2</v>
      </c>
      <c r="IT50">
        <v>2035</v>
      </c>
      <c r="IU50">
        <v>1</v>
      </c>
      <c r="IV50">
        <v>21</v>
      </c>
      <c r="IW50">
        <v>0.8</v>
      </c>
      <c r="IX50">
        <v>0.6</v>
      </c>
      <c r="IY50">
        <v>0.43457000000000001</v>
      </c>
      <c r="IZ50">
        <v>2.7038600000000002</v>
      </c>
      <c r="JA50">
        <v>1.4526399999999999</v>
      </c>
      <c r="JB50">
        <v>2.2802699999999998</v>
      </c>
      <c r="JC50">
        <v>1.5942400000000001</v>
      </c>
      <c r="JD50">
        <v>2.3547400000000001</v>
      </c>
      <c r="JE50">
        <v>45.347299999999997</v>
      </c>
      <c r="JF50">
        <v>24.148800000000001</v>
      </c>
      <c r="JG50">
        <v>18</v>
      </c>
      <c r="JH50">
        <v>506.65499999999997</v>
      </c>
      <c r="JI50">
        <v>441.34</v>
      </c>
      <c r="JJ50">
        <v>27.366</v>
      </c>
      <c r="JK50">
        <v>32.566499999999998</v>
      </c>
      <c r="JL50">
        <v>30.000699999999998</v>
      </c>
      <c r="JM50">
        <v>32.504100000000001</v>
      </c>
      <c r="JN50">
        <v>32.503</v>
      </c>
      <c r="JO50">
        <v>8.6480399999999999</v>
      </c>
      <c r="JP50">
        <v>31.711099999999998</v>
      </c>
      <c r="JQ50">
        <v>0</v>
      </c>
      <c r="JR50">
        <v>27.367599999999999</v>
      </c>
      <c r="JS50">
        <v>120</v>
      </c>
      <c r="JT50">
        <v>21.255500000000001</v>
      </c>
      <c r="JU50">
        <v>99.129900000000006</v>
      </c>
      <c r="JV50">
        <v>98.471900000000005</v>
      </c>
    </row>
    <row r="51" spans="1:282" x14ac:dyDescent="0.25">
      <c r="A51">
        <v>35</v>
      </c>
      <c r="B51">
        <v>1689005906.0999999</v>
      </c>
      <c r="C51">
        <v>6565.5</v>
      </c>
      <c r="D51" t="s">
        <v>597</v>
      </c>
      <c r="E51" t="s">
        <v>598</v>
      </c>
      <c r="F51" t="s">
        <v>414</v>
      </c>
      <c r="G51" t="s">
        <v>415</v>
      </c>
      <c r="H51" t="s">
        <v>577</v>
      </c>
      <c r="I51" t="s">
        <v>578</v>
      </c>
      <c r="J51" t="s">
        <v>416</v>
      </c>
      <c r="K51">
        <v>1689005906.0999999</v>
      </c>
      <c r="L51">
        <f t="shared" si="46"/>
        <v>5.7813793406549397E-3</v>
      </c>
      <c r="M51">
        <f t="shared" si="47"/>
        <v>5.7813793406549401</v>
      </c>
      <c r="N51">
        <f t="shared" si="48"/>
        <v>9.9811118158798493</v>
      </c>
      <c r="O51">
        <f t="shared" si="49"/>
        <v>57.813699999999997</v>
      </c>
      <c r="P51">
        <f t="shared" si="50"/>
        <v>15.00767487837974</v>
      </c>
      <c r="Q51">
        <f t="shared" si="51"/>
        <v>1.4903990769648159</v>
      </c>
      <c r="R51">
        <f t="shared" si="52"/>
        <v>5.7414280236075701</v>
      </c>
      <c r="S51">
        <f t="shared" si="53"/>
        <v>0.40607003488586146</v>
      </c>
      <c r="T51">
        <f t="shared" si="54"/>
        <v>2.9135639156118485</v>
      </c>
      <c r="U51">
        <f t="shared" si="55"/>
        <v>0.37704601377028624</v>
      </c>
      <c r="V51">
        <f t="shared" si="56"/>
        <v>0.23808834814873514</v>
      </c>
      <c r="W51">
        <f t="shared" si="57"/>
        <v>289.53876001270061</v>
      </c>
      <c r="X51">
        <f t="shared" si="58"/>
        <v>30.105452416418917</v>
      </c>
      <c r="Y51">
        <f t="shared" si="59"/>
        <v>29.9771</v>
      </c>
      <c r="Z51">
        <f t="shared" si="60"/>
        <v>4.2548489700086742</v>
      </c>
      <c r="AA51">
        <f t="shared" si="61"/>
        <v>65.76765316742042</v>
      </c>
      <c r="AB51">
        <f t="shared" si="62"/>
        <v>2.7860877399976705</v>
      </c>
      <c r="AC51">
        <f t="shared" si="63"/>
        <v>4.2362584124832754</v>
      </c>
      <c r="AD51">
        <f t="shared" si="64"/>
        <v>1.4687612300110038</v>
      </c>
      <c r="AE51">
        <f t="shared" si="65"/>
        <v>-254.95882892288284</v>
      </c>
      <c r="AF51">
        <f t="shared" si="66"/>
        <v>-11.969195605767116</v>
      </c>
      <c r="AG51">
        <f t="shared" si="67"/>
        <v>-0.91288735582754155</v>
      </c>
      <c r="AH51">
        <f t="shared" si="68"/>
        <v>21.697848128223111</v>
      </c>
      <c r="AI51">
        <v>0</v>
      </c>
      <c r="AJ51">
        <v>0</v>
      </c>
      <c r="AK51">
        <f t="shared" si="69"/>
        <v>1</v>
      </c>
      <c r="AL51">
        <f t="shared" si="70"/>
        <v>0</v>
      </c>
      <c r="AM51">
        <f t="shared" si="71"/>
        <v>51897.50832353672</v>
      </c>
      <c r="AN51" t="s">
        <v>418</v>
      </c>
      <c r="AO51">
        <v>8197.4</v>
      </c>
      <c r="AP51">
        <v>619.92999999999995</v>
      </c>
      <c r="AQ51">
        <v>3131.443117258741</v>
      </c>
      <c r="AR51">
        <f t="shared" si="72"/>
        <v>0.80203057287443702</v>
      </c>
      <c r="AS51">
        <v>-1.0448500102641549</v>
      </c>
      <c r="AT51" t="s">
        <v>599</v>
      </c>
      <c r="AU51">
        <v>8190.2</v>
      </c>
      <c r="AV51">
        <v>745.75542307692319</v>
      </c>
      <c r="AW51">
        <v>835.72014254556018</v>
      </c>
      <c r="AX51">
        <f t="shared" si="73"/>
        <v>0.10764933724656811</v>
      </c>
      <c r="AY51">
        <v>0.5</v>
      </c>
      <c r="AZ51">
        <f t="shared" si="74"/>
        <v>1513.0416000065804</v>
      </c>
      <c r="BA51">
        <f t="shared" si="75"/>
        <v>9.9811118158798493</v>
      </c>
      <c r="BB51">
        <f t="shared" si="76"/>
        <v>81.438962733597691</v>
      </c>
      <c r="BC51">
        <f t="shared" si="77"/>
        <v>7.2872826669775964E-3</v>
      </c>
      <c r="BD51">
        <f t="shared" si="78"/>
        <v>2.7469996926489384</v>
      </c>
      <c r="BE51">
        <f t="shared" si="79"/>
        <v>401.55537223989614</v>
      </c>
      <c r="BF51" t="s">
        <v>600</v>
      </c>
      <c r="BG51">
        <v>613.74</v>
      </c>
      <c r="BH51">
        <f t="shared" si="80"/>
        <v>613.74</v>
      </c>
      <c r="BI51">
        <f t="shared" si="81"/>
        <v>0.26561540310542253</v>
      </c>
      <c r="BJ51">
        <f t="shared" si="82"/>
        <v>0.40528273582026481</v>
      </c>
      <c r="BK51">
        <f t="shared" si="83"/>
        <v>0.91183228037337027</v>
      </c>
      <c r="BL51">
        <f t="shared" si="84"/>
        <v>0.4169083833365676</v>
      </c>
      <c r="BM51">
        <f t="shared" si="85"/>
        <v>0.91407962751112759</v>
      </c>
      <c r="BN51">
        <f t="shared" si="86"/>
        <v>0.33353860875199087</v>
      </c>
      <c r="BO51">
        <f t="shared" si="87"/>
        <v>0.66646139124800907</v>
      </c>
      <c r="BP51">
        <v>13638</v>
      </c>
      <c r="BQ51">
        <v>290.00000000000011</v>
      </c>
      <c r="BR51">
        <v>807.39</v>
      </c>
      <c r="BS51">
        <v>175</v>
      </c>
      <c r="BT51">
        <v>8190.2</v>
      </c>
      <c r="BU51">
        <v>807.22</v>
      </c>
      <c r="BV51">
        <v>0.17</v>
      </c>
      <c r="BW51">
        <v>300.00000000000011</v>
      </c>
      <c r="BX51">
        <v>19.3</v>
      </c>
      <c r="BY51">
        <v>835.72014254556018</v>
      </c>
      <c r="BZ51">
        <v>2.7692354410314302</v>
      </c>
      <c r="CA51">
        <v>-23.341264115380749</v>
      </c>
      <c r="CB51">
        <v>2.0807188287387781</v>
      </c>
      <c r="CC51">
        <v>0.81799383101134115</v>
      </c>
      <c r="CD51">
        <v>-4.2360460511679694E-3</v>
      </c>
      <c r="CE51">
        <v>289.99999999999989</v>
      </c>
      <c r="CF51">
        <v>805.62</v>
      </c>
      <c r="CG51">
        <v>695</v>
      </c>
      <c r="CH51">
        <v>8170.22</v>
      </c>
      <c r="CI51">
        <v>807.15</v>
      </c>
      <c r="CJ51">
        <v>-1.53</v>
      </c>
      <c r="CX51">
        <f t="shared" si="88"/>
        <v>1799.83</v>
      </c>
      <c r="CY51">
        <f t="shared" si="89"/>
        <v>1513.0416000065804</v>
      </c>
      <c r="CZ51">
        <f t="shared" si="90"/>
        <v>0.84065806215397043</v>
      </c>
      <c r="DA51">
        <f t="shared" si="91"/>
        <v>0.16087005995716297</v>
      </c>
      <c r="DB51">
        <v>6</v>
      </c>
      <c r="DC51">
        <v>0.5</v>
      </c>
      <c r="DD51" t="s">
        <v>421</v>
      </c>
      <c r="DE51">
        <v>2</v>
      </c>
      <c r="DF51">
        <v>1689005906.0999999</v>
      </c>
      <c r="DG51">
        <v>57.813699999999997</v>
      </c>
      <c r="DH51">
        <v>70.189700000000002</v>
      </c>
      <c r="DI51">
        <v>28.0547</v>
      </c>
      <c r="DJ51">
        <v>21.312999999999999</v>
      </c>
      <c r="DK51">
        <v>58.126899999999999</v>
      </c>
      <c r="DL51">
        <v>27.917000000000002</v>
      </c>
      <c r="DM51">
        <v>500.09800000000001</v>
      </c>
      <c r="DN51">
        <v>99.209400000000002</v>
      </c>
      <c r="DO51">
        <v>9.9726099999999998E-2</v>
      </c>
      <c r="DP51">
        <v>29.9009</v>
      </c>
      <c r="DQ51">
        <v>29.9771</v>
      </c>
      <c r="DR51">
        <v>999.9</v>
      </c>
      <c r="DS51">
        <v>0</v>
      </c>
      <c r="DT51">
        <v>0</v>
      </c>
      <c r="DU51">
        <v>9988.1200000000008</v>
      </c>
      <c r="DV51">
        <v>0</v>
      </c>
      <c r="DW51">
        <v>1867.66</v>
      </c>
      <c r="DX51">
        <v>-12.375999999999999</v>
      </c>
      <c r="DY51">
        <v>59.482500000000002</v>
      </c>
      <c r="DZ51">
        <v>71.718299999999999</v>
      </c>
      <c r="EA51">
        <v>6.7416499999999999</v>
      </c>
      <c r="EB51">
        <v>70.189700000000002</v>
      </c>
      <c r="EC51">
        <v>21.312999999999999</v>
      </c>
      <c r="ED51">
        <v>2.78329</v>
      </c>
      <c r="EE51">
        <v>2.1144500000000002</v>
      </c>
      <c r="EF51">
        <v>22.785299999999999</v>
      </c>
      <c r="EG51">
        <v>18.328499999999998</v>
      </c>
      <c r="EH51">
        <v>1799.83</v>
      </c>
      <c r="EI51">
        <v>0.97800200000000004</v>
      </c>
      <c r="EJ51">
        <v>2.19975E-2</v>
      </c>
      <c r="EK51">
        <v>0</v>
      </c>
      <c r="EL51">
        <v>745.80499999999995</v>
      </c>
      <c r="EM51">
        <v>4.9999900000000004</v>
      </c>
      <c r="EN51">
        <v>19157.3</v>
      </c>
      <c r="EO51">
        <v>15862.3</v>
      </c>
      <c r="EP51">
        <v>47.625</v>
      </c>
      <c r="EQ51">
        <v>48.811999999999998</v>
      </c>
      <c r="ER51">
        <v>48.061999999999998</v>
      </c>
      <c r="ES51">
        <v>48.811999999999998</v>
      </c>
      <c r="ET51">
        <v>49.436999999999998</v>
      </c>
      <c r="EU51">
        <v>1755.35</v>
      </c>
      <c r="EV51">
        <v>39.479999999999997</v>
      </c>
      <c r="EW51">
        <v>0</v>
      </c>
      <c r="EX51">
        <v>114.6000001430511</v>
      </c>
      <c r="EY51">
        <v>0</v>
      </c>
      <c r="EZ51">
        <v>745.75542307692319</v>
      </c>
      <c r="FA51">
        <v>-0.81083761910181107</v>
      </c>
      <c r="FB51">
        <v>-40.430769194884938</v>
      </c>
      <c r="FC51">
        <v>19162.3</v>
      </c>
      <c r="FD51">
        <v>15</v>
      </c>
      <c r="FE51">
        <v>1689005872.0999999</v>
      </c>
      <c r="FF51" t="s">
        <v>601</v>
      </c>
      <c r="FG51">
        <v>1689005858.5999999</v>
      </c>
      <c r="FH51">
        <v>1689005872.0999999</v>
      </c>
      <c r="FI51">
        <v>39</v>
      </c>
      <c r="FJ51">
        <v>-6.0000000000000001E-3</v>
      </c>
      <c r="FK51">
        <v>-6.0000000000000001E-3</v>
      </c>
      <c r="FL51">
        <v>-0.314</v>
      </c>
      <c r="FM51">
        <v>0.13</v>
      </c>
      <c r="FN51">
        <v>70</v>
      </c>
      <c r="FO51">
        <v>21</v>
      </c>
      <c r="FP51">
        <v>0.12</v>
      </c>
      <c r="FQ51">
        <v>0.01</v>
      </c>
      <c r="FR51">
        <v>9.9867704491460199</v>
      </c>
      <c r="FS51">
        <v>-0.16387711329943139</v>
      </c>
      <c r="FT51">
        <v>1.6220974494197429E-2</v>
      </c>
      <c r="FU51">
        <v>1</v>
      </c>
      <c r="FV51">
        <v>0.40251879396890888</v>
      </c>
      <c r="FW51">
        <v>4.2656405498264938E-2</v>
      </c>
      <c r="FX51">
        <v>3.7844430181448669E-3</v>
      </c>
      <c r="FY51">
        <v>1</v>
      </c>
      <c r="FZ51">
        <v>2</v>
      </c>
      <c r="GA51">
        <v>2</v>
      </c>
      <c r="GB51" t="s">
        <v>423</v>
      </c>
      <c r="GC51">
        <v>2.95919</v>
      </c>
      <c r="GD51">
        <v>2.7428499999999998</v>
      </c>
      <c r="GE51">
        <v>1.5921000000000001E-2</v>
      </c>
      <c r="GF51">
        <v>1.9085299999999999E-2</v>
      </c>
      <c r="GG51">
        <v>0.12915399999999999</v>
      </c>
      <c r="GH51">
        <v>0.106104</v>
      </c>
      <c r="GI51">
        <v>23125</v>
      </c>
      <c r="GJ51">
        <v>21469.9</v>
      </c>
      <c r="GK51">
        <v>23429.3</v>
      </c>
      <c r="GL51">
        <v>21934.2</v>
      </c>
      <c r="GM51">
        <v>28766</v>
      </c>
      <c r="GN51">
        <v>27346.6</v>
      </c>
      <c r="GO51">
        <v>36970.300000000003</v>
      </c>
      <c r="GP51">
        <v>34120.400000000001</v>
      </c>
      <c r="GQ51">
        <v>2.0016799999999999</v>
      </c>
      <c r="GR51">
        <v>1.84118</v>
      </c>
      <c r="GS51">
        <v>2.5704500000000002E-2</v>
      </c>
      <c r="GT51">
        <v>0</v>
      </c>
      <c r="GU51">
        <v>29.558700000000002</v>
      </c>
      <c r="GV51">
        <v>999.9</v>
      </c>
      <c r="GW51">
        <v>33.700000000000003</v>
      </c>
      <c r="GX51">
        <v>43.1</v>
      </c>
      <c r="GY51">
        <v>29.665099999999999</v>
      </c>
      <c r="GZ51">
        <v>60.581299999999999</v>
      </c>
      <c r="HA51">
        <v>39.6995</v>
      </c>
      <c r="HB51">
        <v>1</v>
      </c>
      <c r="HC51">
        <v>0.45814500000000002</v>
      </c>
      <c r="HD51">
        <v>2.9897800000000001</v>
      </c>
      <c r="HE51">
        <v>20.087900000000001</v>
      </c>
      <c r="HF51">
        <v>5.26356</v>
      </c>
      <c r="HG51">
        <v>11.962</v>
      </c>
      <c r="HH51">
        <v>4.9797500000000001</v>
      </c>
      <c r="HI51">
        <v>3.298</v>
      </c>
      <c r="HJ51">
        <v>9999</v>
      </c>
      <c r="HK51">
        <v>9999</v>
      </c>
      <c r="HL51">
        <v>9999</v>
      </c>
      <c r="HM51">
        <v>999.9</v>
      </c>
      <c r="HN51">
        <v>1.86408</v>
      </c>
      <c r="HO51">
        <v>1.86008</v>
      </c>
      <c r="HP51">
        <v>1.86666</v>
      </c>
      <c r="HQ51">
        <v>1.8633900000000001</v>
      </c>
      <c r="HR51">
        <v>1.8620300000000001</v>
      </c>
      <c r="HS51">
        <v>1.8620300000000001</v>
      </c>
      <c r="HT51">
        <v>1.86334</v>
      </c>
      <c r="HU51">
        <v>1.8646</v>
      </c>
      <c r="HV51">
        <v>0</v>
      </c>
      <c r="HW51">
        <v>0</v>
      </c>
      <c r="HX51">
        <v>0</v>
      </c>
      <c r="HY51">
        <v>0</v>
      </c>
      <c r="HZ51" t="s">
        <v>424</v>
      </c>
      <c r="IA51" t="s">
        <v>425</v>
      </c>
      <c r="IB51" t="s">
        <v>426</v>
      </c>
      <c r="IC51" t="s">
        <v>426</v>
      </c>
      <c r="ID51" t="s">
        <v>426</v>
      </c>
      <c r="IE51" t="s">
        <v>426</v>
      </c>
      <c r="IF51">
        <v>0</v>
      </c>
      <c r="IG51">
        <v>100</v>
      </c>
      <c r="IH51">
        <v>100</v>
      </c>
      <c r="II51">
        <v>-0.313</v>
      </c>
      <c r="IJ51">
        <v>0.13769999999999999</v>
      </c>
      <c r="IK51">
        <v>-0.30919076392757189</v>
      </c>
      <c r="IL51">
        <v>-8.3322953065825546E-5</v>
      </c>
      <c r="IM51">
        <v>2.3872336679552741E-7</v>
      </c>
      <c r="IN51">
        <v>-5.428329794194132E-11</v>
      </c>
      <c r="IO51">
        <v>0.13765808637003249</v>
      </c>
      <c r="IP51">
        <v>0</v>
      </c>
      <c r="IQ51">
        <v>0</v>
      </c>
      <c r="IR51">
        <v>0</v>
      </c>
      <c r="IS51">
        <v>2</v>
      </c>
      <c r="IT51">
        <v>2035</v>
      </c>
      <c r="IU51">
        <v>1</v>
      </c>
      <c r="IV51">
        <v>21</v>
      </c>
      <c r="IW51">
        <v>0.8</v>
      </c>
      <c r="IX51">
        <v>0.6</v>
      </c>
      <c r="IY51">
        <v>0.31372100000000003</v>
      </c>
      <c r="IZ51">
        <v>2.7246100000000002</v>
      </c>
      <c r="JA51">
        <v>1.4526399999999999</v>
      </c>
      <c r="JB51">
        <v>2.2802699999999998</v>
      </c>
      <c r="JC51">
        <v>1.5942400000000001</v>
      </c>
      <c r="JD51">
        <v>2.2802699999999998</v>
      </c>
      <c r="JE51">
        <v>45.518599999999999</v>
      </c>
      <c r="JF51">
        <v>24.14</v>
      </c>
      <c r="JG51">
        <v>18</v>
      </c>
      <c r="JH51">
        <v>507.041</v>
      </c>
      <c r="JI51">
        <v>439.88600000000002</v>
      </c>
      <c r="JJ51">
        <v>26.6557</v>
      </c>
      <c r="JK51">
        <v>32.728000000000002</v>
      </c>
      <c r="JL51">
        <v>30.000499999999999</v>
      </c>
      <c r="JM51">
        <v>32.6614</v>
      </c>
      <c r="JN51">
        <v>32.660800000000002</v>
      </c>
      <c r="JO51">
        <v>6.2450299999999999</v>
      </c>
      <c r="JP51">
        <v>32.999499999999998</v>
      </c>
      <c r="JQ51">
        <v>0</v>
      </c>
      <c r="JR51">
        <v>26.674499999999998</v>
      </c>
      <c r="JS51">
        <v>70</v>
      </c>
      <c r="JT51">
        <v>21.125900000000001</v>
      </c>
      <c r="JU51">
        <v>99.088399999999993</v>
      </c>
      <c r="JV51">
        <v>98.432000000000002</v>
      </c>
    </row>
    <row r="52" spans="1:282" x14ac:dyDescent="0.25">
      <c r="A52">
        <v>36</v>
      </c>
      <c r="B52">
        <v>1689006024.0999999</v>
      </c>
      <c r="C52">
        <v>6683.5</v>
      </c>
      <c r="D52" t="s">
        <v>602</v>
      </c>
      <c r="E52" t="s">
        <v>603</v>
      </c>
      <c r="F52" t="s">
        <v>414</v>
      </c>
      <c r="G52" t="s">
        <v>415</v>
      </c>
      <c r="H52" t="s">
        <v>577</v>
      </c>
      <c r="I52" t="s">
        <v>578</v>
      </c>
      <c r="J52" t="s">
        <v>416</v>
      </c>
      <c r="K52">
        <v>1689006024.0999999</v>
      </c>
      <c r="L52">
        <f t="shared" si="46"/>
        <v>5.8999904769253715E-3</v>
      </c>
      <c r="M52">
        <f t="shared" si="47"/>
        <v>5.8999904769253719</v>
      </c>
      <c r="N52">
        <f t="shared" si="48"/>
        <v>4.3078438782532018</v>
      </c>
      <c r="O52">
        <f t="shared" si="49"/>
        <v>24.808499999999999</v>
      </c>
      <c r="P52">
        <f t="shared" si="50"/>
        <v>6.4770734755002186</v>
      </c>
      <c r="Q52">
        <f t="shared" si="51"/>
        <v>0.64323327666145269</v>
      </c>
      <c r="R52">
        <f t="shared" si="52"/>
        <v>2.4637134045825002</v>
      </c>
      <c r="S52">
        <f t="shared" si="53"/>
        <v>0.40966554819114542</v>
      </c>
      <c r="T52">
        <f t="shared" si="54"/>
        <v>2.9070907051214823</v>
      </c>
      <c r="U52">
        <f t="shared" si="55"/>
        <v>0.38008464692167293</v>
      </c>
      <c r="V52">
        <f t="shared" si="56"/>
        <v>0.24003239274138111</v>
      </c>
      <c r="W52">
        <f t="shared" si="57"/>
        <v>289.58025601269873</v>
      </c>
      <c r="X52">
        <f t="shared" si="58"/>
        <v>30.195801008729632</v>
      </c>
      <c r="Y52">
        <f t="shared" si="59"/>
        <v>30.046800000000001</v>
      </c>
      <c r="Z52">
        <f t="shared" si="60"/>
        <v>4.2719159401540123</v>
      </c>
      <c r="AA52">
        <f t="shared" si="61"/>
        <v>65.29063532068507</v>
      </c>
      <c r="AB52">
        <f t="shared" si="62"/>
        <v>2.7851277760250004</v>
      </c>
      <c r="AC52">
        <f t="shared" si="63"/>
        <v>4.265738512644905</v>
      </c>
      <c r="AD52">
        <f t="shared" si="64"/>
        <v>1.4867881641290119</v>
      </c>
      <c r="AE52">
        <f t="shared" si="65"/>
        <v>-260.18958003240886</v>
      </c>
      <c r="AF52">
        <f t="shared" si="66"/>
        <v>-3.949522267181897</v>
      </c>
      <c r="AG52">
        <f t="shared" si="67"/>
        <v>-0.30218446090374257</v>
      </c>
      <c r="AH52">
        <f t="shared" si="68"/>
        <v>25.138969252204241</v>
      </c>
      <c r="AI52">
        <v>0</v>
      </c>
      <c r="AJ52">
        <v>0</v>
      </c>
      <c r="AK52">
        <f t="shared" si="69"/>
        <v>1</v>
      </c>
      <c r="AL52">
        <f t="shared" si="70"/>
        <v>0</v>
      </c>
      <c r="AM52">
        <f t="shared" si="71"/>
        <v>51692.751775955869</v>
      </c>
      <c r="AN52" t="s">
        <v>418</v>
      </c>
      <c r="AO52">
        <v>8197.4</v>
      </c>
      <c r="AP52">
        <v>619.92999999999995</v>
      </c>
      <c r="AQ52">
        <v>3131.443117258741</v>
      </c>
      <c r="AR52">
        <f t="shared" si="72"/>
        <v>0.80203057287443702</v>
      </c>
      <c r="AS52">
        <v>-1.0448500102641549</v>
      </c>
      <c r="AT52" t="s">
        <v>604</v>
      </c>
      <c r="AU52">
        <v>8189.93</v>
      </c>
      <c r="AV52">
        <v>760.04319230769238</v>
      </c>
      <c r="AW52">
        <v>825.887169981037</v>
      </c>
      <c r="AX52">
        <f t="shared" si="73"/>
        <v>7.97251489871873E-2</v>
      </c>
      <c r="AY52">
        <v>0.5</v>
      </c>
      <c r="AZ52">
        <f t="shared" si="74"/>
        <v>1513.2600000065795</v>
      </c>
      <c r="BA52">
        <f t="shared" si="75"/>
        <v>4.3078438782532018</v>
      </c>
      <c r="BB52">
        <f t="shared" si="76"/>
        <v>60.322439478437801</v>
      </c>
      <c r="BC52">
        <f t="shared" si="77"/>
        <v>3.5371937991449478E-3</v>
      </c>
      <c r="BD52">
        <f t="shared" si="78"/>
        <v>2.791611289143336</v>
      </c>
      <c r="BE52">
        <f t="shared" si="79"/>
        <v>399.27126372315331</v>
      </c>
      <c r="BF52" t="s">
        <v>605</v>
      </c>
      <c r="BG52">
        <v>636.13</v>
      </c>
      <c r="BH52">
        <f t="shared" si="80"/>
        <v>636.13</v>
      </c>
      <c r="BI52">
        <f t="shared" si="81"/>
        <v>0.22976161499808012</v>
      </c>
      <c r="BJ52">
        <f t="shared" si="82"/>
        <v>0.34699072335408782</v>
      </c>
      <c r="BK52">
        <f t="shared" si="83"/>
        <v>0.9239545655939575</v>
      </c>
      <c r="BL52">
        <f t="shared" si="84"/>
        <v>0.31969742873922297</v>
      </c>
      <c r="BM52">
        <f t="shared" si="85"/>
        <v>0.91799478626421238</v>
      </c>
      <c r="BN52">
        <f t="shared" si="86"/>
        <v>0.29041929601005634</v>
      </c>
      <c r="BO52">
        <f t="shared" si="87"/>
        <v>0.70958070398994366</v>
      </c>
      <c r="BP52">
        <v>13640</v>
      </c>
      <c r="BQ52">
        <v>290.00000000000011</v>
      </c>
      <c r="BR52">
        <v>806.19</v>
      </c>
      <c r="BS52">
        <v>175</v>
      </c>
      <c r="BT52">
        <v>8189.93</v>
      </c>
      <c r="BU52">
        <v>804.42</v>
      </c>
      <c r="BV52">
        <v>1.77</v>
      </c>
      <c r="BW52">
        <v>300.00000000000011</v>
      </c>
      <c r="BX52">
        <v>19.3</v>
      </c>
      <c r="BY52">
        <v>825.887169981037</v>
      </c>
      <c r="BZ52">
        <v>2.456994021265273</v>
      </c>
      <c r="CA52">
        <v>-17.577976066721881</v>
      </c>
      <c r="CB52">
        <v>1.846034510568151</v>
      </c>
      <c r="CC52">
        <v>0.76404928461044008</v>
      </c>
      <c r="CD52">
        <v>-4.2360117908787596E-3</v>
      </c>
      <c r="CE52">
        <v>289.99999999999989</v>
      </c>
      <c r="CF52">
        <v>803.28</v>
      </c>
      <c r="CG52">
        <v>665</v>
      </c>
      <c r="CH52">
        <v>8170.74</v>
      </c>
      <c r="CI52">
        <v>804.37</v>
      </c>
      <c r="CJ52">
        <v>-1.0900000000000001</v>
      </c>
      <c r="CX52">
        <f t="shared" si="88"/>
        <v>1800.09</v>
      </c>
      <c r="CY52">
        <f t="shared" si="89"/>
        <v>1513.2600000065795</v>
      </c>
      <c r="CZ52">
        <f t="shared" si="90"/>
        <v>0.84065796710530005</v>
      </c>
      <c r="DA52">
        <f t="shared" si="91"/>
        <v>0.1608698765132292</v>
      </c>
      <c r="DB52">
        <v>6</v>
      </c>
      <c r="DC52">
        <v>0.5</v>
      </c>
      <c r="DD52" t="s">
        <v>421</v>
      </c>
      <c r="DE52">
        <v>2</v>
      </c>
      <c r="DF52">
        <v>1689006024.0999999</v>
      </c>
      <c r="DG52">
        <v>24.808499999999999</v>
      </c>
      <c r="DH52">
        <v>30.153300000000002</v>
      </c>
      <c r="DI52">
        <v>28.045000000000002</v>
      </c>
      <c r="DJ52">
        <v>21.163900000000002</v>
      </c>
      <c r="DK52">
        <v>25.053100000000001</v>
      </c>
      <c r="DL52">
        <v>27.910699999999999</v>
      </c>
      <c r="DM52">
        <v>500.024</v>
      </c>
      <c r="DN52">
        <v>99.2089</v>
      </c>
      <c r="DO52">
        <v>0.100345</v>
      </c>
      <c r="DP52">
        <v>30.021599999999999</v>
      </c>
      <c r="DQ52">
        <v>30.046800000000001</v>
      </c>
      <c r="DR52">
        <v>999.9</v>
      </c>
      <c r="DS52">
        <v>0</v>
      </c>
      <c r="DT52">
        <v>0</v>
      </c>
      <c r="DU52">
        <v>9951.25</v>
      </c>
      <c r="DV52">
        <v>0</v>
      </c>
      <c r="DW52">
        <v>1926.51</v>
      </c>
      <c r="DX52">
        <v>-5.3448399999999996</v>
      </c>
      <c r="DY52">
        <v>25.5243</v>
      </c>
      <c r="DZ52">
        <v>30.805299999999999</v>
      </c>
      <c r="EA52">
        <v>6.8811200000000001</v>
      </c>
      <c r="EB52">
        <v>30.153300000000002</v>
      </c>
      <c r="EC52">
        <v>21.163900000000002</v>
      </c>
      <c r="ED52">
        <v>2.7823099999999998</v>
      </c>
      <c r="EE52">
        <v>2.09965</v>
      </c>
      <c r="EF52">
        <v>22.779499999999999</v>
      </c>
      <c r="EG52">
        <v>18.2165</v>
      </c>
      <c r="EH52">
        <v>1800.09</v>
      </c>
      <c r="EI52">
        <v>0.97800500000000001</v>
      </c>
      <c r="EJ52">
        <v>2.19945E-2</v>
      </c>
      <c r="EK52">
        <v>0</v>
      </c>
      <c r="EL52">
        <v>759.80499999999995</v>
      </c>
      <c r="EM52">
        <v>4.9999900000000004</v>
      </c>
      <c r="EN52">
        <v>19638.599999999999</v>
      </c>
      <c r="EO52">
        <v>15864.7</v>
      </c>
      <c r="EP52">
        <v>47.75</v>
      </c>
      <c r="EQ52">
        <v>48.875</v>
      </c>
      <c r="ER52">
        <v>48.186999999999998</v>
      </c>
      <c r="ES52">
        <v>48.875</v>
      </c>
      <c r="ET52">
        <v>49.561999999999998</v>
      </c>
      <c r="EU52">
        <v>1755.61</v>
      </c>
      <c r="EV52">
        <v>39.479999999999997</v>
      </c>
      <c r="EW52">
        <v>0</v>
      </c>
      <c r="EX52">
        <v>116</v>
      </c>
      <c r="EY52">
        <v>0</v>
      </c>
      <c r="EZ52">
        <v>760.04319230769238</v>
      </c>
      <c r="FA52">
        <v>-0.6882393156237534</v>
      </c>
      <c r="FB52">
        <v>238.61880374964741</v>
      </c>
      <c r="FC52">
        <v>19622.146153846152</v>
      </c>
      <c r="FD52">
        <v>15</v>
      </c>
      <c r="FE52">
        <v>1689005991.0999999</v>
      </c>
      <c r="FF52" t="s">
        <v>606</v>
      </c>
      <c r="FG52">
        <v>1689005984.0999999</v>
      </c>
      <c r="FH52">
        <v>1689005991.0999999</v>
      </c>
      <c r="FI52">
        <v>40</v>
      </c>
      <c r="FJ52">
        <v>6.7000000000000004E-2</v>
      </c>
      <c r="FK52">
        <v>-3.0000000000000001E-3</v>
      </c>
      <c r="FL52">
        <v>-0.245</v>
      </c>
      <c r="FM52">
        <v>0.115</v>
      </c>
      <c r="FN52">
        <v>30</v>
      </c>
      <c r="FO52">
        <v>21</v>
      </c>
      <c r="FP52">
        <v>0.25</v>
      </c>
      <c r="FQ52">
        <v>0.01</v>
      </c>
      <c r="FR52">
        <v>4.3869332327611543</v>
      </c>
      <c r="FS52">
        <v>-0.5324623925583436</v>
      </c>
      <c r="FT52">
        <v>4.2915793576435421E-2</v>
      </c>
      <c r="FU52">
        <v>1</v>
      </c>
      <c r="FV52">
        <v>0.41009465798905548</v>
      </c>
      <c r="FW52">
        <v>4.0222260667042639E-2</v>
      </c>
      <c r="FX52">
        <v>4.2410771352963074E-3</v>
      </c>
      <c r="FY52">
        <v>1</v>
      </c>
      <c r="FZ52">
        <v>2</v>
      </c>
      <c r="GA52">
        <v>2</v>
      </c>
      <c r="GB52" t="s">
        <v>423</v>
      </c>
      <c r="GC52">
        <v>2.95886</v>
      </c>
      <c r="GD52">
        <v>2.74315</v>
      </c>
      <c r="GE52">
        <v>6.9599700000000002E-3</v>
      </c>
      <c r="GF52">
        <v>8.3455000000000005E-3</v>
      </c>
      <c r="GG52">
        <v>0.12908900000000001</v>
      </c>
      <c r="GH52">
        <v>0.105548</v>
      </c>
      <c r="GI52">
        <v>23328.7</v>
      </c>
      <c r="GJ52">
        <v>21698.3</v>
      </c>
      <c r="GK52">
        <v>23423.200000000001</v>
      </c>
      <c r="GL52">
        <v>21928.3</v>
      </c>
      <c r="GM52">
        <v>28760.6</v>
      </c>
      <c r="GN52">
        <v>27356.5</v>
      </c>
      <c r="GO52">
        <v>36960.199999999997</v>
      </c>
      <c r="GP52">
        <v>34111.800000000003</v>
      </c>
      <c r="GQ52">
        <v>1.99997</v>
      </c>
      <c r="GR52">
        <v>1.8379700000000001</v>
      </c>
      <c r="GS52">
        <v>3.5949099999999998E-2</v>
      </c>
      <c r="GT52">
        <v>0</v>
      </c>
      <c r="GU52">
        <v>29.461500000000001</v>
      </c>
      <c r="GV52">
        <v>999.9</v>
      </c>
      <c r="GW52">
        <v>33.700000000000003</v>
      </c>
      <c r="GX52">
        <v>43.2</v>
      </c>
      <c r="GY52">
        <v>29.818999999999999</v>
      </c>
      <c r="GZ52">
        <v>60.451300000000003</v>
      </c>
      <c r="HA52">
        <v>39.723599999999998</v>
      </c>
      <c r="HB52">
        <v>1</v>
      </c>
      <c r="HC52">
        <v>0.46983999999999998</v>
      </c>
      <c r="HD52">
        <v>2.8246899999999999</v>
      </c>
      <c r="HE52">
        <v>20.090900000000001</v>
      </c>
      <c r="HF52">
        <v>5.2613200000000004</v>
      </c>
      <c r="HG52">
        <v>11.962</v>
      </c>
      <c r="HH52">
        <v>4.9796500000000004</v>
      </c>
      <c r="HI52">
        <v>3.2979500000000002</v>
      </c>
      <c r="HJ52">
        <v>9999</v>
      </c>
      <c r="HK52">
        <v>9999</v>
      </c>
      <c r="HL52">
        <v>9999</v>
      </c>
      <c r="HM52">
        <v>999.9</v>
      </c>
      <c r="HN52">
        <v>1.8641099999999999</v>
      </c>
      <c r="HO52">
        <v>1.86005</v>
      </c>
      <c r="HP52">
        <v>1.8666700000000001</v>
      </c>
      <c r="HQ52">
        <v>1.8633999999999999</v>
      </c>
      <c r="HR52">
        <v>1.8620300000000001</v>
      </c>
      <c r="HS52">
        <v>1.8620300000000001</v>
      </c>
      <c r="HT52">
        <v>1.8633500000000001</v>
      </c>
      <c r="HU52">
        <v>1.8646</v>
      </c>
      <c r="HV52">
        <v>0</v>
      </c>
      <c r="HW52">
        <v>0</v>
      </c>
      <c r="HX52">
        <v>0</v>
      </c>
      <c r="HY52">
        <v>0</v>
      </c>
      <c r="HZ52" t="s">
        <v>424</v>
      </c>
      <c r="IA52" t="s">
        <v>425</v>
      </c>
      <c r="IB52" t="s">
        <v>426</v>
      </c>
      <c r="IC52" t="s">
        <v>426</v>
      </c>
      <c r="ID52" t="s">
        <v>426</v>
      </c>
      <c r="IE52" t="s">
        <v>426</v>
      </c>
      <c r="IF52">
        <v>0</v>
      </c>
      <c r="IG52">
        <v>100</v>
      </c>
      <c r="IH52">
        <v>100</v>
      </c>
      <c r="II52">
        <v>-0.245</v>
      </c>
      <c r="IJ52">
        <v>0.1343</v>
      </c>
      <c r="IK52">
        <v>-0.24268232098287379</v>
      </c>
      <c r="IL52">
        <v>-8.3322953065825546E-5</v>
      </c>
      <c r="IM52">
        <v>2.3872336679552741E-7</v>
      </c>
      <c r="IN52">
        <v>-5.428329794194132E-11</v>
      </c>
      <c r="IO52">
        <v>0.13435075701298249</v>
      </c>
      <c r="IP52">
        <v>0</v>
      </c>
      <c r="IQ52">
        <v>0</v>
      </c>
      <c r="IR52">
        <v>0</v>
      </c>
      <c r="IS52">
        <v>2</v>
      </c>
      <c r="IT52">
        <v>2035</v>
      </c>
      <c r="IU52">
        <v>1</v>
      </c>
      <c r="IV52">
        <v>21</v>
      </c>
      <c r="IW52">
        <v>0.7</v>
      </c>
      <c r="IX52">
        <v>0.6</v>
      </c>
      <c r="IY52">
        <v>0.21850600000000001</v>
      </c>
      <c r="IZ52">
        <v>2.7441399999999998</v>
      </c>
      <c r="JA52">
        <v>1.4514199999999999</v>
      </c>
      <c r="JB52">
        <v>2.2802699999999998</v>
      </c>
      <c r="JC52">
        <v>1.5942400000000001</v>
      </c>
      <c r="JD52">
        <v>2.323</v>
      </c>
      <c r="JE52">
        <v>45.661799999999999</v>
      </c>
      <c r="JF52">
        <v>24.14</v>
      </c>
      <c r="JG52">
        <v>18</v>
      </c>
      <c r="JH52">
        <v>507.22</v>
      </c>
      <c r="JI52">
        <v>438.84500000000003</v>
      </c>
      <c r="JJ52">
        <v>26.976600000000001</v>
      </c>
      <c r="JK52">
        <v>32.874899999999997</v>
      </c>
      <c r="JL52">
        <v>30.0002</v>
      </c>
      <c r="JM52">
        <v>32.810099999999998</v>
      </c>
      <c r="JN52">
        <v>32.805900000000001</v>
      </c>
      <c r="JO52">
        <v>4.34138</v>
      </c>
      <c r="JP52">
        <v>34.026000000000003</v>
      </c>
      <c r="JQ52">
        <v>0</v>
      </c>
      <c r="JR52">
        <v>26.948799999999999</v>
      </c>
      <c r="JS52">
        <v>30</v>
      </c>
      <c r="JT52">
        <v>21.056799999999999</v>
      </c>
      <c r="JU52">
        <v>99.061999999999998</v>
      </c>
      <c r="JV52">
        <v>98.406499999999994</v>
      </c>
    </row>
    <row r="53" spans="1:282" x14ac:dyDescent="0.25">
      <c r="A53">
        <v>37</v>
      </c>
      <c r="B53">
        <v>1689006129.5999999</v>
      </c>
      <c r="C53">
        <v>6789</v>
      </c>
      <c r="D53" t="s">
        <v>607</v>
      </c>
      <c r="E53" t="s">
        <v>608</v>
      </c>
      <c r="F53" t="s">
        <v>414</v>
      </c>
      <c r="G53" t="s">
        <v>415</v>
      </c>
      <c r="H53" t="s">
        <v>577</v>
      </c>
      <c r="I53" t="s">
        <v>578</v>
      </c>
      <c r="J53" t="s">
        <v>416</v>
      </c>
      <c r="K53">
        <v>1689006129.5999999</v>
      </c>
      <c r="L53">
        <f t="shared" si="46"/>
        <v>6.0309798423356219E-3</v>
      </c>
      <c r="M53">
        <f t="shared" si="47"/>
        <v>6.030979842335622</v>
      </c>
      <c r="N53">
        <f t="shared" si="48"/>
        <v>1.4553909777781646</v>
      </c>
      <c r="O53">
        <f t="shared" si="49"/>
        <v>8.4354099999999992</v>
      </c>
      <c r="P53">
        <f t="shared" si="50"/>
        <v>2.4300142467333967</v>
      </c>
      <c r="Q53">
        <f t="shared" si="51"/>
        <v>0.24132842012881706</v>
      </c>
      <c r="R53">
        <f t="shared" si="52"/>
        <v>0.83773342941316797</v>
      </c>
      <c r="S53">
        <f t="shared" si="53"/>
        <v>0.42378390532161964</v>
      </c>
      <c r="T53">
        <f t="shared" si="54"/>
        <v>2.912515047145082</v>
      </c>
      <c r="U53">
        <f t="shared" si="55"/>
        <v>0.39226726823686175</v>
      </c>
      <c r="V53">
        <f t="shared" si="56"/>
        <v>0.24780307846887983</v>
      </c>
      <c r="W53">
        <f t="shared" si="57"/>
        <v>289.55472001269987</v>
      </c>
      <c r="X53">
        <f t="shared" si="58"/>
        <v>30.029282086900022</v>
      </c>
      <c r="Y53">
        <f t="shared" si="59"/>
        <v>29.996500000000001</v>
      </c>
      <c r="Z53">
        <f t="shared" si="60"/>
        <v>4.2595933388490739</v>
      </c>
      <c r="AA53">
        <f t="shared" si="61"/>
        <v>65.828723221137267</v>
      </c>
      <c r="AB53">
        <f t="shared" si="62"/>
        <v>2.7868800089376</v>
      </c>
      <c r="AC53">
        <f t="shared" si="63"/>
        <v>4.233531918241348</v>
      </c>
      <c r="AD53">
        <f t="shared" si="64"/>
        <v>1.4727133299114739</v>
      </c>
      <c r="AE53">
        <f t="shared" si="65"/>
        <v>-265.96621104700091</v>
      </c>
      <c r="AF53">
        <f t="shared" si="66"/>
        <v>-16.769683798475995</v>
      </c>
      <c r="AG53">
        <f t="shared" si="67"/>
        <v>-1.2795318860046618</v>
      </c>
      <c r="AH53">
        <f t="shared" si="68"/>
        <v>5.5392932812183346</v>
      </c>
      <c r="AI53">
        <v>0</v>
      </c>
      <c r="AJ53">
        <v>0</v>
      </c>
      <c r="AK53">
        <f t="shared" si="69"/>
        <v>1</v>
      </c>
      <c r="AL53">
        <f t="shared" si="70"/>
        <v>0</v>
      </c>
      <c r="AM53">
        <f t="shared" si="71"/>
        <v>51869.623757131078</v>
      </c>
      <c r="AN53" t="s">
        <v>418</v>
      </c>
      <c r="AO53">
        <v>8197.4</v>
      </c>
      <c r="AP53">
        <v>619.92999999999995</v>
      </c>
      <c r="AQ53">
        <v>3131.443117258741</v>
      </c>
      <c r="AR53">
        <f t="shared" si="72"/>
        <v>0.80203057287443702</v>
      </c>
      <c r="AS53">
        <v>-1.0448500102641549</v>
      </c>
      <c r="AT53" t="s">
        <v>609</v>
      </c>
      <c r="AU53">
        <v>8189.86</v>
      </c>
      <c r="AV53">
        <v>766.71588000000008</v>
      </c>
      <c r="AW53">
        <v>827.87630614900911</v>
      </c>
      <c r="AX53">
        <f t="shared" si="73"/>
        <v>7.3876285255107699E-2</v>
      </c>
      <c r="AY53">
        <v>0.5</v>
      </c>
      <c r="AZ53">
        <f t="shared" si="74"/>
        <v>1513.1256000065803</v>
      </c>
      <c r="BA53">
        <f t="shared" si="75"/>
        <v>1.4553909777781646</v>
      </c>
      <c r="BB53">
        <f t="shared" si="76"/>
        <v>55.892049226446055</v>
      </c>
      <c r="BC53">
        <f t="shared" si="77"/>
        <v>1.6523684405520909E-3</v>
      </c>
      <c r="BD53">
        <f t="shared" si="78"/>
        <v>2.7825011949250231</v>
      </c>
      <c r="BE53">
        <f t="shared" si="79"/>
        <v>399.73558566598854</v>
      </c>
      <c r="BF53" t="s">
        <v>610</v>
      </c>
      <c r="BG53">
        <v>646.69000000000005</v>
      </c>
      <c r="BH53">
        <f t="shared" si="80"/>
        <v>646.69000000000005</v>
      </c>
      <c r="BI53">
        <f t="shared" si="81"/>
        <v>0.2188567359679906</v>
      </c>
      <c r="BJ53">
        <f t="shared" si="82"/>
        <v>0.33755545575674029</v>
      </c>
      <c r="BK53">
        <f t="shared" si="83"/>
        <v>0.92708076110639936</v>
      </c>
      <c r="BL53">
        <f t="shared" si="84"/>
        <v>0.29411643458183373</v>
      </c>
      <c r="BM53">
        <f t="shared" si="85"/>
        <v>0.9172027791851719</v>
      </c>
      <c r="BN53">
        <f t="shared" si="86"/>
        <v>0.28471268611695688</v>
      </c>
      <c r="BO53">
        <f t="shared" si="87"/>
        <v>0.71528731388304312</v>
      </c>
      <c r="BP53">
        <v>13642</v>
      </c>
      <c r="BQ53">
        <v>290.00000000000011</v>
      </c>
      <c r="BR53">
        <v>804.53</v>
      </c>
      <c r="BS53">
        <v>165</v>
      </c>
      <c r="BT53">
        <v>8189.86</v>
      </c>
      <c r="BU53">
        <v>803.39</v>
      </c>
      <c r="BV53">
        <v>1.1399999999999999</v>
      </c>
      <c r="BW53">
        <v>300.00000000000011</v>
      </c>
      <c r="BX53">
        <v>19.3</v>
      </c>
      <c r="BY53">
        <v>827.87630614900911</v>
      </c>
      <c r="BZ53">
        <v>2.2629603582003042</v>
      </c>
      <c r="CA53">
        <v>-20.05408525986212</v>
      </c>
      <c r="CB53">
        <v>1.70002138476479</v>
      </c>
      <c r="CC53">
        <v>0.83249020134713392</v>
      </c>
      <c r="CD53">
        <v>-4.2355899888765376E-3</v>
      </c>
      <c r="CE53">
        <v>289.99999999999989</v>
      </c>
      <c r="CF53">
        <v>801.49</v>
      </c>
      <c r="CG53">
        <v>665</v>
      </c>
      <c r="CH53">
        <v>8169.61</v>
      </c>
      <c r="CI53">
        <v>803.33</v>
      </c>
      <c r="CJ53">
        <v>-1.84</v>
      </c>
      <c r="CX53">
        <f t="shared" si="88"/>
        <v>1799.93</v>
      </c>
      <c r="CY53">
        <f t="shared" si="89"/>
        <v>1513.1256000065803</v>
      </c>
      <c r="CZ53">
        <f t="shared" si="90"/>
        <v>0.84065802559353986</v>
      </c>
      <c r="DA53">
        <f t="shared" si="91"/>
        <v>0.16086998939553199</v>
      </c>
      <c r="DB53">
        <v>6</v>
      </c>
      <c r="DC53">
        <v>0.5</v>
      </c>
      <c r="DD53" t="s">
        <v>421</v>
      </c>
      <c r="DE53">
        <v>2</v>
      </c>
      <c r="DF53">
        <v>1689006129.5999999</v>
      </c>
      <c r="DG53">
        <v>8.4354099999999992</v>
      </c>
      <c r="DH53">
        <v>10.242699999999999</v>
      </c>
      <c r="DI53">
        <v>28.062000000000001</v>
      </c>
      <c r="DJ53">
        <v>21.0288</v>
      </c>
      <c r="DK53">
        <v>8.6869800000000001</v>
      </c>
      <c r="DL53">
        <v>27.932500000000001</v>
      </c>
      <c r="DM53">
        <v>500.06299999999999</v>
      </c>
      <c r="DN53">
        <v>99.2119</v>
      </c>
      <c r="DO53">
        <v>9.9624799999999999E-2</v>
      </c>
      <c r="DP53">
        <v>29.889700000000001</v>
      </c>
      <c r="DQ53">
        <v>29.996500000000001</v>
      </c>
      <c r="DR53">
        <v>999.9</v>
      </c>
      <c r="DS53">
        <v>0</v>
      </c>
      <c r="DT53">
        <v>0</v>
      </c>
      <c r="DU53">
        <v>9981.8799999999992</v>
      </c>
      <c r="DV53">
        <v>0</v>
      </c>
      <c r="DW53">
        <v>2007.91</v>
      </c>
      <c r="DX53">
        <v>-1.8073399999999999</v>
      </c>
      <c r="DY53">
        <v>8.67896</v>
      </c>
      <c r="DZ53">
        <v>10.4628</v>
      </c>
      <c r="EA53">
        <v>7.03322</v>
      </c>
      <c r="EB53">
        <v>10.242699999999999</v>
      </c>
      <c r="EC53">
        <v>21.0288</v>
      </c>
      <c r="ED53">
        <v>2.7840799999999999</v>
      </c>
      <c r="EE53">
        <v>2.0863</v>
      </c>
      <c r="EF53">
        <v>22.79</v>
      </c>
      <c r="EG53">
        <v>18.114999999999998</v>
      </c>
      <c r="EH53">
        <v>1799.93</v>
      </c>
      <c r="EI53">
        <v>0.97800600000000004</v>
      </c>
      <c r="EJ53">
        <v>2.1994400000000001E-2</v>
      </c>
      <c r="EK53">
        <v>0</v>
      </c>
      <c r="EL53">
        <v>766.63800000000003</v>
      </c>
      <c r="EM53">
        <v>4.9999900000000004</v>
      </c>
      <c r="EN53">
        <v>20126.7</v>
      </c>
      <c r="EO53">
        <v>15863.2</v>
      </c>
      <c r="EP53">
        <v>48</v>
      </c>
      <c r="EQ53">
        <v>49.25</v>
      </c>
      <c r="ER53">
        <v>48.436999999999998</v>
      </c>
      <c r="ES53">
        <v>49.125</v>
      </c>
      <c r="ET53">
        <v>49.75</v>
      </c>
      <c r="EU53">
        <v>1755.45</v>
      </c>
      <c r="EV53">
        <v>39.479999999999997</v>
      </c>
      <c r="EW53">
        <v>0</v>
      </c>
      <c r="EX53">
        <v>103.4000000953674</v>
      </c>
      <c r="EY53">
        <v>0</v>
      </c>
      <c r="EZ53">
        <v>766.71588000000008</v>
      </c>
      <c r="FA53">
        <v>-1.583923074496129</v>
      </c>
      <c r="FB53">
        <v>288.08461544154312</v>
      </c>
      <c r="FC53">
        <v>20092.32</v>
      </c>
      <c r="FD53">
        <v>15</v>
      </c>
      <c r="FE53">
        <v>1689006096.5999999</v>
      </c>
      <c r="FF53" t="s">
        <v>611</v>
      </c>
      <c r="FG53">
        <v>1689006096.5999999</v>
      </c>
      <c r="FH53">
        <v>1689006094.5999999</v>
      </c>
      <c r="FI53">
        <v>41</v>
      </c>
      <c r="FJ53">
        <v>-8.0000000000000002E-3</v>
      </c>
      <c r="FK53">
        <v>-5.0000000000000001E-3</v>
      </c>
      <c r="FL53">
        <v>-0.252</v>
      </c>
      <c r="FM53">
        <v>0.114</v>
      </c>
      <c r="FN53">
        <v>10</v>
      </c>
      <c r="FO53">
        <v>21</v>
      </c>
      <c r="FP53">
        <v>0.32</v>
      </c>
      <c r="FQ53">
        <v>0.01</v>
      </c>
      <c r="FR53">
        <v>1.468523110585827</v>
      </c>
      <c r="FS53">
        <v>-0.4201614020122415</v>
      </c>
      <c r="FT53">
        <v>3.8845181297950351E-2</v>
      </c>
      <c r="FU53">
        <v>1</v>
      </c>
      <c r="FV53">
        <v>0.42047162259590309</v>
      </c>
      <c r="FW53">
        <v>3.8262325210332931E-2</v>
      </c>
      <c r="FX53">
        <v>3.3548909323713148E-3</v>
      </c>
      <c r="FY53">
        <v>1</v>
      </c>
      <c r="FZ53">
        <v>2</v>
      </c>
      <c r="GA53">
        <v>2</v>
      </c>
      <c r="GB53" t="s">
        <v>423</v>
      </c>
      <c r="GC53">
        <v>2.9588100000000002</v>
      </c>
      <c r="GD53">
        <v>2.7426900000000001</v>
      </c>
      <c r="GE53">
        <v>2.42691E-3</v>
      </c>
      <c r="GF53">
        <v>2.85426E-3</v>
      </c>
      <c r="GG53">
        <v>0.12912399999999999</v>
      </c>
      <c r="GH53">
        <v>0.105046</v>
      </c>
      <c r="GI53">
        <v>23428.1</v>
      </c>
      <c r="GJ53">
        <v>21811.9</v>
      </c>
      <c r="GK53">
        <v>23416.799999999999</v>
      </c>
      <c r="GL53">
        <v>21922.5</v>
      </c>
      <c r="GM53">
        <v>28751.9</v>
      </c>
      <c r="GN53">
        <v>27365</v>
      </c>
      <c r="GO53">
        <v>36949.9</v>
      </c>
      <c r="GP53">
        <v>34103.199999999997</v>
      </c>
      <c r="GQ53">
        <v>1.99878</v>
      </c>
      <c r="GR53">
        <v>1.8352999999999999</v>
      </c>
      <c r="GS53">
        <v>1.413E-2</v>
      </c>
      <c r="GT53">
        <v>0</v>
      </c>
      <c r="GU53">
        <v>29.766500000000001</v>
      </c>
      <c r="GV53">
        <v>999.9</v>
      </c>
      <c r="GW53">
        <v>33.5</v>
      </c>
      <c r="GX53">
        <v>43.4</v>
      </c>
      <c r="GY53">
        <v>29.951000000000001</v>
      </c>
      <c r="GZ53">
        <v>60.511299999999999</v>
      </c>
      <c r="HA53">
        <v>38.954300000000003</v>
      </c>
      <c r="HB53">
        <v>1</v>
      </c>
      <c r="HC53">
        <v>0.483491</v>
      </c>
      <c r="HD53">
        <v>3.4397099999999998</v>
      </c>
      <c r="HE53">
        <v>20.078700000000001</v>
      </c>
      <c r="HF53">
        <v>5.2617700000000003</v>
      </c>
      <c r="HG53">
        <v>11.962</v>
      </c>
      <c r="HH53">
        <v>4.9792500000000004</v>
      </c>
      <c r="HI53">
        <v>3.2973300000000001</v>
      </c>
      <c r="HJ53">
        <v>9999</v>
      </c>
      <c r="HK53">
        <v>9999</v>
      </c>
      <c r="HL53">
        <v>9999</v>
      </c>
      <c r="HM53">
        <v>999.9</v>
      </c>
      <c r="HN53">
        <v>1.86415</v>
      </c>
      <c r="HO53">
        <v>1.86008</v>
      </c>
      <c r="HP53">
        <v>1.86673</v>
      </c>
      <c r="HQ53">
        <v>1.8633999999999999</v>
      </c>
      <c r="HR53">
        <v>1.8620300000000001</v>
      </c>
      <c r="HS53">
        <v>1.8620399999999999</v>
      </c>
      <c r="HT53">
        <v>1.8633500000000001</v>
      </c>
      <c r="HU53">
        <v>1.8646199999999999</v>
      </c>
      <c r="HV53">
        <v>0</v>
      </c>
      <c r="HW53">
        <v>0</v>
      </c>
      <c r="HX53">
        <v>0</v>
      </c>
      <c r="HY53">
        <v>0</v>
      </c>
      <c r="HZ53" t="s">
        <v>424</v>
      </c>
      <c r="IA53" t="s">
        <v>425</v>
      </c>
      <c r="IB53" t="s">
        <v>426</v>
      </c>
      <c r="IC53" t="s">
        <v>426</v>
      </c>
      <c r="ID53" t="s">
        <v>426</v>
      </c>
      <c r="IE53" t="s">
        <v>426</v>
      </c>
      <c r="IF53">
        <v>0</v>
      </c>
      <c r="IG53">
        <v>100</v>
      </c>
      <c r="IH53">
        <v>100</v>
      </c>
      <c r="II53">
        <v>-0.252</v>
      </c>
      <c r="IJ53">
        <v>0.1295</v>
      </c>
      <c r="IK53">
        <v>-0.25086314371682811</v>
      </c>
      <c r="IL53">
        <v>-8.3322953065825546E-5</v>
      </c>
      <c r="IM53">
        <v>2.3872336679552741E-7</v>
      </c>
      <c r="IN53">
        <v>-5.428329794194132E-11</v>
      </c>
      <c r="IO53">
        <v>0.1294946711037788</v>
      </c>
      <c r="IP53">
        <v>0</v>
      </c>
      <c r="IQ53">
        <v>0</v>
      </c>
      <c r="IR53">
        <v>0</v>
      </c>
      <c r="IS53">
        <v>2</v>
      </c>
      <c r="IT53">
        <v>2035</v>
      </c>
      <c r="IU53">
        <v>1</v>
      </c>
      <c r="IV53">
        <v>21</v>
      </c>
      <c r="IW53">
        <v>0.6</v>
      </c>
      <c r="IX53">
        <v>0.6</v>
      </c>
      <c r="IY53">
        <v>0.17089799999999999</v>
      </c>
      <c r="IZ53">
        <v>2.7673299999999998</v>
      </c>
      <c r="JA53">
        <v>1.4526399999999999</v>
      </c>
      <c r="JB53">
        <v>2.2802699999999998</v>
      </c>
      <c r="JC53">
        <v>1.5942400000000001</v>
      </c>
      <c r="JD53">
        <v>2.3022499999999999</v>
      </c>
      <c r="JE53">
        <v>45.863199999999999</v>
      </c>
      <c r="JF53">
        <v>24.1313</v>
      </c>
      <c r="JG53">
        <v>18</v>
      </c>
      <c r="JH53">
        <v>507.59100000000001</v>
      </c>
      <c r="JI53">
        <v>438.11500000000001</v>
      </c>
      <c r="JJ53">
        <v>26.3215</v>
      </c>
      <c r="JK53">
        <v>33.006300000000003</v>
      </c>
      <c r="JL53">
        <v>30.000299999999999</v>
      </c>
      <c r="JM53">
        <v>32.944000000000003</v>
      </c>
      <c r="JN53">
        <v>32.945300000000003</v>
      </c>
      <c r="JO53">
        <v>3.3885299999999998</v>
      </c>
      <c r="JP53">
        <v>34.860399999999998</v>
      </c>
      <c r="JQ53">
        <v>0</v>
      </c>
      <c r="JR53">
        <v>26.329599999999999</v>
      </c>
      <c r="JS53">
        <v>10</v>
      </c>
      <c r="JT53">
        <v>20.851600000000001</v>
      </c>
      <c r="JU53">
        <v>99.034499999999994</v>
      </c>
      <c r="JV53">
        <v>98.381200000000007</v>
      </c>
    </row>
    <row r="54" spans="1:282" x14ac:dyDescent="0.25">
      <c r="A54">
        <v>38</v>
      </c>
      <c r="B54">
        <v>1689006319.0999999</v>
      </c>
      <c r="C54">
        <v>6978.5</v>
      </c>
      <c r="D54" t="s">
        <v>612</v>
      </c>
      <c r="E54" t="s">
        <v>613</v>
      </c>
      <c r="F54" t="s">
        <v>414</v>
      </c>
      <c r="G54" t="s">
        <v>415</v>
      </c>
      <c r="H54" t="s">
        <v>577</v>
      </c>
      <c r="I54" t="s">
        <v>578</v>
      </c>
      <c r="J54" t="s">
        <v>416</v>
      </c>
      <c r="K54">
        <v>1689006319.0999999</v>
      </c>
      <c r="L54">
        <f t="shared" si="46"/>
        <v>5.7166102606732473E-3</v>
      </c>
      <c r="M54">
        <f t="shared" si="47"/>
        <v>5.7166102606732476</v>
      </c>
      <c r="N54">
        <f t="shared" si="48"/>
        <v>48.743804289153914</v>
      </c>
      <c r="O54">
        <f t="shared" si="49"/>
        <v>339.22199999999998</v>
      </c>
      <c r="P54">
        <f t="shared" si="50"/>
        <v>125.30589990380312</v>
      </c>
      <c r="Q54">
        <f t="shared" si="51"/>
        <v>12.445371941443144</v>
      </c>
      <c r="R54">
        <f t="shared" si="52"/>
        <v>33.6915018683178</v>
      </c>
      <c r="S54">
        <f t="shared" si="53"/>
        <v>0.39872784586547211</v>
      </c>
      <c r="T54">
        <f t="shared" si="54"/>
        <v>2.9191179047675271</v>
      </c>
      <c r="U54">
        <f t="shared" si="55"/>
        <v>0.37075439810739558</v>
      </c>
      <c r="V54">
        <f t="shared" si="56"/>
        <v>0.23407105283855009</v>
      </c>
      <c r="W54">
        <f t="shared" si="57"/>
        <v>289.56922501270896</v>
      </c>
      <c r="X54">
        <f t="shared" si="58"/>
        <v>30.099840338054548</v>
      </c>
      <c r="Y54">
        <f t="shared" si="59"/>
        <v>29.8977</v>
      </c>
      <c r="Z54">
        <f t="shared" si="60"/>
        <v>4.2354792580123686</v>
      </c>
      <c r="AA54">
        <f t="shared" si="61"/>
        <v>65.188016521530642</v>
      </c>
      <c r="AB54">
        <f t="shared" si="62"/>
        <v>2.7579949917191198</v>
      </c>
      <c r="AC54">
        <f t="shared" si="63"/>
        <v>4.2308312768009966</v>
      </c>
      <c r="AD54">
        <f t="shared" si="64"/>
        <v>1.4774842662932488</v>
      </c>
      <c r="AE54">
        <f t="shared" si="65"/>
        <v>-252.10251249569021</v>
      </c>
      <c r="AF54">
        <f t="shared" si="66"/>
        <v>-3.0058717536031572</v>
      </c>
      <c r="AG54">
        <f t="shared" si="67"/>
        <v>-0.2287056357939426</v>
      </c>
      <c r="AH54">
        <f t="shared" si="68"/>
        <v>34.232135127621675</v>
      </c>
      <c r="AI54">
        <v>0</v>
      </c>
      <c r="AJ54">
        <v>0</v>
      </c>
      <c r="AK54">
        <f t="shared" si="69"/>
        <v>1</v>
      </c>
      <c r="AL54">
        <f t="shared" si="70"/>
        <v>0</v>
      </c>
      <c r="AM54">
        <f t="shared" si="71"/>
        <v>52059.774889110049</v>
      </c>
      <c r="AN54" t="s">
        <v>418</v>
      </c>
      <c r="AO54">
        <v>8197.4</v>
      </c>
      <c r="AP54">
        <v>619.92999999999995</v>
      </c>
      <c r="AQ54">
        <v>3131.443117258741</v>
      </c>
      <c r="AR54">
        <f t="shared" si="72"/>
        <v>0.80203057287443702</v>
      </c>
      <c r="AS54">
        <v>-1.0448500102641549</v>
      </c>
      <c r="AT54" t="s">
        <v>614</v>
      </c>
      <c r="AU54">
        <v>8180.1</v>
      </c>
      <c r="AV54">
        <v>736.06849999999997</v>
      </c>
      <c r="AW54">
        <v>1119.4283902281741</v>
      </c>
      <c r="AX54">
        <f t="shared" si="73"/>
        <v>0.34246039637250358</v>
      </c>
      <c r="AY54">
        <v>0.5</v>
      </c>
      <c r="AZ54">
        <f t="shared" si="74"/>
        <v>1513.193700006585</v>
      </c>
      <c r="BA54">
        <f t="shared" si="75"/>
        <v>48.743804289153914</v>
      </c>
      <c r="BB54">
        <f t="shared" si="76"/>
        <v>259.10445714631521</v>
      </c>
      <c r="BC54">
        <f t="shared" si="77"/>
        <v>3.2903027748001731E-2</v>
      </c>
      <c r="BD54">
        <f t="shared" si="78"/>
        <v>1.7973590312645691</v>
      </c>
      <c r="BE54">
        <f t="shared" si="79"/>
        <v>457.23549036080607</v>
      </c>
      <c r="BF54" t="s">
        <v>615</v>
      </c>
      <c r="BG54">
        <v>597.03</v>
      </c>
      <c r="BH54">
        <f t="shared" si="80"/>
        <v>597.03</v>
      </c>
      <c r="BI54">
        <f t="shared" si="81"/>
        <v>0.46666530417518992</v>
      </c>
      <c r="BJ54">
        <f t="shared" si="82"/>
        <v>0.73384584906689598</v>
      </c>
      <c r="BK54">
        <f t="shared" si="83"/>
        <v>0.79387796461801452</v>
      </c>
      <c r="BL54">
        <f t="shared" si="84"/>
        <v>0.76748974116423641</v>
      </c>
      <c r="BM54">
        <f t="shared" si="85"/>
        <v>0.80111655129503556</v>
      </c>
      <c r="BN54">
        <f t="shared" si="86"/>
        <v>0.59522719321423068</v>
      </c>
      <c r="BO54">
        <f t="shared" si="87"/>
        <v>0.40477280678576932</v>
      </c>
      <c r="BP54">
        <v>13644</v>
      </c>
      <c r="BQ54">
        <v>290.00000000000011</v>
      </c>
      <c r="BR54">
        <v>965.55</v>
      </c>
      <c r="BS54">
        <v>285</v>
      </c>
      <c r="BT54">
        <v>8180.1</v>
      </c>
      <c r="BU54">
        <v>968.5</v>
      </c>
      <c r="BV54">
        <v>-2.95</v>
      </c>
      <c r="BW54">
        <v>300.00000000000011</v>
      </c>
      <c r="BX54">
        <v>19.3</v>
      </c>
      <c r="BY54">
        <v>1119.4283902281741</v>
      </c>
      <c r="BZ54">
        <v>5.5775058931606729</v>
      </c>
      <c r="CA54">
        <v>-123.45893740712459</v>
      </c>
      <c r="CB54">
        <v>4.189921605090003</v>
      </c>
      <c r="CC54">
        <v>0.9687579142662025</v>
      </c>
      <c r="CD54">
        <v>-4.2361619577308126E-3</v>
      </c>
      <c r="CE54">
        <v>289.99999999999989</v>
      </c>
      <c r="CF54">
        <v>953.39</v>
      </c>
      <c r="CG54">
        <v>625</v>
      </c>
      <c r="CH54">
        <v>8170.59</v>
      </c>
      <c r="CI54">
        <v>968.33</v>
      </c>
      <c r="CJ54">
        <v>-14.94</v>
      </c>
      <c r="CX54">
        <f t="shared" si="88"/>
        <v>1800.01</v>
      </c>
      <c r="CY54">
        <f t="shared" si="89"/>
        <v>1513.193700006585</v>
      </c>
      <c r="CZ54">
        <f t="shared" si="90"/>
        <v>0.84065849634534529</v>
      </c>
      <c r="DA54">
        <f t="shared" si="91"/>
        <v>0.16087089794651638</v>
      </c>
      <c r="DB54">
        <v>6</v>
      </c>
      <c r="DC54">
        <v>0.5</v>
      </c>
      <c r="DD54" t="s">
        <v>421</v>
      </c>
      <c r="DE54">
        <v>2</v>
      </c>
      <c r="DF54">
        <v>1689006319.0999999</v>
      </c>
      <c r="DG54">
        <v>339.22199999999998</v>
      </c>
      <c r="DH54">
        <v>400.02300000000002</v>
      </c>
      <c r="DI54">
        <v>27.768799999999999</v>
      </c>
      <c r="DJ54">
        <v>21.101400000000002</v>
      </c>
      <c r="DK54">
        <v>339.53399999999999</v>
      </c>
      <c r="DL54">
        <v>27.6281</v>
      </c>
      <c r="DM54">
        <v>500.15300000000002</v>
      </c>
      <c r="DN54">
        <v>99.22</v>
      </c>
      <c r="DO54">
        <v>9.9919900000000006E-2</v>
      </c>
      <c r="DP54">
        <v>29.878599999999999</v>
      </c>
      <c r="DQ54">
        <v>29.8977</v>
      </c>
      <c r="DR54">
        <v>999.9</v>
      </c>
      <c r="DS54">
        <v>0</v>
      </c>
      <c r="DT54">
        <v>0</v>
      </c>
      <c r="DU54">
        <v>10018.799999999999</v>
      </c>
      <c r="DV54">
        <v>0</v>
      </c>
      <c r="DW54">
        <v>1973.69</v>
      </c>
      <c r="DX54">
        <v>-60.801099999999998</v>
      </c>
      <c r="DY54">
        <v>348.911</v>
      </c>
      <c r="DZ54">
        <v>408.64600000000002</v>
      </c>
      <c r="EA54">
        <v>6.6673799999999996</v>
      </c>
      <c r="EB54">
        <v>400.02300000000002</v>
      </c>
      <c r="EC54">
        <v>21.101400000000002</v>
      </c>
      <c r="ED54">
        <v>2.75522</v>
      </c>
      <c r="EE54">
        <v>2.09368</v>
      </c>
      <c r="EF54">
        <v>22.618200000000002</v>
      </c>
      <c r="EG54">
        <v>18.171199999999999</v>
      </c>
      <c r="EH54">
        <v>1800.01</v>
      </c>
      <c r="EI54">
        <v>0.97799100000000005</v>
      </c>
      <c r="EJ54">
        <v>2.20092E-2</v>
      </c>
      <c r="EK54">
        <v>0</v>
      </c>
      <c r="EL54">
        <v>737.11199999999997</v>
      </c>
      <c r="EM54">
        <v>4.9999900000000004</v>
      </c>
      <c r="EN54">
        <v>19607.3</v>
      </c>
      <c r="EO54">
        <v>15863.9</v>
      </c>
      <c r="EP54">
        <v>48.25</v>
      </c>
      <c r="EQ54">
        <v>49.5</v>
      </c>
      <c r="ER54">
        <v>48.686999999999998</v>
      </c>
      <c r="ES54">
        <v>49.436999999999998</v>
      </c>
      <c r="ET54">
        <v>50.061999999999998</v>
      </c>
      <c r="EU54">
        <v>1755.5</v>
      </c>
      <c r="EV54">
        <v>39.51</v>
      </c>
      <c r="EW54">
        <v>0</v>
      </c>
      <c r="EX54">
        <v>187.79999995231631</v>
      </c>
      <c r="EY54">
        <v>0</v>
      </c>
      <c r="EZ54">
        <v>736.06849999999997</v>
      </c>
      <c r="FA54">
        <v>5.2730598118481469</v>
      </c>
      <c r="FB54">
        <v>-181.11111042664859</v>
      </c>
      <c r="FC54">
        <v>19626.98076923077</v>
      </c>
      <c r="FD54">
        <v>15</v>
      </c>
      <c r="FE54">
        <v>1689006238.5999999</v>
      </c>
      <c r="FF54" t="s">
        <v>616</v>
      </c>
      <c r="FG54">
        <v>1689006224.0999999</v>
      </c>
      <c r="FH54">
        <v>1689006238.5999999</v>
      </c>
      <c r="FI54">
        <v>42</v>
      </c>
      <c r="FJ54">
        <v>-5.7000000000000002E-2</v>
      </c>
      <c r="FK54">
        <v>1.0999999999999999E-2</v>
      </c>
      <c r="FL54">
        <v>-0.307</v>
      </c>
      <c r="FM54">
        <v>0.115</v>
      </c>
      <c r="FN54">
        <v>400</v>
      </c>
      <c r="FO54">
        <v>21</v>
      </c>
      <c r="FP54">
        <v>0.03</v>
      </c>
      <c r="FQ54">
        <v>0.01</v>
      </c>
      <c r="FR54">
        <v>48.397239556990471</v>
      </c>
      <c r="FS54">
        <v>2.2921041742663388</v>
      </c>
      <c r="FT54">
        <v>0.16832047303279901</v>
      </c>
      <c r="FU54">
        <v>0</v>
      </c>
      <c r="FV54">
        <v>0.40081595547428273</v>
      </c>
      <c r="FW54">
        <v>-1.7243725698819011E-2</v>
      </c>
      <c r="FX54">
        <v>1.2836740406192389E-3</v>
      </c>
      <c r="FY54">
        <v>1</v>
      </c>
      <c r="FZ54">
        <v>1</v>
      </c>
      <c r="GA54">
        <v>2</v>
      </c>
      <c r="GB54" t="s">
        <v>462</v>
      </c>
      <c r="GC54">
        <v>2.9587500000000002</v>
      </c>
      <c r="GD54">
        <v>2.7433100000000001</v>
      </c>
      <c r="GE54">
        <v>7.8288300000000005E-2</v>
      </c>
      <c r="GF54">
        <v>8.8873199999999999E-2</v>
      </c>
      <c r="GG54">
        <v>0.128084</v>
      </c>
      <c r="GH54">
        <v>0.10524600000000001</v>
      </c>
      <c r="GI54">
        <v>21636.5</v>
      </c>
      <c r="GJ54">
        <v>19920.400000000001</v>
      </c>
      <c r="GK54">
        <v>23405</v>
      </c>
      <c r="GL54">
        <v>21910.7</v>
      </c>
      <c r="GM54">
        <v>28778.7</v>
      </c>
      <c r="GN54">
        <v>27351.4</v>
      </c>
      <c r="GO54">
        <v>36931.1</v>
      </c>
      <c r="GP54">
        <v>34087.1</v>
      </c>
      <c r="GQ54">
        <v>1.99675</v>
      </c>
      <c r="GR54">
        <v>1.8311999999999999</v>
      </c>
      <c r="GS54">
        <v>1.9416200000000002E-2</v>
      </c>
      <c r="GT54">
        <v>0</v>
      </c>
      <c r="GU54">
        <v>29.581600000000002</v>
      </c>
      <c r="GV54">
        <v>999.9</v>
      </c>
      <c r="GW54">
        <v>33.200000000000003</v>
      </c>
      <c r="GX54">
        <v>43.7</v>
      </c>
      <c r="GY54">
        <v>30.1495</v>
      </c>
      <c r="GZ54">
        <v>60.1113</v>
      </c>
      <c r="HA54">
        <v>38.8782</v>
      </c>
      <c r="HB54">
        <v>1</v>
      </c>
      <c r="HC54">
        <v>0.501301</v>
      </c>
      <c r="HD54">
        <v>1.8859300000000001</v>
      </c>
      <c r="HE54">
        <v>20.104600000000001</v>
      </c>
      <c r="HF54">
        <v>5.2646100000000002</v>
      </c>
      <c r="HG54">
        <v>11.962</v>
      </c>
      <c r="HH54">
        <v>4.9797500000000001</v>
      </c>
      <c r="HI54">
        <v>3.298</v>
      </c>
      <c r="HJ54">
        <v>9999</v>
      </c>
      <c r="HK54">
        <v>9999</v>
      </c>
      <c r="HL54">
        <v>9999</v>
      </c>
      <c r="HM54">
        <v>999.9</v>
      </c>
      <c r="HN54">
        <v>1.8641700000000001</v>
      </c>
      <c r="HO54">
        <v>1.86012</v>
      </c>
      <c r="HP54">
        <v>1.86676</v>
      </c>
      <c r="HQ54">
        <v>1.8633999999999999</v>
      </c>
      <c r="HR54">
        <v>1.86205</v>
      </c>
      <c r="HS54">
        <v>1.8621099999999999</v>
      </c>
      <c r="HT54">
        <v>1.86338</v>
      </c>
      <c r="HU54">
        <v>1.8646199999999999</v>
      </c>
      <c r="HV54">
        <v>0</v>
      </c>
      <c r="HW54">
        <v>0</v>
      </c>
      <c r="HX54">
        <v>0</v>
      </c>
      <c r="HY54">
        <v>0</v>
      </c>
      <c r="HZ54" t="s">
        <v>424</v>
      </c>
      <c r="IA54" t="s">
        <v>425</v>
      </c>
      <c r="IB54" t="s">
        <v>426</v>
      </c>
      <c r="IC54" t="s">
        <v>426</v>
      </c>
      <c r="ID54" t="s">
        <v>426</v>
      </c>
      <c r="IE54" t="s">
        <v>426</v>
      </c>
      <c r="IF54">
        <v>0</v>
      </c>
      <c r="IG54">
        <v>100</v>
      </c>
      <c r="IH54">
        <v>100</v>
      </c>
      <c r="II54">
        <v>-0.312</v>
      </c>
      <c r="IJ54">
        <v>0.14069999999999999</v>
      </c>
      <c r="IK54">
        <v>-0.30827877265381959</v>
      </c>
      <c r="IL54">
        <v>-8.3322953065825546E-5</v>
      </c>
      <c r="IM54">
        <v>2.3872336679552741E-7</v>
      </c>
      <c r="IN54">
        <v>-5.428329794194132E-11</v>
      </c>
      <c r="IO54">
        <v>0.14068562097541029</v>
      </c>
      <c r="IP54">
        <v>0</v>
      </c>
      <c r="IQ54">
        <v>0</v>
      </c>
      <c r="IR54">
        <v>0</v>
      </c>
      <c r="IS54">
        <v>2</v>
      </c>
      <c r="IT54">
        <v>2035</v>
      </c>
      <c r="IU54">
        <v>1</v>
      </c>
      <c r="IV54">
        <v>21</v>
      </c>
      <c r="IW54">
        <v>1.6</v>
      </c>
      <c r="IX54">
        <v>1.3</v>
      </c>
      <c r="IY54">
        <v>1.06934</v>
      </c>
      <c r="IZ54">
        <v>2.7099600000000001</v>
      </c>
      <c r="JA54">
        <v>1.4514199999999999</v>
      </c>
      <c r="JB54">
        <v>2.2802699999999998</v>
      </c>
      <c r="JC54">
        <v>1.5942400000000001</v>
      </c>
      <c r="JD54">
        <v>2.4206500000000002</v>
      </c>
      <c r="JE54">
        <v>46.181800000000003</v>
      </c>
      <c r="JF54">
        <v>24.157499999999999</v>
      </c>
      <c r="JG54">
        <v>18</v>
      </c>
      <c r="JH54">
        <v>508.49400000000003</v>
      </c>
      <c r="JI54">
        <v>437.33</v>
      </c>
      <c r="JJ54">
        <v>27.331800000000001</v>
      </c>
      <c r="JK54">
        <v>33.271500000000003</v>
      </c>
      <c r="JL54">
        <v>30.000299999999999</v>
      </c>
      <c r="JM54">
        <v>33.2027</v>
      </c>
      <c r="JN54">
        <v>33.201999999999998</v>
      </c>
      <c r="JO54">
        <v>21.365200000000002</v>
      </c>
      <c r="JP54">
        <v>34.560899999999997</v>
      </c>
      <c r="JQ54">
        <v>0</v>
      </c>
      <c r="JR54">
        <v>27.391300000000001</v>
      </c>
      <c r="JS54">
        <v>400</v>
      </c>
      <c r="JT54">
        <v>21.0686</v>
      </c>
      <c r="JU54">
        <v>98.984300000000005</v>
      </c>
      <c r="JV54">
        <v>98.3322</v>
      </c>
    </row>
    <row r="55" spans="1:282" x14ac:dyDescent="0.25">
      <c r="A55">
        <v>39</v>
      </c>
      <c r="B55">
        <v>1689006418.5999999</v>
      </c>
      <c r="C55">
        <v>7078</v>
      </c>
      <c r="D55" t="s">
        <v>617</v>
      </c>
      <c r="E55" t="s">
        <v>618</v>
      </c>
      <c r="F55" t="s">
        <v>414</v>
      </c>
      <c r="G55" t="s">
        <v>415</v>
      </c>
      <c r="H55" t="s">
        <v>577</v>
      </c>
      <c r="I55" t="s">
        <v>578</v>
      </c>
      <c r="J55" t="s">
        <v>416</v>
      </c>
      <c r="K55">
        <v>1689006418.5999999</v>
      </c>
      <c r="L55">
        <f t="shared" si="46"/>
        <v>5.4762360549368821E-3</v>
      </c>
      <c r="M55">
        <f t="shared" si="47"/>
        <v>5.4762360549368818</v>
      </c>
      <c r="N55">
        <f t="shared" si="48"/>
        <v>51.263097990958663</v>
      </c>
      <c r="O55">
        <f t="shared" si="49"/>
        <v>336.50799999999998</v>
      </c>
      <c r="P55">
        <f t="shared" si="50"/>
        <v>104.06109382540396</v>
      </c>
      <c r="Q55">
        <f t="shared" si="51"/>
        <v>10.33508042254021</v>
      </c>
      <c r="R55">
        <f t="shared" si="52"/>
        <v>33.421109801741601</v>
      </c>
      <c r="S55">
        <f t="shared" si="53"/>
        <v>0.38367463964964016</v>
      </c>
      <c r="T55">
        <f t="shared" si="54"/>
        <v>2.9140570699914909</v>
      </c>
      <c r="U55">
        <f t="shared" si="55"/>
        <v>0.35765790253902119</v>
      </c>
      <c r="V55">
        <f t="shared" si="56"/>
        <v>0.22572650689399359</v>
      </c>
      <c r="W55">
        <f t="shared" si="57"/>
        <v>289.55051101270334</v>
      </c>
      <c r="X55">
        <f t="shared" si="58"/>
        <v>30.292657580028028</v>
      </c>
      <c r="Y55">
        <f t="shared" si="59"/>
        <v>30.007200000000001</v>
      </c>
      <c r="Z55">
        <f t="shared" si="60"/>
        <v>4.2622120505274168</v>
      </c>
      <c r="AA55">
        <f t="shared" si="61"/>
        <v>65.584454032748468</v>
      </c>
      <c r="AB55">
        <f t="shared" si="62"/>
        <v>2.79555723004054</v>
      </c>
      <c r="AC55">
        <f t="shared" si="63"/>
        <v>4.2625303073265304</v>
      </c>
      <c r="AD55">
        <f t="shared" si="64"/>
        <v>1.4666548204868768</v>
      </c>
      <c r="AE55">
        <f t="shared" si="65"/>
        <v>-241.50201002271649</v>
      </c>
      <c r="AF55">
        <f t="shared" si="66"/>
        <v>0.20423343818467779</v>
      </c>
      <c r="AG55">
        <f t="shared" si="67"/>
        <v>1.558481470520399E-2</v>
      </c>
      <c r="AH55">
        <f t="shared" si="68"/>
        <v>48.26831924287675</v>
      </c>
      <c r="AI55">
        <v>0</v>
      </c>
      <c r="AJ55">
        <v>0</v>
      </c>
      <c r="AK55">
        <f t="shared" si="69"/>
        <v>1</v>
      </c>
      <c r="AL55">
        <f t="shared" si="70"/>
        <v>0</v>
      </c>
      <c r="AM55">
        <f t="shared" si="71"/>
        <v>51893.311600333742</v>
      </c>
      <c r="AN55" t="s">
        <v>418</v>
      </c>
      <c r="AO55">
        <v>8197.4</v>
      </c>
      <c r="AP55">
        <v>619.92999999999995</v>
      </c>
      <c r="AQ55">
        <v>3131.443117258741</v>
      </c>
      <c r="AR55">
        <f t="shared" si="72"/>
        <v>0.80203057287443702</v>
      </c>
      <c r="AS55">
        <v>-1.0448500102641549</v>
      </c>
      <c r="AT55" t="s">
        <v>619</v>
      </c>
      <c r="AU55">
        <v>8178.92</v>
      </c>
      <c r="AV55">
        <v>753.73592000000008</v>
      </c>
      <c r="AW55">
        <v>1139.1188600525679</v>
      </c>
      <c r="AX55">
        <f t="shared" si="73"/>
        <v>0.33831670562875527</v>
      </c>
      <c r="AY55">
        <v>0.5</v>
      </c>
      <c r="AZ55">
        <f t="shared" si="74"/>
        <v>1513.1007000065822</v>
      </c>
      <c r="BA55">
        <f t="shared" si="75"/>
        <v>51.263097990958663</v>
      </c>
      <c r="BB55">
        <f t="shared" si="76"/>
        <v>255.95362205539519</v>
      </c>
      <c r="BC55">
        <f t="shared" si="77"/>
        <v>3.457003754012887E-2</v>
      </c>
      <c r="BD55">
        <f t="shared" si="78"/>
        <v>1.7490047150252885</v>
      </c>
      <c r="BE55">
        <f t="shared" si="79"/>
        <v>460.48672087971642</v>
      </c>
      <c r="BF55" t="s">
        <v>620</v>
      </c>
      <c r="BG55">
        <v>598.77</v>
      </c>
      <c r="BH55">
        <f t="shared" si="80"/>
        <v>598.77</v>
      </c>
      <c r="BI55">
        <f t="shared" si="81"/>
        <v>0.47435687266878546</v>
      </c>
      <c r="BJ55">
        <f t="shared" si="82"/>
        <v>0.71321135019157034</v>
      </c>
      <c r="BK55">
        <f t="shared" si="83"/>
        <v>0.78664879554712575</v>
      </c>
      <c r="BL55">
        <f t="shared" si="84"/>
        <v>0.74227890793640627</v>
      </c>
      <c r="BM55">
        <f t="shared" si="85"/>
        <v>0.79327646888054049</v>
      </c>
      <c r="BN55">
        <f t="shared" si="86"/>
        <v>0.56657716425960769</v>
      </c>
      <c r="BO55">
        <f t="shared" si="87"/>
        <v>0.43342283574039231</v>
      </c>
      <c r="BP55">
        <v>13646</v>
      </c>
      <c r="BQ55">
        <v>290.00000000000011</v>
      </c>
      <c r="BR55">
        <v>994.36</v>
      </c>
      <c r="BS55">
        <v>295</v>
      </c>
      <c r="BT55">
        <v>8178.92</v>
      </c>
      <c r="BU55">
        <v>997.25</v>
      </c>
      <c r="BV55">
        <v>-2.89</v>
      </c>
      <c r="BW55">
        <v>300.00000000000011</v>
      </c>
      <c r="BX55">
        <v>19.3</v>
      </c>
      <c r="BY55">
        <v>1139.1188600525679</v>
      </c>
      <c r="BZ55">
        <v>4.473949234108721</v>
      </c>
      <c r="CA55">
        <v>-116.03137331349841</v>
      </c>
      <c r="CB55">
        <v>3.360395268324694</v>
      </c>
      <c r="CC55">
        <v>0.97705402719133727</v>
      </c>
      <c r="CD55">
        <v>-4.2357601779755326E-3</v>
      </c>
      <c r="CE55">
        <v>289.99999999999989</v>
      </c>
      <c r="CF55">
        <v>986.75</v>
      </c>
      <c r="CG55">
        <v>625</v>
      </c>
      <c r="CH55">
        <v>8169.41</v>
      </c>
      <c r="CI55">
        <v>997.09</v>
      </c>
      <c r="CJ55">
        <v>-10.34</v>
      </c>
      <c r="CX55">
        <f t="shared" si="88"/>
        <v>1799.9</v>
      </c>
      <c r="CY55">
        <f t="shared" si="89"/>
        <v>1513.1007000065822</v>
      </c>
      <c r="CZ55">
        <f t="shared" si="90"/>
        <v>0.84065820323716989</v>
      </c>
      <c r="DA55">
        <f t="shared" si="91"/>
        <v>0.16087033224773784</v>
      </c>
      <c r="DB55">
        <v>6</v>
      </c>
      <c r="DC55">
        <v>0.5</v>
      </c>
      <c r="DD55" t="s">
        <v>421</v>
      </c>
      <c r="DE55">
        <v>2</v>
      </c>
      <c r="DF55">
        <v>1689006418.5999999</v>
      </c>
      <c r="DG55">
        <v>336.50799999999998</v>
      </c>
      <c r="DH55">
        <v>400.21800000000002</v>
      </c>
      <c r="DI55">
        <v>28.1477</v>
      </c>
      <c r="DJ55">
        <v>21.762899999999998</v>
      </c>
      <c r="DK55">
        <v>336.846</v>
      </c>
      <c r="DL55">
        <v>28.0122</v>
      </c>
      <c r="DM55">
        <v>500.13400000000001</v>
      </c>
      <c r="DN55">
        <v>99.218699999999998</v>
      </c>
      <c r="DO55">
        <v>9.8730200000000004E-2</v>
      </c>
      <c r="DP55">
        <v>30.008500000000002</v>
      </c>
      <c r="DQ55">
        <v>30.007200000000001</v>
      </c>
      <c r="DR55">
        <v>999.9</v>
      </c>
      <c r="DS55">
        <v>0</v>
      </c>
      <c r="DT55">
        <v>0</v>
      </c>
      <c r="DU55">
        <v>9990</v>
      </c>
      <c r="DV55">
        <v>0</v>
      </c>
      <c r="DW55">
        <v>618.57000000000005</v>
      </c>
      <c r="DX55">
        <v>-63.71</v>
      </c>
      <c r="DY55">
        <v>346.25400000000002</v>
      </c>
      <c r="DZ55">
        <v>409.12200000000001</v>
      </c>
      <c r="EA55">
        <v>6.3848500000000001</v>
      </c>
      <c r="EB55">
        <v>400.21800000000002</v>
      </c>
      <c r="EC55">
        <v>21.762899999999998</v>
      </c>
      <c r="ED55">
        <v>2.79278</v>
      </c>
      <c r="EE55">
        <v>2.1592899999999999</v>
      </c>
      <c r="EF55">
        <v>22.8415</v>
      </c>
      <c r="EG55">
        <v>18.663399999999999</v>
      </c>
      <c r="EH55">
        <v>1799.9</v>
      </c>
      <c r="EI55">
        <v>0.97799700000000001</v>
      </c>
      <c r="EJ55">
        <v>2.2002899999999999E-2</v>
      </c>
      <c r="EK55">
        <v>0</v>
      </c>
      <c r="EL55">
        <v>754.36599999999999</v>
      </c>
      <c r="EM55">
        <v>4.9999900000000004</v>
      </c>
      <c r="EN55">
        <v>16239.1</v>
      </c>
      <c r="EO55">
        <v>15862.9</v>
      </c>
      <c r="EP55">
        <v>48.311999999999998</v>
      </c>
      <c r="EQ55">
        <v>49.311999999999998</v>
      </c>
      <c r="ER55">
        <v>48.75</v>
      </c>
      <c r="ES55">
        <v>49.375</v>
      </c>
      <c r="ET55">
        <v>50.061999999999998</v>
      </c>
      <c r="EU55">
        <v>1755.41</v>
      </c>
      <c r="EV55">
        <v>39.49</v>
      </c>
      <c r="EW55">
        <v>0</v>
      </c>
      <c r="EX55">
        <v>97.799999952316284</v>
      </c>
      <c r="EY55">
        <v>0</v>
      </c>
      <c r="EZ55">
        <v>753.73592000000008</v>
      </c>
      <c r="FA55">
        <v>5.2453845890577986</v>
      </c>
      <c r="FB55">
        <v>1692.5538448419791</v>
      </c>
      <c r="FC55">
        <v>15973.675999999999</v>
      </c>
      <c r="FD55">
        <v>15</v>
      </c>
      <c r="FE55">
        <v>1689006388.5999999</v>
      </c>
      <c r="FF55" t="s">
        <v>621</v>
      </c>
      <c r="FG55">
        <v>1689006382.5999999</v>
      </c>
      <c r="FH55">
        <v>1689006388.5999999</v>
      </c>
      <c r="FI55">
        <v>43</v>
      </c>
      <c r="FJ55">
        <v>-2.7E-2</v>
      </c>
      <c r="FK55">
        <v>-5.0000000000000001E-3</v>
      </c>
      <c r="FL55">
        <v>-0.33400000000000002</v>
      </c>
      <c r="FM55">
        <v>0.125</v>
      </c>
      <c r="FN55">
        <v>400</v>
      </c>
      <c r="FO55">
        <v>21</v>
      </c>
      <c r="FP55">
        <v>0.05</v>
      </c>
      <c r="FQ55">
        <v>0.01</v>
      </c>
      <c r="FR55">
        <v>51.260398233121393</v>
      </c>
      <c r="FS55">
        <v>-0.16003399758008821</v>
      </c>
      <c r="FT55">
        <v>4.3699502019901047E-2</v>
      </c>
      <c r="FU55">
        <v>1</v>
      </c>
      <c r="FV55">
        <v>0.37658711234303682</v>
      </c>
      <c r="FW55">
        <v>4.276301816569536E-2</v>
      </c>
      <c r="FX55">
        <v>3.202392258365393E-3</v>
      </c>
      <c r="FY55">
        <v>1</v>
      </c>
      <c r="FZ55">
        <v>2</v>
      </c>
      <c r="GA55">
        <v>2</v>
      </c>
      <c r="GB55" t="s">
        <v>423</v>
      </c>
      <c r="GC55">
        <v>2.9586299999999999</v>
      </c>
      <c r="GD55">
        <v>2.74187</v>
      </c>
      <c r="GE55">
        <v>7.77785E-2</v>
      </c>
      <c r="GF55">
        <v>8.8891499999999998E-2</v>
      </c>
      <c r="GG55">
        <v>0.12928400000000001</v>
      </c>
      <c r="GH55">
        <v>0.107518</v>
      </c>
      <c r="GI55">
        <v>21645</v>
      </c>
      <c r="GJ55">
        <v>19917.5</v>
      </c>
      <c r="GK55">
        <v>23401.5</v>
      </c>
      <c r="GL55">
        <v>21908.2</v>
      </c>
      <c r="GM55">
        <v>28735.3</v>
      </c>
      <c r="GN55">
        <v>27278.6</v>
      </c>
      <c r="GO55">
        <v>36926.5</v>
      </c>
      <c r="GP55">
        <v>34083.699999999997</v>
      </c>
      <c r="GQ55">
        <v>1.99455</v>
      </c>
      <c r="GR55">
        <v>1.8304800000000001</v>
      </c>
      <c r="GS55">
        <v>3.3237000000000003E-2</v>
      </c>
      <c r="GT55">
        <v>0</v>
      </c>
      <c r="GU55">
        <v>29.466100000000001</v>
      </c>
      <c r="GV55">
        <v>999.9</v>
      </c>
      <c r="GW55">
        <v>33.1</v>
      </c>
      <c r="GX55">
        <v>43.8</v>
      </c>
      <c r="GY55">
        <v>30.219000000000001</v>
      </c>
      <c r="GZ55">
        <v>60.381300000000003</v>
      </c>
      <c r="HA55">
        <v>39.402999999999999</v>
      </c>
      <c r="HB55">
        <v>1</v>
      </c>
      <c r="HC55">
        <v>0.51292199999999999</v>
      </c>
      <c r="HD55">
        <v>2.9616899999999999</v>
      </c>
      <c r="HE55">
        <v>20.088200000000001</v>
      </c>
      <c r="HF55">
        <v>5.2637099999999997</v>
      </c>
      <c r="HG55">
        <v>11.962199999999999</v>
      </c>
      <c r="HH55">
        <v>4.9797500000000001</v>
      </c>
      <c r="HI55">
        <v>3.29793</v>
      </c>
      <c r="HJ55">
        <v>9999</v>
      </c>
      <c r="HK55">
        <v>9999</v>
      </c>
      <c r="HL55">
        <v>9999</v>
      </c>
      <c r="HM55">
        <v>999.9</v>
      </c>
      <c r="HN55">
        <v>1.8641700000000001</v>
      </c>
      <c r="HO55">
        <v>1.86012</v>
      </c>
      <c r="HP55">
        <v>1.8667499999999999</v>
      </c>
      <c r="HQ55">
        <v>1.8633999999999999</v>
      </c>
      <c r="HR55">
        <v>1.8620399999999999</v>
      </c>
      <c r="HS55">
        <v>1.86205</v>
      </c>
      <c r="HT55">
        <v>1.86337</v>
      </c>
      <c r="HU55">
        <v>1.8646199999999999</v>
      </c>
      <c r="HV55">
        <v>0</v>
      </c>
      <c r="HW55">
        <v>0</v>
      </c>
      <c r="HX55">
        <v>0</v>
      </c>
      <c r="HY55">
        <v>0</v>
      </c>
      <c r="HZ55" t="s">
        <v>424</v>
      </c>
      <c r="IA55" t="s">
        <v>425</v>
      </c>
      <c r="IB55" t="s">
        <v>426</v>
      </c>
      <c r="IC55" t="s">
        <v>426</v>
      </c>
      <c r="ID55" t="s">
        <v>426</v>
      </c>
      <c r="IE55" t="s">
        <v>426</v>
      </c>
      <c r="IF55">
        <v>0</v>
      </c>
      <c r="IG55">
        <v>100</v>
      </c>
      <c r="IH55">
        <v>100</v>
      </c>
      <c r="II55">
        <v>-0.33800000000000002</v>
      </c>
      <c r="IJ55">
        <v>0.13550000000000001</v>
      </c>
      <c r="IK55">
        <v>-0.3354342386983884</v>
      </c>
      <c r="IL55">
        <v>-8.3322953065825546E-5</v>
      </c>
      <c r="IM55">
        <v>2.3872336679552741E-7</v>
      </c>
      <c r="IN55">
        <v>-5.428329794194132E-11</v>
      </c>
      <c r="IO55">
        <v>0.1355761809797682</v>
      </c>
      <c r="IP55">
        <v>0</v>
      </c>
      <c r="IQ55">
        <v>0</v>
      </c>
      <c r="IR55">
        <v>0</v>
      </c>
      <c r="IS55">
        <v>2</v>
      </c>
      <c r="IT55">
        <v>2035</v>
      </c>
      <c r="IU55">
        <v>1</v>
      </c>
      <c r="IV55">
        <v>21</v>
      </c>
      <c r="IW55">
        <v>0.6</v>
      </c>
      <c r="IX55">
        <v>0.5</v>
      </c>
      <c r="IY55">
        <v>1.07056</v>
      </c>
      <c r="IZ55">
        <v>2.7148400000000001</v>
      </c>
      <c r="JA55">
        <v>1.4526399999999999</v>
      </c>
      <c r="JB55">
        <v>2.2802699999999998</v>
      </c>
      <c r="JC55">
        <v>1.5942400000000001</v>
      </c>
      <c r="JD55">
        <v>2.34741</v>
      </c>
      <c r="JE55">
        <v>46.269100000000002</v>
      </c>
      <c r="JF55">
        <v>24.14</v>
      </c>
      <c r="JG55">
        <v>18</v>
      </c>
      <c r="JH55">
        <v>507.851</v>
      </c>
      <c r="JI55">
        <v>437.51900000000001</v>
      </c>
      <c r="JJ55">
        <v>26.904199999999999</v>
      </c>
      <c r="JK55">
        <v>33.335299999999997</v>
      </c>
      <c r="JL55">
        <v>30</v>
      </c>
      <c r="JM55">
        <v>33.295400000000001</v>
      </c>
      <c r="JN55">
        <v>33.289000000000001</v>
      </c>
      <c r="JO55">
        <v>21.371300000000002</v>
      </c>
      <c r="JP55">
        <v>32.682200000000002</v>
      </c>
      <c r="JQ55">
        <v>0</v>
      </c>
      <c r="JR55">
        <v>26.904399999999999</v>
      </c>
      <c r="JS55">
        <v>400</v>
      </c>
      <c r="JT55">
        <v>21.5444</v>
      </c>
      <c r="JU55">
        <v>98.971100000000007</v>
      </c>
      <c r="JV55">
        <v>98.321899999999999</v>
      </c>
    </row>
    <row r="56" spans="1:282" x14ac:dyDescent="0.25">
      <c r="A56">
        <v>40</v>
      </c>
      <c r="B56">
        <v>1689006528.5999999</v>
      </c>
      <c r="C56">
        <v>7188</v>
      </c>
      <c r="D56" t="s">
        <v>622</v>
      </c>
      <c r="E56" t="s">
        <v>623</v>
      </c>
      <c r="F56" t="s">
        <v>414</v>
      </c>
      <c r="G56" t="s">
        <v>415</v>
      </c>
      <c r="H56" t="s">
        <v>577</v>
      </c>
      <c r="I56" t="s">
        <v>578</v>
      </c>
      <c r="J56" t="s">
        <v>416</v>
      </c>
      <c r="K56">
        <v>1689006528.5999999</v>
      </c>
      <c r="L56">
        <f t="shared" si="46"/>
        <v>5.5436708631385308E-3</v>
      </c>
      <c r="M56">
        <f t="shared" si="47"/>
        <v>5.543670863138531</v>
      </c>
      <c r="N56">
        <f t="shared" si="48"/>
        <v>51.689148856987813</v>
      </c>
      <c r="O56">
        <f t="shared" si="49"/>
        <v>335.92</v>
      </c>
      <c r="P56">
        <f t="shared" si="50"/>
        <v>102.79344270183552</v>
      </c>
      <c r="Q56">
        <f t="shared" si="51"/>
        <v>10.208611639689927</v>
      </c>
      <c r="R56">
        <f t="shared" si="52"/>
        <v>33.360851936360007</v>
      </c>
      <c r="S56">
        <f t="shared" si="53"/>
        <v>0.38584264303413823</v>
      </c>
      <c r="T56">
        <f t="shared" si="54"/>
        <v>2.9163611574804236</v>
      </c>
      <c r="U56">
        <f t="shared" si="55"/>
        <v>0.35956111981461941</v>
      </c>
      <c r="V56">
        <f t="shared" si="56"/>
        <v>0.22693763822930624</v>
      </c>
      <c r="W56">
        <f t="shared" si="57"/>
        <v>289.55428201270638</v>
      </c>
      <c r="X56">
        <f t="shared" si="58"/>
        <v>30.354581865576773</v>
      </c>
      <c r="Y56">
        <f t="shared" si="59"/>
        <v>30.058700000000002</v>
      </c>
      <c r="Z56">
        <f t="shared" si="60"/>
        <v>4.274835767679205</v>
      </c>
      <c r="AA56">
        <f t="shared" si="61"/>
        <v>65.346308246188215</v>
      </c>
      <c r="AB56">
        <f t="shared" si="62"/>
        <v>2.7981821740393502</v>
      </c>
      <c r="AC56">
        <f t="shared" si="63"/>
        <v>4.2820814964747056</v>
      </c>
      <c r="AD56">
        <f t="shared" si="64"/>
        <v>1.4766535936398548</v>
      </c>
      <c r="AE56">
        <f t="shared" si="65"/>
        <v>-244.4758850644092</v>
      </c>
      <c r="AF56">
        <f t="shared" si="66"/>
        <v>4.6381924503012995</v>
      </c>
      <c r="AG56">
        <f t="shared" si="67"/>
        <v>0.35388515617583177</v>
      </c>
      <c r="AH56">
        <f t="shared" si="68"/>
        <v>50.070474554774286</v>
      </c>
      <c r="AI56">
        <v>0</v>
      </c>
      <c r="AJ56">
        <v>0</v>
      </c>
      <c r="AK56">
        <f t="shared" si="69"/>
        <v>1</v>
      </c>
      <c r="AL56">
        <f t="shared" si="70"/>
        <v>0</v>
      </c>
      <c r="AM56">
        <f t="shared" si="71"/>
        <v>51945.107081495582</v>
      </c>
      <c r="AN56" t="s">
        <v>418</v>
      </c>
      <c r="AO56">
        <v>8197.4</v>
      </c>
      <c r="AP56">
        <v>619.92999999999995</v>
      </c>
      <c r="AQ56">
        <v>3131.443117258741</v>
      </c>
      <c r="AR56">
        <f t="shared" si="72"/>
        <v>0.80203057287443702</v>
      </c>
      <c r="AS56">
        <v>-1.0448500102641549</v>
      </c>
      <c r="AT56" t="s">
        <v>624</v>
      </c>
      <c r="AU56">
        <v>8179.81</v>
      </c>
      <c r="AV56">
        <v>757.88807692307694</v>
      </c>
      <c r="AW56">
        <v>1151.0670735601259</v>
      </c>
      <c r="AX56">
        <f t="shared" si="73"/>
        <v>0.34157783301105893</v>
      </c>
      <c r="AY56">
        <v>0.5</v>
      </c>
      <c r="AZ56">
        <f t="shared" si="74"/>
        <v>1513.1178000065836</v>
      </c>
      <c r="BA56">
        <f t="shared" si="75"/>
        <v>51.689148856987813</v>
      </c>
      <c r="BB56">
        <f t="shared" si="76"/>
        <v>258.42374960835485</v>
      </c>
      <c r="BC56">
        <f t="shared" si="77"/>
        <v>3.4851218369794157E-2</v>
      </c>
      <c r="BD56">
        <f t="shared" si="78"/>
        <v>1.7204697182185278</v>
      </c>
      <c r="BE56">
        <f t="shared" si="79"/>
        <v>462.42713184172948</v>
      </c>
      <c r="BF56" t="s">
        <v>625</v>
      </c>
      <c r="BG56">
        <v>604.85</v>
      </c>
      <c r="BH56">
        <f t="shared" si="80"/>
        <v>604.85</v>
      </c>
      <c r="BI56">
        <f t="shared" si="81"/>
        <v>0.47453105566709985</v>
      </c>
      <c r="BJ56">
        <f t="shared" si="82"/>
        <v>0.71982187241858353</v>
      </c>
      <c r="BK56">
        <f t="shared" si="83"/>
        <v>0.78381280712394596</v>
      </c>
      <c r="BL56">
        <f t="shared" si="84"/>
        <v>0.74025899567061604</v>
      </c>
      <c r="BM56">
        <f t="shared" si="85"/>
        <v>0.78851909237095685</v>
      </c>
      <c r="BN56">
        <f t="shared" si="86"/>
        <v>0.57447039053573912</v>
      </c>
      <c r="BO56">
        <f t="shared" si="87"/>
        <v>0.42552960946426088</v>
      </c>
      <c r="BP56">
        <v>13648</v>
      </c>
      <c r="BQ56">
        <v>290.00000000000011</v>
      </c>
      <c r="BR56">
        <v>1006.83</v>
      </c>
      <c r="BS56">
        <v>285</v>
      </c>
      <c r="BT56">
        <v>8179.81</v>
      </c>
      <c r="BU56">
        <v>1009.43</v>
      </c>
      <c r="BV56">
        <v>-2.6</v>
      </c>
      <c r="BW56">
        <v>300.00000000000011</v>
      </c>
      <c r="BX56">
        <v>19.3</v>
      </c>
      <c r="BY56">
        <v>1151.0670735601259</v>
      </c>
      <c r="BZ56">
        <v>4.5325803385625578</v>
      </c>
      <c r="CA56">
        <v>-115.8588226072509</v>
      </c>
      <c r="CB56">
        <v>3.4048381472884972</v>
      </c>
      <c r="CC56">
        <v>0.97638893360444978</v>
      </c>
      <c r="CD56">
        <v>-4.2359630700778781E-3</v>
      </c>
      <c r="CE56">
        <v>289.99999999999989</v>
      </c>
      <c r="CF56">
        <v>1000</v>
      </c>
      <c r="CG56">
        <v>655</v>
      </c>
      <c r="CH56">
        <v>8169.38</v>
      </c>
      <c r="CI56">
        <v>1009.25</v>
      </c>
      <c r="CJ56">
        <v>-9.25</v>
      </c>
      <c r="CX56">
        <f t="shared" si="88"/>
        <v>1799.92</v>
      </c>
      <c r="CY56">
        <f t="shared" si="89"/>
        <v>1513.1178000065836</v>
      </c>
      <c r="CZ56">
        <f t="shared" si="90"/>
        <v>0.84065836259755078</v>
      </c>
      <c r="DA56">
        <f t="shared" si="91"/>
        <v>0.16087063981327301</v>
      </c>
      <c r="DB56">
        <v>6</v>
      </c>
      <c r="DC56">
        <v>0.5</v>
      </c>
      <c r="DD56" t="s">
        <v>421</v>
      </c>
      <c r="DE56">
        <v>2</v>
      </c>
      <c r="DF56">
        <v>1689006528.5999999</v>
      </c>
      <c r="DG56">
        <v>335.92</v>
      </c>
      <c r="DH56">
        <v>400.17599999999999</v>
      </c>
      <c r="DI56">
        <v>28.175699999999999</v>
      </c>
      <c r="DJ56">
        <v>21.711300000000001</v>
      </c>
      <c r="DK56">
        <v>336.33699999999999</v>
      </c>
      <c r="DL56">
        <v>28.040299999999998</v>
      </c>
      <c r="DM56">
        <v>500.04399999999998</v>
      </c>
      <c r="DN56">
        <v>99.212400000000002</v>
      </c>
      <c r="DO56">
        <v>9.9495500000000001E-2</v>
      </c>
      <c r="DP56">
        <v>30.088200000000001</v>
      </c>
      <c r="DQ56">
        <v>30.058700000000002</v>
      </c>
      <c r="DR56">
        <v>999.9</v>
      </c>
      <c r="DS56">
        <v>0</v>
      </c>
      <c r="DT56">
        <v>0</v>
      </c>
      <c r="DU56">
        <v>10003.799999999999</v>
      </c>
      <c r="DV56">
        <v>0</v>
      </c>
      <c r="DW56">
        <v>1951.44</v>
      </c>
      <c r="DX56">
        <v>-64.255700000000004</v>
      </c>
      <c r="DY56">
        <v>345.65899999999999</v>
      </c>
      <c r="DZ56">
        <v>409.05700000000002</v>
      </c>
      <c r="EA56">
        <v>6.4643899999999999</v>
      </c>
      <c r="EB56">
        <v>400.17599999999999</v>
      </c>
      <c r="EC56">
        <v>21.711300000000001</v>
      </c>
      <c r="ED56">
        <v>2.7953800000000002</v>
      </c>
      <c r="EE56">
        <v>2.1540300000000001</v>
      </c>
      <c r="EF56">
        <v>22.8568</v>
      </c>
      <c r="EG56">
        <v>18.624400000000001</v>
      </c>
      <c r="EH56">
        <v>1799.92</v>
      </c>
      <c r="EI56">
        <v>0.97799100000000005</v>
      </c>
      <c r="EJ56">
        <v>2.20092E-2</v>
      </c>
      <c r="EK56">
        <v>0</v>
      </c>
      <c r="EL56">
        <v>758.27300000000002</v>
      </c>
      <c r="EM56">
        <v>4.9999900000000004</v>
      </c>
      <c r="EN56">
        <v>19933.8</v>
      </c>
      <c r="EO56">
        <v>15863</v>
      </c>
      <c r="EP56">
        <v>48.25</v>
      </c>
      <c r="EQ56">
        <v>49.25</v>
      </c>
      <c r="ER56">
        <v>48.686999999999998</v>
      </c>
      <c r="ES56">
        <v>49.186999999999998</v>
      </c>
      <c r="ET56">
        <v>50</v>
      </c>
      <c r="EU56">
        <v>1755.42</v>
      </c>
      <c r="EV56">
        <v>39.5</v>
      </c>
      <c r="EW56">
        <v>0</v>
      </c>
      <c r="EX56">
        <v>108</v>
      </c>
      <c r="EY56">
        <v>0</v>
      </c>
      <c r="EZ56">
        <v>757.88807692307694</v>
      </c>
      <c r="FA56">
        <v>1.2811624091021929</v>
      </c>
      <c r="FB56">
        <v>-14.29059828807106</v>
      </c>
      <c r="FC56">
        <v>19928.261538461538</v>
      </c>
      <c r="FD56">
        <v>15</v>
      </c>
      <c r="FE56">
        <v>1689006492.0999999</v>
      </c>
      <c r="FF56" t="s">
        <v>626</v>
      </c>
      <c r="FG56">
        <v>1689006492.0999999</v>
      </c>
      <c r="FH56">
        <v>1689006486.0999999</v>
      </c>
      <c r="FI56">
        <v>44</v>
      </c>
      <c r="FJ56">
        <v>-7.8E-2</v>
      </c>
      <c r="FK56">
        <v>0</v>
      </c>
      <c r="FL56">
        <v>-0.41199999999999998</v>
      </c>
      <c r="FM56">
        <v>0.13200000000000001</v>
      </c>
      <c r="FN56">
        <v>400</v>
      </c>
      <c r="FO56">
        <v>22</v>
      </c>
      <c r="FP56">
        <v>0.04</v>
      </c>
      <c r="FQ56">
        <v>0.01</v>
      </c>
      <c r="FR56">
        <v>51.697661253573997</v>
      </c>
      <c r="FS56">
        <v>0.1951120183319576</v>
      </c>
      <c r="FT56">
        <v>3.6745902314540217E-2</v>
      </c>
      <c r="FU56">
        <v>1</v>
      </c>
      <c r="FV56">
        <v>0.3820785788102487</v>
      </c>
      <c r="FW56">
        <v>4.7075981740099533E-2</v>
      </c>
      <c r="FX56">
        <v>3.742531861265943E-3</v>
      </c>
      <c r="FY56">
        <v>1</v>
      </c>
      <c r="FZ56">
        <v>2</v>
      </c>
      <c r="GA56">
        <v>2</v>
      </c>
      <c r="GB56" t="s">
        <v>423</v>
      </c>
      <c r="GC56">
        <v>2.9584299999999999</v>
      </c>
      <c r="GD56">
        <v>2.7427600000000001</v>
      </c>
      <c r="GE56">
        <v>7.7678399999999995E-2</v>
      </c>
      <c r="GF56">
        <v>8.8874700000000001E-2</v>
      </c>
      <c r="GG56">
        <v>0.12936300000000001</v>
      </c>
      <c r="GH56">
        <v>0.10732899999999999</v>
      </c>
      <c r="GI56">
        <v>21650.3</v>
      </c>
      <c r="GJ56">
        <v>19921.3</v>
      </c>
      <c r="GK56">
        <v>23404.6</v>
      </c>
      <c r="GL56">
        <v>21912</v>
      </c>
      <c r="GM56">
        <v>28735.8</v>
      </c>
      <c r="GN56">
        <v>27288.5</v>
      </c>
      <c r="GO56">
        <v>36930.800000000003</v>
      </c>
      <c r="GP56">
        <v>34088.9</v>
      </c>
      <c r="GQ56">
        <v>1.99515</v>
      </c>
      <c r="GR56">
        <v>1.8311299999999999</v>
      </c>
      <c r="GS56">
        <v>4.2520500000000003E-2</v>
      </c>
      <c r="GT56">
        <v>0</v>
      </c>
      <c r="GU56">
        <v>29.366399999999999</v>
      </c>
      <c r="GV56">
        <v>999.9</v>
      </c>
      <c r="GW56">
        <v>33</v>
      </c>
      <c r="GX56">
        <v>43.9</v>
      </c>
      <c r="GY56">
        <v>30.2851</v>
      </c>
      <c r="GZ56">
        <v>60.091299999999997</v>
      </c>
      <c r="HA56">
        <v>39.587299999999999</v>
      </c>
      <c r="HB56">
        <v>1</v>
      </c>
      <c r="HC56">
        <v>0.50658300000000001</v>
      </c>
      <c r="HD56">
        <v>3.0434800000000002</v>
      </c>
      <c r="HE56">
        <v>20.085000000000001</v>
      </c>
      <c r="HF56">
        <v>5.2565200000000001</v>
      </c>
      <c r="HG56">
        <v>11.962</v>
      </c>
      <c r="HH56">
        <v>4.9790999999999999</v>
      </c>
      <c r="HI56">
        <v>3.2971499999999998</v>
      </c>
      <c r="HJ56">
        <v>9999</v>
      </c>
      <c r="HK56">
        <v>9999</v>
      </c>
      <c r="HL56">
        <v>9999</v>
      </c>
      <c r="HM56">
        <v>999.9</v>
      </c>
      <c r="HN56">
        <v>1.86415</v>
      </c>
      <c r="HO56">
        <v>1.86006</v>
      </c>
      <c r="HP56">
        <v>1.8667400000000001</v>
      </c>
      <c r="HQ56">
        <v>1.8633999999999999</v>
      </c>
      <c r="HR56">
        <v>1.8620300000000001</v>
      </c>
      <c r="HS56">
        <v>1.86206</v>
      </c>
      <c r="HT56">
        <v>1.86338</v>
      </c>
      <c r="HU56">
        <v>1.8646199999999999</v>
      </c>
      <c r="HV56">
        <v>0</v>
      </c>
      <c r="HW56">
        <v>0</v>
      </c>
      <c r="HX56">
        <v>0</v>
      </c>
      <c r="HY56">
        <v>0</v>
      </c>
      <c r="HZ56" t="s">
        <v>424</v>
      </c>
      <c r="IA56" t="s">
        <v>425</v>
      </c>
      <c r="IB56" t="s">
        <v>426</v>
      </c>
      <c r="IC56" t="s">
        <v>426</v>
      </c>
      <c r="ID56" t="s">
        <v>426</v>
      </c>
      <c r="IE56" t="s">
        <v>426</v>
      </c>
      <c r="IF56">
        <v>0</v>
      </c>
      <c r="IG56">
        <v>100</v>
      </c>
      <c r="IH56">
        <v>100</v>
      </c>
      <c r="II56">
        <v>-0.41699999999999998</v>
      </c>
      <c r="IJ56">
        <v>0.13539999999999999</v>
      </c>
      <c r="IK56">
        <v>-0.41342746463067592</v>
      </c>
      <c r="IL56">
        <v>-8.3322953065825546E-5</v>
      </c>
      <c r="IM56">
        <v>2.3872336679552741E-7</v>
      </c>
      <c r="IN56">
        <v>-5.428329794194132E-11</v>
      </c>
      <c r="IO56">
        <v>0.1353327651775296</v>
      </c>
      <c r="IP56">
        <v>0</v>
      </c>
      <c r="IQ56">
        <v>0</v>
      </c>
      <c r="IR56">
        <v>0</v>
      </c>
      <c r="IS56">
        <v>2</v>
      </c>
      <c r="IT56">
        <v>2035</v>
      </c>
      <c r="IU56">
        <v>1</v>
      </c>
      <c r="IV56">
        <v>21</v>
      </c>
      <c r="IW56">
        <v>0.6</v>
      </c>
      <c r="IX56">
        <v>0.7</v>
      </c>
      <c r="IY56">
        <v>1.06934</v>
      </c>
      <c r="IZ56">
        <v>2.7172900000000002</v>
      </c>
      <c r="JA56">
        <v>1.4526399999999999</v>
      </c>
      <c r="JB56">
        <v>2.2802699999999998</v>
      </c>
      <c r="JC56">
        <v>1.5942400000000001</v>
      </c>
      <c r="JD56">
        <v>2.2875999999999999</v>
      </c>
      <c r="JE56">
        <v>46.327399999999997</v>
      </c>
      <c r="JF56">
        <v>24.1313</v>
      </c>
      <c r="JG56">
        <v>18</v>
      </c>
      <c r="JH56">
        <v>508.322</v>
      </c>
      <c r="JI56">
        <v>438.09800000000001</v>
      </c>
      <c r="JJ56">
        <v>27.010200000000001</v>
      </c>
      <c r="JK56">
        <v>33.314399999999999</v>
      </c>
      <c r="JL56">
        <v>30.000299999999999</v>
      </c>
      <c r="JM56">
        <v>33.304499999999997</v>
      </c>
      <c r="JN56">
        <v>33.305500000000002</v>
      </c>
      <c r="JO56">
        <v>21.358000000000001</v>
      </c>
      <c r="JP56">
        <v>32.639499999999998</v>
      </c>
      <c r="JQ56">
        <v>0</v>
      </c>
      <c r="JR56">
        <v>26.9618</v>
      </c>
      <c r="JS56">
        <v>400</v>
      </c>
      <c r="JT56">
        <v>21.640599999999999</v>
      </c>
      <c r="JU56">
        <v>98.9833</v>
      </c>
      <c r="JV56">
        <v>98.337599999999995</v>
      </c>
    </row>
    <row r="57" spans="1:282" x14ac:dyDescent="0.25">
      <c r="A57">
        <v>41</v>
      </c>
      <c r="B57">
        <v>1689006648.0999999</v>
      </c>
      <c r="C57">
        <v>7307.5</v>
      </c>
      <c r="D57" t="s">
        <v>627</v>
      </c>
      <c r="E57" t="s">
        <v>628</v>
      </c>
      <c r="F57" t="s">
        <v>414</v>
      </c>
      <c r="G57" t="s">
        <v>415</v>
      </c>
      <c r="H57" t="s">
        <v>577</v>
      </c>
      <c r="I57" t="s">
        <v>578</v>
      </c>
      <c r="J57" t="s">
        <v>416</v>
      </c>
      <c r="K57">
        <v>1689006648.0999999</v>
      </c>
      <c r="L57">
        <f t="shared" si="46"/>
        <v>5.5634278828634838E-3</v>
      </c>
      <c r="M57">
        <f t="shared" si="47"/>
        <v>5.5634278828634836</v>
      </c>
      <c r="N57">
        <f t="shared" si="48"/>
        <v>58.479295799373247</v>
      </c>
      <c r="O57">
        <f t="shared" si="49"/>
        <v>427.10199999999998</v>
      </c>
      <c r="P57">
        <f t="shared" si="50"/>
        <v>168.7695728105661</v>
      </c>
      <c r="Q57">
        <f t="shared" si="51"/>
        <v>16.76163450041156</v>
      </c>
      <c r="R57">
        <f t="shared" si="52"/>
        <v>42.418354796869998</v>
      </c>
      <c r="S57">
        <f t="shared" si="53"/>
        <v>0.3964191290953113</v>
      </c>
      <c r="T57">
        <f t="shared" si="54"/>
        <v>2.9173203397862713</v>
      </c>
      <c r="U57">
        <f t="shared" si="55"/>
        <v>0.36874087293269836</v>
      </c>
      <c r="V57">
        <f t="shared" si="56"/>
        <v>0.23278858451891216</v>
      </c>
      <c r="W57">
        <f t="shared" si="57"/>
        <v>289.57662601270539</v>
      </c>
      <c r="X57">
        <f t="shared" si="58"/>
        <v>30.121427163212413</v>
      </c>
      <c r="Y57">
        <f t="shared" si="59"/>
        <v>29.852</v>
      </c>
      <c r="Z57">
        <f t="shared" si="60"/>
        <v>4.224365579023206</v>
      </c>
      <c r="AA57">
        <f t="shared" si="61"/>
        <v>65.748284506798456</v>
      </c>
      <c r="AB57">
        <f t="shared" si="62"/>
        <v>2.778741802941</v>
      </c>
      <c r="AC57">
        <f t="shared" si="63"/>
        <v>4.2263335443431602</v>
      </c>
      <c r="AD57">
        <f t="shared" si="64"/>
        <v>1.4456237760822059</v>
      </c>
      <c r="AE57">
        <f t="shared" si="65"/>
        <v>-245.34716963427962</v>
      </c>
      <c r="AF57">
        <f t="shared" si="66"/>
        <v>1.2739564506841403</v>
      </c>
      <c r="AG57">
        <f t="shared" si="67"/>
        <v>9.6959514324518159E-2</v>
      </c>
      <c r="AH57">
        <f t="shared" si="68"/>
        <v>45.600372343434415</v>
      </c>
      <c r="AI57">
        <v>0</v>
      </c>
      <c r="AJ57">
        <v>0</v>
      </c>
      <c r="AK57">
        <f t="shared" si="69"/>
        <v>1</v>
      </c>
      <c r="AL57">
        <f t="shared" si="70"/>
        <v>0</v>
      </c>
      <c r="AM57">
        <f t="shared" si="71"/>
        <v>52011.662034786372</v>
      </c>
      <c r="AN57" t="s">
        <v>418</v>
      </c>
      <c r="AO57">
        <v>8197.4</v>
      </c>
      <c r="AP57">
        <v>619.92999999999995</v>
      </c>
      <c r="AQ57">
        <v>3131.443117258741</v>
      </c>
      <c r="AR57">
        <f t="shared" si="72"/>
        <v>0.80203057287443702</v>
      </c>
      <c r="AS57">
        <v>-1.0448500102641549</v>
      </c>
      <c r="AT57" t="s">
        <v>629</v>
      </c>
      <c r="AU57">
        <v>8179.95</v>
      </c>
      <c r="AV57">
        <v>788.70588461538455</v>
      </c>
      <c r="AW57">
        <v>1237.4501260414761</v>
      </c>
      <c r="AX57">
        <f t="shared" si="73"/>
        <v>0.36263622426674735</v>
      </c>
      <c r="AY57">
        <v>0.5</v>
      </c>
      <c r="AZ57">
        <f t="shared" si="74"/>
        <v>1513.2354000065829</v>
      </c>
      <c r="BA57">
        <f t="shared" si="75"/>
        <v>58.479295799373247</v>
      </c>
      <c r="BB57">
        <f t="shared" si="76"/>
        <v>274.37698594258416</v>
      </c>
      <c r="BC57">
        <f t="shared" si="77"/>
        <v>3.9335681553166454E-2</v>
      </c>
      <c r="BD57">
        <f t="shared" si="78"/>
        <v>1.5305610718033764</v>
      </c>
      <c r="BE57">
        <f t="shared" si="79"/>
        <v>475.76972745404066</v>
      </c>
      <c r="BF57" t="s">
        <v>630</v>
      </c>
      <c r="BG57">
        <v>614.44000000000005</v>
      </c>
      <c r="BH57">
        <f t="shared" si="80"/>
        <v>614.44000000000005</v>
      </c>
      <c r="BI57">
        <f t="shared" si="81"/>
        <v>0.50346281674756921</v>
      </c>
      <c r="BJ57">
        <f t="shared" si="82"/>
        <v>0.72028402536143854</v>
      </c>
      <c r="BK57">
        <f t="shared" si="83"/>
        <v>0.75247939830921062</v>
      </c>
      <c r="BL57">
        <f t="shared" si="84"/>
        <v>0.72668763737742748</v>
      </c>
      <c r="BM57">
        <f t="shared" si="85"/>
        <v>0.75412426803667854</v>
      </c>
      <c r="BN57">
        <f t="shared" si="86"/>
        <v>0.56113606500971391</v>
      </c>
      <c r="BO57">
        <f t="shared" si="87"/>
        <v>0.43886393499028609</v>
      </c>
      <c r="BP57">
        <v>13650</v>
      </c>
      <c r="BQ57">
        <v>290.00000000000011</v>
      </c>
      <c r="BR57">
        <v>1089.58</v>
      </c>
      <c r="BS57">
        <v>295</v>
      </c>
      <c r="BT57">
        <v>8179.95</v>
      </c>
      <c r="BU57">
        <v>1092.6300000000001</v>
      </c>
      <c r="BV57">
        <v>-3.05</v>
      </c>
      <c r="BW57">
        <v>300.00000000000011</v>
      </c>
      <c r="BX57">
        <v>19.3</v>
      </c>
      <c r="BY57">
        <v>1237.4501260414761</v>
      </c>
      <c r="BZ57">
        <v>5.5854514855791821</v>
      </c>
      <c r="CA57">
        <v>-118.46540260510849</v>
      </c>
      <c r="CB57">
        <v>4.1957885656338787</v>
      </c>
      <c r="CC57">
        <v>0.96606797052207249</v>
      </c>
      <c r="CD57">
        <v>-4.2362033370411459E-3</v>
      </c>
      <c r="CE57">
        <v>289.99999999999989</v>
      </c>
      <c r="CF57">
        <v>1085.6400000000001</v>
      </c>
      <c r="CG57">
        <v>625</v>
      </c>
      <c r="CH57">
        <v>8170.48</v>
      </c>
      <c r="CI57">
        <v>1092.46</v>
      </c>
      <c r="CJ57">
        <v>-6.82</v>
      </c>
      <c r="CX57">
        <f t="shared" si="88"/>
        <v>1800.06</v>
      </c>
      <c r="CY57">
        <f t="shared" si="89"/>
        <v>1513.2354000065829</v>
      </c>
      <c r="CZ57">
        <f t="shared" si="90"/>
        <v>0.8406583113932774</v>
      </c>
      <c r="DA57">
        <f t="shared" si="91"/>
        <v>0.16087054098902559</v>
      </c>
      <c r="DB57">
        <v>6</v>
      </c>
      <c r="DC57">
        <v>0.5</v>
      </c>
      <c r="DD57" t="s">
        <v>421</v>
      </c>
      <c r="DE57">
        <v>2</v>
      </c>
      <c r="DF57">
        <v>1689006648.0999999</v>
      </c>
      <c r="DG57">
        <v>427.10199999999998</v>
      </c>
      <c r="DH57">
        <v>500.11700000000002</v>
      </c>
      <c r="DI57">
        <v>27.9786</v>
      </c>
      <c r="DJ57">
        <v>21.490300000000001</v>
      </c>
      <c r="DK57">
        <v>427.48899999999998</v>
      </c>
      <c r="DL57">
        <v>27.837599999999998</v>
      </c>
      <c r="DM57">
        <v>500.07900000000001</v>
      </c>
      <c r="DN57">
        <v>99.217200000000005</v>
      </c>
      <c r="DO57">
        <v>9.9485000000000004E-2</v>
      </c>
      <c r="DP57">
        <v>29.860099999999999</v>
      </c>
      <c r="DQ57">
        <v>29.852</v>
      </c>
      <c r="DR57">
        <v>999.9</v>
      </c>
      <c r="DS57">
        <v>0</v>
      </c>
      <c r="DT57">
        <v>0</v>
      </c>
      <c r="DU57">
        <v>10008.799999999999</v>
      </c>
      <c r="DV57">
        <v>0</v>
      </c>
      <c r="DW57">
        <v>590.95000000000005</v>
      </c>
      <c r="DX57">
        <v>-73.014899999999997</v>
      </c>
      <c r="DY57">
        <v>439.39600000000002</v>
      </c>
      <c r="DZ57">
        <v>511.101</v>
      </c>
      <c r="EA57">
        <v>6.4882200000000001</v>
      </c>
      <c r="EB57">
        <v>500.11700000000002</v>
      </c>
      <c r="EC57">
        <v>21.490300000000001</v>
      </c>
      <c r="ED57">
        <v>2.7759499999999999</v>
      </c>
      <c r="EE57">
        <v>2.1322100000000002</v>
      </c>
      <c r="EF57">
        <v>22.741800000000001</v>
      </c>
      <c r="EG57">
        <v>18.4619</v>
      </c>
      <c r="EH57">
        <v>1800.06</v>
      </c>
      <c r="EI57">
        <v>0.97799700000000001</v>
      </c>
      <c r="EJ57">
        <v>2.2002899999999999E-2</v>
      </c>
      <c r="EK57">
        <v>0</v>
      </c>
      <c r="EL57">
        <v>789.12199999999996</v>
      </c>
      <c r="EM57">
        <v>4.9999900000000004</v>
      </c>
      <c r="EN57">
        <v>16873.7</v>
      </c>
      <c r="EO57">
        <v>15864.4</v>
      </c>
      <c r="EP57">
        <v>48.311999999999998</v>
      </c>
      <c r="EQ57">
        <v>49.375</v>
      </c>
      <c r="ER57">
        <v>48.75</v>
      </c>
      <c r="ES57">
        <v>49.311999999999998</v>
      </c>
      <c r="ET57">
        <v>50.061999999999998</v>
      </c>
      <c r="EU57">
        <v>1755.56</v>
      </c>
      <c r="EV57">
        <v>39.5</v>
      </c>
      <c r="EW57">
        <v>0</v>
      </c>
      <c r="EX57">
        <v>117.7999999523163</v>
      </c>
      <c r="EY57">
        <v>0</v>
      </c>
      <c r="EZ57">
        <v>788.70588461538455</v>
      </c>
      <c r="FA57">
        <v>3.8032478680202089</v>
      </c>
      <c r="FB57">
        <v>-3161.4119629671281</v>
      </c>
      <c r="FC57">
        <v>16731.811538461541</v>
      </c>
      <c r="FD57">
        <v>15</v>
      </c>
      <c r="FE57">
        <v>1689006612.0999999</v>
      </c>
      <c r="FF57" t="s">
        <v>631</v>
      </c>
      <c r="FG57">
        <v>1689006606.0999999</v>
      </c>
      <c r="FH57">
        <v>1689006612.0999999</v>
      </c>
      <c r="FI57">
        <v>45</v>
      </c>
      <c r="FJ57">
        <v>2.3E-2</v>
      </c>
      <c r="FK57">
        <v>6.0000000000000001E-3</v>
      </c>
      <c r="FL57">
        <v>-0.379</v>
      </c>
      <c r="FM57">
        <v>0.13900000000000001</v>
      </c>
      <c r="FN57">
        <v>500</v>
      </c>
      <c r="FO57">
        <v>22</v>
      </c>
      <c r="FP57">
        <v>0.02</v>
      </c>
      <c r="FQ57">
        <v>0.01</v>
      </c>
      <c r="FR57">
        <v>58.577190758712042</v>
      </c>
      <c r="FS57">
        <v>-0.55073675681852663</v>
      </c>
      <c r="FT57">
        <v>6.4436972895575415E-2</v>
      </c>
      <c r="FU57">
        <v>1</v>
      </c>
      <c r="FV57">
        <v>0.39322344340029208</v>
      </c>
      <c r="FW57">
        <v>2.636443793507131E-2</v>
      </c>
      <c r="FX57">
        <v>2.3143241776521339E-3</v>
      </c>
      <c r="FY57">
        <v>1</v>
      </c>
      <c r="FZ57">
        <v>2</v>
      </c>
      <c r="GA57">
        <v>2</v>
      </c>
      <c r="GB57" t="s">
        <v>423</v>
      </c>
      <c r="GC57">
        <v>2.9584800000000002</v>
      </c>
      <c r="GD57">
        <v>2.7427899999999998</v>
      </c>
      <c r="GE57">
        <v>9.3561099999999994E-2</v>
      </c>
      <c r="GF57">
        <v>0.10501199999999999</v>
      </c>
      <c r="GG57">
        <v>0.12870699999999999</v>
      </c>
      <c r="GH57">
        <v>0.106557</v>
      </c>
      <c r="GI57">
        <v>21277.4</v>
      </c>
      <c r="GJ57">
        <v>19568.099999999999</v>
      </c>
      <c r="GK57">
        <v>23404.6</v>
      </c>
      <c r="GL57">
        <v>21911.7</v>
      </c>
      <c r="GM57">
        <v>28759.9</v>
      </c>
      <c r="GN57">
        <v>27313.9</v>
      </c>
      <c r="GO57">
        <v>36931.800000000003</v>
      </c>
      <c r="GP57">
        <v>34089.5</v>
      </c>
      <c r="GQ57">
        <v>1.9950300000000001</v>
      </c>
      <c r="GR57">
        <v>1.8290500000000001</v>
      </c>
      <c r="GS57">
        <v>2.2202699999999999E-2</v>
      </c>
      <c r="GT57">
        <v>0</v>
      </c>
      <c r="GU57">
        <v>29.490500000000001</v>
      </c>
      <c r="GV57">
        <v>999.9</v>
      </c>
      <c r="GW57">
        <v>32.9</v>
      </c>
      <c r="GX57">
        <v>44.1</v>
      </c>
      <c r="GY57">
        <v>30.5061</v>
      </c>
      <c r="GZ57">
        <v>60.1813</v>
      </c>
      <c r="HA57">
        <v>39.5032</v>
      </c>
      <c r="HB57">
        <v>1</v>
      </c>
      <c r="HC57">
        <v>0.50609499999999996</v>
      </c>
      <c r="HD57">
        <v>2.1594500000000001</v>
      </c>
      <c r="HE57">
        <v>20.100300000000001</v>
      </c>
      <c r="HF57">
        <v>5.2605700000000004</v>
      </c>
      <c r="HG57">
        <v>11.962</v>
      </c>
      <c r="HH57">
        <v>4.9793000000000003</v>
      </c>
      <c r="HI57">
        <v>3.2973300000000001</v>
      </c>
      <c r="HJ57">
        <v>9999</v>
      </c>
      <c r="HK57">
        <v>9999</v>
      </c>
      <c r="HL57">
        <v>9999</v>
      </c>
      <c r="HM57">
        <v>999.9</v>
      </c>
      <c r="HN57">
        <v>1.8641700000000001</v>
      </c>
      <c r="HO57">
        <v>1.86012</v>
      </c>
      <c r="HP57">
        <v>1.8667499999999999</v>
      </c>
      <c r="HQ57">
        <v>1.8633999999999999</v>
      </c>
      <c r="HR57">
        <v>1.8620300000000001</v>
      </c>
      <c r="HS57">
        <v>1.8621000000000001</v>
      </c>
      <c r="HT57">
        <v>1.8633999999999999</v>
      </c>
      <c r="HU57">
        <v>1.8646199999999999</v>
      </c>
      <c r="HV57">
        <v>0</v>
      </c>
      <c r="HW57">
        <v>0</v>
      </c>
      <c r="HX57">
        <v>0</v>
      </c>
      <c r="HY57">
        <v>0</v>
      </c>
      <c r="HZ57" t="s">
        <v>424</v>
      </c>
      <c r="IA57" t="s">
        <v>425</v>
      </c>
      <c r="IB57" t="s">
        <v>426</v>
      </c>
      <c r="IC57" t="s">
        <v>426</v>
      </c>
      <c r="ID57" t="s">
        <v>426</v>
      </c>
      <c r="IE57" t="s">
        <v>426</v>
      </c>
      <c r="IF57">
        <v>0</v>
      </c>
      <c r="IG57">
        <v>100</v>
      </c>
      <c r="IH57">
        <v>100</v>
      </c>
      <c r="II57">
        <v>-0.38700000000000001</v>
      </c>
      <c r="IJ57">
        <v>0.14099999999999999</v>
      </c>
      <c r="IK57">
        <v>-0.39033019196555491</v>
      </c>
      <c r="IL57">
        <v>-8.3322953065825546E-5</v>
      </c>
      <c r="IM57">
        <v>2.3872336679552741E-7</v>
      </c>
      <c r="IN57">
        <v>-5.428329794194132E-11</v>
      </c>
      <c r="IO57">
        <v>0.14096899772505769</v>
      </c>
      <c r="IP57">
        <v>0</v>
      </c>
      <c r="IQ57">
        <v>0</v>
      </c>
      <c r="IR57">
        <v>0</v>
      </c>
      <c r="IS57">
        <v>2</v>
      </c>
      <c r="IT57">
        <v>2035</v>
      </c>
      <c r="IU57">
        <v>1</v>
      </c>
      <c r="IV57">
        <v>21</v>
      </c>
      <c r="IW57">
        <v>0.7</v>
      </c>
      <c r="IX57">
        <v>0.6</v>
      </c>
      <c r="IY57">
        <v>1.2817400000000001</v>
      </c>
      <c r="IZ57">
        <v>2.7160600000000001</v>
      </c>
      <c r="JA57">
        <v>1.4514199999999999</v>
      </c>
      <c r="JB57">
        <v>2.2802699999999998</v>
      </c>
      <c r="JC57">
        <v>1.5942400000000001</v>
      </c>
      <c r="JD57">
        <v>2.3339799999999999</v>
      </c>
      <c r="JE57">
        <v>46.473500000000001</v>
      </c>
      <c r="JF57">
        <v>24.14</v>
      </c>
      <c r="JG57">
        <v>18</v>
      </c>
      <c r="JH57">
        <v>508.697</v>
      </c>
      <c r="JI57">
        <v>437.11099999999999</v>
      </c>
      <c r="JJ57">
        <v>27.099299999999999</v>
      </c>
      <c r="JK57">
        <v>33.356099999999998</v>
      </c>
      <c r="JL57">
        <v>29.9999</v>
      </c>
      <c r="JM57">
        <v>33.357799999999997</v>
      </c>
      <c r="JN57">
        <v>33.361600000000003</v>
      </c>
      <c r="JO57">
        <v>25.5944</v>
      </c>
      <c r="JP57">
        <v>33.909100000000002</v>
      </c>
      <c r="JQ57">
        <v>0</v>
      </c>
      <c r="JR57">
        <v>27.1739</v>
      </c>
      <c r="JS57">
        <v>500</v>
      </c>
      <c r="JT57">
        <v>21.3813</v>
      </c>
      <c r="JU57">
        <v>98.984800000000007</v>
      </c>
      <c r="JV57">
        <v>98.337999999999994</v>
      </c>
    </row>
    <row r="58" spans="1:282" x14ac:dyDescent="0.25">
      <c r="A58">
        <v>42</v>
      </c>
      <c r="B58">
        <v>1689006747.5999999</v>
      </c>
      <c r="C58">
        <v>7407</v>
      </c>
      <c r="D58" t="s">
        <v>632</v>
      </c>
      <c r="E58" t="s">
        <v>633</v>
      </c>
      <c r="F58" t="s">
        <v>414</v>
      </c>
      <c r="G58" t="s">
        <v>415</v>
      </c>
      <c r="H58" t="s">
        <v>577</v>
      </c>
      <c r="I58" t="s">
        <v>578</v>
      </c>
      <c r="J58" t="s">
        <v>416</v>
      </c>
      <c r="K58">
        <v>1689006747.5999999</v>
      </c>
      <c r="L58">
        <f t="shared" si="46"/>
        <v>5.3111973204173707E-3</v>
      </c>
      <c r="M58">
        <f t="shared" si="47"/>
        <v>5.3111973204173708</v>
      </c>
      <c r="N58">
        <f t="shared" si="48"/>
        <v>64.131941885672703</v>
      </c>
      <c r="O58">
        <f t="shared" si="49"/>
        <v>619.22799999999995</v>
      </c>
      <c r="P58">
        <f t="shared" si="50"/>
        <v>307.41901772603495</v>
      </c>
      <c r="Q58">
        <f t="shared" si="51"/>
        <v>30.529690117248201</v>
      </c>
      <c r="R58">
        <f t="shared" si="52"/>
        <v>61.495346292371998</v>
      </c>
      <c r="S58">
        <f t="shared" si="53"/>
        <v>0.36178401078586486</v>
      </c>
      <c r="T58">
        <f t="shared" si="54"/>
        <v>2.9164149601021139</v>
      </c>
      <c r="U58">
        <f t="shared" si="55"/>
        <v>0.33857247218554554</v>
      </c>
      <c r="V58">
        <f t="shared" si="56"/>
        <v>0.21356903825792256</v>
      </c>
      <c r="W58">
        <f t="shared" si="57"/>
        <v>289.53672601270716</v>
      </c>
      <c r="X58">
        <f t="shared" si="58"/>
        <v>30.529728859544608</v>
      </c>
      <c r="Y58">
        <f t="shared" si="59"/>
        <v>30.139099999999999</v>
      </c>
      <c r="Z58">
        <f t="shared" si="60"/>
        <v>4.2946086156312937</v>
      </c>
      <c r="AA58">
        <f t="shared" si="61"/>
        <v>64.781674838487305</v>
      </c>
      <c r="AB58">
        <f t="shared" si="62"/>
        <v>2.7923205996927005</v>
      </c>
      <c r="AC58">
        <f t="shared" si="63"/>
        <v>4.3103556779821952</v>
      </c>
      <c r="AD58">
        <f t="shared" si="64"/>
        <v>1.5022880159385932</v>
      </c>
      <c r="AE58">
        <f t="shared" si="65"/>
        <v>-234.22380183040605</v>
      </c>
      <c r="AF58">
        <f t="shared" si="66"/>
        <v>10.031258900391887</v>
      </c>
      <c r="AG58">
        <f t="shared" si="67"/>
        <v>0.76609089974125155</v>
      </c>
      <c r="AH58">
        <f t="shared" si="68"/>
        <v>66.110273982434251</v>
      </c>
      <c r="AI58">
        <v>0</v>
      </c>
      <c r="AJ58">
        <v>0</v>
      </c>
      <c r="AK58">
        <f t="shared" si="69"/>
        <v>1</v>
      </c>
      <c r="AL58">
        <f t="shared" si="70"/>
        <v>0</v>
      </c>
      <c r="AM58">
        <f t="shared" si="71"/>
        <v>51926.925392901954</v>
      </c>
      <c r="AN58" t="s">
        <v>418</v>
      </c>
      <c r="AO58">
        <v>8197.4</v>
      </c>
      <c r="AP58">
        <v>619.92999999999995</v>
      </c>
      <c r="AQ58">
        <v>3131.443117258741</v>
      </c>
      <c r="AR58">
        <f t="shared" si="72"/>
        <v>0.80203057287443702</v>
      </c>
      <c r="AS58">
        <v>-1.0448500102641549</v>
      </c>
      <c r="AT58" t="s">
        <v>634</v>
      </c>
      <c r="AU58">
        <v>8180.73</v>
      </c>
      <c r="AV58">
        <v>810.53760000000011</v>
      </c>
      <c r="AW58">
        <v>1309.716476964873</v>
      </c>
      <c r="AX58">
        <f t="shared" si="73"/>
        <v>0.38113506682123</v>
      </c>
      <c r="AY58">
        <v>0.5</v>
      </c>
      <c r="AZ58">
        <f t="shared" si="74"/>
        <v>1513.0254000065841</v>
      </c>
      <c r="BA58">
        <f t="shared" si="75"/>
        <v>64.131941885672703</v>
      </c>
      <c r="BB58">
        <f t="shared" si="76"/>
        <v>288.33351846686384</v>
      </c>
      <c r="BC58">
        <f t="shared" si="77"/>
        <v>4.3077130030766991E-2</v>
      </c>
      <c r="BD58">
        <f t="shared" si="78"/>
        <v>1.3909320622700903</v>
      </c>
      <c r="BE58">
        <f t="shared" si="79"/>
        <v>486.08158982196454</v>
      </c>
      <c r="BF58" t="s">
        <v>635</v>
      </c>
      <c r="BG58">
        <v>623.65</v>
      </c>
      <c r="BH58">
        <f t="shared" si="80"/>
        <v>623.65</v>
      </c>
      <c r="BI58">
        <f t="shared" si="81"/>
        <v>0.5238282399521752</v>
      </c>
      <c r="BJ58">
        <f t="shared" si="82"/>
        <v>0.72759549362215981</v>
      </c>
      <c r="BK58">
        <f t="shared" si="83"/>
        <v>0.72642620627541654</v>
      </c>
      <c r="BL58">
        <f t="shared" si="84"/>
        <v>0.72367159060773134</v>
      </c>
      <c r="BM58">
        <f t="shared" si="85"/>
        <v>0.72535023917463781</v>
      </c>
      <c r="BN58">
        <f t="shared" si="86"/>
        <v>0.55983205417917681</v>
      </c>
      <c r="BO58">
        <f t="shared" si="87"/>
        <v>0.44016794582082319</v>
      </c>
      <c r="BP58">
        <v>13652</v>
      </c>
      <c r="BQ58">
        <v>290.00000000000011</v>
      </c>
      <c r="BR58">
        <v>1151.9100000000001</v>
      </c>
      <c r="BS58">
        <v>285</v>
      </c>
      <c r="BT58">
        <v>8180.73</v>
      </c>
      <c r="BU58">
        <v>1154.6600000000001</v>
      </c>
      <c r="BV58">
        <v>-2.75</v>
      </c>
      <c r="BW58">
        <v>300.00000000000011</v>
      </c>
      <c r="BX58">
        <v>19.3</v>
      </c>
      <c r="BY58">
        <v>1309.716476964873</v>
      </c>
      <c r="BZ58">
        <v>5.8035689138280109</v>
      </c>
      <c r="CA58">
        <v>-126.8462342074809</v>
      </c>
      <c r="CB58">
        <v>4.3600524978646744</v>
      </c>
      <c r="CC58">
        <v>0.96797776125597701</v>
      </c>
      <c r="CD58">
        <v>-4.2366596218019973E-3</v>
      </c>
      <c r="CE58">
        <v>289.99999999999989</v>
      </c>
      <c r="CF58">
        <v>1149.3399999999999</v>
      </c>
      <c r="CG58">
        <v>655</v>
      </c>
      <c r="CH58">
        <v>8170.3</v>
      </c>
      <c r="CI58">
        <v>1154.46</v>
      </c>
      <c r="CJ58">
        <v>-5.12</v>
      </c>
      <c r="CX58">
        <f t="shared" si="88"/>
        <v>1799.81</v>
      </c>
      <c r="CY58">
        <f t="shared" si="89"/>
        <v>1513.0254000065841</v>
      </c>
      <c r="CZ58">
        <f t="shared" si="90"/>
        <v>0.84065840283506821</v>
      </c>
      <c r="DA58">
        <f t="shared" si="91"/>
        <v>0.16087071747168155</v>
      </c>
      <c r="DB58">
        <v>6</v>
      </c>
      <c r="DC58">
        <v>0.5</v>
      </c>
      <c r="DD58" t="s">
        <v>421</v>
      </c>
      <c r="DE58">
        <v>2</v>
      </c>
      <c r="DF58">
        <v>1689006747.5999999</v>
      </c>
      <c r="DG58">
        <v>619.22799999999995</v>
      </c>
      <c r="DH58">
        <v>700.10900000000004</v>
      </c>
      <c r="DI58">
        <v>28.1173</v>
      </c>
      <c r="DJ58">
        <v>21.924900000000001</v>
      </c>
      <c r="DK58">
        <v>619.61099999999999</v>
      </c>
      <c r="DL58">
        <v>27.968299999999999</v>
      </c>
      <c r="DM58">
        <v>500.14800000000002</v>
      </c>
      <c r="DN58">
        <v>99.209500000000006</v>
      </c>
      <c r="DO58">
        <v>0.100199</v>
      </c>
      <c r="DP58">
        <v>30.2029</v>
      </c>
      <c r="DQ58">
        <v>30.139099999999999</v>
      </c>
      <c r="DR58">
        <v>999.9</v>
      </c>
      <c r="DS58">
        <v>0</v>
      </c>
      <c r="DT58">
        <v>0</v>
      </c>
      <c r="DU58">
        <v>10004.4</v>
      </c>
      <c r="DV58">
        <v>0</v>
      </c>
      <c r="DW58">
        <v>1308.44</v>
      </c>
      <c r="DX58">
        <v>-80.861000000000004</v>
      </c>
      <c r="DY58">
        <v>637.15800000000002</v>
      </c>
      <c r="DZ58">
        <v>715.80200000000002</v>
      </c>
      <c r="EA58">
        <v>6.1843300000000001</v>
      </c>
      <c r="EB58">
        <v>700.10900000000004</v>
      </c>
      <c r="EC58">
        <v>21.924900000000001</v>
      </c>
      <c r="ED58">
        <v>2.78871</v>
      </c>
      <c r="EE58">
        <v>2.17516</v>
      </c>
      <c r="EF58">
        <v>22.817399999999999</v>
      </c>
      <c r="EG58">
        <v>18.7805</v>
      </c>
      <c r="EH58">
        <v>1799.81</v>
      </c>
      <c r="EI58">
        <v>0.97799100000000005</v>
      </c>
      <c r="EJ58">
        <v>2.20091E-2</v>
      </c>
      <c r="EK58">
        <v>0</v>
      </c>
      <c r="EL58">
        <v>811.26800000000003</v>
      </c>
      <c r="EM58">
        <v>4.9999900000000004</v>
      </c>
      <c r="EN58">
        <v>19166</v>
      </c>
      <c r="EO58">
        <v>15862</v>
      </c>
      <c r="EP58">
        <v>48.25</v>
      </c>
      <c r="EQ58">
        <v>49.186999999999998</v>
      </c>
      <c r="ER58">
        <v>48.686999999999998</v>
      </c>
      <c r="ES58">
        <v>49.186999999999998</v>
      </c>
      <c r="ET58">
        <v>50</v>
      </c>
      <c r="EU58">
        <v>1755.31</v>
      </c>
      <c r="EV58">
        <v>39.5</v>
      </c>
      <c r="EW58">
        <v>0</v>
      </c>
      <c r="EX58">
        <v>97.799999952316284</v>
      </c>
      <c r="EY58">
        <v>0</v>
      </c>
      <c r="EZ58">
        <v>810.53760000000011</v>
      </c>
      <c r="FA58">
        <v>4.6212307522784721</v>
      </c>
      <c r="FB58">
        <v>-2387.6153745719221</v>
      </c>
      <c r="FC58">
        <v>18994.856</v>
      </c>
      <c r="FD58">
        <v>15</v>
      </c>
      <c r="FE58">
        <v>1689006785.5999999</v>
      </c>
      <c r="FF58" t="s">
        <v>636</v>
      </c>
      <c r="FG58">
        <v>1689006774.0999999</v>
      </c>
      <c r="FH58">
        <v>1689006785.5999999</v>
      </c>
      <c r="FI58">
        <v>46</v>
      </c>
      <c r="FJ58">
        <v>-3.3000000000000002E-2</v>
      </c>
      <c r="FK58">
        <v>8.0000000000000002E-3</v>
      </c>
      <c r="FL58">
        <v>-0.38300000000000001</v>
      </c>
      <c r="FM58">
        <v>0.14899999999999999</v>
      </c>
      <c r="FN58">
        <v>700</v>
      </c>
      <c r="FO58">
        <v>22</v>
      </c>
      <c r="FP58">
        <v>0.02</v>
      </c>
      <c r="FQ58">
        <v>0.01</v>
      </c>
      <c r="FR58">
        <v>63.964585012615117</v>
      </c>
      <c r="FS58">
        <v>0.66052060614480657</v>
      </c>
      <c r="FT58">
        <v>6.8246598956969773E-2</v>
      </c>
      <c r="FU58">
        <v>1</v>
      </c>
      <c r="FV58">
        <v>0.35911360415228077</v>
      </c>
      <c r="FW58">
        <v>1.1220870725561679E-2</v>
      </c>
      <c r="FX58">
        <v>9.619544228475713E-4</v>
      </c>
      <c r="FY58">
        <v>1</v>
      </c>
      <c r="FZ58">
        <v>2</v>
      </c>
      <c r="GA58">
        <v>2</v>
      </c>
      <c r="GB58" t="s">
        <v>423</v>
      </c>
      <c r="GC58">
        <v>2.9586800000000002</v>
      </c>
      <c r="GD58">
        <v>2.7434699999999999</v>
      </c>
      <c r="GE58">
        <v>0.122584</v>
      </c>
      <c r="GF58">
        <v>0.13316800000000001</v>
      </c>
      <c r="GG58">
        <v>0.12912000000000001</v>
      </c>
      <c r="GH58">
        <v>0.108052</v>
      </c>
      <c r="GI58">
        <v>20599.099999999999</v>
      </c>
      <c r="GJ58">
        <v>18956.599999999999</v>
      </c>
      <c r="GK58">
        <v>23407.7</v>
      </c>
      <c r="GL58">
        <v>21916.3</v>
      </c>
      <c r="GM58">
        <v>28751.7</v>
      </c>
      <c r="GN58">
        <v>27274.7</v>
      </c>
      <c r="GO58">
        <v>36936.9</v>
      </c>
      <c r="GP58">
        <v>34096.199999999997</v>
      </c>
      <c r="GQ58">
        <v>1.9951300000000001</v>
      </c>
      <c r="GR58">
        <v>1.8304499999999999</v>
      </c>
      <c r="GS58">
        <v>4.4122300000000003E-2</v>
      </c>
      <c r="GT58">
        <v>0</v>
      </c>
      <c r="GU58">
        <v>29.4208</v>
      </c>
      <c r="GV58">
        <v>999.9</v>
      </c>
      <c r="GW58">
        <v>32.799999999999997</v>
      </c>
      <c r="GX58">
        <v>44.2</v>
      </c>
      <c r="GY58">
        <v>30.575199999999999</v>
      </c>
      <c r="GZ58">
        <v>60.061300000000003</v>
      </c>
      <c r="HA58">
        <v>39.6755</v>
      </c>
      <c r="HB58">
        <v>1</v>
      </c>
      <c r="HC58">
        <v>0.506664</v>
      </c>
      <c r="HD58">
        <v>3.7987799999999998</v>
      </c>
      <c r="HE58">
        <v>20.067799999999998</v>
      </c>
      <c r="HF58">
        <v>5.2646100000000002</v>
      </c>
      <c r="HG58">
        <v>11.962</v>
      </c>
      <c r="HH58">
        <v>4.9797500000000001</v>
      </c>
      <c r="HI58">
        <v>3.298</v>
      </c>
      <c r="HJ58">
        <v>9999</v>
      </c>
      <c r="HK58">
        <v>9999</v>
      </c>
      <c r="HL58">
        <v>9999</v>
      </c>
      <c r="HM58">
        <v>999.9</v>
      </c>
      <c r="HN58">
        <v>1.86416</v>
      </c>
      <c r="HO58">
        <v>1.86016</v>
      </c>
      <c r="HP58">
        <v>1.8667499999999999</v>
      </c>
      <c r="HQ58">
        <v>1.8633999999999999</v>
      </c>
      <c r="HR58">
        <v>1.86205</v>
      </c>
      <c r="HS58">
        <v>1.86212</v>
      </c>
      <c r="HT58">
        <v>1.8633999999999999</v>
      </c>
      <c r="HU58">
        <v>1.8646199999999999</v>
      </c>
      <c r="HV58">
        <v>0</v>
      </c>
      <c r="HW58">
        <v>0</v>
      </c>
      <c r="HX58">
        <v>0</v>
      </c>
      <c r="HY58">
        <v>0</v>
      </c>
      <c r="HZ58" t="s">
        <v>424</v>
      </c>
      <c r="IA58" t="s">
        <v>425</v>
      </c>
      <c r="IB58" t="s">
        <v>426</v>
      </c>
      <c r="IC58" t="s">
        <v>426</v>
      </c>
      <c r="ID58" t="s">
        <v>426</v>
      </c>
      <c r="IE58" t="s">
        <v>426</v>
      </c>
      <c r="IF58">
        <v>0</v>
      </c>
      <c r="IG58">
        <v>100</v>
      </c>
      <c r="IH58">
        <v>100</v>
      </c>
      <c r="II58">
        <v>-0.38300000000000001</v>
      </c>
      <c r="IJ58">
        <v>0.14899999999999999</v>
      </c>
      <c r="IK58">
        <v>-0.39033019196555491</v>
      </c>
      <c r="IL58">
        <v>-8.3322953065825546E-5</v>
      </c>
      <c r="IM58">
        <v>2.3872336679552741E-7</v>
      </c>
      <c r="IN58">
        <v>-5.428329794194132E-11</v>
      </c>
      <c r="IO58">
        <v>0.14096899772505769</v>
      </c>
      <c r="IP58">
        <v>0</v>
      </c>
      <c r="IQ58">
        <v>0</v>
      </c>
      <c r="IR58">
        <v>0</v>
      </c>
      <c r="IS58">
        <v>2</v>
      </c>
      <c r="IT58">
        <v>2035</v>
      </c>
      <c r="IU58">
        <v>1</v>
      </c>
      <c r="IV58">
        <v>21</v>
      </c>
      <c r="IW58">
        <v>2.4</v>
      </c>
      <c r="IX58">
        <v>2.2999999999999998</v>
      </c>
      <c r="IY58">
        <v>1.6882299999999999</v>
      </c>
      <c r="IZ58">
        <v>2.7014200000000002</v>
      </c>
      <c r="JA58">
        <v>1.4514199999999999</v>
      </c>
      <c r="JB58">
        <v>2.2790499999999998</v>
      </c>
      <c r="JC58">
        <v>1.5942400000000001</v>
      </c>
      <c r="JD58">
        <v>2.4169900000000002</v>
      </c>
      <c r="JE58">
        <v>46.5321</v>
      </c>
      <c r="JF58">
        <v>24.1313</v>
      </c>
      <c r="JG58">
        <v>18</v>
      </c>
      <c r="JH58">
        <v>508.58499999999998</v>
      </c>
      <c r="JI58">
        <v>437.93599999999998</v>
      </c>
      <c r="JJ58">
        <v>26.861000000000001</v>
      </c>
      <c r="JK58">
        <v>33.317399999999999</v>
      </c>
      <c r="JL58">
        <v>30.000499999999999</v>
      </c>
      <c r="JM58">
        <v>33.3371</v>
      </c>
      <c r="JN58">
        <v>33.343899999999998</v>
      </c>
      <c r="JO58">
        <v>33.741199999999999</v>
      </c>
      <c r="JP58">
        <v>30.630299999999998</v>
      </c>
      <c r="JQ58">
        <v>0</v>
      </c>
      <c r="JR58">
        <v>26.758600000000001</v>
      </c>
      <c r="JS58">
        <v>700</v>
      </c>
      <c r="JT58">
        <v>21.9925</v>
      </c>
      <c r="JU58">
        <v>98.9983</v>
      </c>
      <c r="JV58">
        <v>98.358000000000004</v>
      </c>
    </row>
    <row r="59" spans="1:282" x14ac:dyDescent="0.25">
      <c r="A59">
        <v>43</v>
      </c>
      <c r="B59">
        <v>1689006919.5999999</v>
      </c>
      <c r="C59">
        <v>7579</v>
      </c>
      <c r="D59" t="s">
        <v>637</v>
      </c>
      <c r="E59" t="s">
        <v>638</v>
      </c>
      <c r="F59" t="s">
        <v>414</v>
      </c>
      <c r="G59" t="s">
        <v>415</v>
      </c>
      <c r="H59" t="s">
        <v>577</v>
      </c>
      <c r="I59" t="s">
        <v>578</v>
      </c>
      <c r="J59" t="s">
        <v>416</v>
      </c>
      <c r="K59">
        <v>1689006919.5999999</v>
      </c>
      <c r="L59">
        <f t="shared" si="46"/>
        <v>5.0639183573605306E-3</v>
      </c>
      <c r="M59">
        <f t="shared" si="47"/>
        <v>5.0639183573605306</v>
      </c>
      <c r="N59">
        <f t="shared" si="48"/>
        <v>65.366464825585723</v>
      </c>
      <c r="O59">
        <f t="shared" si="49"/>
        <v>816.82299999999998</v>
      </c>
      <c r="P59">
        <f t="shared" si="50"/>
        <v>484.41325729233409</v>
      </c>
      <c r="Q59">
        <f t="shared" si="51"/>
        <v>48.105714778522767</v>
      </c>
      <c r="R59">
        <f t="shared" si="52"/>
        <v>81.11638909755149</v>
      </c>
      <c r="S59">
        <f t="shared" si="53"/>
        <v>0.34923603527966102</v>
      </c>
      <c r="T59">
        <f t="shared" si="54"/>
        <v>2.9159423434728517</v>
      </c>
      <c r="U59">
        <f t="shared" si="55"/>
        <v>0.32755165922194029</v>
      </c>
      <c r="V59">
        <f t="shared" si="56"/>
        <v>0.2065557445807234</v>
      </c>
      <c r="W59">
        <f t="shared" si="57"/>
        <v>289.58344801269857</v>
      </c>
      <c r="X59">
        <f t="shared" si="58"/>
        <v>30.382156927833073</v>
      </c>
      <c r="Y59">
        <f t="shared" si="59"/>
        <v>30.0307</v>
      </c>
      <c r="Z59">
        <f t="shared" si="60"/>
        <v>4.2679683517256528</v>
      </c>
      <c r="AA59">
        <f t="shared" si="61"/>
        <v>65.456615414877589</v>
      </c>
      <c r="AB59">
        <f t="shared" si="62"/>
        <v>2.7872248429393505</v>
      </c>
      <c r="AC59">
        <f t="shared" si="63"/>
        <v>4.2581255160740312</v>
      </c>
      <c r="AD59">
        <f t="shared" si="64"/>
        <v>1.4807435087863023</v>
      </c>
      <c r="AE59">
        <f t="shared" si="65"/>
        <v>-223.3187995595994</v>
      </c>
      <c r="AF59">
        <f t="shared" si="66"/>
        <v>-6.3196122015763896</v>
      </c>
      <c r="AG59">
        <f t="shared" si="67"/>
        <v>-0.48194354772695847</v>
      </c>
      <c r="AH59">
        <f t="shared" si="68"/>
        <v>59.463092703795795</v>
      </c>
      <c r="AI59">
        <v>0</v>
      </c>
      <c r="AJ59">
        <v>0</v>
      </c>
      <c r="AK59">
        <f t="shared" si="69"/>
        <v>1</v>
      </c>
      <c r="AL59">
        <f t="shared" si="70"/>
        <v>0</v>
      </c>
      <c r="AM59">
        <f t="shared" si="71"/>
        <v>51949.826038189945</v>
      </c>
      <c r="AN59" t="s">
        <v>418</v>
      </c>
      <c r="AO59">
        <v>8197.4</v>
      </c>
      <c r="AP59">
        <v>619.92999999999995</v>
      </c>
      <c r="AQ59">
        <v>3131.443117258741</v>
      </c>
      <c r="AR59">
        <f t="shared" si="72"/>
        <v>0.80203057287443702</v>
      </c>
      <c r="AS59">
        <v>-1.0448500102641549</v>
      </c>
      <c r="AT59" t="s">
        <v>639</v>
      </c>
      <c r="AU59">
        <v>8182.12</v>
      </c>
      <c r="AV59">
        <v>815.48003999999992</v>
      </c>
      <c r="AW59">
        <v>1345.4645944156009</v>
      </c>
      <c r="AX59">
        <f t="shared" si="73"/>
        <v>0.39390449708994268</v>
      </c>
      <c r="AY59">
        <v>0.5</v>
      </c>
      <c r="AZ59">
        <f t="shared" si="74"/>
        <v>1513.2768000065794</v>
      </c>
      <c r="BA59">
        <f t="shared" si="75"/>
        <v>65.366464825585723</v>
      </c>
      <c r="BB59">
        <f t="shared" si="76"/>
        <v>298.0432684322347</v>
      </c>
      <c r="BC59">
        <f t="shared" si="77"/>
        <v>4.388576817906753E-2</v>
      </c>
      <c r="BD59">
        <f t="shared" si="78"/>
        <v>1.3274065555168884</v>
      </c>
      <c r="BE59">
        <f t="shared" si="79"/>
        <v>490.92248532409053</v>
      </c>
      <c r="BF59" t="s">
        <v>640</v>
      </c>
      <c r="BG59">
        <v>620.75</v>
      </c>
      <c r="BH59">
        <f t="shared" si="80"/>
        <v>620.75</v>
      </c>
      <c r="BI59">
        <f t="shared" si="81"/>
        <v>0.53863520260849285</v>
      </c>
      <c r="BJ59">
        <f t="shared" si="82"/>
        <v>0.73130106458387623</v>
      </c>
      <c r="BK59">
        <f t="shared" si="83"/>
        <v>0.71134879470778623</v>
      </c>
      <c r="BL59">
        <f t="shared" si="84"/>
        <v>0.73047454731292261</v>
      </c>
      <c r="BM59">
        <f t="shared" si="85"/>
        <v>0.71111654188471629</v>
      </c>
      <c r="BN59">
        <f t="shared" si="86"/>
        <v>0.55667228328536555</v>
      </c>
      <c r="BO59">
        <f t="shared" si="87"/>
        <v>0.44332771671463445</v>
      </c>
      <c r="BP59">
        <v>13654</v>
      </c>
      <c r="BQ59">
        <v>290.00000000000011</v>
      </c>
      <c r="BR59">
        <v>1173.6300000000001</v>
      </c>
      <c r="BS59">
        <v>295</v>
      </c>
      <c r="BT59">
        <v>8182.12</v>
      </c>
      <c r="BU59">
        <v>1176.8900000000001</v>
      </c>
      <c r="BV59">
        <v>-3.26</v>
      </c>
      <c r="BW59">
        <v>300.00000000000011</v>
      </c>
      <c r="BX59">
        <v>19.3</v>
      </c>
      <c r="BY59">
        <v>1345.4645944156009</v>
      </c>
      <c r="BZ59">
        <v>4.4405459748544072</v>
      </c>
      <c r="CA59">
        <v>-137.932441947039</v>
      </c>
      <c r="CB59">
        <v>3.3366478701830542</v>
      </c>
      <c r="CC59">
        <v>0.98387915898169298</v>
      </c>
      <c r="CD59">
        <v>-4.2371650723025574E-3</v>
      </c>
      <c r="CE59">
        <v>289.99999999999989</v>
      </c>
      <c r="CF59">
        <v>1170.24</v>
      </c>
      <c r="CG59">
        <v>625</v>
      </c>
      <c r="CH59">
        <v>8172.72</v>
      </c>
      <c r="CI59">
        <v>1176.69</v>
      </c>
      <c r="CJ59">
        <v>-6.45</v>
      </c>
      <c r="CX59">
        <f t="shared" si="88"/>
        <v>1800.11</v>
      </c>
      <c r="CY59">
        <f t="shared" si="89"/>
        <v>1513.2768000065794</v>
      </c>
      <c r="CZ59">
        <f t="shared" si="90"/>
        <v>0.84065795979500113</v>
      </c>
      <c r="DA59">
        <f t="shared" si="91"/>
        <v>0.16086986240435228</v>
      </c>
      <c r="DB59">
        <v>6</v>
      </c>
      <c r="DC59">
        <v>0.5</v>
      </c>
      <c r="DD59" t="s">
        <v>421</v>
      </c>
      <c r="DE59">
        <v>2</v>
      </c>
      <c r="DF59">
        <v>1689006919.5999999</v>
      </c>
      <c r="DG59">
        <v>816.82299999999998</v>
      </c>
      <c r="DH59">
        <v>900.19600000000003</v>
      </c>
      <c r="DI59">
        <v>28.066700000000001</v>
      </c>
      <c r="DJ59">
        <v>22.162700000000001</v>
      </c>
      <c r="DK59">
        <v>817.20799999999997</v>
      </c>
      <c r="DL59">
        <v>27.924199999999999</v>
      </c>
      <c r="DM59">
        <v>500.18200000000002</v>
      </c>
      <c r="DN59">
        <v>99.207499999999996</v>
      </c>
      <c r="DO59">
        <v>9.9680500000000005E-2</v>
      </c>
      <c r="DP59">
        <v>29.990500000000001</v>
      </c>
      <c r="DQ59">
        <v>30.0307</v>
      </c>
      <c r="DR59">
        <v>999.9</v>
      </c>
      <c r="DS59">
        <v>0</v>
      </c>
      <c r="DT59">
        <v>0</v>
      </c>
      <c r="DU59">
        <v>10001.9</v>
      </c>
      <c r="DV59">
        <v>0</v>
      </c>
      <c r="DW59">
        <v>1830.79</v>
      </c>
      <c r="DX59">
        <v>-83.373000000000005</v>
      </c>
      <c r="DY59">
        <v>840.41</v>
      </c>
      <c r="DZ59">
        <v>920.59900000000005</v>
      </c>
      <c r="EA59">
        <v>5.9039700000000002</v>
      </c>
      <c r="EB59">
        <v>900.19600000000003</v>
      </c>
      <c r="EC59">
        <v>22.162700000000001</v>
      </c>
      <c r="ED59">
        <v>2.78443</v>
      </c>
      <c r="EE59">
        <v>2.1987100000000002</v>
      </c>
      <c r="EF59">
        <v>22.792100000000001</v>
      </c>
      <c r="EG59">
        <v>18.9529</v>
      </c>
      <c r="EH59">
        <v>1800.11</v>
      </c>
      <c r="EI59">
        <v>0.97800900000000002</v>
      </c>
      <c r="EJ59">
        <v>2.1991400000000001E-2</v>
      </c>
      <c r="EK59">
        <v>0</v>
      </c>
      <c r="EL59">
        <v>815.06399999999996</v>
      </c>
      <c r="EM59">
        <v>4.9999900000000004</v>
      </c>
      <c r="EN59">
        <v>20286.7</v>
      </c>
      <c r="EO59">
        <v>15864.8</v>
      </c>
      <c r="EP59">
        <v>48.061999999999998</v>
      </c>
      <c r="EQ59">
        <v>49.186999999999998</v>
      </c>
      <c r="ER59">
        <v>48.5</v>
      </c>
      <c r="ES59">
        <v>49.125</v>
      </c>
      <c r="ET59">
        <v>49.811999999999998</v>
      </c>
      <c r="EU59">
        <v>1755.63</v>
      </c>
      <c r="EV59">
        <v>39.479999999999997</v>
      </c>
      <c r="EW59">
        <v>0</v>
      </c>
      <c r="EX59">
        <v>169.79999995231631</v>
      </c>
      <c r="EY59">
        <v>0</v>
      </c>
      <c r="EZ59">
        <v>815.48003999999992</v>
      </c>
      <c r="FA59">
        <v>-2.7003846183572242</v>
      </c>
      <c r="FB59">
        <v>-67.838461221153651</v>
      </c>
      <c r="FC59">
        <v>20294.151999999998</v>
      </c>
      <c r="FD59">
        <v>15</v>
      </c>
      <c r="FE59">
        <v>1689006884.5999999</v>
      </c>
      <c r="FF59" t="s">
        <v>641</v>
      </c>
      <c r="FG59">
        <v>1689006884.5999999</v>
      </c>
      <c r="FH59">
        <v>1689006880.0999999</v>
      </c>
      <c r="FI59">
        <v>47</v>
      </c>
      <c r="FJ59">
        <v>-2.4E-2</v>
      </c>
      <c r="FK59">
        <v>-7.0000000000000001E-3</v>
      </c>
      <c r="FL59">
        <v>-0.36799999999999999</v>
      </c>
      <c r="FM59">
        <v>0.14299999999999999</v>
      </c>
      <c r="FN59">
        <v>900</v>
      </c>
      <c r="FO59">
        <v>22</v>
      </c>
      <c r="FP59">
        <v>0.03</v>
      </c>
      <c r="FQ59">
        <v>0.02</v>
      </c>
      <c r="FR59">
        <v>65.369785610956484</v>
      </c>
      <c r="FS59">
        <v>-0.59241779665974581</v>
      </c>
      <c r="FT59">
        <v>5.3558446019146513E-2</v>
      </c>
      <c r="FU59">
        <v>1</v>
      </c>
      <c r="FV59">
        <v>0.35182417697790758</v>
      </c>
      <c r="FW59">
        <v>-4.076308778761098E-3</v>
      </c>
      <c r="FX59">
        <v>1.3123113913472929E-3</v>
      </c>
      <c r="FY59">
        <v>1</v>
      </c>
      <c r="FZ59">
        <v>2</v>
      </c>
      <c r="GA59">
        <v>2</v>
      </c>
      <c r="GB59" t="s">
        <v>423</v>
      </c>
      <c r="GC59">
        <v>2.9588000000000001</v>
      </c>
      <c r="GD59">
        <v>2.7429199999999998</v>
      </c>
      <c r="GE59">
        <v>0.14799399999999999</v>
      </c>
      <c r="GF59">
        <v>0.15740899999999999</v>
      </c>
      <c r="GG59">
        <v>0.12898499999999999</v>
      </c>
      <c r="GH59">
        <v>0.108871</v>
      </c>
      <c r="GI59">
        <v>20008.5</v>
      </c>
      <c r="GJ59">
        <v>18431.7</v>
      </c>
      <c r="GK59">
        <v>23414.9</v>
      </c>
      <c r="GL59">
        <v>21922.9</v>
      </c>
      <c r="GM59">
        <v>28766.5</v>
      </c>
      <c r="GN59">
        <v>27258.799999999999</v>
      </c>
      <c r="GO59">
        <v>36948.300000000003</v>
      </c>
      <c r="GP59">
        <v>34106.300000000003</v>
      </c>
      <c r="GQ59">
        <v>1.9955000000000001</v>
      </c>
      <c r="GR59">
        <v>1.8313200000000001</v>
      </c>
      <c r="GS59">
        <v>3.4872399999999998E-2</v>
      </c>
      <c r="GT59">
        <v>0</v>
      </c>
      <c r="GU59">
        <v>29.463000000000001</v>
      </c>
      <c r="GV59">
        <v>999.9</v>
      </c>
      <c r="GW59">
        <v>32.5</v>
      </c>
      <c r="GX59">
        <v>44.3</v>
      </c>
      <c r="GY59">
        <v>30.454799999999999</v>
      </c>
      <c r="GZ59">
        <v>60.171399999999998</v>
      </c>
      <c r="HA59">
        <v>39.150599999999997</v>
      </c>
      <c r="HB59">
        <v>1</v>
      </c>
      <c r="HC59">
        <v>0.49110799999999999</v>
      </c>
      <c r="HD59">
        <v>2.9998399999999998</v>
      </c>
      <c r="HE59">
        <v>20.086099999999998</v>
      </c>
      <c r="HF59">
        <v>5.2613200000000004</v>
      </c>
      <c r="HG59">
        <v>11.962</v>
      </c>
      <c r="HH59">
        <v>4.9791499999999997</v>
      </c>
      <c r="HI59">
        <v>3.2972999999999999</v>
      </c>
      <c r="HJ59">
        <v>9999</v>
      </c>
      <c r="HK59">
        <v>9999</v>
      </c>
      <c r="HL59">
        <v>9999</v>
      </c>
      <c r="HM59">
        <v>999.9</v>
      </c>
      <c r="HN59">
        <v>1.8641700000000001</v>
      </c>
      <c r="HO59">
        <v>1.86019</v>
      </c>
      <c r="HP59">
        <v>1.86676</v>
      </c>
      <c r="HQ59">
        <v>1.8633999999999999</v>
      </c>
      <c r="HR59">
        <v>1.86209</v>
      </c>
      <c r="HS59">
        <v>1.86206</v>
      </c>
      <c r="HT59">
        <v>1.8633999999999999</v>
      </c>
      <c r="HU59">
        <v>1.8646199999999999</v>
      </c>
      <c r="HV59">
        <v>0</v>
      </c>
      <c r="HW59">
        <v>0</v>
      </c>
      <c r="HX59">
        <v>0</v>
      </c>
      <c r="HY59">
        <v>0</v>
      </c>
      <c r="HZ59" t="s">
        <v>424</v>
      </c>
      <c r="IA59" t="s">
        <v>425</v>
      </c>
      <c r="IB59" t="s">
        <v>426</v>
      </c>
      <c r="IC59" t="s">
        <v>426</v>
      </c>
      <c r="ID59" t="s">
        <v>426</v>
      </c>
      <c r="IE59" t="s">
        <v>426</v>
      </c>
      <c r="IF59">
        <v>0</v>
      </c>
      <c r="IG59">
        <v>100</v>
      </c>
      <c r="IH59">
        <v>100</v>
      </c>
      <c r="II59">
        <v>-0.38500000000000001</v>
      </c>
      <c r="IJ59">
        <v>0.14249999999999999</v>
      </c>
      <c r="IK59">
        <v>-0.44723423585968708</v>
      </c>
      <c r="IL59">
        <v>-8.3322953065825546E-5</v>
      </c>
      <c r="IM59">
        <v>2.3872336679552741E-7</v>
      </c>
      <c r="IN59">
        <v>-5.428329794194132E-11</v>
      </c>
      <c r="IO59">
        <v>0.14253333333333271</v>
      </c>
      <c r="IP59">
        <v>0</v>
      </c>
      <c r="IQ59">
        <v>0</v>
      </c>
      <c r="IR59">
        <v>0</v>
      </c>
      <c r="IS59">
        <v>2</v>
      </c>
      <c r="IT59">
        <v>2035</v>
      </c>
      <c r="IU59">
        <v>1</v>
      </c>
      <c r="IV59">
        <v>21</v>
      </c>
      <c r="IW59">
        <v>0.6</v>
      </c>
      <c r="IX59">
        <v>0.7</v>
      </c>
      <c r="IY59">
        <v>2.0752000000000002</v>
      </c>
      <c r="IZ59">
        <v>2.7050800000000002</v>
      </c>
      <c r="JA59">
        <v>1.4514199999999999</v>
      </c>
      <c r="JB59">
        <v>2.2790499999999998</v>
      </c>
      <c r="JC59">
        <v>1.5942400000000001</v>
      </c>
      <c r="JD59">
        <v>2.4011200000000001</v>
      </c>
      <c r="JE59">
        <v>46.737900000000003</v>
      </c>
      <c r="JF59">
        <v>24.148800000000001</v>
      </c>
      <c r="JG59">
        <v>18</v>
      </c>
      <c r="JH59">
        <v>508.58</v>
      </c>
      <c r="JI59">
        <v>438.35199999999998</v>
      </c>
      <c r="JJ59">
        <v>26.8779</v>
      </c>
      <c r="JK59">
        <v>33.275700000000001</v>
      </c>
      <c r="JL59">
        <v>30.0001</v>
      </c>
      <c r="JM59">
        <v>33.3078</v>
      </c>
      <c r="JN59">
        <v>33.320300000000003</v>
      </c>
      <c r="JO59">
        <v>41.480499999999999</v>
      </c>
      <c r="JP59">
        <v>30.496400000000001</v>
      </c>
      <c r="JQ59">
        <v>0</v>
      </c>
      <c r="JR59">
        <v>26.8764</v>
      </c>
      <c r="JS59">
        <v>900</v>
      </c>
      <c r="JT59">
        <v>22.050899999999999</v>
      </c>
      <c r="JU59">
        <v>99.028800000000004</v>
      </c>
      <c r="JV59">
        <v>98.387200000000007</v>
      </c>
    </row>
    <row r="60" spans="1:282" x14ac:dyDescent="0.25">
      <c r="A60">
        <v>44</v>
      </c>
      <c r="B60">
        <v>1689007049</v>
      </c>
      <c r="C60">
        <v>7708.4000000953674</v>
      </c>
      <c r="D60" t="s">
        <v>642</v>
      </c>
      <c r="E60" t="s">
        <v>643</v>
      </c>
      <c r="F60" t="s">
        <v>414</v>
      </c>
      <c r="G60" t="s">
        <v>415</v>
      </c>
      <c r="H60" t="s">
        <v>577</v>
      </c>
      <c r="I60" t="s">
        <v>578</v>
      </c>
      <c r="J60" t="s">
        <v>416</v>
      </c>
      <c r="K60">
        <v>1689007049</v>
      </c>
      <c r="L60">
        <f t="shared" si="46"/>
        <v>4.8384857860894106E-3</v>
      </c>
      <c r="M60">
        <f t="shared" si="47"/>
        <v>4.8384857860894108</v>
      </c>
      <c r="N60">
        <f t="shared" si="48"/>
        <v>65.111547951043889</v>
      </c>
      <c r="O60">
        <f t="shared" si="49"/>
        <v>1115.53</v>
      </c>
      <c r="P60">
        <f t="shared" si="50"/>
        <v>755.06644505485849</v>
      </c>
      <c r="Q60">
        <f t="shared" si="51"/>
        <v>74.98253989883041</v>
      </c>
      <c r="R60">
        <f t="shared" si="52"/>
        <v>110.77869143988399</v>
      </c>
      <c r="S60">
        <f t="shared" si="53"/>
        <v>0.32544920425146207</v>
      </c>
      <c r="T60">
        <f t="shared" si="54"/>
        <v>2.9149448719042192</v>
      </c>
      <c r="U60">
        <f t="shared" si="55"/>
        <v>0.3065262060279827</v>
      </c>
      <c r="V60">
        <f t="shared" si="56"/>
        <v>0.19318728384925218</v>
      </c>
      <c r="W60">
        <f t="shared" si="57"/>
        <v>289.55428201270638</v>
      </c>
      <c r="X60">
        <f t="shared" si="58"/>
        <v>30.371609236320122</v>
      </c>
      <c r="Y60">
        <f t="shared" si="59"/>
        <v>30.060300000000002</v>
      </c>
      <c r="Z60">
        <f t="shared" si="60"/>
        <v>4.2752284821407871</v>
      </c>
      <c r="AA60">
        <f t="shared" si="61"/>
        <v>65.15238874680594</v>
      </c>
      <c r="AB60">
        <f t="shared" si="62"/>
        <v>2.7632457724396802</v>
      </c>
      <c r="AC60">
        <f t="shared" si="63"/>
        <v>4.2412040841329048</v>
      </c>
      <c r="AD60">
        <f t="shared" si="64"/>
        <v>1.5119827097011069</v>
      </c>
      <c r="AE60">
        <f t="shared" si="65"/>
        <v>-213.37722316654302</v>
      </c>
      <c r="AF60">
        <f t="shared" si="66"/>
        <v>-21.85963565363377</v>
      </c>
      <c r="AG60">
        <f t="shared" si="67"/>
        <v>-1.6672929525128704</v>
      </c>
      <c r="AH60">
        <f t="shared" si="68"/>
        <v>52.650130240016722</v>
      </c>
      <c r="AI60">
        <v>0</v>
      </c>
      <c r="AJ60">
        <v>0</v>
      </c>
      <c r="AK60">
        <f t="shared" si="69"/>
        <v>1</v>
      </c>
      <c r="AL60">
        <f t="shared" si="70"/>
        <v>0</v>
      </c>
      <c r="AM60">
        <f t="shared" si="71"/>
        <v>51933.294940567881</v>
      </c>
      <c r="AN60" t="s">
        <v>418</v>
      </c>
      <c r="AO60">
        <v>8197.4</v>
      </c>
      <c r="AP60">
        <v>619.92999999999995</v>
      </c>
      <c r="AQ60">
        <v>3131.443117258741</v>
      </c>
      <c r="AR60">
        <f t="shared" si="72"/>
        <v>0.80203057287443702</v>
      </c>
      <c r="AS60">
        <v>-1.0448500102641549</v>
      </c>
      <c r="AT60" t="s">
        <v>644</v>
      </c>
      <c r="AU60">
        <v>8181.17</v>
      </c>
      <c r="AV60">
        <v>811.54223999999999</v>
      </c>
      <c r="AW60">
        <v>1357.591896912016</v>
      </c>
      <c r="AX60">
        <f t="shared" si="73"/>
        <v>0.40221929591216821</v>
      </c>
      <c r="AY60">
        <v>0.5</v>
      </c>
      <c r="AZ60">
        <f t="shared" si="74"/>
        <v>1513.1178000065836</v>
      </c>
      <c r="BA60">
        <f t="shared" si="75"/>
        <v>65.111547951043889</v>
      </c>
      <c r="BB60">
        <f t="shared" si="76"/>
        <v>304.30258807540849</v>
      </c>
      <c r="BC60">
        <f t="shared" si="77"/>
        <v>4.3721908473365524E-2</v>
      </c>
      <c r="BD60">
        <f t="shared" si="78"/>
        <v>1.3066159457650965</v>
      </c>
      <c r="BE60">
        <f t="shared" si="79"/>
        <v>492.52782297863268</v>
      </c>
      <c r="BF60" t="s">
        <v>645</v>
      </c>
      <c r="BG60">
        <v>623.67999999999995</v>
      </c>
      <c r="BH60">
        <f t="shared" si="80"/>
        <v>623.67999999999995</v>
      </c>
      <c r="BI60">
        <f t="shared" si="81"/>
        <v>0.54059831867100483</v>
      </c>
      <c r="BJ60">
        <f t="shared" si="82"/>
        <v>0.7440261688215668</v>
      </c>
      <c r="BK60">
        <f t="shared" si="83"/>
        <v>0.70734401034087224</v>
      </c>
      <c r="BL60">
        <f t="shared" si="84"/>
        <v>0.74024381521924476</v>
      </c>
      <c r="BM60">
        <f t="shared" si="85"/>
        <v>0.70628785816688977</v>
      </c>
      <c r="BN60">
        <f t="shared" si="86"/>
        <v>0.57179308494236203</v>
      </c>
      <c r="BO60">
        <f t="shared" si="87"/>
        <v>0.42820691505763797</v>
      </c>
      <c r="BP60">
        <v>13656</v>
      </c>
      <c r="BQ60">
        <v>290.00000000000011</v>
      </c>
      <c r="BR60">
        <v>1173.43</v>
      </c>
      <c r="BS60">
        <v>295</v>
      </c>
      <c r="BT60">
        <v>8181.17</v>
      </c>
      <c r="BU60">
        <v>1177.6199999999999</v>
      </c>
      <c r="BV60">
        <v>-4.1900000000000004</v>
      </c>
      <c r="BW60">
        <v>300.00000000000011</v>
      </c>
      <c r="BX60">
        <v>19.3</v>
      </c>
      <c r="BY60">
        <v>1357.591896912016</v>
      </c>
      <c r="BZ60">
        <v>5.0081288926781564</v>
      </c>
      <c r="CA60">
        <v>-147.2348049712684</v>
      </c>
      <c r="CB60">
        <v>3.7626836284987242</v>
      </c>
      <c r="CC60">
        <v>0.98204181470906937</v>
      </c>
      <c r="CD60">
        <v>-4.2366941045606172E-3</v>
      </c>
      <c r="CE60">
        <v>289.99999999999989</v>
      </c>
      <c r="CF60">
        <v>1170.67</v>
      </c>
      <c r="CG60">
        <v>655</v>
      </c>
      <c r="CH60">
        <v>8170.78</v>
      </c>
      <c r="CI60">
        <v>1177.4000000000001</v>
      </c>
      <c r="CJ60">
        <v>-6.73</v>
      </c>
      <c r="CX60">
        <f t="shared" si="88"/>
        <v>1799.92</v>
      </c>
      <c r="CY60">
        <f t="shared" si="89"/>
        <v>1513.1178000065836</v>
      </c>
      <c r="CZ60">
        <f t="shared" si="90"/>
        <v>0.84065836259755078</v>
      </c>
      <c r="DA60">
        <f t="shared" si="91"/>
        <v>0.16087063981327301</v>
      </c>
      <c r="DB60">
        <v>6</v>
      </c>
      <c r="DC60">
        <v>0.5</v>
      </c>
      <c r="DD60" t="s">
        <v>421</v>
      </c>
      <c r="DE60">
        <v>2</v>
      </c>
      <c r="DF60">
        <v>1689007049</v>
      </c>
      <c r="DG60">
        <v>1115.53</v>
      </c>
      <c r="DH60">
        <v>1200.1300000000001</v>
      </c>
      <c r="DI60">
        <v>27.825600000000001</v>
      </c>
      <c r="DJ60">
        <v>22.181699999999999</v>
      </c>
      <c r="DK60">
        <v>1115.72</v>
      </c>
      <c r="DL60">
        <v>27.6798</v>
      </c>
      <c r="DM60">
        <v>500.06400000000002</v>
      </c>
      <c r="DN60">
        <v>99.206999999999994</v>
      </c>
      <c r="DO60">
        <v>9.8882800000000007E-2</v>
      </c>
      <c r="DP60">
        <v>29.921199999999999</v>
      </c>
      <c r="DQ60">
        <v>30.060300000000002</v>
      </c>
      <c r="DR60">
        <v>999.9</v>
      </c>
      <c r="DS60">
        <v>0</v>
      </c>
      <c r="DT60">
        <v>0</v>
      </c>
      <c r="DU60">
        <v>9996.25</v>
      </c>
      <c r="DV60">
        <v>0</v>
      </c>
      <c r="DW60">
        <v>1821.4</v>
      </c>
      <c r="DX60">
        <v>-84.595600000000005</v>
      </c>
      <c r="DY60">
        <v>1147.46</v>
      </c>
      <c r="DZ60">
        <v>1227.3499999999999</v>
      </c>
      <c r="EA60">
        <v>5.6439199999999996</v>
      </c>
      <c r="EB60">
        <v>1200.1300000000001</v>
      </c>
      <c r="EC60">
        <v>22.181699999999999</v>
      </c>
      <c r="ED60">
        <v>2.7605</v>
      </c>
      <c r="EE60">
        <v>2.20058</v>
      </c>
      <c r="EF60">
        <v>22.649799999999999</v>
      </c>
      <c r="EG60">
        <v>18.9665</v>
      </c>
      <c r="EH60">
        <v>1799.92</v>
      </c>
      <c r="EI60">
        <v>0.97799100000000005</v>
      </c>
      <c r="EJ60">
        <v>2.20092E-2</v>
      </c>
      <c r="EK60">
        <v>0</v>
      </c>
      <c r="EL60">
        <v>811.23800000000006</v>
      </c>
      <c r="EM60">
        <v>4.9999900000000004</v>
      </c>
      <c r="EN60">
        <v>20201</v>
      </c>
      <c r="EO60">
        <v>15863</v>
      </c>
      <c r="EP60">
        <v>48.125</v>
      </c>
      <c r="EQ60">
        <v>49.311999999999998</v>
      </c>
      <c r="ER60">
        <v>48.625</v>
      </c>
      <c r="ES60">
        <v>49.186999999999998</v>
      </c>
      <c r="ET60">
        <v>49.875</v>
      </c>
      <c r="EU60">
        <v>1755.42</v>
      </c>
      <c r="EV60">
        <v>39.5</v>
      </c>
      <c r="EW60">
        <v>0</v>
      </c>
      <c r="EX60">
        <v>127.7999999523163</v>
      </c>
      <c r="EY60">
        <v>0</v>
      </c>
      <c r="EZ60">
        <v>811.54223999999999</v>
      </c>
      <c r="FA60">
        <v>-1.814923062412414</v>
      </c>
      <c r="FB60">
        <v>301.29999903433747</v>
      </c>
      <c r="FC60">
        <v>20173.099999999999</v>
      </c>
      <c r="FD60">
        <v>15</v>
      </c>
      <c r="FE60">
        <v>1689007015.5</v>
      </c>
      <c r="FF60" t="s">
        <v>646</v>
      </c>
      <c r="FG60">
        <v>1689007015.5</v>
      </c>
      <c r="FH60">
        <v>1689007012.5</v>
      </c>
      <c r="FI60">
        <v>48</v>
      </c>
      <c r="FJ60">
        <v>0.13600000000000001</v>
      </c>
      <c r="FK60">
        <v>3.0000000000000001E-3</v>
      </c>
      <c r="FL60">
        <v>-0.161</v>
      </c>
      <c r="FM60">
        <v>0.14599999999999999</v>
      </c>
      <c r="FN60">
        <v>1200</v>
      </c>
      <c r="FO60">
        <v>22</v>
      </c>
      <c r="FP60">
        <v>0.05</v>
      </c>
      <c r="FQ60">
        <v>0.02</v>
      </c>
      <c r="FR60">
        <v>65.112111949944378</v>
      </c>
      <c r="FS60">
        <v>-0.57020940882542726</v>
      </c>
      <c r="FT60">
        <v>7.9257215297477396E-2</v>
      </c>
      <c r="FU60">
        <v>1</v>
      </c>
      <c r="FV60">
        <v>0.32867305954113218</v>
      </c>
      <c r="FW60">
        <v>-7.7983613028285619E-3</v>
      </c>
      <c r="FX60">
        <v>1.6482981312395241E-3</v>
      </c>
      <c r="FY60">
        <v>1</v>
      </c>
      <c r="FZ60">
        <v>2</v>
      </c>
      <c r="GA60">
        <v>2</v>
      </c>
      <c r="GB60" t="s">
        <v>423</v>
      </c>
      <c r="GC60">
        <v>2.9584800000000002</v>
      </c>
      <c r="GD60">
        <v>2.7420800000000001</v>
      </c>
      <c r="GE60">
        <v>0.18074000000000001</v>
      </c>
      <c r="GF60">
        <v>0.18875500000000001</v>
      </c>
      <c r="GG60">
        <v>0.12820000000000001</v>
      </c>
      <c r="GH60">
        <v>0.108933</v>
      </c>
      <c r="GI60">
        <v>19237.2</v>
      </c>
      <c r="GJ60">
        <v>17744.099999999999</v>
      </c>
      <c r="GK60">
        <v>23413</v>
      </c>
      <c r="GL60">
        <v>21921.5</v>
      </c>
      <c r="GM60">
        <v>28792.6</v>
      </c>
      <c r="GN60">
        <v>27257.3</v>
      </c>
      <c r="GO60">
        <v>36945.1</v>
      </c>
      <c r="GP60">
        <v>34104.400000000001</v>
      </c>
      <c r="GQ60">
        <v>1.99478</v>
      </c>
      <c r="GR60">
        <v>1.8311299999999999</v>
      </c>
      <c r="GS60">
        <v>3.4972999999999997E-2</v>
      </c>
      <c r="GT60">
        <v>0</v>
      </c>
      <c r="GU60">
        <v>29.491</v>
      </c>
      <c r="GV60">
        <v>999.9</v>
      </c>
      <c r="GW60">
        <v>32.200000000000003</v>
      </c>
      <c r="GX60">
        <v>44.5</v>
      </c>
      <c r="GY60">
        <v>30.4862</v>
      </c>
      <c r="GZ60">
        <v>60.431399999999996</v>
      </c>
      <c r="HA60">
        <v>39.455100000000002</v>
      </c>
      <c r="HB60">
        <v>1</v>
      </c>
      <c r="HC60">
        <v>0.494647</v>
      </c>
      <c r="HD60">
        <v>3.0920899999999998</v>
      </c>
      <c r="HE60">
        <v>20.084700000000002</v>
      </c>
      <c r="HF60">
        <v>5.2569699999999999</v>
      </c>
      <c r="HG60">
        <v>11.962</v>
      </c>
      <c r="HH60">
        <v>4.9791999999999996</v>
      </c>
      <c r="HI60">
        <v>3.29725</v>
      </c>
      <c r="HJ60">
        <v>9999</v>
      </c>
      <c r="HK60">
        <v>9999</v>
      </c>
      <c r="HL60">
        <v>9999</v>
      </c>
      <c r="HM60">
        <v>999.9</v>
      </c>
      <c r="HN60">
        <v>1.8641700000000001</v>
      </c>
      <c r="HO60">
        <v>1.86019</v>
      </c>
      <c r="HP60">
        <v>1.86676</v>
      </c>
      <c r="HQ60">
        <v>1.8634200000000001</v>
      </c>
      <c r="HR60">
        <v>1.8621099999999999</v>
      </c>
      <c r="HS60">
        <v>1.8621300000000001</v>
      </c>
      <c r="HT60">
        <v>1.8633999999999999</v>
      </c>
      <c r="HU60">
        <v>1.8646499999999999</v>
      </c>
      <c r="HV60">
        <v>0</v>
      </c>
      <c r="HW60">
        <v>0</v>
      </c>
      <c r="HX60">
        <v>0</v>
      </c>
      <c r="HY60">
        <v>0</v>
      </c>
      <c r="HZ60" t="s">
        <v>424</v>
      </c>
      <c r="IA60" t="s">
        <v>425</v>
      </c>
      <c r="IB60" t="s">
        <v>426</v>
      </c>
      <c r="IC60" t="s">
        <v>426</v>
      </c>
      <c r="ID60" t="s">
        <v>426</v>
      </c>
      <c r="IE60" t="s">
        <v>426</v>
      </c>
      <c r="IF60">
        <v>0</v>
      </c>
      <c r="IG60">
        <v>100</v>
      </c>
      <c r="IH60">
        <v>100</v>
      </c>
      <c r="II60">
        <v>-0.19</v>
      </c>
      <c r="IJ60">
        <v>0.14580000000000001</v>
      </c>
      <c r="IK60">
        <v>-0.31097026024839458</v>
      </c>
      <c r="IL60">
        <v>-8.3322953065825546E-5</v>
      </c>
      <c r="IM60">
        <v>2.3872336679552741E-7</v>
      </c>
      <c r="IN60">
        <v>-5.428329794194132E-11</v>
      </c>
      <c r="IO60">
        <v>0.14586666666666659</v>
      </c>
      <c r="IP60">
        <v>0</v>
      </c>
      <c r="IQ60">
        <v>0</v>
      </c>
      <c r="IR60">
        <v>0</v>
      </c>
      <c r="IS60">
        <v>2</v>
      </c>
      <c r="IT60">
        <v>2035</v>
      </c>
      <c r="IU60">
        <v>1</v>
      </c>
      <c r="IV60">
        <v>21</v>
      </c>
      <c r="IW60">
        <v>0.6</v>
      </c>
      <c r="IX60">
        <v>0.6</v>
      </c>
      <c r="IY60">
        <v>2.6245099999999999</v>
      </c>
      <c r="IZ60">
        <v>2.7026400000000002</v>
      </c>
      <c r="JA60">
        <v>1.4514199999999999</v>
      </c>
      <c r="JB60">
        <v>2.2790499999999998</v>
      </c>
      <c r="JC60">
        <v>1.5942400000000001</v>
      </c>
      <c r="JD60">
        <v>2.36694</v>
      </c>
      <c r="JE60">
        <v>46.8855</v>
      </c>
      <c r="JF60">
        <v>24.14</v>
      </c>
      <c r="JG60">
        <v>18</v>
      </c>
      <c r="JH60">
        <v>508.20400000000001</v>
      </c>
      <c r="JI60">
        <v>438.30799999999999</v>
      </c>
      <c r="JJ60">
        <v>26.8687</v>
      </c>
      <c r="JK60">
        <v>33.290599999999998</v>
      </c>
      <c r="JL60">
        <v>30.000699999999998</v>
      </c>
      <c r="JM60">
        <v>33.319299999999998</v>
      </c>
      <c r="JN60">
        <v>33.332099999999997</v>
      </c>
      <c r="JO60">
        <v>52.437100000000001</v>
      </c>
      <c r="JP60">
        <v>30.790400000000002</v>
      </c>
      <c r="JQ60">
        <v>0</v>
      </c>
      <c r="JR60">
        <v>26.814499999999999</v>
      </c>
      <c r="JS60">
        <v>1200</v>
      </c>
      <c r="JT60">
        <v>22.0472</v>
      </c>
      <c r="JU60">
        <v>99.020399999999995</v>
      </c>
      <c r="JV60">
        <v>98.381500000000003</v>
      </c>
    </row>
    <row r="61" spans="1:282" x14ac:dyDescent="0.25">
      <c r="A61">
        <v>45</v>
      </c>
      <c r="B61">
        <v>1689007156</v>
      </c>
      <c r="C61">
        <v>7815.4000000953674</v>
      </c>
      <c r="D61" t="s">
        <v>647</v>
      </c>
      <c r="E61" t="s">
        <v>648</v>
      </c>
      <c r="F61" t="s">
        <v>414</v>
      </c>
      <c r="G61" t="s">
        <v>415</v>
      </c>
      <c r="H61" t="s">
        <v>577</v>
      </c>
      <c r="I61" t="s">
        <v>578</v>
      </c>
      <c r="J61" t="s">
        <v>416</v>
      </c>
      <c r="K61">
        <v>1689007156</v>
      </c>
      <c r="L61">
        <f t="shared" si="46"/>
        <v>4.5787028447785661E-3</v>
      </c>
      <c r="M61">
        <f t="shared" si="47"/>
        <v>4.578702844778566</v>
      </c>
      <c r="N61">
        <f t="shared" si="48"/>
        <v>64.89517336120268</v>
      </c>
      <c r="O61">
        <f t="shared" si="49"/>
        <v>1414.45</v>
      </c>
      <c r="P61">
        <f t="shared" si="50"/>
        <v>1030.9967390588845</v>
      </c>
      <c r="Q61">
        <f t="shared" si="51"/>
        <v>102.38968470301435</v>
      </c>
      <c r="R61">
        <f t="shared" si="52"/>
        <v>140.47094820142499</v>
      </c>
      <c r="S61">
        <f t="shared" si="53"/>
        <v>0.30889886310718573</v>
      </c>
      <c r="T61">
        <f t="shared" si="54"/>
        <v>2.9176553198084916</v>
      </c>
      <c r="U61">
        <f t="shared" si="55"/>
        <v>0.29181220366847166</v>
      </c>
      <c r="V61">
        <f t="shared" si="56"/>
        <v>0.1838389903338693</v>
      </c>
      <c r="W61">
        <f t="shared" si="57"/>
        <v>289.57662601270539</v>
      </c>
      <c r="X61">
        <f t="shared" si="58"/>
        <v>30.259597044625895</v>
      </c>
      <c r="Y61">
        <f t="shared" si="59"/>
        <v>29.9588</v>
      </c>
      <c r="Z61">
        <f t="shared" si="60"/>
        <v>4.2503778334961781</v>
      </c>
      <c r="AA61">
        <f t="shared" si="61"/>
        <v>65.441946183416732</v>
      </c>
      <c r="AB61">
        <f t="shared" si="62"/>
        <v>2.7470216387395499</v>
      </c>
      <c r="AC61">
        <f t="shared" si="63"/>
        <v>4.197646614971327</v>
      </c>
      <c r="AD61">
        <f t="shared" si="64"/>
        <v>1.5033561947566283</v>
      </c>
      <c r="AE61">
        <f t="shared" si="65"/>
        <v>-201.92079545473476</v>
      </c>
      <c r="AF61">
        <f t="shared" si="66"/>
        <v>-34.149099154888766</v>
      </c>
      <c r="AG61">
        <f t="shared" si="67"/>
        <v>-2.5986054200073454</v>
      </c>
      <c r="AH61">
        <f t="shared" si="68"/>
        <v>50.90812598307452</v>
      </c>
      <c r="AI61">
        <v>0</v>
      </c>
      <c r="AJ61">
        <v>0</v>
      </c>
      <c r="AK61">
        <f t="shared" si="69"/>
        <v>1</v>
      </c>
      <c r="AL61">
        <f t="shared" si="70"/>
        <v>0</v>
      </c>
      <c r="AM61">
        <f t="shared" si="71"/>
        <v>52041.449267753538</v>
      </c>
      <c r="AN61" t="s">
        <v>418</v>
      </c>
      <c r="AO61">
        <v>8197.4</v>
      </c>
      <c r="AP61">
        <v>619.92999999999995</v>
      </c>
      <c r="AQ61">
        <v>3131.443117258741</v>
      </c>
      <c r="AR61">
        <f t="shared" si="72"/>
        <v>0.80203057287443702</v>
      </c>
      <c r="AS61">
        <v>-1.0448500102641549</v>
      </c>
      <c r="AT61" t="s">
        <v>649</v>
      </c>
      <c r="AU61">
        <v>8181.73</v>
      </c>
      <c r="AV61">
        <v>807.27992307692318</v>
      </c>
      <c r="AW61">
        <v>1345.6922639925269</v>
      </c>
      <c r="AX61">
        <f t="shared" si="73"/>
        <v>0.40010064360345743</v>
      </c>
      <c r="AY61">
        <v>0.5</v>
      </c>
      <c r="AZ61">
        <f t="shared" si="74"/>
        <v>1513.2354000065829</v>
      </c>
      <c r="BA61">
        <f t="shared" si="75"/>
        <v>64.89517336120268</v>
      </c>
      <c r="BB61">
        <f t="shared" si="76"/>
        <v>302.72322873308457</v>
      </c>
      <c r="BC61">
        <f t="shared" si="77"/>
        <v>4.3575522599577025E-2</v>
      </c>
      <c r="BD61">
        <f t="shared" si="78"/>
        <v>1.3270127956060918</v>
      </c>
      <c r="BE61">
        <f t="shared" si="79"/>
        <v>490.95279209242767</v>
      </c>
      <c r="BF61" t="s">
        <v>650</v>
      </c>
      <c r="BG61">
        <v>621.16999999999996</v>
      </c>
      <c r="BH61">
        <f t="shared" si="80"/>
        <v>621.16999999999996</v>
      </c>
      <c r="BI61">
        <f t="shared" si="81"/>
        <v>0.53840115112421461</v>
      </c>
      <c r="BJ61">
        <f t="shared" si="82"/>
        <v>0.74312739259197857</v>
      </c>
      <c r="BK61">
        <f t="shared" si="83"/>
        <v>0.71137711709086182</v>
      </c>
      <c r="BL61">
        <f t="shared" si="84"/>
        <v>0.74185772342821565</v>
      </c>
      <c r="BM61">
        <f t="shared" si="85"/>
        <v>0.71102589152125162</v>
      </c>
      <c r="BN61">
        <f t="shared" si="86"/>
        <v>0.57180716286979194</v>
      </c>
      <c r="BO61">
        <f t="shared" si="87"/>
        <v>0.42819283713020806</v>
      </c>
      <c r="BP61">
        <v>13658</v>
      </c>
      <c r="BQ61">
        <v>290.00000000000011</v>
      </c>
      <c r="BR61">
        <v>1168.5</v>
      </c>
      <c r="BS61">
        <v>265</v>
      </c>
      <c r="BT61">
        <v>8181.73</v>
      </c>
      <c r="BU61">
        <v>1172.1099999999999</v>
      </c>
      <c r="BV61">
        <v>-3.61</v>
      </c>
      <c r="BW61">
        <v>300.00000000000011</v>
      </c>
      <c r="BX61">
        <v>19.3</v>
      </c>
      <c r="BY61">
        <v>1345.6922639925269</v>
      </c>
      <c r="BZ61">
        <v>5.6286292592012206</v>
      </c>
      <c r="CA61">
        <v>-142.02179336477431</v>
      </c>
      <c r="CB61">
        <v>4.228441770427934</v>
      </c>
      <c r="CC61">
        <v>0.97578073305961821</v>
      </c>
      <c r="CD61">
        <v>-4.2364309232480477E-3</v>
      </c>
      <c r="CE61">
        <v>289.99999999999989</v>
      </c>
      <c r="CF61">
        <v>1165.02</v>
      </c>
      <c r="CG61">
        <v>685</v>
      </c>
      <c r="CH61">
        <v>8169.03</v>
      </c>
      <c r="CI61">
        <v>1171.8399999999999</v>
      </c>
      <c r="CJ61">
        <v>-6.82</v>
      </c>
      <c r="CX61">
        <f t="shared" si="88"/>
        <v>1800.06</v>
      </c>
      <c r="CY61">
        <f t="shared" si="89"/>
        <v>1513.2354000065829</v>
      </c>
      <c r="CZ61">
        <f t="shared" si="90"/>
        <v>0.8406583113932774</v>
      </c>
      <c r="DA61">
        <f t="shared" si="91"/>
        <v>0.16087054098902559</v>
      </c>
      <c r="DB61">
        <v>6</v>
      </c>
      <c r="DC61">
        <v>0.5</v>
      </c>
      <c r="DD61" t="s">
        <v>421</v>
      </c>
      <c r="DE61">
        <v>2</v>
      </c>
      <c r="DF61">
        <v>1689007156</v>
      </c>
      <c r="DG61">
        <v>1414.45</v>
      </c>
      <c r="DH61">
        <v>1500.09</v>
      </c>
      <c r="DI61">
        <v>27.660699999999999</v>
      </c>
      <c r="DJ61">
        <v>22.3186</v>
      </c>
      <c r="DK61">
        <v>1414.51</v>
      </c>
      <c r="DL61">
        <v>27.505400000000002</v>
      </c>
      <c r="DM61">
        <v>500.03399999999999</v>
      </c>
      <c r="DN61">
        <v>99.212400000000002</v>
      </c>
      <c r="DO61">
        <v>9.8956500000000003E-2</v>
      </c>
      <c r="DP61">
        <v>29.741700000000002</v>
      </c>
      <c r="DQ61">
        <v>29.9588</v>
      </c>
      <c r="DR61">
        <v>999.9</v>
      </c>
      <c r="DS61">
        <v>0</v>
      </c>
      <c r="DT61">
        <v>0</v>
      </c>
      <c r="DU61">
        <v>10011.200000000001</v>
      </c>
      <c r="DV61">
        <v>0</v>
      </c>
      <c r="DW61">
        <v>1828.78</v>
      </c>
      <c r="DX61">
        <v>-85.636700000000005</v>
      </c>
      <c r="DY61">
        <v>1454.69</v>
      </c>
      <c r="DZ61">
        <v>1534.33</v>
      </c>
      <c r="EA61">
        <v>5.34213</v>
      </c>
      <c r="EB61">
        <v>1500.09</v>
      </c>
      <c r="EC61">
        <v>22.3186</v>
      </c>
      <c r="ED61">
        <v>2.7442899999999999</v>
      </c>
      <c r="EE61">
        <v>2.21428</v>
      </c>
      <c r="EF61">
        <v>22.552700000000002</v>
      </c>
      <c r="EG61">
        <v>19.065999999999999</v>
      </c>
      <c r="EH61">
        <v>1800.06</v>
      </c>
      <c r="EI61">
        <v>0.97799400000000003</v>
      </c>
      <c r="EJ61">
        <v>2.2006000000000001E-2</v>
      </c>
      <c r="EK61">
        <v>0</v>
      </c>
      <c r="EL61">
        <v>806.70100000000002</v>
      </c>
      <c r="EM61">
        <v>4.9999900000000004</v>
      </c>
      <c r="EN61">
        <v>20100.099999999999</v>
      </c>
      <c r="EO61">
        <v>15864.3</v>
      </c>
      <c r="EP61">
        <v>48.311999999999998</v>
      </c>
      <c r="EQ61">
        <v>49.436999999999998</v>
      </c>
      <c r="ER61">
        <v>48.686999999999998</v>
      </c>
      <c r="ES61">
        <v>49.311999999999998</v>
      </c>
      <c r="ET61">
        <v>50</v>
      </c>
      <c r="EU61">
        <v>1755.56</v>
      </c>
      <c r="EV61">
        <v>39.5</v>
      </c>
      <c r="EW61">
        <v>0</v>
      </c>
      <c r="EX61">
        <v>105</v>
      </c>
      <c r="EY61">
        <v>0</v>
      </c>
      <c r="EZ61">
        <v>807.27992307692318</v>
      </c>
      <c r="FA61">
        <v>-3.6356239400761239</v>
      </c>
      <c r="FB61">
        <v>-7.1247859070593842</v>
      </c>
      <c r="FC61">
        <v>20103.869230769229</v>
      </c>
      <c r="FD61">
        <v>15</v>
      </c>
      <c r="FE61">
        <v>1689007121.5</v>
      </c>
      <c r="FF61" t="s">
        <v>651</v>
      </c>
      <c r="FG61">
        <v>1689007121</v>
      </c>
      <c r="FH61">
        <v>1689007121.5</v>
      </c>
      <c r="FI61">
        <v>49</v>
      </c>
      <c r="FJ61">
        <v>4.8000000000000001E-2</v>
      </c>
      <c r="FK61">
        <v>8.9999999999999993E-3</v>
      </c>
      <c r="FL61">
        <v>-3.5000000000000003E-2</v>
      </c>
      <c r="FM61">
        <v>0.155</v>
      </c>
      <c r="FN61">
        <v>1501</v>
      </c>
      <c r="FO61">
        <v>22</v>
      </c>
      <c r="FP61">
        <v>0.03</v>
      </c>
      <c r="FQ61">
        <v>0.02</v>
      </c>
      <c r="FR61">
        <v>64.932167759396691</v>
      </c>
      <c r="FS61">
        <v>-0.31816270256723689</v>
      </c>
      <c r="FT61">
        <v>8.2016157764596365E-2</v>
      </c>
      <c r="FU61">
        <v>1</v>
      </c>
      <c r="FV61">
        <v>0.31099007056028949</v>
      </c>
      <c r="FW61">
        <v>-1.452013471973999E-2</v>
      </c>
      <c r="FX61">
        <v>1.24133489540051E-3</v>
      </c>
      <c r="FY61">
        <v>1</v>
      </c>
      <c r="FZ61">
        <v>2</v>
      </c>
      <c r="GA61">
        <v>2</v>
      </c>
      <c r="GB61" t="s">
        <v>423</v>
      </c>
      <c r="GC61">
        <v>2.9583599999999999</v>
      </c>
      <c r="GD61">
        <v>2.7422800000000001</v>
      </c>
      <c r="GE61">
        <v>0.208869</v>
      </c>
      <c r="GF61">
        <v>0.21590200000000001</v>
      </c>
      <c r="GG61">
        <v>0.127634</v>
      </c>
      <c r="GH61">
        <v>0.10939500000000001</v>
      </c>
      <c r="GI61">
        <v>18571.599999999999</v>
      </c>
      <c r="GJ61">
        <v>17145.099999999999</v>
      </c>
      <c r="GK61">
        <v>23408.1</v>
      </c>
      <c r="GL61">
        <v>21916.2</v>
      </c>
      <c r="GM61">
        <v>28808.400000000001</v>
      </c>
      <c r="GN61">
        <v>27238.7</v>
      </c>
      <c r="GO61">
        <v>36938.300000000003</v>
      </c>
      <c r="GP61">
        <v>34096.800000000003</v>
      </c>
      <c r="GQ61">
        <v>1.99448</v>
      </c>
      <c r="GR61">
        <v>1.8302700000000001</v>
      </c>
      <c r="GS61">
        <v>2.92584E-2</v>
      </c>
      <c r="GT61">
        <v>0</v>
      </c>
      <c r="GU61">
        <v>29.482500000000002</v>
      </c>
      <c r="GV61">
        <v>999.9</v>
      </c>
      <c r="GW61">
        <v>32.200000000000003</v>
      </c>
      <c r="GX61">
        <v>44.6</v>
      </c>
      <c r="GY61">
        <v>30.643999999999998</v>
      </c>
      <c r="GZ61">
        <v>59.991399999999999</v>
      </c>
      <c r="HA61">
        <v>39.5593</v>
      </c>
      <c r="HB61">
        <v>1</v>
      </c>
      <c r="HC61">
        <v>0.50259900000000002</v>
      </c>
      <c r="HD61">
        <v>2.6928299999999998</v>
      </c>
      <c r="HE61">
        <v>20.0914</v>
      </c>
      <c r="HF61">
        <v>5.2583200000000003</v>
      </c>
      <c r="HG61">
        <v>11.962</v>
      </c>
      <c r="HH61">
        <v>4.9791499999999997</v>
      </c>
      <c r="HI61">
        <v>3.2973300000000001</v>
      </c>
      <c r="HJ61">
        <v>9999</v>
      </c>
      <c r="HK61">
        <v>9999</v>
      </c>
      <c r="HL61">
        <v>9999</v>
      </c>
      <c r="HM61">
        <v>999.9</v>
      </c>
      <c r="HN61">
        <v>1.8641799999999999</v>
      </c>
      <c r="HO61">
        <v>1.86019</v>
      </c>
      <c r="HP61">
        <v>1.86676</v>
      </c>
      <c r="HQ61">
        <v>1.8634200000000001</v>
      </c>
      <c r="HR61">
        <v>1.8620699999999999</v>
      </c>
      <c r="HS61">
        <v>1.8621399999999999</v>
      </c>
      <c r="HT61">
        <v>1.8633999999999999</v>
      </c>
      <c r="HU61">
        <v>1.8646199999999999</v>
      </c>
      <c r="HV61">
        <v>0</v>
      </c>
      <c r="HW61">
        <v>0</v>
      </c>
      <c r="HX61">
        <v>0</v>
      </c>
      <c r="HY61">
        <v>0</v>
      </c>
      <c r="HZ61" t="s">
        <v>424</v>
      </c>
      <c r="IA61" t="s">
        <v>425</v>
      </c>
      <c r="IB61" t="s">
        <v>426</v>
      </c>
      <c r="IC61" t="s">
        <v>426</v>
      </c>
      <c r="ID61" t="s">
        <v>426</v>
      </c>
      <c r="IE61" t="s">
        <v>426</v>
      </c>
      <c r="IF61">
        <v>0</v>
      </c>
      <c r="IG61">
        <v>100</v>
      </c>
      <c r="IH61">
        <v>100</v>
      </c>
      <c r="II61">
        <v>-0.06</v>
      </c>
      <c r="IJ61">
        <v>0.15529999999999999</v>
      </c>
      <c r="IK61">
        <v>-0.26384215875618622</v>
      </c>
      <c r="IL61">
        <v>-8.3322953065825546E-5</v>
      </c>
      <c r="IM61">
        <v>2.3872336679552741E-7</v>
      </c>
      <c r="IN61">
        <v>-5.428329794194132E-11</v>
      </c>
      <c r="IO61">
        <v>0.15535999999999819</v>
      </c>
      <c r="IP61">
        <v>0</v>
      </c>
      <c r="IQ61">
        <v>0</v>
      </c>
      <c r="IR61">
        <v>0</v>
      </c>
      <c r="IS61">
        <v>2</v>
      </c>
      <c r="IT61">
        <v>2035</v>
      </c>
      <c r="IU61">
        <v>1</v>
      </c>
      <c r="IV61">
        <v>21</v>
      </c>
      <c r="IW61">
        <v>0.6</v>
      </c>
      <c r="IX61">
        <v>0.6</v>
      </c>
      <c r="IY61">
        <v>3.1384300000000001</v>
      </c>
      <c r="IZ61">
        <v>2.7002000000000002</v>
      </c>
      <c r="JA61">
        <v>1.4526399999999999</v>
      </c>
      <c r="JB61">
        <v>2.2790499999999998</v>
      </c>
      <c r="JC61">
        <v>1.5942400000000001</v>
      </c>
      <c r="JD61">
        <v>2.3571800000000001</v>
      </c>
      <c r="JE61">
        <v>46.974400000000003</v>
      </c>
      <c r="JF61">
        <v>24.14</v>
      </c>
      <c r="JG61">
        <v>18</v>
      </c>
      <c r="JH61">
        <v>508.39400000000001</v>
      </c>
      <c r="JI61">
        <v>438.07100000000003</v>
      </c>
      <c r="JJ61">
        <v>26.764099999999999</v>
      </c>
      <c r="JK61">
        <v>33.345100000000002</v>
      </c>
      <c r="JL61">
        <v>30.000399999999999</v>
      </c>
      <c r="JM61">
        <v>33.3645</v>
      </c>
      <c r="JN61">
        <v>33.376300000000001</v>
      </c>
      <c r="JO61">
        <v>62.741799999999998</v>
      </c>
      <c r="JP61">
        <v>30.968299999999999</v>
      </c>
      <c r="JQ61">
        <v>0</v>
      </c>
      <c r="JR61">
        <v>26.793900000000001</v>
      </c>
      <c r="JS61">
        <v>1500</v>
      </c>
      <c r="JT61">
        <v>22.180199999999999</v>
      </c>
      <c r="JU61">
        <v>99.001199999999997</v>
      </c>
      <c r="JV61">
        <v>98.358900000000006</v>
      </c>
    </row>
    <row r="62" spans="1:282" x14ac:dyDescent="0.25">
      <c r="A62">
        <v>46</v>
      </c>
      <c r="B62">
        <v>1689008936.5999999</v>
      </c>
      <c r="C62">
        <v>9596</v>
      </c>
      <c r="D62" t="s">
        <v>652</v>
      </c>
      <c r="E62" t="s">
        <v>653</v>
      </c>
      <c r="F62" t="s">
        <v>414</v>
      </c>
      <c r="G62" t="s">
        <v>415</v>
      </c>
      <c r="H62" t="s">
        <v>654</v>
      </c>
      <c r="I62" t="s">
        <v>655</v>
      </c>
      <c r="J62" t="s">
        <v>416</v>
      </c>
      <c r="K62">
        <v>1689008936.5999999</v>
      </c>
      <c r="L62">
        <f t="shared" si="46"/>
        <v>4.4455115648611146E-3</v>
      </c>
      <c r="M62">
        <f t="shared" si="47"/>
        <v>4.445511564861115</v>
      </c>
      <c r="N62">
        <f t="shared" si="48"/>
        <v>45.17451582954083</v>
      </c>
      <c r="O62">
        <f t="shared" si="49"/>
        <v>344.12799999999999</v>
      </c>
      <c r="P62">
        <f t="shared" si="50"/>
        <v>67.459735001767385</v>
      </c>
      <c r="Q62">
        <f t="shared" si="51"/>
        <v>6.6983375975841408</v>
      </c>
      <c r="R62">
        <f t="shared" si="52"/>
        <v>34.1697980390976</v>
      </c>
      <c r="S62">
        <f t="shared" si="53"/>
        <v>0.27859802746463042</v>
      </c>
      <c r="T62">
        <f t="shared" si="54"/>
        <v>2.9190784100103158</v>
      </c>
      <c r="U62">
        <f t="shared" si="55"/>
        <v>0.26462410461830388</v>
      </c>
      <c r="V62">
        <f t="shared" si="56"/>
        <v>0.16658713946750608</v>
      </c>
      <c r="W62">
        <f t="shared" si="57"/>
        <v>289.56487501270266</v>
      </c>
      <c r="X62">
        <f t="shared" si="58"/>
        <v>29.877641848120046</v>
      </c>
      <c r="Y62">
        <f t="shared" si="59"/>
        <v>30.0062</v>
      </c>
      <c r="Z62">
        <f t="shared" si="60"/>
        <v>4.2619672516969711</v>
      </c>
      <c r="AA62">
        <f t="shared" si="61"/>
        <v>64.712541802990032</v>
      </c>
      <c r="AB62">
        <f t="shared" si="62"/>
        <v>2.6519702464421102</v>
      </c>
      <c r="AC62">
        <f t="shared" si="63"/>
        <v>4.098077702643379</v>
      </c>
      <c r="AD62">
        <f t="shared" si="64"/>
        <v>1.6099970052548609</v>
      </c>
      <c r="AE62">
        <f t="shared" si="65"/>
        <v>-196.04706001037516</v>
      </c>
      <c r="AF62">
        <f t="shared" si="66"/>
        <v>-107.1712549187644</v>
      </c>
      <c r="AG62">
        <f t="shared" si="67"/>
        <v>-8.1364307590631757</v>
      </c>
      <c r="AH62">
        <f t="shared" si="68"/>
        <v>-21.789870675500069</v>
      </c>
      <c r="AI62">
        <v>0</v>
      </c>
      <c r="AJ62">
        <v>0</v>
      </c>
      <c r="AK62">
        <f t="shared" si="69"/>
        <v>1</v>
      </c>
      <c r="AL62">
        <f t="shared" si="70"/>
        <v>0</v>
      </c>
      <c r="AM62">
        <f t="shared" si="71"/>
        <v>52153.37617472736</v>
      </c>
      <c r="AN62" t="s">
        <v>418</v>
      </c>
      <c r="AO62">
        <v>8197.4</v>
      </c>
      <c r="AP62">
        <v>619.92999999999995</v>
      </c>
      <c r="AQ62">
        <v>3131.443117258741</v>
      </c>
      <c r="AR62">
        <f t="shared" si="72"/>
        <v>0.80203057287443702</v>
      </c>
      <c r="AS62">
        <v>-1.0448500102641549</v>
      </c>
      <c r="AT62" t="s">
        <v>656</v>
      </c>
      <c r="AU62">
        <v>8184.86</v>
      </c>
      <c r="AV62">
        <v>781.16915999999992</v>
      </c>
      <c r="AW62">
        <v>1137.0563251937201</v>
      </c>
      <c r="AX62">
        <f t="shared" si="73"/>
        <v>0.31298991730518522</v>
      </c>
      <c r="AY62">
        <v>0.5</v>
      </c>
      <c r="AZ62">
        <f t="shared" si="74"/>
        <v>1513.1763000065816</v>
      </c>
      <c r="BA62">
        <f t="shared" si="75"/>
        <v>45.17451582954083</v>
      </c>
      <c r="BB62">
        <f t="shared" si="76"/>
        <v>236.80446250361305</v>
      </c>
      <c r="BC62">
        <f t="shared" si="77"/>
        <v>3.0544600678456272E-2</v>
      </c>
      <c r="BD62">
        <f t="shared" si="78"/>
        <v>1.7539912033163683</v>
      </c>
      <c r="BE62">
        <f t="shared" si="79"/>
        <v>460.14930450316706</v>
      </c>
      <c r="BF62" t="s">
        <v>657</v>
      </c>
      <c r="BG62">
        <v>621.37</v>
      </c>
      <c r="BH62">
        <f t="shared" si="80"/>
        <v>621.37</v>
      </c>
      <c r="BI62">
        <f t="shared" si="81"/>
        <v>0.45352751114230216</v>
      </c>
      <c r="BJ62">
        <f t="shared" si="82"/>
        <v>0.69012333235718326</v>
      </c>
      <c r="BK62">
        <f t="shared" si="83"/>
        <v>0.79455326554116368</v>
      </c>
      <c r="BL62">
        <f t="shared" si="84"/>
        <v>0.6882016015340191</v>
      </c>
      <c r="BM62">
        <f t="shared" si="85"/>
        <v>0.79409770084810394</v>
      </c>
      <c r="BN62">
        <f t="shared" si="86"/>
        <v>0.54894887942937098</v>
      </c>
      <c r="BO62">
        <f t="shared" si="87"/>
        <v>0.45105112057062902</v>
      </c>
      <c r="BP62">
        <v>13660</v>
      </c>
      <c r="BQ62">
        <v>290.00000000000011</v>
      </c>
      <c r="BR62">
        <v>1022.16</v>
      </c>
      <c r="BS62">
        <v>295</v>
      </c>
      <c r="BT62">
        <v>8184.86</v>
      </c>
      <c r="BU62">
        <v>1025.18</v>
      </c>
      <c r="BV62">
        <v>-3.02</v>
      </c>
      <c r="BW62">
        <v>300.00000000000011</v>
      </c>
      <c r="BX62">
        <v>19.3</v>
      </c>
      <c r="BY62">
        <v>1137.0563251937201</v>
      </c>
      <c r="BZ62">
        <v>3.622528400843025</v>
      </c>
      <c r="CA62">
        <v>-91.566876954051509</v>
      </c>
      <c r="CB62">
        <v>2.722930299928509</v>
      </c>
      <c r="CC62">
        <v>0.97583804764463422</v>
      </c>
      <c r="CD62">
        <v>-4.2381982202447169E-3</v>
      </c>
      <c r="CE62">
        <v>289.99999999999989</v>
      </c>
      <c r="CF62">
        <v>1022.06</v>
      </c>
      <c r="CG62">
        <v>655</v>
      </c>
      <c r="CH62">
        <v>8174.66</v>
      </c>
      <c r="CI62">
        <v>1025.04</v>
      </c>
      <c r="CJ62">
        <v>-2.98</v>
      </c>
      <c r="CX62">
        <f t="shared" si="88"/>
        <v>1799.99</v>
      </c>
      <c r="CY62">
        <f t="shared" si="89"/>
        <v>1513.1763000065816</v>
      </c>
      <c r="CZ62">
        <f t="shared" si="90"/>
        <v>0.84065817032682488</v>
      </c>
      <c r="DA62">
        <f t="shared" si="91"/>
        <v>0.1608702687307722</v>
      </c>
      <c r="DB62">
        <v>6</v>
      </c>
      <c r="DC62">
        <v>0.5</v>
      </c>
      <c r="DD62" t="s">
        <v>421</v>
      </c>
      <c r="DE62">
        <v>2</v>
      </c>
      <c r="DF62">
        <v>1689008936.5999999</v>
      </c>
      <c r="DG62">
        <v>344.12799999999999</v>
      </c>
      <c r="DH62">
        <v>400.14800000000002</v>
      </c>
      <c r="DI62">
        <v>26.708300000000001</v>
      </c>
      <c r="DJ62">
        <v>21.5185</v>
      </c>
      <c r="DK62">
        <v>344.423</v>
      </c>
      <c r="DL62">
        <v>26.561199999999999</v>
      </c>
      <c r="DM62">
        <v>500.22500000000002</v>
      </c>
      <c r="DN62">
        <v>99.194000000000003</v>
      </c>
      <c r="DO62">
        <v>9.9861699999999998E-2</v>
      </c>
      <c r="DP62">
        <v>29.325199999999999</v>
      </c>
      <c r="DQ62">
        <v>30.0062</v>
      </c>
      <c r="DR62">
        <v>999.9</v>
      </c>
      <c r="DS62">
        <v>0</v>
      </c>
      <c r="DT62">
        <v>0</v>
      </c>
      <c r="DU62">
        <v>10021.200000000001</v>
      </c>
      <c r="DV62">
        <v>0</v>
      </c>
      <c r="DW62">
        <v>629.21799999999996</v>
      </c>
      <c r="DX62">
        <v>-56.0197</v>
      </c>
      <c r="DY62">
        <v>353.57100000000003</v>
      </c>
      <c r="DZ62">
        <v>408.94799999999998</v>
      </c>
      <c r="EA62">
        <v>5.1897900000000003</v>
      </c>
      <c r="EB62">
        <v>400.14800000000002</v>
      </c>
      <c r="EC62">
        <v>21.5185</v>
      </c>
      <c r="ED62">
        <v>2.6493000000000002</v>
      </c>
      <c r="EE62">
        <v>2.1345100000000001</v>
      </c>
      <c r="EF62">
        <v>21.974</v>
      </c>
      <c r="EG62">
        <v>18.478999999999999</v>
      </c>
      <c r="EH62">
        <v>1799.99</v>
      </c>
      <c r="EI62">
        <v>0.97800200000000004</v>
      </c>
      <c r="EJ62">
        <v>2.1997599999999999E-2</v>
      </c>
      <c r="EK62">
        <v>0</v>
      </c>
      <c r="EL62">
        <v>780.822</v>
      </c>
      <c r="EM62">
        <v>4.9999900000000004</v>
      </c>
      <c r="EN62">
        <v>16357.5</v>
      </c>
      <c r="EO62">
        <v>15863.7</v>
      </c>
      <c r="EP62">
        <v>47.5</v>
      </c>
      <c r="EQ62">
        <v>48.375</v>
      </c>
      <c r="ER62">
        <v>48</v>
      </c>
      <c r="ES62">
        <v>48.311999999999998</v>
      </c>
      <c r="ET62">
        <v>49.25</v>
      </c>
      <c r="EU62">
        <v>1755.5</v>
      </c>
      <c r="EV62">
        <v>39.49</v>
      </c>
      <c r="EW62">
        <v>0</v>
      </c>
      <c r="EX62">
        <v>1778.6000001430509</v>
      </c>
      <c r="EY62">
        <v>0</v>
      </c>
      <c r="EZ62">
        <v>781.16915999999992</v>
      </c>
      <c r="FA62">
        <v>-1.713615378775325</v>
      </c>
      <c r="FB62">
        <v>236.76153807226299</v>
      </c>
      <c r="FC62">
        <v>16321.34</v>
      </c>
      <c r="FD62">
        <v>15</v>
      </c>
      <c r="FE62">
        <v>1689008895.0999999</v>
      </c>
      <c r="FF62" t="s">
        <v>658</v>
      </c>
      <c r="FG62">
        <v>1689008895.0999999</v>
      </c>
      <c r="FH62">
        <v>1689008892.0999999</v>
      </c>
      <c r="FI62">
        <v>51</v>
      </c>
      <c r="FJ62">
        <v>0.221</v>
      </c>
      <c r="FK62">
        <v>-0.159</v>
      </c>
      <c r="FL62">
        <v>-0.29099999999999998</v>
      </c>
      <c r="FM62">
        <v>0.13300000000000001</v>
      </c>
      <c r="FN62">
        <v>400</v>
      </c>
      <c r="FO62">
        <v>21</v>
      </c>
      <c r="FP62">
        <v>0.05</v>
      </c>
      <c r="FQ62">
        <v>0.02</v>
      </c>
      <c r="FR62">
        <v>45.170098898512848</v>
      </c>
      <c r="FS62">
        <v>-0.69309788243059489</v>
      </c>
      <c r="FT62">
        <v>6.1708960345181918E-2</v>
      </c>
      <c r="FU62">
        <v>1</v>
      </c>
      <c r="FV62">
        <v>0.28038462329106301</v>
      </c>
      <c r="FW62">
        <v>-1.713564610719941E-2</v>
      </c>
      <c r="FX62">
        <v>1.2715743317853649E-3</v>
      </c>
      <c r="FY62">
        <v>1</v>
      </c>
      <c r="FZ62">
        <v>2</v>
      </c>
      <c r="GA62">
        <v>2</v>
      </c>
      <c r="GB62" t="s">
        <v>423</v>
      </c>
      <c r="GC62">
        <v>2.9592800000000001</v>
      </c>
      <c r="GD62">
        <v>2.7432699999999999</v>
      </c>
      <c r="GE62">
        <v>7.9200699999999999E-2</v>
      </c>
      <c r="GF62">
        <v>8.8923100000000005E-2</v>
      </c>
      <c r="GG62">
        <v>0.124668</v>
      </c>
      <c r="GH62">
        <v>0.106721</v>
      </c>
      <c r="GI62">
        <v>21647.7</v>
      </c>
      <c r="GJ62">
        <v>19948.3</v>
      </c>
      <c r="GK62">
        <v>23439</v>
      </c>
      <c r="GL62">
        <v>21941.3</v>
      </c>
      <c r="GM62">
        <v>28934.6</v>
      </c>
      <c r="GN62">
        <v>27345.5</v>
      </c>
      <c r="GO62">
        <v>36987</v>
      </c>
      <c r="GP62">
        <v>34137.5</v>
      </c>
      <c r="GQ62">
        <v>1.9855499999999999</v>
      </c>
      <c r="GR62">
        <v>1.8335999999999999</v>
      </c>
      <c r="GS62">
        <v>0.10135</v>
      </c>
      <c r="GT62">
        <v>0</v>
      </c>
      <c r="GU62">
        <v>28.354700000000001</v>
      </c>
      <c r="GV62">
        <v>999.9</v>
      </c>
      <c r="GW62">
        <v>29.3</v>
      </c>
      <c r="GX62">
        <v>44.9</v>
      </c>
      <c r="GY62">
        <v>28.3231</v>
      </c>
      <c r="GZ62">
        <v>60.439599999999999</v>
      </c>
      <c r="HA62">
        <v>38.746000000000002</v>
      </c>
      <c r="HB62">
        <v>1</v>
      </c>
      <c r="HC62">
        <v>0.45007599999999998</v>
      </c>
      <c r="HD62">
        <v>1.71892</v>
      </c>
      <c r="HE62">
        <v>20.1511</v>
      </c>
      <c r="HF62">
        <v>5.2637099999999997</v>
      </c>
      <c r="HG62">
        <v>11.962</v>
      </c>
      <c r="HH62">
        <v>4.9797000000000002</v>
      </c>
      <c r="HI62">
        <v>3.2979500000000002</v>
      </c>
      <c r="HJ62">
        <v>9999</v>
      </c>
      <c r="HK62">
        <v>9999</v>
      </c>
      <c r="HL62">
        <v>9999</v>
      </c>
      <c r="HM62">
        <v>999.9</v>
      </c>
      <c r="HN62">
        <v>1.8638999999999999</v>
      </c>
      <c r="HO62">
        <v>1.85989</v>
      </c>
      <c r="HP62">
        <v>1.86653</v>
      </c>
      <c r="HQ62">
        <v>1.8632</v>
      </c>
      <c r="HR62">
        <v>1.8618699999999999</v>
      </c>
      <c r="HS62">
        <v>1.86188</v>
      </c>
      <c r="HT62">
        <v>1.86311</v>
      </c>
      <c r="HU62">
        <v>1.8644099999999999</v>
      </c>
      <c r="HV62">
        <v>0</v>
      </c>
      <c r="HW62">
        <v>0</v>
      </c>
      <c r="HX62">
        <v>0</v>
      </c>
      <c r="HY62">
        <v>0</v>
      </c>
      <c r="HZ62" t="s">
        <v>424</v>
      </c>
      <c r="IA62" t="s">
        <v>425</v>
      </c>
      <c r="IB62" t="s">
        <v>426</v>
      </c>
      <c r="IC62" t="s">
        <v>426</v>
      </c>
      <c r="ID62" t="s">
        <v>426</v>
      </c>
      <c r="IE62" t="s">
        <v>426</v>
      </c>
      <c r="IF62">
        <v>0</v>
      </c>
      <c r="IG62">
        <v>100</v>
      </c>
      <c r="IH62">
        <v>100</v>
      </c>
      <c r="II62">
        <v>-0.29499999999999998</v>
      </c>
      <c r="IJ62">
        <v>0.14710000000000001</v>
      </c>
      <c r="IK62">
        <v>-0.29242243365807419</v>
      </c>
      <c r="IL62">
        <v>-8.3322953065825546E-5</v>
      </c>
      <c r="IM62">
        <v>2.3872336679552741E-7</v>
      </c>
      <c r="IN62">
        <v>-5.428329794194132E-11</v>
      </c>
      <c r="IO62">
        <v>0.14704487916915279</v>
      </c>
      <c r="IP62">
        <v>0</v>
      </c>
      <c r="IQ62">
        <v>0</v>
      </c>
      <c r="IR62">
        <v>0</v>
      </c>
      <c r="IS62">
        <v>2</v>
      </c>
      <c r="IT62">
        <v>2035</v>
      </c>
      <c r="IU62">
        <v>1</v>
      </c>
      <c r="IV62">
        <v>21</v>
      </c>
      <c r="IW62">
        <v>0.7</v>
      </c>
      <c r="IX62">
        <v>0.7</v>
      </c>
      <c r="IY62">
        <v>1.07666</v>
      </c>
      <c r="IZ62">
        <v>2.6940900000000001</v>
      </c>
      <c r="JA62">
        <v>1.4514199999999999</v>
      </c>
      <c r="JB62">
        <v>2.2766099999999998</v>
      </c>
      <c r="JC62">
        <v>1.5942400000000001</v>
      </c>
      <c r="JD62">
        <v>2.3999000000000001</v>
      </c>
      <c r="JE62">
        <v>46.269100000000002</v>
      </c>
      <c r="JF62">
        <v>16.014600000000002</v>
      </c>
      <c r="JG62">
        <v>18</v>
      </c>
      <c r="JH62">
        <v>499.26100000000002</v>
      </c>
      <c r="JI62">
        <v>437.28100000000001</v>
      </c>
      <c r="JJ62">
        <v>27.367699999999999</v>
      </c>
      <c r="JK62">
        <v>32.846899999999998</v>
      </c>
      <c r="JL62">
        <v>29.999400000000001</v>
      </c>
      <c r="JM62">
        <v>32.971600000000002</v>
      </c>
      <c r="JN62">
        <v>32.987099999999998</v>
      </c>
      <c r="JO62">
        <v>21.5075</v>
      </c>
      <c r="JP62">
        <v>23.451499999999999</v>
      </c>
      <c r="JQ62">
        <v>0</v>
      </c>
      <c r="JR62">
        <v>26.781099999999999</v>
      </c>
      <c r="JS62">
        <v>400</v>
      </c>
      <c r="JT62">
        <v>21.543199999999999</v>
      </c>
      <c r="JU62">
        <v>99.131799999999998</v>
      </c>
      <c r="JV62">
        <v>98.474400000000003</v>
      </c>
    </row>
    <row r="63" spans="1:282" x14ac:dyDescent="0.25">
      <c r="A63">
        <v>47</v>
      </c>
      <c r="B63">
        <v>1689009044.5999999</v>
      </c>
      <c r="C63">
        <v>9704</v>
      </c>
      <c r="D63" t="s">
        <v>659</v>
      </c>
      <c r="E63" t="s">
        <v>660</v>
      </c>
      <c r="F63" t="s">
        <v>414</v>
      </c>
      <c r="G63" t="s">
        <v>415</v>
      </c>
      <c r="H63" t="s">
        <v>654</v>
      </c>
      <c r="I63" t="s">
        <v>655</v>
      </c>
      <c r="J63" t="s">
        <v>416</v>
      </c>
      <c r="K63">
        <v>1689009044.5999999</v>
      </c>
      <c r="L63">
        <f t="shared" si="46"/>
        <v>4.4081155297346075E-3</v>
      </c>
      <c r="M63">
        <f t="shared" si="47"/>
        <v>4.4081155297346077</v>
      </c>
      <c r="N63">
        <f t="shared" si="48"/>
        <v>35.370795357550932</v>
      </c>
      <c r="O63">
        <f t="shared" si="49"/>
        <v>256.29000000000002</v>
      </c>
      <c r="P63">
        <f t="shared" si="50"/>
        <v>44.804178912792672</v>
      </c>
      <c r="Q63">
        <f t="shared" si="51"/>
        <v>4.4486138733793341</v>
      </c>
      <c r="R63">
        <f t="shared" si="52"/>
        <v>25.447073850579002</v>
      </c>
      <c r="S63">
        <f t="shared" si="53"/>
        <v>0.28526110956227385</v>
      </c>
      <c r="T63">
        <f t="shared" si="54"/>
        <v>2.9157474405888069</v>
      </c>
      <c r="U63">
        <f t="shared" si="55"/>
        <v>0.27061384014046769</v>
      </c>
      <c r="V63">
        <f t="shared" si="56"/>
        <v>0.1703869514055083</v>
      </c>
      <c r="W63">
        <f t="shared" si="57"/>
        <v>289.57125901270234</v>
      </c>
      <c r="X63">
        <f t="shared" si="58"/>
        <v>29.835639408418754</v>
      </c>
      <c r="Y63">
        <f t="shared" si="59"/>
        <v>29.954799999999999</v>
      </c>
      <c r="Z63">
        <f t="shared" si="60"/>
        <v>4.2494010814141836</v>
      </c>
      <c r="AA63">
        <f t="shared" si="61"/>
        <v>65.803668149006029</v>
      </c>
      <c r="AB63">
        <f t="shared" si="62"/>
        <v>2.6885391037357604</v>
      </c>
      <c r="AC63">
        <f t="shared" si="63"/>
        <v>4.0856979243889935</v>
      </c>
      <c r="AD63">
        <f t="shared" si="64"/>
        <v>1.5608619776784232</v>
      </c>
      <c r="AE63">
        <f t="shared" si="65"/>
        <v>-194.39789486129618</v>
      </c>
      <c r="AF63">
        <f t="shared" si="66"/>
        <v>-107.20615524360998</v>
      </c>
      <c r="AG63">
        <f t="shared" si="67"/>
        <v>-8.144187518895496</v>
      </c>
      <c r="AH63">
        <f t="shared" si="68"/>
        <v>-20.176978611099301</v>
      </c>
      <c r="AI63">
        <v>0</v>
      </c>
      <c r="AJ63">
        <v>0</v>
      </c>
      <c r="AK63">
        <f t="shared" si="69"/>
        <v>1</v>
      </c>
      <c r="AL63">
        <f t="shared" si="70"/>
        <v>0</v>
      </c>
      <c r="AM63">
        <f t="shared" si="71"/>
        <v>52067.245144017048</v>
      </c>
      <c r="AN63" t="s">
        <v>418</v>
      </c>
      <c r="AO63">
        <v>8197.4</v>
      </c>
      <c r="AP63">
        <v>619.92999999999995</v>
      </c>
      <c r="AQ63">
        <v>3131.443117258741</v>
      </c>
      <c r="AR63">
        <f t="shared" si="72"/>
        <v>0.80203057287443702</v>
      </c>
      <c r="AS63">
        <v>-1.0448500102641549</v>
      </c>
      <c r="AT63" t="s">
        <v>661</v>
      </c>
      <c r="AU63">
        <v>8185.38</v>
      </c>
      <c r="AV63">
        <v>753.50119999999981</v>
      </c>
      <c r="AW63">
        <v>1023.586287970165</v>
      </c>
      <c r="AX63">
        <f t="shared" si="73"/>
        <v>0.26386157292685175</v>
      </c>
      <c r="AY63">
        <v>0.5</v>
      </c>
      <c r="AZ63">
        <f t="shared" si="74"/>
        <v>1513.2099000065816</v>
      </c>
      <c r="BA63">
        <f t="shared" si="75"/>
        <v>35.370795357550932</v>
      </c>
      <c r="BB63">
        <f t="shared" si="76"/>
        <v>199.63897219211034</v>
      </c>
      <c r="BC63">
        <f t="shared" si="77"/>
        <v>2.4065164632914905E-2</v>
      </c>
      <c r="BD63">
        <f t="shared" si="78"/>
        <v>2.0592859185995804</v>
      </c>
      <c r="BE63">
        <f t="shared" si="79"/>
        <v>440.39264188288996</v>
      </c>
      <c r="BF63" t="s">
        <v>662</v>
      </c>
      <c r="BG63">
        <v>606.32000000000005</v>
      </c>
      <c r="BH63">
        <f t="shared" si="80"/>
        <v>606.32000000000005</v>
      </c>
      <c r="BI63">
        <f t="shared" si="81"/>
        <v>0.40765130685526263</v>
      </c>
      <c r="BJ63">
        <f t="shared" si="82"/>
        <v>0.64727272668976465</v>
      </c>
      <c r="BK63">
        <f t="shared" si="83"/>
        <v>0.83475408184328592</v>
      </c>
      <c r="BL63">
        <f t="shared" si="84"/>
        <v>0.66909669443853093</v>
      </c>
      <c r="BM63">
        <f t="shared" si="85"/>
        <v>0.83927765091239237</v>
      </c>
      <c r="BN63">
        <f t="shared" si="86"/>
        <v>0.52084110768043668</v>
      </c>
      <c r="BO63">
        <f t="shared" si="87"/>
        <v>0.47915889231956332</v>
      </c>
      <c r="BP63">
        <v>13662</v>
      </c>
      <c r="BQ63">
        <v>290.00000000000011</v>
      </c>
      <c r="BR63">
        <v>944.92</v>
      </c>
      <c r="BS63">
        <v>275</v>
      </c>
      <c r="BT63">
        <v>8185.38</v>
      </c>
      <c r="BU63">
        <v>945.95</v>
      </c>
      <c r="BV63">
        <v>-1.03</v>
      </c>
      <c r="BW63">
        <v>300.00000000000011</v>
      </c>
      <c r="BX63">
        <v>19.3</v>
      </c>
      <c r="BY63">
        <v>1023.586287970165</v>
      </c>
      <c r="BZ63">
        <v>3.7884206466317769</v>
      </c>
      <c r="CA63">
        <v>-63.545075914068931</v>
      </c>
      <c r="CB63">
        <v>2.8475916946318751</v>
      </c>
      <c r="CC63">
        <v>0.94676562703539446</v>
      </c>
      <c r="CD63">
        <v>-4.2381441601779812E-3</v>
      </c>
      <c r="CE63">
        <v>289.99999999999989</v>
      </c>
      <c r="CF63">
        <v>944.18</v>
      </c>
      <c r="CG63">
        <v>665</v>
      </c>
      <c r="CH63">
        <v>8174.28</v>
      </c>
      <c r="CI63">
        <v>945.85</v>
      </c>
      <c r="CJ63">
        <v>-1.67</v>
      </c>
      <c r="CX63">
        <f t="shared" si="88"/>
        <v>1800.03</v>
      </c>
      <c r="CY63">
        <f t="shared" si="89"/>
        <v>1513.2099000065816</v>
      </c>
      <c r="CZ63">
        <f t="shared" si="90"/>
        <v>0.84065815570106139</v>
      </c>
      <c r="DA63">
        <f t="shared" si="91"/>
        <v>0.16087024050304849</v>
      </c>
      <c r="DB63">
        <v>6</v>
      </c>
      <c r="DC63">
        <v>0.5</v>
      </c>
      <c r="DD63" t="s">
        <v>421</v>
      </c>
      <c r="DE63">
        <v>2</v>
      </c>
      <c r="DF63">
        <v>1689009044.5999999</v>
      </c>
      <c r="DG63">
        <v>256.29000000000002</v>
      </c>
      <c r="DH63">
        <v>300.077</v>
      </c>
      <c r="DI63">
        <v>27.0776</v>
      </c>
      <c r="DJ63">
        <v>21.932700000000001</v>
      </c>
      <c r="DK63">
        <v>256.62</v>
      </c>
      <c r="DL63">
        <v>26.923200000000001</v>
      </c>
      <c r="DM63">
        <v>500.15600000000001</v>
      </c>
      <c r="DN63">
        <v>99.1905</v>
      </c>
      <c r="DO63">
        <v>9.9655099999999996E-2</v>
      </c>
      <c r="DP63">
        <v>29.2728</v>
      </c>
      <c r="DQ63">
        <v>29.954799999999999</v>
      </c>
      <c r="DR63">
        <v>999.9</v>
      </c>
      <c r="DS63">
        <v>0</v>
      </c>
      <c r="DT63">
        <v>0</v>
      </c>
      <c r="DU63">
        <v>10002.5</v>
      </c>
      <c r="DV63">
        <v>0</v>
      </c>
      <c r="DW63">
        <v>693.86</v>
      </c>
      <c r="DX63">
        <v>-43.786999999999999</v>
      </c>
      <c r="DY63">
        <v>263.423</v>
      </c>
      <c r="DZ63">
        <v>306.80599999999998</v>
      </c>
      <c r="EA63">
        <v>5.1448799999999997</v>
      </c>
      <c r="EB63">
        <v>300.077</v>
      </c>
      <c r="EC63">
        <v>21.932700000000001</v>
      </c>
      <c r="ED63">
        <v>2.6858399999999998</v>
      </c>
      <c r="EE63">
        <v>2.1755200000000001</v>
      </c>
      <c r="EF63">
        <v>22.198699999999999</v>
      </c>
      <c r="EG63">
        <v>18.783100000000001</v>
      </c>
      <c r="EH63">
        <v>1800.03</v>
      </c>
      <c r="EI63">
        <v>0.97800200000000004</v>
      </c>
      <c r="EJ63">
        <v>2.1997599999999999E-2</v>
      </c>
      <c r="EK63">
        <v>0</v>
      </c>
      <c r="EL63">
        <v>752.58199999999999</v>
      </c>
      <c r="EM63">
        <v>4.9999900000000004</v>
      </c>
      <c r="EN63">
        <v>15992.2</v>
      </c>
      <c r="EO63">
        <v>15864.1</v>
      </c>
      <c r="EP63">
        <v>47.375</v>
      </c>
      <c r="EQ63">
        <v>48.125</v>
      </c>
      <c r="ER63">
        <v>47.875</v>
      </c>
      <c r="ES63">
        <v>48</v>
      </c>
      <c r="ET63">
        <v>49.125</v>
      </c>
      <c r="EU63">
        <v>1755.54</v>
      </c>
      <c r="EV63">
        <v>39.49</v>
      </c>
      <c r="EW63">
        <v>0</v>
      </c>
      <c r="EX63">
        <v>105.7999999523163</v>
      </c>
      <c r="EY63">
        <v>0</v>
      </c>
      <c r="EZ63">
        <v>753.50119999999981</v>
      </c>
      <c r="FA63">
        <v>-6.8348461664012019</v>
      </c>
      <c r="FB63">
        <v>-171.06153840283989</v>
      </c>
      <c r="FC63">
        <v>16001.508</v>
      </c>
      <c r="FD63">
        <v>15</v>
      </c>
      <c r="FE63">
        <v>1689009009.0999999</v>
      </c>
      <c r="FF63" t="s">
        <v>663</v>
      </c>
      <c r="FG63">
        <v>1689009003.0999999</v>
      </c>
      <c r="FH63">
        <v>1689009009.0999999</v>
      </c>
      <c r="FI63">
        <v>52</v>
      </c>
      <c r="FJ63">
        <v>-3.2000000000000001E-2</v>
      </c>
      <c r="FK63">
        <v>7.0000000000000001E-3</v>
      </c>
      <c r="FL63">
        <v>-0.32900000000000001</v>
      </c>
      <c r="FM63">
        <v>0.154</v>
      </c>
      <c r="FN63">
        <v>300</v>
      </c>
      <c r="FO63">
        <v>22</v>
      </c>
      <c r="FP63">
        <v>0.04</v>
      </c>
      <c r="FQ63">
        <v>0.01</v>
      </c>
      <c r="FR63">
        <v>35.304683550597339</v>
      </c>
      <c r="FS63">
        <v>-0.56306167294318077</v>
      </c>
      <c r="FT63">
        <v>4.5527782974082727E-2</v>
      </c>
      <c r="FU63">
        <v>1</v>
      </c>
      <c r="FV63">
        <v>0.28523525291467</v>
      </c>
      <c r="FW63">
        <v>2.1461753533221859E-2</v>
      </c>
      <c r="FX63">
        <v>2.7402732089829248E-3</v>
      </c>
      <c r="FY63">
        <v>1</v>
      </c>
      <c r="FZ63">
        <v>2</v>
      </c>
      <c r="GA63">
        <v>2</v>
      </c>
      <c r="GB63" t="s">
        <v>423</v>
      </c>
      <c r="GC63">
        <v>2.95933</v>
      </c>
      <c r="GD63">
        <v>2.7429100000000002</v>
      </c>
      <c r="GE63">
        <v>6.2345600000000001E-2</v>
      </c>
      <c r="GF63">
        <v>7.0873599999999995E-2</v>
      </c>
      <c r="GG63">
        <v>0.125888</v>
      </c>
      <c r="GH63">
        <v>0.108186</v>
      </c>
      <c r="GI63">
        <v>22053.8</v>
      </c>
      <c r="GJ63">
        <v>20353.400000000001</v>
      </c>
      <c r="GK63">
        <v>23448.9</v>
      </c>
      <c r="GL63">
        <v>21951.4</v>
      </c>
      <c r="GM63">
        <v>28903.5</v>
      </c>
      <c r="GN63">
        <v>27310.5</v>
      </c>
      <c r="GO63">
        <v>37002.5</v>
      </c>
      <c r="GP63">
        <v>34152.400000000001</v>
      </c>
      <c r="GQ63">
        <v>1.98767</v>
      </c>
      <c r="GR63">
        <v>1.837</v>
      </c>
      <c r="GS63">
        <v>9.8887799999999998E-2</v>
      </c>
      <c r="GT63">
        <v>0</v>
      </c>
      <c r="GU63">
        <v>28.343299999999999</v>
      </c>
      <c r="GV63">
        <v>999.9</v>
      </c>
      <c r="GW63">
        <v>29.4</v>
      </c>
      <c r="GX63">
        <v>44.8</v>
      </c>
      <c r="GY63">
        <v>28.275700000000001</v>
      </c>
      <c r="GZ63">
        <v>60.199599999999997</v>
      </c>
      <c r="HA63">
        <v>38.874200000000002</v>
      </c>
      <c r="HB63">
        <v>1</v>
      </c>
      <c r="HC63">
        <v>0.43219999999999997</v>
      </c>
      <c r="HD63">
        <v>0.493309</v>
      </c>
      <c r="HE63">
        <v>20.162099999999999</v>
      </c>
      <c r="HF63">
        <v>5.2604199999999999</v>
      </c>
      <c r="HG63">
        <v>11.962</v>
      </c>
      <c r="HH63">
        <v>4.97905</v>
      </c>
      <c r="HI63">
        <v>3.29725</v>
      </c>
      <c r="HJ63">
        <v>9999</v>
      </c>
      <c r="HK63">
        <v>9999</v>
      </c>
      <c r="HL63">
        <v>9999</v>
      </c>
      <c r="HM63">
        <v>999.9</v>
      </c>
      <c r="HN63">
        <v>1.86389</v>
      </c>
      <c r="HO63">
        <v>1.85989</v>
      </c>
      <c r="HP63">
        <v>1.86646</v>
      </c>
      <c r="HQ63">
        <v>1.8631800000000001</v>
      </c>
      <c r="HR63">
        <v>1.8618300000000001</v>
      </c>
      <c r="HS63">
        <v>1.8618699999999999</v>
      </c>
      <c r="HT63">
        <v>1.8631</v>
      </c>
      <c r="HU63">
        <v>1.86443</v>
      </c>
      <c r="HV63">
        <v>0</v>
      </c>
      <c r="HW63">
        <v>0</v>
      </c>
      <c r="HX63">
        <v>0</v>
      </c>
      <c r="HY63">
        <v>0</v>
      </c>
      <c r="HZ63" t="s">
        <v>424</v>
      </c>
      <c r="IA63" t="s">
        <v>425</v>
      </c>
      <c r="IB63" t="s">
        <v>426</v>
      </c>
      <c r="IC63" t="s">
        <v>426</v>
      </c>
      <c r="ID63" t="s">
        <v>426</v>
      </c>
      <c r="IE63" t="s">
        <v>426</v>
      </c>
      <c r="IF63">
        <v>0</v>
      </c>
      <c r="IG63">
        <v>100</v>
      </c>
      <c r="IH63">
        <v>100</v>
      </c>
      <c r="II63">
        <v>-0.33</v>
      </c>
      <c r="IJ63">
        <v>0.15440000000000001</v>
      </c>
      <c r="IK63">
        <v>-0.32394143361714189</v>
      </c>
      <c r="IL63">
        <v>-8.3322953065825546E-5</v>
      </c>
      <c r="IM63">
        <v>2.3872336679552741E-7</v>
      </c>
      <c r="IN63">
        <v>-5.428329794194132E-11</v>
      </c>
      <c r="IO63">
        <v>0.15438500000000491</v>
      </c>
      <c r="IP63">
        <v>0</v>
      </c>
      <c r="IQ63">
        <v>0</v>
      </c>
      <c r="IR63">
        <v>0</v>
      </c>
      <c r="IS63">
        <v>2</v>
      </c>
      <c r="IT63">
        <v>2035</v>
      </c>
      <c r="IU63">
        <v>1</v>
      </c>
      <c r="IV63">
        <v>21</v>
      </c>
      <c r="IW63">
        <v>0.7</v>
      </c>
      <c r="IX63">
        <v>0.6</v>
      </c>
      <c r="IY63">
        <v>0.85571299999999995</v>
      </c>
      <c r="IZ63">
        <v>2.6916500000000001</v>
      </c>
      <c r="JA63">
        <v>1.4514199999999999</v>
      </c>
      <c r="JB63">
        <v>2.2766099999999998</v>
      </c>
      <c r="JC63">
        <v>1.5942400000000001</v>
      </c>
      <c r="JD63">
        <v>2.3742700000000001</v>
      </c>
      <c r="JE63">
        <v>46.036700000000003</v>
      </c>
      <c r="JF63">
        <v>16.040800000000001</v>
      </c>
      <c r="JG63">
        <v>18</v>
      </c>
      <c r="JH63">
        <v>499.2</v>
      </c>
      <c r="JI63">
        <v>438.32400000000001</v>
      </c>
      <c r="JJ63">
        <v>26.555800000000001</v>
      </c>
      <c r="JK63">
        <v>32.644599999999997</v>
      </c>
      <c r="JL63">
        <v>29.995200000000001</v>
      </c>
      <c r="JM63">
        <v>32.802999999999997</v>
      </c>
      <c r="JN63">
        <v>32.824399999999997</v>
      </c>
      <c r="JO63">
        <v>17.089700000000001</v>
      </c>
      <c r="JP63">
        <v>22.622499999999999</v>
      </c>
      <c r="JQ63">
        <v>0</v>
      </c>
      <c r="JR63">
        <v>26.793800000000001</v>
      </c>
      <c r="JS63">
        <v>300</v>
      </c>
      <c r="JT63">
        <v>21.709099999999999</v>
      </c>
      <c r="JU63">
        <v>99.173500000000004</v>
      </c>
      <c r="JV63">
        <v>98.518199999999993</v>
      </c>
    </row>
    <row r="64" spans="1:282" x14ac:dyDescent="0.25">
      <c r="A64">
        <v>48</v>
      </c>
      <c r="B64">
        <v>1689009155.5999999</v>
      </c>
      <c r="C64">
        <v>9815</v>
      </c>
      <c r="D64" t="s">
        <v>664</v>
      </c>
      <c r="E64" t="s">
        <v>665</v>
      </c>
      <c r="F64" t="s">
        <v>414</v>
      </c>
      <c r="G64" t="s">
        <v>415</v>
      </c>
      <c r="H64" t="s">
        <v>654</v>
      </c>
      <c r="I64" t="s">
        <v>655</v>
      </c>
      <c r="J64" t="s">
        <v>416</v>
      </c>
      <c r="K64">
        <v>1689009155.5999999</v>
      </c>
      <c r="L64">
        <f t="shared" si="46"/>
        <v>4.7572007206184872E-3</v>
      </c>
      <c r="M64">
        <f t="shared" si="47"/>
        <v>4.7572007206184876</v>
      </c>
      <c r="N64">
        <f t="shared" si="48"/>
        <v>25.083621120222677</v>
      </c>
      <c r="O64">
        <f t="shared" si="49"/>
        <v>168.99</v>
      </c>
      <c r="P64">
        <f t="shared" si="50"/>
        <v>28.426354294433121</v>
      </c>
      <c r="Q64">
        <f t="shared" si="51"/>
        <v>2.8226960787560147</v>
      </c>
      <c r="R64">
        <f t="shared" si="52"/>
        <v>16.780463840289002</v>
      </c>
      <c r="S64">
        <f t="shared" si="53"/>
        <v>0.30529897186868116</v>
      </c>
      <c r="T64">
        <f t="shared" si="54"/>
        <v>2.9154582350712932</v>
      </c>
      <c r="U64">
        <f t="shared" si="55"/>
        <v>0.28858483890941067</v>
      </c>
      <c r="V64">
        <f t="shared" si="56"/>
        <v>0.18179092896611135</v>
      </c>
      <c r="W64">
        <f t="shared" si="57"/>
        <v>289.56647101270261</v>
      </c>
      <c r="X64">
        <f t="shared" si="58"/>
        <v>29.894963570532564</v>
      </c>
      <c r="Y64">
        <f t="shared" si="59"/>
        <v>30.053799999999999</v>
      </c>
      <c r="Z64">
        <f t="shared" si="60"/>
        <v>4.2736332751973798</v>
      </c>
      <c r="AA64">
        <f t="shared" si="61"/>
        <v>65.371519980906072</v>
      </c>
      <c r="AB64">
        <f t="shared" si="62"/>
        <v>2.6941685597652003</v>
      </c>
      <c r="AC64">
        <f t="shared" si="63"/>
        <v>4.1213185199795292</v>
      </c>
      <c r="AD64">
        <f t="shared" si="64"/>
        <v>1.5794647154321795</v>
      </c>
      <c r="AE64">
        <f t="shared" si="65"/>
        <v>-209.7925517792753</v>
      </c>
      <c r="AF64">
        <f t="shared" si="66"/>
        <v>-99.116563063194178</v>
      </c>
      <c r="AG64">
        <f t="shared" si="67"/>
        <v>-7.5396997754068291</v>
      </c>
      <c r="AH64">
        <f t="shared" si="68"/>
        <v>-26.882343605173673</v>
      </c>
      <c r="AI64">
        <v>0</v>
      </c>
      <c r="AJ64">
        <v>0</v>
      </c>
      <c r="AK64">
        <f t="shared" si="69"/>
        <v>1</v>
      </c>
      <c r="AL64">
        <f t="shared" si="70"/>
        <v>0</v>
      </c>
      <c r="AM64">
        <f t="shared" si="71"/>
        <v>52033.282221541136</v>
      </c>
      <c r="AN64" t="s">
        <v>418</v>
      </c>
      <c r="AO64">
        <v>8197.4</v>
      </c>
      <c r="AP64">
        <v>619.92999999999995</v>
      </c>
      <c r="AQ64">
        <v>3131.443117258741</v>
      </c>
      <c r="AR64">
        <f t="shared" si="72"/>
        <v>0.80203057287443702</v>
      </c>
      <c r="AS64">
        <v>-1.0448500102641549</v>
      </c>
      <c r="AT64" t="s">
        <v>666</v>
      </c>
      <c r="AU64">
        <v>8185.37</v>
      </c>
      <c r="AV64">
        <v>744.7251923076924</v>
      </c>
      <c r="AW64">
        <v>933.92127636380258</v>
      </c>
      <c r="AX64">
        <f t="shared" si="73"/>
        <v>0.2025824754659622</v>
      </c>
      <c r="AY64">
        <v>0.5</v>
      </c>
      <c r="AZ64">
        <f t="shared" si="74"/>
        <v>1513.1847000065818</v>
      </c>
      <c r="BA64">
        <f t="shared" si="75"/>
        <v>25.083621120222677</v>
      </c>
      <c r="BB64">
        <f t="shared" si="76"/>
        <v>153.27235118227637</v>
      </c>
      <c r="BC64">
        <f t="shared" si="77"/>
        <v>1.7267205470933709E-2</v>
      </c>
      <c r="BD64">
        <f t="shared" si="78"/>
        <v>2.3530054368725071</v>
      </c>
      <c r="BE64">
        <f t="shared" si="79"/>
        <v>422.92278227588673</v>
      </c>
      <c r="BF64" t="s">
        <v>667</v>
      </c>
      <c r="BG64">
        <v>604.23</v>
      </c>
      <c r="BH64">
        <f t="shared" si="80"/>
        <v>604.23</v>
      </c>
      <c r="BI64">
        <f t="shared" si="81"/>
        <v>0.35301827328256907</v>
      </c>
      <c r="BJ64">
        <f t="shared" si="82"/>
        <v>0.57385832631901079</v>
      </c>
      <c r="BK64">
        <f t="shared" si="83"/>
        <v>0.86954354022923974</v>
      </c>
      <c r="BL64">
        <f t="shared" si="84"/>
        <v>0.60255203981176908</v>
      </c>
      <c r="BM64">
        <f t="shared" si="85"/>
        <v>0.87497924091811363</v>
      </c>
      <c r="BN64">
        <f t="shared" si="86"/>
        <v>0.46559780720896438</v>
      </c>
      <c r="BO64">
        <f t="shared" si="87"/>
        <v>0.53440219279103562</v>
      </c>
      <c r="BP64">
        <v>13664</v>
      </c>
      <c r="BQ64">
        <v>290.00000000000011</v>
      </c>
      <c r="BR64">
        <v>884.36</v>
      </c>
      <c r="BS64">
        <v>285</v>
      </c>
      <c r="BT64">
        <v>8185.37</v>
      </c>
      <c r="BU64">
        <v>886.01</v>
      </c>
      <c r="BV64">
        <v>-1.65</v>
      </c>
      <c r="BW64">
        <v>300.00000000000011</v>
      </c>
      <c r="BX64">
        <v>19.3</v>
      </c>
      <c r="BY64">
        <v>933.92127636380258</v>
      </c>
      <c r="BZ64">
        <v>2.0607493530217851</v>
      </c>
      <c r="CA64">
        <v>-39.22033513547624</v>
      </c>
      <c r="CB64">
        <v>1.549108312780628</v>
      </c>
      <c r="CC64">
        <v>0.95814657984897311</v>
      </c>
      <c r="CD64">
        <v>-4.2381443826473818E-3</v>
      </c>
      <c r="CE64">
        <v>289.99999999999989</v>
      </c>
      <c r="CF64">
        <v>886.13</v>
      </c>
      <c r="CG64">
        <v>655</v>
      </c>
      <c r="CH64">
        <v>8175.29</v>
      </c>
      <c r="CI64">
        <v>885.95</v>
      </c>
      <c r="CJ64">
        <v>0.18</v>
      </c>
      <c r="CX64">
        <f t="shared" si="88"/>
        <v>1800</v>
      </c>
      <c r="CY64">
        <f t="shared" si="89"/>
        <v>1513.1847000065818</v>
      </c>
      <c r="CZ64">
        <f t="shared" si="90"/>
        <v>0.84065816667032323</v>
      </c>
      <c r="DA64">
        <f t="shared" si="91"/>
        <v>0.16087026167372367</v>
      </c>
      <c r="DB64">
        <v>6</v>
      </c>
      <c r="DC64">
        <v>0.5</v>
      </c>
      <c r="DD64" t="s">
        <v>421</v>
      </c>
      <c r="DE64">
        <v>2</v>
      </c>
      <c r="DF64">
        <v>1689009155.5999999</v>
      </c>
      <c r="DG64">
        <v>168.99</v>
      </c>
      <c r="DH64">
        <v>200.04300000000001</v>
      </c>
      <c r="DI64">
        <v>27.132000000000001</v>
      </c>
      <c r="DJ64">
        <v>21.580400000000001</v>
      </c>
      <c r="DK64">
        <v>169.31200000000001</v>
      </c>
      <c r="DL64">
        <v>26.982099999999999</v>
      </c>
      <c r="DM64">
        <v>500.19400000000002</v>
      </c>
      <c r="DN64">
        <v>99.198899999999995</v>
      </c>
      <c r="DO64">
        <v>9.9661100000000002E-2</v>
      </c>
      <c r="DP64">
        <v>29.423200000000001</v>
      </c>
      <c r="DQ64">
        <v>30.053799999999999</v>
      </c>
      <c r="DR64">
        <v>999.9</v>
      </c>
      <c r="DS64">
        <v>0</v>
      </c>
      <c r="DT64">
        <v>0</v>
      </c>
      <c r="DU64">
        <v>10000</v>
      </c>
      <c r="DV64">
        <v>0</v>
      </c>
      <c r="DW64">
        <v>1445.25</v>
      </c>
      <c r="DX64">
        <v>-31.052399999999999</v>
      </c>
      <c r="DY64">
        <v>173.703</v>
      </c>
      <c r="DZ64">
        <v>204.45500000000001</v>
      </c>
      <c r="EA64">
        <v>5.55166</v>
      </c>
      <c r="EB64">
        <v>200.04300000000001</v>
      </c>
      <c r="EC64">
        <v>21.580400000000001</v>
      </c>
      <c r="ED64">
        <v>2.6914699999999998</v>
      </c>
      <c r="EE64">
        <v>2.1407500000000002</v>
      </c>
      <c r="EF64">
        <v>22.2331</v>
      </c>
      <c r="EG64">
        <v>18.525700000000001</v>
      </c>
      <c r="EH64">
        <v>1800</v>
      </c>
      <c r="EI64">
        <v>0.97799899999999995</v>
      </c>
      <c r="EJ64">
        <v>2.2000700000000002E-2</v>
      </c>
      <c r="EK64">
        <v>0</v>
      </c>
      <c r="EL64">
        <v>744.29399999999998</v>
      </c>
      <c r="EM64">
        <v>4.9999900000000004</v>
      </c>
      <c r="EN64">
        <v>16136.9</v>
      </c>
      <c r="EO64">
        <v>15863.8</v>
      </c>
      <c r="EP64">
        <v>47.25</v>
      </c>
      <c r="EQ64">
        <v>47.936999999999998</v>
      </c>
      <c r="ER64">
        <v>47.686999999999998</v>
      </c>
      <c r="ES64">
        <v>47.75</v>
      </c>
      <c r="ET64">
        <v>48.936999999999998</v>
      </c>
      <c r="EU64">
        <v>1755.51</v>
      </c>
      <c r="EV64">
        <v>39.49</v>
      </c>
      <c r="EW64">
        <v>0</v>
      </c>
      <c r="EX64">
        <v>109.2000000476837</v>
      </c>
      <c r="EY64">
        <v>0</v>
      </c>
      <c r="EZ64">
        <v>744.7251923076924</v>
      </c>
      <c r="FA64">
        <v>-5.9292649693493207</v>
      </c>
      <c r="FB64">
        <v>-276.65641558430269</v>
      </c>
      <c r="FC64">
        <v>17646.969230769231</v>
      </c>
      <c r="FD64">
        <v>15</v>
      </c>
      <c r="FE64">
        <v>1689009125.0999999</v>
      </c>
      <c r="FF64" t="s">
        <v>668</v>
      </c>
      <c r="FG64">
        <v>1689009122.0999999</v>
      </c>
      <c r="FH64">
        <v>1689009125.0999999</v>
      </c>
      <c r="FI64">
        <v>53</v>
      </c>
      <c r="FJ64">
        <v>8.9999999999999993E-3</v>
      </c>
      <c r="FK64">
        <v>-4.0000000000000001E-3</v>
      </c>
      <c r="FL64">
        <v>-0.32200000000000001</v>
      </c>
      <c r="FM64">
        <v>0.14499999999999999</v>
      </c>
      <c r="FN64">
        <v>200</v>
      </c>
      <c r="FO64">
        <v>21</v>
      </c>
      <c r="FP64">
        <v>0.06</v>
      </c>
      <c r="FQ64">
        <v>0.02</v>
      </c>
      <c r="FR64">
        <v>25.055776979730471</v>
      </c>
      <c r="FS64">
        <v>-0.35073790721733777</v>
      </c>
      <c r="FT64">
        <v>3.2769010211048777E-2</v>
      </c>
      <c r="FU64">
        <v>1</v>
      </c>
      <c r="FV64">
        <v>0.30190864895711722</v>
      </c>
      <c r="FW64">
        <v>3.9050630982343647E-2</v>
      </c>
      <c r="FX64">
        <v>2.9477180800266001E-3</v>
      </c>
      <c r="FY64">
        <v>1</v>
      </c>
      <c r="FZ64">
        <v>2</v>
      </c>
      <c r="GA64">
        <v>2</v>
      </c>
      <c r="GB64" t="s">
        <v>423</v>
      </c>
      <c r="GC64">
        <v>2.9596399999999998</v>
      </c>
      <c r="GD64">
        <v>2.7428900000000001</v>
      </c>
      <c r="GE64">
        <v>4.3504599999999997E-2</v>
      </c>
      <c r="GF64">
        <v>5.0367799999999997E-2</v>
      </c>
      <c r="GG64">
        <v>0.126142</v>
      </c>
      <c r="GH64">
        <v>0.10702399999999999</v>
      </c>
      <c r="GI64">
        <v>22505.8</v>
      </c>
      <c r="GJ64">
        <v>20811.8</v>
      </c>
      <c r="GK64">
        <v>23457.7</v>
      </c>
      <c r="GL64">
        <v>21960.7</v>
      </c>
      <c r="GM64">
        <v>28903.599999999999</v>
      </c>
      <c r="GN64">
        <v>27355.8</v>
      </c>
      <c r="GO64">
        <v>37016.699999999997</v>
      </c>
      <c r="GP64">
        <v>34165.699999999997</v>
      </c>
      <c r="GQ64">
        <v>1.9898</v>
      </c>
      <c r="GR64">
        <v>1.83945</v>
      </c>
      <c r="GS64">
        <v>0.10576099999999999</v>
      </c>
      <c r="GT64">
        <v>0</v>
      </c>
      <c r="GU64">
        <v>28.330400000000001</v>
      </c>
      <c r="GV64">
        <v>999.9</v>
      </c>
      <c r="GW64">
        <v>29.6</v>
      </c>
      <c r="GX64">
        <v>44.6</v>
      </c>
      <c r="GY64">
        <v>28.174299999999999</v>
      </c>
      <c r="GZ64">
        <v>60.4696</v>
      </c>
      <c r="HA64">
        <v>38.798099999999998</v>
      </c>
      <c r="HB64">
        <v>1</v>
      </c>
      <c r="HC64">
        <v>0.418763</v>
      </c>
      <c r="HD64">
        <v>2.3983300000000001</v>
      </c>
      <c r="HE64">
        <v>20.145399999999999</v>
      </c>
      <c r="HF64">
        <v>5.2637099999999997</v>
      </c>
      <c r="HG64">
        <v>11.962199999999999</v>
      </c>
      <c r="HH64">
        <v>4.9797500000000001</v>
      </c>
      <c r="HI64">
        <v>3.29793</v>
      </c>
      <c r="HJ64">
        <v>9999</v>
      </c>
      <c r="HK64">
        <v>9999</v>
      </c>
      <c r="HL64">
        <v>9999</v>
      </c>
      <c r="HM64">
        <v>999.9</v>
      </c>
      <c r="HN64">
        <v>1.86388</v>
      </c>
      <c r="HO64">
        <v>1.85989</v>
      </c>
      <c r="HP64">
        <v>1.86646</v>
      </c>
      <c r="HQ64">
        <v>1.8631</v>
      </c>
      <c r="HR64">
        <v>1.86181</v>
      </c>
      <c r="HS64">
        <v>1.86188</v>
      </c>
      <c r="HT64">
        <v>1.86311</v>
      </c>
      <c r="HU64">
        <v>1.86435</v>
      </c>
      <c r="HV64">
        <v>0</v>
      </c>
      <c r="HW64">
        <v>0</v>
      </c>
      <c r="HX64">
        <v>0</v>
      </c>
      <c r="HY64">
        <v>0</v>
      </c>
      <c r="HZ64" t="s">
        <v>424</v>
      </c>
      <c r="IA64" t="s">
        <v>425</v>
      </c>
      <c r="IB64" t="s">
        <v>426</v>
      </c>
      <c r="IC64" t="s">
        <v>426</v>
      </c>
      <c r="ID64" t="s">
        <v>426</v>
      </c>
      <c r="IE64" t="s">
        <v>426</v>
      </c>
      <c r="IF64">
        <v>0</v>
      </c>
      <c r="IG64">
        <v>100</v>
      </c>
      <c r="IH64">
        <v>100</v>
      </c>
      <c r="II64">
        <v>-0.32200000000000001</v>
      </c>
      <c r="IJ64">
        <v>0.14990000000000001</v>
      </c>
      <c r="IK64">
        <v>-0.31445048145503279</v>
      </c>
      <c r="IL64">
        <v>-8.3322953065825546E-5</v>
      </c>
      <c r="IM64">
        <v>2.3872336679552741E-7</v>
      </c>
      <c r="IN64">
        <v>-5.428329794194132E-11</v>
      </c>
      <c r="IO64">
        <v>0.14995900752424879</v>
      </c>
      <c r="IP64">
        <v>0</v>
      </c>
      <c r="IQ64">
        <v>0</v>
      </c>
      <c r="IR64">
        <v>0</v>
      </c>
      <c r="IS64">
        <v>2</v>
      </c>
      <c r="IT64">
        <v>2035</v>
      </c>
      <c r="IU64">
        <v>1</v>
      </c>
      <c r="IV64">
        <v>21</v>
      </c>
      <c r="IW64">
        <v>0.6</v>
      </c>
      <c r="IX64">
        <v>0.5</v>
      </c>
      <c r="IY64">
        <v>0.62622100000000003</v>
      </c>
      <c r="IZ64">
        <v>2.6965300000000001</v>
      </c>
      <c r="JA64">
        <v>1.4514199999999999</v>
      </c>
      <c r="JB64">
        <v>2.2766099999999998</v>
      </c>
      <c r="JC64">
        <v>1.5942400000000001</v>
      </c>
      <c r="JD64">
        <v>2.4230999999999998</v>
      </c>
      <c r="JE64">
        <v>45.805599999999998</v>
      </c>
      <c r="JF64">
        <v>16.023299999999999</v>
      </c>
      <c r="JG64">
        <v>18</v>
      </c>
      <c r="JH64">
        <v>499.03300000000002</v>
      </c>
      <c r="JI64">
        <v>438.596</v>
      </c>
      <c r="JJ64">
        <v>26.690999999999999</v>
      </c>
      <c r="JK64">
        <v>32.449100000000001</v>
      </c>
      <c r="JL64">
        <v>29.999600000000001</v>
      </c>
      <c r="JM64">
        <v>32.622399999999999</v>
      </c>
      <c r="JN64">
        <v>32.647599999999997</v>
      </c>
      <c r="JO64">
        <v>12.495900000000001</v>
      </c>
      <c r="JP64">
        <v>23.675000000000001</v>
      </c>
      <c r="JQ64">
        <v>0</v>
      </c>
      <c r="JR64">
        <v>26.663699999999999</v>
      </c>
      <c r="JS64">
        <v>200</v>
      </c>
      <c r="JT64">
        <v>21.472000000000001</v>
      </c>
      <c r="JU64">
        <v>99.211200000000005</v>
      </c>
      <c r="JV64">
        <v>98.557900000000004</v>
      </c>
    </row>
    <row r="65" spans="1:282" x14ac:dyDescent="0.25">
      <c r="A65">
        <v>49</v>
      </c>
      <c r="B65">
        <v>1689009255.0999999</v>
      </c>
      <c r="C65">
        <v>9914.5</v>
      </c>
      <c r="D65" t="s">
        <v>669</v>
      </c>
      <c r="E65" t="s">
        <v>670</v>
      </c>
      <c r="F65" t="s">
        <v>414</v>
      </c>
      <c r="G65" t="s">
        <v>415</v>
      </c>
      <c r="H65" t="s">
        <v>654</v>
      </c>
      <c r="I65" t="s">
        <v>655</v>
      </c>
      <c r="J65" t="s">
        <v>416</v>
      </c>
      <c r="K65">
        <v>1689009255.0999999</v>
      </c>
      <c r="L65">
        <f t="shared" si="46"/>
        <v>5.0072507715208953E-3</v>
      </c>
      <c r="M65">
        <f t="shared" si="47"/>
        <v>5.0072507715208951</v>
      </c>
      <c r="N65">
        <f t="shared" si="48"/>
        <v>15.609656069986865</v>
      </c>
      <c r="O65">
        <f t="shared" si="49"/>
        <v>100.684</v>
      </c>
      <c r="P65">
        <f t="shared" si="50"/>
        <v>16.978217154994375</v>
      </c>
      <c r="Q65">
        <f t="shared" si="51"/>
        <v>1.6858751118458459</v>
      </c>
      <c r="R65">
        <f t="shared" si="52"/>
        <v>9.9975544081879999</v>
      </c>
      <c r="S65">
        <f t="shared" si="53"/>
        <v>0.31979411522046913</v>
      </c>
      <c r="T65">
        <f t="shared" si="54"/>
        <v>2.9168292121863026</v>
      </c>
      <c r="U65">
        <f t="shared" si="55"/>
        <v>0.30151428104455058</v>
      </c>
      <c r="V65">
        <f t="shared" si="56"/>
        <v>0.19000166587355333</v>
      </c>
      <c r="W65">
        <f t="shared" si="57"/>
        <v>289.57604701270219</v>
      </c>
      <c r="X65">
        <f t="shared" si="58"/>
        <v>29.750052933377763</v>
      </c>
      <c r="Y65">
        <f t="shared" si="59"/>
        <v>29.9741</v>
      </c>
      <c r="Z65">
        <f t="shared" si="60"/>
        <v>4.254115716025253</v>
      </c>
      <c r="AA65">
        <f t="shared" si="61"/>
        <v>64.901311189219399</v>
      </c>
      <c r="AB65">
        <f t="shared" si="62"/>
        <v>2.6625325165979996</v>
      </c>
      <c r="AC65">
        <f t="shared" si="63"/>
        <v>4.1024325515325897</v>
      </c>
      <c r="AD65">
        <f t="shared" si="64"/>
        <v>1.5915831994272533</v>
      </c>
      <c r="AE65">
        <f t="shared" si="65"/>
        <v>-220.81975902407149</v>
      </c>
      <c r="AF65">
        <f t="shared" si="66"/>
        <v>-99.147446835298325</v>
      </c>
      <c r="AG65">
        <f t="shared" si="67"/>
        <v>-7.5325555993906237</v>
      </c>
      <c r="AH65">
        <f t="shared" si="68"/>
        <v>-37.923714446058227</v>
      </c>
      <c r="AI65">
        <v>0</v>
      </c>
      <c r="AJ65">
        <v>0</v>
      </c>
      <c r="AK65">
        <f t="shared" si="69"/>
        <v>1</v>
      </c>
      <c r="AL65">
        <f t="shared" si="70"/>
        <v>0</v>
      </c>
      <c r="AM65">
        <f t="shared" si="71"/>
        <v>52086.046319393499</v>
      </c>
      <c r="AN65" t="s">
        <v>418</v>
      </c>
      <c r="AO65">
        <v>8197.4</v>
      </c>
      <c r="AP65">
        <v>619.92999999999995</v>
      </c>
      <c r="AQ65">
        <v>3131.443117258741</v>
      </c>
      <c r="AR65">
        <f t="shared" si="72"/>
        <v>0.80203057287443702</v>
      </c>
      <c r="AS65">
        <v>-1.0448500102641549</v>
      </c>
      <c r="AT65" t="s">
        <v>671</v>
      </c>
      <c r="AU65">
        <v>8186.4</v>
      </c>
      <c r="AV65">
        <v>755.84664000000009</v>
      </c>
      <c r="AW65">
        <v>885.50001675703243</v>
      </c>
      <c r="AX65">
        <f t="shared" si="73"/>
        <v>0.14641826572952765</v>
      </c>
      <c r="AY65">
        <v>0.5</v>
      </c>
      <c r="AZ65">
        <f t="shared" si="74"/>
        <v>1513.2351000065814</v>
      </c>
      <c r="BA65">
        <f t="shared" si="75"/>
        <v>15.609656069986865</v>
      </c>
      <c r="BB65">
        <f t="shared" si="76"/>
        <v>110.782629492006</v>
      </c>
      <c r="BC65">
        <f t="shared" si="77"/>
        <v>1.1005894642662325E-2</v>
      </c>
      <c r="BD65">
        <f t="shared" si="78"/>
        <v>2.5363557967249148</v>
      </c>
      <c r="BE65">
        <f t="shared" si="79"/>
        <v>412.70313083499383</v>
      </c>
      <c r="BF65" t="s">
        <v>672</v>
      </c>
      <c r="BG65">
        <v>619.82000000000005</v>
      </c>
      <c r="BH65">
        <f t="shared" si="80"/>
        <v>619.82000000000005</v>
      </c>
      <c r="BI65">
        <f t="shared" si="81"/>
        <v>0.30003389241033851</v>
      </c>
      <c r="BJ65">
        <f t="shared" si="82"/>
        <v>0.48800575346094593</v>
      </c>
      <c r="BK65">
        <f t="shared" si="83"/>
        <v>0.8942197916035256</v>
      </c>
      <c r="BL65">
        <f t="shared" si="84"/>
        <v>0.48820788709612123</v>
      </c>
      <c r="BM65">
        <f t="shared" si="85"/>
        <v>0.8942589569084568</v>
      </c>
      <c r="BN65">
        <f t="shared" si="86"/>
        <v>0.40018134645695252</v>
      </c>
      <c r="BO65">
        <f t="shared" si="87"/>
        <v>0.59981865354304742</v>
      </c>
      <c r="BP65">
        <v>13666</v>
      </c>
      <c r="BQ65">
        <v>290.00000000000011</v>
      </c>
      <c r="BR65">
        <v>847.45</v>
      </c>
      <c r="BS65">
        <v>275</v>
      </c>
      <c r="BT65">
        <v>8186.4</v>
      </c>
      <c r="BU65">
        <v>848.7</v>
      </c>
      <c r="BV65">
        <v>-1.25</v>
      </c>
      <c r="BW65">
        <v>300.00000000000011</v>
      </c>
      <c r="BX65">
        <v>19.3</v>
      </c>
      <c r="BY65">
        <v>885.50001675703243</v>
      </c>
      <c r="BZ65">
        <v>2.566551833751082</v>
      </c>
      <c r="CA65">
        <v>-30.1296697248833</v>
      </c>
      <c r="CB65">
        <v>1.929429128045731</v>
      </c>
      <c r="CC65">
        <v>0.8970037932999807</v>
      </c>
      <c r="CD65">
        <v>-4.2382587319243561E-3</v>
      </c>
      <c r="CE65">
        <v>289.99999999999989</v>
      </c>
      <c r="CF65">
        <v>848.14</v>
      </c>
      <c r="CG65">
        <v>645</v>
      </c>
      <c r="CH65">
        <v>8176.04</v>
      </c>
      <c r="CI65">
        <v>848.65</v>
      </c>
      <c r="CJ65">
        <v>-0.51</v>
      </c>
      <c r="CX65">
        <f t="shared" si="88"/>
        <v>1800.06</v>
      </c>
      <c r="CY65">
        <f t="shared" si="89"/>
        <v>1513.2351000065814</v>
      </c>
      <c r="CZ65">
        <f t="shared" si="90"/>
        <v>0.84065814473216527</v>
      </c>
      <c r="DA65">
        <f t="shared" si="91"/>
        <v>0.16087021933307902</v>
      </c>
      <c r="DB65">
        <v>6</v>
      </c>
      <c r="DC65">
        <v>0.5</v>
      </c>
      <c r="DD65" t="s">
        <v>421</v>
      </c>
      <c r="DE65">
        <v>2</v>
      </c>
      <c r="DF65">
        <v>1689009255.0999999</v>
      </c>
      <c r="DG65">
        <v>100.684</v>
      </c>
      <c r="DH65">
        <v>120.015</v>
      </c>
      <c r="DI65">
        <v>26.814</v>
      </c>
      <c r="DJ65">
        <v>20.9681</v>
      </c>
      <c r="DK65">
        <v>100.947</v>
      </c>
      <c r="DL65">
        <v>26.683</v>
      </c>
      <c r="DM65">
        <v>500.14400000000001</v>
      </c>
      <c r="DN65">
        <v>99.196299999999994</v>
      </c>
      <c r="DO65">
        <v>0.10005699999999999</v>
      </c>
      <c r="DP65">
        <v>29.343599999999999</v>
      </c>
      <c r="DQ65">
        <v>29.9741</v>
      </c>
      <c r="DR65">
        <v>999.9</v>
      </c>
      <c r="DS65">
        <v>0</v>
      </c>
      <c r="DT65">
        <v>0</v>
      </c>
      <c r="DU65">
        <v>10008.1</v>
      </c>
      <c r="DV65">
        <v>0</v>
      </c>
      <c r="DW65">
        <v>510.45600000000002</v>
      </c>
      <c r="DX65">
        <v>-19.3889</v>
      </c>
      <c r="DY65">
        <v>103.401</v>
      </c>
      <c r="DZ65">
        <v>122.58499999999999</v>
      </c>
      <c r="EA65">
        <v>5.8648400000000001</v>
      </c>
      <c r="EB65">
        <v>120.015</v>
      </c>
      <c r="EC65">
        <v>20.9681</v>
      </c>
      <c r="ED65">
        <v>2.6617299999999999</v>
      </c>
      <c r="EE65">
        <v>2.0799599999999998</v>
      </c>
      <c r="EF65">
        <v>22.050699999999999</v>
      </c>
      <c r="EG65">
        <v>18.066500000000001</v>
      </c>
      <c r="EH65">
        <v>1800.06</v>
      </c>
      <c r="EI65">
        <v>0.97799899999999995</v>
      </c>
      <c r="EJ65">
        <v>2.2000700000000002E-2</v>
      </c>
      <c r="EK65">
        <v>0</v>
      </c>
      <c r="EL65">
        <v>755.87</v>
      </c>
      <c r="EM65">
        <v>4.9999900000000004</v>
      </c>
      <c r="EN65">
        <v>15614.7</v>
      </c>
      <c r="EO65">
        <v>15864.3</v>
      </c>
      <c r="EP65">
        <v>47.061999999999998</v>
      </c>
      <c r="EQ65">
        <v>47.75</v>
      </c>
      <c r="ER65">
        <v>47.5</v>
      </c>
      <c r="ES65">
        <v>47.625</v>
      </c>
      <c r="ET65">
        <v>48.811999999999998</v>
      </c>
      <c r="EU65">
        <v>1755.57</v>
      </c>
      <c r="EV65">
        <v>39.49</v>
      </c>
      <c r="EW65">
        <v>0</v>
      </c>
      <c r="EX65">
        <v>97.799999952316284</v>
      </c>
      <c r="EY65">
        <v>0</v>
      </c>
      <c r="EZ65">
        <v>755.84664000000009</v>
      </c>
      <c r="FA65">
        <v>-4.7085384543899051</v>
      </c>
      <c r="FB65">
        <v>-187.37692343323991</v>
      </c>
      <c r="FC65">
        <v>15636.531999999999</v>
      </c>
      <c r="FD65">
        <v>15</v>
      </c>
      <c r="FE65">
        <v>1689009284.0999999</v>
      </c>
      <c r="FF65" t="s">
        <v>673</v>
      </c>
      <c r="FG65">
        <v>1689009272.5999999</v>
      </c>
      <c r="FH65">
        <v>1689009284.0999999</v>
      </c>
      <c r="FI65">
        <v>54</v>
      </c>
      <c r="FJ65">
        <v>5.8000000000000003E-2</v>
      </c>
      <c r="FK65">
        <v>-1E-3</v>
      </c>
      <c r="FL65">
        <v>-0.26300000000000001</v>
      </c>
      <c r="FM65">
        <v>0.13100000000000001</v>
      </c>
      <c r="FN65">
        <v>120</v>
      </c>
      <c r="FO65">
        <v>21</v>
      </c>
      <c r="FP65">
        <v>0.09</v>
      </c>
      <c r="FQ65">
        <v>0.01</v>
      </c>
      <c r="FR65">
        <v>15.58552435281949</v>
      </c>
      <c r="FS65">
        <v>8.1318019752774459E-2</v>
      </c>
      <c r="FT65">
        <v>1.792597614896739E-2</v>
      </c>
      <c r="FU65">
        <v>1</v>
      </c>
      <c r="FV65">
        <v>0.32132369588196891</v>
      </c>
      <c r="FW65">
        <v>-2.623380249737291E-3</v>
      </c>
      <c r="FX65">
        <v>3.7251408102266861E-4</v>
      </c>
      <c r="FY65">
        <v>1</v>
      </c>
      <c r="FZ65">
        <v>2</v>
      </c>
      <c r="GA65">
        <v>2</v>
      </c>
      <c r="GB65" t="s">
        <v>423</v>
      </c>
      <c r="GC65">
        <v>2.9596900000000002</v>
      </c>
      <c r="GD65">
        <v>2.74336</v>
      </c>
      <c r="GE65">
        <v>2.7040600000000001E-2</v>
      </c>
      <c r="GF65">
        <v>3.1762100000000001E-2</v>
      </c>
      <c r="GG65">
        <v>0.12520899999999999</v>
      </c>
      <c r="GH65">
        <v>0.104924</v>
      </c>
      <c r="GI65">
        <v>22901.5</v>
      </c>
      <c r="GJ65">
        <v>21228.9</v>
      </c>
      <c r="GK65">
        <v>23466.2</v>
      </c>
      <c r="GL65">
        <v>21970.2</v>
      </c>
      <c r="GM65">
        <v>28944.6</v>
      </c>
      <c r="GN65">
        <v>27431.1</v>
      </c>
      <c r="GO65">
        <v>37031.300000000003</v>
      </c>
      <c r="GP65">
        <v>34179.9</v>
      </c>
      <c r="GQ65">
        <v>1.99193</v>
      </c>
      <c r="GR65">
        <v>1.8411999999999999</v>
      </c>
      <c r="GS65">
        <v>0.105016</v>
      </c>
      <c r="GT65">
        <v>0</v>
      </c>
      <c r="GU65">
        <v>28.262699999999999</v>
      </c>
      <c r="GV65">
        <v>999.9</v>
      </c>
      <c r="GW65">
        <v>29.6</v>
      </c>
      <c r="GX65">
        <v>44.5</v>
      </c>
      <c r="GY65">
        <v>28.0307</v>
      </c>
      <c r="GZ65">
        <v>60.429699999999997</v>
      </c>
      <c r="HA65">
        <v>39.326900000000002</v>
      </c>
      <c r="HB65">
        <v>1</v>
      </c>
      <c r="HC65">
        <v>0.40305600000000003</v>
      </c>
      <c r="HD65">
        <v>1.3071299999999999</v>
      </c>
      <c r="HE65">
        <v>20.159099999999999</v>
      </c>
      <c r="HF65">
        <v>5.2629599999999996</v>
      </c>
      <c r="HG65">
        <v>11.962</v>
      </c>
      <c r="HH65">
        <v>4.9797500000000001</v>
      </c>
      <c r="HI65">
        <v>3.29793</v>
      </c>
      <c r="HJ65">
        <v>9999</v>
      </c>
      <c r="HK65">
        <v>9999</v>
      </c>
      <c r="HL65">
        <v>9999</v>
      </c>
      <c r="HM65">
        <v>999.9</v>
      </c>
      <c r="HN65">
        <v>1.8638600000000001</v>
      </c>
      <c r="HO65">
        <v>1.85989</v>
      </c>
      <c r="HP65">
        <v>1.8664700000000001</v>
      </c>
      <c r="HQ65">
        <v>1.8631200000000001</v>
      </c>
      <c r="HR65">
        <v>1.8618300000000001</v>
      </c>
      <c r="HS65">
        <v>1.8618600000000001</v>
      </c>
      <c r="HT65">
        <v>1.8631</v>
      </c>
      <c r="HU65">
        <v>1.86435</v>
      </c>
      <c r="HV65">
        <v>0</v>
      </c>
      <c r="HW65">
        <v>0</v>
      </c>
      <c r="HX65">
        <v>0</v>
      </c>
      <c r="HY65">
        <v>0</v>
      </c>
      <c r="HZ65" t="s">
        <v>424</v>
      </c>
      <c r="IA65" t="s">
        <v>425</v>
      </c>
      <c r="IB65" t="s">
        <v>426</v>
      </c>
      <c r="IC65" t="s">
        <v>426</v>
      </c>
      <c r="ID65" t="s">
        <v>426</v>
      </c>
      <c r="IE65" t="s">
        <v>426</v>
      </c>
      <c r="IF65">
        <v>0</v>
      </c>
      <c r="IG65">
        <v>100</v>
      </c>
      <c r="IH65">
        <v>100</v>
      </c>
      <c r="II65">
        <v>-0.26300000000000001</v>
      </c>
      <c r="IJ65">
        <v>0.13100000000000001</v>
      </c>
      <c r="IK65">
        <v>-0.31445048145503279</v>
      </c>
      <c r="IL65">
        <v>-8.3322953065825546E-5</v>
      </c>
      <c r="IM65">
        <v>2.3872336679552741E-7</v>
      </c>
      <c r="IN65">
        <v>-5.428329794194132E-11</v>
      </c>
      <c r="IO65">
        <v>0.14995900752424879</v>
      </c>
      <c r="IP65">
        <v>0</v>
      </c>
      <c r="IQ65">
        <v>0</v>
      </c>
      <c r="IR65">
        <v>0</v>
      </c>
      <c r="IS65">
        <v>2</v>
      </c>
      <c r="IT65">
        <v>2035</v>
      </c>
      <c r="IU65">
        <v>1</v>
      </c>
      <c r="IV65">
        <v>21</v>
      </c>
      <c r="IW65">
        <v>2.2000000000000002</v>
      </c>
      <c r="IX65">
        <v>2.2000000000000002</v>
      </c>
      <c r="IY65">
        <v>0.43579099999999998</v>
      </c>
      <c r="IZ65">
        <v>2.7185100000000002</v>
      </c>
      <c r="JA65">
        <v>1.4526399999999999</v>
      </c>
      <c r="JB65">
        <v>2.2766099999999998</v>
      </c>
      <c r="JC65">
        <v>1.5942400000000001</v>
      </c>
      <c r="JD65">
        <v>2.32666</v>
      </c>
      <c r="JE65">
        <v>45.633099999999999</v>
      </c>
      <c r="JF65">
        <v>16.014600000000002</v>
      </c>
      <c r="JG65">
        <v>18</v>
      </c>
      <c r="JH65">
        <v>499.14699999999999</v>
      </c>
      <c r="JI65">
        <v>438.64800000000002</v>
      </c>
      <c r="JJ65">
        <v>27.265799999999999</v>
      </c>
      <c r="JK65">
        <v>32.305100000000003</v>
      </c>
      <c r="JL65">
        <v>29.999300000000002</v>
      </c>
      <c r="JM65">
        <v>32.475499999999997</v>
      </c>
      <c r="JN65">
        <v>32.504100000000001</v>
      </c>
      <c r="JO65">
        <v>8.6917500000000008</v>
      </c>
      <c r="JP65">
        <v>26.091899999999999</v>
      </c>
      <c r="JQ65">
        <v>0</v>
      </c>
      <c r="JR65">
        <v>27.279</v>
      </c>
      <c r="JS65">
        <v>120</v>
      </c>
      <c r="JT65">
        <v>21.015899999999998</v>
      </c>
      <c r="JU65">
        <v>99.249099999999999</v>
      </c>
      <c r="JV65">
        <v>98.599699999999999</v>
      </c>
    </row>
    <row r="66" spans="1:282" x14ac:dyDescent="0.25">
      <c r="A66">
        <v>50</v>
      </c>
      <c r="B66">
        <v>1689009375.0999999</v>
      </c>
      <c r="C66">
        <v>10034.5</v>
      </c>
      <c r="D66" t="s">
        <v>674</v>
      </c>
      <c r="E66" t="s">
        <v>675</v>
      </c>
      <c r="F66" t="s">
        <v>414</v>
      </c>
      <c r="G66" t="s">
        <v>415</v>
      </c>
      <c r="H66" t="s">
        <v>654</v>
      </c>
      <c r="I66" t="s">
        <v>655</v>
      </c>
      <c r="J66" t="s">
        <v>416</v>
      </c>
      <c r="K66">
        <v>1689009375.0999999</v>
      </c>
      <c r="L66">
        <f t="shared" si="46"/>
        <v>5.1288816539738352E-3</v>
      </c>
      <c r="M66">
        <f t="shared" si="47"/>
        <v>5.1288816539738349</v>
      </c>
      <c r="N66">
        <f t="shared" si="48"/>
        <v>9.4263101609881037</v>
      </c>
      <c r="O66">
        <f t="shared" si="49"/>
        <v>58.295900000000003</v>
      </c>
      <c r="P66">
        <f t="shared" si="50"/>
        <v>9.6750176701915738</v>
      </c>
      <c r="Q66">
        <f t="shared" si="51"/>
        <v>0.96062668011268393</v>
      </c>
      <c r="R66">
        <f t="shared" si="52"/>
        <v>5.7881648168682007</v>
      </c>
      <c r="S66">
        <f t="shared" si="53"/>
        <v>0.33306047070153416</v>
      </c>
      <c r="T66">
        <f t="shared" si="54"/>
        <v>2.9104659663674592</v>
      </c>
      <c r="U66">
        <f t="shared" si="55"/>
        <v>0.31324239134954035</v>
      </c>
      <c r="V66">
        <f t="shared" si="56"/>
        <v>0.1974587275522019</v>
      </c>
      <c r="W66">
        <f t="shared" si="57"/>
        <v>289.55051101270334</v>
      </c>
      <c r="X66">
        <f t="shared" si="58"/>
        <v>29.758144049540483</v>
      </c>
      <c r="Y66">
        <f t="shared" si="59"/>
        <v>29.9604</v>
      </c>
      <c r="Z66">
        <f t="shared" si="60"/>
        <v>4.2507685891123836</v>
      </c>
      <c r="AA66">
        <f t="shared" si="61"/>
        <v>65.22341521468644</v>
      </c>
      <c r="AB66">
        <f t="shared" si="62"/>
        <v>2.6818066399800005</v>
      </c>
      <c r="AC66">
        <f t="shared" si="63"/>
        <v>4.1117237285914685</v>
      </c>
      <c r="AD66">
        <f t="shared" si="64"/>
        <v>1.5689619491323832</v>
      </c>
      <c r="AE66">
        <f t="shared" si="65"/>
        <v>-226.18368094024612</v>
      </c>
      <c r="AF66">
        <f t="shared" si="66"/>
        <v>-90.630662184876371</v>
      </c>
      <c r="AG66">
        <f t="shared" si="67"/>
        <v>-6.9014325651728807</v>
      </c>
      <c r="AH66">
        <f t="shared" si="68"/>
        <v>-34.165264677592006</v>
      </c>
      <c r="AI66">
        <v>0</v>
      </c>
      <c r="AJ66">
        <v>0</v>
      </c>
      <c r="AK66">
        <f t="shared" si="69"/>
        <v>1</v>
      </c>
      <c r="AL66">
        <f t="shared" si="70"/>
        <v>0</v>
      </c>
      <c r="AM66">
        <f t="shared" si="71"/>
        <v>51897.685507534705</v>
      </c>
      <c r="AN66" t="s">
        <v>418</v>
      </c>
      <c r="AO66">
        <v>8197.4</v>
      </c>
      <c r="AP66">
        <v>619.92999999999995</v>
      </c>
      <c r="AQ66">
        <v>3131.443117258741</v>
      </c>
      <c r="AR66">
        <f t="shared" si="72"/>
        <v>0.80203057287443702</v>
      </c>
      <c r="AS66">
        <v>-1.0448500102641549</v>
      </c>
      <c r="AT66" t="s">
        <v>676</v>
      </c>
      <c r="AU66">
        <v>8198.52</v>
      </c>
      <c r="AV66">
        <v>767.27034615384605</v>
      </c>
      <c r="AW66">
        <v>854.40750555122918</v>
      </c>
      <c r="AX66">
        <f t="shared" si="73"/>
        <v>0.10198547979885286</v>
      </c>
      <c r="AY66">
        <v>0.5</v>
      </c>
      <c r="AZ66">
        <f t="shared" si="74"/>
        <v>1513.1007000065822</v>
      </c>
      <c r="BA66">
        <f t="shared" si="75"/>
        <v>9.4263101609881037</v>
      </c>
      <c r="BB66">
        <f t="shared" si="76"/>
        <v>77.157150437075714</v>
      </c>
      <c r="BC66">
        <f t="shared" si="77"/>
        <v>6.9203326462057065E-3</v>
      </c>
      <c r="BD66">
        <f t="shared" si="78"/>
        <v>2.6650463589250193</v>
      </c>
      <c r="BE66">
        <f t="shared" si="79"/>
        <v>405.82019704451687</v>
      </c>
      <c r="BF66" t="s">
        <v>677</v>
      </c>
      <c r="BG66">
        <v>635.54999999999995</v>
      </c>
      <c r="BH66">
        <f t="shared" si="80"/>
        <v>635.54999999999995</v>
      </c>
      <c r="BI66">
        <f t="shared" si="81"/>
        <v>0.25615119732595426</v>
      </c>
      <c r="BJ66">
        <f t="shared" si="82"/>
        <v>0.39814562986045932</v>
      </c>
      <c r="BK66">
        <f t="shared" si="83"/>
        <v>0.91231294960595022</v>
      </c>
      <c r="BL66">
        <f t="shared" si="84"/>
        <v>0.37162268164075629</v>
      </c>
      <c r="BM66">
        <f t="shared" si="85"/>
        <v>0.90663894847296023</v>
      </c>
      <c r="BN66">
        <f t="shared" si="86"/>
        <v>0.32979438906541203</v>
      </c>
      <c r="BO66">
        <f t="shared" si="87"/>
        <v>0.67020561093458797</v>
      </c>
      <c r="BP66">
        <v>13668</v>
      </c>
      <c r="BQ66">
        <v>290.00000000000011</v>
      </c>
      <c r="BR66">
        <v>828.76</v>
      </c>
      <c r="BS66">
        <v>135</v>
      </c>
      <c r="BT66">
        <v>8198.52</v>
      </c>
      <c r="BU66">
        <v>828.71</v>
      </c>
      <c r="BV66">
        <v>0.05</v>
      </c>
      <c r="BW66">
        <v>300.00000000000011</v>
      </c>
      <c r="BX66">
        <v>19.3</v>
      </c>
      <c r="BY66">
        <v>854.40750555122918</v>
      </c>
      <c r="BZ66">
        <v>2.083110807986321</v>
      </c>
      <c r="CA66">
        <v>-21.07007094607998</v>
      </c>
      <c r="CB66">
        <v>1.566096062923954</v>
      </c>
      <c r="CC66">
        <v>0.86603314960799915</v>
      </c>
      <c r="CD66">
        <v>-4.2383523915461721E-3</v>
      </c>
      <c r="CE66">
        <v>289.99999999999989</v>
      </c>
      <c r="CF66">
        <v>827.41</v>
      </c>
      <c r="CG66">
        <v>755</v>
      </c>
      <c r="CH66">
        <v>8173.54</v>
      </c>
      <c r="CI66">
        <v>828.63</v>
      </c>
      <c r="CJ66">
        <v>-1.22</v>
      </c>
      <c r="CX66">
        <f t="shared" si="88"/>
        <v>1799.9</v>
      </c>
      <c r="CY66">
        <f t="shared" si="89"/>
        <v>1513.1007000065822</v>
      </c>
      <c r="CZ66">
        <f t="shared" si="90"/>
        <v>0.84065820323716989</v>
      </c>
      <c r="DA66">
        <f t="shared" si="91"/>
        <v>0.16087033224773784</v>
      </c>
      <c r="DB66">
        <v>6</v>
      </c>
      <c r="DC66">
        <v>0.5</v>
      </c>
      <c r="DD66" t="s">
        <v>421</v>
      </c>
      <c r="DE66">
        <v>2</v>
      </c>
      <c r="DF66">
        <v>1689009375.0999999</v>
      </c>
      <c r="DG66">
        <v>58.295900000000003</v>
      </c>
      <c r="DH66">
        <v>69.963300000000004</v>
      </c>
      <c r="DI66">
        <v>27.01</v>
      </c>
      <c r="DJ66">
        <v>21.023099999999999</v>
      </c>
      <c r="DK66">
        <v>58.571899999999999</v>
      </c>
      <c r="DL66">
        <v>26.875</v>
      </c>
      <c r="DM66">
        <v>500.12700000000001</v>
      </c>
      <c r="DN66">
        <v>99.188900000000004</v>
      </c>
      <c r="DO66">
        <v>0.100498</v>
      </c>
      <c r="DP66">
        <v>29.3828</v>
      </c>
      <c r="DQ66">
        <v>29.9604</v>
      </c>
      <c r="DR66">
        <v>999.9</v>
      </c>
      <c r="DS66">
        <v>0</v>
      </c>
      <c r="DT66">
        <v>0</v>
      </c>
      <c r="DU66">
        <v>9972.5</v>
      </c>
      <c r="DV66">
        <v>0</v>
      </c>
      <c r="DW66">
        <v>502.96</v>
      </c>
      <c r="DX66">
        <v>-11.6515</v>
      </c>
      <c r="DY66">
        <v>59.931399999999996</v>
      </c>
      <c r="DZ66">
        <v>71.465699999999998</v>
      </c>
      <c r="EA66">
        <v>6.0008299999999997</v>
      </c>
      <c r="EB66">
        <v>69.963300000000004</v>
      </c>
      <c r="EC66">
        <v>21.023099999999999</v>
      </c>
      <c r="ED66">
        <v>2.6804800000000002</v>
      </c>
      <c r="EE66">
        <v>2.0852599999999999</v>
      </c>
      <c r="EF66">
        <v>22.165900000000001</v>
      </c>
      <c r="EG66">
        <v>18.106999999999999</v>
      </c>
      <c r="EH66">
        <v>1799.9</v>
      </c>
      <c r="EI66">
        <v>0.97799599999999998</v>
      </c>
      <c r="EJ66">
        <v>2.20039E-2</v>
      </c>
      <c r="EK66">
        <v>0</v>
      </c>
      <c r="EL66">
        <v>766.82</v>
      </c>
      <c r="EM66">
        <v>4.9999900000000004</v>
      </c>
      <c r="EN66">
        <v>15804.5</v>
      </c>
      <c r="EO66">
        <v>15862.9</v>
      </c>
      <c r="EP66">
        <v>46.875</v>
      </c>
      <c r="EQ66">
        <v>47.436999999999998</v>
      </c>
      <c r="ER66">
        <v>47.311999999999998</v>
      </c>
      <c r="ES66">
        <v>47.311999999999998</v>
      </c>
      <c r="ET66">
        <v>48.625</v>
      </c>
      <c r="EU66">
        <v>1755.41</v>
      </c>
      <c r="EV66">
        <v>39.49</v>
      </c>
      <c r="EW66">
        <v>0</v>
      </c>
      <c r="EX66">
        <v>118.19999980926509</v>
      </c>
      <c r="EY66">
        <v>0</v>
      </c>
      <c r="EZ66">
        <v>767.27034615384605</v>
      </c>
      <c r="FA66">
        <v>-3.080581212342687</v>
      </c>
      <c r="FB66">
        <v>-44.632478585302962</v>
      </c>
      <c r="FC66">
        <v>15811.696153846149</v>
      </c>
      <c r="FD66">
        <v>15</v>
      </c>
      <c r="FE66">
        <v>1689009404.0999999</v>
      </c>
      <c r="FF66" t="s">
        <v>678</v>
      </c>
      <c r="FG66">
        <v>1689009395.0999999</v>
      </c>
      <c r="FH66">
        <v>1689009404.0999999</v>
      </c>
      <c r="FI66">
        <v>55</v>
      </c>
      <c r="FJ66">
        <v>-1.6E-2</v>
      </c>
      <c r="FK66">
        <v>2E-3</v>
      </c>
      <c r="FL66">
        <v>-0.27600000000000002</v>
      </c>
      <c r="FM66">
        <v>0.13500000000000001</v>
      </c>
      <c r="FN66">
        <v>70</v>
      </c>
      <c r="FO66">
        <v>21</v>
      </c>
      <c r="FP66">
        <v>0.09</v>
      </c>
      <c r="FQ66">
        <v>0.01</v>
      </c>
      <c r="FR66">
        <v>9.4140036826750961</v>
      </c>
      <c r="FS66">
        <v>5.5102426840337379E-2</v>
      </c>
      <c r="FT66">
        <v>1.7727531418425899E-2</v>
      </c>
      <c r="FU66">
        <v>1</v>
      </c>
      <c r="FV66">
        <v>0.33161575770752999</v>
      </c>
      <c r="FW66">
        <v>1.528014539025036E-2</v>
      </c>
      <c r="FX66">
        <v>1.148608209801393E-3</v>
      </c>
      <c r="FY66">
        <v>1</v>
      </c>
      <c r="FZ66">
        <v>2</v>
      </c>
      <c r="GA66">
        <v>2</v>
      </c>
      <c r="GB66" t="s">
        <v>423</v>
      </c>
      <c r="GC66">
        <v>2.95987</v>
      </c>
      <c r="GD66">
        <v>2.74349</v>
      </c>
      <c r="GE66">
        <v>1.6056000000000001E-2</v>
      </c>
      <c r="GF66">
        <v>1.90438E-2</v>
      </c>
      <c r="GG66">
        <v>0.12588199999999999</v>
      </c>
      <c r="GH66">
        <v>0.105158</v>
      </c>
      <c r="GI66">
        <v>23171.200000000001</v>
      </c>
      <c r="GJ66">
        <v>21519.4</v>
      </c>
      <c r="GK66">
        <v>23476.799999999999</v>
      </c>
      <c r="GL66">
        <v>21981.599999999999</v>
      </c>
      <c r="GM66">
        <v>28933.4</v>
      </c>
      <c r="GN66">
        <v>27436</v>
      </c>
      <c r="GO66">
        <v>37048.6</v>
      </c>
      <c r="GP66">
        <v>34196.5</v>
      </c>
      <c r="GQ66">
        <v>1.9943299999999999</v>
      </c>
      <c r="GR66">
        <v>1.8454999999999999</v>
      </c>
      <c r="GS66">
        <v>0.112765</v>
      </c>
      <c r="GT66">
        <v>0</v>
      </c>
      <c r="GU66">
        <v>28.122499999999999</v>
      </c>
      <c r="GV66">
        <v>999.9</v>
      </c>
      <c r="GW66">
        <v>29.6</v>
      </c>
      <c r="GX66">
        <v>44.3</v>
      </c>
      <c r="GY66">
        <v>27.7409</v>
      </c>
      <c r="GZ66">
        <v>60.459699999999998</v>
      </c>
      <c r="HA66">
        <v>39.483199999999997</v>
      </c>
      <c r="HB66">
        <v>1</v>
      </c>
      <c r="HC66">
        <v>0.38470799999999999</v>
      </c>
      <c r="HD66">
        <v>1.19075</v>
      </c>
      <c r="HE66">
        <v>20.160599999999999</v>
      </c>
      <c r="HF66">
        <v>5.2649100000000004</v>
      </c>
      <c r="HG66">
        <v>11.962300000000001</v>
      </c>
      <c r="HH66">
        <v>4.9797000000000002</v>
      </c>
      <c r="HI66">
        <v>3.29793</v>
      </c>
      <c r="HJ66">
        <v>9999</v>
      </c>
      <c r="HK66">
        <v>9999</v>
      </c>
      <c r="HL66">
        <v>9999</v>
      </c>
      <c r="HM66">
        <v>999.9</v>
      </c>
      <c r="HN66">
        <v>1.8638600000000001</v>
      </c>
      <c r="HO66">
        <v>1.8598699999999999</v>
      </c>
      <c r="HP66">
        <v>1.86646</v>
      </c>
      <c r="HQ66">
        <v>1.8631</v>
      </c>
      <c r="HR66">
        <v>1.86174</v>
      </c>
      <c r="HS66">
        <v>1.86188</v>
      </c>
      <c r="HT66">
        <v>1.8631</v>
      </c>
      <c r="HU66">
        <v>1.86432</v>
      </c>
      <c r="HV66">
        <v>0</v>
      </c>
      <c r="HW66">
        <v>0</v>
      </c>
      <c r="HX66">
        <v>0</v>
      </c>
      <c r="HY66">
        <v>0</v>
      </c>
      <c r="HZ66" t="s">
        <v>424</v>
      </c>
      <c r="IA66" t="s">
        <v>425</v>
      </c>
      <c r="IB66" t="s">
        <v>426</v>
      </c>
      <c r="IC66" t="s">
        <v>426</v>
      </c>
      <c r="ID66" t="s">
        <v>426</v>
      </c>
      <c r="IE66" t="s">
        <v>426</v>
      </c>
      <c r="IF66">
        <v>0</v>
      </c>
      <c r="IG66">
        <v>100</v>
      </c>
      <c r="IH66">
        <v>100</v>
      </c>
      <c r="II66">
        <v>-0.27600000000000002</v>
      </c>
      <c r="IJ66">
        <v>0.13500000000000001</v>
      </c>
      <c r="IK66">
        <v>-0.25605335693135223</v>
      </c>
      <c r="IL66">
        <v>-8.3322953065825546E-5</v>
      </c>
      <c r="IM66">
        <v>2.3872336679552741E-7</v>
      </c>
      <c r="IN66">
        <v>-5.428329794194132E-11</v>
      </c>
      <c r="IO66">
        <v>0.14899507518702709</v>
      </c>
      <c r="IP66">
        <v>0</v>
      </c>
      <c r="IQ66">
        <v>0</v>
      </c>
      <c r="IR66">
        <v>0</v>
      </c>
      <c r="IS66">
        <v>2</v>
      </c>
      <c r="IT66">
        <v>2035</v>
      </c>
      <c r="IU66">
        <v>1</v>
      </c>
      <c r="IV66">
        <v>21</v>
      </c>
      <c r="IW66">
        <v>1.7</v>
      </c>
      <c r="IX66">
        <v>1.5</v>
      </c>
      <c r="IY66">
        <v>0.316162</v>
      </c>
      <c r="IZ66">
        <v>2.7294900000000002</v>
      </c>
      <c r="JA66">
        <v>1.4514199999999999</v>
      </c>
      <c r="JB66">
        <v>2.2766099999999998</v>
      </c>
      <c r="JC66">
        <v>1.5942400000000001</v>
      </c>
      <c r="JD66">
        <v>2.32056</v>
      </c>
      <c r="JE66">
        <v>45.318800000000003</v>
      </c>
      <c r="JF66">
        <v>16.005800000000001</v>
      </c>
      <c r="JG66">
        <v>18</v>
      </c>
      <c r="JH66">
        <v>498.92700000000002</v>
      </c>
      <c r="JI66">
        <v>439.94600000000003</v>
      </c>
      <c r="JJ66">
        <v>27.311199999999999</v>
      </c>
      <c r="JK66">
        <v>32.081299999999999</v>
      </c>
      <c r="JL66">
        <v>29.999600000000001</v>
      </c>
      <c r="JM66">
        <v>32.269599999999997</v>
      </c>
      <c r="JN66">
        <v>32.298200000000001</v>
      </c>
      <c r="JO66">
        <v>6.2986899999999997</v>
      </c>
      <c r="JP66">
        <v>23.796399999999998</v>
      </c>
      <c r="JQ66">
        <v>0</v>
      </c>
      <c r="JR66">
        <v>27.293099999999999</v>
      </c>
      <c r="JS66">
        <v>70</v>
      </c>
      <c r="JT66">
        <v>21.021799999999999</v>
      </c>
      <c r="JU66">
        <v>99.294899999999998</v>
      </c>
      <c r="JV66">
        <v>98.648700000000005</v>
      </c>
    </row>
    <row r="67" spans="1:282" x14ac:dyDescent="0.25">
      <c r="A67">
        <v>51</v>
      </c>
      <c r="B67">
        <v>1689009539.5999999</v>
      </c>
      <c r="C67">
        <v>10199</v>
      </c>
      <c r="D67" t="s">
        <v>679</v>
      </c>
      <c r="E67" t="s">
        <v>680</v>
      </c>
      <c r="F67" t="s">
        <v>414</v>
      </c>
      <c r="G67" t="s">
        <v>415</v>
      </c>
      <c r="H67" t="s">
        <v>654</v>
      </c>
      <c r="I67" t="s">
        <v>655</v>
      </c>
      <c r="J67" t="s">
        <v>416</v>
      </c>
      <c r="K67">
        <v>1689009539.5999999</v>
      </c>
      <c r="L67">
        <f t="shared" si="46"/>
        <v>5.6487539809432861E-3</v>
      </c>
      <c r="M67">
        <f t="shared" si="47"/>
        <v>5.6487539809432858</v>
      </c>
      <c r="N67">
        <f t="shared" si="48"/>
        <v>4.2708287305365387</v>
      </c>
      <c r="O67">
        <f t="shared" si="49"/>
        <v>24.8279</v>
      </c>
      <c r="P67">
        <f t="shared" si="50"/>
        <v>4.6665067307922863</v>
      </c>
      <c r="Q67">
        <f t="shared" si="51"/>
        <v>0.4632969900205034</v>
      </c>
      <c r="R67">
        <f t="shared" si="52"/>
        <v>2.4649469082791002</v>
      </c>
      <c r="S67">
        <f t="shared" si="53"/>
        <v>0.36611469257416462</v>
      </c>
      <c r="T67">
        <f t="shared" si="54"/>
        <v>2.91186175231491</v>
      </c>
      <c r="U67">
        <f t="shared" si="55"/>
        <v>0.34232914098505424</v>
      </c>
      <c r="V67">
        <f t="shared" si="56"/>
        <v>0.2159638471466464</v>
      </c>
      <c r="W67">
        <f t="shared" si="57"/>
        <v>289.5642960126994</v>
      </c>
      <c r="X67">
        <f t="shared" si="58"/>
        <v>29.775392307741392</v>
      </c>
      <c r="Y67">
        <f t="shared" si="59"/>
        <v>30.1252</v>
      </c>
      <c r="Z67">
        <f t="shared" si="60"/>
        <v>4.2911844880787919</v>
      </c>
      <c r="AA67">
        <f t="shared" si="61"/>
        <v>65.347043296755487</v>
      </c>
      <c r="AB67">
        <f t="shared" si="62"/>
        <v>2.7107178382185997</v>
      </c>
      <c r="AC67">
        <f t="shared" si="63"/>
        <v>4.1481874335287463</v>
      </c>
      <c r="AD67">
        <f t="shared" si="64"/>
        <v>1.5804666498601923</v>
      </c>
      <c r="AE67">
        <f t="shared" si="65"/>
        <v>-249.1100505595989</v>
      </c>
      <c r="AF67">
        <f t="shared" si="66"/>
        <v>-92.510842563018969</v>
      </c>
      <c r="AG67">
        <f t="shared" si="67"/>
        <v>-7.0523289169202776</v>
      </c>
      <c r="AH67">
        <f t="shared" si="68"/>
        <v>-59.108926026838731</v>
      </c>
      <c r="AI67">
        <v>0</v>
      </c>
      <c r="AJ67">
        <v>0</v>
      </c>
      <c r="AK67">
        <f t="shared" si="69"/>
        <v>1</v>
      </c>
      <c r="AL67">
        <f t="shared" si="70"/>
        <v>0</v>
      </c>
      <c r="AM67">
        <f t="shared" si="71"/>
        <v>51911.016934555511</v>
      </c>
      <c r="AN67" t="s">
        <v>418</v>
      </c>
      <c r="AO67">
        <v>8197.4</v>
      </c>
      <c r="AP67">
        <v>619.92999999999995</v>
      </c>
      <c r="AQ67">
        <v>3131.443117258741</v>
      </c>
      <c r="AR67">
        <f t="shared" si="72"/>
        <v>0.80203057287443702</v>
      </c>
      <c r="AS67">
        <v>-1.0448500102641549</v>
      </c>
      <c r="AT67" t="s">
        <v>681</v>
      </c>
      <c r="AU67">
        <v>8198.2199999999993</v>
      </c>
      <c r="AV67">
        <v>779.58551999999997</v>
      </c>
      <c r="AW67">
        <v>846.20876052904066</v>
      </c>
      <c r="AX67">
        <f t="shared" si="73"/>
        <v>7.8731447411852118E-2</v>
      </c>
      <c r="AY67">
        <v>0.5</v>
      </c>
      <c r="AZ67">
        <f t="shared" si="74"/>
        <v>1513.1760000065799</v>
      </c>
      <c r="BA67">
        <f t="shared" si="75"/>
        <v>4.2708287305365387</v>
      </c>
      <c r="BB67">
        <f t="shared" si="76"/>
        <v>59.567268334697395</v>
      </c>
      <c r="BC67">
        <f t="shared" si="77"/>
        <v>3.5129282653026343E-3</v>
      </c>
      <c r="BD67">
        <f t="shared" si="78"/>
        <v>2.7005562496197704</v>
      </c>
      <c r="BE67">
        <f t="shared" si="79"/>
        <v>403.96120247108405</v>
      </c>
      <c r="BF67" t="s">
        <v>682</v>
      </c>
      <c r="BG67">
        <v>656.13</v>
      </c>
      <c r="BH67">
        <f t="shared" si="80"/>
        <v>656.13</v>
      </c>
      <c r="BI67">
        <f t="shared" si="81"/>
        <v>0.22462395734381835</v>
      </c>
      <c r="BJ67">
        <f t="shared" si="82"/>
        <v>0.35050334052900056</v>
      </c>
      <c r="BK67">
        <f t="shared" si="83"/>
        <v>0.92321021562737027</v>
      </c>
      <c r="BL67">
        <f t="shared" si="84"/>
        <v>0.29442993400385997</v>
      </c>
      <c r="BM67">
        <f t="shared" si="85"/>
        <v>0.9099034128175213</v>
      </c>
      <c r="BN67">
        <f t="shared" si="86"/>
        <v>0.29499747099111479</v>
      </c>
      <c r="BO67">
        <f t="shared" si="87"/>
        <v>0.70500252900888527</v>
      </c>
      <c r="BP67">
        <v>13670</v>
      </c>
      <c r="BQ67">
        <v>290.00000000000011</v>
      </c>
      <c r="BR67">
        <v>825.02</v>
      </c>
      <c r="BS67">
        <v>165</v>
      </c>
      <c r="BT67">
        <v>8198.2199999999993</v>
      </c>
      <c r="BU67">
        <v>823.38</v>
      </c>
      <c r="BV67">
        <v>1.64</v>
      </c>
      <c r="BW67">
        <v>300.00000000000011</v>
      </c>
      <c r="BX67">
        <v>19.3</v>
      </c>
      <c r="BY67">
        <v>846.20876052904066</v>
      </c>
      <c r="BZ67">
        <v>2.6625964236514741</v>
      </c>
      <c r="CA67">
        <v>-18.717905044923072</v>
      </c>
      <c r="CB67">
        <v>2.0024365003824021</v>
      </c>
      <c r="CC67">
        <v>0.75731725028772057</v>
      </c>
      <c r="CD67">
        <v>-4.2392969966629701E-3</v>
      </c>
      <c r="CE67">
        <v>289.99999999999989</v>
      </c>
      <c r="CF67">
        <v>821.96</v>
      </c>
      <c r="CG67">
        <v>665</v>
      </c>
      <c r="CH67">
        <v>8178.75</v>
      </c>
      <c r="CI67">
        <v>823.32</v>
      </c>
      <c r="CJ67">
        <v>-1.36</v>
      </c>
      <c r="CX67">
        <f t="shared" si="88"/>
        <v>1799.99</v>
      </c>
      <c r="CY67">
        <f t="shared" si="89"/>
        <v>1513.1760000065799</v>
      </c>
      <c r="CZ67">
        <f t="shared" si="90"/>
        <v>0.84065800365923138</v>
      </c>
      <c r="DA67">
        <f t="shared" si="91"/>
        <v>0.16086994706231669</v>
      </c>
      <c r="DB67">
        <v>6</v>
      </c>
      <c r="DC67">
        <v>0.5</v>
      </c>
      <c r="DD67" t="s">
        <v>421</v>
      </c>
      <c r="DE67">
        <v>2</v>
      </c>
      <c r="DF67">
        <v>1689009539.5999999</v>
      </c>
      <c r="DG67">
        <v>24.8279</v>
      </c>
      <c r="DH67">
        <v>30.119</v>
      </c>
      <c r="DI67">
        <v>27.3034</v>
      </c>
      <c r="DJ67">
        <v>20.712700000000002</v>
      </c>
      <c r="DK67">
        <v>24.991299999999999</v>
      </c>
      <c r="DL67">
        <v>27.148199999999999</v>
      </c>
      <c r="DM67">
        <v>500.20699999999999</v>
      </c>
      <c r="DN67">
        <v>99.181100000000001</v>
      </c>
      <c r="DO67">
        <v>0.100229</v>
      </c>
      <c r="DP67">
        <v>29.535900000000002</v>
      </c>
      <c r="DQ67">
        <v>30.1252</v>
      </c>
      <c r="DR67">
        <v>999.9</v>
      </c>
      <c r="DS67">
        <v>0</v>
      </c>
      <c r="DT67">
        <v>0</v>
      </c>
      <c r="DU67">
        <v>9981.25</v>
      </c>
      <c r="DV67">
        <v>0</v>
      </c>
      <c r="DW67">
        <v>2057.54</v>
      </c>
      <c r="DX67">
        <v>-5.2910899999999996</v>
      </c>
      <c r="DY67">
        <v>25.524799999999999</v>
      </c>
      <c r="DZ67">
        <v>30.756</v>
      </c>
      <c r="EA67">
        <v>6.5907299999999998</v>
      </c>
      <c r="EB67">
        <v>30.119</v>
      </c>
      <c r="EC67">
        <v>20.712700000000002</v>
      </c>
      <c r="ED67">
        <v>2.7079800000000001</v>
      </c>
      <c r="EE67">
        <v>2.0543100000000001</v>
      </c>
      <c r="EF67">
        <v>22.333600000000001</v>
      </c>
      <c r="EG67">
        <v>17.869199999999999</v>
      </c>
      <c r="EH67">
        <v>1799.99</v>
      </c>
      <c r="EI67">
        <v>0.97800500000000001</v>
      </c>
      <c r="EJ67">
        <v>2.1995399999999998E-2</v>
      </c>
      <c r="EK67">
        <v>0</v>
      </c>
      <c r="EL67">
        <v>779.58600000000001</v>
      </c>
      <c r="EM67">
        <v>4.9999900000000004</v>
      </c>
      <c r="EN67">
        <v>19909.599999999999</v>
      </c>
      <c r="EO67">
        <v>15863.8</v>
      </c>
      <c r="EP67">
        <v>46.686999999999998</v>
      </c>
      <c r="EQ67">
        <v>47.375</v>
      </c>
      <c r="ER67">
        <v>47.061999999999998</v>
      </c>
      <c r="ES67">
        <v>47.25</v>
      </c>
      <c r="ET67">
        <v>48.436999999999998</v>
      </c>
      <c r="EU67">
        <v>1755.51</v>
      </c>
      <c r="EV67">
        <v>39.479999999999997</v>
      </c>
      <c r="EW67">
        <v>0</v>
      </c>
      <c r="EX67">
        <v>162.60000014305109</v>
      </c>
      <c r="EY67">
        <v>0</v>
      </c>
      <c r="EZ67">
        <v>779.58551999999997</v>
      </c>
      <c r="FA67">
        <v>-2.0569230734282602</v>
      </c>
      <c r="FB67">
        <v>-73.530768618413774</v>
      </c>
      <c r="FC67">
        <v>19916.583999999999</v>
      </c>
      <c r="FD67">
        <v>15</v>
      </c>
      <c r="FE67">
        <v>1689009505.5999999</v>
      </c>
      <c r="FF67" t="s">
        <v>683</v>
      </c>
      <c r="FG67">
        <v>1689009505.5999999</v>
      </c>
      <c r="FH67">
        <v>1689009504.0999999</v>
      </c>
      <c r="FI67">
        <v>56</v>
      </c>
      <c r="FJ67">
        <v>0.11</v>
      </c>
      <c r="FK67">
        <v>4.0000000000000001E-3</v>
      </c>
      <c r="FL67">
        <v>-0.16400000000000001</v>
      </c>
      <c r="FM67">
        <v>0.13600000000000001</v>
      </c>
      <c r="FN67">
        <v>30</v>
      </c>
      <c r="FO67">
        <v>21</v>
      </c>
      <c r="FP67">
        <v>0.26</v>
      </c>
      <c r="FQ67">
        <v>0.02</v>
      </c>
      <c r="FR67">
        <v>4.2773726907818617</v>
      </c>
      <c r="FS67">
        <v>-0.38943502840377081</v>
      </c>
      <c r="FT67">
        <v>5.8736963505152957E-2</v>
      </c>
      <c r="FU67">
        <v>1</v>
      </c>
      <c r="FV67">
        <v>0.36755182448663359</v>
      </c>
      <c r="FW67">
        <v>-9.5351461072340528E-3</v>
      </c>
      <c r="FX67">
        <v>1.1712739876250391E-3</v>
      </c>
      <c r="FY67">
        <v>1</v>
      </c>
      <c r="FZ67">
        <v>2</v>
      </c>
      <c r="GA67">
        <v>2</v>
      </c>
      <c r="GB67" t="s">
        <v>423</v>
      </c>
      <c r="GC67">
        <v>2.96035</v>
      </c>
      <c r="GD67">
        <v>2.7433000000000001</v>
      </c>
      <c r="GE67">
        <v>6.9592600000000001E-3</v>
      </c>
      <c r="GF67">
        <v>8.3546200000000001E-3</v>
      </c>
      <c r="GG67">
        <v>0.126835</v>
      </c>
      <c r="GH67">
        <v>0.10412299999999999</v>
      </c>
      <c r="GI67">
        <v>23398.400000000001</v>
      </c>
      <c r="GJ67">
        <v>21765.9</v>
      </c>
      <c r="GK67">
        <v>23489.1</v>
      </c>
      <c r="GL67">
        <v>21993</v>
      </c>
      <c r="GM67">
        <v>28912.9</v>
      </c>
      <c r="GN67">
        <v>27479.9</v>
      </c>
      <c r="GO67">
        <v>37066.300000000003</v>
      </c>
      <c r="GP67">
        <v>34212.300000000003</v>
      </c>
      <c r="GQ67">
        <v>1.9978499999999999</v>
      </c>
      <c r="GR67">
        <v>1.8506</v>
      </c>
      <c r="GS67">
        <v>0.109859</v>
      </c>
      <c r="GT67">
        <v>0</v>
      </c>
      <c r="GU67">
        <v>28.3352</v>
      </c>
      <c r="GV67">
        <v>999.9</v>
      </c>
      <c r="GW67">
        <v>29.5</v>
      </c>
      <c r="GX67">
        <v>44</v>
      </c>
      <c r="GY67">
        <v>27.220300000000002</v>
      </c>
      <c r="GZ67">
        <v>60.319699999999997</v>
      </c>
      <c r="HA67">
        <v>38.818100000000001</v>
      </c>
      <c r="HB67">
        <v>1</v>
      </c>
      <c r="HC67">
        <v>0.36512699999999998</v>
      </c>
      <c r="HD67">
        <v>2.5253199999999998</v>
      </c>
      <c r="HE67">
        <v>20.1435</v>
      </c>
      <c r="HF67">
        <v>5.26431</v>
      </c>
      <c r="HG67">
        <v>11.962199999999999</v>
      </c>
      <c r="HH67">
        <v>4.9795999999999996</v>
      </c>
      <c r="HI67">
        <v>3.2976700000000001</v>
      </c>
      <c r="HJ67">
        <v>9999</v>
      </c>
      <c r="HK67">
        <v>9999</v>
      </c>
      <c r="HL67">
        <v>9999</v>
      </c>
      <c r="HM67">
        <v>999.9</v>
      </c>
      <c r="HN67">
        <v>1.8638600000000001</v>
      </c>
      <c r="HO67">
        <v>1.85985</v>
      </c>
      <c r="HP67">
        <v>1.86646</v>
      </c>
      <c r="HQ67">
        <v>1.8631</v>
      </c>
      <c r="HR67">
        <v>1.86175</v>
      </c>
      <c r="HS67">
        <v>1.86185</v>
      </c>
      <c r="HT67">
        <v>1.8631</v>
      </c>
      <c r="HU67">
        <v>1.86432</v>
      </c>
      <c r="HV67">
        <v>0</v>
      </c>
      <c r="HW67">
        <v>0</v>
      </c>
      <c r="HX67">
        <v>0</v>
      </c>
      <c r="HY67">
        <v>0</v>
      </c>
      <c r="HZ67" t="s">
        <v>424</v>
      </c>
      <c r="IA67" t="s">
        <v>425</v>
      </c>
      <c r="IB67" t="s">
        <v>426</v>
      </c>
      <c r="IC67" t="s">
        <v>426</v>
      </c>
      <c r="ID67" t="s">
        <v>426</v>
      </c>
      <c r="IE67" t="s">
        <v>426</v>
      </c>
      <c r="IF67">
        <v>0</v>
      </c>
      <c r="IG67">
        <v>100</v>
      </c>
      <c r="IH67">
        <v>100</v>
      </c>
      <c r="II67">
        <v>-0.16300000000000001</v>
      </c>
      <c r="IJ67">
        <v>0.1552</v>
      </c>
      <c r="IK67">
        <v>-0.16145150655650251</v>
      </c>
      <c r="IL67">
        <v>-8.3322953065825546E-5</v>
      </c>
      <c r="IM67">
        <v>2.3872336679552741E-7</v>
      </c>
      <c r="IN67">
        <v>-5.428329794194132E-11</v>
      </c>
      <c r="IO67">
        <v>0.15521877529582359</v>
      </c>
      <c r="IP67">
        <v>0</v>
      </c>
      <c r="IQ67">
        <v>0</v>
      </c>
      <c r="IR67">
        <v>0</v>
      </c>
      <c r="IS67">
        <v>2</v>
      </c>
      <c r="IT67">
        <v>2035</v>
      </c>
      <c r="IU67">
        <v>1</v>
      </c>
      <c r="IV67">
        <v>21</v>
      </c>
      <c r="IW67">
        <v>0.6</v>
      </c>
      <c r="IX67">
        <v>0.6</v>
      </c>
      <c r="IY67">
        <v>0.220947</v>
      </c>
      <c r="IZ67">
        <v>2.7441399999999998</v>
      </c>
      <c r="JA67">
        <v>1.4514199999999999</v>
      </c>
      <c r="JB67">
        <v>2.2766099999999998</v>
      </c>
      <c r="JC67">
        <v>1.5942400000000001</v>
      </c>
      <c r="JD67">
        <v>2.4218799999999998</v>
      </c>
      <c r="JE67">
        <v>44.950400000000002</v>
      </c>
      <c r="JF67">
        <v>15.9795</v>
      </c>
      <c r="JG67">
        <v>18</v>
      </c>
      <c r="JH67">
        <v>498.89400000000001</v>
      </c>
      <c r="JI67">
        <v>441.32299999999998</v>
      </c>
      <c r="JJ67">
        <v>26.870699999999999</v>
      </c>
      <c r="JK67">
        <v>31.824100000000001</v>
      </c>
      <c r="JL67">
        <v>30.000499999999999</v>
      </c>
      <c r="JM67">
        <v>32.002499999999998</v>
      </c>
      <c r="JN67">
        <v>32.035499999999999</v>
      </c>
      <c r="JO67">
        <v>4.3850199999999999</v>
      </c>
      <c r="JP67">
        <v>24.637499999999999</v>
      </c>
      <c r="JQ67">
        <v>0</v>
      </c>
      <c r="JR67">
        <v>26.767099999999999</v>
      </c>
      <c r="JS67">
        <v>30</v>
      </c>
      <c r="JT67">
        <v>20.5594</v>
      </c>
      <c r="JU67">
        <v>99.343999999999994</v>
      </c>
      <c r="JV67">
        <v>98.6965</v>
      </c>
    </row>
    <row r="68" spans="1:282" x14ac:dyDescent="0.25">
      <c r="A68">
        <v>52</v>
      </c>
      <c r="B68">
        <v>1689009639.0999999</v>
      </c>
      <c r="C68">
        <v>10298.5</v>
      </c>
      <c r="D68" t="s">
        <v>684</v>
      </c>
      <c r="E68" t="s">
        <v>685</v>
      </c>
      <c r="F68" t="s">
        <v>414</v>
      </c>
      <c r="G68" t="s">
        <v>415</v>
      </c>
      <c r="H68" t="s">
        <v>654</v>
      </c>
      <c r="I68" t="s">
        <v>655</v>
      </c>
      <c r="J68" t="s">
        <v>416</v>
      </c>
      <c r="K68">
        <v>1689009639.0999999</v>
      </c>
      <c r="L68">
        <f t="shared" si="46"/>
        <v>5.8592036116207283E-3</v>
      </c>
      <c r="M68">
        <f t="shared" si="47"/>
        <v>5.8592036116207282</v>
      </c>
      <c r="N68">
        <f t="shared" si="48"/>
        <v>1.4064556973784152</v>
      </c>
      <c r="O68">
        <f t="shared" si="49"/>
        <v>8.2301699999999993</v>
      </c>
      <c r="P68">
        <f t="shared" si="50"/>
        <v>1.8979355284690513</v>
      </c>
      <c r="Q68">
        <f t="shared" si="51"/>
        <v>0.18842574221726727</v>
      </c>
      <c r="R68">
        <f t="shared" si="52"/>
        <v>0.81708565310182191</v>
      </c>
      <c r="S68">
        <f t="shared" si="53"/>
        <v>0.38560747585082611</v>
      </c>
      <c r="T68">
        <f t="shared" si="54"/>
        <v>2.9139102963831989</v>
      </c>
      <c r="U68">
        <f t="shared" si="55"/>
        <v>0.35933634467987174</v>
      </c>
      <c r="V68">
        <f t="shared" si="56"/>
        <v>0.22679624705634799</v>
      </c>
      <c r="W68">
        <f t="shared" si="57"/>
        <v>289.60274101270744</v>
      </c>
      <c r="X68">
        <f t="shared" si="58"/>
        <v>29.336005604345317</v>
      </c>
      <c r="Y68">
        <f t="shared" si="59"/>
        <v>29.817</v>
      </c>
      <c r="Z68">
        <f t="shared" si="60"/>
        <v>4.2158712038645181</v>
      </c>
      <c r="AA68">
        <f t="shared" si="61"/>
        <v>65.39274555138833</v>
      </c>
      <c r="AB68">
        <f t="shared" si="62"/>
        <v>2.6530610333651197</v>
      </c>
      <c r="AC68">
        <f t="shared" si="63"/>
        <v>4.0571182797031122</v>
      </c>
      <c r="AD68">
        <f t="shared" si="64"/>
        <v>1.5628101704993984</v>
      </c>
      <c r="AE68">
        <f t="shared" si="65"/>
        <v>-258.39087927247414</v>
      </c>
      <c r="AF68">
        <f t="shared" si="66"/>
        <v>-104.57796302490553</v>
      </c>
      <c r="AG68">
        <f t="shared" si="67"/>
        <v>-7.9393254026716304</v>
      </c>
      <c r="AH68">
        <f t="shared" si="68"/>
        <v>-81.305426687343839</v>
      </c>
      <c r="AI68">
        <v>0</v>
      </c>
      <c r="AJ68">
        <v>0</v>
      </c>
      <c r="AK68">
        <f t="shared" si="69"/>
        <v>1</v>
      </c>
      <c r="AL68">
        <f t="shared" si="70"/>
        <v>0</v>
      </c>
      <c r="AM68">
        <f t="shared" si="71"/>
        <v>52035.505019401346</v>
      </c>
      <c r="AN68" t="s">
        <v>418</v>
      </c>
      <c r="AO68">
        <v>8197.4</v>
      </c>
      <c r="AP68">
        <v>619.92999999999995</v>
      </c>
      <c r="AQ68">
        <v>3131.443117258741</v>
      </c>
      <c r="AR68">
        <f t="shared" si="72"/>
        <v>0.80203057287443702</v>
      </c>
      <c r="AS68">
        <v>-1.0448500102641549</v>
      </c>
      <c r="AT68" t="s">
        <v>686</v>
      </c>
      <c r="AU68">
        <v>8206.3799999999992</v>
      </c>
      <c r="AV68">
        <v>787.36475999999993</v>
      </c>
      <c r="AW68">
        <v>850.2179227054105</v>
      </c>
      <c r="AX68">
        <f t="shared" si="73"/>
        <v>7.3925944192531845E-2</v>
      </c>
      <c r="AY68">
        <v>0.5</v>
      </c>
      <c r="AZ68">
        <f t="shared" si="74"/>
        <v>1513.3701000065842</v>
      </c>
      <c r="BA68">
        <f t="shared" si="75"/>
        <v>1.4064556973784152</v>
      </c>
      <c r="BB68">
        <f t="shared" si="76"/>
        <v>55.938656777866541</v>
      </c>
      <c r="BC68">
        <f t="shared" si="77"/>
        <v>1.6197661812083542E-3</v>
      </c>
      <c r="BD68">
        <f t="shared" si="78"/>
        <v>2.6831064526309047</v>
      </c>
      <c r="BE68">
        <f t="shared" si="79"/>
        <v>404.87259168729742</v>
      </c>
      <c r="BF68" t="s">
        <v>687</v>
      </c>
      <c r="BG68">
        <v>665.29</v>
      </c>
      <c r="BH68">
        <f t="shared" si="80"/>
        <v>665.29</v>
      </c>
      <c r="BI68">
        <f t="shared" si="81"/>
        <v>0.21750649776585063</v>
      </c>
      <c r="BJ68">
        <f t="shared" si="82"/>
        <v>0.33987924476681336</v>
      </c>
      <c r="BK68">
        <f t="shared" si="83"/>
        <v>0.92501360868015869</v>
      </c>
      <c r="BL68">
        <f t="shared" si="84"/>
        <v>0.27293295265776374</v>
      </c>
      <c r="BM68">
        <f t="shared" si="85"/>
        <v>0.90830709936455978</v>
      </c>
      <c r="BN68">
        <f t="shared" si="86"/>
        <v>0.28718362090641864</v>
      </c>
      <c r="BO68">
        <f t="shared" si="87"/>
        <v>0.71281637909358131</v>
      </c>
      <c r="BP68">
        <v>13672</v>
      </c>
      <c r="BQ68">
        <v>290.00000000000011</v>
      </c>
      <c r="BR68">
        <v>824.91</v>
      </c>
      <c r="BS68">
        <v>85</v>
      </c>
      <c r="BT68">
        <v>8206.3799999999992</v>
      </c>
      <c r="BU68">
        <v>824.2</v>
      </c>
      <c r="BV68">
        <v>0.71</v>
      </c>
      <c r="BW68">
        <v>300.00000000000011</v>
      </c>
      <c r="BX68">
        <v>19.3</v>
      </c>
      <c r="BY68">
        <v>850.2179227054105</v>
      </c>
      <c r="BZ68">
        <v>2.6471901728351259</v>
      </c>
      <c r="CA68">
        <v>-21.354329736663011</v>
      </c>
      <c r="CB68">
        <v>1.99082754238855</v>
      </c>
      <c r="CC68">
        <v>0.80427076246500562</v>
      </c>
      <c r="CD68">
        <v>-4.2395652947719679E-3</v>
      </c>
      <c r="CE68">
        <v>289.99999999999989</v>
      </c>
      <c r="CF68">
        <v>822.08</v>
      </c>
      <c r="CG68">
        <v>665</v>
      </c>
      <c r="CH68">
        <v>8178.68</v>
      </c>
      <c r="CI68">
        <v>824.11</v>
      </c>
      <c r="CJ68">
        <v>-2.0299999999999998</v>
      </c>
      <c r="CX68">
        <f t="shared" si="88"/>
        <v>1800.22</v>
      </c>
      <c r="CY68">
        <f t="shared" si="89"/>
        <v>1513.3701000065842</v>
      </c>
      <c r="CZ68">
        <f t="shared" si="90"/>
        <v>0.84065841953015974</v>
      </c>
      <c r="DA68">
        <f t="shared" si="91"/>
        <v>0.1608707496932083</v>
      </c>
      <c r="DB68">
        <v>6</v>
      </c>
      <c r="DC68">
        <v>0.5</v>
      </c>
      <c r="DD68" t="s">
        <v>421</v>
      </c>
      <c r="DE68">
        <v>2</v>
      </c>
      <c r="DF68">
        <v>1689009639.0999999</v>
      </c>
      <c r="DG68">
        <v>8.2301699999999993</v>
      </c>
      <c r="DH68">
        <v>9.9752600000000005</v>
      </c>
      <c r="DI68">
        <v>26.723199999999999</v>
      </c>
      <c r="DJ68">
        <v>19.882100000000001</v>
      </c>
      <c r="DK68">
        <v>8.4441699999999997</v>
      </c>
      <c r="DL68">
        <v>26.6112</v>
      </c>
      <c r="DM68">
        <v>500.15</v>
      </c>
      <c r="DN68">
        <v>99.179400000000001</v>
      </c>
      <c r="DO68">
        <v>9.9916599999999994E-2</v>
      </c>
      <c r="DP68">
        <v>29.151299999999999</v>
      </c>
      <c r="DQ68">
        <v>29.817</v>
      </c>
      <c r="DR68">
        <v>999.9</v>
      </c>
      <c r="DS68">
        <v>0</v>
      </c>
      <c r="DT68">
        <v>0</v>
      </c>
      <c r="DU68">
        <v>9993.1200000000008</v>
      </c>
      <c r="DV68">
        <v>0</v>
      </c>
      <c r="DW68">
        <v>539.63400000000001</v>
      </c>
      <c r="DX68">
        <v>-1.6932199999999999</v>
      </c>
      <c r="DY68">
        <v>8.5098099999999999</v>
      </c>
      <c r="DZ68">
        <v>10.1776</v>
      </c>
      <c r="EA68">
        <v>6.8843399999999999</v>
      </c>
      <c r="EB68">
        <v>9.9752600000000005</v>
      </c>
      <c r="EC68">
        <v>19.882100000000001</v>
      </c>
      <c r="ED68">
        <v>2.6546799999999999</v>
      </c>
      <c r="EE68">
        <v>1.9718899999999999</v>
      </c>
      <c r="EF68">
        <v>22.007200000000001</v>
      </c>
      <c r="EG68">
        <v>17.220400000000001</v>
      </c>
      <c r="EH68">
        <v>1800.22</v>
      </c>
      <c r="EI68">
        <v>0.977993</v>
      </c>
      <c r="EJ68">
        <v>2.2006999999999999E-2</v>
      </c>
      <c r="EK68">
        <v>0</v>
      </c>
      <c r="EL68">
        <v>787.05</v>
      </c>
      <c r="EM68">
        <v>4.9999900000000004</v>
      </c>
      <c r="EN68">
        <v>16275.1</v>
      </c>
      <c r="EO68">
        <v>15865.7</v>
      </c>
      <c r="EP68">
        <v>46.686999999999998</v>
      </c>
      <c r="EQ68">
        <v>47.561999999999998</v>
      </c>
      <c r="ER68">
        <v>47.125</v>
      </c>
      <c r="ES68">
        <v>47.436999999999998</v>
      </c>
      <c r="ET68">
        <v>48.5</v>
      </c>
      <c r="EU68">
        <v>1755.71</v>
      </c>
      <c r="EV68">
        <v>39.51</v>
      </c>
      <c r="EW68">
        <v>0</v>
      </c>
      <c r="EX68">
        <v>97.399999856948853</v>
      </c>
      <c r="EY68">
        <v>0</v>
      </c>
      <c r="EZ68">
        <v>787.36475999999993</v>
      </c>
      <c r="FA68">
        <v>-0.45176922500937311</v>
      </c>
      <c r="FB68">
        <v>-27.06923069975938</v>
      </c>
      <c r="FC68">
        <v>16278.868</v>
      </c>
      <c r="FD68">
        <v>15</v>
      </c>
      <c r="FE68">
        <v>1689009673.0999999</v>
      </c>
      <c r="FF68" t="s">
        <v>688</v>
      </c>
      <c r="FG68">
        <v>1689009662.0999999</v>
      </c>
      <c r="FH68">
        <v>1689009673.0999999</v>
      </c>
      <c r="FI68">
        <v>57</v>
      </c>
      <c r="FJ68">
        <v>-5.1999999999999998E-2</v>
      </c>
      <c r="FK68">
        <v>2E-3</v>
      </c>
      <c r="FL68">
        <v>-0.214</v>
      </c>
      <c r="FM68">
        <v>0.112</v>
      </c>
      <c r="FN68">
        <v>10</v>
      </c>
      <c r="FO68">
        <v>20</v>
      </c>
      <c r="FP68">
        <v>0.19</v>
      </c>
      <c r="FQ68">
        <v>0.01</v>
      </c>
      <c r="FR68">
        <v>1.393777845331607</v>
      </c>
      <c r="FS68">
        <v>1.8960243212823469E-2</v>
      </c>
      <c r="FT68">
        <v>1.527223745483984E-2</v>
      </c>
      <c r="FU68">
        <v>1</v>
      </c>
      <c r="FV68">
        <v>0.39208121590805112</v>
      </c>
      <c r="FW68">
        <v>-1.236602000223205E-2</v>
      </c>
      <c r="FX68">
        <v>9.5732936540771194E-4</v>
      </c>
      <c r="FY68">
        <v>1</v>
      </c>
      <c r="FZ68">
        <v>2</v>
      </c>
      <c r="GA68">
        <v>2</v>
      </c>
      <c r="GB68" t="s">
        <v>423</v>
      </c>
      <c r="GC68">
        <v>2.9602200000000001</v>
      </c>
      <c r="GD68">
        <v>2.74309</v>
      </c>
      <c r="GE68">
        <v>2.36601E-3</v>
      </c>
      <c r="GF68">
        <v>2.7876200000000002E-3</v>
      </c>
      <c r="GG68">
        <v>0.12509700000000001</v>
      </c>
      <c r="GH68">
        <v>0.101178</v>
      </c>
      <c r="GI68">
        <v>23505.3</v>
      </c>
      <c r="GJ68">
        <v>21886.1</v>
      </c>
      <c r="GK68">
        <v>23488</v>
      </c>
      <c r="GL68">
        <v>21991.200000000001</v>
      </c>
      <c r="GM68">
        <v>28970.6</v>
      </c>
      <c r="GN68">
        <v>27569.599999999999</v>
      </c>
      <c r="GO68">
        <v>37065.199999999997</v>
      </c>
      <c r="GP68">
        <v>34210.300000000003</v>
      </c>
      <c r="GQ68">
        <v>1.99898</v>
      </c>
      <c r="GR68">
        <v>1.8494200000000001</v>
      </c>
      <c r="GS68">
        <v>8.0280000000000004E-2</v>
      </c>
      <c r="GT68">
        <v>0</v>
      </c>
      <c r="GU68">
        <v>28.508800000000001</v>
      </c>
      <c r="GV68">
        <v>999.9</v>
      </c>
      <c r="GW68">
        <v>29.6</v>
      </c>
      <c r="GX68">
        <v>43.9</v>
      </c>
      <c r="GY68">
        <v>27.172599999999999</v>
      </c>
      <c r="GZ68">
        <v>60.219700000000003</v>
      </c>
      <c r="HA68">
        <v>39.435099999999998</v>
      </c>
      <c r="HB68">
        <v>1</v>
      </c>
      <c r="HC68">
        <v>0.36661100000000002</v>
      </c>
      <c r="HD68">
        <v>1.34317</v>
      </c>
      <c r="HE68">
        <v>20.159400000000002</v>
      </c>
      <c r="HF68">
        <v>5.26431</v>
      </c>
      <c r="HG68">
        <v>11.9625</v>
      </c>
      <c r="HH68">
        <v>4.9798</v>
      </c>
      <c r="HI68">
        <v>3.298</v>
      </c>
      <c r="HJ68">
        <v>9999</v>
      </c>
      <c r="HK68">
        <v>9999</v>
      </c>
      <c r="HL68">
        <v>9999</v>
      </c>
      <c r="HM68">
        <v>999.9</v>
      </c>
      <c r="HN68">
        <v>1.8638600000000001</v>
      </c>
      <c r="HO68">
        <v>1.8598399999999999</v>
      </c>
      <c r="HP68">
        <v>1.86646</v>
      </c>
      <c r="HQ68">
        <v>1.8631</v>
      </c>
      <c r="HR68">
        <v>1.86182</v>
      </c>
      <c r="HS68">
        <v>1.8618600000000001</v>
      </c>
      <c r="HT68">
        <v>1.8631</v>
      </c>
      <c r="HU68">
        <v>1.8643400000000001</v>
      </c>
      <c r="HV68">
        <v>0</v>
      </c>
      <c r="HW68">
        <v>0</v>
      </c>
      <c r="HX68">
        <v>0</v>
      </c>
      <c r="HY68">
        <v>0</v>
      </c>
      <c r="HZ68" t="s">
        <v>424</v>
      </c>
      <c r="IA68" t="s">
        <v>425</v>
      </c>
      <c r="IB68" t="s">
        <v>426</v>
      </c>
      <c r="IC68" t="s">
        <v>426</v>
      </c>
      <c r="ID68" t="s">
        <v>426</v>
      </c>
      <c r="IE68" t="s">
        <v>426</v>
      </c>
      <c r="IF68">
        <v>0</v>
      </c>
      <c r="IG68">
        <v>100</v>
      </c>
      <c r="IH68">
        <v>100</v>
      </c>
      <c r="II68">
        <v>-0.214</v>
      </c>
      <c r="IJ68">
        <v>0.112</v>
      </c>
      <c r="IK68">
        <v>-0.16145150655650251</v>
      </c>
      <c r="IL68">
        <v>-8.3322953065825546E-5</v>
      </c>
      <c r="IM68">
        <v>2.3872336679552741E-7</v>
      </c>
      <c r="IN68">
        <v>-5.428329794194132E-11</v>
      </c>
      <c r="IO68">
        <v>0.15521877529582359</v>
      </c>
      <c r="IP68">
        <v>0</v>
      </c>
      <c r="IQ68">
        <v>0</v>
      </c>
      <c r="IR68">
        <v>0</v>
      </c>
      <c r="IS68">
        <v>2</v>
      </c>
      <c r="IT68">
        <v>2035</v>
      </c>
      <c r="IU68">
        <v>1</v>
      </c>
      <c r="IV68">
        <v>21</v>
      </c>
      <c r="IW68">
        <v>2.2000000000000002</v>
      </c>
      <c r="IX68">
        <v>2.2000000000000002</v>
      </c>
      <c r="IY68">
        <v>0.17333999999999999</v>
      </c>
      <c r="IZ68">
        <v>2.7661099999999998</v>
      </c>
      <c r="JA68">
        <v>1.4526399999999999</v>
      </c>
      <c r="JB68">
        <v>2.2766099999999998</v>
      </c>
      <c r="JC68">
        <v>1.5942400000000001</v>
      </c>
      <c r="JD68">
        <v>2.36084</v>
      </c>
      <c r="JE68">
        <v>44.950400000000002</v>
      </c>
      <c r="JF68">
        <v>15.970800000000001</v>
      </c>
      <c r="JG68">
        <v>18</v>
      </c>
      <c r="JH68">
        <v>499.34399999999999</v>
      </c>
      <c r="JI68">
        <v>440.26499999999999</v>
      </c>
      <c r="JJ68">
        <v>26.8249</v>
      </c>
      <c r="JK68">
        <v>31.8462</v>
      </c>
      <c r="JL68">
        <v>30</v>
      </c>
      <c r="JM68">
        <v>31.971299999999999</v>
      </c>
      <c r="JN68">
        <v>32.004899999999999</v>
      </c>
      <c r="JO68">
        <v>3.4369200000000002</v>
      </c>
      <c r="JP68">
        <v>28.177800000000001</v>
      </c>
      <c r="JQ68">
        <v>0</v>
      </c>
      <c r="JR68">
        <v>26.923200000000001</v>
      </c>
      <c r="JS68">
        <v>10</v>
      </c>
      <c r="JT68">
        <v>19.8446</v>
      </c>
      <c r="JU68">
        <v>99.340500000000006</v>
      </c>
      <c r="JV68">
        <v>98.689800000000005</v>
      </c>
    </row>
    <row r="69" spans="1:282" x14ac:dyDescent="0.25">
      <c r="A69">
        <v>53</v>
      </c>
      <c r="B69">
        <v>1689009854.0999999</v>
      </c>
      <c r="C69">
        <v>10513.5</v>
      </c>
      <c r="D69" t="s">
        <v>689</v>
      </c>
      <c r="E69" t="s">
        <v>690</v>
      </c>
      <c r="F69" t="s">
        <v>414</v>
      </c>
      <c r="G69" t="s">
        <v>415</v>
      </c>
      <c r="H69" t="s">
        <v>654</v>
      </c>
      <c r="I69" t="s">
        <v>655</v>
      </c>
      <c r="J69" t="s">
        <v>416</v>
      </c>
      <c r="K69">
        <v>1689009854.0999999</v>
      </c>
      <c r="L69">
        <f t="shared" si="46"/>
        <v>5.6502864078704354E-3</v>
      </c>
      <c r="M69">
        <f t="shared" si="47"/>
        <v>5.6502864078704356</v>
      </c>
      <c r="N69">
        <f t="shared" si="48"/>
        <v>46.705701060963023</v>
      </c>
      <c r="O69">
        <f t="shared" si="49"/>
        <v>341.61900000000003</v>
      </c>
      <c r="P69">
        <f t="shared" si="50"/>
        <v>118.59242677344653</v>
      </c>
      <c r="Q69">
        <f t="shared" si="51"/>
        <v>11.773949023515664</v>
      </c>
      <c r="R69">
        <f t="shared" si="52"/>
        <v>33.916201910162705</v>
      </c>
      <c r="S69">
        <f t="shared" si="53"/>
        <v>0.36480075014366004</v>
      </c>
      <c r="T69">
        <f t="shared" si="54"/>
        <v>2.9155763224410354</v>
      </c>
      <c r="U69">
        <f t="shared" si="55"/>
        <v>0.34120771900082913</v>
      </c>
      <c r="V69">
        <f t="shared" si="56"/>
        <v>0.2152472844431875</v>
      </c>
      <c r="W69">
        <f t="shared" si="57"/>
        <v>289.5674880126993</v>
      </c>
      <c r="X69">
        <f t="shared" si="58"/>
        <v>29.590958679815216</v>
      </c>
      <c r="Y69">
        <f t="shared" si="59"/>
        <v>30.038599999999999</v>
      </c>
      <c r="Z69">
        <f t="shared" si="60"/>
        <v>4.2699049697374694</v>
      </c>
      <c r="AA69">
        <f t="shared" si="61"/>
        <v>65.378392088282851</v>
      </c>
      <c r="AB69">
        <f t="shared" si="62"/>
        <v>2.6834205795023802</v>
      </c>
      <c r="AC69">
        <f t="shared" si="63"/>
        <v>4.1044456643700542</v>
      </c>
      <c r="AD69">
        <f t="shared" si="64"/>
        <v>1.5864843902350891</v>
      </c>
      <c r="AE69">
        <f t="shared" si="65"/>
        <v>-249.17763058708621</v>
      </c>
      <c r="AF69">
        <f t="shared" si="66"/>
        <v>-107.90719405242014</v>
      </c>
      <c r="AG69">
        <f t="shared" si="67"/>
        <v>-8.2045544081150936</v>
      </c>
      <c r="AH69">
        <f t="shared" si="68"/>
        <v>-75.721891034922137</v>
      </c>
      <c r="AI69">
        <v>0</v>
      </c>
      <c r="AJ69">
        <v>0</v>
      </c>
      <c r="AK69">
        <f t="shared" si="69"/>
        <v>1</v>
      </c>
      <c r="AL69">
        <f t="shared" si="70"/>
        <v>0</v>
      </c>
      <c r="AM69">
        <f t="shared" si="71"/>
        <v>52048.49869848934</v>
      </c>
      <c r="AN69" t="s">
        <v>418</v>
      </c>
      <c r="AO69">
        <v>8197.4</v>
      </c>
      <c r="AP69">
        <v>619.92999999999995</v>
      </c>
      <c r="AQ69">
        <v>3131.443117258741</v>
      </c>
      <c r="AR69">
        <f t="shared" si="72"/>
        <v>0.80203057287443702</v>
      </c>
      <c r="AS69">
        <v>-1.0448500102641549</v>
      </c>
      <c r="AT69" t="s">
        <v>691</v>
      </c>
      <c r="AU69">
        <v>8190.28</v>
      </c>
      <c r="AV69">
        <v>760.09104000000002</v>
      </c>
      <c r="AW69">
        <v>1128.1948669428409</v>
      </c>
      <c r="AX69">
        <f t="shared" si="73"/>
        <v>0.32627681416449006</v>
      </c>
      <c r="AY69">
        <v>0.5</v>
      </c>
      <c r="AZ69">
        <f t="shared" si="74"/>
        <v>1513.1928000065798</v>
      </c>
      <c r="BA69">
        <f t="shared" si="75"/>
        <v>46.705701060963023</v>
      </c>
      <c r="BB69">
        <f t="shared" si="76"/>
        <v>246.85986300139561</v>
      </c>
      <c r="BC69">
        <f t="shared" si="77"/>
        <v>3.1556157993230964E-2</v>
      </c>
      <c r="BD69">
        <f t="shared" si="78"/>
        <v>1.7756225533486611</v>
      </c>
      <c r="BE69">
        <f t="shared" si="79"/>
        <v>458.69130165515901</v>
      </c>
      <c r="BF69" t="s">
        <v>692</v>
      </c>
      <c r="BG69">
        <v>618.04</v>
      </c>
      <c r="BH69">
        <f t="shared" si="80"/>
        <v>618.04</v>
      </c>
      <c r="BI69">
        <f t="shared" si="81"/>
        <v>0.45218683570618257</v>
      </c>
      <c r="BJ69">
        <f t="shared" si="82"/>
        <v>0.72155310239171777</v>
      </c>
      <c r="BK69">
        <f t="shared" si="83"/>
        <v>0.79702624563494429</v>
      </c>
      <c r="BL69">
        <f t="shared" si="84"/>
        <v>0.72423622186783476</v>
      </c>
      <c r="BM69">
        <f t="shared" si="85"/>
        <v>0.79762603529715959</v>
      </c>
      <c r="BN69">
        <f t="shared" si="86"/>
        <v>0.58670429716179417</v>
      </c>
      <c r="BO69">
        <f t="shared" si="87"/>
        <v>0.41329570283820583</v>
      </c>
      <c r="BP69">
        <v>13674</v>
      </c>
      <c r="BQ69">
        <v>290.00000000000011</v>
      </c>
      <c r="BR69">
        <v>988.47</v>
      </c>
      <c r="BS69">
        <v>285</v>
      </c>
      <c r="BT69">
        <v>8190.28</v>
      </c>
      <c r="BU69">
        <v>991.27</v>
      </c>
      <c r="BV69">
        <v>-2.8</v>
      </c>
      <c r="BW69">
        <v>300.00000000000011</v>
      </c>
      <c r="BX69">
        <v>19.3</v>
      </c>
      <c r="BY69">
        <v>1128.1948669428409</v>
      </c>
      <c r="BZ69">
        <v>5.6795490954611454</v>
      </c>
      <c r="CA69">
        <v>-112.1472233230073</v>
      </c>
      <c r="CB69">
        <v>4.2720335348493137</v>
      </c>
      <c r="CC69">
        <v>0.96095604441875837</v>
      </c>
      <c r="CD69">
        <v>-4.2405490545050061E-3</v>
      </c>
      <c r="CE69">
        <v>289.99999999999989</v>
      </c>
      <c r="CF69">
        <v>978.52</v>
      </c>
      <c r="CG69">
        <v>635</v>
      </c>
      <c r="CH69">
        <v>8180.91</v>
      </c>
      <c r="CI69">
        <v>991.11</v>
      </c>
      <c r="CJ69">
        <v>-12.59</v>
      </c>
      <c r="CX69">
        <f t="shared" si="88"/>
        <v>1800.01</v>
      </c>
      <c r="CY69">
        <f t="shared" si="89"/>
        <v>1513.1928000065798</v>
      </c>
      <c r="CZ69">
        <f t="shared" si="90"/>
        <v>0.84065799634812022</v>
      </c>
      <c r="DA69">
        <f t="shared" si="91"/>
        <v>0.1608699329518721</v>
      </c>
      <c r="DB69">
        <v>6</v>
      </c>
      <c r="DC69">
        <v>0.5</v>
      </c>
      <c r="DD69" t="s">
        <v>421</v>
      </c>
      <c r="DE69">
        <v>2</v>
      </c>
      <c r="DF69">
        <v>1689009854.0999999</v>
      </c>
      <c r="DG69">
        <v>341.61900000000003</v>
      </c>
      <c r="DH69">
        <v>399.97699999999998</v>
      </c>
      <c r="DI69">
        <v>27.028600000000001</v>
      </c>
      <c r="DJ69">
        <v>20.432099999999998</v>
      </c>
      <c r="DK69">
        <v>341.815</v>
      </c>
      <c r="DL69">
        <v>26.863299999999999</v>
      </c>
      <c r="DM69">
        <v>500.04399999999998</v>
      </c>
      <c r="DN69">
        <v>99.180800000000005</v>
      </c>
      <c r="DO69">
        <v>9.9983299999999997E-2</v>
      </c>
      <c r="DP69">
        <v>29.3521</v>
      </c>
      <c r="DQ69">
        <v>30.038599999999999</v>
      </c>
      <c r="DR69">
        <v>999.9</v>
      </c>
      <c r="DS69">
        <v>0</v>
      </c>
      <c r="DT69">
        <v>0</v>
      </c>
      <c r="DU69">
        <v>10002.5</v>
      </c>
      <c r="DV69">
        <v>0</v>
      </c>
      <c r="DW69">
        <v>1966.34</v>
      </c>
      <c r="DX69">
        <v>-58.358400000000003</v>
      </c>
      <c r="DY69">
        <v>351.10899999999998</v>
      </c>
      <c r="DZ69">
        <v>408.32</v>
      </c>
      <c r="EA69">
        <v>6.5965400000000001</v>
      </c>
      <c r="EB69">
        <v>399.97699999999998</v>
      </c>
      <c r="EC69">
        <v>20.432099999999998</v>
      </c>
      <c r="ED69">
        <v>2.68072</v>
      </c>
      <c r="EE69">
        <v>2.0264700000000002</v>
      </c>
      <c r="EF69">
        <v>22.167400000000001</v>
      </c>
      <c r="EG69">
        <v>17.652699999999999</v>
      </c>
      <c r="EH69">
        <v>1800.01</v>
      </c>
      <c r="EI69">
        <v>0.97800500000000001</v>
      </c>
      <c r="EJ69">
        <v>2.1995399999999998E-2</v>
      </c>
      <c r="EK69">
        <v>0</v>
      </c>
      <c r="EL69">
        <v>760.33600000000001</v>
      </c>
      <c r="EM69">
        <v>4.9999900000000004</v>
      </c>
      <c r="EN69">
        <v>19338.3</v>
      </c>
      <c r="EO69">
        <v>15863.9</v>
      </c>
      <c r="EP69">
        <v>46.875</v>
      </c>
      <c r="EQ69">
        <v>48</v>
      </c>
      <c r="ER69">
        <v>47.311999999999998</v>
      </c>
      <c r="ES69">
        <v>47.811999999999998</v>
      </c>
      <c r="ET69">
        <v>48.625</v>
      </c>
      <c r="EU69">
        <v>1755.53</v>
      </c>
      <c r="EV69">
        <v>39.479999999999997</v>
      </c>
      <c r="EW69">
        <v>0</v>
      </c>
      <c r="EX69">
        <v>213.20000004768369</v>
      </c>
      <c r="EY69">
        <v>0</v>
      </c>
      <c r="EZ69">
        <v>760.09104000000002</v>
      </c>
      <c r="FA69">
        <v>1.489153855114395</v>
      </c>
      <c r="FB69">
        <v>-52.56923089724279</v>
      </c>
      <c r="FC69">
        <v>19348.38</v>
      </c>
      <c r="FD69">
        <v>15</v>
      </c>
      <c r="FE69">
        <v>1689009803.0999999</v>
      </c>
      <c r="FF69" t="s">
        <v>693</v>
      </c>
      <c r="FG69">
        <v>1689009793.5999999</v>
      </c>
      <c r="FH69">
        <v>1689009803.0999999</v>
      </c>
      <c r="FI69">
        <v>58</v>
      </c>
      <c r="FJ69">
        <v>0.02</v>
      </c>
      <c r="FK69">
        <v>8.0000000000000002E-3</v>
      </c>
      <c r="FL69">
        <v>-0.192</v>
      </c>
      <c r="FM69">
        <v>0.13500000000000001</v>
      </c>
      <c r="FN69">
        <v>400</v>
      </c>
      <c r="FO69">
        <v>20</v>
      </c>
      <c r="FP69">
        <v>0.04</v>
      </c>
      <c r="FQ69">
        <v>0.02</v>
      </c>
      <c r="FR69">
        <v>46.427310679510633</v>
      </c>
      <c r="FS69">
        <v>1.4908001941765141</v>
      </c>
      <c r="FT69">
        <v>0.1113363908658687</v>
      </c>
      <c r="FU69">
        <v>0</v>
      </c>
      <c r="FV69">
        <v>0.36717030357937003</v>
      </c>
      <c r="FW69">
        <v>-2.1870755063793181E-2</v>
      </c>
      <c r="FX69">
        <v>1.606209682456414E-3</v>
      </c>
      <c r="FY69">
        <v>1</v>
      </c>
      <c r="FZ69">
        <v>1</v>
      </c>
      <c r="GA69">
        <v>2</v>
      </c>
      <c r="GB69" t="s">
        <v>462</v>
      </c>
      <c r="GC69">
        <v>2.9598200000000001</v>
      </c>
      <c r="GD69">
        <v>2.7432300000000001</v>
      </c>
      <c r="GE69">
        <v>7.8914799999999993E-2</v>
      </c>
      <c r="GF69">
        <v>8.9087399999999997E-2</v>
      </c>
      <c r="GG69">
        <v>0.12590999999999999</v>
      </c>
      <c r="GH69">
        <v>0.103133</v>
      </c>
      <c r="GI69">
        <v>21694.3</v>
      </c>
      <c r="GJ69">
        <v>19982.900000000001</v>
      </c>
      <c r="GK69">
        <v>23478.9</v>
      </c>
      <c r="GL69">
        <v>21980.3</v>
      </c>
      <c r="GM69">
        <v>28935.7</v>
      </c>
      <c r="GN69">
        <v>27500.9</v>
      </c>
      <c r="GO69">
        <v>37048.300000000003</v>
      </c>
      <c r="GP69">
        <v>34193.800000000003</v>
      </c>
      <c r="GQ69">
        <v>1.9982200000000001</v>
      </c>
      <c r="GR69">
        <v>1.8513500000000001</v>
      </c>
      <c r="GS69">
        <v>6.5974900000000003E-2</v>
      </c>
      <c r="GT69">
        <v>0</v>
      </c>
      <c r="GU69">
        <v>28.963999999999999</v>
      </c>
      <c r="GV69">
        <v>999.9</v>
      </c>
      <c r="GW69">
        <v>29.7</v>
      </c>
      <c r="GX69">
        <v>43.7</v>
      </c>
      <c r="GY69">
        <v>26.986899999999999</v>
      </c>
      <c r="GZ69">
        <v>60.169699999999999</v>
      </c>
      <c r="HA69">
        <v>39.415100000000002</v>
      </c>
      <c r="HB69">
        <v>1</v>
      </c>
      <c r="HC69">
        <v>0.38825199999999999</v>
      </c>
      <c r="HD69">
        <v>3.58921</v>
      </c>
      <c r="HE69">
        <v>20.122</v>
      </c>
      <c r="HF69">
        <v>5.2647599999999999</v>
      </c>
      <c r="HG69">
        <v>11.9626</v>
      </c>
      <c r="HH69">
        <v>4.9797000000000002</v>
      </c>
      <c r="HI69">
        <v>3.298</v>
      </c>
      <c r="HJ69">
        <v>9999</v>
      </c>
      <c r="HK69">
        <v>9999</v>
      </c>
      <c r="HL69">
        <v>9999</v>
      </c>
      <c r="HM69">
        <v>999.9</v>
      </c>
      <c r="HN69">
        <v>1.8638600000000001</v>
      </c>
      <c r="HO69">
        <v>1.85985</v>
      </c>
      <c r="HP69">
        <v>1.86646</v>
      </c>
      <c r="HQ69">
        <v>1.8631</v>
      </c>
      <c r="HR69">
        <v>1.86182</v>
      </c>
      <c r="HS69">
        <v>1.86185</v>
      </c>
      <c r="HT69">
        <v>1.8631</v>
      </c>
      <c r="HU69">
        <v>1.86432</v>
      </c>
      <c r="HV69">
        <v>0</v>
      </c>
      <c r="HW69">
        <v>0</v>
      </c>
      <c r="HX69">
        <v>0</v>
      </c>
      <c r="HY69">
        <v>0</v>
      </c>
      <c r="HZ69" t="s">
        <v>424</v>
      </c>
      <c r="IA69" t="s">
        <v>425</v>
      </c>
      <c r="IB69" t="s">
        <v>426</v>
      </c>
      <c r="IC69" t="s">
        <v>426</v>
      </c>
      <c r="ID69" t="s">
        <v>426</v>
      </c>
      <c r="IE69" t="s">
        <v>426</v>
      </c>
      <c r="IF69">
        <v>0</v>
      </c>
      <c r="IG69">
        <v>100</v>
      </c>
      <c r="IH69">
        <v>100</v>
      </c>
      <c r="II69">
        <v>-0.19600000000000001</v>
      </c>
      <c r="IJ69">
        <v>0.1653</v>
      </c>
      <c r="IK69">
        <v>-0.19341813975660169</v>
      </c>
      <c r="IL69">
        <v>-8.3322953065825546E-5</v>
      </c>
      <c r="IM69">
        <v>2.3872336679552741E-7</v>
      </c>
      <c r="IN69">
        <v>-5.428329794194132E-11</v>
      </c>
      <c r="IO69">
        <v>0.1653329111798765</v>
      </c>
      <c r="IP69">
        <v>0</v>
      </c>
      <c r="IQ69">
        <v>0</v>
      </c>
      <c r="IR69">
        <v>0</v>
      </c>
      <c r="IS69">
        <v>2</v>
      </c>
      <c r="IT69">
        <v>2035</v>
      </c>
      <c r="IU69">
        <v>1</v>
      </c>
      <c r="IV69">
        <v>21</v>
      </c>
      <c r="IW69">
        <v>1</v>
      </c>
      <c r="IX69">
        <v>0.8</v>
      </c>
      <c r="IY69">
        <v>1.0778799999999999</v>
      </c>
      <c r="IZ69">
        <v>2.7124000000000001</v>
      </c>
      <c r="JA69">
        <v>1.4526399999999999</v>
      </c>
      <c r="JB69">
        <v>2.2766099999999998</v>
      </c>
      <c r="JC69">
        <v>1.5942400000000001</v>
      </c>
      <c r="JD69">
        <v>2.3584000000000001</v>
      </c>
      <c r="JE69">
        <v>44.922199999999997</v>
      </c>
      <c r="JF69">
        <v>15.918200000000001</v>
      </c>
      <c r="JG69">
        <v>18</v>
      </c>
      <c r="JH69">
        <v>499.15</v>
      </c>
      <c r="JI69">
        <v>441.77800000000002</v>
      </c>
      <c r="JJ69">
        <v>25.849299999999999</v>
      </c>
      <c r="JK69">
        <v>31.968399999999999</v>
      </c>
      <c r="JL69">
        <v>30.000900000000001</v>
      </c>
      <c r="JM69">
        <v>32.0047</v>
      </c>
      <c r="JN69">
        <v>32.027999999999999</v>
      </c>
      <c r="JO69">
        <v>21.523299999999999</v>
      </c>
      <c r="JP69">
        <v>26.111999999999998</v>
      </c>
      <c r="JQ69">
        <v>0</v>
      </c>
      <c r="JR69">
        <v>25.825800000000001</v>
      </c>
      <c r="JS69">
        <v>400</v>
      </c>
      <c r="JT69">
        <v>20.371500000000001</v>
      </c>
      <c r="JU69">
        <v>99.298000000000002</v>
      </c>
      <c r="JV69">
        <v>98.6417</v>
      </c>
    </row>
    <row r="70" spans="1:282" x14ac:dyDescent="0.25">
      <c r="A70">
        <v>54</v>
      </c>
      <c r="B70">
        <v>1689010004.0999999</v>
      </c>
      <c r="C70">
        <v>10663.5</v>
      </c>
      <c r="D70" t="s">
        <v>694</v>
      </c>
      <c r="E70" t="s">
        <v>695</v>
      </c>
      <c r="F70" t="s">
        <v>414</v>
      </c>
      <c r="G70" t="s">
        <v>415</v>
      </c>
      <c r="H70" t="s">
        <v>654</v>
      </c>
      <c r="I70" t="s">
        <v>655</v>
      </c>
      <c r="J70" t="s">
        <v>416</v>
      </c>
      <c r="K70">
        <v>1689010004.0999999</v>
      </c>
      <c r="L70">
        <f t="shared" si="46"/>
        <v>5.6301909206775509E-3</v>
      </c>
      <c r="M70">
        <f t="shared" si="47"/>
        <v>5.6301909206775509</v>
      </c>
      <c r="N70">
        <f t="shared" si="48"/>
        <v>50.704932464432552</v>
      </c>
      <c r="O70">
        <f t="shared" si="49"/>
        <v>336.923</v>
      </c>
      <c r="P70">
        <f t="shared" si="50"/>
        <v>92.513144589391672</v>
      </c>
      <c r="Q70">
        <f t="shared" si="51"/>
        <v>9.1847351541199416</v>
      </c>
      <c r="R70">
        <f t="shared" si="52"/>
        <v>33.449825276898004</v>
      </c>
      <c r="S70">
        <f t="shared" si="53"/>
        <v>0.35973478140819992</v>
      </c>
      <c r="T70">
        <f t="shared" si="54"/>
        <v>2.9111853652913511</v>
      </c>
      <c r="U70">
        <f t="shared" si="55"/>
        <v>0.33673808622227858</v>
      </c>
      <c r="V70">
        <f t="shared" si="56"/>
        <v>0.21240483988813114</v>
      </c>
      <c r="W70">
        <f t="shared" si="57"/>
        <v>289.57546801269893</v>
      </c>
      <c r="X70">
        <f t="shared" si="58"/>
        <v>29.5428982322385</v>
      </c>
      <c r="Y70">
        <f t="shared" si="59"/>
        <v>29.969799999999999</v>
      </c>
      <c r="Z70">
        <f t="shared" si="60"/>
        <v>4.2530649107011325</v>
      </c>
      <c r="AA70">
        <f t="shared" si="61"/>
        <v>64.784982944337287</v>
      </c>
      <c r="AB70">
        <f t="shared" si="62"/>
        <v>2.650834344363</v>
      </c>
      <c r="AC70">
        <f t="shared" si="63"/>
        <v>4.0917419807620767</v>
      </c>
      <c r="AD70">
        <f t="shared" si="64"/>
        <v>1.6022305663381324</v>
      </c>
      <c r="AE70">
        <f t="shared" si="65"/>
        <v>-248.29141960187999</v>
      </c>
      <c r="AF70">
        <f t="shared" si="66"/>
        <v>-105.3747699826823</v>
      </c>
      <c r="AG70">
        <f t="shared" si="67"/>
        <v>-8.0192196141585459</v>
      </c>
      <c r="AH70">
        <f t="shared" si="68"/>
        <v>-72.109941186021899</v>
      </c>
      <c r="AI70">
        <v>0</v>
      </c>
      <c r="AJ70">
        <v>0</v>
      </c>
      <c r="AK70">
        <f t="shared" si="69"/>
        <v>1</v>
      </c>
      <c r="AL70">
        <f t="shared" si="70"/>
        <v>0</v>
      </c>
      <c r="AM70">
        <f t="shared" si="71"/>
        <v>51932.494123013836</v>
      </c>
      <c r="AN70" t="s">
        <v>418</v>
      </c>
      <c r="AO70">
        <v>8197.4</v>
      </c>
      <c r="AP70">
        <v>619.92999999999995</v>
      </c>
      <c r="AQ70">
        <v>3131.443117258741</v>
      </c>
      <c r="AR70">
        <f t="shared" si="72"/>
        <v>0.80203057287443702</v>
      </c>
      <c r="AS70">
        <v>-1.0448500102641549</v>
      </c>
      <c r="AT70" t="s">
        <v>696</v>
      </c>
      <c r="AU70">
        <v>8189.2</v>
      </c>
      <c r="AV70">
        <v>787.78655999999989</v>
      </c>
      <c r="AW70">
        <v>1177.873466942161</v>
      </c>
      <c r="AX70">
        <f t="shared" si="73"/>
        <v>0.3311789575792492</v>
      </c>
      <c r="AY70">
        <v>0.5</v>
      </c>
      <c r="AZ70">
        <f t="shared" si="74"/>
        <v>1513.2348000065795</v>
      </c>
      <c r="BA70">
        <f t="shared" si="75"/>
        <v>50.704932464432552</v>
      </c>
      <c r="BB70">
        <f t="shared" si="76"/>
        <v>250.57576181941133</v>
      </c>
      <c r="BC70">
        <f t="shared" si="77"/>
        <v>3.4198118146946996E-2</v>
      </c>
      <c r="BD70">
        <f t="shared" si="78"/>
        <v>1.6585564622558131</v>
      </c>
      <c r="BE70">
        <f t="shared" si="79"/>
        <v>466.6940537189833</v>
      </c>
      <c r="BF70" t="s">
        <v>697</v>
      </c>
      <c r="BG70">
        <v>629.41</v>
      </c>
      <c r="BH70">
        <f t="shared" si="80"/>
        <v>629.41</v>
      </c>
      <c r="BI70">
        <f t="shared" si="81"/>
        <v>0.46563869747911824</v>
      </c>
      <c r="BJ70">
        <f t="shared" si="82"/>
        <v>0.71123589893234995</v>
      </c>
      <c r="BK70">
        <f t="shared" si="83"/>
        <v>0.78079288273247771</v>
      </c>
      <c r="BL70">
        <f t="shared" si="84"/>
        <v>0.69915131201383762</v>
      </c>
      <c r="BM70">
        <f t="shared" si="85"/>
        <v>0.77784568867745207</v>
      </c>
      <c r="BN70">
        <f t="shared" si="86"/>
        <v>0.56824907897262222</v>
      </c>
      <c r="BO70">
        <f t="shared" si="87"/>
        <v>0.43175092102737778</v>
      </c>
      <c r="BP70">
        <v>13676</v>
      </c>
      <c r="BQ70">
        <v>290.00000000000011</v>
      </c>
      <c r="BR70">
        <v>1040.93</v>
      </c>
      <c r="BS70">
        <v>295</v>
      </c>
      <c r="BT70">
        <v>8189.2</v>
      </c>
      <c r="BU70">
        <v>1043.83</v>
      </c>
      <c r="BV70">
        <v>-2.9</v>
      </c>
      <c r="BW70">
        <v>300.00000000000011</v>
      </c>
      <c r="BX70">
        <v>19.3</v>
      </c>
      <c r="BY70">
        <v>1177.873466942161</v>
      </c>
      <c r="BZ70">
        <v>4.5351846165017937</v>
      </c>
      <c r="CA70">
        <v>-109.767806319622</v>
      </c>
      <c r="CB70">
        <v>3.410790015834388</v>
      </c>
      <c r="CC70">
        <v>0.97367714429949825</v>
      </c>
      <c r="CD70">
        <v>-4.2401319243604071E-3</v>
      </c>
      <c r="CE70">
        <v>289.99999999999989</v>
      </c>
      <c r="CF70">
        <v>1036.07</v>
      </c>
      <c r="CG70">
        <v>635</v>
      </c>
      <c r="CH70">
        <v>8179.76</v>
      </c>
      <c r="CI70">
        <v>1043.68</v>
      </c>
      <c r="CJ70">
        <v>-7.61</v>
      </c>
      <c r="CX70">
        <f t="shared" si="88"/>
        <v>1800.06</v>
      </c>
      <c r="CY70">
        <f t="shared" si="89"/>
        <v>1513.2348000065795</v>
      </c>
      <c r="CZ70">
        <f t="shared" si="90"/>
        <v>0.84065797807105291</v>
      </c>
      <c r="DA70">
        <f t="shared" si="91"/>
        <v>0.16086989767713239</v>
      </c>
      <c r="DB70">
        <v>6</v>
      </c>
      <c r="DC70">
        <v>0.5</v>
      </c>
      <c r="DD70" t="s">
        <v>421</v>
      </c>
      <c r="DE70">
        <v>2</v>
      </c>
      <c r="DF70">
        <v>1689010004.0999999</v>
      </c>
      <c r="DG70">
        <v>336.923</v>
      </c>
      <c r="DH70">
        <v>400.01900000000001</v>
      </c>
      <c r="DI70">
        <v>26.700500000000002</v>
      </c>
      <c r="DJ70">
        <v>20.127400000000002</v>
      </c>
      <c r="DK70">
        <v>337.13</v>
      </c>
      <c r="DL70">
        <v>26.538499999999999</v>
      </c>
      <c r="DM70">
        <v>500.20800000000003</v>
      </c>
      <c r="DN70">
        <v>99.18</v>
      </c>
      <c r="DO70">
        <v>0.100326</v>
      </c>
      <c r="DP70">
        <v>29.298400000000001</v>
      </c>
      <c r="DQ70">
        <v>29.969799999999999</v>
      </c>
      <c r="DR70">
        <v>999.9</v>
      </c>
      <c r="DS70">
        <v>0</v>
      </c>
      <c r="DT70">
        <v>0</v>
      </c>
      <c r="DU70">
        <v>9977.5</v>
      </c>
      <c r="DV70">
        <v>0</v>
      </c>
      <c r="DW70">
        <v>1944.43</v>
      </c>
      <c r="DX70">
        <v>-63.095500000000001</v>
      </c>
      <c r="DY70">
        <v>346.166</v>
      </c>
      <c r="DZ70">
        <v>408.23599999999999</v>
      </c>
      <c r="EA70">
        <v>6.5731200000000003</v>
      </c>
      <c r="EB70">
        <v>400.01900000000001</v>
      </c>
      <c r="EC70">
        <v>20.127400000000002</v>
      </c>
      <c r="ED70">
        <v>2.6481599999999998</v>
      </c>
      <c r="EE70">
        <v>1.99624</v>
      </c>
      <c r="EF70">
        <v>21.966899999999999</v>
      </c>
      <c r="EG70">
        <v>17.4145</v>
      </c>
      <c r="EH70">
        <v>1800.06</v>
      </c>
      <c r="EI70">
        <v>0.97800799999999999</v>
      </c>
      <c r="EJ70">
        <v>2.19922E-2</v>
      </c>
      <c r="EK70">
        <v>0</v>
      </c>
      <c r="EL70">
        <v>788.37300000000005</v>
      </c>
      <c r="EM70">
        <v>4.9999900000000004</v>
      </c>
      <c r="EN70">
        <v>19651.400000000001</v>
      </c>
      <c r="EO70">
        <v>15864.4</v>
      </c>
      <c r="EP70">
        <v>47.25</v>
      </c>
      <c r="EQ70">
        <v>48.625</v>
      </c>
      <c r="ER70">
        <v>47.686999999999998</v>
      </c>
      <c r="ES70">
        <v>48.375</v>
      </c>
      <c r="ET70">
        <v>49</v>
      </c>
      <c r="EU70">
        <v>1755.58</v>
      </c>
      <c r="EV70">
        <v>39.479999999999997</v>
      </c>
      <c r="EW70">
        <v>0</v>
      </c>
      <c r="EX70">
        <v>148.20000004768369</v>
      </c>
      <c r="EY70">
        <v>0</v>
      </c>
      <c r="EZ70">
        <v>787.78655999999989</v>
      </c>
      <c r="FA70">
        <v>4.6257692327411988</v>
      </c>
      <c r="FB70">
        <v>-109.676923849546</v>
      </c>
      <c r="FC70">
        <v>19682.671999999999</v>
      </c>
      <c r="FD70">
        <v>15</v>
      </c>
      <c r="FE70">
        <v>1689009926.5999999</v>
      </c>
      <c r="FF70" t="s">
        <v>698</v>
      </c>
      <c r="FG70">
        <v>1689009918.5999999</v>
      </c>
      <c r="FH70">
        <v>1689009926.5999999</v>
      </c>
      <c r="FI70">
        <v>59</v>
      </c>
      <c r="FJ70">
        <v>-0.01</v>
      </c>
      <c r="FK70">
        <v>-3.0000000000000001E-3</v>
      </c>
      <c r="FL70">
        <v>-0.20200000000000001</v>
      </c>
      <c r="FM70">
        <v>0.127</v>
      </c>
      <c r="FN70">
        <v>400</v>
      </c>
      <c r="FO70">
        <v>20</v>
      </c>
      <c r="FP70">
        <v>0.03</v>
      </c>
      <c r="FQ70">
        <v>0.01</v>
      </c>
      <c r="FR70">
        <v>50.621122880044879</v>
      </c>
      <c r="FS70">
        <v>0.62757763471919714</v>
      </c>
      <c r="FT70">
        <v>5.3388974508491442E-2</v>
      </c>
      <c r="FU70">
        <v>1</v>
      </c>
      <c r="FV70">
        <v>0.3602138678155552</v>
      </c>
      <c r="FW70">
        <v>-2.6580015369385948E-3</v>
      </c>
      <c r="FX70">
        <v>3.4017068912161881E-4</v>
      </c>
      <c r="FY70">
        <v>1</v>
      </c>
      <c r="FZ70">
        <v>2</v>
      </c>
      <c r="GA70">
        <v>2</v>
      </c>
      <c r="GB70" t="s">
        <v>423</v>
      </c>
      <c r="GC70">
        <v>2.9598800000000001</v>
      </c>
      <c r="GD70">
        <v>2.74336</v>
      </c>
      <c r="GE70">
        <v>7.80029E-2</v>
      </c>
      <c r="GF70">
        <v>8.9039400000000005E-2</v>
      </c>
      <c r="GG70">
        <v>0.124781</v>
      </c>
      <c r="GH70">
        <v>0.101996</v>
      </c>
      <c r="GI70">
        <v>21697</v>
      </c>
      <c r="GJ70">
        <v>19965</v>
      </c>
      <c r="GK70">
        <v>23459.9</v>
      </c>
      <c r="GL70">
        <v>21960.6</v>
      </c>
      <c r="GM70">
        <v>28951.5</v>
      </c>
      <c r="GN70">
        <v>27513.8</v>
      </c>
      <c r="GO70">
        <v>37017.5</v>
      </c>
      <c r="GP70">
        <v>34165.4</v>
      </c>
      <c r="GQ70">
        <v>1.9956499999999999</v>
      </c>
      <c r="GR70">
        <v>1.8450800000000001</v>
      </c>
      <c r="GS70">
        <v>5.3308899999999999E-2</v>
      </c>
      <c r="GT70">
        <v>0</v>
      </c>
      <c r="GU70">
        <v>29.101600000000001</v>
      </c>
      <c r="GV70">
        <v>999.9</v>
      </c>
      <c r="GW70">
        <v>30.1</v>
      </c>
      <c r="GX70">
        <v>43.8</v>
      </c>
      <c r="GY70">
        <v>27.492000000000001</v>
      </c>
      <c r="GZ70">
        <v>60.229700000000001</v>
      </c>
      <c r="HA70">
        <v>38.806100000000001</v>
      </c>
      <c r="HB70">
        <v>1</v>
      </c>
      <c r="HC70">
        <v>0.415993</v>
      </c>
      <c r="HD70">
        <v>2.2527599999999999</v>
      </c>
      <c r="HE70">
        <v>20.1479</v>
      </c>
      <c r="HF70">
        <v>5.2625099999999998</v>
      </c>
      <c r="HG70">
        <v>11.962</v>
      </c>
      <c r="HH70">
        <v>4.9794</v>
      </c>
      <c r="HI70">
        <v>3.2976299999999998</v>
      </c>
      <c r="HJ70">
        <v>9999</v>
      </c>
      <c r="HK70">
        <v>9999</v>
      </c>
      <c r="HL70">
        <v>9999</v>
      </c>
      <c r="HM70">
        <v>999.9</v>
      </c>
      <c r="HN70">
        <v>1.8638600000000001</v>
      </c>
      <c r="HO70">
        <v>1.8598399999999999</v>
      </c>
      <c r="HP70">
        <v>1.8664700000000001</v>
      </c>
      <c r="HQ70">
        <v>1.8631</v>
      </c>
      <c r="HR70">
        <v>1.8618600000000001</v>
      </c>
      <c r="HS70">
        <v>1.8618600000000001</v>
      </c>
      <c r="HT70">
        <v>1.8631</v>
      </c>
      <c r="HU70">
        <v>1.86432</v>
      </c>
      <c r="HV70">
        <v>0</v>
      </c>
      <c r="HW70">
        <v>0</v>
      </c>
      <c r="HX70">
        <v>0</v>
      </c>
      <c r="HY70">
        <v>0</v>
      </c>
      <c r="HZ70" t="s">
        <v>424</v>
      </c>
      <c r="IA70" t="s">
        <v>425</v>
      </c>
      <c r="IB70" t="s">
        <v>426</v>
      </c>
      <c r="IC70" t="s">
        <v>426</v>
      </c>
      <c r="ID70" t="s">
        <v>426</v>
      </c>
      <c r="IE70" t="s">
        <v>426</v>
      </c>
      <c r="IF70">
        <v>0</v>
      </c>
      <c r="IG70">
        <v>100</v>
      </c>
      <c r="IH70">
        <v>100</v>
      </c>
      <c r="II70">
        <v>-0.20699999999999999</v>
      </c>
      <c r="IJ70">
        <v>0.16200000000000001</v>
      </c>
      <c r="IK70">
        <v>-0.20296517764190741</v>
      </c>
      <c r="IL70">
        <v>-8.3322953065825546E-5</v>
      </c>
      <c r="IM70">
        <v>2.3872336679552741E-7</v>
      </c>
      <c r="IN70">
        <v>-5.428329794194132E-11</v>
      </c>
      <c r="IO70">
        <v>0.16205245448677491</v>
      </c>
      <c r="IP70">
        <v>0</v>
      </c>
      <c r="IQ70">
        <v>0</v>
      </c>
      <c r="IR70">
        <v>0</v>
      </c>
      <c r="IS70">
        <v>2</v>
      </c>
      <c r="IT70">
        <v>2035</v>
      </c>
      <c r="IU70">
        <v>1</v>
      </c>
      <c r="IV70">
        <v>21</v>
      </c>
      <c r="IW70">
        <v>1.4</v>
      </c>
      <c r="IX70">
        <v>1.3</v>
      </c>
      <c r="IY70">
        <v>1.07544</v>
      </c>
      <c r="IZ70">
        <v>2.7099600000000001</v>
      </c>
      <c r="JA70">
        <v>1.4514199999999999</v>
      </c>
      <c r="JB70">
        <v>2.2778299999999998</v>
      </c>
      <c r="JC70">
        <v>1.5942400000000001</v>
      </c>
      <c r="JD70">
        <v>2.4072300000000002</v>
      </c>
      <c r="JE70">
        <v>45.205100000000002</v>
      </c>
      <c r="JF70">
        <v>15.9095</v>
      </c>
      <c r="JG70">
        <v>18</v>
      </c>
      <c r="JH70">
        <v>499.60599999999999</v>
      </c>
      <c r="JI70">
        <v>439.33699999999999</v>
      </c>
      <c r="JJ70">
        <v>26.6355</v>
      </c>
      <c r="JK70">
        <v>32.299399999999999</v>
      </c>
      <c r="JL70">
        <v>30.001100000000001</v>
      </c>
      <c r="JM70">
        <v>32.249899999999997</v>
      </c>
      <c r="JN70">
        <v>32.259399999999999</v>
      </c>
      <c r="JO70">
        <v>21.492999999999999</v>
      </c>
      <c r="JP70">
        <v>30.043800000000001</v>
      </c>
      <c r="JQ70">
        <v>0</v>
      </c>
      <c r="JR70">
        <v>26.6416</v>
      </c>
      <c r="JS70">
        <v>400</v>
      </c>
      <c r="JT70">
        <v>20.049099999999999</v>
      </c>
      <c r="JU70">
        <v>99.216099999999997</v>
      </c>
      <c r="JV70">
        <v>98.557199999999995</v>
      </c>
    </row>
    <row r="71" spans="1:282" x14ac:dyDescent="0.25">
      <c r="A71">
        <v>55</v>
      </c>
      <c r="B71">
        <v>1689010103.5999999</v>
      </c>
      <c r="C71">
        <v>10763</v>
      </c>
      <c r="D71" t="s">
        <v>699</v>
      </c>
      <c r="E71" t="s">
        <v>700</v>
      </c>
      <c r="F71" t="s">
        <v>414</v>
      </c>
      <c r="G71" t="s">
        <v>415</v>
      </c>
      <c r="H71" t="s">
        <v>654</v>
      </c>
      <c r="I71" t="s">
        <v>655</v>
      </c>
      <c r="J71" t="s">
        <v>416</v>
      </c>
      <c r="K71">
        <v>1689010103.5999999</v>
      </c>
      <c r="L71">
        <f t="shared" si="46"/>
        <v>5.4349535479929906E-3</v>
      </c>
      <c r="M71">
        <f t="shared" si="47"/>
        <v>5.4349535479929907</v>
      </c>
      <c r="N71">
        <f t="shared" si="48"/>
        <v>51.252420246960497</v>
      </c>
      <c r="O71">
        <f t="shared" si="49"/>
        <v>336.375</v>
      </c>
      <c r="P71">
        <f t="shared" si="50"/>
        <v>81.461044350416927</v>
      </c>
      <c r="Q71">
        <f t="shared" si="51"/>
        <v>8.0869129584665558</v>
      </c>
      <c r="R71">
        <f t="shared" si="52"/>
        <v>33.393082154737499</v>
      </c>
      <c r="S71">
        <f t="shared" si="53"/>
        <v>0.3473645321676252</v>
      </c>
      <c r="T71">
        <f t="shared" si="54"/>
        <v>2.9170895286362835</v>
      </c>
      <c r="U71">
        <f t="shared" si="55"/>
        <v>0.32591215939159884</v>
      </c>
      <c r="V71">
        <f t="shared" si="56"/>
        <v>0.20551201231538779</v>
      </c>
      <c r="W71">
        <f t="shared" si="57"/>
        <v>289.55414101269668</v>
      </c>
      <c r="X71">
        <f t="shared" si="58"/>
        <v>29.715582145726934</v>
      </c>
      <c r="Y71">
        <f t="shared" si="59"/>
        <v>30.052199999999999</v>
      </c>
      <c r="Z71">
        <f t="shared" si="60"/>
        <v>4.2732406884390794</v>
      </c>
      <c r="AA71">
        <f t="shared" si="61"/>
        <v>64.932035486315016</v>
      </c>
      <c r="AB71">
        <f t="shared" si="62"/>
        <v>2.6756855455726298</v>
      </c>
      <c r="AC71">
        <f t="shared" si="63"/>
        <v>4.12074798754238</v>
      </c>
      <c r="AD71">
        <f t="shared" si="64"/>
        <v>1.5975551428664496</v>
      </c>
      <c r="AE71">
        <f t="shared" si="65"/>
        <v>-239.6814514664909</v>
      </c>
      <c r="AF71">
        <f t="shared" si="66"/>
        <v>-99.29783490367366</v>
      </c>
      <c r="AG71">
        <f t="shared" si="67"/>
        <v>-7.5491152900782925</v>
      </c>
      <c r="AH71">
        <f t="shared" si="68"/>
        <v>-56.974260647546188</v>
      </c>
      <c r="AI71">
        <v>0</v>
      </c>
      <c r="AJ71">
        <v>0</v>
      </c>
      <c r="AK71">
        <f t="shared" si="69"/>
        <v>1</v>
      </c>
      <c r="AL71">
        <f t="shared" si="70"/>
        <v>0</v>
      </c>
      <c r="AM71">
        <f t="shared" si="71"/>
        <v>52079.683087556834</v>
      </c>
      <c r="AN71" t="s">
        <v>418</v>
      </c>
      <c r="AO71">
        <v>8197.4</v>
      </c>
      <c r="AP71">
        <v>619.92999999999995</v>
      </c>
      <c r="AQ71">
        <v>3131.443117258741</v>
      </c>
      <c r="AR71">
        <f t="shared" si="72"/>
        <v>0.80203057287443702</v>
      </c>
      <c r="AS71">
        <v>-1.0448500102641549</v>
      </c>
      <c r="AT71" t="s">
        <v>701</v>
      </c>
      <c r="AU71">
        <v>8188.62</v>
      </c>
      <c r="AV71">
        <v>791.93692307692311</v>
      </c>
      <c r="AW71">
        <v>1184.359865030337</v>
      </c>
      <c r="AX71">
        <f t="shared" si="73"/>
        <v>0.33133758880233766</v>
      </c>
      <c r="AY71">
        <v>0.5</v>
      </c>
      <c r="AZ71">
        <f t="shared" si="74"/>
        <v>1513.1253000065788</v>
      </c>
      <c r="BA71">
        <f t="shared" si="75"/>
        <v>51.252420246960497</v>
      </c>
      <c r="BB71">
        <f t="shared" si="76"/>
        <v>250.67764422999679</v>
      </c>
      <c r="BC71">
        <f t="shared" si="77"/>
        <v>3.4562418761352597E-2</v>
      </c>
      <c r="BD71">
        <f t="shared" si="78"/>
        <v>1.6439963137205178</v>
      </c>
      <c r="BE71">
        <f t="shared" si="79"/>
        <v>467.70896771773647</v>
      </c>
      <c r="BF71" t="s">
        <v>702</v>
      </c>
      <c r="BG71">
        <v>628.6</v>
      </c>
      <c r="BH71">
        <f t="shared" si="80"/>
        <v>628.6</v>
      </c>
      <c r="BI71">
        <f t="shared" si="81"/>
        <v>0.46924915428141545</v>
      </c>
      <c r="BJ71">
        <f t="shared" si="82"/>
        <v>0.70610162166350909</v>
      </c>
      <c r="BK71">
        <f t="shared" si="83"/>
        <v>0.77794858127622579</v>
      </c>
      <c r="BL71">
        <f t="shared" si="84"/>
        <v>0.69525545380615517</v>
      </c>
      <c r="BM71">
        <f t="shared" si="85"/>
        <v>0.77526302325412522</v>
      </c>
      <c r="BN71">
        <f t="shared" si="86"/>
        <v>0.56046822220785486</v>
      </c>
      <c r="BO71">
        <f t="shared" si="87"/>
        <v>0.43953177779214514</v>
      </c>
      <c r="BP71">
        <v>13678</v>
      </c>
      <c r="BQ71">
        <v>290.00000000000011</v>
      </c>
      <c r="BR71">
        <v>1051.19</v>
      </c>
      <c r="BS71">
        <v>295</v>
      </c>
      <c r="BT71">
        <v>8188.62</v>
      </c>
      <c r="BU71">
        <v>1053.67</v>
      </c>
      <c r="BV71">
        <v>-2.48</v>
      </c>
      <c r="BW71">
        <v>300.00000000000011</v>
      </c>
      <c r="BX71">
        <v>19.3</v>
      </c>
      <c r="BY71">
        <v>1184.359865030337</v>
      </c>
      <c r="BZ71">
        <v>4.8538839014143003</v>
      </c>
      <c r="CA71">
        <v>-107.0149041028133</v>
      </c>
      <c r="CB71">
        <v>3.650188275541975</v>
      </c>
      <c r="CC71">
        <v>0.96845155693942986</v>
      </c>
      <c r="CD71">
        <v>-4.2400814238042301E-3</v>
      </c>
      <c r="CE71">
        <v>289.99999999999989</v>
      </c>
      <c r="CF71">
        <v>1046.8800000000001</v>
      </c>
      <c r="CG71">
        <v>655</v>
      </c>
      <c r="CH71">
        <v>8178.48</v>
      </c>
      <c r="CI71">
        <v>1053.51</v>
      </c>
      <c r="CJ71">
        <v>-6.63</v>
      </c>
      <c r="CX71">
        <f t="shared" si="88"/>
        <v>1799.93</v>
      </c>
      <c r="CY71">
        <f t="shared" si="89"/>
        <v>1513.1253000065788</v>
      </c>
      <c r="CZ71">
        <f t="shared" si="90"/>
        <v>0.84065785892039058</v>
      </c>
      <c r="DA71">
        <f t="shared" si="91"/>
        <v>0.16086966771635378</v>
      </c>
      <c r="DB71">
        <v>6</v>
      </c>
      <c r="DC71">
        <v>0.5</v>
      </c>
      <c r="DD71" t="s">
        <v>421</v>
      </c>
      <c r="DE71">
        <v>2</v>
      </c>
      <c r="DF71">
        <v>1689010103.5999999</v>
      </c>
      <c r="DG71">
        <v>336.375</v>
      </c>
      <c r="DH71">
        <v>400.03899999999999</v>
      </c>
      <c r="DI71">
        <v>26.9527</v>
      </c>
      <c r="DJ71">
        <v>20.6098</v>
      </c>
      <c r="DK71">
        <v>336.68400000000003</v>
      </c>
      <c r="DL71">
        <v>26.819700000000001</v>
      </c>
      <c r="DM71">
        <v>500.25700000000001</v>
      </c>
      <c r="DN71">
        <v>99.173400000000001</v>
      </c>
      <c r="DO71">
        <v>9.9976899999999994E-2</v>
      </c>
      <c r="DP71">
        <v>29.4208</v>
      </c>
      <c r="DQ71">
        <v>30.052199999999999</v>
      </c>
      <c r="DR71">
        <v>999.9</v>
      </c>
      <c r="DS71">
        <v>0</v>
      </c>
      <c r="DT71">
        <v>0</v>
      </c>
      <c r="DU71">
        <v>10011.9</v>
      </c>
      <c r="DV71">
        <v>0</v>
      </c>
      <c r="DW71">
        <v>1940.88</v>
      </c>
      <c r="DX71">
        <v>-63.561199999999999</v>
      </c>
      <c r="DY71">
        <v>345.80900000000003</v>
      </c>
      <c r="DZ71">
        <v>408.45699999999999</v>
      </c>
      <c r="EA71">
        <v>6.3720100000000004</v>
      </c>
      <c r="EB71">
        <v>400.03899999999999</v>
      </c>
      <c r="EC71">
        <v>20.6098</v>
      </c>
      <c r="ED71">
        <v>2.6758700000000002</v>
      </c>
      <c r="EE71">
        <v>2.0439400000000001</v>
      </c>
      <c r="EF71">
        <v>22.137699999999999</v>
      </c>
      <c r="EG71">
        <v>17.788900000000002</v>
      </c>
      <c r="EH71">
        <v>1799.93</v>
      </c>
      <c r="EI71">
        <v>0.97800799999999999</v>
      </c>
      <c r="EJ71">
        <v>2.19922E-2</v>
      </c>
      <c r="EK71">
        <v>0</v>
      </c>
      <c r="EL71">
        <v>792.31</v>
      </c>
      <c r="EM71">
        <v>4.9999900000000004</v>
      </c>
      <c r="EN71">
        <v>19695</v>
      </c>
      <c r="EO71">
        <v>15863.3</v>
      </c>
      <c r="EP71">
        <v>47.375</v>
      </c>
      <c r="EQ71">
        <v>48.686999999999998</v>
      </c>
      <c r="ER71">
        <v>47.811999999999998</v>
      </c>
      <c r="ES71">
        <v>48.436999999999998</v>
      </c>
      <c r="ET71">
        <v>49.125</v>
      </c>
      <c r="EU71">
        <v>1755.46</v>
      </c>
      <c r="EV71">
        <v>39.47</v>
      </c>
      <c r="EW71">
        <v>0</v>
      </c>
      <c r="EX71">
        <v>97.799999952316284</v>
      </c>
      <c r="EY71">
        <v>0</v>
      </c>
      <c r="EZ71">
        <v>791.93692307692311</v>
      </c>
      <c r="FA71">
        <v>-0.81634186780414819</v>
      </c>
      <c r="FB71">
        <v>-177.40171005152931</v>
      </c>
      <c r="FC71">
        <v>19744.630769230771</v>
      </c>
      <c r="FD71">
        <v>15</v>
      </c>
      <c r="FE71">
        <v>1689010135.0999999</v>
      </c>
      <c r="FF71" t="s">
        <v>703</v>
      </c>
      <c r="FG71">
        <v>1689010135.0999999</v>
      </c>
      <c r="FH71">
        <v>1689010132.5999999</v>
      </c>
      <c r="FI71">
        <v>60</v>
      </c>
      <c r="FJ71">
        <v>-0.107</v>
      </c>
      <c r="FK71">
        <v>-5.0000000000000001E-3</v>
      </c>
      <c r="FL71">
        <v>-0.309</v>
      </c>
      <c r="FM71">
        <v>0.13300000000000001</v>
      </c>
      <c r="FN71">
        <v>400</v>
      </c>
      <c r="FO71">
        <v>21</v>
      </c>
      <c r="FP71">
        <v>0.04</v>
      </c>
      <c r="FQ71">
        <v>0.01</v>
      </c>
      <c r="FR71">
        <v>51.188073183170701</v>
      </c>
      <c r="FS71">
        <v>-0.43251522116757551</v>
      </c>
      <c r="FT71">
        <v>4.0583016438664507E-2</v>
      </c>
      <c r="FU71">
        <v>1</v>
      </c>
      <c r="FV71">
        <v>0.34986282531130769</v>
      </c>
      <c r="FW71">
        <v>3.6634110148573039E-3</v>
      </c>
      <c r="FX71">
        <v>4.2634130931634538E-4</v>
      </c>
      <c r="FY71">
        <v>1</v>
      </c>
      <c r="FZ71">
        <v>2</v>
      </c>
      <c r="GA71">
        <v>2</v>
      </c>
      <c r="GB71" t="s">
        <v>423</v>
      </c>
      <c r="GC71">
        <v>2.9598300000000002</v>
      </c>
      <c r="GD71">
        <v>2.7433100000000001</v>
      </c>
      <c r="GE71">
        <v>7.7889100000000003E-2</v>
      </c>
      <c r="GF71">
        <v>8.9010800000000001E-2</v>
      </c>
      <c r="GG71">
        <v>0.12564900000000001</v>
      </c>
      <c r="GH71">
        <v>0.103667</v>
      </c>
      <c r="GI71">
        <v>21690.400000000001</v>
      </c>
      <c r="GJ71">
        <v>19956.599999999999</v>
      </c>
      <c r="GK71">
        <v>23450.3</v>
      </c>
      <c r="GL71">
        <v>21951.200000000001</v>
      </c>
      <c r="GM71">
        <v>28911.200000000001</v>
      </c>
      <c r="GN71">
        <v>27451.1</v>
      </c>
      <c r="GO71">
        <v>37002.199999999997</v>
      </c>
      <c r="GP71">
        <v>34151.699999999997</v>
      </c>
      <c r="GQ71">
        <v>1.9940800000000001</v>
      </c>
      <c r="GR71">
        <v>1.8430200000000001</v>
      </c>
      <c r="GS71">
        <v>5.5782499999999999E-2</v>
      </c>
      <c r="GT71">
        <v>0</v>
      </c>
      <c r="GU71">
        <v>29.143799999999999</v>
      </c>
      <c r="GV71">
        <v>999.9</v>
      </c>
      <c r="GW71">
        <v>30.3</v>
      </c>
      <c r="GX71">
        <v>43.9</v>
      </c>
      <c r="GY71">
        <v>27.814800000000002</v>
      </c>
      <c r="GZ71">
        <v>60.3797</v>
      </c>
      <c r="HA71">
        <v>38.669899999999998</v>
      </c>
      <c r="HB71">
        <v>1</v>
      </c>
      <c r="HC71">
        <v>0.43678099999999997</v>
      </c>
      <c r="HD71">
        <v>3.4597099999999998</v>
      </c>
      <c r="HE71">
        <v>20.1249</v>
      </c>
      <c r="HF71">
        <v>5.2637099999999997</v>
      </c>
      <c r="HG71">
        <v>11.962199999999999</v>
      </c>
      <c r="HH71">
        <v>4.9797000000000002</v>
      </c>
      <c r="HI71">
        <v>3.298</v>
      </c>
      <c r="HJ71">
        <v>9999</v>
      </c>
      <c r="HK71">
        <v>9999</v>
      </c>
      <c r="HL71">
        <v>9999</v>
      </c>
      <c r="HM71">
        <v>999.9</v>
      </c>
      <c r="HN71">
        <v>1.8638699999999999</v>
      </c>
      <c r="HO71">
        <v>1.85982</v>
      </c>
      <c r="HP71">
        <v>1.86646</v>
      </c>
      <c r="HQ71">
        <v>1.8631</v>
      </c>
      <c r="HR71">
        <v>1.8617900000000001</v>
      </c>
      <c r="HS71">
        <v>1.86188</v>
      </c>
      <c r="HT71">
        <v>1.8631</v>
      </c>
      <c r="HU71">
        <v>1.86433</v>
      </c>
      <c r="HV71">
        <v>0</v>
      </c>
      <c r="HW71">
        <v>0</v>
      </c>
      <c r="HX71">
        <v>0</v>
      </c>
      <c r="HY71">
        <v>0</v>
      </c>
      <c r="HZ71" t="s">
        <v>424</v>
      </c>
      <c r="IA71" t="s">
        <v>425</v>
      </c>
      <c r="IB71" t="s">
        <v>426</v>
      </c>
      <c r="IC71" t="s">
        <v>426</v>
      </c>
      <c r="ID71" t="s">
        <v>426</v>
      </c>
      <c r="IE71" t="s">
        <v>426</v>
      </c>
      <c r="IF71">
        <v>0</v>
      </c>
      <c r="IG71">
        <v>100</v>
      </c>
      <c r="IH71">
        <v>100</v>
      </c>
      <c r="II71">
        <v>-0.309</v>
      </c>
      <c r="IJ71">
        <v>0.13300000000000001</v>
      </c>
      <c r="IK71">
        <v>-0.20296517764190741</v>
      </c>
      <c r="IL71">
        <v>-8.3322953065825546E-5</v>
      </c>
      <c r="IM71">
        <v>2.3872336679552741E-7</v>
      </c>
      <c r="IN71">
        <v>-5.428329794194132E-11</v>
      </c>
      <c r="IO71">
        <v>0.16205245448677491</v>
      </c>
      <c r="IP71">
        <v>0</v>
      </c>
      <c r="IQ71">
        <v>0</v>
      </c>
      <c r="IR71">
        <v>0</v>
      </c>
      <c r="IS71">
        <v>2</v>
      </c>
      <c r="IT71">
        <v>2035</v>
      </c>
      <c r="IU71">
        <v>1</v>
      </c>
      <c r="IV71">
        <v>21</v>
      </c>
      <c r="IW71">
        <v>3.1</v>
      </c>
      <c r="IX71">
        <v>3</v>
      </c>
      <c r="IY71">
        <v>1.07544</v>
      </c>
      <c r="IZ71">
        <v>2.7075200000000001</v>
      </c>
      <c r="JA71">
        <v>1.4514199999999999</v>
      </c>
      <c r="JB71">
        <v>2.2778299999999998</v>
      </c>
      <c r="JC71">
        <v>1.5942400000000001</v>
      </c>
      <c r="JD71">
        <v>2.4218799999999998</v>
      </c>
      <c r="JE71">
        <v>45.347299999999997</v>
      </c>
      <c r="JF71">
        <v>15.8832</v>
      </c>
      <c r="JG71">
        <v>18</v>
      </c>
      <c r="JH71">
        <v>499.86500000000001</v>
      </c>
      <c r="JI71">
        <v>439.084</v>
      </c>
      <c r="JJ71">
        <v>26.024699999999999</v>
      </c>
      <c r="JK71">
        <v>32.459000000000003</v>
      </c>
      <c r="JL71">
        <v>30.000699999999998</v>
      </c>
      <c r="JM71">
        <v>32.398299999999999</v>
      </c>
      <c r="JN71">
        <v>32.402700000000003</v>
      </c>
      <c r="JO71">
        <v>21.482800000000001</v>
      </c>
      <c r="JP71">
        <v>28.2546</v>
      </c>
      <c r="JQ71">
        <v>0</v>
      </c>
      <c r="JR71">
        <v>26.0017</v>
      </c>
      <c r="JS71">
        <v>400</v>
      </c>
      <c r="JT71">
        <v>20.597899999999999</v>
      </c>
      <c r="JU71">
        <v>99.175399999999996</v>
      </c>
      <c r="JV71">
        <v>98.516800000000003</v>
      </c>
    </row>
    <row r="72" spans="1:282" x14ac:dyDescent="0.25">
      <c r="A72">
        <v>56</v>
      </c>
      <c r="B72">
        <v>1689010259.5999999</v>
      </c>
      <c r="C72">
        <v>10919</v>
      </c>
      <c r="D72" t="s">
        <v>704</v>
      </c>
      <c r="E72" t="s">
        <v>705</v>
      </c>
      <c r="F72" t="s">
        <v>414</v>
      </c>
      <c r="G72" t="s">
        <v>415</v>
      </c>
      <c r="H72" t="s">
        <v>654</v>
      </c>
      <c r="I72" t="s">
        <v>655</v>
      </c>
      <c r="J72" t="s">
        <v>416</v>
      </c>
      <c r="K72">
        <v>1689010259.5999999</v>
      </c>
      <c r="L72">
        <f t="shared" si="46"/>
        <v>5.4410230850245912E-3</v>
      </c>
      <c r="M72">
        <f t="shared" si="47"/>
        <v>5.4410230850245913</v>
      </c>
      <c r="N72">
        <f t="shared" si="48"/>
        <v>56.821474869217674</v>
      </c>
      <c r="O72">
        <f t="shared" si="49"/>
        <v>429.20100000000002</v>
      </c>
      <c r="P72">
        <f t="shared" si="50"/>
        <v>149.53191822665784</v>
      </c>
      <c r="Q72">
        <f t="shared" si="51"/>
        <v>14.84432735257964</v>
      </c>
      <c r="R72">
        <f t="shared" si="52"/>
        <v>42.607626649965006</v>
      </c>
      <c r="S72">
        <f t="shared" si="53"/>
        <v>0.35326576243216529</v>
      </c>
      <c r="T72">
        <f t="shared" si="54"/>
        <v>2.9142138007327207</v>
      </c>
      <c r="U72">
        <f t="shared" si="55"/>
        <v>0.33108285680427413</v>
      </c>
      <c r="V72">
        <f t="shared" si="56"/>
        <v>0.20880364780763322</v>
      </c>
      <c r="W72">
        <f t="shared" si="57"/>
        <v>289.55587801270633</v>
      </c>
      <c r="X72">
        <f t="shared" si="58"/>
        <v>29.664989372916974</v>
      </c>
      <c r="Y72">
        <f t="shared" si="59"/>
        <v>30.025200000000002</v>
      </c>
      <c r="Z72">
        <f t="shared" si="60"/>
        <v>4.2666205253786744</v>
      </c>
      <c r="AA72">
        <f t="shared" si="61"/>
        <v>65.522909987426033</v>
      </c>
      <c r="AB72">
        <f t="shared" si="62"/>
        <v>2.6923648899615</v>
      </c>
      <c r="AC72">
        <f t="shared" si="63"/>
        <v>4.1090435245903603</v>
      </c>
      <c r="AD72">
        <f t="shared" si="64"/>
        <v>1.5742556354171744</v>
      </c>
      <c r="AE72">
        <f t="shared" si="65"/>
        <v>-239.94911804958448</v>
      </c>
      <c r="AF72">
        <f t="shared" si="66"/>
        <v>-102.70352242568958</v>
      </c>
      <c r="AG72">
        <f t="shared" si="67"/>
        <v>-7.8127837458444951</v>
      </c>
      <c r="AH72">
        <f t="shared" si="68"/>
        <v>-60.909546208412252</v>
      </c>
      <c r="AI72">
        <v>0</v>
      </c>
      <c r="AJ72">
        <v>0</v>
      </c>
      <c r="AK72">
        <f t="shared" si="69"/>
        <v>1</v>
      </c>
      <c r="AL72">
        <f t="shared" si="70"/>
        <v>0</v>
      </c>
      <c r="AM72">
        <f t="shared" si="71"/>
        <v>52006.10340933418</v>
      </c>
      <c r="AN72" t="s">
        <v>418</v>
      </c>
      <c r="AO72">
        <v>8197.4</v>
      </c>
      <c r="AP72">
        <v>619.92999999999995</v>
      </c>
      <c r="AQ72">
        <v>3131.443117258741</v>
      </c>
      <c r="AR72">
        <f t="shared" si="72"/>
        <v>0.80203057287443702</v>
      </c>
      <c r="AS72">
        <v>-1.0448500102641549</v>
      </c>
      <c r="AT72" t="s">
        <v>706</v>
      </c>
      <c r="AU72">
        <v>8187.85</v>
      </c>
      <c r="AV72">
        <v>814.21915999999999</v>
      </c>
      <c r="AW72">
        <v>1255.2172578897089</v>
      </c>
      <c r="AX72">
        <f t="shared" si="73"/>
        <v>0.35133208623272272</v>
      </c>
      <c r="AY72">
        <v>0.5</v>
      </c>
      <c r="AZ72">
        <f t="shared" si="74"/>
        <v>1513.1262000065835</v>
      </c>
      <c r="BA72">
        <f t="shared" si="75"/>
        <v>56.821474869217674</v>
      </c>
      <c r="BB72">
        <f t="shared" si="76"/>
        <v>265.80489229085254</v>
      </c>
      <c r="BC72">
        <f t="shared" si="77"/>
        <v>3.8242894002648332E-2</v>
      </c>
      <c r="BD72">
        <f t="shared" si="78"/>
        <v>1.494741924217464</v>
      </c>
      <c r="BE72">
        <f t="shared" si="79"/>
        <v>478.37308766804574</v>
      </c>
      <c r="BF72" t="s">
        <v>707</v>
      </c>
      <c r="BG72">
        <v>630.61</v>
      </c>
      <c r="BH72">
        <f t="shared" si="80"/>
        <v>630.61</v>
      </c>
      <c r="BI72">
        <f t="shared" si="81"/>
        <v>0.49760888321421626</v>
      </c>
      <c r="BJ72">
        <f t="shared" si="82"/>
        <v>0.70604062363870079</v>
      </c>
      <c r="BK72">
        <f t="shared" si="83"/>
        <v>0.75024032848126843</v>
      </c>
      <c r="BL72">
        <f t="shared" si="84"/>
        <v>0.69417116810214663</v>
      </c>
      <c r="BM72">
        <f t="shared" si="85"/>
        <v>0.74704999407563899</v>
      </c>
      <c r="BN72">
        <f t="shared" si="86"/>
        <v>0.54682608755215378</v>
      </c>
      <c r="BO72">
        <f t="shared" si="87"/>
        <v>0.45317391244784622</v>
      </c>
      <c r="BP72">
        <v>13680</v>
      </c>
      <c r="BQ72">
        <v>290.00000000000011</v>
      </c>
      <c r="BR72">
        <v>1116.56</v>
      </c>
      <c r="BS72">
        <v>275</v>
      </c>
      <c r="BT72">
        <v>8187.85</v>
      </c>
      <c r="BU72">
        <v>1119.1099999999999</v>
      </c>
      <c r="BV72">
        <v>-2.5499999999999998</v>
      </c>
      <c r="BW72">
        <v>300.00000000000011</v>
      </c>
      <c r="BX72">
        <v>19.3</v>
      </c>
      <c r="BY72">
        <v>1255.2172578897089</v>
      </c>
      <c r="BZ72">
        <v>5.4680893325936584</v>
      </c>
      <c r="CA72">
        <v>-111.439641650068</v>
      </c>
      <c r="CB72">
        <v>4.1113520024068348</v>
      </c>
      <c r="CC72">
        <v>0.96328832197276282</v>
      </c>
      <c r="CD72">
        <v>-4.2393922135706436E-3</v>
      </c>
      <c r="CE72">
        <v>289.99999999999989</v>
      </c>
      <c r="CF72">
        <v>1114.26</v>
      </c>
      <c r="CG72">
        <v>655</v>
      </c>
      <c r="CH72">
        <v>8176.97</v>
      </c>
      <c r="CI72">
        <v>1118.93</v>
      </c>
      <c r="CJ72">
        <v>-4.67</v>
      </c>
      <c r="CX72">
        <f t="shared" si="88"/>
        <v>1799.93</v>
      </c>
      <c r="CY72">
        <f t="shared" si="89"/>
        <v>1513.1262000065835</v>
      </c>
      <c r="CZ72">
        <f t="shared" si="90"/>
        <v>0.84065835893983853</v>
      </c>
      <c r="DA72">
        <f t="shared" si="91"/>
        <v>0.16087063275388838</v>
      </c>
      <c r="DB72">
        <v>6</v>
      </c>
      <c r="DC72">
        <v>0.5</v>
      </c>
      <c r="DD72" t="s">
        <v>421</v>
      </c>
      <c r="DE72">
        <v>2</v>
      </c>
      <c r="DF72">
        <v>1689010259.5999999</v>
      </c>
      <c r="DG72">
        <v>429.20100000000002</v>
      </c>
      <c r="DH72">
        <v>500.16399999999999</v>
      </c>
      <c r="DI72">
        <v>27.121099999999998</v>
      </c>
      <c r="DJ72">
        <v>20.7712</v>
      </c>
      <c r="DK72">
        <v>429.51799999999997</v>
      </c>
      <c r="DL72">
        <v>26.964200000000002</v>
      </c>
      <c r="DM72">
        <v>500.17700000000002</v>
      </c>
      <c r="DN72">
        <v>99.171800000000005</v>
      </c>
      <c r="DO72">
        <v>0.100165</v>
      </c>
      <c r="DP72">
        <v>29.371500000000001</v>
      </c>
      <c r="DQ72">
        <v>30.025200000000002</v>
      </c>
      <c r="DR72">
        <v>999.9</v>
      </c>
      <c r="DS72">
        <v>0</v>
      </c>
      <c r="DT72">
        <v>0</v>
      </c>
      <c r="DU72">
        <v>9995.6200000000008</v>
      </c>
      <c r="DV72">
        <v>0</v>
      </c>
      <c r="DW72">
        <v>2020.21</v>
      </c>
      <c r="DX72">
        <v>-70.962299999999999</v>
      </c>
      <c r="DY72">
        <v>441.166</v>
      </c>
      <c r="DZ72">
        <v>510.77300000000002</v>
      </c>
      <c r="EA72">
        <v>6.34985</v>
      </c>
      <c r="EB72">
        <v>500.16399999999999</v>
      </c>
      <c r="EC72">
        <v>20.7712</v>
      </c>
      <c r="ED72">
        <v>2.6896399999999998</v>
      </c>
      <c r="EE72">
        <v>2.05992</v>
      </c>
      <c r="EF72">
        <v>22.222000000000001</v>
      </c>
      <c r="EG72">
        <v>17.912600000000001</v>
      </c>
      <c r="EH72">
        <v>1799.93</v>
      </c>
      <c r="EI72">
        <v>0.977993</v>
      </c>
      <c r="EJ72">
        <v>2.2006999999999999E-2</v>
      </c>
      <c r="EK72">
        <v>0</v>
      </c>
      <c r="EL72">
        <v>814.47400000000005</v>
      </c>
      <c r="EM72">
        <v>4.9999900000000004</v>
      </c>
      <c r="EN72">
        <v>20473.3</v>
      </c>
      <c r="EO72">
        <v>15863.2</v>
      </c>
      <c r="EP72">
        <v>47.686999999999998</v>
      </c>
      <c r="EQ72">
        <v>49.125</v>
      </c>
      <c r="ER72">
        <v>48.125</v>
      </c>
      <c r="ES72">
        <v>48.811999999999998</v>
      </c>
      <c r="ET72">
        <v>49.375</v>
      </c>
      <c r="EU72">
        <v>1755.43</v>
      </c>
      <c r="EV72">
        <v>39.5</v>
      </c>
      <c r="EW72">
        <v>0</v>
      </c>
      <c r="EX72">
        <v>154.20000004768369</v>
      </c>
      <c r="EY72">
        <v>0</v>
      </c>
      <c r="EZ72">
        <v>814.21915999999999</v>
      </c>
      <c r="FA72">
        <v>3.8017692323484469</v>
      </c>
      <c r="FB72">
        <v>142.73846026027729</v>
      </c>
      <c r="FC72">
        <v>20429.96</v>
      </c>
      <c r="FD72">
        <v>15</v>
      </c>
      <c r="FE72">
        <v>1689010228.0999999</v>
      </c>
      <c r="FF72" t="s">
        <v>708</v>
      </c>
      <c r="FG72">
        <v>1689010227.0999999</v>
      </c>
      <c r="FH72">
        <v>1689010228.0999999</v>
      </c>
      <c r="FI72">
        <v>61</v>
      </c>
      <c r="FJ72">
        <v>-1.0999999999999999E-2</v>
      </c>
      <c r="FK72">
        <v>0</v>
      </c>
      <c r="FL72">
        <v>-0.31</v>
      </c>
      <c r="FM72">
        <v>0.128</v>
      </c>
      <c r="FN72">
        <v>500</v>
      </c>
      <c r="FO72">
        <v>20</v>
      </c>
      <c r="FP72">
        <v>0.03</v>
      </c>
      <c r="FQ72">
        <v>0.02</v>
      </c>
      <c r="FR72">
        <v>56.762420665762917</v>
      </c>
      <c r="FS72">
        <v>-0.35165885216121961</v>
      </c>
      <c r="FT72">
        <v>4.7526714780787717E-2</v>
      </c>
      <c r="FU72">
        <v>1</v>
      </c>
      <c r="FV72">
        <v>0.35223074267724069</v>
      </c>
      <c r="FW72">
        <v>2.746877332707124E-2</v>
      </c>
      <c r="FX72">
        <v>2.9978855324057762E-3</v>
      </c>
      <c r="FY72">
        <v>1</v>
      </c>
      <c r="FZ72">
        <v>2</v>
      </c>
      <c r="GA72">
        <v>2</v>
      </c>
      <c r="GB72" t="s">
        <v>423</v>
      </c>
      <c r="GC72">
        <v>2.9593500000000001</v>
      </c>
      <c r="GD72">
        <v>2.74336</v>
      </c>
      <c r="GE72">
        <v>9.4010099999999999E-2</v>
      </c>
      <c r="GF72">
        <v>0.105142</v>
      </c>
      <c r="GG72">
        <v>0.12604099999999999</v>
      </c>
      <c r="GH72">
        <v>0.104171</v>
      </c>
      <c r="GI72">
        <v>21297.599999999999</v>
      </c>
      <c r="GJ72">
        <v>19590.2</v>
      </c>
      <c r="GK72">
        <v>23436.2</v>
      </c>
      <c r="GL72">
        <v>21937.4</v>
      </c>
      <c r="GM72">
        <v>28882.7</v>
      </c>
      <c r="GN72">
        <v>27420.7</v>
      </c>
      <c r="GO72">
        <v>36979.300000000003</v>
      </c>
      <c r="GP72">
        <v>34131.699999999997</v>
      </c>
      <c r="GQ72">
        <v>1.9909300000000001</v>
      </c>
      <c r="GR72">
        <v>1.83945</v>
      </c>
      <c r="GS72">
        <v>3.97116E-2</v>
      </c>
      <c r="GT72">
        <v>0</v>
      </c>
      <c r="GU72">
        <v>29.378699999999998</v>
      </c>
      <c r="GV72">
        <v>999.9</v>
      </c>
      <c r="GW72">
        <v>30.5</v>
      </c>
      <c r="GX72">
        <v>44</v>
      </c>
      <c r="GY72">
        <v>28.1495</v>
      </c>
      <c r="GZ72">
        <v>60.319699999999997</v>
      </c>
      <c r="HA72">
        <v>38.729999999999997</v>
      </c>
      <c r="HB72">
        <v>1</v>
      </c>
      <c r="HC72">
        <v>0.46039600000000003</v>
      </c>
      <c r="HD72">
        <v>3.67835</v>
      </c>
      <c r="HE72">
        <v>20.119900000000001</v>
      </c>
      <c r="HF72">
        <v>5.2646100000000002</v>
      </c>
      <c r="HG72">
        <v>11.9625</v>
      </c>
      <c r="HH72">
        <v>4.9797000000000002</v>
      </c>
      <c r="HI72">
        <v>3.298</v>
      </c>
      <c r="HJ72">
        <v>9999</v>
      </c>
      <c r="HK72">
        <v>9999</v>
      </c>
      <c r="HL72">
        <v>9999</v>
      </c>
      <c r="HM72">
        <v>999.9</v>
      </c>
      <c r="HN72">
        <v>1.8638600000000001</v>
      </c>
      <c r="HO72">
        <v>1.85988</v>
      </c>
      <c r="HP72">
        <v>1.86646</v>
      </c>
      <c r="HQ72">
        <v>1.86311</v>
      </c>
      <c r="HR72">
        <v>1.8618300000000001</v>
      </c>
      <c r="HS72">
        <v>1.8618600000000001</v>
      </c>
      <c r="HT72">
        <v>1.8631</v>
      </c>
      <c r="HU72">
        <v>1.86432</v>
      </c>
      <c r="HV72">
        <v>0</v>
      </c>
      <c r="HW72">
        <v>0</v>
      </c>
      <c r="HX72">
        <v>0</v>
      </c>
      <c r="HY72">
        <v>0</v>
      </c>
      <c r="HZ72" t="s">
        <v>424</v>
      </c>
      <c r="IA72" t="s">
        <v>425</v>
      </c>
      <c r="IB72" t="s">
        <v>426</v>
      </c>
      <c r="IC72" t="s">
        <v>426</v>
      </c>
      <c r="ID72" t="s">
        <v>426</v>
      </c>
      <c r="IE72" t="s">
        <v>426</v>
      </c>
      <c r="IF72">
        <v>0</v>
      </c>
      <c r="IG72">
        <v>100</v>
      </c>
      <c r="IH72">
        <v>100</v>
      </c>
      <c r="II72">
        <v>-0.317</v>
      </c>
      <c r="IJ72">
        <v>0.15690000000000001</v>
      </c>
      <c r="IK72">
        <v>-0.32117306258016209</v>
      </c>
      <c r="IL72">
        <v>-8.3322953065825546E-5</v>
      </c>
      <c r="IM72">
        <v>2.3872336679552741E-7</v>
      </c>
      <c r="IN72">
        <v>-5.428329794194132E-11</v>
      </c>
      <c r="IO72">
        <v>0.15684344263387731</v>
      </c>
      <c r="IP72">
        <v>0</v>
      </c>
      <c r="IQ72">
        <v>0</v>
      </c>
      <c r="IR72">
        <v>0</v>
      </c>
      <c r="IS72">
        <v>2</v>
      </c>
      <c r="IT72">
        <v>2035</v>
      </c>
      <c r="IU72">
        <v>1</v>
      </c>
      <c r="IV72">
        <v>21</v>
      </c>
      <c r="IW72">
        <v>0.5</v>
      </c>
      <c r="IX72">
        <v>0.5</v>
      </c>
      <c r="IY72">
        <v>1.2878400000000001</v>
      </c>
      <c r="IZ72">
        <v>2.7038600000000002</v>
      </c>
      <c r="JA72">
        <v>1.4514199999999999</v>
      </c>
      <c r="JB72">
        <v>2.2778299999999998</v>
      </c>
      <c r="JC72">
        <v>1.5942400000000001</v>
      </c>
      <c r="JD72">
        <v>2.4072300000000002</v>
      </c>
      <c r="JE72">
        <v>45.633099999999999</v>
      </c>
      <c r="JF72">
        <v>15.8482</v>
      </c>
      <c r="JG72">
        <v>18</v>
      </c>
      <c r="JH72">
        <v>500.03399999999999</v>
      </c>
      <c r="JI72">
        <v>438.66199999999998</v>
      </c>
      <c r="JJ72">
        <v>25.842400000000001</v>
      </c>
      <c r="JK72">
        <v>32.732500000000002</v>
      </c>
      <c r="JL72">
        <v>30.001100000000001</v>
      </c>
      <c r="JM72">
        <v>32.6554</v>
      </c>
      <c r="JN72">
        <v>32.656199999999998</v>
      </c>
      <c r="JO72">
        <v>25.715800000000002</v>
      </c>
      <c r="JP72">
        <v>29.444099999999999</v>
      </c>
      <c r="JQ72">
        <v>0</v>
      </c>
      <c r="JR72">
        <v>25.825500000000002</v>
      </c>
      <c r="JS72">
        <v>500</v>
      </c>
      <c r="JT72">
        <v>20.663699999999999</v>
      </c>
      <c r="JU72">
        <v>99.114599999999996</v>
      </c>
      <c r="JV72">
        <v>98.457400000000007</v>
      </c>
    </row>
    <row r="73" spans="1:282" x14ac:dyDescent="0.25">
      <c r="A73">
        <v>57</v>
      </c>
      <c r="B73">
        <v>1689010377</v>
      </c>
      <c r="C73">
        <v>11036.400000095369</v>
      </c>
      <c r="D73" t="s">
        <v>709</v>
      </c>
      <c r="E73" t="s">
        <v>710</v>
      </c>
      <c r="F73" t="s">
        <v>414</v>
      </c>
      <c r="G73" t="s">
        <v>415</v>
      </c>
      <c r="H73" t="s">
        <v>654</v>
      </c>
      <c r="I73" t="s">
        <v>655</v>
      </c>
      <c r="J73" t="s">
        <v>416</v>
      </c>
      <c r="K73">
        <v>1689010377</v>
      </c>
      <c r="L73">
        <f t="shared" si="46"/>
        <v>5.3369394031803404E-3</v>
      </c>
      <c r="M73">
        <f t="shared" si="47"/>
        <v>5.3369394031803408</v>
      </c>
      <c r="N73">
        <f t="shared" si="48"/>
        <v>61.211886924638264</v>
      </c>
      <c r="O73">
        <f t="shared" si="49"/>
        <v>622.84299999999996</v>
      </c>
      <c r="P73">
        <f t="shared" si="50"/>
        <v>313.04080780932509</v>
      </c>
      <c r="Q73">
        <f t="shared" si="51"/>
        <v>31.076686842496986</v>
      </c>
      <c r="R73">
        <f t="shared" si="52"/>
        <v>61.831864664849491</v>
      </c>
      <c r="S73">
        <f t="shared" si="53"/>
        <v>0.34760766215579286</v>
      </c>
      <c r="T73">
        <f t="shared" si="54"/>
        <v>2.9162294347929087</v>
      </c>
      <c r="U73">
        <f t="shared" si="55"/>
        <v>0.32612032947886627</v>
      </c>
      <c r="V73">
        <f t="shared" si="56"/>
        <v>0.20564497642668378</v>
      </c>
      <c r="W73">
        <f t="shared" si="57"/>
        <v>289.5750300127055</v>
      </c>
      <c r="X73">
        <f t="shared" si="58"/>
        <v>29.685154576707394</v>
      </c>
      <c r="Y73">
        <f t="shared" si="59"/>
        <v>29.973199999999999</v>
      </c>
      <c r="Z73">
        <f t="shared" si="60"/>
        <v>4.2538957613063353</v>
      </c>
      <c r="AA73">
        <f t="shared" si="61"/>
        <v>65.39588192876198</v>
      </c>
      <c r="AB73">
        <f t="shared" si="62"/>
        <v>2.6860754825794504</v>
      </c>
      <c r="AC73">
        <f t="shared" si="63"/>
        <v>4.1074076889206665</v>
      </c>
      <c r="AD73">
        <f t="shared" si="64"/>
        <v>1.5678202787268849</v>
      </c>
      <c r="AE73">
        <f t="shared" si="65"/>
        <v>-235.35902768025301</v>
      </c>
      <c r="AF73">
        <f t="shared" si="66"/>
        <v>-95.683946720214621</v>
      </c>
      <c r="AG73">
        <f t="shared" si="67"/>
        <v>-7.2716410612922378</v>
      </c>
      <c r="AH73">
        <f t="shared" si="68"/>
        <v>-48.739585449054388</v>
      </c>
      <c r="AI73">
        <v>0</v>
      </c>
      <c r="AJ73">
        <v>0</v>
      </c>
      <c r="AK73">
        <f t="shared" si="69"/>
        <v>1</v>
      </c>
      <c r="AL73">
        <f t="shared" si="70"/>
        <v>0</v>
      </c>
      <c r="AM73">
        <f t="shared" si="71"/>
        <v>52064.838192281321</v>
      </c>
      <c r="AN73" t="s">
        <v>418</v>
      </c>
      <c r="AO73">
        <v>8197.4</v>
      </c>
      <c r="AP73">
        <v>619.92999999999995</v>
      </c>
      <c r="AQ73">
        <v>3131.443117258741</v>
      </c>
      <c r="AR73">
        <f t="shared" si="72"/>
        <v>0.80203057287443702</v>
      </c>
      <c r="AS73">
        <v>-1.0448500102641549</v>
      </c>
      <c r="AT73" t="s">
        <v>711</v>
      </c>
      <c r="AU73">
        <v>8186.37</v>
      </c>
      <c r="AV73">
        <v>829.5527692307694</v>
      </c>
      <c r="AW73">
        <v>1322.3704239962899</v>
      </c>
      <c r="AX73">
        <f t="shared" si="73"/>
        <v>0.37267746300328863</v>
      </c>
      <c r="AY73">
        <v>0.5</v>
      </c>
      <c r="AZ73">
        <f t="shared" si="74"/>
        <v>1513.227000006583</v>
      </c>
      <c r="BA73">
        <f t="shared" si="75"/>
        <v>61.211886924638264</v>
      </c>
      <c r="BB73">
        <f t="shared" si="76"/>
        <v>281.97279965526542</v>
      </c>
      <c r="BC73">
        <f t="shared" si="77"/>
        <v>4.114170374612109E-2</v>
      </c>
      <c r="BD73">
        <f t="shared" si="78"/>
        <v>1.3680528998790786</v>
      </c>
      <c r="BE73">
        <f t="shared" si="79"/>
        <v>487.81403322689607</v>
      </c>
      <c r="BF73" t="s">
        <v>712</v>
      </c>
      <c r="BG73">
        <v>637.16</v>
      </c>
      <c r="BH73">
        <f t="shared" si="80"/>
        <v>637.16</v>
      </c>
      <c r="BI73">
        <f t="shared" si="81"/>
        <v>0.51816829200212999</v>
      </c>
      <c r="BJ73">
        <f t="shared" si="82"/>
        <v>0.71922089551893453</v>
      </c>
      <c r="BK73">
        <f t="shared" si="83"/>
        <v>0.72528763104111948</v>
      </c>
      <c r="BL73">
        <f t="shared" si="84"/>
        <v>0.70157929118288243</v>
      </c>
      <c r="BM73">
        <f t="shared" si="85"/>
        <v>0.72031186332684272</v>
      </c>
      <c r="BN73">
        <f t="shared" si="86"/>
        <v>0.55241667894590973</v>
      </c>
      <c r="BO73">
        <f t="shared" si="87"/>
        <v>0.44758332105409027</v>
      </c>
      <c r="BP73">
        <v>13682</v>
      </c>
      <c r="BQ73">
        <v>290.00000000000011</v>
      </c>
      <c r="BR73">
        <v>1160.94</v>
      </c>
      <c r="BS73">
        <v>295</v>
      </c>
      <c r="BT73">
        <v>8186.37</v>
      </c>
      <c r="BU73">
        <v>1164.1600000000001</v>
      </c>
      <c r="BV73">
        <v>-3.22</v>
      </c>
      <c r="BW73">
        <v>300.00000000000011</v>
      </c>
      <c r="BX73">
        <v>19.3</v>
      </c>
      <c r="BY73">
        <v>1322.3704239962899</v>
      </c>
      <c r="BZ73">
        <v>5.4118817607590266</v>
      </c>
      <c r="CA73">
        <v>-129.5189796300991</v>
      </c>
      <c r="CB73">
        <v>4.0686525978962056</v>
      </c>
      <c r="CC73">
        <v>0.97311219581960184</v>
      </c>
      <c r="CD73">
        <v>-4.2391666295884308E-3</v>
      </c>
      <c r="CE73">
        <v>289.99999999999989</v>
      </c>
      <c r="CF73">
        <v>1158.2</v>
      </c>
      <c r="CG73">
        <v>635</v>
      </c>
      <c r="CH73">
        <v>8176.72</v>
      </c>
      <c r="CI73">
        <v>1163.97</v>
      </c>
      <c r="CJ73">
        <v>-5.77</v>
      </c>
      <c r="CX73">
        <f t="shared" si="88"/>
        <v>1800.05</v>
      </c>
      <c r="CY73">
        <f t="shared" si="89"/>
        <v>1513.227000006583</v>
      </c>
      <c r="CZ73">
        <f t="shared" si="90"/>
        <v>0.8406583150504614</v>
      </c>
      <c r="DA73">
        <f t="shared" si="91"/>
        <v>0.16087054804739062</v>
      </c>
      <c r="DB73">
        <v>6</v>
      </c>
      <c r="DC73">
        <v>0.5</v>
      </c>
      <c r="DD73" t="s">
        <v>421</v>
      </c>
      <c r="DE73">
        <v>2</v>
      </c>
      <c r="DF73">
        <v>1689010377</v>
      </c>
      <c r="DG73">
        <v>622.84299999999996</v>
      </c>
      <c r="DH73">
        <v>700.26199999999994</v>
      </c>
      <c r="DI73">
        <v>27.057300000000001</v>
      </c>
      <c r="DJ73">
        <v>20.828199999999999</v>
      </c>
      <c r="DK73">
        <v>623.11800000000005</v>
      </c>
      <c r="DL73">
        <v>26.903300000000002</v>
      </c>
      <c r="DM73">
        <v>500.15600000000001</v>
      </c>
      <c r="DN73">
        <v>99.174199999999999</v>
      </c>
      <c r="DO73">
        <v>9.9396499999999999E-2</v>
      </c>
      <c r="DP73">
        <v>29.364599999999999</v>
      </c>
      <c r="DQ73">
        <v>29.973199999999999</v>
      </c>
      <c r="DR73">
        <v>999.9</v>
      </c>
      <c r="DS73">
        <v>0</v>
      </c>
      <c r="DT73">
        <v>0</v>
      </c>
      <c r="DU73">
        <v>10006.9</v>
      </c>
      <c r="DV73">
        <v>0</v>
      </c>
      <c r="DW73">
        <v>2048.19</v>
      </c>
      <c r="DX73">
        <v>-77.418899999999994</v>
      </c>
      <c r="DY73">
        <v>640.16399999999999</v>
      </c>
      <c r="DZ73">
        <v>715.15700000000004</v>
      </c>
      <c r="EA73">
        <v>6.2290900000000002</v>
      </c>
      <c r="EB73">
        <v>700.26199999999994</v>
      </c>
      <c r="EC73">
        <v>20.828199999999999</v>
      </c>
      <c r="ED73">
        <v>2.6833900000000002</v>
      </c>
      <c r="EE73">
        <v>2.06562</v>
      </c>
      <c r="EF73">
        <v>22.183700000000002</v>
      </c>
      <c r="EG73">
        <v>17.956499999999998</v>
      </c>
      <c r="EH73">
        <v>1800.05</v>
      </c>
      <c r="EI73">
        <v>0.97799599999999998</v>
      </c>
      <c r="EJ73">
        <v>2.20039E-2</v>
      </c>
      <c r="EK73">
        <v>0</v>
      </c>
      <c r="EL73">
        <v>829.48400000000004</v>
      </c>
      <c r="EM73">
        <v>4.9999900000000004</v>
      </c>
      <c r="EN73">
        <v>20920</v>
      </c>
      <c r="EO73">
        <v>15864.3</v>
      </c>
      <c r="EP73">
        <v>47.875</v>
      </c>
      <c r="EQ73">
        <v>49.5</v>
      </c>
      <c r="ER73">
        <v>48.375</v>
      </c>
      <c r="ES73">
        <v>49.186999999999998</v>
      </c>
      <c r="ET73">
        <v>49.625</v>
      </c>
      <c r="EU73">
        <v>1755.55</v>
      </c>
      <c r="EV73">
        <v>39.5</v>
      </c>
      <c r="EW73">
        <v>0</v>
      </c>
      <c r="EX73">
        <v>115.7999999523163</v>
      </c>
      <c r="EY73">
        <v>0</v>
      </c>
      <c r="EZ73">
        <v>829.5527692307694</v>
      </c>
      <c r="FA73">
        <v>0.78892308377241149</v>
      </c>
      <c r="FB73">
        <v>103.9350423818651</v>
      </c>
      <c r="FC73">
        <v>20878.365384615379</v>
      </c>
      <c r="FD73">
        <v>15</v>
      </c>
      <c r="FE73">
        <v>1689010347</v>
      </c>
      <c r="FF73" t="s">
        <v>713</v>
      </c>
      <c r="FG73">
        <v>1689010343.0999999</v>
      </c>
      <c r="FH73">
        <v>1689010347</v>
      </c>
      <c r="FI73">
        <v>62</v>
      </c>
      <c r="FJ73">
        <v>1.7999999999999999E-2</v>
      </c>
      <c r="FK73">
        <v>-3.0000000000000001E-3</v>
      </c>
      <c r="FL73">
        <v>-0.26300000000000001</v>
      </c>
      <c r="FM73">
        <v>0.121</v>
      </c>
      <c r="FN73">
        <v>700</v>
      </c>
      <c r="FO73">
        <v>20</v>
      </c>
      <c r="FP73">
        <v>0.01</v>
      </c>
      <c r="FQ73">
        <v>0.02</v>
      </c>
      <c r="FR73">
        <v>61.12709182629505</v>
      </c>
      <c r="FS73">
        <v>-0.59650477304906158</v>
      </c>
      <c r="FT73">
        <v>5.6168628648626193E-2</v>
      </c>
      <c r="FU73">
        <v>1</v>
      </c>
      <c r="FV73">
        <v>0.34459408650215861</v>
      </c>
      <c r="FW73">
        <v>3.4781625544768748E-2</v>
      </c>
      <c r="FX73">
        <v>3.7421752455078401E-3</v>
      </c>
      <c r="FY73">
        <v>1</v>
      </c>
      <c r="FZ73">
        <v>2</v>
      </c>
      <c r="GA73">
        <v>2</v>
      </c>
      <c r="GB73" t="s">
        <v>423</v>
      </c>
      <c r="GC73">
        <v>2.9590399999999999</v>
      </c>
      <c r="GD73">
        <v>2.74268</v>
      </c>
      <c r="GE73">
        <v>0.123139</v>
      </c>
      <c r="GF73">
        <v>0.13326299999999999</v>
      </c>
      <c r="GG73">
        <v>0.125782</v>
      </c>
      <c r="GH73">
        <v>0.104322</v>
      </c>
      <c r="GI73">
        <v>20602.5</v>
      </c>
      <c r="GJ73">
        <v>18964.3</v>
      </c>
      <c r="GK73">
        <v>23425.200000000001</v>
      </c>
      <c r="GL73">
        <v>21926.5</v>
      </c>
      <c r="GM73">
        <v>28881.4</v>
      </c>
      <c r="GN73">
        <v>27405.8</v>
      </c>
      <c r="GO73">
        <v>36962.300000000003</v>
      </c>
      <c r="GP73">
        <v>34116.400000000001</v>
      </c>
      <c r="GQ73">
        <v>1.98855</v>
      </c>
      <c r="GR73">
        <v>1.83582</v>
      </c>
      <c r="GS73">
        <v>3.8102299999999999E-2</v>
      </c>
      <c r="GT73">
        <v>0</v>
      </c>
      <c r="GU73">
        <v>29.352799999999998</v>
      </c>
      <c r="GV73">
        <v>999.9</v>
      </c>
      <c r="GW73">
        <v>30.6</v>
      </c>
      <c r="GX73">
        <v>44.2</v>
      </c>
      <c r="GY73">
        <v>28.537600000000001</v>
      </c>
      <c r="GZ73">
        <v>60.489699999999999</v>
      </c>
      <c r="HA73">
        <v>38.774000000000001</v>
      </c>
      <c r="HB73">
        <v>1</v>
      </c>
      <c r="HC73">
        <v>0.47745399999999999</v>
      </c>
      <c r="HD73">
        <v>2.9388700000000001</v>
      </c>
      <c r="HE73">
        <v>20.135999999999999</v>
      </c>
      <c r="HF73">
        <v>5.2640099999999999</v>
      </c>
      <c r="HG73">
        <v>11.962</v>
      </c>
      <c r="HH73">
        <v>4.9798</v>
      </c>
      <c r="HI73">
        <v>3.298</v>
      </c>
      <c r="HJ73">
        <v>9999</v>
      </c>
      <c r="HK73">
        <v>9999</v>
      </c>
      <c r="HL73">
        <v>9999</v>
      </c>
      <c r="HM73">
        <v>999.9</v>
      </c>
      <c r="HN73">
        <v>1.8638999999999999</v>
      </c>
      <c r="HO73">
        <v>1.85989</v>
      </c>
      <c r="HP73">
        <v>1.8664700000000001</v>
      </c>
      <c r="HQ73">
        <v>1.8631500000000001</v>
      </c>
      <c r="HR73">
        <v>1.86188</v>
      </c>
      <c r="HS73">
        <v>1.86188</v>
      </c>
      <c r="HT73">
        <v>1.8631</v>
      </c>
      <c r="HU73">
        <v>1.86442</v>
      </c>
      <c r="HV73">
        <v>0</v>
      </c>
      <c r="HW73">
        <v>0</v>
      </c>
      <c r="HX73">
        <v>0</v>
      </c>
      <c r="HY73">
        <v>0</v>
      </c>
      <c r="HZ73" t="s">
        <v>424</v>
      </c>
      <c r="IA73" t="s">
        <v>425</v>
      </c>
      <c r="IB73" t="s">
        <v>426</v>
      </c>
      <c r="IC73" t="s">
        <v>426</v>
      </c>
      <c r="ID73" t="s">
        <v>426</v>
      </c>
      <c r="IE73" t="s">
        <v>426</v>
      </c>
      <c r="IF73">
        <v>0</v>
      </c>
      <c r="IG73">
        <v>100</v>
      </c>
      <c r="IH73">
        <v>100</v>
      </c>
      <c r="II73">
        <v>-0.27500000000000002</v>
      </c>
      <c r="IJ73">
        <v>0.154</v>
      </c>
      <c r="IK73">
        <v>-0.30312825628797357</v>
      </c>
      <c r="IL73">
        <v>-8.3322953065825546E-5</v>
      </c>
      <c r="IM73">
        <v>2.3872336679552741E-7</v>
      </c>
      <c r="IN73">
        <v>-5.428329794194132E-11</v>
      </c>
      <c r="IO73">
        <v>0.15402011922641901</v>
      </c>
      <c r="IP73">
        <v>0</v>
      </c>
      <c r="IQ73">
        <v>0</v>
      </c>
      <c r="IR73">
        <v>0</v>
      </c>
      <c r="IS73">
        <v>2</v>
      </c>
      <c r="IT73">
        <v>2035</v>
      </c>
      <c r="IU73">
        <v>1</v>
      </c>
      <c r="IV73">
        <v>21</v>
      </c>
      <c r="IW73">
        <v>0.6</v>
      </c>
      <c r="IX73">
        <v>0.5</v>
      </c>
      <c r="IY73">
        <v>1.69312</v>
      </c>
      <c r="IZ73">
        <v>2.7063000000000001</v>
      </c>
      <c r="JA73">
        <v>1.4526399999999999</v>
      </c>
      <c r="JB73">
        <v>2.2778299999999998</v>
      </c>
      <c r="JC73">
        <v>1.5942400000000001</v>
      </c>
      <c r="JD73">
        <v>2.34375</v>
      </c>
      <c r="JE73">
        <v>45.892099999999999</v>
      </c>
      <c r="JF73">
        <v>15.821899999999999</v>
      </c>
      <c r="JG73">
        <v>18</v>
      </c>
      <c r="JH73">
        <v>500.40100000000001</v>
      </c>
      <c r="JI73">
        <v>437.91199999999998</v>
      </c>
      <c r="JJ73">
        <v>26.224799999999998</v>
      </c>
      <c r="JK73">
        <v>32.9696</v>
      </c>
      <c r="JL73">
        <v>30.000800000000002</v>
      </c>
      <c r="JM73">
        <v>32.878500000000003</v>
      </c>
      <c r="JN73">
        <v>32.874400000000001</v>
      </c>
      <c r="JO73">
        <v>33.839100000000002</v>
      </c>
      <c r="JP73">
        <v>30.874600000000001</v>
      </c>
      <c r="JQ73">
        <v>0</v>
      </c>
      <c r="JR73">
        <v>26.2393</v>
      </c>
      <c r="JS73">
        <v>700</v>
      </c>
      <c r="JT73">
        <v>20.658200000000001</v>
      </c>
      <c r="JU73">
        <v>99.068700000000007</v>
      </c>
      <c r="JV73">
        <v>98.4114</v>
      </c>
    </row>
    <row r="74" spans="1:282" x14ac:dyDescent="0.25">
      <c r="A74">
        <v>58</v>
      </c>
      <c r="B74">
        <v>1689010525.5</v>
      </c>
      <c r="C74">
        <v>11184.900000095369</v>
      </c>
      <c r="D74" t="s">
        <v>714</v>
      </c>
      <c r="E74" t="s">
        <v>715</v>
      </c>
      <c r="F74" t="s">
        <v>414</v>
      </c>
      <c r="G74" t="s">
        <v>415</v>
      </c>
      <c r="H74" t="s">
        <v>654</v>
      </c>
      <c r="I74" t="s">
        <v>655</v>
      </c>
      <c r="J74" t="s">
        <v>416</v>
      </c>
      <c r="K74">
        <v>1689010525.5</v>
      </c>
      <c r="L74">
        <f t="shared" si="46"/>
        <v>4.9889955550385164E-3</v>
      </c>
      <c r="M74">
        <f t="shared" si="47"/>
        <v>4.9889955550385165</v>
      </c>
      <c r="N74">
        <f t="shared" si="48"/>
        <v>62.416840230064118</v>
      </c>
      <c r="O74">
        <f t="shared" si="49"/>
        <v>820.26900000000001</v>
      </c>
      <c r="P74">
        <f t="shared" si="50"/>
        <v>476.83597685113608</v>
      </c>
      <c r="Q74">
        <f t="shared" si="51"/>
        <v>47.341681971076525</v>
      </c>
      <c r="R74">
        <f t="shared" si="52"/>
        <v>81.43872529328101</v>
      </c>
      <c r="S74">
        <f t="shared" si="53"/>
        <v>0.32189308354740964</v>
      </c>
      <c r="T74">
        <f t="shared" si="54"/>
        <v>2.9101393521592556</v>
      </c>
      <c r="U74">
        <f t="shared" si="55"/>
        <v>0.3033400328048087</v>
      </c>
      <c r="V74">
        <f t="shared" si="56"/>
        <v>0.19116526742266954</v>
      </c>
      <c r="W74">
        <f t="shared" si="57"/>
        <v>289.57125901270234</v>
      </c>
      <c r="X74">
        <f t="shared" si="58"/>
        <v>29.736267852997237</v>
      </c>
      <c r="Y74">
        <f t="shared" si="59"/>
        <v>29.961099999999998</v>
      </c>
      <c r="Z74">
        <f t="shared" si="60"/>
        <v>4.2509395545392374</v>
      </c>
      <c r="AA74">
        <f t="shared" si="61"/>
        <v>65.278283346551518</v>
      </c>
      <c r="AB74">
        <f t="shared" si="62"/>
        <v>2.6750003514968004</v>
      </c>
      <c r="AC74">
        <f t="shared" si="63"/>
        <v>4.0978411415871179</v>
      </c>
      <c r="AD74">
        <f t="shared" si="64"/>
        <v>1.5759392030424371</v>
      </c>
      <c r="AE74">
        <f t="shared" si="65"/>
        <v>-220.01470397719856</v>
      </c>
      <c r="AF74">
        <f t="shared" si="66"/>
        <v>-99.924153520773629</v>
      </c>
      <c r="AG74">
        <f t="shared" si="67"/>
        <v>-7.6077945191761351</v>
      </c>
      <c r="AH74">
        <f t="shared" si="68"/>
        <v>-37.975393004445991</v>
      </c>
      <c r="AI74">
        <v>0</v>
      </c>
      <c r="AJ74">
        <v>0</v>
      </c>
      <c r="AK74">
        <f t="shared" si="69"/>
        <v>1</v>
      </c>
      <c r="AL74">
        <f t="shared" si="70"/>
        <v>0</v>
      </c>
      <c r="AM74">
        <f t="shared" si="71"/>
        <v>51898.308183649038</v>
      </c>
      <c r="AN74" t="s">
        <v>418</v>
      </c>
      <c r="AO74">
        <v>8197.4</v>
      </c>
      <c r="AP74">
        <v>619.92999999999995</v>
      </c>
      <c r="AQ74">
        <v>3131.443117258741</v>
      </c>
      <c r="AR74">
        <f t="shared" si="72"/>
        <v>0.80203057287443702</v>
      </c>
      <c r="AS74">
        <v>-1.0448500102641549</v>
      </c>
      <c r="AT74" t="s">
        <v>716</v>
      </c>
      <c r="AU74">
        <v>8185.49</v>
      </c>
      <c r="AV74">
        <v>831.12404000000015</v>
      </c>
      <c r="AW74">
        <v>1344.098212024267</v>
      </c>
      <c r="AX74">
        <f t="shared" si="73"/>
        <v>0.38164932252361727</v>
      </c>
      <c r="AY74">
        <v>0.5</v>
      </c>
      <c r="AZ74">
        <f t="shared" si="74"/>
        <v>1513.2099000065816</v>
      </c>
      <c r="BA74">
        <f t="shared" si="75"/>
        <v>62.416840230064118</v>
      </c>
      <c r="BB74">
        <f t="shared" si="76"/>
        <v>288.75776658677125</v>
      </c>
      <c r="BC74">
        <f t="shared" si="77"/>
        <v>4.1938458266795806E-2</v>
      </c>
      <c r="BD74">
        <f t="shared" si="78"/>
        <v>1.3297725487951206</v>
      </c>
      <c r="BE74">
        <f t="shared" si="79"/>
        <v>490.74045918039707</v>
      </c>
      <c r="BF74" t="s">
        <v>717</v>
      </c>
      <c r="BG74">
        <v>640.39</v>
      </c>
      <c r="BH74">
        <f t="shared" si="80"/>
        <v>640.39</v>
      </c>
      <c r="BI74">
        <f t="shared" si="81"/>
        <v>0.52355416124276632</v>
      </c>
      <c r="BJ74">
        <f t="shared" si="82"/>
        <v>0.72895862696935132</v>
      </c>
      <c r="BK74">
        <f t="shared" si="83"/>
        <v>0.71750573797532791</v>
      </c>
      <c r="BL74">
        <f t="shared" si="84"/>
        <v>0.70836328287643335</v>
      </c>
      <c r="BM74">
        <f t="shared" si="85"/>
        <v>0.71166058936826093</v>
      </c>
      <c r="BN74">
        <f t="shared" si="86"/>
        <v>0.56167045189175713</v>
      </c>
      <c r="BO74">
        <f t="shared" si="87"/>
        <v>0.43832954810824287</v>
      </c>
      <c r="BP74">
        <v>13684</v>
      </c>
      <c r="BQ74">
        <v>290.00000000000011</v>
      </c>
      <c r="BR74">
        <v>1175.03</v>
      </c>
      <c r="BS74">
        <v>275</v>
      </c>
      <c r="BT74">
        <v>8185.49</v>
      </c>
      <c r="BU74">
        <v>1178.73</v>
      </c>
      <c r="BV74">
        <v>-3.7</v>
      </c>
      <c r="BW74">
        <v>300.00000000000011</v>
      </c>
      <c r="BX74">
        <v>19.3</v>
      </c>
      <c r="BY74">
        <v>1344.098212024267</v>
      </c>
      <c r="BZ74">
        <v>4.1602820325487446</v>
      </c>
      <c r="CA74">
        <v>-135.3583593960218</v>
      </c>
      <c r="CB74">
        <v>3.1270712788879291</v>
      </c>
      <c r="CC74">
        <v>0.98527614950466813</v>
      </c>
      <c r="CD74">
        <v>-4.238633592880979E-3</v>
      </c>
      <c r="CE74">
        <v>289.99999999999989</v>
      </c>
      <c r="CF74">
        <v>1172.19</v>
      </c>
      <c r="CG74">
        <v>665</v>
      </c>
      <c r="CH74">
        <v>8174.08</v>
      </c>
      <c r="CI74">
        <v>1178.5</v>
      </c>
      <c r="CJ74">
        <v>-6.31</v>
      </c>
      <c r="CX74">
        <f t="shared" si="88"/>
        <v>1800.03</v>
      </c>
      <c r="CY74">
        <f t="shared" si="89"/>
        <v>1513.2099000065816</v>
      </c>
      <c r="CZ74">
        <f t="shared" si="90"/>
        <v>0.84065815570106139</v>
      </c>
      <c r="DA74">
        <f t="shared" si="91"/>
        <v>0.16087024050304849</v>
      </c>
      <c r="DB74">
        <v>6</v>
      </c>
      <c r="DC74">
        <v>0.5</v>
      </c>
      <c r="DD74" t="s">
        <v>421</v>
      </c>
      <c r="DE74">
        <v>2</v>
      </c>
      <c r="DF74">
        <v>1689010525.5</v>
      </c>
      <c r="DG74">
        <v>820.26900000000001</v>
      </c>
      <c r="DH74">
        <v>900.07600000000002</v>
      </c>
      <c r="DI74">
        <v>26.943200000000001</v>
      </c>
      <c r="DJ74">
        <v>21.117999999999999</v>
      </c>
      <c r="DK74">
        <v>820.58500000000004</v>
      </c>
      <c r="DL74">
        <v>26.789300000000001</v>
      </c>
      <c r="DM74">
        <v>500.02499999999998</v>
      </c>
      <c r="DN74">
        <v>99.1828</v>
      </c>
      <c r="DO74">
        <v>0.100149</v>
      </c>
      <c r="DP74">
        <v>29.324200000000001</v>
      </c>
      <c r="DQ74">
        <v>29.961099999999998</v>
      </c>
      <c r="DR74">
        <v>999.9</v>
      </c>
      <c r="DS74">
        <v>0</v>
      </c>
      <c r="DT74">
        <v>0</v>
      </c>
      <c r="DU74">
        <v>9971.25</v>
      </c>
      <c r="DV74">
        <v>0</v>
      </c>
      <c r="DW74">
        <v>2070.14</v>
      </c>
      <c r="DX74">
        <v>-79.807000000000002</v>
      </c>
      <c r="DY74">
        <v>842.98099999999999</v>
      </c>
      <c r="DZ74">
        <v>919.49400000000003</v>
      </c>
      <c r="EA74">
        <v>5.8252100000000002</v>
      </c>
      <c r="EB74">
        <v>900.07600000000002</v>
      </c>
      <c r="EC74">
        <v>21.117999999999999</v>
      </c>
      <c r="ED74">
        <v>2.6722999999999999</v>
      </c>
      <c r="EE74">
        <v>2.0945399999999998</v>
      </c>
      <c r="EF74">
        <v>22.1158</v>
      </c>
      <c r="EG74">
        <v>18.177700000000002</v>
      </c>
      <c r="EH74">
        <v>1800.03</v>
      </c>
      <c r="EI74">
        <v>0.97799899999999995</v>
      </c>
      <c r="EJ74">
        <v>2.2000700000000002E-2</v>
      </c>
      <c r="EK74">
        <v>0</v>
      </c>
      <c r="EL74">
        <v>830.49</v>
      </c>
      <c r="EM74">
        <v>4.9999900000000004</v>
      </c>
      <c r="EN74">
        <v>21062.1</v>
      </c>
      <c r="EO74">
        <v>15864</v>
      </c>
      <c r="EP74">
        <v>48.25</v>
      </c>
      <c r="EQ74">
        <v>49.811999999999998</v>
      </c>
      <c r="ER74">
        <v>48.75</v>
      </c>
      <c r="ES74">
        <v>49.436999999999998</v>
      </c>
      <c r="ET74">
        <v>49.936999999999998</v>
      </c>
      <c r="EU74">
        <v>1755.54</v>
      </c>
      <c r="EV74">
        <v>39.49</v>
      </c>
      <c r="EW74">
        <v>0</v>
      </c>
      <c r="EX74">
        <v>146.39999985694891</v>
      </c>
      <c r="EY74">
        <v>0</v>
      </c>
      <c r="EZ74">
        <v>831.12404000000015</v>
      </c>
      <c r="FA74">
        <v>-3.291461552856902</v>
      </c>
      <c r="FB74">
        <v>-110.4000005886471</v>
      </c>
      <c r="FC74">
        <v>21100.34</v>
      </c>
      <c r="FD74">
        <v>15</v>
      </c>
      <c r="FE74">
        <v>1689010490.5</v>
      </c>
      <c r="FF74" t="s">
        <v>718</v>
      </c>
      <c r="FG74">
        <v>1689010489</v>
      </c>
      <c r="FH74">
        <v>1689010490.5</v>
      </c>
      <c r="FI74">
        <v>63</v>
      </c>
      <c r="FJ74">
        <v>-7.5999999999999998E-2</v>
      </c>
      <c r="FK74">
        <v>0</v>
      </c>
      <c r="FL74">
        <v>-0.3</v>
      </c>
      <c r="FM74">
        <v>0.14000000000000001</v>
      </c>
      <c r="FN74">
        <v>900</v>
      </c>
      <c r="FO74">
        <v>21</v>
      </c>
      <c r="FP74">
        <v>0.06</v>
      </c>
      <c r="FQ74">
        <v>0.01</v>
      </c>
      <c r="FR74">
        <v>62.561518660110259</v>
      </c>
      <c r="FS74">
        <v>-0.58776999045895983</v>
      </c>
      <c r="FT74">
        <v>5.6920157642836942E-2</v>
      </c>
      <c r="FU74">
        <v>1</v>
      </c>
      <c r="FV74">
        <v>0.3286805185851297</v>
      </c>
      <c r="FW74">
        <v>-1.52812728916491E-2</v>
      </c>
      <c r="FX74">
        <v>2.036784929392983E-3</v>
      </c>
      <c r="FY74">
        <v>1</v>
      </c>
      <c r="FZ74">
        <v>2</v>
      </c>
      <c r="GA74">
        <v>2</v>
      </c>
      <c r="GB74" t="s">
        <v>423</v>
      </c>
      <c r="GC74">
        <v>2.9584199999999998</v>
      </c>
      <c r="GD74">
        <v>2.7431299999999998</v>
      </c>
      <c r="GE74">
        <v>0.148391</v>
      </c>
      <c r="GF74">
        <v>0.15739300000000001</v>
      </c>
      <c r="GG74">
        <v>0.12534699999999999</v>
      </c>
      <c r="GH74">
        <v>0.10528</v>
      </c>
      <c r="GI74">
        <v>19997</v>
      </c>
      <c r="GJ74">
        <v>18424.099999999999</v>
      </c>
      <c r="GK74">
        <v>23412.3</v>
      </c>
      <c r="GL74">
        <v>21913.3</v>
      </c>
      <c r="GM74">
        <v>28882.9</v>
      </c>
      <c r="GN74">
        <v>27363.1</v>
      </c>
      <c r="GO74">
        <v>36941.300000000003</v>
      </c>
      <c r="GP74">
        <v>34097.9</v>
      </c>
      <c r="GQ74">
        <v>1.9861200000000001</v>
      </c>
      <c r="GR74">
        <v>1.83223</v>
      </c>
      <c r="GS74">
        <v>3.12775E-2</v>
      </c>
      <c r="GT74">
        <v>0</v>
      </c>
      <c r="GU74">
        <v>29.451899999999998</v>
      </c>
      <c r="GV74">
        <v>999.9</v>
      </c>
      <c r="GW74">
        <v>30.5</v>
      </c>
      <c r="GX74">
        <v>44.3</v>
      </c>
      <c r="GY74">
        <v>28.585000000000001</v>
      </c>
      <c r="GZ74">
        <v>60.539700000000003</v>
      </c>
      <c r="HA74">
        <v>39.390999999999998</v>
      </c>
      <c r="HB74">
        <v>1</v>
      </c>
      <c r="HC74">
        <v>0.50206300000000004</v>
      </c>
      <c r="HD74">
        <v>2.96773</v>
      </c>
      <c r="HE74">
        <v>20.135000000000002</v>
      </c>
      <c r="HF74">
        <v>5.2619199999999999</v>
      </c>
      <c r="HG74">
        <v>11.962</v>
      </c>
      <c r="HH74">
        <v>4.9796500000000004</v>
      </c>
      <c r="HI74">
        <v>3.2977799999999999</v>
      </c>
      <c r="HJ74">
        <v>9999</v>
      </c>
      <c r="HK74">
        <v>9999</v>
      </c>
      <c r="HL74">
        <v>9999</v>
      </c>
      <c r="HM74">
        <v>999.9</v>
      </c>
      <c r="HN74">
        <v>1.8639399999999999</v>
      </c>
      <c r="HO74">
        <v>1.85989</v>
      </c>
      <c r="HP74">
        <v>1.86649</v>
      </c>
      <c r="HQ74">
        <v>1.8632200000000001</v>
      </c>
      <c r="HR74">
        <v>1.8618699999999999</v>
      </c>
      <c r="HS74">
        <v>1.86188</v>
      </c>
      <c r="HT74">
        <v>1.8631200000000001</v>
      </c>
      <c r="HU74">
        <v>1.86443</v>
      </c>
      <c r="HV74">
        <v>0</v>
      </c>
      <c r="HW74">
        <v>0</v>
      </c>
      <c r="HX74">
        <v>0</v>
      </c>
      <c r="HY74">
        <v>0</v>
      </c>
      <c r="HZ74" t="s">
        <v>424</v>
      </c>
      <c r="IA74" t="s">
        <v>425</v>
      </c>
      <c r="IB74" t="s">
        <v>426</v>
      </c>
      <c r="IC74" t="s">
        <v>426</v>
      </c>
      <c r="ID74" t="s">
        <v>426</v>
      </c>
      <c r="IE74" t="s">
        <v>426</v>
      </c>
      <c r="IF74">
        <v>0</v>
      </c>
      <c r="IG74">
        <v>100</v>
      </c>
      <c r="IH74">
        <v>100</v>
      </c>
      <c r="II74">
        <v>-0.316</v>
      </c>
      <c r="IJ74">
        <v>0.15390000000000001</v>
      </c>
      <c r="IK74">
        <v>-0.37882176436210091</v>
      </c>
      <c r="IL74">
        <v>-8.3322953065825546E-5</v>
      </c>
      <c r="IM74">
        <v>2.3872336679552741E-7</v>
      </c>
      <c r="IN74">
        <v>-5.428329794194132E-11</v>
      </c>
      <c r="IO74">
        <v>0.1538974202570689</v>
      </c>
      <c r="IP74">
        <v>0</v>
      </c>
      <c r="IQ74">
        <v>0</v>
      </c>
      <c r="IR74">
        <v>0</v>
      </c>
      <c r="IS74">
        <v>2</v>
      </c>
      <c r="IT74">
        <v>2035</v>
      </c>
      <c r="IU74">
        <v>1</v>
      </c>
      <c r="IV74">
        <v>21</v>
      </c>
      <c r="IW74">
        <v>0.6</v>
      </c>
      <c r="IX74">
        <v>0.6</v>
      </c>
      <c r="IY74">
        <v>2.0788600000000002</v>
      </c>
      <c r="IZ74">
        <v>2.7050800000000002</v>
      </c>
      <c r="JA74">
        <v>1.4526399999999999</v>
      </c>
      <c r="JB74">
        <v>2.2790499999999998</v>
      </c>
      <c r="JC74">
        <v>1.5942400000000001</v>
      </c>
      <c r="JD74">
        <v>2.3596200000000001</v>
      </c>
      <c r="JE74">
        <v>46.152700000000003</v>
      </c>
      <c r="JF74">
        <v>15.7781</v>
      </c>
      <c r="JG74">
        <v>18</v>
      </c>
      <c r="JH74">
        <v>501.11799999999999</v>
      </c>
      <c r="JI74">
        <v>437.577</v>
      </c>
      <c r="JJ74">
        <v>26.183800000000002</v>
      </c>
      <c r="JK74">
        <v>33.247599999999998</v>
      </c>
      <c r="JL74">
        <v>30.001200000000001</v>
      </c>
      <c r="JM74">
        <v>33.147599999999997</v>
      </c>
      <c r="JN74">
        <v>33.144100000000002</v>
      </c>
      <c r="JO74">
        <v>41.549700000000001</v>
      </c>
      <c r="JP74">
        <v>29.130500000000001</v>
      </c>
      <c r="JQ74">
        <v>0</v>
      </c>
      <c r="JR74">
        <v>26.2119</v>
      </c>
      <c r="JS74">
        <v>900</v>
      </c>
      <c r="JT74">
        <v>21.1188</v>
      </c>
      <c r="JU74">
        <v>99.013099999999994</v>
      </c>
      <c r="JV74">
        <v>98.355699999999999</v>
      </c>
    </row>
    <row r="75" spans="1:282" x14ac:dyDescent="0.25">
      <c r="A75">
        <v>59</v>
      </c>
      <c r="B75">
        <v>1689010651.5</v>
      </c>
      <c r="C75">
        <v>11310.900000095369</v>
      </c>
      <c r="D75" t="s">
        <v>719</v>
      </c>
      <c r="E75" t="s">
        <v>720</v>
      </c>
      <c r="F75" t="s">
        <v>414</v>
      </c>
      <c r="G75" t="s">
        <v>415</v>
      </c>
      <c r="H75" t="s">
        <v>654</v>
      </c>
      <c r="I75" t="s">
        <v>655</v>
      </c>
      <c r="J75" t="s">
        <v>416</v>
      </c>
      <c r="K75">
        <v>1689010651.5</v>
      </c>
      <c r="L75">
        <f t="shared" si="46"/>
        <v>4.3380509058122754E-3</v>
      </c>
      <c r="M75">
        <f t="shared" si="47"/>
        <v>4.3380509058122758</v>
      </c>
      <c r="N75">
        <f t="shared" si="48"/>
        <v>63.11374970365501</v>
      </c>
      <c r="O75">
        <f t="shared" si="49"/>
        <v>1118.53</v>
      </c>
      <c r="P75">
        <f t="shared" si="50"/>
        <v>713.38799855739785</v>
      </c>
      <c r="Q75">
        <f t="shared" si="51"/>
        <v>70.834004795829372</v>
      </c>
      <c r="R75">
        <f t="shared" si="52"/>
        <v>111.06152548752799</v>
      </c>
      <c r="S75">
        <f t="shared" si="53"/>
        <v>0.27689113624379735</v>
      </c>
      <c r="T75">
        <f t="shared" si="54"/>
        <v>2.9105276468384149</v>
      </c>
      <c r="U75">
        <f t="shared" si="55"/>
        <v>0.2630449728158471</v>
      </c>
      <c r="V75">
        <f t="shared" si="56"/>
        <v>0.16558941366553764</v>
      </c>
      <c r="W75">
        <f t="shared" si="57"/>
        <v>289.54891501270339</v>
      </c>
      <c r="X75">
        <f t="shared" si="58"/>
        <v>29.958706252239892</v>
      </c>
      <c r="Y75">
        <f t="shared" si="59"/>
        <v>29.979500000000002</v>
      </c>
      <c r="Z75">
        <f t="shared" si="60"/>
        <v>4.2554356524988393</v>
      </c>
      <c r="AA75">
        <f t="shared" si="61"/>
        <v>65.082496544870594</v>
      </c>
      <c r="AB75">
        <f t="shared" si="62"/>
        <v>2.6750861299404001</v>
      </c>
      <c r="AC75">
        <f t="shared" si="63"/>
        <v>4.1103004217056789</v>
      </c>
      <c r="AD75">
        <f t="shared" si="64"/>
        <v>1.5803495225584392</v>
      </c>
      <c r="AE75">
        <f t="shared" si="65"/>
        <v>-191.30804494632136</v>
      </c>
      <c r="AF75">
        <f t="shared" si="66"/>
        <v>-94.571083287352081</v>
      </c>
      <c r="AG75">
        <f t="shared" si="67"/>
        <v>-7.2018071173864513</v>
      </c>
      <c r="AH75">
        <f t="shared" si="68"/>
        <v>-3.5320203383565172</v>
      </c>
      <c r="AI75">
        <v>0</v>
      </c>
      <c r="AJ75">
        <v>0</v>
      </c>
      <c r="AK75">
        <f t="shared" si="69"/>
        <v>1</v>
      </c>
      <c r="AL75">
        <f t="shared" si="70"/>
        <v>0</v>
      </c>
      <c r="AM75">
        <f t="shared" si="71"/>
        <v>51900.546611303529</v>
      </c>
      <c r="AN75" t="s">
        <v>418</v>
      </c>
      <c r="AO75">
        <v>8197.4</v>
      </c>
      <c r="AP75">
        <v>619.92999999999995</v>
      </c>
      <c r="AQ75">
        <v>3131.443117258741</v>
      </c>
      <c r="AR75">
        <f t="shared" si="72"/>
        <v>0.80203057287443702</v>
      </c>
      <c r="AS75">
        <v>-1.0448500102641549</v>
      </c>
      <c r="AT75" t="s">
        <v>721</v>
      </c>
      <c r="AU75">
        <v>8183.97</v>
      </c>
      <c r="AV75">
        <v>829.5618461538462</v>
      </c>
      <c r="AW75">
        <v>1358.6211692154459</v>
      </c>
      <c r="AX75">
        <f t="shared" si="73"/>
        <v>0.38940900896392783</v>
      </c>
      <c r="AY75">
        <v>0.5</v>
      </c>
      <c r="AZ75">
        <f t="shared" si="74"/>
        <v>1513.092300006582</v>
      </c>
      <c r="BA75">
        <f t="shared" si="75"/>
        <v>63.11374970365501</v>
      </c>
      <c r="BB75">
        <f t="shared" si="76"/>
        <v>294.60588650825662</v>
      </c>
      <c r="BC75">
        <f t="shared" si="77"/>
        <v>4.2402304019153403E-2</v>
      </c>
      <c r="BD75">
        <f t="shared" si="78"/>
        <v>1.3048684859422846</v>
      </c>
      <c r="BE75">
        <f t="shared" si="79"/>
        <v>492.6632307504243</v>
      </c>
      <c r="BF75" t="s">
        <v>722</v>
      </c>
      <c r="BG75">
        <v>637.02</v>
      </c>
      <c r="BH75">
        <f t="shared" si="80"/>
        <v>637.02</v>
      </c>
      <c r="BI75">
        <f t="shared" si="81"/>
        <v>0.53112757666814825</v>
      </c>
      <c r="BJ75">
        <f t="shared" si="82"/>
        <v>0.73317414886787735</v>
      </c>
      <c r="BK75">
        <f t="shared" si="83"/>
        <v>0.71071420713561495</v>
      </c>
      <c r="BL75">
        <f t="shared" si="84"/>
        <v>0.71621178797021023</v>
      </c>
      <c r="BM75">
        <f t="shared" si="85"/>
        <v>0.70587803657513426</v>
      </c>
      <c r="BN75">
        <f t="shared" si="86"/>
        <v>0.56300395019035043</v>
      </c>
      <c r="BO75">
        <f t="shared" si="87"/>
        <v>0.43699604980964957</v>
      </c>
      <c r="BP75">
        <v>13686</v>
      </c>
      <c r="BQ75">
        <v>290.00000000000011</v>
      </c>
      <c r="BR75">
        <v>1181.21</v>
      </c>
      <c r="BS75">
        <v>295</v>
      </c>
      <c r="BT75">
        <v>8183.97</v>
      </c>
      <c r="BU75">
        <v>1184.55</v>
      </c>
      <c r="BV75">
        <v>-3.34</v>
      </c>
      <c r="BW75">
        <v>300.00000000000011</v>
      </c>
      <c r="BX75">
        <v>19.3</v>
      </c>
      <c r="BY75">
        <v>1358.6211692154459</v>
      </c>
      <c r="BZ75">
        <v>5.096454997870687</v>
      </c>
      <c r="CA75">
        <v>-142.45602217444491</v>
      </c>
      <c r="CB75">
        <v>3.830332685558044</v>
      </c>
      <c r="CC75">
        <v>0.98015889375454124</v>
      </c>
      <c r="CD75">
        <v>-4.2382157953281471E-3</v>
      </c>
      <c r="CE75">
        <v>289.99999999999989</v>
      </c>
      <c r="CF75">
        <v>1177.8</v>
      </c>
      <c r="CG75">
        <v>645</v>
      </c>
      <c r="CH75">
        <v>8173.78</v>
      </c>
      <c r="CI75">
        <v>1184.3399999999999</v>
      </c>
      <c r="CJ75">
        <v>-6.54</v>
      </c>
      <c r="CX75">
        <f t="shared" si="88"/>
        <v>1799.89</v>
      </c>
      <c r="CY75">
        <f t="shared" si="89"/>
        <v>1513.092300006582</v>
      </c>
      <c r="CZ75">
        <f t="shared" si="90"/>
        <v>0.84065820689407789</v>
      </c>
      <c r="DA75">
        <f t="shared" si="91"/>
        <v>0.16087033930557054</v>
      </c>
      <c r="DB75">
        <v>6</v>
      </c>
      <c r="DC75">
        <v>0.5</v>
      </c>
      <c r="DD75" t="s">
        <v>421</v>
      </c>
      <c r="DE75">
        <v>2</v>
      </c>
      <c r="DF75">
        <v>1689010651.5</v>
      </c>
      <c r="DG75">
        <v>1118.53</v>
      </c>
      <c r="DH75">
        <v>1200.06</v>
      </c>
      <c r="DI75">
        <v>26.941500000000001</v>
      </c>
      <c r="DJ75">
        <v>21.8779</v>
      </c>
      <c r="DK75">
        <v>1118.6600000000001</v>
      </c>
      <c r="DL75">
        <v>26.790600000000001</v>
      </c>
      <c r="DM75">
        <v>500.17899999999997</v>
      </c>
      <c r="DN75">
        <v>99.192400000000006</v>
      </c>
      <c r="DO75">
        <v>9.9997600000000006E-2</v>
      </c>
      <c r="DP75">
        <v>29.376799999999999</v>
      </c>
      <c r="DQ75">
        <v>29.979500000000002</v>
      </c>
      <c r="DR75">
        <v>999.9</v>
      </c>
      <c r="DS75">
        <v>0</v>
      </c>
      <c r="DT75">
        <v>0</v>
      </c>
      <c r="DU75">
        <v>9972.5</v>
      </c>
      <c r="DV75">
        <v>0</v>
      </c>
      <c r="DW75">
        <v>1954.48</v>
      </c>
      <c r="DX75">
        <v>-81.528199999999998</v>
      </c>
      <c r="DY75">
        <v>1149.5</v>
      </c>
      <c r="DZ75">
        <v>1226.9000000000001</v>
      </c>
      <c r="EA75">
        <v>5.0636299999999999</v>
      </c>
      <c r="EB75">
        <v>1200.06</v>
      </c>
      <c r="EC75">
        <v>21.8779</v>
      </c>
      <c r="ED75">
        <v>2.6724000000000001</v>
      </c>
      <c r="EE75">
        <v>2.1701199999999998</v>
      </c>
      <c r="EF75">
        <v>22.116399999999999</v>
      </c>
      <c r="EG75">
        <v>18.743400000000001</v>
      </c>
      <c r="EH75">
        <v>1799.89</v>
      </c>
      <c r="EI75">
        <v>0.97799899999999995</v>
      </c>
      <c r="EJ75">
        <v>2.2000700000000002E-2</v>
      </c>
      <c r="EK75">
        <v>0</v>
      </c>
      <c r="EL75">
        <v>829.03200000000004</v>
      </c>
      <c r="EM75">
        <v>4.9999900000000004</v>
      </c>
      <c r="EN75">
        <v>21167.5</v>
      </c>
      <c r="EO75">
        <v>15862.8</v>
      </c>
      <c r="EP75">
        <v>48.311999999999998</v>
      </c>
      <c r="EQ75">
        <v>49.811999999999998</v>
      </c>
      <c r="ER75">
        <v>48.811999999999998</v>
      </c>
      <c r="ES75">
        <v>49.5</v>
      </c>
      <c r="ET75">
        <v>50.061999999999998</v>
      </c>
      <c r="EU75">
        <v>1755.4</v>
      </c>
      <c r="EV75">
        <v>39.49</v>
      </c>
      <c r="EW75">
        <v>0</v>
      </c>
      <c r="EX75">
        <v>123.7999999523163</v>
      </c>
      <c r="EY75">
        <v>0</v>
      </c>
      <c r="EZ75">
        <v>829.5618461538462</v>
      </c>
      <c r="FA75">
        <v>-4.5806495811205288</v>
      </c>
      <c r="FB75">
        <v>4209.9282038730726</v>
      </c>
      <c r="FC75">
        <v>19859.061538461541</v>
      </c>
      <c r="FD75">
        <v>15</v>
      </c>
      <c r="FE75">
        <v>1689010615.5</v>
      </c>
      <c r="FF75" t="s">
        <v>723</v>
      </c>
      <c r="FG75">
        <v>1689010615.5</v>
      </c>
      <c r="FH75">
        <v>1689010611.5</v>
      </c>
      <c r="FI75">
        <v>64</v>
      </c>
      <c r="FJ75">
        <v>0.11799999999999999</v>
      </c>
      <c r="FK75">
        <v>-3.0000000000000001E-3</v>
      </c>
      <c r="FL75">
        <v>-0.112</v>
      </c>
      <c r="FM75">
        <v>0.14399999999999999</v>
      </c>
      <c r="FN75">
        <v>1200</v>
      </c>
      <c r="FO75">
        <v>21</v>
      </c>
      <c r="FP75">
        <v>0.05</v>
      </c>
      <c r="FQ75">
        <v>0.02</v>
      </c>
      <c r="FR75">
        <v>63.158585854631411</v>
      </c>
      <c r="FS75">
        <v>-0.61778327598709748</v>
      </c>
      <c r="FT75">
        <v>8.3120642054748534E-2</v>
      </c>
      <c r="FU75">
        <v>1</v>
      </c>
      <c r="FV75">
        <v>0.27900869792785499</v>
      </c>
      <c r="FW75">
        <v>-2.0218828821107139E-3</v>
      </c>
      <c r="FX75">
        <v>1.331012207230907E-3</v>
      </c>
      <c r="FY75">
        <v>1</v>
      </c>
      <c r="FZ75">
        <v>2</v>
      </c>
      <c r="GA75">
        <v>2</v>
      </c>
      <c r="GB75" t="s">
        <v>423</v>
      </c>
      <c r="GC75">
        <v>2.9585900000000001</v>
      </c>
      <c r="GD75">
        <v>2.7429899999999998</v>
      </c>
      <c r="GE75">
        <v>0.180978</v>
      </c>
      <c r="GF75">
        <v>0.18870999999999999</v>
      </c>
      <c r="GG75">
        <v>0.125307</v>
      </c>
      <c r="GH75">
        <v>0.107874</v>
      </c>
      <c r="GI75">
        <v>19223.7</v>
      </c>
      <c r="GJ75">
        <v>17731.5</v>
      </c>
      <c r="GK75">
        <v>23403.9</v>
      </c>
      <c r="GL75">
        <v>21905.3</v>
      </c>
      <c r="GM75">
        <v>28877.5</v>
      </c>
      <c r="GN75">
        <v>27276</v>
      </c>
      <c r="GO75">
        <v>36928.800000000003</v>
      </c>
      <c r="GP75">
        <v>34086.6</v>
      </c>
      <c r="GQ75">
        <v>1.98298</v>
      </c>
      <c r="GR75">
        <v>1.83135</v>
      </c>
      <c r="GS75">
        <v>3.4049200000000002E-2</v>
      </c>
      <c r="GT75">
        <v>0</v>
      </c>
      <c r="GU75">
        <v>29.4252</v>
      </c>
      <c r="GV75">
        <v>999.9</v>
      </c>
      <c r="GW75">
        <v>30.5</v>
      </c>
      <c r="GX75">
        <v>44.5</v>
      </c>
      <c r="GY75">
        <v>28.885100000000001</v>
      </c>
      <c r="GZ75">
        <v>60.569699999999997</v>
      </c>
      <c r="HA75">
        <v>38.561700000000002</v>
      </c>
      <c r="HB75">
        <v>1</v>
      </c>
      <c r="HC75">
        <v>0.51916899999999999</v>
      </c>
      <c r="HD75">
        <v>2.2128000000000001</v>
      </c>
      <c r="HE75">
        <v>20.145600000000002</v>
      </c>
      <c r="HF75">
        <v>5.2568200000000003</v>
      </c>
      <c r="HG75">
        <v>11.962</v>
      </c>
      <c r="HH75">
        <v>4.9791499999999997</v>
      </c>
      <c r="HI75">
        <v>3.2973300000000001</v>
      </c>
      <c r="HJ75">
        <v>9999</v>
      </c>
      <c r="HK75">
        <v>9999</v>
      </c>
      <c r="HL75">
        <v>9999</v>
      </c>
      <c r="HM75">
        <v>999.9</v>
      </c>
      <c r="HN75">
        <v>1.8639699999999999</v>
      </c>
      <c r="HO75">
        <v>1.85991</v>
      </c>
      <c r="HP75">
        <v>1.8665499999999999</v>
      </c>
      <c r="HQ75">
        <v>1.86324</v>
      </c>
      <c r="HR75">
        <v>1.86188</v>
      </c>
      <c r="HS75">
        <v>1.86188</v>
      </c>
      <c r="HT75">
        <v>1.8631899999999999</v>
      </c>
      <c r="HU75">
        <v>1.8644400000000001</v>
      </c>
      <c r="HV75">
        <v>0</v>
      </c>
      <c r="HW75">
        <v>0</v>
      </c>
      <c r="HX75">
        <v>0</v>
      </c>
      <c r="HY75">
        <v>0</v>
      </c>
      <c r="HZ75" t="s">
        <v>424</v>
      </c>
      <c r="IA75" t="s">
        <v>425</v>
      </c>
      <c r="IB75" t="s">
        <v>426</v>
      </c>
      <c r="IC75" t="s">
        <v>426</v>
      </c>
      <c r="ID75" t="s">
        <v>426</v>
      </c>
      <c r="IE75" t="s">
        <v>426</v>
      </c>
      <c r="IF75">
        <v>0</v>
      </c>
      <c r="IG75">
        <v>100</v>
      </c>
      <c r="IH75">
        <v>100</v>
      </c>
      <c r="II75">
        <v>-0.13</v>
      </c>
      <c r="IJ75">
        <v>0.15090000000000001</v>
      </c>
      <c r="IK75">
        <v>-0.26208852177068492</v>
      </c>
      <c r="IL75">
        <v>-8.3322953065825546E-5</v>
      </c>
      <c r="IM75">
        <v>2.3872336679552741E-7</v>
      </c>
      <c r="IN75">
        <v>-5.428329794194132E-11</v>
      </c>
      <c r="IO75">
        <v>0.1509036387656644</v>
      </c>
      <c r="IP75">
        <v>0</v>
      </c>
      <c r="IQ75">
        <v>0</v>
      </c>
      <c r="IR75">
        <v>0</v>
      </c>
      <c r="IS75">
        <v>2</v>
      </c>
      <c r="IT75">
        <v>2035</v>
      </c>
      <c r="IU75">
        <v>1</v>
      </c>
      <c r="IV75">
        <v>21</v>
      </c>
      <c r="IW75">
        <v>0.6</v>
      </c>
      <c r="IX75">
        <v>0.7</v>
      </c>
      <c r="IY75">
        <v>2.6281699999999999</v>
      </c>
      <c r="IZ75">
        <v>2.6928700000000001</v>
      </c>
      <c r="JA75">
        <v>1.4514199999999999</v>
      </c>
      <c r="JB75">
        <v>2.2790499999999998</v>
      </c>
      <c r="JC75">
        <v>1.5942400000000001</v>
      </c>
      <c r="JD75">
        <v>2.4206500000000002</v>
      </c>
      <c r="JE75">
        <v>46.3566</v>
      </c>
      <c r="JF75">
        <v>15.7606</v>
      </c>
      <c r="JG75">
        <v>18</v>
      </c>
      <c r="JH75">
        <v>500.733</v>
      </c>
      <c r="JI75">
        <v>438.50700000000001</v>
      </c>
      <c r="JJ75">
        <v>25.977399999999999</v>
      </c>
      <c r="JK75">
        <v>33.426900000000003</v>
      </c>
      <c r="JL75">
        <v>29.998699999999999</v>
      </c>
      <c r="JM75">
        <v>33.343200000000003</v>
      </c>
      <c r="JN75">
        <v>33.337800000000001</v>
      </c>
      <c r="JO75">
        <v>52.526400000000002</v>
      </c>
      <c r="JP75">
        <v>26.663699999999999</v>
      </c>
      <c r="JQ75">
        <v>0</v>
      </c>
      <c r="JR75">
        <v>26.228999999999999</v>
      </c>
      <c r="JS75">
        <v>1200</v>
      </c>
      <c r="JT75">
        <v>21.849599999999999</v>
      </c>
      <c r="JU75">
        <v>98.978800000000007</v>
      </c>
      <c r="JV75">
        <v>98.321799999999996</v>
      </c>
    </row>
    <row r="76" spans="1:282" x14ac:dyDescent="0.25">
      <c r="A76">
        <v>60</v>
      </c>
      <c r="B76">
        <v>1689010754.5</v>
      </c>
      <c r="C76">
        <v>11413.900000095369</v>
      </c>
      <c r="D76" t="s">
        <v>724</v>
      </c>
      <c r="E76" t="s">
        <v>725</v>
      </c>
      <c r="F76" t="s">
        <v>414</v>
      </c>
      <c r="G76" t="s">
        <v>415</v>
      </c>
      <c r="H76" t="s">
        <v>654</v>
      </c>
      <c r="I76" t="s">
        <v>655</v>
      </c>
      <c r="J76" t="s">
        <v>416</v>
      </c>
      <c r="K76">
        <v>1689010754.5</v>
      </c>
      <c r="L76">
        <f t="shared" si="46"/>
        <v>3.9269997425493471E-3</v>
      </c>
      <c r="M76">
        <f t="shared" si="47"/>
        <v>3.9269997425493472</v>
      </c>
      <c r="N76">
        <f t="shared" si="48"/>
        <v>63.595622554853861</v>
      </c>
      <c r="O76">
        <f t="shared" si="49"/>
        <v>1417.18</v>
      </c>
      <c r="P76">
        <f t="shared" si="50"/>
        <v>959.42201364427808</v>
      </c>
      <c r="Q76">
        <f t="shared" si="51"/>
        <v>95.262120634703734</v>
      </c>
      <c r="R76">
        <f t="shared" si="52"/>
        <v>140.71344017664401</v>
      </c>
      <c r="S76">
        <f t="shared" si="53"/>
        <v>0.2482449306094093</v>
      </c>
      <c r="T76">
        <f t="shared" si="54"/>
        <v>2.9109570146188872</v>
      </c>
      <c r="U76">
        <f t="shared" si="55"/>
        <v>0.23705487789337934</v>
      </c>
      <c r="V76">
        <f t="shared" si="56"/>
        <v>0.14912264195794792</v>
      </c>
      <c r="W76">
        <f t="shared" si="57"/>
        <v>289.57285501270235</v>
      </c>
      <c r="X76">
        <f t="shared" si="58"/>
        <v>30.108805984125578</v>
      </c>
      <c r="Y76">
        <f t="shared" si="59"/>
        <v>30.0306</v>
      </c>
      <c r="Z76">
        <f t="shared" si="60"/>
        <v>4.2679438424805225</v>
      </c>
      <c r="AA76">
        <f t="shared" si="61"/>
        <v>65.057695033791973</v>
      </c>
      <c r="AB76">
        <f t="shared" si="62"/>
        <v>2.6806626242884</v>
      </c>
      <c r="AC76">
        <f t="shared" si="63"/>
        <v>4.1204389778888144</v>
      </c>
      <c r="AD76">
        <f t="shared" si="64"/>
        <v>1.5872812181921225</v>
      </c>
      <c r="AE76">
        <f t="shared" si="65"/>
        <v>-173.1806886464262</v>
      </c>
      <c r="AF76">
        <f t="shared" si="66"/>
        <v>-95.903292955030821</v>
      </c>
      <c r="AG76">
        <f t="shared" si="67"/>
        <v>-7.3055758829064947</v>
      </c>
      <c r="AH76">
        <f t="shared" si="68"/>
        <v>13.183297528338812</v>
      </c>
      <c r="AI76">
        <v>0</v>
      </c>
      <c r="AJ76">
        <v>0</v>
      </c>
      <c r="AK76">
        <f t="shared" si="69"/>
        <v>1</v>
      </c>
      <c r="AL76">
        <f t="shared" si="70"/>
        <v>0</v>
      </c>
      <c r="AM76">
        <f t="shared" si="71"/>
        <v>51905.442428599032</v>
      </c>
      <c r="AN76" t="s">
        <v>418</v>
      </c>
      <c r="AO76">
        <v>8197.4</v>
      </c>
      <c r="AP76">
        <v>619.92999999999995</v>
      </c>
      <c r="AQ76">
        <v>3131.443117258741</v>
      </c>
      <c r="AR76">
        <f t="shared" si="72"/>
        <v>0.80203057287443702</v>
      </c>
      <c r="AS76">
        <v>-1.0448500102641549</v>
      </c>
      <c r="AT76" t="s">
        <v>726</v>
      </c>
      <c r="AU76">
        <v>8183.59</v>
      </c>
      <c r="AV76">
        <v>826.15608000000009</v>
      </c>
      <c r="AW76">
        <v>1354.133640206335</v>
      </c>
      <c r="AX76">
        <f t="shared" si="73"/>
        <v>0.38990063058021718</v>
      </c>
      <c r="AY76">
        <v>0.5</v>
      </c>
      <c r="AZ76">
        <f t="shared" si="74"/>
        <v>1513.2183000065816</v>
      </c>
      <c r="BA76">
        <f t="shared" si="75"/>
        <v>63.595622554853861</v>
      </c>
      <c r="BB76">
        <f t="shared" si="76"/>
        <v>295.00238468904519</v>
      </c>
      <c r="BC76">
        <f t="shared" si="77"/>
        <v>4.2717215728118589E-2</v>
      </c>
      <c r="BD76">
        <f t="shared" si="78"/>
        <v>1.3125067011713776</v>
      </c>
      <c r="BE76">
        <f t="shared" si="79"/>
        <v>492.07190596140532</v>
      </c>
      <c r="BF76" t="s">
        <v>727</v>
      </c>
      <c r="BG76">
        <v>637.92999999999995</v>
      </c>
      <c r="BH76">
        <f t="shared" si="80"/>
        <v>637.92999999999995</v>
      </c>
      <c r="BI76">
        <f t="shared" si="81"/>
        <v>0.52890174126181821</v>
      </c>
      <c r="BJ76">
        <f t="shared" si="82"/>
        <v>0.73718916041005733</v>
      </c>
      <c r="BK76">
        <f t="shared" si="83"/>
        <v>0.71277326144821007</v>
      </c>
      <c r="BL76">
        <f t="shared" si="84"/>
        <v>0.71911596632503227</v>
      </c>
      <c r="BM76">
        <f t="shared" si="85"/>
        <v>0.70766481960177796</v>
      </c>
      <c r="BN76">
        <f t="shared" si="86"/>
        <v>0.56923273033394339</v>
      </c>
      <c r="BO76">
        <f t="shared" si="87"/>
        <v>0.43076726966605661</v>
      </c>
      <c r="BP76">
        <v>13688</v>
      </c>
      <c r="BQ76">
        <v>290.00000000000011</v>
      </c>
      <c r="BR76">
        <v>1180.5899999999999</v>
      </c>
      <c r="BS76">
        <v>295</v>
      </c>
      <c r="BT76">
        <v>8183.59</v>
      </c>
      <c r="BU76">
        <v>1182.8900000000001</v>
      </c>
      <c r="BV76">
        <v>-2.2999999999999998</v>
      </c>
      <c r="BW76">
        <v>300.00000000000011</v>
      </c>
      <c r="BX76">
        <v>19.3</v>
      </c>
      <c r="BY76">
        <v>1354.133640206335</v>
      </c>
      <c r="BZ76">
        <v>5.274074490759399</v>
      </c>
      <c r="CA76">
        <v>-140.13607489970369</v>
      </c>
      <c r="CB76">
        <v>3.9636350115542989</v>
      </c>
      <c r="CC76">
        <v>0.97809089379282721</v>
      </c>
      <c r="CD76">
        <v>-4.2380952169076766E-3</v>
      </c>
      <c r="CE76">
        <v>289.99999999999989</v>
      </c>
      <c r="CF76">
        <v>1176.46</v>
      </c>
      <c r="CG76">
        <v>655</v>
      </c>
      <c r="CH76">
        <v>8173.09</v>
      </c>
      <c r="CI76">
        <v>1182.67</v>
      </c>
      <c r="CJ76">
        <v>-6.21</v>
      </c>
      <c r="CX76">
        <f t="shared" si="88"/>
        <v>1800.04</v>
      </c>
      <c r="CY76">
        <f t="shared" si="89"/>
        <v>1513.2183000065816</v>
      </c>
      <c r="CZ76">
        <f t="shared" si="90"/>
        <v>0.84065815204472205</v>
      </c>
      <c r="DA76">
        <f t="shared" si="91"/>
        <v>0.1608702334463136</v>
      </c>
      <c r="DB76">
        <v>6</v>
      </c>
      <c r="DC76">
        <v>0.5</v>
      </c>
      <c r="DD76" t="s">
        <v>421</v>
      </c>
      <c r="DE76">
        <v>2</v>
      </c>
      <c r="DF76">
        <v>1689010754.5</v>
      </c>
      <c r="DG76">
        <v>1417.18</v>
      </c>
      <c r="DH76">
        <v>1500.15</v>
      </c>
      <c r="DI76">
        <v>26.998000000000001</v>
      </c>
      <c r="DJ76">
        <v>22.414100000000001</v>
      </c>
      <c r="DK76">
        <v>1417.19</v>
      </c>
      <c r="DL76">
        <v>26.840800000000002</v>
      </c>
      <c r="DM76">
        <v>500.13900000000001</v>
      </c>
      <c r="DN76">
        <v>99.191900000000004</v>
      </c>
      <c r="DO76">
        <v>9.9255800000000005E-2</v>
      </c>
      <c r="DP76">
        <v>29.419499999999999</v>
      </c>
      <c r="DQ76">
        <v>30.0306</v>
      </c>
      <c r="DR76">
        <v>999.9</v>
      </c>
      <c r="DS76">
        <v>0</v>
      </c>
      <c r="DT76">
        <v>0</v>
      </c>
      <c r="DU76">
        <v>9975</v>
      </c>
      <c r="DV76">
        <v>0</v>
      </c>
      <c r="DW76">
        <v>2002.84</v>
      </c>
      <c r="DX76">
        <v>-82.974000000000004</v>
      </c>
      <c r="DY76">
        <v>1456.5</v>
      </c>
      <c r="DZ76">
        <v>1534.55</v>
      </c>
      <c r="EA76">
        <v>4.5839100000000004</v>
      </c>
      <c r="EB76">
        <v>1500.15</v>
      </c>
      <c r="EC76">
        <v>22.414100000000001</v>
      </c>
      <c r="ED76">
        <v>2.6779799999999998</v>
      </c>
      <c r="EE76">
        <v>2.22329</v>
      </c>
      <c r="EF76">
        <v>22.150600000000001</v>
      </c>
      <c r="EG76">
        <v>19.1311</v>
      </c>
      <c r="EH76">
        <v>1800.04</v>
      </c>
      <c r="EI76">
        <v>0.97800200000000004</v>
      </c>
      <c r="EJ76">
        <v>2.1997599999999999E-2</v>
      </c>
      <c r="EK76">
        <v>0</v>
      </c>
      <c r="EL76">
        <v>825.83799999999997</v>
      </c>
      <c r="EM76">
        <v>4.9999900000000004</v>
      </c>
      <c r="EN76">
        <v>20846.7</v>
      </c>
      <c r="EO76">
        <v>15864.2</v>
      </c>
      <c r="EP76">
        <v>48.375</v>
      </c>
      <c r="EQ76">
        <v>49.811999999999998</v>
      </c>
      <c r="ER76">
        <v>48.875</v>
      </c>
      <c r="ES76">
        <v>49.5</v>
      </c>
      <c r="ET76">
        <v>50.061999999999998</v>
      </c>
      <c r="EU76">
        <v>1755.55</v>
      </c>
      <c r="EV76">
        <v>39.49</v>
      </c>
      <c r="EW76">
        <v>0</v>
      </c>
      <c r="EX76">
        <v>100.7999999523163</v>
      </c>
      <c r="EY76">
        <v>0</v>
      </c>
      <c r="EZ76">
        <v>826.15608000000009</v>
      </c>
      <c r="FA76">
        <v>-3.9156922903112878</v>
      </c>
      <c r="FB76">
        <v>-1178.1769227156119</v>
      </c>
      <c r="FC76">
        <v>21059.02</v>
      </c>
      <c r="FD76">
        <v>15</v>
      </c>
      <c r="FE76">
        <v>1689010725</v>
      </c>
      <c r="FF76" t="s">
        <v>728</v>
      </c>
      <c r="FG76">
        <v>1689010725</v>
      </c>
      <c r="FH76">
        <v>1689010718</v>
      </c>
      <c r="FI76">
        <v>65</v>
      </c>
      <c r="FJ76">
        <v>3.5999999999999997E-2</v>
      </c>
      <c r="FK76">
        <v>6.0000000000000001E-3</v>
      </c>
      <c r="FL76">
        <v>3.0000000000000001E-3</v>
      </c>
      <c r="FM76">
        <v>0.157</v>
      </c>
      <c r="FN76">
        <v>1500</v>
      </c>
      <c r="FO76">
        <v>22</v>
      </c>
      <c r="FP76">
        <v>0.05</v>
      </c>
      <c r="FQ76">
        <v>0.02</v>
      </c>
      <c r="FR76">
        <v>63.755305855215298</v>
      </c>
      <c r="FS76">
        <v>-0.52917174351730523</v>
      </c>
      <c r="FT76">
        <v>6.3853489052140583E-2</v>
      </c>
      <c r="FU76">
        <v>1</v>
      </c>
      <c r="FV76">
        <v>0.24414528416434639</v>
      </c>
      <c r="FW76">
        <v>2.5846933327244481E-2</v>
      </c>
      <c r="FX76">
        <v>1.961202298115305E-3</v>
      </c>
      <c r="FY76">
        <v>1</v>
      </c>
      <c r="FZ76">
        <v>2</v>
      </c>
      <c r="GA76">
        <v>2</v>
      </c>
      <c r="GB76" t="s">
        <v>423</v>
      </c>
      <c r="GC76">
        <v>2.9583499999999998</v>
      </c>
      <c r="GD76">
        <v>2.74227</v>
      </c>
      <c r="GE76">
        <v>0.20899699999999999</v>
      </c>
      <c r="GF76">
        <v>0.21582999999999999</v>
      </c>
      <c r="GG76">
        <v>0.12543299999999999</v>
      </c>
      <c r="GH76">
        <v>0.109676</v>
      </c>
      <c r="GI76">
        <v>18559.8</v>
      </c>
      <c r="GJ76">
        <v>17133.400000000001</v>
      </c>
      <c r="GK76">
        <v>23397.9</v>
      </c>
      <c r="GL76">
        <v>21900.1</v>
      </c>
      <c r="GM76">
        <v>28868.7</v>
      </c>
      <c r="GN76">
        <v>27216.3</v>
      </c>
      <c r="GO76">
        <v>36919.699999999997</v>
      </c>
      <c r="GP76">
        <v>34079.199999999997</v>
      </c>
      <c r="GQ76">
        <v>1.9812700000000001</v>
      </c>
      <c r="GR76">
        <v>1.8308800000000001</v>
      </c>
      <c r="GS76">
        <v>3.7018200000000001E-2</v>
      </c>
      <c r="GT76">
        <v>0</v>
      </c>
      <c r="GU76">
        <v>29.427900000000001</v>
      </c>
      <c r="GV76">
        <v>999.9</v>
      </c>
      <c r="GW76">
        <v>30.5</v>
      </c>
      <c r="GX76">
        <v>44.6</v>
      </c>
      <c r="GY76">
        <v>29.031199999999998</v>
      </c>
      <c r="GZ76">
        <v>60.499699999999997</v>
      </c>
      <c r="HA76">
        <v>38.365400000000001</v>
      </c>
      <c r="HB76">
        <v>1</v>
      </c>
      <c r="HC76">
        <v>0.53308900000000004</v>
      </c>
      <c r="HD76">
        <v>3.87019</v>
      </c>
      <c r="HE76">
        <v>20.114599999999999</v>
      </c>
      <c r="HF76">
        <v>5.2637099999999997</v>
      </c>
      <c r="HG76">
        <v>11.962</v>
      </c>
      <c r="HH76">
        <v>4.9797500000000001</v>
      </c>
      <c r="HI76">
        <v>3.298</v>
      </c>
      <c r="HJ76">
        <v>9999</v>
      </c>
      <c r="HK76">
        <v>9999</v>
      </c>
      <c r="HL76">
        <v>9999</v>
      </c>
      <c r="HM76">
        <v>999.9</v>
      </c>
      <c r="HN76">
        <v>1.8639300000000001</v>
      </c>
      <c r="HO76">
        <v>1.85989</v>
      </c>
      <c r="HP76">
        <v>1.8664700000000001</v>
      </c>
      <c r="HQ76">
        <v>1.8631800000000001</v>
      </c>
      <c r="HR76">
        <v>1.8618699999999999</v>
      </c>
      <c r="HS76">
        <v>1.86188</v>
      </c>
      <c r="HT76">
        <v>1.86311</v>
      </c>
      <c r="HU76">
        <v>1.86442</v>
      </c>
      <c r="HV76">
        <v>0</v>
      </c>
      <c r="HW76">
        <v>0</v>
      </c>
      <c r="HX76">
        <v>0</v>
      </c>
      <c r="HY76">
        <v>0</v>
      </c>
      <c r="HZ76" t="s">
        <v>424</v>
      </c>
      <c r="IA76" t="s">
        <v>425</v>
      </c>
      <c r="IB76" t="s">
        <v>426</v>
      </c>
      <c r="IC76" t="s">
        <v>426</v>
      </c>
      <c r="ID76" t="s">
        <v>426</v>
      </c>
      <c r="IE76" t="s">
        <v>426</v>
      </c>
      <c r="IF76">
        <v>0</v>
      </c>
      <c r="IG76">
        <v>100</v>
      </c>
      <c r="IH76">
        <v>100</v>
      </c>
      <c r="II76">
        <v>-0.01</v>
      </c>
      <c r="IJ76">
        <v>0.15720000000000001</v>
      </c>
      <c r="IK76">
        <v>-0.2255700979713742</v>
      </c>
      <c r="IL76">
        <v>-8.3322953065825546E-5</v>
      </c>
      <c r="IM76">
        <v>2.3872336679552741E-7</v>
      </c>
      <c r="IN76">
        <v>-5.428329794194132E-11</v>
      </c>
      <c r="IO76">
        <v>0.15720500000000109</v>
      </c>
      <c r="IP76">
        <v>0</v>
      </c>
      <c r="IQ76">
        <v>0</v>
      </c>
      <c r="IR76">
        <v>0</v>
      </c>
      <c r="IS76">
        <v>2</v>
      </c>
      <c r="IT76">
        <v>2035</v>
      </c>
      <c r="IU76">
        <v>1</v>
      </c>
      <c r="IV76">
        <v>21</v>
      </c>
      <c r="IW76">
        <v>0.5</v>
      </c>
      <c r="IX76">
        <v>0.6</v>
      </c>
      <c r="IY76">
        <v>3.14453</v>
      </c>
      <c r="IZ76">
        <v>2.6940900000000001</v>
      </c>
      <c r="JA76">
        <v>1.4514199999999999</v>
      </c>
      <c r="JB76">
        <v>2.2778299999999998</v>
      </c>
      <c r="JC76">
        <v>1.5942400000000001</v>
      </c>
      <c r="JD76">
        <v>2.35229</v>
      </c>
      <c r="JE76">
        <v>46.502800000000001</v>
      </c>
      <c r="JF76">
        <v>15.716900000000001</v>
      </c>
      <c r="JG76">
        <v>18</v>
      </c>
      <c r="JH76">
        <v>500.71600000000001</v>
      </c>
      <c r="JI76">
        <v>439.197</v>
      </c>
      <c r="JJ76">
        <v>25.789000000000001</v>
      </c>
      <c r="JK76">
        <v>33.539400000000001</v>
      </c>
      <c r="JL76">
        <v>30.001100000000001</v>
      </c>
      <c r="JM76">
        <v>33.471800000000002</v>
      </c>
      <c r="JN76">
        <v>33.466500000000003</v>
      </c>
      <c r="JO76">
        <v>62.849699999999999</v>
      </c>
      <c r="JP76">
        <v>24.339099999999998</v>
      </c>
      <c r="JQ76">
        <v>0</v>
      </c>
      <c r="JR76">
        <v>25.755400000000002</v>
      </c>
      <c r="JS76">
        <v>1500</v>
      </c>
      <c r="JT76">
        <v>22.367899999999999</v>
      </c>
      <c r="JU76">
        <v>98.953900000000004</v>
      </c>
      <c r="JV76">
        <v>98.299800000000005</v>
      </c>
    </row>
    <row r="77" spans="1:282" x14ac:dyDescent="0.25">
      <c r="A77">
        <v>61</v>
      </c>
      <c r="B77">
        <v>1689012751.5999999</v>
      </c>
      <c r="C77">
        <v>13411</v>
      </c>
      <c r="D77" t="s">
        <v>729</v>
      </c>
      <c r="E77" t="s">
        <v>730</v>
      </c>
      <c r="F77" t="s">
        <v>414</v>
      </c>
      <c r="G77" t="s">
        <v>415</v>
      </c>
      <c r="H77" t="s">
        <v>731</v>
      </c>
      <c r="I77" t="s">
        <v>578</v>
      </c>
      <c r="J77" t="s">
        <v>416</v>
      </c>
      <c r="K77">
        <v>1689012751.5999999</v>
      </c>
      <c r="L77">
        <f t="shared" si="46"/>
        <v>5.3219061061451772E-3</v>
      </c>
      <c r="M77">
        <f t="shared" si="47"/>
        <v>5.3219061061451773</v>
      </c>
      <c r="N77">
        <f t="shared" si="48"/>
        <v>51.67593345886111</v>
      </c>
      <c r="O77">
        <f t="shared" si="49"/>
        <v>335.96300000000002</v>
      </c>
      <c r="P77">
        <f t="shared" si="50"/>
        <v>97.627186561011712</v>
      </c>
      <c r="Q77">
        <f t="shared" si="51"/>
        <v>9.6905253041830353</v>
      </c>
      <c r="R77">
        <f t="shared" si="52"/>
        <v>33.347862080760002</v>
      </c>
      <c r="S77">
        <f t="shared" si="53"/>
        <v>0.3763532221190265</v>
      </c>
      <c r="T77">
        <f t="shared" si="54"/>
        <v>2.9128119732337034</v>
      </c>
      <c r="U77">
        <f t="shared" si="55"/>
        <v>0.35127520182771244</v>
      </c>
      <c r="V77">
        <f t="shared" si="56"/>
        <v>0.22166075600340629</v>
      </c>
      <c r="W77">
        <f t="shared" si="57"/>
        <v>289.54675271301761</v>
      </c>
      <c r="X77">
        <f t="shared" si="58"/>
        <v>30.455886378154062</v>
      </c>
      <c r="Y77">
        <f t="shared" si="59"/>
        <v>30.054400000000001</v>
      </c>
      <c r="Z77">
        <f t="shared" si="60"/>
        <v>4.2737805033350371</v>
      </c>
      <c r="AA77">
        <f t="shared" si="61"/>
        <v>65.779486158210716</v>
      </c>
      <c r="AB77">
        <f t="shared" si="62"/>
        <v>2.8237235687519999</v>
      </c>
      <c r="AC77">
        <f t="shared" si="63"/>
        <v>4.2927115027327369</v>
      </c>
      <c r="AD77">
        <f t="shared" si="64"/>
        <v>1.4500569345830372</v>
      </c>
      <c r="AE77">
        <f t="shared" si="65"/>
        <v>-234.69605928100231</v>
      </c>
      <c r="AF77">
        <f t="shared" si="66"/>
        <v>12.091734970774821</v>
      </c>
      <c r="AG77">
        <f t="shared" si="67"/>
        <v>0.92387810006259496</v>
      </c>
      <c r="AH77">
        <f t="shared" si="68"/>
        <v>67.866306502852737</v>
      </c>
      <c r="AI77">
        <v>0</v>
      </c>
      <c r="AJ77">
        <v>0</v>
      </c>
      <c r="AK77">
        <f t="shared" si="69"/>
        <v>1</v>
      </c>
      <c r="AL77">
        <f t="shared" si="70"/>
        <v>0</v>
      </c>
      <c r="AM77">
        <f t="shared" si="71"/>
        <v>51835.62159351103</v>
      </c>
      <c r="AN77" t="s">
        <v>418</v>
      </c>
      <c r="AO77">
        <v>8197.4</v>
      </c>
      <c r="AP77">
        <v>619.92999999999995</v>
      </c>
      <c r="AQ77">
        <v>3131.443117258741</v>
      </c>
      <c r="AR77">
        <f t="shared" si="72"/>
        <v>0.80203057287443702</v>
      </c>
      <c r="AS77">
        <v>-1.0448500102641549</v>
      </c>
      <c r="AT77" t="s">
        <v>732</v>
      </c>
      <c r="AU77">
        <v>8190.9</v>
      </c>
      <c r="AV77">
        <v>777.14988461538451</v>
      </c>
      <c r="AW77">
        <v>1189.8117179777919</v>
      </c>
      <c r="AX77">
        <f t="shared" si="73"/>
        <v>0.3468295253166348</v>
      </c>
      <c r="AY77">
        <v>0.5</v>
      </c>
      <c r="AZ77">
        <f t="shared" si="74"/>
        <v>1513.0836065870558</v>
      </c>
      <c r="BA77">
        <f t="shared" si="75"/>
        <v>51.67593345886111</v>
      </c>
      <c r="BB77">
        <f t="shared" si="76"/>
        <v>262.39103451848518</v>
      </c>
      <c r="BC77">
        <f t="shared" si="77"/>
        <v>3.4843271871832254E-2</v>
      </c>
      <c r="BD77">
        <f t="shared" si="78"/>
        <v>1.6318812211573714</v>
      </c>
      <c r="BE77">
        <f t="shared" si="79"/>
        <v>468.55681995410862</v>
      </c>
      <c r="BF77" t="s">
        <v>733</v>
      </c>
      <c r="BG77">
        <v>616.70000000000005</v>
      </c>
      <c r="BH77">
        <f t="shared" si="80"/>
        <v>616.70000000000005</v>
      </c>
      <c r="BI77">
        <f t="shared" si="81"/>
        <v>0.48168269762198557</v>
      </c>
      <c r="BJ77">
        <f t="shared" si="82"/>
        <v>0.72003733376534818</v>
      </c>
      <c r="BK77">
        <f t="shared" si="83"/>
        <v>0.77209929950915746</v>
      </c>
      <c r="BL77">
        <f t="shared" si="84"/>
        <v>0.72411839219325269</v>
      </c>
      <c r="BM77">
        <f t="shared" si="85"/>
        <v>0.77309227888890952</v>
      </c>
      <c r="BN77">
        <f t="shared" si="86"/>
        <v>0.57137887108205831</v>
      </c>
      <c r="BO77">
        <f t="shared" si="87"/>
        <v>0.42862112891794169</v>
      </c>
      <c r="BP77">
        <v>13690</v>
      </c>
      <c r="BQ77">
        <v>290.00000000000011</v>
      </c>
      <c r="BR77">
        <v>1054.19</v>
      </c>
      <c r="BS77">
        <v>265</v>
      </c>
      <c r="BT77">
        <v>8190.9</v>
      </c>
      <c r="BU77">
        <v>1057.93</v>
      </c>
      <c r="BV77">
        <v>-3.74</v>
      </c>
      <c r="BW77">
        <v>300.00000000000011</v>
      </c>
      <c r="BX77">
        <v>19.3</v>
      </c>
      <c r="BY77">
        <v>1189.8117179777919</v>
      </c>
      <c r="BZ77">
        <v>5.0333831472360293</v>
      </c>
      <c r="CA77">
        <v>-108.02572220397229</v>
      </c>
      <c r="CB77">
        <v>3.785561582814029</v>
      </c>
      <c r="CC77">
        <v>0.9667583747952766</v>
      </c>
      <c r="CD77">
        <v>-4.2407788654060209E-3</v>
      </c>
      <c r="CE77">
        <v>289.99999999999989</v>
      </c>
      <c r="CF77">
        <v>1052.8</v>
      </c>
      <c r="CG77">
        <v>655</v>
      </c>
      <c r="CH77">
        <v>8179.2</v>
      </c>
      <c r="CI77">
        <v>1057.74</v>
      </c>
      <c r="CJ77">
        <v>-4.9400000000000004</v>
      </c>
      <c r="CX77">
        <f t="shared" si="88"/>
        <v>1799.88</v>
      </c>
      <c r="CY77">
        <f t="shared" si="89"/>
        <v>1513.0836065870558</v>
      </c>
      <c r="CZ77">
        <f t="shared" si="90"/>
        <v>0.84065804752931073</v>
      </c>
      <c r="DA77">
        <f t="shared" si="91"/>
        <v>0.16087003173156966</v>
      </c>
      <c r="DB77">
        <v>6</v>
      </c>
      <c r="DC77">
        <v>0.5</v>
      </c>
      <c r="DD77" t="s">
        <v>421</v>
      </c>
      <c r="DE77">
        <v>2</v>
      </c>
      <c r="DF77">
        <v>1689012751.5999999</v>
      </c>
      <c r="DG77">
        <v>335.96300000000002</v>
      </c>
      <c r="DH77">
        <v>400.10300000000001</v>
      </c>
      <c r="DI77">
        <v>28.447600000000001</v>
      </c>
      <c r="DJ77">
        <v>22.244599999999998</v>
      </c>
      <c r="DK77">
        <v>336.315</v>
      </c>
      <c r="DL77">
        <v>28.295999999999999</v>
      </c>
      <c r="DM77">
        <v>500.13</v>
      </c>
      <c r="DN77">
        <v>99.160499999999999</v>
      </c>
      <c r="DO77">
        <v>0.10002</v>
      </c>
      <c r="DP77">
        <v>30.131399999999999</v>
      </c>
      <c r="DQ77">
        <v>30.054400000000001</v>
      </c>
      <c r="DR77">
        <v>999.9</v>
      </c>
      <c r="DS77">
        <v>0</v>
      </c>
      <c r="DT77">
        <v>0</v>
      </c>
      <c r="DU77">
        <v>9988.75</v>
      </c>
      <c r="DV77">
        <v>0</v>
      </c>
      <c r="DW77">
        <v>2108.0500000000002</v>
      </c>
      <c r="DX77">
        <v>-64.139899999999997</v>
      </c>
      <c r="DY77">
        <v>345.80099999999999</v>
      </c>
      <c r="DZ77">
        <v>409.20600000000002</v>
      </c>
      <c r="EA77">
        <v>6.2030799999999999</v>
      </c>
      <c r="EB77">
        <v>400.10300000000001</v>
      </c>
      <c r="EC77">
        <v>22.244599999999998</v>
      </c>
      <c r="ED77">
        <v>2.8208799999999998</v>
      </c>
      <c r="EE77">
        <v>2.2057799999999999</v>
      </c>
      <c r="EF77">
        <v>23.006799999999998</v>
      </c>
      <c r="EG77">
        <v>19.0044</v>
      </c>
      <c r="EH77">
        <v>1799.88</v>
      </c>
      <c r="EI77">
        <v>0.97800100000000001</v>
      </c>
      <c r="EJ77">
        <v>2.1998500000000001E-2</v>
      </c>
      <c r="EK77">
        <v>0</v>
      </c>
      <c r="EL77">
        <v>777.67200000000003</v>
      </c>
      <c r="EM77">
        <v>4.9999900000000004</v>
      </c>
      <c r="EN77">
        <v>20188</v>
      </c>
      <c r="EO77">
        <v>15862.8</v>
      </c>
      <c r="EP77">
        <v>48</v>
      </c>
      <c r="EQ77">
        <v>49</v>
      </c>
      <c r="ER77">
        <v>48.5</v>
      </c>
      <c r="ES77">
        <v>48.625</v>
      </c>
      <c r="ET77">
        <v>49.75</v>
      </c>
      <c r="EU77">
        <v>1755.39</v>
      </c>
      <c r="EV77">
        <v>39.479999999999997</v>
      </c>
      <c r="EW77">
        <v>0</v>
      </c>
      <c r="EX77">
        <v>1995</v>
      </c>
      <c r="EY77">
        <v>0</v>
      </c>
      <c r="EZ77">
        <v>777.14988461538451</v>
      </c>
      <c r="FA77">
        <v>4.7570940142107574</v>
      </c>
      <c r="FB77">
        <v>33.699145849615327</v>
      </c>
      <c r="FC77">
        <v>20214.45</v>
      </c>
      <c r="FD77">
        <v>15</v>
      </c>
      <c r="FE77">
        <v>1689012715.5999999</v>
      </c>
      <c r="FF77" t="s">
        <v>734</v>
      </c>
      <c r="FG77">
        <v>1689012715.5999999</v>
      </c>
      <c r="FH77">
        <v>1689012711.5999999</v>
      </c>
      <c r="FI77">
        <v>70</v>
      </c>
      <c r="FJ77">
        <v>-4.7E-2</v>
      </c>
      <c r="FK77">
        <v>1.7000000000000001E-2</v>
      </c>
      <c r="FL77">
        <v>-0.34699999999999998</v>
      </c>
      <c r="FM77">
        <v>0.152</v>
      </c>
      <c r="FN77">
        <v>400</v>
      </c>
      <c r="FO77">
        <v>22</v>
      </c>
      <c r="FP77">
        <v>0.03</v>
      </c>
      <c r="FQ77">
        <v>0.01</v>
      </c>
      <c r="FR77">
        <v>51.607930321178017</v>
      </c>
      <c r="FS77">
        <v>0.16688687329086219</v>
      </c>
      <c r="FT77">
        <v>2.6187246977471039E-2</v>
      </c>
      <c r="FU77">
        <v>1</v>
      </c>
      <c r="FV77">
        <v>0.37454532087153908</v>
      </c>
      <c r="FW77">
        <v>4.7095680377908143E-2</v>
      </c>
      <c r="FX77">
        <v>3.6668239790197559E-3</v>
      </c>
      <c r="FY77">
        <v>1</v>
      </c>
      <c r="FZ77">
        <v>2</v>
      </c>
      <c r="GA77">
        <v>2</v>
      </c>
      <c r="GB77" t="s">
        <v>423</v>
      </c>
      <c r="GC77">
        <v>2.9588800000000002</v>
      </c>
      <c r="GD77">
        <v>2.74315</v>
      </c>
      <c r="GE77">
        <v>7.7677200000000002E-2</v>
      </c>
      <c r="GF77">
        <v>8.8862300000000005E-2</v>
      </c>
      <c r="GG77">
        <v>0.13016900000000001</v>
      </c>
      <c r="GH77">
        <v>0.109149</v>
      </c>
      <c r="GI77">
        <v>21684.2</v>
      </c>
      <c r="GJ77">
        <v>19964.599999999999</v>
      </c>
      <c r="GK77">
        <v>23440.2</v>
      </c>
      <c r="GL77">
        <v>21958.3</v>
      </c>
      <c r="GM77">
        <v>28754.1</v>
      </c>
      <c r="GN77">
        <v>27290.2</v>
      </c>
      <c r="GO77">
        <v>36991.5</v>
      </c>
      <c r="GP77">
        <v>34162.199999999997</v>
      </c>
      <c r="GQ77">
        <v>2.00122</v>
      </c>
      <c r="GR77">
        <v>1.82525</v>
      </c>
      <c r="GS77">
        <v>4.3772199999999997E-2</v>
      </c>
      <c r="GT77">
        <v>0</v>
      </c>
      <c r="GU77">
        <v>29.341699999999999</v>
      </c>
      <c r="GV77">
        <v>999.9</v>
      </c>
      <c r="GW77">
        <v>28.4</v>
      </c>
      <c r="GX77">
        <v>45.4</v>
      </c>
      <c r="GY77">
        <v>28.179099999999998</v>
      </c>
      <c r="GZ77">
        <v>60.305199999999999</v>
      </c>
      <c r="HA77">
        <v>39.254800000000003</v>
      </c>
      <c r="HB77">
        <v>1</v>
      </c>
      <c r="HC77">
        <v>0.46434700000000001</v>
      </c>
      <c r="HD77">
        <v>3.3807399999999999</v>
      </c>
      <c r="HE77">
        <v>20.077999999999999</v>
      </c>
      <c r="HF77">
        <v>5.2634100000000004</v>
      </c>
      <c r="HG77">
        <v>11.962</v>
      </c>
      <c r="HH77">
        <v>4.9797000000000002</v>
      </c>
      <c r="HI77">
        <v>3.2978299999999998</v>
      </c>
      <c r="HJ77">
        <v>9999</v>
      </c>
      <c r="HK77">
        <v>9999</v>
      </c>
      <c r="HL77">
        <v>9999</v>
      </c>
      <c r="HM77">
        <v>999.9</v>
      </c>
      <c r="HN77">
        <v>1.8643700000000001</v>
      </c>
      <c r="HO77">
        <v>1.8603499999999999</v>
      </c>
      <c r="HP77">
        <v>1.86693</v>
      </c>
      <c r="HQ77">
        <v>1.8636999999999999</v>
      </c>
      <c r="HR77">
        <v>1.8623400000000001</v>
      </c>
      <c r="HS77">
        <v>1.8623400000000001</v>
      </c>
      <c r="HT77">
        <v>1.8635900000000001</v>
      </c>
      <c r="HU77">
        <v>1.8649100000000001</v>
      </c>
      <c r="HV77">
        <v>0</v>
      </c>
      <c r="HW77">
        <v>0</v>
      </c>
      <c r="HX77">
        <v>0</v>
      </c>
      <c r="HY77">
        <v>0</v>
      </c>
      <c r="HZ77" t="s">
        <v>424</v>
      </c>
      <c r="IA77" t="s">
        <v>425</v>
      </c>
      <c r="IB77" t="s">
        <v>426</v>
      </c>
      <c r="IC77" t="s">
        <v>426</v>
      </c>
      <c r="ID77" t="s">
        <v>426</v>
      </c>
      <c r="IE77" t="s">
        <v>426</v>
      </c>
      <c r="IF77">
        <v>0</v>
      </c>
      <c r="IG77">
        <v>100</v>
      </c>
      <c r="IH77">
        <v>100</v>
      </c>
      <c r="II77">
        <v>-0.35199999999999998</v>
      </c>
      <c r="IJ77">
        <v>0.15160000000000001</v>
      </c>
      <c r="IK77">
        <v>-0.34841993705093838</v>
      </c>
      <c r="IL77">
        <v>-8.3322953065825546E-5</v>
      </c>
      <c r="IM77">
        <v>2.3872336679552741E-7</v>
      </c>
      <c r="IN77">
        <v>-5.428329794194132E-11</v>
      </c>
      <c r="IO77">
        <v>0.15158999999999881</v>
      </c>
      <c r="IP77">
        <v>0</v>
      </c>
      <c r="IQ77">
        <v>0</v>
      </c>
      <c r="IR77">
        <v>0</v>
      </c>
      <c r="IS77">
        <v>2</v>
      </c>
      <c r="IT77">
        <v>2035</v>
      </c>
      <c r="IU77">
        <v>1</v>
      </c>
      <c r="IV77">
        <v>21</v>
      </c>
      <c r="IW77">
        <v>0.6</v>
      </c>
      <c r="IX77">
        <v>0.7</v>
      </c>
      <c r="IY77">
        <v>1.07422</v>
      </c>
      <c r="IZ77">
        <v>2.6965300000000001</v>
      </c>
      <c r="JA77">
        <v>1.4526399999999999</v>
      </c>
      <c r="JB77">
        <v>2.2766099999999998</v>
      </c>
      <c r="JC77">
        <v>1.5942400000000001</v>
      </c>
      <c r="JD77">
        <v>2.34741</v>
      </c>
      <c r="JE77">
        <v>48.239600000000003</v>
      </c>
      <c r="JF77">
        <v>23.991199999999999</v>
      </c>
      <c r="JG77">
        <v>18</v>
      </c>
      <c r="JH77">
        <v>510.56900000000002</v>
      </c>
      <c r="JI77">
        <v>432.63499999999999</v>
      </c>
      <c r="JJ77">
        <v>26.7026</v>
      </c>
      <c r="JK77">
        <v>33.01</v>
      </c>
      <c r="JL77">
        <v>30.0002</v>
      </c>
      <c r="JM77">
        <v>33.103200000000001</v>
      </c>
      <c r="JN77">
        <v>33.123100000000001</v>
      </c>
      <c r="JO77">
        <v>21.449300000000001</v>
      </c>
      <c r="JP77">
        <v>20.319900000000001</v>
      </c>
      <c r="JQ77">
        <v>0</v>
      </c>
      <c r="JR77">
        <v>26.648</v>
      </c>
      <c r="JS77">
        <v>400</v>
      </c>
      <c r="JT77">
        <v>22.161999999999999</v>
      </c>
      <c r="JU77">
        <v>99.141099999999994</v>
      </c>
      <c r="JV77">
        <v>98.547499999999999</v>
      </c>
    </row>
    <row r="78" spans="1:282" x14ac:dyDescent="0.25">
      <c r="A78">
        <v>62</v>
      </c>
      <c r="B78">
        <v>1689012903.0999999</v>
      </c>
      <c r="C78">
        <v>13562.5</v>
      </c>
      <c r="D78" t="s">
        <v>735</v>
      </c>
      <c r="E78" t="s">
        <v>736</v>
      </c>
      <c r="F78" t="s">
        <v>414</v>
      </c>
      <c r="G78" t="s">
        <v>415</v>
      </c>
      <c r="H78" t="s">
        <v>731</v>
      </c>
      <c r="I78" t="s">
        <v>578</v>
      </c>
      <c r="J78" t="s">
        <v>416</v>
      </c>
      <c r="K78">
        <v>1689012903.0999999</v>
      </c>
      <c r="L78">
        <f t="shared" si="46"/>
        <v>5.9200416092052167E-3</v>
      </c>
      <c r="M78">
        <f t="shared" si="47"/>
        <v>5.9200416092052164</v>
      </c>
      <c r="N78">
        <f t="shared" si="48"/>
        <v>43.365962534981477</v>
      </c>
      <c r="O78">
        <f t="shared" si="49"/>
        <v>246.22</v>
      </c>
      <c r="P78">
        <f t="shared" si="50"/>
        <v>65.529790627579459</v>
      </c>
      <c r="Q78">
        <f t="shared" si="51"/>
        <v>6.5042569425986434</v>
      </c>
      <c r="R78">
        <f t="shared" si="52"/>
        <v>24.438932721579995</v>
      </c>
      <c r="S78">
        <f t="shared" si="53"/>
        <v>0.41886201237463588</v>
      </c>
      <c r="T78">
        <f t="shared" si="54"/>
        <v>2.9127414280093498</v>
      </c>
      <c r="U78">
        <f t="shared" si="55"/>
        <v>0.38804688771898149</v>
      </c>
      <c r="V78">
        <f t="shared" si="56"/>
        <v>0.2451087336435927</v>
      </c>
      <c r="W78">
        <f t="shared" si="57"/>
        <v>289.57866001269883</v>
      </c>
      <c r="X78">
        <f t="shared" si="58"/>
        <v>30.123453892663242</v>
      </c>
      <c r="Y78">
        <f t="shared" si="59"/>
        <v>29.904399999999999</v>
      </c>
      <c r="Z78">
        <f t="shared" si="60"/>
        <v>4.2371107557201402</v>
      </c>
      <c r="AA78">
        <f t="shared" si="61"/>
        <v>65.3351573285603</v>
      </c>
      <c r="AB78">
        <f t="shared" si="62"/>
        <v>2.7763528820634997</v>
      </c>
      <c r="AC78">
        <f t="shared" si="63"/>
        <v>4.2494010814141836</v>
      </c>
      <c r="AD78">
        <f t="shared" si="64"/>
        <v>1.4607578736566404</v>
      </c>
      <c r="AE78">
        <f t="shared" si="65"/>
        <v>-261.07383496595003</v>
      </c>
      <c r="AF78">
        <f t="shared" si="66"/>
        <v>7.914398479688705</v>
      </c>
      <c r="AG78">
        <f t="shared" si="67"/>
        <v>0.60374330079531613</v>
      </c>
      <c r="AH78">
        <f t="shared" si="68"/>
        <v>37.022966827232828</v>
      </c>
      <c r="AI78">
        <v>0</v>
      </c>
      <c r="AJ78">
        <v>0</v>
      </c>
      <c r="AK78">
        <f t="shared" si="69"/>
        <v>1</v>
      </c>
      <c r="AL78">
        <f t="shared" si="70"/>
        <v>0</v>
      </c>
      <c r="AM78">
        <f t="shared" si="71"/>
        <v>51863.745688241121</v>
      </c>
      <c r="AN78" t="s">
        <v>418</v>
      </c>
      <c r="AO78">
        <v>8197.4</v>
      </c>
      <c r="AP78">
        <v>619.92999999999995</v>
      </c>
      <c r="AQ78">
        <v>3131.443117258741</v>
      </c>
      <c r="AR78">
        <f t="shared" si="72"/>
        <v>0.80203057287443702</v>
      </c>
      <c r="AS78">
        <v>-1.0448500102641549</v>
      </c>
      <c r="AT78" t="s">
        <v>737</v>
      </c>
      <c r="AU78">
        <v>8188.97</v>
      </c>
      <c r="AV78">
        <v>743.70459999999991</v>
      </c>
      <c r="AW78">
        <v>1074.699920065814</v>
      </c>
      <c r="AX78">
        <f t="shared" si="73"/>
        <v>0.30798859652426891</v>
      </c>
      <c r="AY78">
        <v>0.5</v>
      </c>
      <c r="AZ78">
        <f t="shared" si="74"/>
        <v>1513.2516000065798</v>
      </c>
      <c r="BA78">
        <f t="shared" si="75"/>
        <v>43.365962534981477</v>
      </c>
      <c r="BB78">
        <f t="shared" si="76"/>
        <v>233.03211823706545</v>
      </c>
      <c r="BC78">
        <f t="shared" si="77"/>
        <v>2.9347936949184479E-2</v>
      </c>
      <c r="BD78">
        <f t="shared" si="78"/>
        <v>1.9137837072389225</v>
      </c>
      <c r="BE78">
        <f t="shared" si="79"/>
        <v>449.59256593925221</v>
      </c>
      <c r="BF78" t="s">
        <v>738</v>
      </c>
      <c r="BG78">
        <v>602.25</v>
      </c>
      <c r="BH78">
        <f t="shared" si="80"/>
        <v>602.25</v>
      </c>
      <c r="BI78">
        <f t="shared" si="81"/>
        <v>0.43961101256700708</v>
      </c>
      <c r="BJ78">
        <f t="shared" si="82"/>
        <v>0.70059345130105055</v>
      </c>
      <c r="BK78">
        <f t="shared" si="83"/>
        <v>0.81320132620878027</v>
      </c>
      <c r="BL78">
        <f t="shared" si="84"/>
        <v>0.72783028397725302</v>
      </c>
      <c r="BM78">
        <f t="shared" si="85"/>
        <v>0.81892592280697107</v>
      </c>
      <c r="BN78">
        <f t="shared" si="86"/>
        <v>0.56733870685492294</v>
      </c>
      <c r="BO78">
        <f t="shared" si="87"/>
        <v>0.43266129314507706</v>
      </c>
      <c r="BP78">
        <v>13692</v>
      </c>
      <c r="BQ78">
        <v>290.00000000000011</v>
      </c>
      <c r="BR78">
        <v>969.17</v>
      </c>
      <c r="BS78">
        <v>285</v>
      </c>
      <c r="BT78">
        <v>8188.97</v>
      </c>
      <c r="BU78">
        <v>971.15</v>
      </c>
      <c r="BV78">
        <v>-1.98</v>
      </c>
      <c r="BW78">
        <v>300.00000000000011</v>
      </c>
      <c r="BX78">
        <v>19.3</v>
      </c>
      <c r="BY78">
        <v>1074.699920065814</v>
      </c>
      <c r="BZ78">
        <v>3.3625056096734358</v>
      </c>
      <c r="CA78">
        <v>-84.796221400973209</v>
      </c>
      <c r="CB78">
        <v>2.5287231453427141</v>
      </c>
      <c r="CC78">
        <v>0.97570449644320978</v>
      </c>
      <c r="CD78">
        <v>-4.2405635150166909E-3</v>
      </c>
      <c r="CE78">
        <v>289.99999999999989</v>
      </c>
      <c r="CF78">
        <v>967</v>
      </c>
      <c r="CG78">
        <v>665</v>
      </c>
      <c r="CH78">
        <v>8178.24</v>
      </c>
      <c r="CI78">
        <v>971.01</v>
      </c>
      <c r="CJ78">
        <v>-4.01</v>
      </c>
      <c r="CX78">
        <f t="shared" si="88"/>
        <v>1800.08</v>
      </c>
      <c r="CY78">
        <f t="shared" si="89"/>
        <v>1513.2516000065798</v>
      </c>
      <c r="CZ78">
        <f t="shared" si="90"/>
        <v>0.84065797076051052</v>
      </c>
      <c r="DA78">
        <f t="shared" si="91"/>
        <v>0.16086988356778523</v>
      </c>
      <c r="DB78">
        <v>6</v>
      </c>
      <c r="DC78">
        <v>0.5</v>
      </c>
      <c r="DD78" t="s">
        <v>421</v>
      </c>
      <c r="DE78">
        <v>2</v>
      </c>
      <c r="DF78">
        <v>1689012903.0999999</v>
      </c>
      <c r="DG78">
        <v>246.22</v>
      </c>
      <c r="DH78">
        <v>300.00099999999998</v>
      </c>
      <c r="DI78">
        <v>27.971499999999999</v>
      </c>
      <c r="DJ78">
        <v>21.0671</v>
      </c>
      <c r="DK78">
        <v>246.52600000000001</v>
      </c>
      <c r="DL78">
        <v>27.845500000000001</v>
      </c>
      <c r="DM78">
        <v>500.06799999999998</v>
      </c>
      <c r="DN78">
        <v>99.156499999999994</v>
      </c>
      <c r="DO78">
        <v>9.9988999999999995E-2</v>
      </c>
      <c r="DP78">
        <v>29.954799999999999</v>
      </c>
      <c r="DQ78">
        <v>29.904399999999999</v>
      </c>
      <c r="DR78">
        <v>999.9</v>
      </c>
      <c r="DS78">
        <v>0</v>
      </c>
      <c r="DT78">
        <v>0</v>
      </c>
      <c r="DU78">
        <v>9988.75</v>
      </c>
      <c r="DV78">
        <v>0</v>
      </c>
      <c r="DW78">
        <v>2034.94</v>
      </c>
      <c r="DX78">
        <v>-53.831200000000003</v>
      </c>
      <c r="DY78">
        <v>253.261</v>
      </c>
      <c r="DZ78">
        <v>306.45800000000003</v>
      </c>
      <c r="EA78">
        <v>6.9299900000000001</v>
      </c>
      <c r="EB78">
        <v>300.00099999999998</v>
      </c>
      <c r="EC78">
        <v>21.0671</v>
      </c>
      <c r="ED78">
        <v>2.7760899999999999</v>
      </c>
      <c r="EE78">
        <v>2.08894</v>
      </c>
      <c r="EF78">
        <v>22.742599999999999</v>
      </c>
      <c r="EG78">
        <v>18.135100000000001</v>
      </c>
      <c r="EH78">
        <v>1800.08</v>
      </c>
      <c r="EI78">
        <v>0.97800500000000001</v>
      </c>
      <c r="EJ78">
        <v>2.1995399999999998E-2</v>
      </c>
      <c r="EK78">
        <v>0</v>
      </c>
      <c r="EL78">
        <v>743.58600000000001</v>
      </c>
      <c r="EM78">
        <v>4.9999900000000004</v>
      </c>
      <c r="EN78">
        <v>19448</v>
      </c>
      <c r="EO78">
        <v>15864.5</v>
      </c>
      <c r="EP78">
        <v>48.061999999999998</v>
      </c>
      <c r="EQ78">
        <v>49.311999999999998</v>
      </c>
      <c r="ER78">
        <v>48.5</v>
      </c>
      <c r="ES78">
        <v>48.811999999999998</v>
      </c>
      <c r="ET78">
        <v>49.75</v>
      </c>
      <c r="EU78">
        <v>1755.6</v>
      </c>
      <c r="EV78">
        <v>39.479999999999997</v>
      </c>
      <c r="EW78">
        <v>0</v>
      </c>
      <c r="EX78">
        <v>149.5999999046326</v>
      </c>
      <c r="EY78">
        <v>0</v>
      </c>
      <c r="EZ78">
        <v>743.70459999999991</v>
      </c>
      <c r="FA78">
        <v>-0.61446154134926945</v>
      </c>
      <c r="FB78">
        <v>-8.0615385530637127</v>
      </c>
      <c r="FC78">
        <v>19443.344000000001</v>
      </c>
      <c r="FD78">
        <v>15</v>
      </c>
      <c r="FE78">
        <v>1689012939.0999999</v>
      </c>
      <c r="FF78" t="s">
        <v>739</v>
      </c>
      <c r="FG78">
        <v>1689012932.0999999</v>
      </c>
      <c r="FH78">
        <v>1689012939.0999999</v>
      </c>
      <c r="FI78">
        <v>71</v>
      </c>
      <c r="FJ78">
        <v>4.7E-2</v>
      </c>
      <c r="FK78">
        <v>-0.01</v>
      </c>
      <c r="FL78">
        <v>-0.30599999999999999</v>
      </c>
      <c r="FM78">
        <v>0.126</v>
      </c>
      <c r="FN78">
        <v>300</v>
      </c>
      <c r="FO78">
        <v>21</v>
      </c>
      <c r="FP78">
        <v>0.03</v>
      </c>
      <c r="FQ78">
        <v>0.02</v>
      </c>
      <c r="FR78">
        <v>43.358879938608688</v>
      </c>
      <c r="FS78">
        <v>0.64914422941025196</v>
      </c>
      <c r="FT78">
        <v>5.9132925448645637E-2</v>
      </c>
      <c r="FU78">
        <v>1</v>
      </c>
      <c r="FV78">
        <v>0.41878963788672091</v>
      </c>
      <c r="FW78">
        <v>2.284478733548417E-2</v>
      </c>
      <c r="FX78">
        <v>1.813982752798323E-3</v>
      </c>
      <c r="FY78">
        <v>1</v>
      </c>
      <c r="FZ78">
        <v>2</v>
      </c>
      <c r="GA78">
        <v>2</v>
      </c>
      <c r="GB78" t="s">
        <v>423</v>
      </c>
      <c r="GC78">
        <v>2.9587500000000002</v>
      </c>
      <c r="GD78">
        <v>2.7431199999999998</v>
      </c>
      <c r="GE78">
        <v>6.0217800000000002E-2</v>
      </c>
      <c r="GF78">
        <v>7.0781300000000005E-2</v>
      </c>
      <c r="GG78">
        <v>0.12873899999999999</v>
      </c>
      <c r="GH78">
        <v>0.105087</v>
      </c>
      <c r="GI78">
        <v>22093.200000000001</v>
      </c>
      <c r="GJ78">
        <v>20358.8</v>
      </c>
      <c r="GK78">
        <v>23438.9</v>
      </c>
      <c r="GL78">
        <v>21956.3</v>
      </c>
      <c r="GM78">
        <v>28799</v>
      </c>
      <c r="GN78">
        <v>27413.200000000001</v>
      </c>
      <c r="GO78">
        <v>36988.9</v>
      </c>
      <c r="GP78">
        <v>34159.800000000003</v>
      </c>
      <c r="GQ78">
        <v>2.0024799999999998</v>
      </c>
      <c r="GR78">
        <v>1.8229200000000001</v>
      </c>
      <c r="GS78">
        <v>2.0921200000000001E-2</v>
      </c>
      <c r="GT78">
        <v>0</v>
      </c>
      <c r="GU78">
        <v>29.563800000000001</v>
      </c>
      <c r="GV78">
        <v>999.9</v>
      </c>
      <c r="GW78">
        <v>28.1</v>
      </c>
      <c r="GX78">
        <v>45.4</v>
      </c>
      <c r="GY78">
        <v>27.888500000000001</v>
      </c>
      <c r="GZ78">
        <v>60.525199999999998</v>
      </c>
      <c r="HA78">
        <v>39.535299999999999</v>
      </c>
      <c r="HB78">
        <v>1</v>
      </c>
      <c r="HC78">
        <v>0.46105400000000002</v>
      </c>
      <c r="HD78">
        <v>1.92805</v>
      </c>
      <c r="HE78">
        <v>20.103300000000001</v>
      </c>
      <c r="HF78">
        <v>5.26431</v>
      </c>
      <c r="HG78">
        <v>11.962</v>
      </c>
      <c r="HH78">
        <v>4.9796500000000004</v>
      </c>
      <c r="HI78">
        <v>3.298</v>
      </c>
      <c r="HJ78">
        <v>9999</v>
      </c>
      <c r="HK78">
        <v>9999</v>
      </c>
      <c r="HL78">
        <v>9999</v>
      </c>
      <c r="HM78">
        <v>999.9</v>
      </c>
      <c r="HN78">
        <v>1.86439</v>
      </c>
      <c r="HO78">
        <v>1.86036</v>
      </c>
      <c r="HP78">
        <v>1.8669500000000001</v>
      </c>
      <c r="HQ78">
        <v>1.8636999999999999</v>
      </c>
      <c r="HR78">
        <v>1.8623400000000001</v>
      </c>
      <c r="HS78">
        <v>1.8623400000000001</v>
      </c>
      <c r="HT78">
        <v>1.8635999999999999</v>
      </c>
      <c r="HU78">
        <v>1.8649199999999999</v>
      </c>
      <c r="HV78">
        <v>0</v>
      </c>
      <c r="HW78">
        <v>0</v>
      </c>
      <c r="HX78">
        <v>0</v>
      </c>
      <c r="HY78">
        <v>0</v>
      </c>
      <c r="HZ78" t="s">
        <v>424</v>
      </c>
      <c r="IA78" t="s">
        <v>425</v>
      </c>
      <c r="IB78" t="s">
        <v>426</v>
      </c>
      <c r="IC78" t="s">
        <v>426</v>
      </c>
      <c r="ID78" t="s">
        <v>426</v>
      </c>
      <c r="IE78" t="s">
        <v>426</v>
      </c>
      <c r="IF78">
        <v>0</v>
      </c>
      <c r="IG78">
        <v>100</v>
      </c>
      <c r="IH78">
        <v>100</v>
      </c>
      <c r="II78">
        <v>-0.30599999999999999</v>
      </c>
      <c r="IJ78">
        <v>0.126</v>
      </c>
      <c r="IK78">
        <v>-0.34841993705093838</v>
      </c>
      <c r="IL78">
        <v>-8.3322953065825546E-5</v>
      </c>
      <c r="IM78">
        <v>2.3872336679552741E-7</v>
      </c>
      <c r="IN78">
        <v>-5.428329794194132E-11</v>
      </c>
      <c r="IO78">
        <v>0.15158999999999881</v>
      </c>
      <c r="IP78">
        <v>0</v>
      </c>
      <c r="IQ78">
        <v>0</v>
      </c>
      <c r="IR78">
        <v>0</v>
      </c>
      <c r="IS78">
        <v>2</v>
      </c>
      <c r="IT78">
        <v>2035</v>
      </c>
      <c r="IU78">
        <v>1</v>
      </c>
      <c r="IV78">
        <v>21</v>
      </c>
      <c r="IW78">
        <v>3.1</v>
      </c>
      <c r="IX78">
        <v>3.2</v>
      </c>
      <c r="IY78">
        <v>0.852051</v>
      </c>
      <c r="IZ78">
        <v>2.7002000000000002</v>
      </c>
      <c r="JA78">
        <v>1.4526399999999999</v>
      </c>
      <c r="JB78">
        <v>2.2766099999999998</v>
      </c>
      <c r="JC78">
        <v>1.5942400000000001</v>
      </c>
      <c r="JD78">
        <v>2.3315399999999999</v>
      </c>
      <c r="JE78">
        <v>48.239600000000003</v>
      </c>
      <c r="JF78">
        <v>23.991199999999999</v>
      </c>
      <c r="JG78">
        <v>18</v>
      </c>
      <c r="JH78">
        <v>511.089</v>
      </c>
      <c r="JI78">
        <v>430.80500000000001</v>
      </c>
      <c r="JJ78">
        <v>27.334299999999999</v>
      </c>
      <c r="JK78">
        <v>33.0092</v>
      </c>
      <c r="JL78">
        <v>30.0002</v>
      </c>
      <c r="JM78">
        <v>33.068800000000003</v>
      </c>
      <c r="JN78">
        <v>33.0916</v>
      </c>
      <c r="JO78">
        <v>17.018599999999999</v>
      </c>
      <c r="JP78">
        <v>24.5336</v>
      </c>
      <c r="JQ78">
        <v>0</v>
      </c>
      <c r="JR78">
        <v>27.3569</v>
      </c>
      <c r="JS78">
        <v>300</v>
      </c>
      <c r="JT78">
        <v>20.971</v>
      </c>
      <c r="JU78">
        <v>99.134799999999998</v>
      </c>
      <c r="JV78">
        <v>98.54</v>
      </c>
    </row>
    <row r="79" spans="1:282" x14ac:dyDescent="0.25">
      <c r="A79">
        <v>63</v>
      </c>
      <c r="B79">
        <v>1689013061.0999999</v>
      </c>
      <c r="C79">
        <v>13720.5</v>
      </c>
      <c r="D79" t="s">
        <v>740</v>
      </c>
      <c r="E79" t="s">
        <v>741</v>
      </c>
      <c r="F79" t="s">
        <v>414</v>
      </c>
      <c r="G79" t="s">
        <v>415</v>
      </c>
      <c r="H79" t="s">
        <v>731</v>
      </c>
      <c r="I79" t="s">
        <v>578</v>
      </c>
      <c r="J79" t="s">
        <v>416</v>
      </c>
      <c r="K79">
        <v>1689013061.0999999</v>
      </c>
      <c r="L79">
        <f t="shared" si="46"/>
        <v>6.5562368537833574E-3</v>
      </c>
      <c r="M79">
        <f t="shared" si="47"/>
        <v>6.5562368537833571</v>
      </c>
      <c r="N79">
        <f t="shared" si="48"/>
        <v>30.914850904515507</v>
      </c>
      <c r="O79">
        <f t="shared" si="49"/>
        <v>161.66999999999999</v>
      </c>
      <c r="P79">
        <f t="shared" si="50"/>
        <v>45.808109074849092</v>
      </c>
      <c r="Q79">
        <f t="shared" si="51"/>
        <v>4.5468783308087914</v>
      </c>
      <c r="R79">
        <f t="shared" si="52"/>
        <v>16.047242171483997</v>
      </c>
      <c r="S79">
        <f t="shared" si="53"/>
        <v>0.46951213298602124</v>
      </c>
      <c r="T79">
        <f t="shared" si="54"/>
        <v>2.918268569573764</v>
      </c>
      <c r="U79">
        <f t="shared" si="55"/>
        <v>0.43122562969012346</v>
      </c>
      <c r="V79">
        <f t="shared" si="56"/>
        <v>0.27269526213292522</v>
      </c>
      <c r="W79">
        <f t="shared" si="57"/>
        <v>289.55791201269972</v>
      </c>
      <c r="X79">
        <f t="shared" si="58"/>
        <v>29.917027166146202</v>
      </c>
      <c r="Y79">
        <f t="shared" si="59"/>
        <v>29.934000000000001</v>
      </c>
      <c r="Z79">
        <f t="shared" si="60"/>
        <v>4.2443251233772115</v>
      </c>
      <c r="AA79">
        <f t="shared" si="61"/>
        <v>65.77737294624967</v>
      </c>
      <c r="AB79">
        <f t="shared" si="62"/>
        <v>2.7886785679694799</v>
      </c>
      <c r="AC79">
        <f t="shared" si="63"/>
        <v>4.2395712128063607</v>
      </c>
      <c r="AD79">
        <f t="shared" si="64"/>
        <v>1.4556465554077316</v>
      </c>
      <c r="AE79">
        <f t="shared" si="65"/>
        <v>-289.13004525184607</v>
      </c>
      <c r="AF79">
        <f t="shared" si="66"/>
        <v>-3.0679290548959011</v>
      </c>
      <c r="AG79">
        <f t="shared" si="67"/>
        <v>-0.23357878062227888</v>
      </c>
      <c r="AH79">
        <f t="shared" si="68"/>
        <v>-2.8736410746645356</v>
      </c>
      <c r="AI79">
        <v>0</v>
      </c>
      <c r="AJ79">
        <v>0</v>
      </c>
      <c r="AK79">
        <f t="shared" si="69"/>
        <v>1</v>
      </c>
      <c r="AL79">
        <f t="shared" si="70"/>
        <v>0</v>
      </c>
      <c r="AM79">
        <f t="shared" si="71"/>
        <v>52028.100664490608</v>
      </c>
      <c r="AN79" t="s">
        <v>418</v>
      </c>
      <c r="AO79">
        <v>8197.4</v>
      </c>
      <c r="AP79">
        <v>619.92999999999995</v>
      </c>
      <c r="AQ79">
        <v>3131.443117258741</v>
      </c>
      <c r="AR79">
        <f t="shared" si="72"/>
        <v>0.80203057287443702</v>
      </c>
      <c r="AS79">
        <v>-1.0448500102641549</v>
      </c>
      <c r="AT79" t="s">
        <v>742</v>
      </c>
      <c r="AU79">
        <v>8186.72</v>
      </c>
      <c r="AV79">
        <v>719.77431999999999</v>
      </c>
      <c r="AW79">
        <v>939.12675674607806</v>
      </c>
      <c r="AX79">
        <f t="shared" si="73"/>
        <v>0.23357063907549469</v>
      </c>
      <c r="AY79">
        <v>0.5</v>
      </c>
      <c r="AZ79">
        <f t="shared" si="74"/>
        <v>1513.1424000065799</v>
      </c>
      <c r="BA79">
        <f t="shared" si="75"/>
        <v>30.914850904515507</v>
      </c>
      <c r="BB79">
        <f t="shared" si="76"/>
        <v>176.71281869088236</v>
      </c>
      <c r="BC79">
        <f t="shared" si="77"/>
        <v>2.1121409931174149E-2</v>
      </c>
      <c r="BD79">
        <f t="shared" si="78"/>
        <v>2.3344200820224561</v>
      </c>
      <c r="BE79">
        <f t="shared" si="79"/>
        <v>423.98702324991712</v>
      </c>
      <c r="BF79" t="s">
        <v>743</v>
      </c>
      <c r="BG79">
        <v>585.39</v>
      </c>
      <c r="BH79">
        <f t="shared" si="80"/>
        <v>585.39</v>
      </c>
      <c r="BI79">
        <f t="shared" si="81"/>
        <v>0.37666561431144674</v>
      </c>
      <c r="BJ79">
        <f t="shared" si="82"/>
        <v>0.62010077427021604</v>
      </c>
      <c r="BK79">
        <f t="shared" si="83"/>
        <v>0.8610646595123137</v>
      </c>
      <c r="BL79">
        <f t="shared" si="84"/>
        <v>0.68720133306546571</v>
      </c>
      <c r="BM79">
        <f t="shared" si="85"/>
        <v>0.87290659381684843</v>
      </c>
      <c r="BN79">
        <f t="shared" si="86"/>
        <v>0.50432584514829837</v>
      </c>
      <c r="BO79">
        <f t="shared" si="87"/>
        <v>0.49567415485170163</v>
      </c>
      <c r="BP79">
        <v>13694</v>
      </c>
      <c r="BQ79">
        <v>290.00000000000011</v>
      </c>
      <c r="BR79">
        <v>880.1</v>
      </c>
      <c r="BS79">
        <v>295</v>
      </c>
      <c r="BT79">
        <v>8186.72</v>
      </c>
      <c r="BU79">
        <v>881.16</v>
      </c>
      <c r="BV79">
        <v>-1.06</v>
      </c>
      <c r="BW79">
        <v>300.00000000000011</v>
      </c>
      <c r="BX79">
        <v>19.3</v>
      </c>
      <c r="BY79">
        <v>939.12675674607806</v>
      </c>
      <c r="BZ79">
        <v>3.5619493264062698</v>
      </c>
      <c r="CA79">
        <v>-47.459086608346759</v>
      </c>
      <c r="CB79">
        <v>2.6779714020680121</v>
      </c>
      <c r="CC79">
        <v>0.91814548270601015</v>
      </c>
      <c r="CD79">
        <v>-4.2393379310344823E-3</v>
      </c>
      <c r="CE79">
        <v>289.99999999999989</v>
      </c>
      <c r="CF79">
        <v>879.91</v>
      </c>
      <c r="CG79">
        <v>635</v>
      </c>
      <c r="CH79">
        <v>8176.94</v>
      </c>
      <c r="CI79">
        <v>881.09</v>
      </c>
      <c r="CJ79">
        <v>-1.18</v>
      </c>
      <c r="CX79">
        <f t="shared" si="88"/>
        <v>1799.95</v>
      </c>
      <c r="CY79">
        <f t="shared" si="89"/>
        <v>1513.1424000065799</v>
      </c>
      <c r="CZ79">
        <f t="shared" si="90"/>
        <v>0.84065801828194109</v>
      </c>
      <c r="DA79">
        <f t="shared" si="91"/>
        <v>0.16086997528414662</v>
      </c>
      <c r="DB79">
        <v>6</v>
      </c>
      <c r="DC79">
        <v>0.5</v>
      </c>
      <c r="DD79" t="s">
        <v>421</v>
      </c>
      <c r="DE79">
        <v>2</v>
      </c>
      <c r="DF79">
        <v>1689013061.0999999</v>
      </c>
      <c r="DG79">
        <v>161.66999999999999</v>
      </c>
      <c r="DH79">
        <v>200.035</v>
      </c>
      <c r="DI79">
        <v>28.094899999999999</v>
      </c>
      <c r="DJ79">
        <v>20.449400000000001</v>
      </c>
      <c r="DK79">
        <v>161.941</v>
      </c>
      <c r="DL79">
        <v>27.9588</v>
      </c>
      <c r="DM79">
        <v>500.06200000000001</v>
      </c>
      <c r="DN79">
        <v>99.16</v>
      </c>
      <c r="DO79">
        <v>9.9245200000000006E-2</v>
      </c>
      <c r="DP79">
        <v>29.9145</v>
      </c>
      <c r="DQ79">
        <v>29.934000000000001</v>
      </c>
      <c r="DR79">
        <v>999.9</v>
      </c>
      <c r="DS79">
        <v>0</v>
      </c>
      <c r="DT79">
        <v>0</v>
      </c>
      <c r="DU79">
        <v>10020</v>
      </c>
      <c r="DV79">
        <v>0</v>
      </c>
      <c r="DW79">
        <v>2004.44</v>
      </c>
      <c r="DX79">
        <v>-38.365000000000002</v>
      </c>
      <c r="DY79">
        <v>166.34299999999999</v>
      </c>
      <c r="DZ79">
        <v>204.21100000000001</v>
      </c>
      <c r="EA79">
        <v>7.6454700000000004</v>
      </c>
      <c r="EB79">
        <v>200.035</v>
      </c>
      <c r="EC79">
        <v>20.449400000000001</v>
      </c>
      <c r="ED79">
        <v>2.7858900000000002</v>
      </c>
      <c r="EE79">
        <v>2.0277699999999999</v>
      </c>
      <c r="EF79">
        <v>22.800699999999999</v>
      </c>
      <c r="EG79">
        <v>17.662800000000001</v>
      </c>
      <c r="EH79">
        <v>1799.95</v>
      </c>
      <c r="EI79">
        <v>0.97800699999999996</v>
      </c>
      <c r="EJ79">
        <v>2.19927E-2</v>
      </c>
      <c r="EK79">
        <v>0</v>
      </c>
      <c r="EL79">
        <v>719.43200000000002</v>
      </c>
      <c r="EM79">
        <v>4.9999900000000004</v>
      </c>
      <c r="EN79">
        <v>18839.900000000001</v>
      </c>
      <c r="EO79">
        <v>15863.4</v>
      </c>
      <c r="EP79">
        <v>48.311999999999998</v>
      </c>
      <c r="EQ79">
        <v>49.686999999999998</v>
      </c>
      <c r="ER79">
        <v>48.75</v>
      </c>
      <c r="ES79">
        <v>49.125</v>
      </c>
      <c r="ET79">
        <v>49.936999999999998</v>
      </c>
      <c r="EU79">
        <v>1755.47</v>
      </c>
      <c r="EV79">
        <v>39.479999999999997</v>
      </c>
      <c r="EW79">
        <v>0</v>
      </c>
      <c r="EX79">
        <v>156.20000004768369</v>
      </c>
      <c r="EY79">
        <v>0</v>
      </c>
      <c r="EZ79">
        <v>719.77431999999999</v>
      </c>
      <c r="FA79">
        <v>-3.4028461475543388</v>
      </c>
      <c r="FB79">
        <v>-110.30000035884891</v>
      </c>
      <c r="FC79">
        <v>18861.232</v>
      </c>
      <c r="FD79">
        <v>15</v>
      </c>
      <c r="FE79">
        <v>1689013013.0999999</v>
      </c>
      <c r="FF79" t="s">
        <v>744</v>
      </c>
      <c r="FG79">
        <v>1689013005.0999999</v>
      </c>
      <c r="FH79">
        <v>1689013013.0999999</v>
      </c>
      <c r="FI79">
        <v>72</v>
      </c>
      <c r="FJ79">
        <v>3.7999999999999999E-2</v>
      </c>
      <c r="FK79">
        <v>-5.0000000000000001E-3</v>
      </c>
      <c r="FL79">
        <v>-0.27100000000000002</v>
      </c>
      <c r="FM79">
        <v>0.125</v>
      </c>
      <c r="FN79">
        <v>200</v>
      </c>
      <c r="FO79">
        <v>21</v>
      </c>
      <c r="FP79">
        <v>0.09</v>
      </c>
      <c r="FQ79">
        <v>0.01</v>
      </c>
      <c r="FR79">
        <v>30.885119736515811</v>
      </c>
      <c r="FS79">
        <v>0.55800061820239732</v>
      </c>
      <c r="FT79">
        <v>6.7798661096267185E-2</v>
      </c>
      <c r="FU79">
        <v>1</v>
      </c>
      <c r="FV79">
        <v>0.46768177753833029</v>
      </c>
      <c r="FW79">
        <v>2.8430260501077199E-2</v>
      </c>
      <c r="FX79">
        <v>2.3133592052812868E-3</v>
      </c>
      <c r="FY79">
        <v>1</v>
      </c>
      <c r="FZ79">
        <v>2</v>
      </c>
      <c r="GA79">
        <v>2</v>
      </c>
      <c r="GB79" t="s">
        <v>423</v>
      </c>
      <c r="GC79">
        <v>2.9585900000000001</v>
      </c>
      <c r="GD79">
        <v>2.7426499999999998</v>
      </c>
      <c r="GE79">
        <v>4.1722299999999997E-2</v>
      </c>
      <c r="GF79">
        <v>5.0267800000000001E-2</v>
      </c>
      <c r="GG79">
        <v>0.129077</v>
      </c>
      <c r="GH79">
        <v>0.10290100000000001</v>
      </c>
      <c r="GI79">
        <v>22517.3</v>
      </c>
      <c r="GJ79">
        <v>20797.400000000001</v>
      </c>
      <c r="GK79">
        <v>23428.7</v>
      </c>
      <c r="GL79">
        <v>21945.7</v>
      </c>
      <c r="GM79">
        <v>28774.799999999999</v>
      </c>
      <c r="GN79">
        <v>27467.599999999999</v>
      </c>
      <c r="GO79">
        <v>36972.699999999997</v>
      </c>
      <c r="GP79">
        <v>34144.5</v>
      </c>
      <c r="GQ79">
        <v>2.0012500000000002</v>
      </c>
      <c r="GR79">
        <v>1.8192200000000001</v>
      </c>
      <c r="GS79">
        <v>5.0962000000000004E-3</v>
      </c>
      <c r="GT79">
        <v>0</v>
      </c>
      <c r="GU79">
        <v>29.850999999999999</v>
      </c>
      <c r="GV79">
        <v>999.9</v>
      </c>
      <c r="GW79">
        <v>27.9</v>
      </c>
      <c r="GX79">
        <v>45.5</v>
      </c>
      <c r="GY79">
        <v>27.825800000000001</v>
      </c>
      <c r="GZ79">
        <v>60.0852</v>
      </c>
      <c r="HA79">
        <v>39.591299999999997</v>
      </c>
      <c r="HB79">
        <v>1</v>
      </c>
      <c r="HC79">
        <v>0.48107</v>
      </c>
      <c r="HD79">
        <v>2.4213499999999999</v>
      </c>
      <c r="HE79">
        <v>20.0961</v>
      </c>
      <c r="HF79">
        <v>5.2607200000000001</v>
      </c>
      <c r="HG79">
        <v>11.962199999999999</v>
      </c>
      <c r="HH79">
        <v>4.9791499999999997</v>
      </c>
      <c r="HI79">
        <v>3.2972299999999999</v>
      </c>
      <c r="HJ79">
        <v>9999</v>
      </c>
      <c r="HK79">
        <v>9999</v>
      </c>
      <c r="HL79">
        <v>9999</v>
      </c>
      <c r="HM79">
        <v>999.9</v>
      </c>
      <c r="HN79">
        <v>1.86442</v>
      </c>
      <c r="HO79">
        <v>1.8603799999999999</v>
      </c>
      <c r="HP79">
        <v>1.86694</v>
      </c>
      <c r="HQ79">
        <v>1.8636900000000001</v>
      </c>
      <c r="HR79">
        <v>1.8623400000000001</v>
      </c>
      <c r="HS79">
        <v>1.8623400000000001</v>
      </c>
      <c r="HT79">
        <v>1.86365</v>
      </c>
      <c r="HU79">
        <v>1.8649199999999999</v>
      </c>
      <c r="HV79">
        <v>0</v>
      </c>
      <c r="HW79">
        <v>0</v>
      </c>
      <c r="HX79">
        <v>0</v>
      </c>
      <c r="HY79">
        <v>0</v>
      </c>
      <c r="HZ79" t="s">
        <v>424</v>
      </c>
      <c r="IA79" t="s">
        <v>425</v>
      </c>
      <c r="IB79" t="s">
        <v>426</v>
      </c>
      <c r="IC79" t="s">
        <v>426</v>
      </c>
      <c r="ID79" t="s">
        <v>426</v>
      </c>
      <c r="IE79" t="s">
        <v>426</v>
      </c>
      <c r="IF79">
        <v>0</v>
      </c>
      <c r="IG79">
        <v>100</v>
      </c>
      <c r="IH79">
        <v>100</v>
      </c>
      <c r="II79">
        <v>-0.27100000000000002</v>
      </c>
      <c r="IJ79">
        <v>0.1361</v>
      </c>
      <c r="IK79">
        <v>-0.2639009962000905</v>
      </c>
      <c r="IL79">
        <v>-8.3322953065825546E-5</v>
      </c>
      <c r="IM79">
        <v>2.3872336679552741E-7</v>
      </c>
      <c r="IN79">
        <v>-5.428329794194132E-11</v>
      </c>
      <c r="IO79">
        <v>0.13612602388888481</v>
      </c>
      <c r="IP79">
        <v>0</v>
      </c>
      <c r="IQ79">
        <v>0</v>
      </c>
      <c r="IR79">
        <v>0</v>
      </c>
      <c r="IS79">
        <v>2</v>
      </c>
      <c r="IT79">
        <v>2035</v>
      </c>
      <c r="IU79">
        <v>1</v>
      </c>
      <c r="IV79">
        <v>21</v>
      </c>
      <c r="IW79">
        <v>0.9</v>
      </c>
      <c r="IX79">
        <v>0.8</v>
      </c>
      <c r="IY79">
        <v>0.62133799999999995</v>
      </c>
      <c r="IZ79">
        <v>2.7087400000000001</v>
      </c>
      <c r="JA79">
        <v>1.4526399999999999</v>
      </c>
      <c r="JB79">
        <v>2.2766099999999998</v>
      </c>
      <c r="JC79">
        <v>1.5942400000000001</v>
      </c>
      <c r="JD79">
        <v>2.3315399999999999</v>
      </c>
      <c r="JE79">
        <v>48.393000000000001</v>
      </c>
      <c r="JF79">
        <v>23.991199999999999</v>
      </c>
      <c r="JG79">
        <v>18</v>
      </c>
      <c r="JH79">
        <v>511.10700000000003</v>
      </c>
      <c r="JI79">
        <v>428.971</v>
      </c>
      <c r="JJ79">
        <v>27.145199999999999</v>
      </c>
      <c r="JK79">
        <v>33.162500000000001</v>
      </c>
      <c r="JL79">
        <v>30.001200000000001</v>
      </c>
      <c r="JM79">
        <v>33.163899999999998</v>
      </c>
      <c r="JN79">
        <v>33.178699999999999</v>
      </c>
      <c r="JO79">
        <v>12.3969</v>
      </c>
      <c r="JP79">
        <v>28.4955</v>
      </c>
      <c r="JQ79">
        <v>0</v>
      </c>
      <c r="JR79">
        <v>27.180199999999999</v>
      </c>
      <c r="JS79">
        <v>200</v>
      </c>
      <c r="JT79">
        <v>20.2742</v>
      </c>
      <c r="JU79">
        <v>99.091499999999996</v>
      </c>
      <c r="JV79">
        <v>98.494399999999999</v>
      </c>
    </row>
    <row r="80" spans="1:282" x14ac:dyDescent="0.25">
      <c r="A80">
        <v>64</v>
      </c>
      <c r="B80">
        <v>1689013193.5999999</v>
      </c>
      <c r="C80">
        <v>13853</v>
      </c>
      <c r="D80" t="s">
        <v>745</v>
      </c>
      <c r="E80" t="s">
        <v>746</v>
      </c>
      <c r="F80" t="s">
        <v>414</v>
      </c>
      <c r="G80" t="s">
        <v>415</v>
      </c>
      <c r="H80" t="s">
        <v>731</v>
      </c>
      <c r="I80" t="s">
        <v>578</v>
      </c>
      <c r="J80" t="s">
        <v>416</v>
      </c>
      <c r="K80">
        <v>1689013193.5999999</v>
      </c>
      <c r="L80">
        <f t="shared" si="46"/>
        <v>6.8925290120896562E-3</v>
      </c>
      <c r="M80">
        <f t="shared" si="47"/>
        <v>6.8925290120896561</v>
      </c>
      <c r="N80">
        <f t="shared" si="48"/>
        <v>19.315294535411724</v>
      </c>
      <c r="O80">
        <f t="shared" si="49"/>
        <v>96.195700000000002</v>
      </c>
      <c r="P80">
        <f t="shared" si="50"/>
        <v>27.183603782701706</v>
      </c>
      <c r="Q80">
        <f t="shared" si="51"/>
        <v>2.6982588372301648</v>
      </c>
      <c r="R80">
        <f t="shared" si="52"/>
        <v>9.5484358771338993</v>
      </c>
      <c r="S80">
        <f t="shared" si="53"/>
        <v>0.4943736278994747</v>
      </c>
      <c r="T80">
        <f t="shared" si="54"/>
        <v>2.9146706148178398</v>
      </c>
      <c r="U80">
        <f t="shared" si="55"/>
        <v>0.45207300637419778</v>
      </c>
      <c r="V80">
        <f t="shared" si="56"/>
        <v>0.28604394494353153</v>
      </c>
      <c r="W80">
        <f t="shared" si="57"/>
        <v>289.53672601270716</v>
      </c>
      <c r="X80">
        <f t="shared" si="58"/>
        <v>29.92591484830114</v>
      </c>
      <c r="Y80">
        <f t="shared" si="59"/>
        <v>29.952000000000002</v>
      </c>
      <c r="Z80">
        <f t="shared" si="60"/>
        <v>4.2487174713577902</v>
      </c>
      <c r="AA80">
        <f t="shared" si="61"/>
        <v>65.420298280898066</v>
      </c>
      <c r="AB80">
        <f t="shared" si="62"/>
        <v>2.7889925094878998</v>
      </c>
      <c r="AC80">
        <f t="shared" si="63"/>
        <v>4.2631913683925404</v>
      </c>
      <c r="AD80">
        <f t="shared" si="64"/>
        <v>1.4597249618698904</v>
      </c>
      <c r="AE80">
        <f t="shared" si="65"/>
        <v>-303.96052943315385</v>
      </c>
      <c r="AF80">
        <f t="shared" si="66"/>
        <v>9.30243475341425</v>
      </c>
      <c r="AG80">
        <f t="shared" si="67"/>
        <v>0.70952405862491463</v>
      </c>
      <c r="AH80">
        <f t="shared" si="68"/>
        <v>-4.4118446084075025</v>
      </c>
      <c r="AI80">
        <v>0</v>
      </c>
      <c r="AJ80">
        <v>0</v>
      </c>
      <c r="AK80">
        <f t="shared" si="69"/>
        <v>1</v>
      </c>
      <c r="AL80">
        <f t="shared" si="70"/>
        <v>0</v>
      </c>
      <c r="AM80">
        <f t="shared" si="71"/>
        <v>51909.068040467588</v>
      </c>
      <c r="AN80" t="s">
        <v>418</v>
      </c>
      <c r="AO80">
        <v>8197.4</v>
      </c>
      <c r="AP80">
        <v>619.92999999999995</v>
      </c>
      <c r="AQ80">
        <v>3131.443117258741</v>
      </c>
      <c r="AR80">
        <f t="shared" si="72"/>
        <v>0.80203057287443702</v>
      </c>
      <c r="AS80">
        <v>-1.0448500102641549</v>
      </c>
      <c r="AT80" t="s">
        <v>747</v>
      </c>
      <c r="AU80">
        <v>8185.44</v>
      </c>
      <c r="AV80">
        <v>726.21372000000008</v>
      </c>
      <c r="AW80">
        <v>860.1968956873377</v>
      </c>
      <c r="AX80">
        <f t="shared" si="73"/>
        <v>0.15575872961071169</v>
      </c>
      <c r="AY80">
        <v>0.5</v>
      </c>
      <c r="AZ80">
        <f t="shared" si="74"/>
        <v>1513.0254000065841</v>
      </c>
      <c r="BA80">
        <f t="shared" si="75"/>
        <v>19.315294535411724</v>
      </c>
      <c r="BB80">
        <f t="shared" si="76"/>
        <v>117.83345708688221</v>
      </c>
      <c r="BC80">
        <f t="shared" si="77"/>
        <v>1.3456578154991503E-2</v>
      </c>
      <c r="BD80">
        <f t="shared" si="78"/>
        <v>2.6403794677224113</v>
      </c>
      <c r="BE80">
        <f t="shared" si="79"/>
        <v>407.12164781309781</v>
      </c>
      <c r="BF80" t="s">
        <v>748</v>
      </c>
      <c r="BG80">
        <v>595.71</v>
      </c>
      <c r="BH80">
        <f t="shared" si="80"/>
        <v>595.71</v>
      </c>
      <c r="BI80">
        <f t="shared" si="81"/>
        <v>0.30747250660094538</v>
      </c>
      <c r="BJ80">
        <f t="shared" si="82"/>
        <v>0.5065777468450664</v>
      </c>
      <c r="BK80">
        <f t="shared" si="83"/>
        <v>0.89569608335862172</v>
      </c>
      <c r="BL80">
        <f t="shared" si="84"/>
        <v>0.55764309645758092</v>
      </c>
      <c r="BM80">
        <f t="shared" si="85"/>
        <v>0.9043338081588107</v>
      </c>
      <c r="BN80">
        <f t="shared" si="86"/>
        <v>0.41554355317477953</v>
      </c>
      <c r="BO80">
        <f t="shared" si="87"/>
        <v>0.58445644682522047</v>
      </c>
      <c r="BP80">
        <v>13696</v>
      </c>
      <c r="BQ80">
        <v>290.00000000000011</v>
      </c>
      <c r="BR80">
        <v>820.55</v>
      </c>
      <c r="BS80">
        <v>285</v>
      </c>
      <c r="BT80">
        <v>8185.44</v>
      </c>
      <c r="BU80">
        <v>820.92</v>
      </c>
      <c r="BV80">
        <v>-0.37</v>
      </c>
      <c r="BW80">
        <v>300.00000000000011</v>
      </c>
      <c r="BX80">
        <v>19.3</v>
      </c>
      <c r="BY80">
        <v>860.1968956873377</v>
      </c>
      <c r="BZ80">
        <v>2.8787065902978761</v>
      </c>
      <c r="CA80">
        <v>-32.150786597161087</v>
      </c>
      <c r="CB80">
        <v>2.1639392240491162</v>
      </c>
      <c r="CC80">
        <v>0.887435432125252</v>
      </c>
      <c r="CD80">
        <v>-4.2386571746384858E-3</v>
      </c>
      <c r="CE80">
        <v>289.99999999999989</v>
      </c>
      <c r="CF80">
        <v>818.65</v>
      </c>
      <c r="CG80">
        <v>715</v>
      </c>
      <c r="CH80">
        <v>8173.14</v>
      </c>
      <c r="CI80">
        <v>820.86</v>
      </c>
      <c r="CJ80">
        <v>-2.21</v>
      </c>
      <c r="CX80">
        <f t="shared" si="88"/>
        <v>1799.81</v>
      </c>
      <c r="CY80">
        <f t="shared" si="89"/>
        <v>1513.0254000065841</v>
      </c>
      <c r="CZ80">
        <f t="shared" si="90"/>
        <v>0.84065840283506821</v>
      </c>
      <c r="DA80">
        <f t="shared" si="91"/>
        <v>0.16087071747168155</v>
      </c>
      <c r="DB80">
        <v>6</v>
      </c>
      <c r="DC80">
        <v>0.5</v>
      </c>
      <c r="DD80" t="s">
        <v>421</v>
      </c>
      <c r="DE80">
        <v>2</v>
      </c>
      <c r="DF80">
        <v>1689013193.5999999</v>
      </c>
      <c r="DG80">
        <v>96.195700000000002</v>
      </c>
      <c r="DH80">
        <v>120.166</v>
      </c>
      <c r="DI80">
        <v>28.0977</v>
      </c>
      <c r="DJ80">
        <v>20.060300000000002</v>
      </c>
      <c r="DK80">
        <v>96.465599999999995</v>
      </c>
      <c r="DL80">
        <v>27.9633</v>
      </c>
      <c r="DM80">
        <v>500.077</v>
      </c>
      <c r="DN80">
        <v>99.160399999999996</v>
      </c>
      <c r="DO80">
        <v>0.10012699999999999</v>
      </c>
      <c r="DP80">
        <v>30.011199999999999</v>
      </c>
      <c r="DQ80">
        <v>29.952000000000002</v>
      </c>
      <c r="DR80">
        <v>999.9</v>
      </c>
      <c r="DS80">
        <v>0</v>
      </c>
      <c r="DT80">
        <v>0</v>
      </c>
      <c r="DU80">
        <v>9999.3799999999992</v>
      </c>
      <c r="DV80">
        <v>0</v>
      </c>
      <c r="DW80">
        <v>1987.96</v>
      </c>
      <c r="DX80">
        <v>-23.970500000000001</v>
      </c>
      <c r="DY80">
        <v>98.976699999999994</v>
      </c>
      <c r="DZ80">
        <v>122.626</v>
      </c>
      <c r="EA80">
        <v>8.0374800000000004</v>
      </c>
      <c r="EB80">
        <v>120.166</v>
      </c>
      <c r="EC80">
        <v>20.060300000000002</v>
      </c>
      <c r="ED80">
        <v>2.7861799999999999</v>
      </c>
      <c r="EE80">
        <v>1.9891799999999999</v>
      </c>
      <c r="EF80">
        <v>22.802399999999999</v>
      </c>
      <c r="EG80">
        <v>17.358499999999999</v>
      </c>
      <c r="EH80">
        <v>1799.81</v>
      </c>
      <c r="EI80">
        <v>0.97799000000000003</v>
      </c>
      <c r="EJ80">
        <v>2.2010100000000001E-2</v>
      </c>
      <c r="EK80">
        <v>0</v>
      </c>
      <c r="EL80">
        <v>725.77700000000004</v>
      </c>
      <c r="EM80">
        <v>4.9999900000000004</v>
      </c>
      <c r="EN80">
        <v>18824.900000000001</v>
      </c>
      <c r="EO80">
        <v>15862</v>
      </c>
      <c r="EP80">
        <v>48.5</v>
      </c>
      <c r="EQ80">
        <v>49.875</v>
      </c>
      <c r="ER80">
        <v>49</v>
      </c>
      <c r="ES80">
        <v>49.375</v>
      </c>
      <c r="ET80">
        <v>50.125</v>
      </c>
      <c r="EU80">
        <v>1755.31</v>
      </c>
      <c r="EV80">
        <v>39.5</v>
      </c>
      <c r="EW80">
        <v>0</v>
      </c>
      <c r="EX80">
        <v>130.79999995231631</v>
      </c>
      <c r="EY80">
        <v>0</v>
      </c>
      <c r="EZ80">
        <v>726.21372000000008</v>
      </c>
      <c r="FA80">
        <v>-2.4863846160438898</v>
      </c>
      <c r="FB80">
        <v>-175.36153954592271</v>
      </c>
      <c r="FC80">
        <v>18827.072</v>
      </c>
      <c r="FD80">
        <v>15</v>
      </c>
      <c r="FE80">
        <v>1689013154.5999999</v>
      </c>
      <c r="FF80" t="s">
        <v>749</v>
      </c>
      <c r="FG80">
        <v>1689013140.5999999</v>
      </c>
      <c r="FH80">
        <v>1689013154.5999999</v>
      </c>
      <c r="FI80">
        <v>73</v>
      </c>
      <c r="FJ80">
        <v>0</v>
      </c>
      <c r="FK80">
        <v>-2E-3</v>
      </c>
      <c r="FL80">
        <v>-0.27100000000000002</v>
      </c>
      <c r="FM80">
        <v>0.1</v>
      </c>
      <c r="FN80">
        <v>120</v>
      </c>
      <c r="FO80">
        <v>20</v>
      </c>
      <c r="FP80">
        <v>0.04</v>
      </c>
      <c r="FQ80">
        <v>0.01</v>
      </c>
      <c r="FR80">
        <v>19.340664934531191</v>
      </c>
      <c r="FS80">
        <v>0.1693380055175184</v>
      </c>
      <c r="FT80">
        <v>2.7955602076973021E-2</v>
      </c>
      <c r="FU80">
        <v>1</v>
      </c>
      <c r="FV80">
        <v>0.49305473135765743</v>
      </c>
      <c r="FW80">
        <v>4.1364345292066132E-2</v>
      </c>
      <c r="FX80">
        <v>3.366104843833016E-3</v>
      </c>
      <c r="FY80">
        <v>1</v>
      </c>
      <c r="FZ80">
        <v>2</v>
      </c>
      <c r="GA80">
        <v>2</v>
      </c>
      <c r="GB80" t="s">
        <v>423</v>
      </c>
      <c r="GC80">
        <v>2.9584600000000001</v>
      </c>
      <c r="GD80">
        <v>2.74335</v>
      </c>
      <c r="GE80">
        <v>2.58316E-2</v>
      </c>
      <c r="GF80">
        <v>3.1710599999999999E-2</v>
      </c>
      <c r="GG80">
        <v>0.129054</v>
      </c>
      <c r="GH80">
        <v>0.101494</v>
      </c>
      <c r="GI80">
        <v>22880.9</v>
      </c>
      <c r="GJ80">
        <v>21194.3</v>
      </c>
      <c r="GK80">
        <v>23419.8</v>
      </c>
      <c r="GL80">
        <v>21937</v>
      </c>
      <c r="GM80">
        <v>28764.9</v>
      </c>
      <c r="GN80">
        <v>27500.3</v>
      </c>
      <c r="GO80">
        <v>36959.1</v>
      </c>
      <c r="GP80">
        <v>34132.1</v>
      </c>
      <c r="GQ80">
        <v>1.9996</v>
      </c>
      <c r="GR80">
        <v>1.8154999999999999</v>
      </c>
      <c r="GS80">
        <v>1.0795900000000001E-2</v>
      </c>
      <c r="GT80">
        <v>0</v>
      </c>
      <c r="GU80">
        <v>29.776299999999999</v>
      </c>
      <c r="GV80">
        <v>999.9</v>
      </c>
      <c r="GW80">
        <v>27.7</v>
      </c>
      <c r="GX80">
        <v>45.6</v>
      </c>
      <c r="GY80">
        <v>27.7668</v>
      </c>
      <c r="GZ80">
        <v>60.295200000000001</v>
      </c>
      <c r="HA80">
        <v>39.455100000000002</v>
      </c>
      <c r="HB80">
        <v>1</v>
      </c>
      <c r="HC80">
        <v>0.498255</v>
      </c>
      <c r="HD80">
        <v>2.3821699999999999</v>
      </c>
      <c r="HE80">
        <v>20.0959</v>
      </c>
      <c r="HF80">
        <v>5.2641600000000004</v>
      </c>
      <c r="HG80">
        <v>11.962</v>
      </c>
      <c r="HH80">
        <v>4.9793000000000003</v>
      </c>
      <c r="HI80">
        <v>3.29793</v>
      </c>
      <c r="HJ80">
        <v>9999</v>
      </c>
      <c r="HK80">
        <v>9999</v>
      </c>
      <c r="HL80">
        <v>9999</v>
      </c>
      <c r="HM80">
        <v>999.9</v>
      </c>
      <c r="HN80">
        <v>1.8644400000000001</v>
      </c>
      <c r="HO80">
        <v>1.8604099999999999</v>
      </c>
      <c r="HP80">
        <v>1.8669899999999999</v>
      </c>
      <c r="HQ80">
        <v>1.86371</v>
      </c>
      <c r="HR80">
        <v>1.8623400000000001</v>
      </c>
      <c r="HS80">
        <v>1.8623499999999999</v>
      </c>
      <c r="HT80">
        <v>1.8636600000000001</v>
      </c>
      <c r="HU80">
        <v>1.86493</v>
      </c>
      <c r="HV80">
        <v>0</v>
      </c>
      <c r="HW80">
        <v>0</v>
      </c>
      <c r="HX80">
        <v>0</v>
      </c>
      <c r="HY80">
        <v>0</v>
      </c>
      <c r="HZ80" t="s">
        <v>424</v>
      </c>
      <c r="IA80" t="s">
        <v>425</v>
      </c>
      <c r="IB80" t="s">
        <v>426</v>
      </c>
      <c r="IC80" t="s">
        <v>426</v>
      </c>
      <c r="ID80" t="s">
        <v>426</v>
      </c>
      <c r="IE80" t="s">
        <v>426</v>
      </c>
      <c r="IF80">
        <v>0</v>
      </c>
      <c r="IG80">
        <v>100</v>
      </c>
      <c r="IH80">
        <v>100</v>
      </c>
      <c r="II80">
        <v>-0.27</v>
      </c>
      <c r="IJ80">
        <v>0.13439999999999999</v>
      </c>
      <c r="IK80">
        <v>-0.26408634487974808</v>
      </c>
      <c r="IL80">
        <v>-8.3322953065825546E-5</v>
      </c>
      <c r="IM80">
        <v>2.3872336679552741E-7</v>
      </c>
      <c r="IN80">
        <v>-5.428329794194132E-11</v>
      </c>
      <c r="IO80">
        <v>0.13443057316453899</v>
      </c>
      <c r="IP80">
        <v>0</v>
      </c>
      <c r="IQ80">
        <v>0</v>
      </c>
      <c r="IR80">
        <v>0</v>
      </c>
      <c r="IS80">
        <v>2</v>
      </c>
      <c r="IT80">
        <v>2035</v>
      </c>
      <c r="IU80">
        <v>1</v>
      </c>
      <c r="IV80">
        <v>21</v>
      </c>
      <c r="IW80">
        <v>0.9</v>
      </c>
      <c r="IX80">
        <v>0.7</v>
      </c>
      <c r="IY80">
        <v>0.43212899999999999</v>
      </c>
      <c r="IZ80">
        <v>2.7197300000000002</v>
      </c>
      <c r="JA80">
        <v>1.4526399999999999</v>
      </c>
      <c r="JB80">
        <v>2.2766099999999998</v>
      </c>
      <c r="JC80">
        <v>1.5942400000000001</v>
      </c>
      <c r="JD80">
        <v>2.3889200000000002</v>
      </c>
      <c r="JE80">
        <v>48.516199999999998</v>
      </c>
      <c r="JF80">
        <v>23.9999</v>
      </c>
      <c r="JG80">
        <v>18</v>
      </c>
      <c r="JH80">
        <v>511.17399999999998</v>
      </c>
      <c r="JI80">
        <v>427.38799999999998</v>
      </c>
      <c r="JJ80">
        <v>27.250599999999999</v>
      </c>
      <c r="JK80">
        <v>33.330199999999998</v>
      </c>
      <c r="JL80">
        <v>30</v>
      </c>
      <c r="JM80">
        <v>33.2971</v>
      </c>
      <c r="JN80">
        <v>33.300199999999997</v>
      </c>
      <c r="JO80">
        <v>8.6142000000000003</v>
      </c>
      <c r="JP80">
        <v>29.575099999999999</v>
      </c>
      <c r="JQ80">
        <v>0</v>
      </c>
      <c r="JR80">
        <v>27.291799999999999</v>
      </c>
      <c r="JS80">
        <v>120</v>
      </c>
      <c r="JT80">
        <v>19.9224</v>
      </c>
      <c r="JU80">
        <v>99.054500000000004</v>
      </c>
      <c r="JV80">
        <v>98.457300000000004</v>
      </c>
    </row>
    <row r="81" spans="1:282" x14ac:dyDescent="0.25">
      <c r="A81">
        <v>65</v>
      </c>
      <c r="B81">
        <v>1689013321.0999999</v>
      </c>
      <c r="C81">
        <v>13980.5</v>
      </c>
      <c r="D81" t="s">
        <v>750</v>
      </c>
      <c r="E81" t="s">
        <v>751</v>
      </c>
      <c r="F81" t="s">
        <v>414</v>
      </c>
      <c r="G81" t="s">
        <v>415</v>
      </c>
      <c r="H81" t="s">
        <v>731</v>
      </c>
      <c r="I81" t="s">
        <v>578</v>
      </c>
      <c r="J81" t="s">
        <v>416</v>
      </c>
      <c r="K81">
        <v>1689013321.0999999</v>
      </c>
      <c r="L81">
        <f t="shared" ref="L81:L112" si="92">(M81)/1000</f>
        <v>7.2114127242268386E-3</v>
      </c>
      <c r="M81">
        <f t="shared" ref="M81:M112" si="93">1000*DM81*AK81*(DI81-DJ81)/(100*DB81*(1000-AK81*DI81))</f>
        <v>7.2114127242268387</v>
      </c>
      <c r="N81">
        <f t="shared" ref="N81:N112" si="94">DM81*AK81*(DH81-DG81*(1000-AK81*DJ81)/(1000-AK81*DI81))/(100*DB81)</f>
        <v>11.795490267719449</v>
      </c>
      <c r="O81">
        <f t="shared" ref="O81:O112" si="95">DG81 - IF(AK81&gt;1, N81*DB81*100/(AM81*DU81), 0)</f>
        <v>55.571199999999997</v>
      </c>
      <c r="P81">
        <f t="shared" ref="P81:P112" si="96">((V81-L81/2)*O81-N81)/(V81+L81/2)</f>
        <v>15.810860403802645</v>
      </c>
      <c r="Q81">
        <f t="shared" ref="Q81:Q112" si="97">P81*(DN81+DO81)/1000</f>
        <v>1.569389273367382</v>
      </c>
      <c r="R81">
        <f t="shared" ref="R81:R112" si="98">(DG81 - IF(AK81&gt;1, N81*DB81*100/(AM81*DU81), 0))*(DN81+DO81)/1000</f>
        <v>5.5160088041241595</v>
      </c>
      <c r="S81">
        <f t="shared" ref="S81:S112" si="99">2/((1/U81-1/T81)+SIGN(U81)*SQRT((1/U81-1/T81)*(1/U81-1/T81) + 4*DC81/((DC81+1)*(DC81+1))*(2*1/U81*1/T81-1/T81*1/T81)))</f>
        <v>0.52636209208092799</v>
      </c>
      <c r="T81">
        <f t="shared" ref="T81:T112" si="100">IF(LEFT(DD81,1)&lt;&gt;"0",IF(LEFT(DD81,1)="1",3,DE81),$D$5+$E$5*(DU81*DN81/($K$5*1000))+$F$5*(DU81*DN81/($K$5*1000))*MAX(MIN(DB81,$J$5),$I$5)*MAX(MIN(DB81,$J$5),$I$5)+$G$5*MAX(MIN(DB81,$J$5),$I$5)*(DU81*DN81/($K$5*1000))+$H$5*(DU81*DN81/($K$5*1000))*(DU81*DN81/($K$5*1000)))</f>
        <v>2.9187194316473684</v>
      </c>
      <c r="U81">
        <f t="shared" ref="U81:U112" si="101">L81*(1000-(1000*0.61365*EXP(17.502*Y81/(240.97+Y81))/(DN81+DO81)+DI81)/2)/(1000*0.61365*EXP(17.502*Y81/(240.97+Y81))/(DN81+DO81)-DI81)</f>
        <v>0.47875232998637568</v>
      </c>
      <c r="V81">
        <f t="shared" ref="V81:V112" si="102">1/((DC81+1)/(S81/1.6)+1/(T81/1.37)) + DC81/((DC81+1)/(S81/1.6) + DC81/(T81/1.37))</f>
        <v>0.30313808029474004</v>
      </c>
      <c r="W81">
        <f t="shared" ref="W81:W112" si="103">(CX81*DA81)</f>
        <v>289.53513001270721</v>
      </c>
      <c r="X81">
        <f t="shared" ref="X81:X112" si="104">(DP81+(W81+2*0.95*0.0000000567*(((DP81+$B$7)+273)^4-(DP81+273)^4)-44100*L81)/(1.84*29.3*T81+8*0.95*0.0000000567*(DP81+273)^3))</f>
        <v>29.865374734406522</v>
      </c>
      <c r="Y81">
        <f t="shared" ref="Y81:Y112" si="105">($C$7*DQ81+$D$7*DR81+$E$7*X81)</f>
        <v>29.928699999999999</v>
      </c>
      <c r="Z81">
        <f t="shared" ref="Z81:Z112" si="106">0.61365*EXP(17.502*Y81/(240.97+Y81))</f>
        <v>4.243032575332391</v>
      </c>
      <c r="AA81">
        <f t="shared" ref="AA81:AA112" si="107">(AB81/AC81*100)</f>
        <v>65.615951161016966</v>
      </c>
      <c r="AB81">
        <f t="shared" ref="AB81:AB112" si="108">DI81*(DN81+DO81)/1000</f>
        <v>2.8009344415030797</v>
      </c>
      <c r="AC81">
        <f t="shared" ref="AC81:AC112" si="109">0.61365*EXP(17.502*DP81/(240.97+DP81))</f>
        <v>4.2686791731933935</v>
      </c>
      <c r="AD81">
        <f t="shared" ref="AD81:AD112" si="110">(Z81-DI81*(DN81+DO81)/1000)</f>
        <v>1.4420981338293113</v>
      </c>
      <c r="AE81">
        <f t="shared" ref="AE81:AE112" si="111">(-L81*44100)</f>
        <v>-318.02330113840361</v>
      </c>
      <c r="AF81">
        <f t="shared" ref="AF81:AF112" si="112">2*29.3*T81*0.92*(DP81-Y81)</f>
        <v>16.506434809692365</v>
      </c>
      <c r="AG81">
        <f t="shared" ref="AG81:AG112" si="113">2*0.95*0.0000000567*(((DP81+$B$7)+273)^4-(Y81+273)^4)</f>
        <v>1.257242291140851</v>
      </c>
      <c r="AH81">
        <f t="shared" ref="AH81:AH112" si="114">W81+AG81+AE81+AF81</f>
        <v>-10.724494024863162</v>
      </c>
      <c r="AI81">
        <v>0</v>
      </c>
      <c r="AJ81">
        <v>0</v>
      </c>
      <c r="AK81">
        <f t="shared" ref="AK81:AK112" si="115">IF(AI81*$H$13&gt;=AM81,1,(AM81/(AM81-AI81*$H$13)))</f>
        <v>1</v>
      </c>
      <c r="AL81">
        <f t="shared" ref="AL81:AL112" si="116">(AK81-1)*100</f>
        <v>0</v>
      </c>
      <c r="AM81">
        <f t="shared" ref="AM81:AM112" si="117">MAX(0,($B$13+$C$13*DU81)/(1+$D$13*DU81)*DN81/(DP81+273)*$E$13)</f>
        <v>52020.510872163446</v>
      </c>
      <c r="AN81" t="s">
        <v>418</v>
      </c>
      <c r="AO81">
        <v>8197.4</v>
      </c>
      <c r="AP81">
        <v>619.92999999999995</v>
      </c>
      <c r="AQ81">
        <v>3131.443117258741</v>
      </c>
      <c r="AR81">
        <f t="shared" ref="AR81:AR112" si="118">1-AP81/AQ81</f>
        <v>0.80203057287443702</v>
      </c>
      <c r="AS81">
        <v>-1.0448500102641549</v>
      </c>
      <c r="AT81" t="s">
        <v>752</v>
      </c>
      <c r="AU81">
        <v>8199</v>
      </c>
      <c r="AV81">
        <v>741.87331999999992</v>
      </c>
      <c r="AW81">
        <v>833.55739549936879</v>
      </c>
      <c r="AX81">
        <f t="shared" ref="AX81:AX112" si="119">1-AV81/AW81</f>
        <v>0.10999131672803719</v>
      </c>
      <c r="AY81">
        <v>0.5</v>
      </c>
      <c r="AZ81">
        <f t="shared" ref="AZ81:AZ112" si="120">CY81</f>
        <v>1513.0170000065841</v>
      </c>
      <c r="BA81">
        <f t="shared" ref="BA81:BA112" si="121">N81</f>
        <v>11.795490267719449</v>
      </c>
      <c r="BB81">
        <f t="shared" ref="BB81:BB112" si="122">AX81*AY81*AZ81</f>
        <v>83.209366031314417</v>
      </c>
      <c r="BC81">
        <f t="shared" ref="BC81:BC112" si="123">(BA81-AS81)/AZ81</f>
        <v>8.4865803080386593E-3</v>
      </c>
      <c r="BD81">
        <f t="shared" ref="BD81:BD112" si="124">(AQ81-AW81)/AW81</f>
        <v>2.7567216536813897</v>
      </c>
      <c r="BE81">
        <f t="shared" ref="BE81:BE112" si="125">AP81/(AR81+AP81/AW81)</f>
        <v>401.05538474646426</v>
      </c>
      <c r="BF81" t="s">
        <v>753</v>
      </c>
      <c r="BG81">
        <v>615.11</v>
      </c>
      <c r="BH81">
        <f t="shared" ref="BH81:BH112" si="126">IF(BG81&lt;&gt;0, BG81, BE81)</f>
        <v>615.11</v>
      </c>
      <c r="BI81">
        <f t="shared" ref="BI81:BI112" si="127">1-BH81/AW81</f>
        <v>0.26206641159784927</v>
      </c>
      <c r="BJ81">
        <f t="shared" ref="BJ81:BJ112" si="128">(AW81-AV81)/(AW81-BH81)</f>
        <v>0.41970779871181296</v>
      </c>
      <c r="BK81">
        <f t="shared" ref="BK81:BK112" si="129">(AQ81-AW81)/(AQ81-BH81)</f>
        <v>0.91318820469312811</v>
      </c>
      <c r="BL81">
        <f t="shared" ref="BL81:BL112" si="130">(AW81-AV81)/(AW81-AP81)</f>
        <v>0.42917751857176833</v>
      </c>
      <c r="BM81">
        <f t="shared" ref="BM81:BM112" si="131">(AQ81-AW81)/(AQ81-AP81)</f>
        <v>0.91494076059911711</v>
      </c>
      <c r="BN81">
        <f t="shared" ref="BN81:BN112" si="132">(BJ81*BH81/AV81)</f>
        <v>0.34799265198757023</v>
      </c>
      <c r="BO81">
        <f t="shared" ref="BO81:BO112" si="133">(1-BN81)</f>
        <v>0.65200734801242977</v>
      </c>
      <c r="BP81">
        <v>13698</v>
      </c>
      <c r="BQ81">
        <v>290.00000000000011</v>
      </c>
      <c r="BR81">
        <v>805.03</v>
      </c>
      <c r="BS81">
        <v>125</v>
      </c>
      <c r="BT81">
        <v>8199</v>
      </c>
      <c r="BU81">
        <v>804.24</v>
      </c>
      <c r="BV81">
        <v>0.79</v>
      </c>
      <c r="BW81">
        <v>300.00000000000011</v>
      </c>
      <c r="BX81">
        <v>19.3</v>
      </c>
      <c r="BY81">
        <v>833.55739549936879</v>
      </c>
      <c r="BZ81">
        <v>2.4120687380028492</v>
      </c>
      <c r="CA81">
        <v>-24.03497153551378</v>
      </c>
      <c r="CB81">
        <v>1.8130714767656311</v>
      </c>
      <c r="CC81">
        <v>0.86256632562649416</v>
      </c>
      <c r="CD81">
        <v>-4.238488097886536E-3</v>
      </c>
      <c r="CE81">
        <v>289.99999999999989</v>
      </c>
      <c r="CF81">
        <v>803.19</v>
      </c>
      <c r="CG81">
        <v>635</v>
      </c>
      <c r="CH81">
        <v>8175.11</v>
      </c>
      <c r="CI81">
        <v>804.16</v>
      </c>
      <c r="CJ81">
        <v>-0.97</v>
      </c>
      <c r="CX81">
        <f t="shared" ref="CX81:CX112" si="134">$B$11*DV81+$C$11*DW81+$F$11*EH81*(1-EK81)</f>
        <v>1799.8</v>
      </c>
      <c r="CY81">
        <f t="shared" ref="CY81:CY112" si="135">CX81*CZ81</f>
        <v>1513.0170000065841</v>
      </c>
      <c r="CZ81">
        <f t="shared" ref="CZ81:CZ112" si="136">($B$11*$D$9+$C$11*$D$9+$F$11*((EU81+EM81)/MAX(EU81+EM81+EV81, 0.1)*$I$9+EV81/MAX(EU81+EM81+EV81, 0.1)*$J$9))/($B$11+$C$11+$F$11)</f>
        <v>0.84065840649326817</v>
      </c>
      <c r="DA81">
        <f t="shared" ref="DA81:DA112" si="137">($B$11*$K$9+$C$11*$K$9+$F$11*((EU81+EM81)/MAX(EU81+EM81+EV81, 0.1)*$P$9+EV81/MAX(EU81+EM81+EV81, 0.1)*$Q$9))/($B$11+$C$11+$F$11)</f>
        <v>0.16087072453200757</v>
      </c>
      <c r="DB81">
        <v>6</v>
      </c>
      <c r="DC81">
        <v>0.5</v>
      </c>
      <c r="DD81" t="s">
        <v>421</v>
      </c>
      <c r="DE81">
        <v>2</v>
      </c>
      <c r="DF81">
        <v>1689013321.0999999</v>
      </c>
      <c r="DG81">
        <v>55.571199999999997</v>
      </c>
      <c r="DH81">
        <v>70.202500000000001</v>
      </c>
      <c r="DI81">
        <v>28.2181</v>
      </c>
      <c r="DJ81">
        <v>19.811</v>
      </c>
      <c r="DK81">
        <v>55.804900000000004</v>
      </c>
      <c r="DL81">
        <v>28.085599999999999</v>
      </c>
      <c r="DM81">
        <v>500.14299999999997</v>
      </c>
      <c r="DN81">
        <v>99.160799999999995</v>
      </c>
      <c r="DO81">
        <v>9.9406800000000003E-2</v>
      </c>
      <c r="DP81">
        <v>30.0336</v>
      </c>
      <c r="DQ81">
        <v>29.928699999999999</v>
      </c>
      <c r="DR81">
        <v>999.9</v>
      </c>
      <c r="DS81">
        <v>0</v>
      </c>
      <c r="DT81">
        <v>0</v>
      </c>
      <c r="DU81">
        <v>10022.5</v>
      </c>
      <c r="DV81">
        <v>0</v>
      </c>
      <c r="DW81">
        <v>1981.51</v>
      </c>
      <c r="DX81">
        <v>-14.6312</v>
      </c>
      <c r="DY81">
        <v>57.184899999999999</v>
      </c>
      <c r="DZ81">
        <v>71.621399999999994</v>
      </c>
      <c r="EA81">
        <v>8.4071800000000003</v>
      </c>
      <c r="EB81">
        <v>70.202500000000001</v>
      </c>
      <c r="EC81">
        <v>19.811</v>
      </c>
      <c r="ED81">
        <v>2.79813</v>
      </c>
      <c r="EE81">
        <v>1.9644699999999999</v>
      </c>
      <c r="EF81">
        <v>22.873100000000001</v>
      </c>
      <c r="EG81">
        <v>17.160799999999998</v>
      </c>
      <c r="EH81">
        <v>1799.8</v>
      </c>
      <c r="EI81">
        <v>0.97799000000000003</v>
      </c>
      <c r="EJ81">
        <v>2.2009999999999998E-2</v>
      </c>
      <c r="EK81">
        <v>0</v>
      </c>
      <c r="EL81">
        <v>741.95600000000002</v>
      </c>
      <c r="EM81">
        <v>4.9999900000000004</v>
      </c>
      <c r="EN81">
        <v>19056.3</v>
      </c>
      <c r="EO81">
        <v>15862</v>
      </c>
      <c r="EP81">
        <v>48.561999999999998</v>
      </c>
      <c r="EQ81">
        <v>49.936999999999998</v>
      </c>
      <c r="ER81">
        <v>49.061999999999998</v>
      </c>
      <c r="ES81">
        <v>49.436999999999998</v>
      </c>
      <c r="ET81">
        <v>50.25</v>
      </c>
      <c r="EU81">
        <v>1755.3</v>
      </c>
      <c r="EV81">
        <v>39.5</v>
      </c>
      <c r="EW81">
        <v>0</v>
      </c>
      <c r="EX81">
        <v>125.3999998569489</v>
      </c>
      <c r="EY81">
        <v>0</v>
      </c>
      <c r="EZ81">
        <v>741.87331999999992</v>
      </c>
      <c r="FA81">
        <v>1.5076912469896651E-2</v>
      </c>
      <c r="FB81">
        <v>21.476923754485679</v>
      </c>
      <c r="FC81">
        <v>19073.46</v>
      </c>
      <c r="FD81">
        <v>15</v>
      </c>
      <c r="FE81">
        <v>1689013287.5999999</v>
      </c>
      <c r="FF81" t="s">
        <v>754</v>
      </c>
      <c r="FG81">
        <v>1689013270.0999999</v>
      </c>
      <c r="FH81">
        <v>1689013287.5999999</v>
      </c>
      <c r="FI81">
        <v>74</v>
      </c>
      <c r="FJ81">
        <v>3.4000000000000002E-2</v>
      </c>
      <c r="FK81">
        <v>-2E-3</v>
      </c>
      <c r="FL81">
        <v>-0.23400000000000001</v>
      </c>
      <c r="FM81">
        <v>9.2999999999999999E-2</v>
      </c>
      <c r="FN81">
        <v>70</v>
      </c>
      <c r="FO81">
        <v>20</v>
      </c>
      <c r="FP81">
        <v>0.08</v>
      </c>
      <c r="FQ81">
        <v>0.01</v>
      </c>
      <c r="FR81">
        <v>11.889510134888081</v>
      </c>
      <c r="FS81">
        <v>-0.47308889636950813</v>
      </c>
      <c r="FT81">
        <v>4.1416202386943921E-2</v>
      </c>
      <c r="FU81">
        <v>1</v>
      </c>
      <c r="FV81">
        <v>0.52496913847130255</v>
      </c>
      <c r="FW81">
        <v>4.959052571599977E-2</v>
      </c>
      <c r="FX81">
        <v>4.7829402595275751E-3</v>
      </c>
      <c r="FY81">
        <v>1</v>
      </c>
      <c r="FZ81">
        <v>2</v>
      </c>
      <c r="GA81">
        <v>2</v>
      </c>
      <c r="GB81" t="s">
        <v>423</v>
      </c>
      <c r="GC81">
        <v>2.95852</v>
      </c>
      <c r="GD81">
        <v>2.7428300000000001</v>
      </c>
      <c r="GE81">
        <v>1.52595E-2</v>
      </c>
      <c r="GF81">
        <v>1.9035300000000002E-2</v>
      </c>
      <c r="GG81">
        <v>0.129416</v>
      </c>
      <c r="GH81">
        <v>0.10058400000000001</v>
      </c>
      <c r="GI81">
        <v>23124.6</v>
      </c>
      <c r="GJ81">
        <v>21467.4</v>
      </c>
      <c r="GK81">
        <v>23415.8</v>
      </c>
      <c r="GL81">
        <v>21933.200000000001</v>
      </c>
      <c r="GM81">
        <v>28747.7</v>
      </c>
      <c r="GN81">
        <v>27523.599999999999</v>
      </c>
      <c r="GO81">
        <v>36952.699999999997</v>
      </c>
      <c r="GP81">
        <v>34126.9</v>
      </c>
      <c r="GQ81">
        <v>1.9987200000000001</v>
      </c>
      <c r="GR81">
        <v>1.81325</v>
      </c>
      <c r="GS81">
        <v>1.05649E-2</v>
      </c>
      <c r="GT81">
        <v>0</v>
      </c>
      <c r="GU81">
        <v>29.756699999999999</v>
      </c>
      <c r="GV81">
        <v>999.9</v>
      </c>
      <c r="GW81">
        <v>27.6</v>
      </c>
      <c r="GX81">
        <v>45.7</v>
      </c>
      <c r="GY81">
        <v>27.8079</v>
      </c>
      <c r="GZ81">
        <v>60.275199999999998</v>
      </c>
      <c r="HA81">
        <v>39.194699999999997</v>
      </c>
      <c r="HB81">
        <v>1</v>
      </c>
      <c r="HC81">
        <v>0.50577000000000005</v>
      </c>
      <c r="HD81">
        <v>2.3199299999999998</v>
      </c>
      <c r="HE81">
        <v>20.098199999999999</v>
      </c>
      <c r="HF81">
        <v>5.2613200000000004</v>
      </c>
      <c r="HG81">
        <v>11.962199999999999</v>
      </c>
      <c r="HH81">
        <v>4.9797500000000001</v>
      </c>
      <c r="HI81">
        <v>3.298</v>
      </c>
      <c r="HJ81">
        <v>9999</v>
      </c>
      <c r="HK81">
        <v>9999</v>
      </c>
      <c r="HL81">
        <v>9999</v>
      </c>
      <c r="HM81">
        <v>999.9</v>
      </c>
      <c r="HN81">
        <v>1.86442</v>
      </c>
      <c r="HO81">
        <v>1.86046</v>
      </c>
      <c r="HP81">
        <v>1.86697</v>
      </c>
      <c r="HQ81">
        <v>1.86371</v>
      </c>
      <c r="HR81">
        <v>1.8623400000000001</v>
      </c>
      <c r="HS81">
        <v>1.8623499999999999</v>
      </c>
      <c r="HT81">
        <v>1.86364</v>
      </c>
      <c r="HU81">
        <v>1.86493</v>
      </c>
      <c r="HV81">
        <v>0</v>
      </c>
      <c r="HW81">
        <v>0</v>
      </c>
      <c r="HX81">
        <v>0</v>
      </c>
      <c r="HY81">
        <v>0</v>
      </c>
      <c r="HZ81" t="s">
        <v>424</v>
      </c>
      <c r="IA81" t="s">
        <v>425</v>
      </c>
      <c r="IB81" t="s">
        <v>426</v>
      </c>
      <c r="IC81" t="s">
        <v>426</v>
      </c>
      <c r="ID81" t="s">
        <v>426</v>
      </c>
      <c r="IE81" t="s">
        <v>426</v>
      </c>
      <c r="IF81">
        <v>0</v>
      </c>
      <c r="IG81">
        <v>100</v>
      </c>
      <c r="IH81">
        <v>100</v>
      </c>
      <c r="II81">
        <v>-0.23400000000000001</v>
      </c>
      <c r="IJ81">
        <v>0.13250000000000001</v>
      </c>
      <c r="IK81">
        <v>-0.22971299647886431</v>
      </c>
      <c r="IL81">
        <v>-8.3322953065825546E-5</v>
      </c>
      <c r="IM81">
        <v>2.3872336679552741E-7</v>
      </c>
      <c r="IN81">
        <v>-5.428329794194132E-11</v>
      </c>
      <c r="IO81">
        <v>0.13259011485314351</v>
      </c>
      <c r="IP81">
        <v>0</v>
      </c>
      <c r="IQ81">
        <v>0</v>
      </c>
      <c r="IR81">
        <v>0</v>
      </c>
      <c r="IS81">
        <v>2</v>
      </c>
      <c r="IT81">
        <v>2035</v>
      </c>
      <c r="IU81">
        <v>1</v>
      </c>
      <c r="IV81">
        <v>21</v>
      </c>
      <c r="IW81">
        <v>0.8</v>
      </c>
      <c r="IX81">
        <v>0.6</v>
      </c>
      <c r="IY81">
        <v>0.3125</v>
      </c>
      <c r="IZ81">
        <v>2.7368199999999998</v>
      </c>
      <c r="JA81">
        <v>1.4526399999999999</v>
      </c>
      <c r="JB81">
        <v>2.2766099999999998</v>
      </c>
      <c r="JC81">
        <v>1.5942400000000001</v>
      </c>
      <c r="JD81">
        <v>2.2912599999999999</v>
      </c>
      <c r="JE81">
        <v>48.608800000000002</v>
      </c>
      <c r="JF81">
        <v>23.991199999999999</v>
      </c>
      <c r="JG81">
        <v>18</v>
      </c>
      <c r="JH81">
        <v>511.42099999999999</v>
      </c>
      <c r="JI81">
        <v>426.56700000000001</v>
      </c>
      <c r="JJ81">
        <v>27.314299999999999</v>
      </c>
      <c r="JK81">
        <v>33.424900000000001</v>
      </c>
      <c r="JL81">
        <v>30.0001</v>
      </c>
      <c r="JM81">
        <v>33.392499999999998</v>
      </c>
      <c r="JN81">
        <v>33.391100000000002</v>
      </c>
      <c r="JO81">
        <v>6.2147300000000003</v>
      </c>
      <c r="JP81">
        <v>30.94</v>
      </c>
      <c r="JQ81">
        <v>0</v>
      </c>
      <c r="JR81">
        <v>27.368500000000001</v>
      </c>
      <c r="JS81">
        <v>70</v>
      </c>
      <c r="JT81">
        <v>19.6676</v>
      </c>
      <c r="JU81">
        <v>99.037599999999998</v>
      </c>
      <c r="JV81">
        <v>98.441599999999994</v>
      </c>
    </row>
    <row r="82" spans="1:282" x14ac:dyDescent="0.25">
      <c r="A82">
        <v>66</v>
      </c>
      <c r="B82">
        <v>1689013439.0999999</v>
      </c>
      <c r="C82">
        <v>14098.5</v>
      </c>
      <c r="D82" t="s">
        <v>755</v>
      </c>
      <c r="E82" t="s">
        <v>756</v>
      </c>
      <c r="F82" t="s">
        <v>414</v>
      </c>
      <c r="G82" t="s">
        <v>415</v>
      </c>
      <c r="H82" t="s">
        <v>731</v>
      </c>
      <c r="I82" t="s">
        <v>578</v>
      </c>
      <c r="J82" t="s">
        <v>416</v>
      </c>
      <c r="K82">
        <v>1689013439.0999999</v>
      </c>
      <c r="L82">
        <f t="shared" si="92"/>
        <v>7.3640333627737285E-3</v>
      </c>
      <c r="M82">
        <f t="shared" si="93"/>
        <v>7.3640333627737284</v>
      </c>
      <c r="N82">
        <f t="shared" si="94"/>
        <v>5.0847667930292832</v>
      </c>
      <c r="O82">
        <f t="shared" si="95"/>
        <v>23.801100000000002</v>
      </c>
      <c r="P82">
        <f t="shared" si="96"/>
        <v>7.049092792132801</v>
      </c>
      <c r="Q82">
        <f t="shared" si="97"/>
        <v>0.69970461961530983</v>
      </c>
      <c r="R82">
        <f t="shared" si="98"/>
        <v>2.3625365863409402</v>
      </c>
      <c r="S82">
        <f t="shared" si="99"/>
        <v>0.53997149502426089</v>
      </c>
      <c r="T82">
        <f t="shared" si="100"/>
        <v>2.9143663815019929</v>
      </c>
      <c r="U82">
        <f t="shared" si="101"/>
        <v>0.48992569924114637</v>
      </c>
      <c r="V82">
        <f t="shared" si="102"/>
        <v>0.3103125287023889</v>
      </c>
      <c r="W82">
        <f t="shared" si="103"/>
        <v>289.56864601270576</v>
      </c>
      <c r="X82">
        <f t="shared" si="104"/>
        <v>29.834941054336483</v>
      </c>
      <c r="Y82">
        <f t="shared" si="105"/>
        <v>29.957000000000001</v>
      </c>
      <c r="Z82">
        <f t="shared" si="106"/>
        <v>4.2499382708481281</v>
      </c>
      <c r="AA82">
        <f t="shared" si="107"/>
        <v>65.81646574502723</v>
      </c>
      <c r="AB82">
        <f t="shared" si="108"/>
        <v>2.8110106716036798</v>
      </c>
      <c r="AC82">
        <f t="shared" si="109"/>
        <v>4.2709839244384922</v>
      </c>
      <c r="AD82">
        <f t="shared" si="110"/>
        <v>1.4389275992444484</v>
      </c>
      <c r="AE82">
        <f t="shared" si="111"/>
        <v>-324.75387129832143</v>
      </c>
      <c r="AF82">
        <f t="shared" si="112"/>
        <v>13.512261550919815</v>
      </c>
      <c r="AG82">
        <f t="shared" si="113"/>
        <v>1.0309153274303913</v>
      </c>
      <c r="AH82">
        <f t="shared" si="114"/>
        <v>-20.642048407265492</v>
      </c>
      <c r="AI82">
        <v>0</v>
      </c>
      <c r="AJ82">
        <v>0</v>
      </c>
      <c r="AK82">
        <f t="shared" si="115"/>
        <v>1</v>
      </c>
      <c r="AL82">
        <f t="shared" si="116"/>
        <v>0</v>
      </c>
      <c r="AM82">
        <f t="shared" si="117"/>
        <v>51894.993569819839</v>
      </c>
      <c r="AN82" t="s">
        <v>418</v>
      </c>
      <c r="AO82">
        <v>8197.4</v>
      </c>
      <c r="AP82">
        <v>619.92999999999995</v>
      </c>
      <c r="AQ82">
        <v>3131.443117258741</v>
      </c>
      <c r="AR82">
        <f t="shared" si="118"/>
        <v>0.80203057287443702</v>
      </c>
      <c r="AS82">
        <v>-1.0448500102641549</v>
      </c>
      <c r="AT82" t="s">
        <v>757</v>
      </c>
      <c r="AU82">
        <v>8193.57</v>
      </c>
      <c r="AV82">
        <v>760.36846153846159</v>
      </c>
      <c r="AW82">
        <v>824.39582362637475</v>
      </c>
      <c r="AX82">
        <f t="shared" si="119"/>
        <v>7.7665801127264178E-2</v>
      </c>
      <c r="AY82">
        <v>0.5</v>
      </c>
      <c r="AZ82">
        <f t="shared" si="120"/>
        <v>1513.193400006583</v>
      </c>
      <c r="BA82">
        <f t="shared" si="121"/>
        <v>5.0847667930292832</v>
      </c>
      <c r="BB82">
        <f t="shared" si="122"/>
        <v>58.761688835999998</v>
      </c>
      <c r="BC82">
        <f t="shared" si="123"/>
        <v>4.0507821427629622E-3</v>
      </c>
      <c r="BD82">
        <f t="shared" si="124"/>
        <v>2.7984703797795385</v>
      </c>
      <c r="BE82">
        <f t="shared" si="125"/>
        <v>398.92238179629652</v>
      </c>
      <c r="BF82" t="s">
        <v>758</v>
      </c>
      <c r="BG82">
        <v>640.39</v>
      </c>
      <c r="BH82">
        <f t="shared" si="126"/>
        <v>640.39</v>
      </c>
      <c r="BI82">
        <f t="shared" si="127"/>
        <v>0.22320081974331818</v>
      </c>
      <c r="BJ82">
        <f t="shared" si="128"/>
        <v>0.34796378085250829</v>
      </c>
      <c r="BK82">
        <f t="shared" si="129"/>
        <v>0.92613331993945491</v>
      </c>
      <c r="BL82">
        <f t="shared" si="130"/>
        <v>0.31314456837985727</v>
      </c>
      <c r="BM82">
        <f t="shared" si="131"/>
        <v>0.91858859019237593</v>
      </c>
      <c r="BN82">
        <f t="shared" si="132"/>
        <v>0.29305861157007795</v>
      </c>
      <c r="BO82">
        <f t="shared" si="133"/>
        <v>0.70694138842992205</v>
      </c>
      <c r="BP82">
        <v>13700</v>
      </c>
      <c r="BQ82">
        <v>290.00000000000011</v>
      </c>
      <c r="BR82">
        <v>805.29</v>
      </c>
      <c r="BS82">
        <v>175</v>
      </c>
      <c r="BT82">
        <v>8193.57</v>
      </c>
      <c r="BU82">
        <v>803.29</v>
      </c>
      <c r="BV82">
        <v>2</v>
      </c>
      <c r="BW82">
        <v>300.00000000000011</v>
      </c>
      <c r="BX82">
        <v>19.3</v>
      </c>
      <c r="BY82">
        <v>824.39582362637475</v>
      </c>
      <c r="BZ82">
        <v>2.7753601946628388</v>
      </c>
      <c r="CA82">
        <v>-17.292924867832291</v>
      </c>
      <c r="CB82">
        <v>2.086051577865081</v>
      </c>
      <c r="CC82">
        <v>0.7105062892561731</v>
      </c>
      <c r="CD82">
        <v>-4.2384100111234769E-3</v>
      </c>
      <c r="CE82">
        <v>289.99999999999989</v>
      </c>
      <c r="CF82">
        <v>802.11</v>
      </c>
      <c r="CG82">
        <v>665</v>
      </c>
      <c r="CH82">
        <v>8173.76</v>
      </c>
      <c r="CI82">
        <v>803.24</v>
      </c>
      <c r="CJ82">
        <v>-1.1299999999999999</v>
      </c>
      <c r="CX82">
        <f t="shared" si="134"/>
        <v>1800.01</v>
      </c>
      <c r="CY82">
        <f t="shared" si="135"/>
        <v>1513.193400006583</v>
      </c>
      <c r="CZ82">
        <f t="shared" si="136"/>
        <v>0.84065832967960352</v>
      </c>
      <c r="DA82">
        <f t="shared" si="137"/>
        <v>0.16087057628163495</v>
      </c>
      <c r="DB82">
        <v>6</v>
      </c>
      <c r="DC82">
        <v>0.5</v>
      </c>
      <c r="DD82" t="s">
        <v>421</v>
      </c>
      <c r="DE82">
        <v>2</v>
      </c>
      <c r="DF82">
        <v>1689013439.0999999</v>
      </c>
      <c r="DG82">
        <v>23.801100000000002</v>
      </c>
      <c r="DH82">
        <v>30.112200000000001</v>
      </c>
      <c r="DI82">
        <v>28.319199999999999</v>
      </c>
      <c r="DJ82">
        <v>19.733899999999998</v>
      </c>
      <c r="DK82">
        <v>23.973600000000001</v>
      </c>
      <c r="DL82">
        <v>28.188500000000001</v>
      </c>
      <c r="DM82">
        <v>500.07499999999999</v>
      </c>
      <c r="DN82">
        <v>99.161799999999999</v>
      </c>
      <c r="DO82">
        <v>9.9855399999999997E-2</v>
      </c>
      <c r="DP82">
        <v>30.042999999999999</v>
      </c>
      <c r="DQ82">
        <v>29.957000000000001</v>
      </c>
      <c r="DR82">
        <v>999.9</v>
      </c>
      <c r="DS82">
        <v>0</v>
      </c>
      <c r="DT82">
        <v>0</v>
      </c>
      <c r="DU82">
        <v>9997.5</v>
      </c>
      <c r="DV82">
        <v>0</v>
      </c>
      <c r="DW82">
        <v>1973.18</v>
      </c>
      <c r="DX82">
        <v>-6.3111100000000002</v>
      </c>
      <c r="DY82">
        <v>24.494800000000001</v>
      </c>
      <c r="DZ82">
        <v>30.718399999999999</v>
      </c>
      <c r="EA82">
        <v>8.5853099999999998</v>
      </c>
      <c r="EB82">
        <v>30.112200000000001</v>
      </c>
      <c r="EC82">
        <v>19.733899999999998</v>
      </c>
      <c r="ED82">
        <v>2.8081800000000001</v>
      </c>
      <c r="EE82">
        <v>1.95685</v>
      </c>
      <c r="EF82">
        <v>22.932300000000001</v>
      </c>
      <c r="EG82">
        <v>17.099399999999999</v>
      </c>
      <c r="EH82">
        <v>1800.01</v>
      </c>
      <c r="EI82">
        <v>0.977993</v>
      </c>
      <c r="EJ82">
        <v>2.2006999999999999E-2</v>
      </c>
      <c r="EK82">
        <v>0</v>
      </c>
      <c r="EL82">
        <v>759.90200000000004</v>
      </c>
      <c r="EM82">
        <v>4.9999900000000004</v>
      </c>
      <c r="EN82">
        <v>19337.8</v>
      </c>
      <c r="EO82">
        <v>15863.8</v>
      </c>
      <c r="EP82">
        <v>48.625</v>
      </c>
      <c r="EQ82">
        <v>50</v>
      </c>
      <c r="ER82">
        <v>49.186999999999998</v>
      </c>
      <c r="ES82">
        <v>49.5</v>
      </c>
      <c r="ET82">
        <v>50.311999999999998</v>
      </c>
      <c r="EU82">
        <v>1755.51</v>
      </c>
      <c r="EV82">
        <v>39.5</v>
      </c>
      <c r="EW82">
        <v>0</v>
      </c>
      <c r="EX82">
        <v>116</v>
      </c>
      <c r="EY82">
        <v>0</v>
      </c>
      <c r="EZ82">
        <v>760.36846153846159</v>
      </c>
      <c r="FA82">
        <v>-1.5132991398608839</v>
      </c>
      <c r="FB82">
        <v>-46.0786321615522</v>
      </c>
      <c r="FC82">
        <v>19345.66153846154</v>
      </c>
      <c r="FD82">
        <v>15</v>
      </c>
      <c r="FE82">
        <v>1689013398.0999999</v>
      </c>
      <c r="FF82" t="s">
        <v>759</v>
      </c>
      <c r="FG82">
        <v>1689013395.5999999</v>
      </c>
      <c r="FH82">
        <v>1689013398.0999999</v>
      </c>
      <c r="FI82">
        <v>75</v>
      </c>
      <c r="FJ82">
        <v>5.8999999999999997E-2</v>
      </c>
      <c r="FK82">
        <v>-2E-3</v>
      </c>
      <c r="FL82">
        <v>-0.17299999999999999</v>
      </c>
      <c r="FM82">
        <v>8.3000000000000004E-2</v>
      </c>
      <c r="FN82">
        <v>30</v>
      </c>
      <c r="FO82">
        <v>20</v>
      </c>
      <c r="FP82">
        <v>0.23</v>
      </c>
      <c r="FQ82">
        <v>0.01</v>
      </c>
      <c r="FR82">
        <v>5.201542356869318</v>
      </c>
      <c r="FS82">
        <v>-0.61818588548234188</v>
      </c>
      <c r="FT82">
        <v>5.8865604926054603E-2</v>
      </c>
      <c r="FU82">
        <v>1</v>
      </c>
      <c r="FV82">
        <v>0.53859187081082016</v>
      </c>
      <c r="FW82">
        <v>3.6176951415422161E-2</v>
      </c>
      <c r="FX82">
        <v>3.2318991349796111E-3</v>
      </c>
      <c r="FY82">
        <v>1</v>
      </c>
      <c r="FZ82">
        <v>2</v>
      </c>
      <c r="GA82">
        <v>2</v>
      </c>
      <c r="GB82" t="s">
        <v>423</v>
      </c>
      <c r="GC82">
        <v>2.9582899999999999</v>
      </c>
      <c r="GD82">
        <v>2.7430599999999998</v>
      </c>
      <c r="GE82">
        <v>6.6459099999999997E-3</v>
      </c>
      <c r="GF82">
        <v>8.3128100000000003E-3</v>
      </c>
      <c r="GG82">
        <v>0.12972600000000001</v>
      </c>
      <c r="GH82">
        <v>0.10029299999999999</v>
      </c>
      <c r="GI82">
        <v>23325.599999999999</v>
      </c>
      <c r="GJ82">
        <v>21701.3</v>
      </c>
      <c r="GK82">
        <v>23415.200000000001</v>
      </c>
      <c r="GL82">
        <v>21933.1</v>
      </c>
      <c r="GM82">
        <v>28736.3</v>
      </c>
      <c r="GN82">
        <v>27531.599999999999</v>
      </c>
      <c r="GO82">
        <v>36951.599999999999</v>
      </c>
      <c r="GP82">
        <v>34126.400000000001</v>
      </c>
      <c r="GQ82">
        <v>1.9982800000000001</v>
      </c>
      <c r="GR82">
        <v>1.8119700000000001</v>
      </c>
      <c r="GS82">
        <v>4.6081799999999999E-3</v>
      </c>
      <c r="GT82">
        <v>0</v>
      </c>
      <c r="GU82">
        <v>29.882000000000001</v>
      </c>
      <c r="GV82">
        <v>999.9</v>
      </c>
      <c r="GW82">
        <v>27.5</v>
      </c>
      <c r="GX82">
        <v>45.8</v>
      </c>
      <c r="GY82">
        <v>27.852900000000002</v>
      </c>
      <c r="GZ82">
        <v>60.235199999999999</v>
      </c>
      <c r="HA82">
        <v>39.475200000000001</v>
      </c>
      <c r="HB82">
        <v>1</v>
      </c>
      <c r="HC82">
        <v>0.50703799999999999</v>
      </c>
      <c r="HD82">
        <v>2.1906599999999998</v>
      </c>
      <c r="HE82">
        <v>20.100999999999999</v>
      </c>
      <c r="HF82">
        <v>5.2647599999999999</v>
      </c>
      <c r="HG82">
        <v>11.962</v>
      </c>
      <c r="HH82">
        <v>4.9798499999999999</v>
      </c>
      <c r="HI82">
        <v>3.2979799999999999</v>
      </c>
      <c r="HJ82">
        <v>9999</v>
      </c>
      <c r="HK82">
        <v>9999</v>
      </c>
      <c r="HL82">
        <v>9999</v>
      </c>
      <c r="HM82">
        <v>999.9</v>
      </c>
      <c r="HN82">
        <v>1.8644400000000001</v>
      </c>
      <c r="HO82">
        <v>1.8604499999999999</v>
      </c>
      <c r="HP82">
        <v>1.8670100000000001</v>
      </c>
      <c r="HQ82">
        <v>1.86371</v>
      </c>
      <c r="HR82">
        <v>1.8623400000000001</v>
      </c>
      <c r="HS82">
        <v>1.8623499999999999</v>
      </c>
      <c r="HT82">
        <v>1.8636600000000001</v>
      </c>
      <c r="HU82">
        <v>1.86493</v>
      </c>
      <c r="HV82">
        <v>0</v>
      </c>
      <c r="HW82">
        <v>0</v>
      </c>
      <c r="HX82">
        <v>0</v>
      </c>
      <c r="HY82">
        <v>0</v>
      </c>
      <c r="HZ82" t="s">
        <v>424</v>
      </c>
      <c r="IA82" t="s">
        <v>425</v>
      </c>
      <c r="IB82" t="s">
        <v>426</v>
      </c>
      <c r="IC82" t="s">
        <v>426</v>
      </c>
      <c r="ID82" t="s">
        <v>426</v>
      </c>
      <c r="IE82" t="s">
        <v>426</v>
      </c>
      <c r="IF82">
        <v>0</v>
      </c>
      <c r="IG82">
        <v>100</v>
      </c>
      <c r="IH82">
        <v>100</v>
      </c>
      <c r="II82">
        <v>-0.17199999999999999</v>
      </c>
      <c r="IJ82">
        <v>0.13070000000000001</v>
      </c>
      <c r="IK82">
        <v>-0.1706223994615311</v>
      </c>
      <c r="IL82">
        <v>-8.3322953065825546E-5</v>
      </c>
      <c r="IM82">
        <v>2.3872336679552741E-7</v>
      </c>
      <c r="IN82">
        <v>-5.428329794194132E-11</v>
      </c>
      <c r="IO82">
        <v>0.13068088025645941</v>
      </c>
      <c r="IP82">
        <v>0</v>
      </c>
      <c r="IQ82">
        <v>0</v>
      </c>
      <c r="IR82">
        <v>0</v>
      </c>
      <c r="IS82">
        <v>2</v>
      </c>
      <c r="IT82">
        <v>2035</v>
      </c>
      <c r="IU82">
        <v>1</v>
      </c>
      <c r="IV82">
        <v>21</v>
      </c>
      <c r="IW82">
        <v>0.7</v>
      </c>
      <c r="IX82">
        <v>0.7</v>
      </c>
      <c r="IY82">
        <v>0.21606400000000001</v>
      </c>
      <c r="IZ82">
        <v>2.7575699999999999</v>
      </c>
      <c r="JA82">
        <v>1.4526399999999999</v>
      </c>
      <c r="JB82">
        <v>2.2766099999999998</v>
      </c>
      <c r="JC82">
        <v>1.5942400000000001</v>
      </c>
      <c r="JD82">
        <v>2.36938</v>
      </c>
      <c r="JE82">
        <v>48.732599999999998</v>
      </c>
      <c r="JF82">
        <v>23.991199999999999</v>
      </c>
      <c r="JG82">
        <v>18</v>
      </c>
      <c r="JH82">
        <v>511.68200000000002</v>
      </c>
      <c r="JI82">
        <v>426.22899999999998</v>
      </c>
      <c r="JJ82">
        <v>27.1143</v>
      </c>
      <c r="JK82">
        <v>33.490900000000003</v>
      </c>
      <c r="JL82">
        <v>29.998100000000001</v>
      </c>
      <c r="JM82">
        <v>33.4572</v>
      </c>
      <c r="JN82">
        <v>33.459499999999998</v>
      </c>
      <c r="JO82">
        <v>4.3066899999999997</v>
      </c>
      <c r="JP82">
        <v>31.286100000000001</v>
      </c>
      <c r="JQ82">
        <v>0</v>
      </c>
      <c r="JR82">
        <v>27.116399999999999</v>
      </c>
      <c r="JS82">
        <v>30</v>
      </c>
      <c r="JT82">
        <v>19.584499999999998</v>
      </c>
      <c r="JU82">
        <v>99.034599999999998</v>
      </c>
      <c r="JV82">
        <v>98.4405</v>
      </c>
    </row>
    <row r="83" spans="1:282" x14ac:dyDescent="0.25">
      <c r="A83">
        <v>67</v>
      </c>
      <c r="B83">
        <v>1689013564.0999999</v>
      </c>
      <c r="C83">
        <v>14223.5</v>
      </c>
      <c r="D83" t="s">
        <v>760</v>
      </c>
      <c r="E83" t="s">
        <v>761</v>
      </c>
      <c r="F83" t="s">
        <v>414</v>
      </c>
      <c r="G83" t="s">
        <v>415</v>
      </c>
      <c r="H83" t="s">
        <v>731</v>
      </c>
      <c r="I83" t="s">
        <v>578</v>
      </c>
      <c r="J83" t="s">
        <v>416</v>
      </c>
      <c r="K83">
        <v>1689013564.0999999</v>
      </c>
      <c r="L83">
        <f t="shared" si="92"/>
        <v>7.4930866583727673E-3</v>
      </c>
      <c r="M83">
        <f t="shared" si="93"/>
        <v>7.4930866583727669</v>
      </c>
      <c r="N83">
        <f t="shared" si="94"/>
        <v>1.7153881920591152</v>
      </c>
      <c r="O83">
        <f t="shared" si="95"/>
        <v>8.1001700000000003</v>
      </c>
      <c r="P83">
        <f t="shared" si="96"/>
        <v>2.4980732617065646</v>
      </c>
      <c r="Q83">
        <f t="shared" si="97"/>
        <v>0.2479647748116276</v>
      </c>
      <c r="R83">
        <f t="shared" si="98"/>
        <v>0.80404240370987012</v>
      </c>
      <c r="S83">
        <f t="shared" si="99"/>
        <v>0.54564106592385686</v>
      </c>
      <c r="T83">
        <f t="shared" si="100"/>
        <v>2.9126354421649978</v>
      </c>
      <c r="U83">
        <f t="shared" si="101"/>
        <v>0.49456463416596624</v>
      </c>
      <c r="V83">
        <f t="shared" si="102"/>
        <v>0.31329251379314998</v>
      </c>
      <c r="W83">
        <f t="shared" si="103"/>
        <v>289.57822201270534</v>
      </c>
      <c r="X83">
        <f t="shared" si="104"/>
        <v>29.835616327585345</v>
      </c>
      <c r="Y83">
        <f t="shared" si="105"/>
        <v>30.021000000000001</v>
      </c>
      <c r="Z83">
        <f t="shared" si="106"/>
        <v>4.2655915259724431</v>
      </c>
      <c r="AA83">
        <f t="shared" si="107"/>
        <v>65.787308041179529</v>
      </c>
      <c r="AB83">
        <f t="shared" si="108"/>
        <v>2.8153202057464002</v>
      </c>
      <c r="AC83">
        <f t="shared" si="109"/>
        <v>4.2794275819648258</v>
      </c>
      <c r="AD83">
        <f t="shared" si="110"/>
        <v>1.4502713202260429</v>
      </c>
      <c r="AE83">
        <f t="shared" si="111"/>
        <v>-330.44512163423906</v>
      </c>
      <c r="AF83">
        <f t="shared" si="112"/>
        <v>8.8562665104311655</v>
      </c>
      <c r="AG83">
        <f t="shared" si="113"/>
        <v>0.67641804450560561</v>
      </c>
      <c r="AH83">
        <f t="shared" si="114"/>
        <v>-31.334215066596929</v>
      </c>
      <c r="AI83">
        <v>0</v>
      </c>
      <c r="AJ83">
        <v>0</v>
      </c>
      <c r="AK83">
        <f t="shared" si="115"/>
        <v>1</v>
      </c>
      <c r="AL83">
        <f t="shared" si="116"/>
        <v>0</v>
      </c>
      <c r="AM83">
        <f t="shared" si="117"/>
        <v>51839.887326024575</v>
      </c>
      <c r="AN83" t="s">
        <v>418</v>
      </c>
      <c r="AO83">
        <v>8197.4</v>
      </c>
      <c r="AP83">
        <v>619.92999999999995</v>
      </c>
      <c r="AQ83">
        <v>3131.443117258741</v>
      </c>
      <c r="AR83">
        <f t="shared" si="118"/>
        <v>0.80203057287443702</v>
      </c>
      <c r="AS83">
        <v>-1.0448500102641549</v>
      </c>
      <c r="AT83" t="s">
        <v>762</v>
      </c>
      <c r="AU83">
        <v>8196.94</v>
      </c>
      <c r="AV83">
        <v>768.23876923076932</v>
      </c>
      <c r="AW83">
        <v>825.08237807676755</v>
      </c>
      <c r="AX83">
        <f t="shared" si="119"/>
        <v>6.889446479089556E-2</v>
      </c>
      <c r="AY83">
        <v>0.5</v>
      </c>
      <c r="AZ83">
        <f t="shared" si="120"/>
        <v>1513.2438000065829</v>
      </c>
      <c r="BA83">
        <f t="shared" si="121"/>
        <v>1.7153881920591152</v>
      </c>
      <c r="BB83">
        <f t="shared" si="122"/>
        <v>52.12706084979726</v>
      </c>
      <c r="BC83">
        <f t="shared" si="123"/>
        <v>1.8240538651546187E-3</v>
      </c>
      <c r="BD83">
        <f t="shared" si="124"/>
        <v>2.7953096569072331</v>
      </c>
      <c r="BE83">
        <f t="shared" si="125"/>
        <v>399.08307355491053</v>
      </c>
      <c r="BF83" t="s">
        <v>763</v>
      </c>
      <c r="BG83">
        <v>647.46</v>
      </c>
      <c r="BH83">
        <f t="shared" si="126"/>
        <v>647.46</v>
      </c>
      <c r="BI83">
        <f t="shared" si="127"/>
        <v>0.21527835619371471</v>
      </c>
      <c r="BJ83">
        <f t="shared" si="128"/>
        <v>0.3200250411095763</v>
      </c>
      <c r="BK83">
        <f t="shared" si="129"/>
        <v>0.92849292056671173</v>
      </c>
      <c r="BL83">
        <f t="shared" si="130"/>
        <v>0.27707994115831047</v>
      </c>
      <c r="BM83">
        <f t="shared" si="131"/>
        <v>0.91831522731575976</v>
      </c>
      <c r="BN83">
        <f t="shared" si="132"/>
        <v>0.2697122579797388</v>
      </c>
      <c r="BO83">
        <f t="shared" si="133"/>
        <v>0.73028774202026114</v>
      </c>
      <c r="BP83">
        <v>13702</v>
      </c>
      <c r="BQ83">
        <v>290.00000000000011</v>
      </c>
      <c r="BR83">
        <v>803.81</v>
      </c>
      <c r="BS83">
        <v>135</v>
      </c>
      <c r="BT83">
        <v>8196.94</v>
      </c>
      <c r="BU83">
        <v>801.69</v>
      </c>
      <c r="BV83">
        <v>2.12</v>
      </c>
      <c r="BW83">
        <v>300.00000000000011</v>
      </c>
      <c r="BX83">
        <v>19.3</v>
      </c>
      <c r="BY83">
        <v>825.08237807676755</v>
      </c>
      <c r="BZ83">
        <v>2.1512804822601859</v>
      </c>
      <c r="CA83">
        <v>-19.17488778311823</v>
      </c>
      <c r="CB83">
        <v>1.6168211435986899</v>
      </c>
      <c r="CC83">
        <v>0.83397631601028244</v>
      </c>
      <c r="CD83">
        <v>-4.2382233592881098E-3</v>
      </c>
      <c r="CE83">
        <v>289.99999999999989</v>
      </c>
      <c r="CF83">
        <v>799.91</v>
      </c>
      <c r="CG83">
        <v>625</v>
      </c>
      <c r="CH83">
        <v>8174.27</v>
      </c>
      <c r="CI83">
        <v>801.62</v>
      </c>
      <c r="CJ83">
        <v>-1.71</v>
      </c>
      <c r="CX83">
        <f t="shared" si="134"/>
        <v>1800.07</v>
      </c>
      <c r="CY83">
        <f t="shared" si="135"/>
        <v>1513.2438000065829</v>
      </c>
      <c r="CZ83">
        <f t="shared" si="136"/>
        <v>0.84065830773613415</v>
      </c>
      <c r="DA83">
        <f t="shared" si="137"/>
        <v>0.160870533930739</v>
      </c>
      <c r="DB83">
        <v>6</v>
      </c>
      <c r="DC83">
        <v>0.5</v>
      </c>
      <c r="DD83" t="s">
        <v>421</v>
      </c>
      <c r="DE83">
        <v>2</v>
      </c>
      <c r="DF83">
        <v>1689013564.0999999</v>
      </c>
      <c r="DG83">
        <v>8.1001700000000003</v>
      </c>
      <c r="DH83">
        <v>10.2315</v>
      </c>
      <c r="DI83">
        <v>28.362400000000001</v>
      </c>
      <c r="DJ83">
        <v>19.625599999999999</v>
      </c>
      <c r="DK83">
        <v>8.2918699999999994</v>
      </c>
      <c r="DL83">
        <v>28.233000000000001</v>
      </c>
      <c r="DM83">
        <v>499.99299999999999</v>
      </c>
      <c r="DN83">
        <v>99.162899999999993</v>
      </c>
      <c r="DO83">
        <v>9.9511000000000002E-2</v>
      </c>
      <c r="DP83">
        <v>30.077400000000001</v>
      </c>
      <c r="DQ83">
        <v>30.021000000000001</v>
      </c>
      <c r="DR83">
        <v>999.9</v>
      </c>
      <c r="DS83">
        <v>0</v>
      </c>
      <c r="DT83">
        <v>0</v>
      </c>
      <c r="DU83">
        <v>9987.5</v>
      </c>
      <c r="DV83">
        <v>0</v>
      </c>
      <c r="DW83">
        <v>2034.06</v>
      </c>
      <c r="DX83">
        <v>-2.1312899999999999</v>
      </c>
      <c r="DY83">
        <v>8.3366199999999999</v>
      </c>
      <c r="DZ83">
        <v>10.436299999999999</v>
      </c>
      <c r="EA83">
        <v>8.7368000000000006</v>
      </c>
      <c r="EB83">
        <v>10.2315</v>
      </c>
      <c r="EC83">
        <v>19.625599999999999</v>
      </c>
      <c r="ED83">
        <v>2.8125</v>
      </c>
      <c r="EE83">
        <v>1.9461299999999999</v>
      </c>
      <c r="EF83">
        <v>22.957599999999999</v>
      </c>
      <c r="EG83">
        <v>17.012699999999999</v>
      </c>
      <c r="EH83">
        <v>1800.07</v>
      </c>
      <c r="EI83">
        <v>0.97799599999999998</v>
      </c>
      <c r="EJ83">
        <v>2.20039E-2</v>
      </c>
      <c r="EK83">
        <v>0</v>
      </c>
      <c r="EL83">
        <v>768.12099999999998</v>
      </c>
      <c r="EM83">
        <v>4.9999900000000004</v>
      </c>
      <c r="EN83">
        <v>19046.2</v>
      </c>
      <c r="EO83">
        <v>15864.4</v>
      </c>
      <c r="EP83">
        <v>48.811999999999998</v>
      </c>
      <c r="EQ83">
        <v>50.25</v>
      </c>
      <c r="ER83">
        <v>49.311999999999998</v>
      </c>
      <c r="ES83">
        <v>49.686999999999998</v>
      </c>
      <c r="ET83">
        <v>50.436999999999998</v>
      </c>
      <c r="EU83">
        <v>1755.57</v>
      </c>
      <c r="EV83">
        <v>39.5</v>
      </c>
      <c r="EW83">
        <v>0</v>
      </c>
      <c r="EX83">
        <v>123.2000000476837</v>
      </c>
      <c r="EY83">
        <v>0</v>
      </c>
      <c r="EZ83">
        <v>768.23876923076932</v>
      </c>
      <c r="FA83">
        <v>-1.8636581270205179</v>
      </c>
      <c r="FB83">
        <v>-896.3794876351817</v>
      </c>
      <c r="FC83">
        <v>19664.365384615379</v>
      </c>
      <c r="FD83">
        <v>15</v>
      </c>
      <c r="FE83">
        <v>1689013528.5999999</v>
      </c>
      <c r="FF83" t="s">
        <v>764</v>
      </c>
      <c r="FG83">
        <v>1689013519.5999999</v>
      </c>
      <c r="FH83">
        <v>1689013528.5999999</v>
      </c>
      <c r="FI83">
        <v>76</v>
      </c>
      <c r="FJ83">
        <v>-0.02</v>
      </c>
      <c r="FK83">
        <v>-1E-3</v>
      </c>
      <c r="FL83">
        <v>-0.192</v>
      </c>
      <c r="FM83">
        <v>7.4999999999999997E-2</v>
      </c>
      <c r="FN83">
        <v>10</v>
      </c>
      <c r="FO83">
        <v>19</v>
      </c>
      <c r="FP83">
        <v>0.26</v>
      </c>
      <c r="FQ83">
        <v>0.01</v>
      </c>
      <c r="FR83">
        <v>1.8023642974176139</v>
      </c>
      <c r="FS83">
        <v>-0.16071283028223851</v>
      </c>
      <c r="FT83">
        <v>1.9918586020209222E-2</v>
      </c>
      <c r="FU83">
        <v>1</v>
      </c>
      <c r="FV83">
        <v>0.54311704849189713</v>
      </c>
      <c r="FW83">
        <v>4.0931930857620667E-2</v>
      </c>
      <c r="FX83">
        <v>3.6910391326590202E-3</v>
      </c>
      <c r="FY83">
        <v>1</v>
      </c>
      <c r="FZ83">
        <v>2</v>
      </c>
      <c r="GA83">
        <v>2</v>
      </c>
      <c r="GB83" t="s">
        <v>423</v>
      </c>
      <c r="GC83">
        <v>2.9579900000000001</v>
      </c>
      <c r="GD83">
        <v>2.7426300000000001</v>
      </c>
      <c r="GE83">
        <v>2.3112499999999999E-3</v>
      </c>
      <c r="GF83">
        <v>2.84424E-3</v>
      </c>
      <c r="GG83">
        <v>0.12984399999999999</v>
      </c>
      <c r="GH83">
        <v>9.9886900000000001E-2</v>
      </c>
      <c r="GI83">
        <v>23423.5</v>
      </c>
      <c r="GJ83">
        <v>21816.799999999999</v>
      </c>
      <c r="GK83">
        <v>23411.7</v>
      </c>
      <c r="GL83">
        <v>21929.4</v>
      </c>
      <c r="GM83">
        <v>28728.2</v>
      </c>
      <c r="GN83">
        <v>27539.5</v>
      </c>
      <c r="GO83">
        <v>36946.1</v>
      </c>
      <c r="GP83">
        <v>34121</v>
      </c>
      <c r="GQ83">
        <v>1.9971300000000001</v>
      </c>
      <c r="GR83">
        <v>1.81047</v>
      </c>
      <c r="GS83">
        <v>1.04308E-4</v>
      </c>
      <c r="GT83">
        <v>0</v>
      </c>
      <c r="GU83">
        <v>30.019300000000001</v>
      </c>
      <c r="GV83">
        <v>999.9</v>
      </c>
      <c r="GW83">
        <v>27.3</v>
      </c>
      <c r="GX83">
        <v>46</v>
      </c>
      <c r="GY83">
        <v>27.9358</v>
      </c>
      <c r="GZ83">
        <v>60.785200000000003</v>
      </c>
      <c r="HA83">
        <v>39.595399999999998</v>
      </c>
      <c r="HB83">
        <v>1</v>
      </c>
      <c r="HC83">
        <v>0.52236300000000002</v>
      </c>
      <c r="HD83">
        <v>3.92807</v>
      </c>
      <c r="HE83">
        <v>20.065000000000001</v>
      </c>
      <c r="HF83">
        <v>5.2596699999999998</v>
      </c>
      <c r="HG83">
        <v>11.9625</v>
      </c>
      <c r="HH83">
        <v>4.9788500000000004</v>
      </c>
      <c r="HI83">
        <v>3.2969300000000001</v>
      </c>
      <c r="HJ83">
        <v>9999</v>
      </c>
      <c r="HK83">
        <v>9999</v>
      </c>
      <c r="HL83">
        <v>9999</v>
      </c>
      <c r="HM83">
        <v>999.9</v>
      </c>
      <c r="HN83">
        <v>1.8644400000000001</v>
      </c>
      <c r="HO83">
        <v>1.8604099999999999</v>
      </c>
      <c r="HP83">
        <v>1.86703</v>
      </c>
      <c r="HQ83">
        <v>1.86371</v>
      </c>
      <c r="HR83">
        <v>1.8623400000000001</v>
      </c>
      <c r="HS83">
        <v>1.8623400000000001</v>
      </c>
      <c r="HT83">
        <v>1.8636600000000001</v>
      </c>
      <c r="HU83">
        <v>1.86493</v>
      </c>
      <c r="HV83">
        <v>0</v>
      </c>
      <c r="HW83">
        <v>0</v>
      </c>
      <c r="HX83">
        <v>0</v>
      </c>
      <c r="HY83">
        <v>0</v>
      </c>
      <c r="HZ83" t="s">
        <v>424</v>
      </c>
      <c r="IA83" t="s">
        <v>425</v>
      </c>
      <c r="IB83" t="s">
        <v>426</v>
      </c>
      <c r="IC83" t="s">
        <v>426</v>
      </c>
      <c r="ID83" t="s">
        <v>426</v>
      </c>
      <c r="IE83" t="s">
        <v>426</v>
      </c>
      <c r="IF83">
        <v>0</v>
      </c>
      <c r="IG83">
        <v>100</v>
      </c>
      <c r="IH83">
        <v>100</v>
      </c>
      <c r="II83">
        <v>-0.192</v>
      </c>
      <c r="IJ83">
        <v>0.12939999999999999</v>
      </c>
      <c r="IK83">
        <v>-0.19102454267371891</v>
      </c>
      <c r="IL83">
        <v>-8.3322953065825546E-5</v>
      </c>
      <c r="IM83">
        <v>2.3872336679552741E-7</v>
      </c>
      <c r="IN83">
        <v>-5.428329794194132E-11</v>
      </c>
      <c r="IO83">
        <v>0.1294407358942477</v>
      </c>
      <c r="IP83">
        <v>0</v>
      </c>
      <c r="IQ83">
        <v>0</v>
      </c>
      <c r="IR83">
        <v>0</v>
      </c>
      <c r="IS83">
        <v>2</v>
      </c>
      <c r="IT83">
        <v>2035</v>
      </c>
      <c r="IU83">
        <v>1</v>
      </c>
      <c r="IV83">
        <v>21</v>
      </c>
      <c r="IW83">
        <v>0.7</v>
      </c>
      <c r="IX83">
        <v>0.6</v>
      </c>
      <c r="IY83">
        <v>0.169678</v>
      </c>
      <c r="IZ83">
        <v>2.7795399999999999</v>
      </c>
      <c r="JA83">
        <v>1.4526399999999999</v>
      </c>
      <c r="JB83">
        <v>2.2766099999999998</v>
      </c>
      <c r="JC83">
        <v>1.5942400000000001</v>
      </c>
      <c r="JD83">
        <v>2.3315399999999999</v>
      </c>
      <c r="JE83">
        <v>48.887999999999998</v>
      </c>
      <c r="JF83">
        <v>23.973700000000001</v>
      </c>
      <c r="JG83">
        <v>18</v>
      </c>
      <c r="JH83">
        <v>511.61200000000002</v>
      </c>
      <c r="JI83">
        <v>425.83</v>
      </c>
      <c r="JJ83">
        <v>26.397200000000002</v>
      </c>
      <c r="JK83">
        <v>33.5764</v>
      </c>
      <c r="JL83">
        <v>30.000399999999999</v>
      </c>
      <c r="JM83">
        <v>33.537100000000002</v>
      </c>
      <c r="JN83">
        <v>33.5396</v>
      </c>
      <c r="JO83">
        <v>3.3647499999999999</v>
      </c>
      <c r="JP83">
        <v>31.4298</v>
      </c>
      <c r="JQ83">
        <v>0</v>
      </c>
      <c r="JR83">
        <v>26.384699999999999</v>
      </c>
      <c r="JS83">
        <v>10</v>
      </c>
      <c r="JT83">
        <v>19.4209</v>
      </c>
      <c r="JU83">
        <v>99.02</v>
      </c>
      <c r="JV83">
        <v>98.424499999999995</v>
      </c>
    </row>
    <row r="84" spans="1:282" x14ac:dyDescent="0.25">
      <c r="A84">
        <v>68</v>
      </c>
      <c r="B84">
        <v>1689013753.5999999</v>
      </c>
      <c r="C84">
        <v>14413</v>
      </c>
      <c r="D84" t="s">
        <v>765</v>
      </c>
      <c r="E84" t="s">
        <v>766</v>
      </c>
      <c r="F84" t="s">
        <v>414</v>
      </c>
      <c r="G84" t="s">
        <v>415</v>
      </c>
      <c r="H84" t="s">
        <v>731</v>
      </c>
      <c r="I84" t="s">
        <v>578</v>
      </c>
      <c r="J84" t="s">
        <v>416</v>
      </c>
      <c r="K84">
        <v>1689013753.5999999</v>
      </c>
      <c r="L84">
        <f t="shared" si="92"/>
        <v>6.9419211679555134E-3</v>
      </c>
      <c r="M84">
        <f t="shared" si="93"/>
        <v>6.9419211679555133</v>
      </c>
      <c r="N84">
        <f t="shared" si="94"/>
        <v>49.700739926013568</v>
      </c>
      <c r="O84">
        <f t="shared" si="95"/>
        <v>337.60399999999998</v>
      </c>
      <c r="P84">
        <f t="shared" si="96"/>
        <v>158.63647853211859</v>
      </c>
      <c r="Q84">
        <f t="shared" si="97"/>
        <v>15.746372996864023</v>
      </c>
      <c r="R84">
        <f t="shared" si="98"/>
        <v>33.510820199888393</v>
      </c>
      <c r="S84">
        <f t="shared" si="99"/>
        <v>0.49671483589711957</v>
      </c>
      <c r="T84">
        <f t="shared" si="100"/>
        <v>2.9193692017867678</v>
      </c>
      <c r="U84">
        <f t="shared" si="101"/>
        <v>0.45409351725971903</v>
      </c>
      <c r="V84">
        <f t="shared" si="102"/>
        <v>0.28733242012518756</v>
      </c>
      <c r="W84">
        <f t="shared" si="103"/>
        <v>289.5750300127055</v>
      </c>
      <c r="X84">
        <f t="shared" si="104"/>
        <v>29.96341198981964</v>
      </c>
      <c r="Y84">
        <f t="shared" si="105"/>
        <v>29.978000000000002</v>
      </c>
      <c r="Z84">
        <f t="shared" si="106"/>
        <v>4.2550689676812601</v>
      </c>
      <c r="AA84">
        <f t="shared" si="107"/>
        <v>65.2911415139437</v>
      </c>
      <c r="AB84">
        <f t="shared" si="108"/>
        <v>2.7914897167018804</v>
      </c>
      <c r="AC84">
        <f t="shared" si="109"/>
        <v>4.2754493978417027</v>
      </c>
      <c r="AD84">
        <f t="shared" si="110"/>
        <v>1.4635792509793797</v>
      </c>
      <c r="AE84">
        <f t="shared" si="111"/>
        <v>-306.13872350683812</v>
      </c>
      <c r="AF84">
        <f t="shared" si="112"/>
        <v>13.094767496239465</v>
      </c>
      <c r="AG84">
        <f t="shared" si="113"/>
        <v>0.99754419885491752</v>
      </c>
      <c r="AH84">
        <f t="shared" si="114"/>
        <v>-2.4713817990382179</v>
      </c>
      <c r="AI84">
        <v>0</v>
      </c>
      <c r="AJ84">
        <v>0</v>
      </c>
      <c r="AK84">
        <f t="shared" si="115"/>
        <v>1</v>
      </c>
      <c r="AL84">
        <f t="shared" si="116"/>
        <v>0</v>
      </c>
      <c r="AM84">
        <f t="shared" si="117"/>
        <v>52034.284660132784</v>
      </c>
      <c r="AN84" t="s">
        <v>418</v>
      </c>
      <c r="AO84">
        <v>8197.4</v>
      </c>
      <c r="AP84">
        <v>619.92999999999995</v>
      </c>
      <c r="AQ84">
        <v>3131.443117258741</v>
      </c>
      <c r="AR84">
        <f t="shared" si="118"/>
        <v>0.80203057287443702</v>
      </c>
      <c r="AS84">
        <v>-1.0448500102641549</v>
      </c>
      <c r="AT84" t="s">
        <v>767</v>
      </c>
      <c r="AU84">
        <v>8184.56</v>
      </c>
      <c r="AV84">
        <v>749.28067999999996</v>
      </c>
      <c r="AW84">
        <v>1139.548960315806</v>
      </c>
      <c r="AX84">
        <f t="shared" si="119"/>
        <v>0.34247609704075377</v>
      </c>
      <c r="AY84">
        <v>0.5</v>
      </c>
      <c r="AZ84">
        <f t="shared" si="120"/>
        <v>1513.227000006583</v>
      </c>
      <c r="BA84">
        <f t="shared" si="121"/>
        <v>49.700739926013568</v>
      </c>
      <c r="BB84">
        <f t="shared" si="122"/>
        <v>259.12203844947163</v>
      </c>
      <c r="BC84">
        <f t="shared" si="123"/>
        <v>3.3534684443283766E-2</v>
      </c>
      <c r="BD84">
        <f t="shared" si="124"/>
        <v>1.7479671574540481</v>
      </c>
      <c r="BE84">
        <f t="shared" si="125"/>
        <v>460.55699059053512</v>
      </c>
      <c r="BF84" t="s">
        <v>768</v>
      </c>
      <c r="BG84">
        <v>606.17999999999995</v>
      </c>
      <c r="BH84">
        <f t="shared" si="126"/>
        <v>606.17999999999995</v>
      </c>
      <c r="BI84">
        <f t="shared" si="127"/>
        <v>0.46805269355692469</v>
      </c>
      <c r="BJ84">
        <f t="shared" si="128"/>
        <v>0.73170414732182654</v>
      </c>
      <c r="BK84">
        <f t="shared" si="129"/>
        <v>0.78878677763495941</v>
      </c>
      <c r="BL84">
        <f t="shared" si="130"/>
        <v>0.75106628148944898</v>
      </c>
      <c r="BM84">
        <f t="shared" si="131"/>
        <v>0.79310521743045548</v>
      </c>
      <c r="BN84">
        <f t="shared" si="132"/>
        <v>0.59196030521372156</v>
      </c>
      <c r="BO84">
        <f t="shared" si="133"/>
        <v>0.40803969478627844</v>
      </c>
      <c r="BP84">
        <v>13704</v>
      </c>
      <c r="BQ84">
        <v>290.00000000000011</v>
      </c>
      <c r="BR84">
        <v>984.58</v>
      </c>
      <c r="BS84">
        <v>295</v>
      </c>
      <c r="BT84">
        <v>8184.56</v>
      </c>
      <c r="BU84">
        <v>987.17</v>
      </c>
      <c r="BV84">
        <v>-2.59</v>
      </c>
      <c r="BW84">
        <v>300.00000000000011</v>
      </c>
      <c r="BX84">
        <v>19.3</v>
      </c>
      <c r="BY84">
        <v>1139.548960315806</v>
      </c>
      <c r="BZ84">
        <v>5.2177062836350236</v>
      </c>
      <c r="CA84">
        <v>-124.7145630226992</v>
      </c>
      <c r="CB84">
        <v>3.9217028871050892</v>
      </c>
      <c r="CC84">
        <v>0.97305908870809055</v>
      </c>
      <c r="CD84">
        <v>-4.2389328142380346E-3</v>
      </c>
      <c r="CE84">
        <v>289.99999999999989</v>
      </c>
      <c r="CF84">
        <v>971.93</v>
      </c>
      <c r="CG84">
        <v>625</v>
      </c>
      <c r="CH84">
        <v>8174.82</v>
      </c>
      <c r="CI84">
        <v>986.99</v>
      </c>
      <c r="CJ84">
        <v>-15.06</v>
      </c>
      <c r="CX84">
        <f t="shared" si="134"/>
        <v>1800.05</v>
      </c>
      <c r="CY84">
        <f t="shared" si="135"/>
        <v>1513.227000006583</v>
      </c>
      <c r="CZ84">
        <f t="shared" si="136"/>
        <v>0.8406583150504614</v>
      </c>
      <c r="DA84">
        <f t="shared" si="137"/>
        <v>0.16087054804739062</v>
      </c>
      <c r="DB84">
        <v>6</v>
      </c>
      <c r="DC84">
        <v>0.5</v>
      </c>
      <c r="DD84" t="s">
        <v>421</v>
      </c>
      <c r="DE84">
        <v>2</v>
      </c>
      <c r="DF84">
        <v>1689013753.5999999</v>
      </c>
      <c r="DG84">
        <v>337.60399999999998</v>
      </c>
      <c r="DH84">
        <v>400.04</v>
      </c>
      <c r="DI84">
        <v>28.122800000000002</v>
      </c>
      <c r="DJ84">
        <v>20.029</v>
      </c>
      <c r="DK84">
        <v>337.88</v>
      </c>
      <c r="DL84">
        <v>27.988099999999999</v>
      </c>
      <c r="DM84">
        <v>500.13799999999998</v>
      </c>
      <c r="DN84">
        <v>99.161000000000001</v>
      </c>
      <c r="DO84">
        <v>9.9732100000000004E-2</v>
      </c>
      <c r="DP84">
        <v>30.061199999999999</v>
      </c>
      <c r="DQ84">
        <v>29.978000000000002</v>
      </c>
      <c r="DR84">
        <v>999.9</v>
      </c>
      <c r="DS84">
        <v>0</v>
      </c>
      <c r="DT84">
        <v>0</v>
      </c>
      <c r="DU84">
        <v>10026.200000000001</v>
      </c>
      <c r="DV84">
        <v>0</v>
      </c>
      <c r="DW84">
        <v>2040.39</v>
      </c>
      <c r="DX84">
        <v>-62.436199999999999</v>
      </c>
      <c r="DY84">
        <v>347.37299999999999</v>
      </c>
      <c r="DZ84">
        <v>408.21600000000001</v>
      </c>
      <c r="EA84">
        <v>8.0938099999999995</v>
      </c>
      <c r="EB84">
        <v>400.04</v>
      </c>
      <c r="EC84">
        <v>20.029</v>
      </c>
      <c r="ED84">
        <v>2.7886899999999999</v>
      </c>
      <c r="EE84">
        <v>1.9861</v>
      </c>
      <c r="EF84">
        <v>22.817299999999999</v>
      </c>
      <c r="EG84">
        <v>17.3339</v>
      </c>
      <c r="EH84">
        <v>1800.05</v>
      </c>
      <c r="EI84">
        <v>0.97799599999999998</v>
      </c>
      <c r="EJ84">
        <v>2.20039E-2</v>
      </c>
      <c r="EK84">
        <v>0</v>
      </c>
      <c r="EL84">
        <v>749.3</v>
      </c>
      <c r="EM84">
        <v>4.9999900000000004</v>
      </c>
      <c r="EN84">
        <v>19476.099999999999</v>
      </c>
      <c r="EO84">
        <v>15864.3</v>
      </c>
      <c r="EP84">
        <v>48.875</v>
      </c>
      <c r="EQ84">
        <v>50.311999999999998</v>
      </c>
      <c r="ER84">
        <v>49.436999999999998</v>
      </c>
      <c r="ES84">
        <v>49.75</v>
      </c>
      <c r="ET84">
        <v>50.561999999999998</v>
      </c>
      <c r="EU84">
        <v>1755.55</v>
      </c>
      <c r="EV84">
        <v>39.5</v>
      </c>
      <c r="EW84">
        <v>0</v>
      </c>
      <c r="EX84">
        <v>187.79999995231631</v>
      </c>
      <c r="EY84">
        <v>0</v>
      </c>
      <c r="EZ84">
        <v>749.28067999999996</v>
      </c>
      <c r="FA84">
        <v>0.53369230741297424</v>
      </c>
      <c r="FB84">
        <v>49.069230752065707</v>
      </c>
      <c r="FC84">
        <v>19440.752</v>
      </c>
      <c r="FD84">
        <v>15</v>
      </c>
      <c r="FE84">
        <v>1689013665.5999999</v>
      </c>
      <c r="FF84" t="s">
        <v>769</v>
      </c>
      <c r="FG84">
        <v>1689013652.5999999</v>
      </c>
      <c r="FH84">
        <v>1689013665.5999999</v>
      </c>
      <c r="FI84">
        <v>77</v>
      </c>
      <c r="FJ84">
        <v>-8.2000000000000003E-2</v>
      </c>
      <c r="FK84">
        <v>5.0000000000000001E-3</v>
      </c>
      <c r="FL84">
        <v>-0.27100000000000002</v>
      </c>
      <c r="FM84">
        <v>7.0999999999999994E-2</v>
      </c>
      <c r="FN84">
        <v>400</v>
      </c>
      <c r="FO84">
        <v>19</v>
      </c>
      <c r="FP84">
        <v>0.04</v>
      </c>
      <c r="FQ84">
        <v>0.01</v>
      </c>
      <c r="FR84">
        <v>49.404200804420739</v>
      </c>
      <c r="FS84">
        <v>2.0875478957136591</v>
      </c>
      <c r="FT84">
        <v>0.1514041943002605</v>
      </c>
      <c r="FU84">
        <v>0</v>
      </c>
      <c r="FV84">
        <v>0.5007067020640148</v>
      </c>
      <c r="FW84">
        <v>-2.7654963963995551E-2</v>
      </c>
      <c r="FX84">
        <v>2.0382543872865489E-3</v>
      </c>
      <c r="FY84">
        <v>1</v>
      </c>
      <c r="FZ84">
        <v>1</v>
      </c>
      <c r="GA84">
        <v>2</v>
      </c>
      <c r="GB84" t="s">
        <v>462</v>
      </c>
      <c r="GC84">
        <v>2.9582899999999999</v>
      </c>
      <c r="GD84">
        <v>2.7431899999999998</v>
      </c>
      <c r="GE84">
        <v>7.7864500000000003E-2</v>
      </c>
      <c r="GF84">
        <v>8.8728299999999996E-2</v>
      </c>
      <c r="GG84">
        <v>0.129048</v>
      </c>
      <c r="GH84">
        <v>0.101314</v>
      </c>
      <c r="GI84">
        <v>21652.1</v>
      </c>
      <c r="GJ84">
        <v>19941.099999999999</v>
      </c>
      <c r="GK84">
        <v>23412.400000000001</v>
      </c>
      <c r="GL84">
        <v>21931.3</v>
      </c>
      <c r="GM84">
        <v>28760.7</v>
      </c>
      <c r="GN84">
        <v>27503</v>
      </c>
      <c r="GO84">
        <v>36946.9</v>
      </c>
      <c r="GP84">
        <v>34124</v>
      </c>
      <c r="GQ84">
        <v>1.9965299999999999</v>
      </c>
      <c r="GR84">
        <v>1.8119700000000001</v>
      </c>
      <c r="GS84">
        <v>4.3623100000000003E-3</v>
      </c>
      <c r="GT84">
        <v>0</v>
      </c>
      <c r="GU84">
        <v>29.907</v>
      </c>
      <c r="GV84">
        <v>999.9</v>
      </c>
      <c r="GW84">
        <v>26.9</v>
      </c>
      <c r="GX84">
        <v>46.1</v>
      </c>
      <c r="GY84">
        <v>27.665400000000002</v>
      </c>
      <c r="GZ84">
        <v>59.885199999999998</v>
      </c>
      <c r="HA84">
        <v>38.962299999999999</v>
      </c>
      <c r="HB84">
        <v>1</v>
      </c>
      <c r="HC84">
        <v>0.51628799999999997</v>
      </c>
      <c r="HD84">
        <v>2.8941300000000001</v>
      </c>
      <c r="HE84">
        <v>20.089400000000001</v>
      </c>
      <c r="HF84">
        <v>5.25922</v>
      </c>
      <c r="HG84">
        <v>11.9626</v>
      </c>
      <c r="HH84">
        <v>4.9792500000000004</v>
      </c>
      <c r="HI84">
        <v>3.29725</v>
      </c>
      <c r="HJ84">
        <v>9999</v>
      </c>
      <c r="HK84">
        <v>9999</v>
      </c>
      <c r="HL84">
        <v>9999</v>
      </c>
      <c r="HM84">
        <v>999.9</v>
      </c>
      <c r="HN84">
        <v>1.8644499999999999</v>
      </c>
      <c r="HO84">
        <v>1.8603799999999999</v>
      </c>
      <c r="HP84">
        <v>1.8670100000000001</v>
      </c>
      <c r="HQ84">
        <v>1.86371</v>
      </c>
      <c r="HR84">
        <v>1.8623400000000001</v>
      </c>
      <c r="HS84">
        <v>1.86236</v>
      </c>
      <c r="HT84">
        <v>1.86365</v>
      </c>
      <c r="HU84">
        <v>1.86493</v>
      </c>
      <c r="HV84">
        <v>0</v>
      </c>
      <c r="HW84">
        <v>0</v>
      </c>
      <c r="HX84">
        <v>0</v>
      </c>
      <c r="HY84">
        <v>0</v>
      </c>
      <c r="HZ84" t="s">
        <v>424</v>
      </c>
      <c r="IA84" t="s">
        <v>425</v>
      </c>
      <c r="IB84" t="s">
        <v>426</v>
      </c>
      <c r="IC84" t="s">
        <v>426</v>
      </c>
      <c r="ID84" t="s">
        <v>426</v>
      </c>
      <c r="IE84" t="s">
        <v>426</v>
      </c>
      <c r="IF84">
        <v>0</v>
      </c>
      <c r="IG84">
        <v>100</v>
      </c>
      <c r="IH84">
        <v>100</v>
      </c>
      <c r="II84">
        <v>-0.27600000000000002</v>
      </c>
      <c r="IJ84">
        <v>0.13469999999999999</v>
      </c>
      <c r="IK84">
        <v>-0.27256690968537278</v>
      </c>
      <c r="IL84">
        <v>-8.3322953065825546E-5</v>
      </c>
      <c r="IM84">
        <v>2.3872336679552741E-7</v>
      </c>
      <c r="IN84">
        <v>-5.428329794194132E-11</v>
      </c>
      <c r="IO84">
        <v>0.13465655125292589</v>
      </c>
      <c r="IP84">
        <v>0</v>
      </c>
      <c r="IQ84">
        <v>0</v>
      </c>
      <c r="IR84">
        <v>0</v>
      </c>
      <c r="IS84">
        <v>2</v>
      </c>
      <c r="IT84">
        <v>2035</v>
      </c>
      <c r="IU84">
        <v>1</v>
      </c>
      <c r="IV84">
        <v>21</v>
      </c>
      <c r="IW84">
        <v>1.7</v>
      </c>
      <c r="IX84">
        <v>1.5</v>
      </c>
      <c r="IY84">
        <v>1.073</v>
      </c>
      <c r="IZ84">
        <v>2.7343799999999998</v>
      </c>
      <c r="JA84">
        <v>1.4526399999999999</v>
      </c>
      <c r="JB84">
        <v>2.2766099999999998</v>
      </c>
      <c r="JC84">
        <v>1.5942400000000001</v>
      </c>
      <c r="JD84">
        <v>2.2936999999999999</v>
      </c>
      <c r="JE84">
        <v>48.981499999999997</v>
      </c>
      <c r="JF84">
        <v>23.982399999999998</v>
      </c>
      <c r="JG84">
        <v>18</v>
      </c>
      <c r="JH84">
        <v>511.678</v>
      </c>
      <c r="JI84">
        <v>427.28</v>
      </c>
      <c r="JJ84">
        <v>26.946400000000001</v>
      </c>
      <c r="JK84">
        <v>33.618099999999998</v>
      </c>
      <c r="JL84">
        <v>30.000399999999999</v>
      </c>
      <c r="JM84">
        <v>33.590499999999999</v>
      </c>
      <c r="JN84">
        <v>33.596600000000002</v>
      </c>
      <c r="JO84">
        <v>21.422899999999998</v>
      </c>
      <c r="JP84">
        <v>27.2117</v>
      </c>
      <c r="JQ84">
        <v>0</v>
      </c>
      <c r="JR84">
        <v>26.945499999999999</v>
      </c>
      <c r="JS84">
        <v>400</v>
      </c>
      <c r="JT84">
        <v>20.030999999999999</v>
      </c>
      <c r="JU84">
        <v>99.022400000000005</v>
      </c>
      <c r="JV84">
        <v>98.433000000000007</v>
      </c>
    </row>
    <row r="85" spans="1:282" x14ac:dyDescent="0.25">
      <c r="A85">
        <v>69</v>
      </c>
      <c r="B85">
        <v>1689013880.5</v>
      </c>
      <c r="C85">
        <v>14539.900000095369</v>
      </c>
      <c r="D85" t="s">
        <v>770</v>
      </c>
      <c r="E85" t="s">
        <v>771</v>
      </c>
      <c r="F85" t="s">
        <v>414</v>
      </c>
      <c r="G85" t="s">
        <v>415</v>
      </c>
      <c r="H85" t="s">
        <v>731</v>
      </c>
      <c r="I85" t="s">
        <v>578</v>
      </c>
      <c r="J85" t="s">
        <v>416</v>
      </c>
      <c r="K85">
        <v>1689013880.5</v>
      </c>
      <c r="L85">
        <f t="shared" si="92"/>
        <v>6.7747380065125819E-3</v>
      </c>
      <c r="M85">
        <f t="shared" si="93"/>
        <v>6.7747380065125817</v>
      </c>
      <c r="N85">
        <f t="shared" si="94"/>
        <v>55.451166067379248</v>
      </c>
      <c r="O85">
        <f t="shared" si="95"/>
        <v>330.85700000000003</v>
      </c>
      <c r="P85">
        <f t="shared" si="96"/>
        <v>126.50332509106237</v>
      </c>
      <c r="Q85">
        <f t="shared" si="97"/>
        <v>12.556243459911903</v>
      </c>
      <c r="R85">
        <f t="shared" si="98"/>
        <v>32.8396193493382</v>
      </c>
      <c r="S85">
        <f t="shared" si="99"/>
        <v>0.48108537313054894</v>
      </c>
      <c r="T85">
        <f t="shared" si="100"/>
        <v>2.9177752690806926</v>
      </c>
      <c r="U85">
        <f t="shared" si="101"/>
        <v>0.44096825459409494</v>
      </c>
      <c r="V85">
        <f t="shared" si="102"/>
        <v>0.27893021391130834</v>
      </c>
      <c r="W85">
        <f t="shared" si="103"/>
        <v>289.55587801270633</v>
      </c>
      <c r="X85">
        <f t="shared" si="104"/>
        <v>29.890293959658411</v>
      </c>
      <c r="Y85">
        <f t="shared" si="105"/>
        <v>29.971599999999999</v>
      </c>
      <c r="Z85">
        <f t="shared" si="106"/>
        <v>4.2535047551672411</v>
      </c>
      <c r="AA85">
        <f t="shared" si="107"/>
        <v>65.521324275632665</v>
      </c>
      <c r="AB85">
        <f t="shared" si="108"/>
        <v>2.7826484809410004</v>
      </c>
      <c r="AC85">
        <f t="shared" si="109"/>
        <v>4.2469356529411071</v>
      </c>
      <c r="AD85">
        <f t="shared" si="110"/>
        <v>1.4708562742262408</v>
      </c>
      <c r="AE85">
        <f t="shared" si="111"/>
        <v>-298.76594608720484</v>
      </c>
      <c r="AF85">
        <f t="shared" si="112"/>
        <v>-4.2314533982492843</v>
      </c>
      <c r="AG85">
        <f t="shared" si="113"/>
        <v>-0.3223271234313172</v>
      </c>
      <c r="AH85">
        <f t="shared" si="114"/>
        <v>-13.7638485961791</v>
      </c>
      <c r="AI85">
        <v>0</v>
      </c>
      <c r="AJ85">
        <v>0</v>
      </c>
      <c r="AK85">
        <f t="shared" si="115"/>
        <v>1</v>
      </c>
      <c r="AL85">
        <f t="shared" si="116"/>
        <v>0</v>
      </c>
      <c r="AM85">
        <f t="shared" si="117"/>
        <v>52008.79218337559</v>
      </c>
      <c r="AN85" t="s">
        <v>418</v>
      </c>
      <c r="AO85">
        <v>8197.4</v>
      </c>
      <c r="AP85">
        <v>619.92999999999995</v>
      </c>
      <c r="AQ85">
        <v>3131.443117258741</v>
      </c>
      <c r="AR85">
        <f t="shared" si="118"/>
        <v>0.80203057287443702</v>
      </c>
      <c r="AS85">
        <v>-1.0448500102641549</v>
      </c>
      <c r="AT85" t="s">
        <v>772</v>
      </c>
      <c r="AU85">
        <v>8184.1</v>
      </c>
      <c r="AV85">
        <v>790.95646153846144</v>
      </c>
      <c r="AW85">
        <v>1233.1278550682439</v>
      </c>
      <c r="AX85">
        <f t="shared" si="119"/>
        <v>0.35857708648168662</v>
      </c>
      <c r="AY85">
        <v>0.5</v>
      </c>
      <c r="AZ85">
        <f t="shared" si="120"/>
        <v>1513.1262000065835</v>
      </c>
      <c r="BA85">
        <f t="shared" si="121"/>
        <v>55.451166067379248</v>
      </c>
      <c r="BB85">
        <f t="shared" si="122"/>
        <v>271.28619213873327</v>
      </c>
      <c r="BC85">
        <f t="shared" si="123"/>
        <v>3.7337279651490793E-2</v>
      </c>
      <c r="BD85">
        <f t="shared" si="124"/>
        <v>1.5394310122736141</v>
      </c>
      <c r="BE85">
        <f t="shared" si="125"/>
        <v>475.12942537688338</v>
      </c>
      <c r="BF85" t="s">
        <v>773</v>
      </c>
      <c r="BG85">
        <v>619.07000000000005</v>
      </c>
      <c r="BH85">
        <f t="shared" si="126"/>
        <v>619.07000000000005</v>
      </c>
      <c r="BI85">
        <f t="shared" si="127"/>
        <v>0.49796771076447754</v>
      </c>
      <c r="BJ85">
        <f t="shared" si="128"/>
        <v>0.72008099868804931</v>
      </c>
      <c r="BK85">
        <f t="shared" si="129"/>
        <v>0.75558652062865395</v>
      </c>
      <c r="BL85">
        <f t="shared" si="130"/>
        <v>0.72109090055537195</v>
      </c>
      <c r="BM85">
        <f t="shared" si="131"/>
        <v>0.75584525087508381</v>
      </c>
      <c r="BN85">
        <f t="shared" si="132"/>
        <v>0.56359681668285344</v>
      </c>
      <c r="BO85">
        <f t="shared" si="133"/>
        <v>0.43640318331714656</v>
      </c>
      <c r="BP85">
        <v>13706</v>
      </c>
      <c r="BQ85">
        <v>290.00000000000011</v>
      </c>
      <c r="BR85">
        <v>1076.93</v>
      </c>
      <c r="BS85">
        <v>295</v>
      </c>
      <c r="BT85">
        <v>8184.1</v>
      </c>
      <c r="BU85">
        <v>1080.43</v>
      </c>
      <c r="BV85">
        <v>-3.5</v>
      </c>
      <c r="BW85">
        <v>300.00000000000011</v>
      </c>
      <c r="BX85">
        <v>19.3</v>
      </c>
      <c r="BY85">
        <v>1233.1278550682439</v>
      </c>
      <c r="BZ85">
        <v>5.3364449906925264</v>
      </c>
      <c r="CA85">
        <v>-124.97070179221249</v>
      </c>
      <c r="CB85">
        <v>4.0106943950513498</v>
      </c>
      <c r="CC85">
        <v>0.97196934011330849</v>
      </c>
      <c r="CD85">
        <v>-4.238808008898782E-3</v>
      </c>
      <c r="CE85">
        <v>289.99999999999989</v>
      </c>
      <c r="CF85">
        <v>1070.9000000000001</v>
      </c>
      <c r="CG85">
        <v>645</v>
      </c>
      <c r="CH85">
        <v>8173.65</v>
      </c>
      <c r="CI85">
        <v>1080.23</v>
      </c>
      <c r="CJ85">
        <v>-9.33</v>
      </c>
      <c r="CX85">
        <f t="shared" si="134"/>
        <v>1799.93</v>
      </c>
      <c r="CY85">
        <f t="shared" si="135"/>
        <v>1513.1262000065835</v>
      </c>
      <c r="CZ85">
        <f t="shared" si="136"/>
        <v>0.84065835893983853</v>
      </c>
      <c r="DA85">
        <f t="shared" si="137"/>
        <v>0.16087063275388838</v>
      </c>
      <c r="DB85">
        <v>6</v>
      </c>
      <c r="DC85">
        <v>0.5</v>
      </c>
      <c r="DD85" t="s">
        <v>421</v>
      </c>
      <c r="DE85">
        <v>2</v>
      </c>
      <c r="DF85">
        <v>1689013880.5</v>
      </c>
      <c r="DG85">
        <v>330.85700000000003</v>
      </c>
      <c r="DH85">
        <v>400.04899999999998</v>
      </c>
      <c r="DI85">
        <v>28.035</v>
      </c>
      <c r="DJ85">
        <v>20.137699999999999</v>
      </c>
      <c r="DK85">
        <v>331.19</v>
      </c>
      <c r="DL85">
        <v>27.898399999999999</v>
      </c>
      <c r="DM85">
        <v>500.28300000000002</v>
      </c>
      <c r="DN85">
        <v>99.156800000000004</v>
      </c>
      <c r="DO85">
        <v>9.9432599999999996E-2</v>
      </c>
      <c r="DP85">
        <v>29.944700000000001</v>
      </c>
      <c r="DQ85">
        <v>29.971599999999999</v>
      </c>
      <c r="DR85">
        <v>999.9</v>
      </c>
      <c r="DS85">
        <v>0</v>
      </c>
      <c r="DT85">
        <v>0</v>
      </c>
      <c r="DU85">
        <v>10017.5</v>
      </c>
      <c r="DV85">
        <v>0</v>
      </c>
      <c r="DW85">
        <v>2105.81</v>
      </c>
      <c r="DX85">
        <v>-69.191699999999997</v>
      </c>
      <c r="DY85">
        <v>340.4</v>
      </c>
      <c r="DZ85">
        <v>408.27100000000002</v>
      </c>
      <c r="EA85">
        <v>7.8972699999999998</v>
      </c>
      <c r="EB85">
        <v>400.04899999999998</v>
      </c>
      <c r="EC85">
        <v>20.137699999999999</v>
      </c>
      <c r="ED85">
        <v>2.7798600000000002</v>
      </c>
      <c r="EE85">
        <v>1.9967900000000001</v>
      </c>
      <c r="EF85">
        <v>22.765000000000001</v>
      </c>
      <c r="EG85">
        <v>17.418900000000001</v>
      </c>
      <c r="EH85">
        <v>1799.93</v>
      </c>
      <c r="EI85">
        <v>0.97799599999999998</v>
      </c>
      <c r="EJ85">
        <v>2.20039E-2</v>
      </c>
      <c r="EK85">
        <v>0</v>
      </c>
      <c r="EL85">
        <v>793.30700000000002</v>
      </c>
      <c r="EM85">
        <v>4.9999900000000004</v>
      </c>
      <c r="EN85">
        <v>20473.3</v>
      </c>
      <c r="EO85">
        <v>15863.2</v>
      </c>
      <c r="EP85">
        <v>49.125</v>
      </c>
      <c r="EQ85">
        <v>50.686999999999998</v>
      </c>
      <c r="ER85">
        <v>49.625</v>
      </c>
      <c r="ES85">
        <v>50.061999999999998</v>
      </c>
      <c r="ET85">
        <v>50.75</v>
      </c>
      <c r="EU85">
        <v>1755.43</v>
      </c>
      <c r="EV85">
        <v>39.5</v>
      </c>
      <c r="EW85">
        <v>0</v>
      </c>
      <c r="EX85">
        <v>124.7999999523163</v>
      </c>
      <c r="EY85">
        <v>0</v>
      </c>
      <c r="EZ85">
        <v>790.95646153846144</v>
      </c>
      <c r="FA85">
        <v>19.38317951940012</v>
      </c>
      <c r="FB85">
        <v>428.27350484090078</v>
      </c>
      <c r="FC85">
        <v>20422.25384615385</v>
      </c>
      <c r="FD85">
        <v>15</v>
      </c>
      <c r="FE85">
        <v>1689013833.5</v>
      </c>
      <c r="FF85" t="s">
        <v>774</v>
      </c>
      <c r="FG85">
        <v>1689013818.5</v>
      </c>
      <c r="FH85">
        <v>1689013833.5</v>
      </c>
      <c r="FI85">
        <v>78</v>
      </c>
      <c r="FJ85">
        <v>-5.7000000000000002E-2</v>
      </c>
      <c r="FK85">
        <v>2E-3</v>
      </c>
      <c r="FL85">
        <v>-0.32800000000000001</v>
      </c>
      <c r="FM85">
        <v>9.6000000000000002E-2</v>
      </c>
      <c r="FN85">
        <v>400</v>
      </c>
      <c r="FO85">
        <v>20</v>
      </c>
      <c r="FP85">
        <v>0.03</v>
      </c>
      <c r="FQ85">
        <v>0.02</v>
      </c>
      <c r="FR85">
        <v>55.287230829310417</v>
      </c>
      <c r="FS85">
        <v>0.62754602452286978</v>
      </c>
      <c r="FT85">
        <v>5.5834199328635127E-2</v>
      </c>
      <c r="FU85">
        <v>1</v>
      </c>
      <c r="FV85">
        <v>0.48218996776676237</v>
      </c>
      <c r="FW85">
        <v>7.5013005541694881E-4</v>
      </c>
      <c r="FX85">
        <v>8.3796233576550778E-4</v>
      </c>
      <c r="FY85">
        <v>1</v>
      </c>
      <c r="FZ85">
        <v>2</v>
      </c>
      <c r="GA85">
        <v>2</v>
      </c>
      <c r="GB85" t="s">
        <v>423</v>
      </c>
      <c r="GC85">
        <v>2.9585300000000001</v>
      </c>
      <c r="GD85">
        <v>2.74282</v>
      </c>
      <c r="GE85">
        <v>7.6612700000000006E-2</v>
      </c>
      <c r="GF85">
        <v>8.8707099999999997E-2</v>
      </c>
      <c r="GG85">
        <v>0.12873100000000001</v>
      </c>
      <c r="GH85">
        <v>0.101676</v>
      </c>
      <c r="GI85">
        <v>21677.3</v>
      </c>
      <c r="GJ85">
        <v>19936.599999999999</v>
      </c>
      <c r="GK85">
        <v>23408.2</v>
      </c>
      <c r="GL85">
        <v>21926.2</v>
      </c>
      <c r="GM85">
        <v>28766</v>
      </c>
      <c r="GN85">
        <v>27486.2</v>
      </c>
      <c r="GO85">
        <v>36939.300000000003</v>
      </c>
      <c r="GP85">
        <v>34116.800000000003</v>
      </c>
      <c r="GQ85">
        <v>1.99553</v>
      </c>
      <c r="GR85">
        <v>1.81002</v>
      </c>
      <c r="GS85">
        <v>-7.1152999999999997E-3</v>
      </c>
      <c r="GT85">
        <v>0</v>
      </c>
      <c r="GU85">
        <v>30.087399999999999</v>
      </c>
      <c r="GV85">
        <v>999.9</v>
      </c>
      <c r="GW85">
        <v>26.7</v>
      </c>
      <c r="GX85">
        <v>46.2</v>
      </c>
      <c r="GY85">
        <v>27.6023</v>
      </c>
      <c r="GZ85">
        <v>60.0852</v>
      </c>
      <c r="HA85">
        <v>38.545699999999997</v>
      </c>
      <c r="HB85">
        <v>1</v>
      </c>
      <c r="HC85">
        <v>0.52497499999999997</v>
      </c>
      <c r="HD85">
        <v>2.9332799999999999</v>
      </c>
      <c r="HE85">
        <v>20.089600000000001</v>
      </c>
      <c r="HF85">
        <v>5.2637099999999997</v>
      </c>
      <c r="HG85">
        <v>11.9628</v>
      </c>
      <c r="HH85">
        <v>4.9798</v>
      </c>
      <c r="HI85">
        <v>3.298</v>
      </c>
      <c r="HJ85">
        <v>9999</v>
      </c>
      <c r="HK85">
        <v>9999</v>
      </c>
      <c r="HL85">
        <v>9999</v>
      </c>
      <c r="HM85">
        <v>999.9</v>
      </c>
      <c r="HN85">
        <v>1.8644400000000001</v>
      </c>
      <c r="HO85">
        <v>1.8604099999999999</v>
      </c>
      <c r="HP85">
        <v>1.8670199999999999</v>
      </c>
      <c r="HQ85">
        <v>1.86371</v>
      </c>
      <c r="HR85">
        <v>1.8623400000000001</v>
      </c>
      <c r="HS85">
        <v>1.8623400000000001</v>
      </c>
      <c r="HT85">
        <v>1.86365</v>
      </c>
      <c r="HU85">
        <v>1.86493</v>
      </c>
      <c r="HV85">
        <v>0</v>
      </c>
      <c r="HW85">
        <v>0</v>
      </c>
      <c r="HX85">
        <v>0</v>
      </c>
      <c r="HY85">
        <v>0</v>
      </c>
      <c r="HZ85" t="s">
        <v>424</v>
      </c>
      <c r="IA85" t="s">
        <v>425</v>
      </c>
      <c r="IB85" t="s">
        <v>426</v>
      </c>
      <c r="IC85" t="s">
        <v>426</v>
      </c>
      <c r="ID85" t="s">
        <v>426</v>
      </c>
      <c r="IE85" t="s">
        <v>426</v>
      </c>
      <c r="IF85">
        <v>0</v>
      </c>
      <c r="IG85">
        <v>100</v>
      </c>
      <c r="IH85">
        <v>100</v>
      </c>
      <c r="II85">
        <v>-0.33300000000000002</v>
      </c>
      <c r="IJ85">
        <v>0.1366</v>
      </c>
      <c r="IK85">
        <v>-0.32975421248403253</v>
      </c>
      <c r="IL85">
        <v>-8.3322953065825546E-5</v>
      </c>
      <c r="IM85">
        <v>2.3872336679552741E-7</v>
      </c>
      <c r="IN85">
        <v>-5.428329794194132E-11</v>
      </c>
      <c r="IO85">
        <v>0.13666619801823049</v>
      </c>
      <c r="IP85">
        <v>0</v>
      </c>
      <c r="IQ85">
        <v>0</v>
      </c>
      <c r="IR85">
        <v>0</v>
      </c>
      <c r="IS85">
        <v>2</v>
      </c>
      <c r="IT85">
        <v>2035</v>
      </c>
      <c r="IU85">
        <v>1</v>
      </c>
      <c r="IV85">
        <v>21</v>
      </c>
      <c r="IW85">
        <v>1</v>
      </c>
      <c r="IX85">
        <v>0.8</v>
      </c>
      <c r="IY85">
        <v>1.07178</v>
      </c>
      <c r="IZ85">
        <v>2.7282700000000002</v>
      </c>
      <c r="JA85">
        <v>1.4514199999999999</v>
      </c>
      <c r="JB85">
        <v>2.2766099999999998</v>
      </c>
      <c r="JC85">
        <v>1.5942400000000001</v>
      </c>
      <c r="JD85">
        <v>2.3559600000000001</v>
      </c>
      <c r="JE85">
        <v>49.1066</v>
      </c>
      <c r="JF85">
        <v>23.982399999999998</v>
      </c>
      <c r="JG85">
        <v>18</v>
      </c>
      <c r="JH85">
        <v>511.779</v>
      </c>
      <c r="JI85">
        <v>426.64499999999998</v>
      </c>
      <c r="JJ85">
        <v>26.7455</v>
      </c>
      <c r="JK85">
        <v>33.7224</v>
      </c>
      <c r="JL85">
        <v>30.000399999999999</v>
      </c>
      <c r="JM85">
        <v>33.679099999999998</v>
      </c>
      <c r="JN85">
        <v>33.686100000000003</v>
      </c>
      <c r="JO85">
        <v>21.409700000000001</v>
      </c>
      <c r="JP85">
        <v>27.224499999999999</v>
      </c>
      <c r="JQ85">
        <v>0</v>
      </c>
      <c r="JR85">
        <v>26.708200000000001</v>
      </c>
      <c r="JS85">
        <v>400</v>
      </c>
      <c r="JT85">
        <v>19.9998</v>
      </c>
      <c r="JU85">
        <v>99.003100000000003</v>
      </c>
      <c r="JV85">
        <v>98.4114</v>
      </c>
    </row>
    <row r="86" spans="1:282" x14ac:dyDescent="0.25">
      <c r="A86">
        <v>70</v>
      </c>
      <c r="B86">
        <v>1689014001.5</v>
      </c>
      <c r="C86">
        <v>14660.900000095369</v>
      </c>
      <c r="D86" t="s">
        <v>775</v>
      </c>
      <c r="E86" t="s">
        <v>776</v>
      </c>
      <c r="F86" t="s">
        <v>414</v>
      </c>
      <c r="G86" t="s">
        <v>415</v>
      </c>
      <c r="H86" t="s">
        <v>731</v>
      </c>
      <c r="I86" t="s">
        <v>578</v>
      </c>
      <c r="J86" t="s">
        <v>416</v>
      </c>
      <c r="K86">
        <v>1689014001.5</v>
      </c>
      <c r="L86">
        <f t="shared" si="92"/>
        <v>6.6259270924991995E-3</v>
      </c>
      <c r="M86">
        <f t="shared" si="93"/>
        <v>6.6259270924991993</v>
      </c>
      <c r="N86">
        <f t="shared" si="94"/>
        <v>57.009280644836615</v>
      </c>
      <c r="O86">
        <f t="shared" si="95"/>
        <v>329.214</v>
      </c>
      <c r="P86">
        <f t="shared" si="96"/>
        <v>115.50830997006081</v>
      </c>
      <c r="Q86">
        <f t="shared" si="97"/>
        <v>11.463980876281141</v>
      </c>
      <c r="R86">
        <f t="shared" si="98"/>
        <v>32.673865639469994</v>
      </c>
      <c r="S86">
        <f t="shared" si="99"/>
        <v>0.47136833696594177</v>
      </c>
      <c r="T86">
        <f t="shared" si="100"/>
        <v>2.9126003318392826</v>
      </c>
      <c r="U86">
        <f t="shared" si="101"/>
        <v>0.43272333569676341</v>
      </c>
      <c r="V86">
        <f t="shared" si="102"/>
        <v>0.27365967390844015</v>
      </c>
      <c r="W86">
        <f t="shared" si="103"/>
        <v>289.55051101270334</v>
      </c>
      <c r="X86">
        <f t="shared" si="104"/>
        <v>29.889502545161243</v>
      </c>
      <c r="Y86">
        <f t="shared" si="105"/>
        <v>29.975000000000001</v>
      </c>
      <c r="Z86">
        <f t="shared" si="106"/>
        <v>4.2543356806559256</v>
      </c>
      <c r="AA86">
        <f t="shared" si="107"/>
        <v>65.809606884847256</v>
      </c>
      <c r="AB86">
        <f t="shared" si="108"/>
        <v>2.788554156564</v>
      </c>
      <c r="AC86">
        <f t="shared" si="109"/>
        <v>4.237305598016067</v>
      </c>
      <c r="AD86">
        <f t="shared" si="110"/>
        <v>1.4657815240919256</v>
      </c>
      <c r="AE86">
        <f t="shared" si="111"/>
        <v>-292.20338477921467</v>
      </c>
      <c r="AF86">
        <f t="shared" si="112"/>
        <v>-10.960282814490451</v>
      </c>
      <c r="AG86">
        <f t="shared" si="113"/>
        <v>-0.83622350908158527</v>
      </c>
      <c r="AH86">
        <f t="shared" si="114"/>
        <v>-14.449380090083391</v>
      </c>
      <c r="AI86">
        <v>0</v>
      </c>
      <c r="AJ86">
        <v>0</v>
      </c>
      <c r="AK86">
        <f t="shared" si="115"/>
        <v>1</v>
      </c>
      <c r="AL86">
        <f t="shared" si="116"/>
        <v>0</v>
      </c>
      <c r="AM86">
        <f t="shared" si="117"/>
        <v>51868.053171993713</v>
      </c>
      <c r="AN86" t="s">
        <v>418</v>
      </c>
      <c r="AO86">
        <v>8197.4</v>
      </c>
      <c r="AP86">
        <v>619.92999999999995</v>
      </c>
      <c r="AQ86">
        <v>3131.443117258741</v>
      </c>
      <c r="AR86">
        <f t="shared" si="118"/>
        <v>0.80203057287443702</v>
      </c>
      <c r="AS86">
        <v>-1.0448500102641549</v>
      </c>
      <c r="AT86" t="s">
        <v>777</v>
      </c>
      <c r="AU86">
        <v>8182.8</v>
      </c>
      <c r="AV86">
        <v>809.95749999999998</v>
      </c>
      <c r="AW86">
        <v>1270.7685092030749</v>
      </c>
      <c r="AX86">
        <f t="shared" si="119"/>
        <v>0.36262388142751434</v>
      </c>
      <c r="AY86">
        <v>0.5</v>
      </c>
      <c r="AZ86">
        <f t="shared" si="120"/>
        <v>1513.1007000065822</v>
      </c>
      <c r="BA86">
        <f t="shared" si="121"/>
        <v>57.009280644836615</v>
      </c>
      <c r="BB86">
        <f t="shared" si="122"/>
        <v>274.34322441353788</v>
      </c>
      <c r="BC86">
        <f t="shared" si="123"/>
        <v>3.8367658315701145E-2</v>
      </c>
      <c r="BD86">
        <f t="shared" si="124"/>
        <v>1.4642120847191384</v>
      </c>
      <c r="BE86">
        <f t="shared" si="125"/>
        <v>480.61461327551024</v>
      </c>
      <c r="BF86" t="s">
        <v>778</v>
      </c>
      <c r="BG86">
        <v>629.71</v>
      </c>
      <c r="BH86">
        <f t="shared" si="126"/>
        <v>629.71</v>
      </c>
      <c r="BI86">
        <f t="shared" si="127"/>
        <v>0.50446521499426822</v>
      </c>
      <c r="BJ86">
        <f t="shared" si="128"/>
        <v>0.71882831689720061</v>
      </c>
      <c r="BK86">
        <f t="shared" si="129"/>
        <v>0.74375423789988004</v>
      </c>
      <c r="BL86">
        <f t="shared" si="130"/>
        <v>0.70802664975574214</v>
      </c>
      <c r="BM86">
        <f t="shared" si="131"/>
        <v>0.74085800916960753</v>
      </c>
      <c r="BN86">
        <f t="shared" si="132"/>
        <v>0.55886065556938014</v>
      </c>
      <c r="BO86">
        <f t="shared" si="133"/>
        <v>0.44113934443061986</v>
      </c>
      <c r="BP86">
        <v>13708</v>
      </c>
      <c r="BQ86">
        <v>290.00000000000011</v>
      </c>
      <c r="BR86">
        <v>1112.6300000000001</v>
      </c>
      <c r="BS86">
        <v>285</v>
      </c>
      <c r="BT86">
        <v>8182.8</v>
      </c>
      <c r="BU86">
        <v>1116.32</v>
      </c>
      <c r="BV86">
        <v>-3.69</v>
      </c>
      <c r="BW86">
        <v>300.00000000000011</v>
      </c>
      <c r="BX86">
        <v>19.3</v>
      </c>
      <c r="BY86">
        <v>1270.7685092030749</v>
      </c>
      <c r="BZ86">
        <v>4.0020873549178679</v>
      </c>
      <c r="CA86">
        <v>-126.3821745081718</v>
      </c>
      <c r="CB86">
        <v>3.0073368964484071</v>
      </c>
      <c r="CC86">
        <v>0.98439301287745007</v>
      </c>
      <c r="CD86">
        <v>-4.2382616240266898E-3</v>
      </c>
      <c r="CE86">
        <v>289.99999999999989</v>
      </c>
      <c r="CF86">
        <v>1106.9100000000001</v>
      </c>
      <c r="CG86">
        <v>635</v>
      </c>
      <c r="CH86">
        <v>8172.61</v>
      </c>
      <c r="CI86">
        <v>1116.1300000000001</v>
      </c>
      <c r="CJ86">
        <v>-9.2200000000000006</v>
      </c>
      <c r="CX86">
        <f t="shared" si="134"/>
        <v>1799.9</v>
      </c>
      <c r="CY86">
        <f t="shared" si="135"/>
        <v>1513.1007000065822</v>
      </c>
      <c r="CZ86">
        <f t="shared" si="136"/>
        <v>0.84065820323716989</v>
      </c>
      <c r="DA86">
        <f t="shared" si="137"/>
        <v>0.16087033224773784</v>
      </c>
      <c r="DB86">
        <v>6</v>
      </c>
      <c r="DC86">
        <v>0.5</v>
      </c>
      <c r="DD86" t="s">
        <v>421</v>
      </c>
      <c r="DE86">
        <v>2</v>
      </c>
      <c r="DF86">
        <v>1689014001.5</v>
      </c>
      <c r="DG86">
        <v>329.214</v>
      </c>
      <c r="DH86">
        <v>400.25</v>
      </c>
      <c r="DI86">
        <v>28.096800000000002</v>
      </c>
      <c r="DJ86">
        <v>20.368300000000001</v>
      </c>
      <c r="DK86">
        <v>329.53800000000001</v>
      </c>
      <c r="DL86">
        <v>27.960799999999999</v>
      </c>
      <c r="DM86">
        <v>499.94900000000001</v>
      </c>
      <c r="DN86">
        <v>99.148499999999999</v>
      </c>
      <c r="DO86">
        <v>9.9604999999999999E-2</v>
      </c>
      <c r="DP86">
        <v>29.905200000000001</v>
      </c>
      <c r="DQ86">
        <v>29.975000000000001</v>
      </c>
      <c r="DR86">
        <v>999.9</v>
      </c>
      <c r="DS86">
        <v>0</v>
      </c>
      <c r="DT86">
        <v>0</v>
      </c>
      <c r="DU86">
        <v>9988.75</v>
      </c>
      <c r="DV86">
        <v>0</v>
      </c>
      <c r="DW86">
        <v>2097.5500000000002</v>
      </c>
      <c r="DX86">
        <v>-71.036199999999994</v>
      </c>
      <c r="DY86">
        <v>338.73099999999999</v>
      </c>
      <c r="DZ86">
        <v>408.572</v>
      </c>
      <c r="EA86">
        <v>7.7284899999999999</v>
      </c>
      <c r="EB86">
        <v>400.25</v>
      </c>
      <c r="EC86">
        <v>20.368300000000001</v>
      </c>
      <c r="ED86">
        <v>2.7857599999999998</v>
      </c>
      <c r="EE86">
        <v>2.0194899999999998</v>
      </c>
      <c r="EF86">
        <v>22.799900000000001</v>
      </c>
      <c r="EG86">
        <v>17.597999999999999</v>
      </c>
      <c r="EH86">
        <v>1799.9</v>
      </c>
      <c r="EI86">
        <v>0.97799899999999995</v>
      </c>
      <c r="EJ86">
        <v>2.2000700000000002E-2</v>
      </c>
      <c r="EK86">
        <v>0</v>
      </c>
      <c r="EL86">
        <v>810.14800000000002</v>
      </c>
      <c r="EM86">
        <v>4.9999900000000004</v>
      </c>
      <c r="EN86">
        <v>20772</v>
      </c>
      <c r="EO86">
        <v>15862.9</v>
      </c>
      <c r="EP86">
        <v>49.311999999999998</v>
      </c>
      <c r="EQ86">
        <v>51.125</v>
      </c>
      <c r="ER86">
        <v>49.936999999999998</v>
      </c>
      <c r="ES86">
        <v>50.375</v>
      </c>
      <c r="ET86">
        <v>50.936999999999998</v>
      </c>
      <c r="EU86">
        <v>1755.41</v>
      </c>
      <c r="EV86">
        <v>39.49</v>
      </c>
      <c r="EW86">
        <v>0</v>
      </c>
      <c r="EX86">
        <v>118.7999999523163</v>
      </c>
      <c r="EY86">
        <v>0</v>
      </c>
      <c r="EZ86">
        <v>809.95749999999998</v>
      </c>
      <c r="FA86">
        <v>4.5307692237346977</v>
      </c>
      <c r="FB86">
        <v>-0.1538456993124773</v>
      </c>
      <c r="FC86">
        <v>20747.826923076918</v>
      </c>
      <c r="FD86">
        <v>15</v>
      </c>
      <c r="FE86">
        <v>1689013967.5</v>
      </c>
      <c r="FF86" t="s">
        <v>779</v>
      </c>
      <c r="FG86">
        <v>1689013961.5</v>
      </c>
      <c r="FH86">
        <v>1689013967.5</v>
      </c>
      <c r="FI86">
        <v>79</v>
      </c>
      <c r="FJ86">
        <v>8.9999999999999993E-3</v>
      </c>
      <c r="FK86">
        <v>-1E-3</v>
      </c>
      <c r="FL86">
        <v>-0.31900000000000001</v>
      </c>
      <c r="FM86">
        <v>9.6000000000000002E-2</v>
      </c>
      <c r="FN86">
        <v>400</v>
      </c>
      <c r="FO86">
        <v>20</v>
      </c>
      <c r="FP86">
        <v>0.02</v>
      </c>
      <c r="FQ86">
        <v>0.01</v>
      </c>
      <c r="FR86">
        <v>56.96431933080499</v>
      </c>
      <c r="FS86">
        <v>0.21592432477775991</v>
      </c>
      <c r="FT86">
        <v>5.0491452398747083E-2</v>
      </c>
      <c r="FU86">
        <v>1</v>
      </c>
      <c r="FV86">
        <v>0.46738535711017382</v>
      </c>
      <c r="FW86">
        <v>4.1848992816048147E-2</v>
      </c>
      <c r="FX86">
        <v>3.0902433119527131E-3</v>
      </c>
      <c r="FY86">
        <v>1</v>
      </c>
      <c r="FZ86">
        <v>2</v>
      </c>
      <c r="GA86">
        <v>2</v>
      </c>
      <c r="GB86" t="s">
        <v>423</v>
      </c>
      <c r="GC86">
        <v>2.9575499999999999</v>
      </c>
      <c r="GD86">
        <v>2.74274</v>
      </c>
      <c r="GE86">
        <v>7.6277600000000001E-2</v>
      </c>
      <c r="GF86">
        <v>8.8710300000000006E-2</v>
      </c>
      <c r="GG86">
        <v>0.128885</v>
      </c>
      <c r="GH86">
        <v>0.10245700000000001</v>
      </c>
      <c r="GI86">
        <v>21678.9</v>
      </c>
      <c r="GJ86">
        <v>19930.3</v>
      </c>
      <c r="GK86">
        <v>23402</v>
      </c>
      <c r="GL86">
        <v>21919.8</v>
      </c>
      <c r="GM86">
        <v>28754.2</v>
      </c>
      <c r="GN86">
        <v>27454.6</v>
      </c>
      <c r="GO86">
        <v>36929.699999999997</v>
      </c>
      <c r="GP86">
        <v>34107.300000000003</v>
      </c>
      <c r="GQ86">
        <v>1.99325</v>
      </c>
      <c r="GR86">
        <v>1.80722</v>
      </c>
      <c r="GS86">
        <v>-1.33738E-2</v>
      </c>
      <c r="GT86">
        <v>0</v>
      </c>
      <c r="GU86">
        <v>30.192599999999999</v>
      </c>
      <c r="GV86">
        <v>999.9</v>
      </c>
      <c r="GW86">
        <v>26.7</v>
      </c>
      <c r="GX86">
        <v>46.4</v>
      </c>
      <c r="GY86">
        <v>27.8889</v>
      </c>
      <c r="GZ86">
        <v>60.4953</v>
      </c>
      <c r="HA86">
        <v>39.527200000000001</v>
      </c>
      <c r="HB86">
        <v>1</v>
      </c>
      <c r="HC86">
        <v>0.54374999999999996</v>
      </c>
      <c r="HD86">
        <v>4.1918699999999998</v>
      </c>
      <c r="HE86">
        <v>20.058800000000002</v>
      </c>
      <c r="HF86">
        <v>5.26356</v>
      </c>
      <c r="HG86">
        <v>11.9635</v>
      </c>
      <c r="HH86">
        <v>4.9795499999999997</v>
      </c>
      <c r="HI86">
        <v>3.2976299999999998</v>
      </c>
      <c r="HJ86">
        <v>9999</v>
      </c>
      <c r="HK86">
        <v>9999</v>
      </c>
      <c r="HL86">
        <v>9999</v>
      </c>
      <c r="HM86">
        <v>999.9</v>
      </c>
      <c r="HN86">
        <v>1.8644700000000001</v>
      </c>
      <c r="HO86">
        <v>1.8604799999999999</v>
      </c>
      <c r="HP86">
        <v>1.86703</v>
      </c>
      <c r="HQ86">
        <v>1.86371</v>
      </c>
      <c r="HR86">
        <v>1.8623400000000001</v>
      </c>
      <c r="HS86">
        <v>1.8623700000000001</v>
      </c>
      <c r="HT86">
        <v>1.8636999999999999</v>
      </c>
      <c r="HU86">
        <v>1.86493</v>
      </c>
      <c r="HV86">
        <v>0</v>
      </c>
      <c r="HW86">
        <v>0</v>
      </c>
      <c r="HX86">
        <v>0</v>
      </c>
      <c r="HY86">
        <v>0</v>
      </c>
      <c r="HZ86" t="s">
        <v>424</v>
      </c>
      <c r="IA86" t="s">
        <v>425</v>
      </c>
      <c r="IB86" t="s">
        <v>426</v>
      </c>
      <c r="IC86" t="s">
        <v>426</v>
      </c>
      <c r="ID86" t="s">
        <v>426</v>
      </c>
      <c r="IE86" t="s">
        <v>426</v>
      </c>
      <c r="IF86">
        <v>0</v>
      </c>
      <c r="IG86">
        <v>100</v>
      </c>
      <c r="IH86">
        <v>100</v>
      </c>
      <c r="II86">
        <v>-0.32400000000000001</v>
      </c>
      <c r="IJ86">
        <v>0.13600000000000001</v>
      </c>
      <c r="IK86">
        <v>-0.32027560493844109</v>
      </c>
      <c r="IL86">
        <v>-8.3322953065825546E-5</v>
      </c>
      <c r="IM86">
        <v>2.3872336679552741E-7</v>
      </c>
      <c r="IN86">
        <v>-5.428329794194132E-11</v>
      </c>
      <c r="IO86">
        <v>0.13598101790987169</v>
      </c>
      <c r="IP86">
        <v>0</v>
      </c>
      <c r="IQ86">
        <v>0</v>
      </c>
      <c r="IR86">
        <v>0</v>
      </c>
      <c r="IS86">
        <v>2</v>
      </c>
      <c r="IT86">
        <v>2035</v>
      </c>
      <c r="IU86">
        <v>1</v>
      </c>
      <c r="IV86">
        <v>21</v>
      </c>
      <c r="IW86">
        <v>0.7</v>
      </c>
      <c r="IX86">
        <v>0.6</v>
      </c>
      <c r="IY86">
        <v>1.07178</v>
      </c>
      <c r="IZ86">
        <v>2.7307100000000002</v>
      </c>
      <c r="JA86">
        <v>1.4526399999999999</v>
      </c>
      <c r="JB86">
        <v>2.2766099999999998</v>
      </c>
      <c r="JC86">
        <v>1.5942400000000001</v>
      </c>
      <c r="JD86">
        <v>2.3803700000000001</v>
      </c>
      <c r="JE86">
        <v>49.389400000000002</v>
      </c>
      <c r="JF86">
        <v>23.973700000000001</v>
      </c>
      <c r="JG86">
        <v>18</v>
      </c>
      <c r="JH86">
        <v>511.30599999999998</v>
      </c>
      <c r="JI86">
        <v>425.63600000000002</v>
      </c>
      <c r="JJ86">
        <v>25.965699999999998</v>
      </c>
      <c r="JK86">
        <v>33.863</v>
      </c>
      <c r="JL86">
        <v>30.000299999999999</v>
      </c>
      <c r="JM86">
        <v>33.798999999999999</v>
      </c>
      <c r="JN86">
        <v>33.802199999999999</v>
      </c>
      <c r="JO86">
        <v>21.415700000000001</v>
      </c>
      <c r="JP86">
        <v>27.8354</v>
      </c>
      <c r="JQ86">
        <v>0</v>
      </c>
      <c r="JR86">
        <v>25.978899999999999</v>
      </c>
      <c r="JS86">
        <v>400</v>
      </c>
      <c r="JT86">
        <v>20.096699999999998</v>
      </c>
      <c r="JU86">
        <v>98.977099999999993</v>
      </c>
      <c r="JV86">
        <v>98.383600000000001</v>
      </c>
    </row>
    <row r="87" spans="1:282" x14ac:dyDescent="0.25">
      <c r="A87">
        <v>71</v>
      </c>
      <c r="B87">
        <v>1689014125</v>
      </c>
      <c r="C87">
        <v>14784.400000095369</v>
      </c>
      <c r="D87" t="s">
        <v>780</v>
      </c>
      <c r="E87" t="s">
        <v>781</v>
      </c>
      <c r="F87" t="s">
        <v>414</v>
      </c>
      <c r="G87" t="s">
        <v>415</v>
      </c>
      <c r="H87" t="s">
        <v>731</v>
      </c>
      <c r="I87" t="s">
        <v>578</v>
      </c>
      <c r="J87" t="s">
        <v>416</v>
      </c>
      <c r="K87">
        <v>1689014125</v>
      </c>
      <c r="L87">
        <f t="shared" si="92"/>
        <v>6.5645280183865761E-3</v>
      </c>
      <c r="M87">
        <f t="shared" si="93"/>
        <v>6.564528018386576</v>
      </c>
      <c r="N87">
        <f t="shared" si="94"/>
        <v>60.493423529350331</v>
      </c>
      <c r="O87">
        <f t="shared" si="95"/>
        <v>424.31599999999997</v>
      </c>
      <c r="P87">
        <f t="shared" si="96"/>
        <v>191.53806361250267</v>
      </c>
      <c r="Q87">
        <f t="shared" si="97"/>
        <v>19.009638897762411</v>
      </c>
      <c r="R87">
        <f t="shared" si="98"/>
        <v>42.112224517740394</v>
      </c>
      <c r="S87">
        <f t="shared" si="99"/>
        <v>0.46194199544492071</v>
      </c>
      <c r="T87">
        <f t="shared" si="100"/>
        <v>2.9115129678667286</v>
      </c>
      <c r="U87">
        <f t="shared" si="101"/>
        <v>0.42474921867583526</v>
      </c>
      <c r="V87">
        <f t="shared" si="102"/>
        <v>0.2685598993076167</v>
      </c>
      <c r="W87">
        <f t="shared" si="103"/>
        <v>289.53876001270061</v>
      </c>
      <c r="X87">
        <f t="shared" si="104"/>
        <v>29.903654966506515</v>
      </c>
      <c r="Y87">
        <f t="shared" si="105"/>
        <v>29.9863</v>
      </c>
      <c r="Z87">
        <f t="shared" si="106"/>
        <v>4.2570983024302977</v>
      </c>
      <c r="AA87">
        <f t="shared" si="107"/>
        <v>65.557519134765883</v>
      </c>
      <c r="AB87">
        <f t="shared" si="108"/>
        <v>2.77758503442185</v>
      </c>
      <c r="AC87">
        <f t="shared" si="109"/>
        <v>4.236867213830954</v>
      </c>
      <c r="AD87">
        <f t="shared" si="110"/>
        <v>1.4795132680084477</v>
      </c>
      <c r="AE87">
        <f t="shared" si="111"/>
        <v>-289.495685610848</v>
      </c>
      <c r="AF87">
        <f t="shared" si="112"/>
        <v>-13.012438882548803</v>
      </c>
      <c r="AG87">
        <f t="shared" si="113"/>
        <v>-0.99321189417048683</v>
      </c>
      <c r="AH87">
        <f t="shared" si="114"/>
        <v>-13.962576374866682</v>
      </c>
      <c r="AI87">
        <v>0</v>
      </c>
      <c r="AJ87">
        <v>0</v>
      </c>
      <c r="AK87">
        <f t="shared" si="115"/>
        <v>1</v>
      </c>
      <c r="AL87">
        <f t="shared" si="116"/>
        <v>0</v>
      </c>
      <c r="AM87">
        <f t="shared" si="117"/>
        <v>51837.431144750939</v>
      </c>
      <c r="AN87" t="s">
        <v>418</v>
      </c>
      <c r="AO87">
        <v>8197.4</v>
      </c>
      <c r="AP87">
        <v>619.92999999999995</v>
      </c>
      <c r="AQ87">
        <v>3131.443117258741</v>
      </c>
      <c r="AR87">
        <f t="shared" si="118"/>
        <v>0.80203057287443702</v>
      </c>
      <c r="AS87">
        <v>-1.0448500102641549</v>
      </c>
      <c r="AT87" t="s">
        <v>782</v>
      </c>
      <c r="AU87">
        <v>8181.15</v>
      </c>
      <c r="AV87">
        <v>829.42019999999991</v>
      </c>
      <c r="AW87">
        <v>1320.4386010900751</v>
      </c>
      <c r="AX87">
        <f t="shared" si="119"/>
        <v>0.37186007792010911</v>
      </c>
      <c r="AY87">
        <v>0.5</v>
      </c>
      <c r="AZ87">
        <f t="shared" si="120"/>
        <v>1513.0416000065804</v>
      </c>
      <c r="BA87">
        <f t="shared" si="121"/>
        <v>60.493423529350331</v>
      </c>
      <c r="BB87">
        <f t="shared" si="122"/>
        <v>281.3198836374068</v>
      </c>
      <c r="BC87">
        <f t="shared" si="123"/>
        <v>4.067189794341864E-2</v>
      </c>
      <c r="BD87">
        <f t="shared" si="124"/>
        <v>1.3715173993501926</v>
      </c>
      <c r="BE87">
        <f t="shared" si="125"/>
        <v>487.55090331070437</v>
      </c>
      <c r="BF87" t="s">
        <v>783</v>
      </c>
      <c r="BG87">
        <v>632.69000000000005</v>
      </c>
      <c r="BH87">
        <f t="shared" si="126"/>
        <v>632.69000000000005</v>
      </c>
      <c r="BI87">
        <f t="shared" si="127"/>
        <v>0.52084860327644988</v>
      </c>
      <c r="BJ87">
        <f t="shared" si="128"/>
        <v>0.71395041780065516</v>
      </c>
      <c r="BK87">
        <f t="shared" si="129"/>
        <v>0.72476328439979287</v>
      </c>
      <c r="BL87">
        <f t="shared" si="130"/>
        <v>0.70094557058398976</v>
      </c>
      <c r="BM87">
        <f t="shared" si="131"/>
        <v>0.72108105019389102</v>
      </c>
      <c r="BN87">
        <f t="shared" si="132"/>
        <v>0.54460849860938598</v>
      </c>
      <c r="BO87">
        <f t="shared" si="133"/>
        <v>0.45539150139061402</v>
      </c>
      <c r="BP87">
        <v>13710</v>
      </c>
      <c r="BQ87">
        <v>290.00000000000011</v>
      </c>
      <c r="BR87">
        <v>1164.73</v>
      </c>
      <c r="BS87">
        <v>295</v>
      </c>
      <c r="BT87">
        <v>8181.15</v>
      </c>
      <c r="BU87">
        <v>1168.03</v>
      </c>
      <c r="BV87">
        <v>-3.3</v>
      </c>
      <c r="BW87">
        <v>300.00000000000011</v>
      </c>
      <c r="BX87">
        <v>19.3</v>
      </c>
      <c r="BY87">
        <v>1320.4386010900751</v>
      </c>
      <c r="BZ87">
        <v>5.751281241559222</v>
      </c>
      <c r="CA87">
        <v>-124.6876527485462</v>
      </c>
      <c r="CB87">
        <v>4.3208386480759327</v>
      </c>
      <c r="CC87">
        <v>0.96746995115843859</v>
      </c>
      <c r="CD87">
        <v>-4.2376827586206884E-3</v>
      </c>
      <c r="CE87">
        <v>289.99999999999989</v>
      </c>
      <c r="CF87">
        <v>1161.04</v>
      </c>
      <c r="CG87">
        <v>675</v>
      </c>
      <c r="CH87">
        <v>8169.53</v>
      </c>
      <c r="CI87">
        <v>1167.81</v>
      </c>
      <c r="CJ87">
        <v>-6.77</v>
      </c>
      <c r="CX87">
        <f t="shared" si="134"/>
        <v>1799.83</v>
      </c>
      <c r="CY87">
        <f t="shared" si="135"/>
        <v>1513.0416000065804</v>
      </c>
      <c r="CZ87">
        <f t="shared" si="136"/>
        <v>0.84065806215397043</v>
      </c>
      <c r="DA87">
        <f t="shared" si="137"/>
        <v>0.16087005995716297</v>
      </c>
      <c r="DB87">
        <v>6</v>
      </c>
      <c r="DC87">
        <v>0.5</v>
      </c>
      <c r="DD87" t="s">
        <v>421</v>
      </c>
      <c r="DE87">
        <v>2</v>
      </c>
      <c r="DF87">
        <v>1689014125</v>
      </c>
      <c r="DG87">
        <v>424.31599999999997</v>
      </c>
      <c r="DH87">
        <v>500.24</v>
      </c>
      <c r="DI87">
        <v>27.986499999999999</v>
      </c>
      <c r="DJ87">
        <v>20.3306</v>
      </c>
      <c r="DK87">
        <v>424.64600000000002</v>
      </c>
      <c r="DL87">
        <v>27.850899999999999</v>
      </c>
      <c r="DM87">
        <v>500.07</v>
      </c>
      <c r="DN87">
        <v>99.148899999999998</v>
      </c>
      <c r="DO87">
        <v>9.8416900000000002E-2</v>
      </c>
      <c r="DP87">
        <v>29.903400000000001</v>
      </c>
      <c r="DQ87">
        <v>29.9863</v>
      </c>
      <c r="DR87">
        <v>999.9</v>
      </c>
      <c r="DS87">
        <v>0</v>
      </c>
      <c r="DT87">
        <v>0</v>
      </c>
      <c r="DU87">
        <v>9982.5</v>
      </c>
      <c r="DV87">
        <v>0</v>
      </c>
      <c r="DW87">
        <v>2028.09</v>
      </c>
      <c r="DX87">
        <v>-75.923299999999998</v>
      </c>
      <c r="DY87">
        <v>436.53300000000002</v>
      </c>
      <c r="DZ87">
        <v>510.62099999999998</v>
      </c>
      <c r="EA87">
        <v>7.6559299999999997</v>
      </c>
      <c r="EB87">
        <v>500.24</v>
      </c>
      <c r="EC87">
        <v>20.3306</v>
      </c>
      <c r="ED87">
        <v>2.7748300000000001</v>
      </c>
      <c r="EE87">
        <v>2.0157600000000002</v>
      </c>
      <c r="EF87">
        <v>22.735099999999999</v>
      </c>
      <c r="EG87">
        <v>17.5686</v>
      </c>
      <c r="EH87">
        <v>1799.83</v>
      </c>
      <c r="EI87">
        <v>0.97800200000000004</v>
      </c>
      <c r="EJ87">
        <v>2.19975E-2</v>
      </c>
      <c r="EK87">
        <v>0</v>
      </c>
      <c r="EL87">
        <v>829.36699999999996</v>
      </c>
      <c r="EM87">
        <v>4.9999900000000004</v>
      </c>
      <c r="EN87">
        <v>20935.3</v>
      </c>
      <c r="EO87">
        <v>15862.3</v>
      </c>
      <c r="EP87">
        <v>49.625</v>
      </c>
      <c r="EQ87">
        <v>51.5</v>
      </c>
      <c r="ER87">
        <v>50.25</v>
      </c>
      <c r="ES87">
        <v>50.75</v>
      </c>
      <c r="ET87">
        <v>51.25</v>
      </c>
      <c r="EU87">
        <v>1755.35</v>
      </c>
      <c r="EV87">
        <v>39.479999999999997</v>
      </c>
      <c r="EW87">
        <v>0</v>
      </c>
      <c r="EX87">
        <v>121.7999999523163</v>
      </c>
      <c r="EY87">
        <v>0</v>
      </c>
      <c r="EZ87">
        <v>829.42019999999991</v>
      </c>
      <c r="FA87">
        <v>1.7143846261826661</v>
      </c>
      <c r="FB87">
        <v>78.192308202841843</v>
      </c>
      <c r="FC87">
        <v>20946.64</v>
      </c>
      <c r="FD87">
        <v>15</v>
      </c>
      <c r="FE87">
        <v>1689014094</v>
      </c>
      <c r="FF87" t="s">
        <v>784</v>
      </c>
      <c r="FG87">
        <v>1689014088</v>
      </c>
      <c r="FH87">
        <v>1689014094</v>
      </c>
      <c r="FI87">
        <v>80</v>
      </c>
      <c r="FJ87">
        <v>-1.2999999999999999E-2</v>
      </c>
      <c r="FK87">
        <v>0</v>
      </c>
      <c r="FL87">
        <v>-0.32200000000000001</v>
      </c>
      <c r="FM87">
        <v>9.1999999999999998E-2</v>
      </c>
      <c r="FN87">
        <v>500</v>
      </c>
      <c r="FO87">
        <v>20</v>
      </c>
      <c r="FP87">
        <v>0.02</v>
      </c>
      <c r="FQ87">
        <v>0.01</v>
      </c>
      <c r="FR87">
        <v>60.581263192503059</v>
      </c>
      <c r="FS87">
        <v>-0.62962015760163392</v>
      </c>
      <c r="FT87">
        <v>5.7412883274710627E-2</v>
      </c>
      <c r="FU87">
        <v>1</v>
      </c>
      <c r="FV87">
        <v>0.45753117043353658</v>
      </c>
      <c r="FW87">
        <v>4.0484220105523612E-2</v>
      </c>
      <c r="FX87">
        <v>3.5701743032321592E-3</v>
      </c>
      <c r="FY87">
        <v>1</v>
      </c>
      <c r="FZ87">
        <v>2</v>
      </c>
      <c r="GA87">
        <v>2</v>
      </c>
      <c r="GB87" t="s">
        <v>423</v>
      </c>
      <c r="GC87">
        <v>2.9576799999999999</v>
      </c>
      <c r="GD87">
        <v>2.7415099999999999</v>
      </c>
      <c r="GE87">
        <v>9.2890399999999998E-2</v>
      </c>
      <c r="GF87">
        <v>0.1048</v>
      </c>
      <c r="GG87">
        <v>0.12848999999999999</v>
      </c>
      <c r="GH87">
        <v>0.102288</v>
      </c>
      <c r="GI87">
        <v>21279.9</v>
      </c>
      <c r="GJ87">
        <v>19569.2</v>
      </c>
      <c r="GK87">
        <v>23392.400000000001</v>
      </c>
      <c r="GL87">
        <v>21910.1</v>
      </c>
      <c r="GM87">
        <v>28757.599999999999</v>
      </c>
      <c r="GN87">
        <v>27449.8</v>
      </c>
      <c r="GO87">
        <v>36914.400000000001</v>
      </c>
      <c r="GP87">
        <v>34093.5</v>
      </c>
      <c r="GQ87">
        <v>1.9912000000000001</v>
      </c>
      <c r="GR87">
        <v>1.8033300000000001</v>
      </c>
      <c r="GS87">
        <v>-1.5348199999999999E-2</v>
      </c>
      <c r="GT87">
        <v>0</v>
      </c>
      <c r="GU87">
        <v>30.236000000000001</v>
      </c>
      <c r="GV87">
        <v>999.9</v>
      </c>
      <c r="GW87">
        <v>26.8</v>
      </c>
      <c r="GX87">
        <v>46.5</v>
      </c>
      <c r="GY87">
        <v>28.135200000000001</v>
      </c>
      <c r="GZ87">
        <v>60.545299999999997</v>
      </c>
      <c r="HA87">
        <v>38.834099999999999</v>
      </c>
      <c r="HB87">
        <v>1</v>
      </c>
      <c r="HC87">
        <v>0.56027899999999997</v>
      </c>
      <c r="HD87">
        <v>3.9077799999999998</v>
      </c>
      <c r="HE87">
        <v>20.066299999999998</v>
      </c>
      <c r="HF87">
        <v>5.2613200000000004</v>
      </c>
      <c r="HG87">
        <v>11.9634</v>
      </c>
      <c r="HH87">
        <v>4.9798</v>
      </c>
      <c r="HI87">
        <v>3.298</v>
      </c>
      <c r="HJ87">
        <v>9999</v>
      </c>
      <c r="HK87">
        <v>9999</v>
      </c>
      <c r="HL87">
        <v>9999</v>
      </c>
      <c r="HM87">
        <v>999.9</v>
      </c>
      <c r="HN87">
        <v>1.8644700000000001</v>
      </c>
      <c r="HO87">
        <v>1.86049</v>
      </c>
      <c r="HP87">
        <v>1.8670500000000001</v>
      </c>
      <c r="HQ87">
        <v>1.86371</v>
      </c>
      <c r="HR87">
        <v>1.8623499999999999</v>
      </c>
      <c r="HS87">
        <v>1.86236</v>
      </c>
      <c r="HT87">
        <v>1.86371</v>
      </c>
      <c r="HU87">
        <v>1.86493</v>
      </c>
      <c r="HV87">
        <v>0</v>
      </c>
      <c r="HW87">
        <v>0</v>
      </c>
      <c r="HX87">
        <v>0</v>
      </c>
      <c r="HY87">
        <v>0</v>
      </c>
      <c r="HZ87" t="s">
        <v>424</v>
      </c>
      <c r="IA87" t="s">
        <v>425</v>
      </c>
      <c r="IB87" t="s">
        <v>426</v>
      </c>
      <c r="IC87" t="s">
        <v>426</v>
      </c>
      <c r="ID87" t="s">
        <v>426</v>
      </c>
      <c r="IE87" t="s">
        <v>426</v>
      </c>
      <c r="IF87">
        <v>0</v>
      </c>
      <c r="IG87">
        <v>100</v>
      </c>
      <c r="IH87">
        <v>100</v>
      </c>
      <c r="II87">
        <v>-0.33</v>
      </c>
      <c r="IJ87">
        <v>0.1356</v>
      </c>
      <c r="IK87">
        <v>-0.33357891180139121</v>
      </c>
      <c r="IL87">
        <v>-8.3322953065825546E-5</v>
      </c>
      <c r="IM87">
        <v>2.3872336679552741E-7</v>
      </c>
      <c r="IN87">
        <v>-5.428329794194132E-11</v>
      </c>
      <c r="IO87">
        <v>0.13563512075114589</v>
      </c>
      <c r="IP87">
        <v>0</v>
      </c>
      <c r="IQ87">
        <v>0</v>
      </c>
      <c r="IR87">
        <v>0</v>
      </c>
      <c r="IS87">
        <v>2</v>
      </c>
      <c r="IT87">
        <v>2035</v>
      </c>
      <c r="IU87">
        <v>1</v>
      </c>
      <c r="IV87">
        <v>21</v>
      </c>
      <c r="IW87">
        <v>0.6</v>
      </c>
      <c r="IX87">
        <v>0.5</v>
      </c>
      <c r="IY87">
        <v>1.2854000000000001</v>
      </c>
      <c r="IZ87">
        <v>2.7282700000000002</v>
      </c>
      <c r="JA87">
        <v>1.4514199999999999</v>
      </c>
      <c r="JB87">
        <v>2.2778299999999998</v>
      </c>
      <c r="JC87">
        <v>1.5942400000000001</v>
      </c>
      <c r="JD87">
        <v>2.4145500000000002</v>
      </c>
      <c r="JE87">
        <v>49.642600000000002</v>
      </c>
      <c r="JF87">
        <v>23.982399999999998</v>
      </c>
      <c r="JG87">
        <v>18</v>
      </c>
      <c r="JH87">
        <v>511.279</v>
      </c>
      <c r="JI87">
        <v>424.15</v>
      </c>
      <c r="JJ87">
        <v>26.1952</v>
      </c>
      <c r="JK87">
        <v>34.0321</v>
      </c>
      <c r="JL87">
        <v>30.000499999999999</v>
      </c>
      <c r="JM87">
        <v>33.954099999999997</v>
      </c>
      <c r="JN87">
        <v>33.953600000000002</v>
      </c>
      <c r="JO87">
        <v>25.663499999999999</v>
      </c>
      <c r="JP87">
        <v>29.098299999999998</v>
      </c>
      <c r="JQ87">
        <v>0</v>
      </c>
      <c r="JR87">
        <v>26.200399999999998</v>
      </c>
      <c r="JS87">
        <v>500</v>
      </c>
      <c r="JT87">
        <v>20.197299999999998</v>
      </c>
      <c r="JU87">
        <v>98.936300000000003</v>
      </c>
      <c r="JV87">
        <v>98.342200000000005</v>
      </c>
    </row>
    <row r="88" spans="1:282" x14ac:dyDescent="0.25">
      <c r="A88">
        <v>72</v>
      </c>
      <c r="B88">
        <v>1689014238.5</v>
      </c>
      <c r="C88">
        <v>14897.900000095369</v>
      </c>
      <c r="D88" t="s">
        <v>785</v>
      </c>
      <c r="E88" t="s">
        <v>786</v>
      </c>
      <c r="F88" t="s">
        <v>414</v>
      </c>
      <c r="G88" t="s">
        <v>415</v>
      </c>
      <c r="H88" t="s">
        <v>731</v>
      </c>
      <c r="I88" t="s">
        <v>578</v>
      </c>
      <c r="J88" t="s">
        <v>416</v>
      </c>
      <c r="K88">
        <v>1689014238.5</v>
      </c>
      <c r="L88">
        <f t="shared" si="92"/>
        <v>6.2655400290592212E-3</v>
      </c>
      <c r="M88">
        <f t="shared" si="93"/>
        <v>6.2655400290592214</v>
      </c>
      <c r="N88">
        <f t="shared" si="94"/>
        <v>62.202612437354524</v>
      </c>
      <c r="O88">
        <f t="shared" si="95"/>
        <v>620.99</v>
      </c>
      <c r="P88">
        <f t="shared" si="96"/>
        <v>364.6800024361408</v>
      </c>
      <c r="Q88">
        <f t="shared" si="97"/>
        <v>36.193852088250715</v>
      </c>
      <c r="R88">
        <f t="shared" si="98"/>
        <v>61.632170829599005</v>
      </c>
      <c r="S88">
        <f t="shared" si="99"/>
        <v>0.43646440977265044</v>
      </c>
      <c r="T88">
        <f t="shared" si="100"/>
        <v>2.9130556092873614</v>
      </c>
      <c r="U88">
        <f t="shared" si="101"/>
        <v>0.40311865949556597</v>
      </c>
      <c r="V88">
        <f t="shared" si="102"/>
        <v>0.25473251330721414</v>
      </c>
      <c r="W88">
        <f t="shared" si="103"/>
        <v>289.54195201270039</v>
      </c>
      <c r="X88">
        <f t="shared" si="104"/>
        <v>30.007980878031571</v>
      </c>
      <c r="Y88">
        <f t="shared" si="105"/>
        <v>29.9924</v>
      </c>
      <c r="Z88">
        <f t="shared" si="106"/>
        <v>4.2585902789191197</v>
      </c>
      <c r="AA88">
        <f t="shared" si="107"/>
        <v>65.29468555065597</v>
      </c>
      <c r="AB88">
        <f t="shared" si="108"/>
        <v>2.7706339994416203</v>
      </c>
      <c r="AC88">
        <f t="shared" si="109"/>
        <v>4.243276426060965</v>
      </c>
      <c r="AD88">
        <f t="shared" si="110"/>
        <v>1.4879562794774994</v>
      </c>
      <c r="AE88">
        <f t="shared" si="111"/>
        <v>-276.31031528151163</v>
      </c>
      <c r="AF88">
        <f t="shared" si="112"/>
        <v>-9.8469506062952714</v>
      </c>
      <c r="AG88">
        <f t="shared" si="113"/>
        <v>-0.75131937494347822</v>
      </c>
      <c r="AH88">
        <f t="shared" si="114"/>
        <v>2.6333667499500084</v>
      </c>
      <c r="AI88">
        <v>0</v>
      </c>
      <c r="AJ88">
        <v>0</v>
      </c>
      <c r="AK88">
        <f t="shared" si="115"/>
        <v>1</v>
      </c>
      <c r="AL88">
        <f t="shared" si="116"/>
        <v>0</v>
      </c>
      <c r="AM88">
        <f t="shared" si="117"/>
        <v>51876.834546209669</v>
      </c>
      <c r="AN88" t="s">
        <v>418</v>
      </c>
      <c r="AO88">
        <v>8197.4</v>
      </c>
      <c r="AP88">
        <v>619.92999999999995</v>
      </c>
      <c r="AQ88">
        <v>3131.443117258741</v>
      </c>
      <c r="AR88">
        <f t="shared" si="118"/>
        <v>0.80203057287443702</v>
      </c>
      <c r="AS88">
        <v>-1.0448500102641549</v>
      </c>
      <c r="AT88" t="s">
        <v>787</v>
      </c>
      <c r="AU88">
        <v>8179.93</v>
      </c>
      <c r="AV88">
        <v>833.01738461538457</v>
      </c>
      <c r="AW88">
        <v>1352.3793394387251</v>
      </c>
      <c r="AX88">
        <f t="shared" si="119"/>
        <v>0.38403570631217288</v>
      </c>
      <c r="AY88">
        <v>0.5</v>
      </c>
      <c r="AZ88">
        <f t="shared" si="120"/>
        <v>1513.0584000065803</v>
      </c>
      <c r="BA88">
        <f t="shared" si="121"/>
        <v>62.202612437354524</v>
      </c>
      <c r="BB88">
        <f t="shared" si="122"/>
        <v>290.53422566904663</v>
      </c>
      <c r="BC88">
        <f t="shared" si="123"/>
        <v>4.1801071556354742E-2</v>
      </c>
      <c r="BD88">
        <f t="shared" si="124"/>
        <v>1.3155064750977168</v>
      </c>
      <c r="BE88">
        <f t="shared" si="125"/>
        <v>491.84006163660462</v>
      </c>
      <c r="BF88" t="s">
        <v>788</v>
      </c>
      <c r="BG88">
        <v>640.38</v>
      </c>
      <c r="BH88">
        <f t="shared" si="126"/>
        <v>640.38</v>
      </c>
      <c r="BI88">
        <f t="shared" si="127"/>
        <v>0.52647901271120023</v>
      </c>
      <c r="BJ88">
        <f t="shared" si="128"/>
        <v>0.72944162452841288</v>
      </c>
      <c r="BK88">
        <f t="shared" si="129"/>
        <v>0.71417852301460927</v>
      </c>
      <c r="BL88">
        <f t="shared" si="130"/>
        <v>0.70907559998801672</v>
      </c>
      <c r="BM88">
        <f t="shared" si="131"/>
        <v>0.7083633231276224</v>
      </c>
      <c r="BN88">
        <f t="shared" si="132"/>
        <v>0.56075639733639004</v>
      </c>
      <c r="BO88">
        <f t="shared" si="133"/>
        <v>0.43924360266360996</v>
      </c>
      <c r="BP88">
        <v>13712</v>
      </c>
      <c r="BQ88">
        <v>290.00000000000011</v>
      </c>
      <c r="BR88">
        <v>1182.3900000000001</v>
      </c>
      <c r="BS88">
        <v>295</v>
      </c>
      <c r="BT88">
        <v>8179.93</v>
      </c>
      <c r="BU88">
        <v>1185.5999999999999</v>
      </c>
      <c r="BV88">
        <v>-3.21</v>
      </c>
      <c r="BW88">
        <v>300.00000000000011</v>
      </c>
      <c r="BX88">
        <v>19.3</v>
      </c>
      <c r="BY88">
        <v>1352.3793394387251</v>
      </c>
      <c r="BZ88">
        <v>5.2378215536817567</v>
      </c>
      <c r="CA88">
        <v>-136.4236441156703</v>
      </c>
      <c r="CB88">
        <v>3.934484939571282</v>
      </c>
      <c r="CC88">
        <v>0.97724084548142209</v>
      </c>
      <c r="CD88">
        <v>-4.2372393770856564E-3</v>
      </c>
      <c r="CE88">
        <v>289.99999999999989</v>
      </c>
      <c r="CF88">
        <v>1177.46</v>
      </c>
      <c r="CG88">
        <v>645</v>
      </c>
      <c r="CH88">
        <v>8169.24</v>
      </c>
      <c r="CI88">
        <v>1185.3800000000001</v>
      </c>
      <c r="CJ88">
        <v>-7.92</v>
      </c>
      <c r="CX88">
        <f t="shared" si="134"/>
        <v>1799.85</v>
      </c>
      <c r="CY88">
        <f t="shared" si="135"/>
        <v>1513.0584000065803</v>
      </c>
      <c r="CZ88">
        <f t="shared" si="136"/>
        <v>0.8406580548415592</v>
      </c>
      <c r="DA88">
        <f t="shared" si="137"/>
        <v>0.16087004584420947</v>
      </c>
      <c r="DB88">
        <v>6</v>
      </c>
      <c r="DC88">
        <v>0.5</v>
      </c>
      <c r="DD88" t="s">
        <v>421</v>
      </c>
      <c r="DE88">
        <v>2</v>
      </c>
      <c r="DF88">
        <v>1689014238.5</v>
      </c>
      <c r="DG88">
        <v>620.99</v>
      </c>
      <c r="DH88">
        <v>700.28200000000004</v>
      </c>
      <c r="DI88">
        <v>27.9162</v>
      </c>
      <c r="DJ88">
        <v>20.609300000000001</v>
      </c>
      <c r="DK88">
        <v>621.25199999999995</v>
      </c>
      <c r="DL88">
        <v>27.782399999999999</v>
      </c>
      <c r="DM88">
        <v>500.12700000000001</v>
      </c>
      <c r="DN88">
        <v>99.149500000000003</v>
      </c>
      <c r="DO88">
        <v>9.8750099999999993E-2</v>
      </c>
      <c r="DP88">
        <v>29.9297</v>
      </c>
      <c r="DQ88">
        <v>29.9924</v>
      </c>
      <c r="DR88">
        <v>999.9</v>
      </c>
      <c r="DS88">
        <v>0</v>
      </c>
      <c r="DT88">
        <v>0</v>
      </c>
      <c r="DU88">
        <v>9991.25</v>
      </c>
      <c r="DV88">
        <v>0</v>
      </c>
      <c r="DW88">
        <v>1993.45</v>
      </c>
      <c r="DX88">
        <v>-79.292699999999996</v>
      </c>
      <c r="DY88">
        <v>638.82299999999998</v>
      </c>
      <c r="DZ88">
        <v>715.01800000000003</v>
      </c>
      <c r="EA88">
        <v>7.3068799999999996</v>
      </c>
      <c r="EB88">
        <v>700.28200000000004</v>
      </c>
      <c r="EC88">
        <v>20.609300000000001</v>
      </c>
      <c r="ED88">
        <v>2.7678699999999998</v>
      </c>
      <c r="EE88">
        <v>2.0434000000000001</v>
      </c>
      <c r="EF88">
        <v>22.6937</v>
      </c>
      <c r="EG88">
        <v>17.784700000000001</v>
      </c>
      <c r="EH88">
        <v>1799.85</v>
      </c>
      <c r="EI88">
        <v>0.97800600000000004</v>
      </c>
      <c r="EJ88">
        <v>2.1994400000000001E-2</v>
      </c>
      <c r="EK88">
        <v>0</v>
      </c>
      <c r="EL88">
        <v>833.37</v>
      </c>
      <c r="EM88">
        <v>4.9999900000000004</v>
      </c>
      <c r="EN88">
        <v>20966.400000000001</v>
      </c>
      <c r="EO88">
        <v>15862.5</v>
      </c>
      <c r="EP88">
        <v>49.875</v>
      </c>
      <c r="EQ88">
        <v>51.5</v>
      </c>
      <c r="ER88">
        <v>50.436999999999998</v>
      </c>
      <c r="ES88">
        <v>50.811999999999998</v>
      </c>
      <c r="ET88">
        <v>51.436999999999998</v>
      </c>
      <c r="EU88">
        <v>1755.37</v>
      </c>
      <c r="EV88">
        <v>39.479999999999997</v>
      </c>
      <c r="EW88">
        <v>0</v>
      </c>
      <c r="EX88">
        <v>111.5999999046326</v>
      </c>
      <c r="EY88">
        <v>0</v>
      </c>
      <c r="EZ88">
        <v>833.01738461538457</v>
      </c>
      <c r="FA88">
        <v>2.4659828982785319</v>
      </c>
      <c r="FB88">
        <v>98.940170076394352</v>
      </c>
      <c r="FC88">
        <v>20931.73076923077</v>
      </c>
      <c r="FD88">
        <v>15</v>
      </c>
      <c r="FE88">
        <v>1689014208.5</v>
      </c>
      <c r="FF88" t="s">
        <v>789</v>
      </c>
      <c r="FG88">
        <v>1689014195.5</v>
      </c>
      <c r="FH88">
        <v>1689014208.5</v>
      </c>
      <c r="FI88">
        <v>81</v>
      </c>
      <c r="FJ88">
        <v>4.2999999999999997E-2</v>
      </c>
      <c r="FK88">
        <v>-2E-3</v>
      </c>
      <c r="FL88">
        <v>-0.25</v>
      </c>
      <c r="FM88">
        <v>9.9000000000000005E-2</v>
      </c>
      <c r="FN88">
        <v>700</v>
      </c>
      <c r="FO88">
        <v>20</v>
      </c>
      <c r="FP88">
        <v>0.02</v>
      </c>
      <c r="FQ88">
        <v>0.01</v>
      </c>
      <c r="FR88">
        <v>62.131568792427657</v>
      </c>
      <c r="FS88">
        <v>-0.28238199139395243</v>
      </c>
      <c r="FT88">
        <v>8.7098702278364387E-2</v>
      </c>
      <c r="FU88">
        <v>1</v>
      </c>
      <c r="FV88">
        <v>0.43219760064987889</v>
      </c>
      <c r="FW88">
        <v>4.1677079622979819E-2</v>
      </c>
      <c r="FX88">
        <v>3.6406674365720938E-3</v>
      </c>
      <c r="FY88">
        <v>1</v>
      </c>
      <c r="FZ88">
        <v>2</v>
      </c>
      <c r="GA88">
        <v>2</v>
      </c>
      <c r="GB88" t="s">
        <v>423</v>
      </c>
      <c r="GC88">
        <v>2.9576799999999999</v>
      </c>
      <c r="GD88">
        <v>2.7418999999999998</v>
      </c>
      <c r="GE88">
        <v>0.122528</v>
      </c>
      <c r="GF88">
        <v>0.13287299999999999</v>
      </c>
      <c r="GG88">
        <v>0.12823399999999999</v>
      </c>
      <c r="GH88">
        <v>0.103242</v>
      </c>
      <c r="GI88">
        <v>20576.599999999999</v>
      </c>
      <c r="GJ88">
        <v>18947.900000000001</v>
      </c>
      <c r="GK88">
        <v>23383.7</v>
      </c>
      <c r="GL88">
        <v>21901.9</v>
      </c>
      <c r="GM88">
        <v>28758.400000000001</v>
      </c>
      <c r="GN88">
        <v>27412.799999999999</v>
      </c>
      <c r="GO88">
        <v>36901.1</v>
      </c>
      <c r="GP88">
        <v>34081.699999999997</v>
      </c>
      <c r="GQ88">
        <v>1.9897499999999999</v>
      </c>
      <c r="GR88">
        <v>1.8009500000000001</v>
      </c>
      <c r="GS88">
        <v>-8.0838799999999999E-3</v>
      </c>
      <c r="GT88">
        <v>0</v>
      </c>
      <c r="GU88">
        <v>30.123899999999999</v>
      </c>
      <c r="GV88">
        <v>999.9</v>
      </c>
      <c r="GW88">
        <v>26.8</v>
      </c>
      <c r="GX88">
        <v>46.7</v>
      </c>
      <c r="GY88">
        <v>28.4253</v>
      </c>
      <c r="GZ88">
        <v>60.735300000000002</v>
      </c>
      <c r="HA88">
        <v>38.561700000000002</v>
      </c>
      <c r="HB88">
        <v>1</v>
      </c>
      <c r="HC88">
        <v>0.57364599999999999</v>
      </c>
      <c r="HD88">
        <v>3.48278</v>
      </c>
      <c r="HE88">
        <v>20.076599999999999</v>
      </c>
      <c r="HF88">
        <v>5.26431</v>
      </c>
      <c r="HG88">
        <v>11.962199999999999</v>
      </c>
      <c r="HH88">
        <v>4.9797500000000001</v>
      </c>
      <c r="HI88">
        <v>3.298</v>
      </c>
      <c r="HJ88">
        <v>9999</v>
      </c>
      <c r="HK88">
        <v>9999</v>
      </c>
      <c r="HL88">
        <v>9999</v>
      </c>
      <c r="HM88">
        <v>999.9</v>
      </c>
      <c r="HN88">
        <v>1.8644700000000001</v>
      </c>
      <c r="HO88">
        <v>1.86049</v>
      </c>
      <c r="HP88">
        <v>1.86704</v>
      </c>
      <c r="HQ88">
        <v>1.86371</v>
      </c>
      <c r="HR88">
        <v>1.8623499999999999</v>
      </c>
      <c r="HS88">
        <v>1.86239</v>
      </c>
      <c r="HT88">
        <v>1.86371</v>
      </c>
      <c r="HU88">
        <v>1.86493</v>
      </c>
      <c r="HV88">
        <v>0</v>
      </c>
      <c r="HW88">
        <v>0</v>
      </c>
      <c r="HX88">
        <v>0</v>
      </c>
      <c r="HY88">
        <v>0</v>
      </c>
      <c r="HZ88" t="s">
        <v>424</v>
      </c>
      <c r="IA88" t="s">
        <v>425</v>
      </c>
      <c r="IB88" t="s">
        <v>426</v>
      </c>
      <c r="IC88" t="s">
        <v>426</v>
      </c>
      <c r="ID88" t="s">
        <v>426</v>
      </c>
      <c r="IE88" t="s">
        <v>426</v>
      </c>
      <c r="IF88">
        <v>0</v>
      </c>
      <c r="IG88">
        <v>100</v>
      </c>
      <c r="IH88">
        <v>100</v>
      </c>
      <c r="II88">
        <v>-0.26200000000000001</v>
      </c>
      <c r="IJ88">
        <v>0.1338</v>
      </c>
      <c r="IK88">
        <v>-0.29020226529157772</v>
      </c>
      <c r="IL88">
        <v>-8.3322953065825546E-5</v>
      </c>
      <c r="IM88">
        <v>2.3872336679552741E-7</v>
      </c>
      <c r="IN88">
        <v>-5.428329794194132E-11</v>
      </c>
      <c r="IO88">
        <v>0.1337734294264204</v>
      </c>
      <c r="IP88">
        <v>0</v>
      </c>
      <c r="IQ88">
        <v>0</v>
      </c>
      <c r="IR88">
        <v>0</v>
      </c>
      <c r="IS88">
        <v>2</v>
      </c>
      <c r="IT88">
        <v>2035</v>
      </c>
      <c r="IU88">
        <v>1</v>
      </c>
      <c r="IV88">
        <v>21</v>
      </c>
      <c r="IW88">
        <v>0.7</v>
      </c>
      <c r="IX88">
        <v>0.5</v>
      </c>
      <c r="IY88">
        <v>1.6906699999999999</v>
      </c>
      <c r="IZ88">
        <v>2.7233900000000002</v>
      </c>
      <c r="JA88">
        <v>1.4526399999999999</v>
      </c>
      <c r="JB88">
        <v>2.2766099999999998</v>
      </c>
      <c r="JC88">
        <v>1.5942400000000001</v>
      </c>
      <c r="JD88">
        <v>2.3645</v>
      </c>
      <c r="JE88">
        <v>49.8018</v>
      </c>
      <c r="JF88">
        <v>23.973700000000001</v>
      </c>
      <c r="JG88">
        <v>18</v>
      </c>
      <c r="JH88">
        <v>511.43099999999998</v>
      </c>
      <c r="JI88">
        <v>423.50599999999997</v>
      </c>
      <c r="JJ88">
        <v>26.541599999999999</v>
      </c>
      <c r="JK88">
        <v>34.1614</v>
      </c>
      <c r="JL88">
        <v>30.000399999999999</v>
      </c>
      <c r="JM88">
        <v>34.084200000000003</v>
      </c>
      <c r="JN88">
        <v>34.080399999999997</v>
      </c>
      <c r="JO88">
        <v>33.794899999999998</v>
      </c>
      <c r="JP88">
        <v>28.968499999999999</v>
      </c>
      <c r="JQ88">
        <v>0</v>
      </c>
      <c r="JR88">
        <v>26.543099999999999</v>
      </c>
      <c r="JS88">
        <v>700</v>
      </c>
      <c r="JT88">
        <v>20.467500000000001</v>
      </c>
      <c r="JU88">
        <v>98.900199999999998</v>
      </c>
      <c r="JV88">
        <v>98.307100000000005</v>
      </c>
    </row>
    <row r="89" spans="1:282" x14ac:dyDescent="0.25">
      <c r="A89">
        <v>73</v>
      </c>
      <c r="B89">
        <v>1689014354</v>
      </c>
      <c r="C89">
        <v>15013.400000095369</v>
      </c>
      <c r="D89" t="s">
        <v>790</v>
      </c>
      <c r="E89" t="s">
        <v>791</v>
      </c>
      <c r="F89" t="s">
        <v>414</v>
      </c>
      <c r="G89" t="s">
        <v>415</v>
      </c>
      <c r="H89" t="s">
        <v>731</v>
      </c>
      <c r="I89" t="s">
        <v>578</v>
      </c>
      <c r="J89" t="s">
        <v>416</v>
      </c>
      <c r="K89">
        <v>1689014354</v>
      </c>
      <c r="L89">
        <f t="shared" si="92"/>
        <v>5.5626660342688056E-3</v>
      </c>
      <c r="M89">
        <f t="shared" si="93"/>
        <v>5.5626660342688057</v>
      </c>
      <c r="N89">
        <f t="shared" si="94"/>
        <v>62.458546807019871</v>
      </c>
      <c r="O89">
        <f t="shared" si="95"/>
        <v>819.66300000000001</v>
      </c>
      <c r="P89">
        <f t="shared" si="96"/>
        <v>524.95569462325818</v>
      </c>
      <c r="Q89">
        <f t="shared" si="97"/>
        <v>52.101499763644874</v>
      </c>
      <c r="R89">
        <f t="shared" si="98"/>
        <v>81.351001690565099</v>
      </c>
      <c r="S89">
        <f t="shared" si="99"/>
        <v>0.38167735186335622</v>
      </c>
      <c r="T89">
        <f t="shared" si="100"/>
        <v>2.9150417263111459</v>
      </c>
      <c r="U89">
        <f t="shared" si="101"/>
        <v>0.35592910178570847</v>
      </c>
      <c r="V89">
        <f t="shared" si="102"/>
        <v>0.22462415410166503</v>
      </c>
      <c r="W89">
        <f t="shared" si="103"/>
        <v>289.58025601269873</v>
      </c>
      <c r="X89">
        <f t="shared" si="104"/>
        <v>30.202022373502256</v>
      </c>
      <c r="Y89">
        <f t="shared" si="105"/>
        <v>29.990400000000001</v>
      </c>
      <c r="Z89">
        <f t="shared" si="106"/>
        <v>4.2581010560962103</v>
      </c>
      <c r="AA89">
        <f t="shared" si="107"/>
        <v>65.047589751158014</v>
      </c>
      <c r="AB89">
        <f t="shared" si="108"/>
        <v>2.7618308917734398</v>
      </c>
      <c r="AC89">
        <f t="shared" si="109"/>
        <v>4.2458619947932386</v>
      </c>
      <c r="AD89">
        <f t="shared" si="110"/>
        <v>1.4962701643227705</v>
      </c>
      <c r="AE89">
        <f t="shared" si="111"/>
        <v>-245.31357211125433</v>
      </c>
      <c r="AF89">
        <f t="shared" si="112"/>
        <v>-7.8735020503992876</v>
      </c>
      <c r="AG89">
        <f t="shared" si="113"/>
        <v>-0.60036209425340492</v>
      </c>
      <c r="AH89">
        <f t="shared" si="114"/>
        <v>35.792819756791708</v>
      </c>
      <c r="AI89">
        <v>0</v>
      </c>
      <c r="AJ89">
        <v>0</v>
      </c>
      <c r="AK89">
        <f t="shared" si="115"/>
        <v>1</v>
      </c>
      <c r="AL89">
        <f t="shared" si="116"/>
        <v>0</v>
      </c>
      <c r="AM89">
        <f t="shared" si="117"/>
        <v>51931.569342134506</v>
      </c>
      <c r="AN89" t="s">
        <v>418</v>
      </c>
      <c r="AO89">
        <v>8197.4</v>
      </c>
      <c r="AP89">
        <v>619.92999999999995</v>
      </c>
      <c r="AQ89">
        <v>3131.443117258741</v>
      </c>
      <c r="AR89">
        <f t="shared" si="118"/>
        <v>0.80203057287443702</v>
      </c>
      <c r="AS89">
        <v>-1.0448500102641549</v>
      </c>
      <c r="AT89" t="s">
        <v>792</v>
      </c>
      <c r="AU89">
        <v>8181.38</v>
      </c>
      <c r="AV89">
        <v>830.04834615384607</v>
      </c>
      <c r="AW89">
        <v>1365.0402826310201</v>
      </c>
      <c r="AX89">
        <f t="shared" si="119"/>
        <v>0.39192391849859132</v>
      </c>
      <c r="AY89">
        <v>0.5</v>
      </c>
      <c r="AZ89">
        <f t="shared" si="120"/>
        <v>1513.2600000065795</v>
      </c>
      <c r="BA89">
        <f t="shared" si="121"/>
        <v>62.458546807019871</v>
      </c>
      <c r="BB89">
        <f t="shared" si="122"/>
        <v>296.54139445487846</v>
      </c>
      <c r="BC89">
        <f t="shared" si="123"/>
        <v>4.1964630543996351E-2</v>
      </c>
      <c r="BD89">
        <f t="shared" si="124"/>
        <v>1.2940298224921996</v>
      </c>
      <c r="BE89">
        <f t="shared" si="125"/>
        <v>493.50476676430685</v>
      </c>
      <c r="BF89" t="s">
        <v>793</v>
      </c>
      <c r="BG89">
        <v>638.92999999999995</v>
      </c>
      <c r="BH89">
        <f t="shared" si="126"/>
        <v>638.92999999999995</v>
      </c>
      <c r="BI89">
        <f t="shared" si="127"/>
        <v>0.53193322707773372</v>
      </c>
      <c r="BJ89">
        <f t="shared" si="128"/>
        <v>0.73679157185140054</v>
      </c>
      <c r="BK89">
        <f t="shared" si="129"/>
        <v>0.70868346585489816</v>
      </c>
      <c r="BL89">
        <f t="shared" si="130"/>
        <v>0.71800369549067533</v>
      </c>
      <c r="BM89">
        <f t="shared" si="131"/>
        <v>0.70332216164401684</v>
      </c>
      <c r="BN89">
        <f t="shared" si="132"/>
        <v>0.56714556589907617</v>
      </c>
      <c r="BO89">
        <f t="shared" si="133"/>
        <v>0.43285443410092383</v>
      </c>
      <c r="BP89">
        <v>13714</v>
      </c>
      <c r="BQ89">
        <v>290.00000000000011</v>
      </c>
      <c r="BR89">
        <v>1183.9100000000001</v>
      </c>
      <c r="BS89">
        <v>265</v>
      </c>
      <c r="BT89">
        <v>8181.38</v>
      </c>
      <c r="BU89">
        <v>1188.18</v>
      </c>
      <c r="BV89">
        <v>-4.2699999999999996</v>
      </c>
      <c r="BW89">
        <v>300.00000000000011</v>
      </c>
      <c r="BX89">
        <v>19.3</v>
      </c>
      <c r="BY89">
        <v>1365.0402826310201</v>
      </c>
      <c r="BZ89">
        <v>5.4868917374219004</v>
      </c>
      <c r="CA89">
        <v>-144.6976040450063</v>
      </c>
      <c r="CB89">
        <v>4.1215882400225929</v>
      </c>
      <c r="CC89">
        <v>0.97778692007972801</v>
      </c>
      <c r="CD89">
        <v>-4.237260734149058E-3</v>
      </c>
      <c r="CE89">
        <v>289.99999999999989</v>
      </c>
      <c r="CF89">
        <v>1179.3800000000001</v>
      </c>
      <c r="CG89">
        <v>665</v>
      </c>
      <c r="CH89">
        <v>8168.6</v>
      </c>
      <c r="CI89">
        <v>1187.9000000000001</v>
      </c>
      <c r="CJ89">
        <v>-8.52</v>
      </c>
      <c r="CX89">
        <f t="shared" si="134"/>
        <v>1800.09</v>
      </c>
      <c r="CY89">
        <f t="shared" si="135"/>
        <v>1513.2600000065795</v>
      </c>
      <c r="CZ89">
        <f t="shared" si="136"/>
        <v>0.84065796710530005</v>
      </c>
      <c r="DA89">
        <f t="shared" si="137"/>
        <v>0.1608698765132292</v>
      </c>
      <c r="DB89">
        <v>6</v>
      </c>
      <c r="DC89">
        <v>0.5</v>
      </c>
      <c r="DD89" t="s">
        <v>421</v>
      </c>
      <c r="DE89">
        <v>2</v>
      </c>
      <c r="DF89">
        <v>1689014354</v>
      </c>
      <c r="DG89">
        <v>819.66300000000001</v>
      </c>
      <c r="DH89">
        <v>900.09400000000005</v>
      </c>
      <c r="DI89">
        <v>27.827200000000001</v>
      </c>
      <c r="DJ89">
        <v>21.337</v>
      </c>
      <c r="DK89">
        <v>819.99</v>
      </c>
      <c r="DL89">
        <v>27.694700000000001</v>
      </c>
      <c r="DM89">
        <v>499.94200000000001</v>
      </c>
      <c r="DN89">
        <v>99.150499999999994</v>
      </c>
      <c r="DO89">
        <v>9.8827700000000004E-2</v>
      </c>
      <c r="DP89">
        <v>29.940300000000001</v>
      </c>
      <c r="DQ89">
        <v>29.990400000000001</v>
      </c>
      <c r="DR89">
        <v>999.9</v>
      </c>
      <c r="DS89">
        <v>0</v>
      </c>
      <c r="DT89">
        <v>0</v>
      </c>
      <c r="DU89">
        <v>10002.5</v>
      </c>
      <c r="DV89">
        <v>0</v>
      </c>
      <c r="DW89">
        <v>1965.97</v>
      </c>
      <c r="DX89">
        <v>-80.430999999999997</v>
      </c>
      <c r="DY89">
        <v>843.125</v>
      </c>
      <c r="DZ89">
        <v>919.71799999999996</v>
      </c>
      <c r="EA89">
        <v>6.4901999999999997</v>
      </c>
      <c r="EB89">
        <v>900.09400000000005</v>
      </c>
      <c r="EC89">
        <v>21.337</v>
      </c>
      <c r="ED89">
        <v>2.75908</v>
      </c>
      <c r="EE89">
        <v>2.11558</v>
      </c>
      <c r="EF89">
        <v>22.641300000000001</v>
      </c>
      <c r="EG89">
        <v>18.337</v>
      </c>
      <c r="EH89">
        <v>1800.09</v>
      </c>
      <c r="EI89">
        <v>0.97800900000000002</v>
      </c>
      <c r="EJ89">
        <v>2.1991299999999998E-2</v>
      </c>
      <c r="EK89">
        <v>0</v>
      </c>
      <c r="EL89">
        <v>830.13499999999999</v>
      </c>
      <c r="EM89">
        <v>4.9999900000000004</v>
      </c>
      <c r="EN89">
        <v>20839.3</v>
      </c>
      <c r="EO89">
        <v>15864.7</v>
      </c>
      <c r="EP89">
        <v>49.811999999999998</v>
      </c>
      <c r="EQ89">
        <v>51.311999999999998</v>
      </c>
      <c r="ER89">
        <v>50.375</v>
      </c>
      <c r="ES89">
        <v>50.686999999999998</v>
      </c>
      <c r="ET89">
        <v>51.375</v>
      </c>
      <c r="EU89">
        <v>1755.61</v>
      </c>
      <c r="EV89">
        <v>39.479999999999997</v>
      </c>
      <c r="EW89">
        <v>0</v>
      </c>
      <c r="EX89">
        <v>113.5999999046326</v>
      </c>
      <c r="EY89">
        <v>0</v>
      </c>
      <c r="EZ89">
        <v>830.04834615384607</v>
      </c>
      <c r="FA89">
        <v>-0.6063247879682726</v>
      </c>
      <c r="FB89">
        <v>-95.979489025991626</v>
      </c>
      <c r="FC89">
        <v>20811.653846153851</v>
      </c>
      <c r="FD89">
        <v>15</v>
      </c>
      <c r="FE89">
        <v>1689014323.5</v>
      </c>
      <c r="FF89" t="s">
        <v>794</v>
      </c>
      <c r="FG89">
        <v>1689014323.5</v>
      </c>
      <c r="FH89">
        <v>1689014317.5</v>
      </c>
      <c r="FI89">
        <v>82</v>
      </c>
      <c r="FJ89">
        <v>-0.1</v>
      </c>
      <c r="FK89">
        <v>-1E-3</v>
      </c>
      <c r="FL89">
        <v>-0.311</v>
      </c>
      <c r="FM89">
        <v>0.111</v>
      </c>
      <c r="FN89">
        <v>900</v>
      </c>
      <c r="FO89">
        <v>21</v>
      </c>
      <c r="FP89">
        <v>0.04</v>
      </c>
      <c r="FQ89">
        <v>0.02</v>
      </c>
      <c r="FR89">
        <v>62.523554217256667</v>
      </c>
      <c r="FS89">
        <v>-0.59997831640087118</v>
      </c>
      <c r="FT89">
        <v>8.345266890616683E-2</v>
      </c>
      <c r="FU89">
        <v>1</v>
      </c>
      <c r="FV89">
        <v>0.38315148498991553</v>
      </c>
      <c r="FW89">
        <v>6.3247362056583446E-3</v>
      </c>
      <c r="FX89">
        <v>9.0458780664449739E-4</v>
      </c>
      <c r="FY89">
        <v>1</v>
      </c>
      <c r="FZ89">
        <v>2</v>
      </c>
      <c r="GA89">
        <v>2</v>
      </c>
      <c r="GB89" t="s">
        <v>423</v>
      </c>
      <c r="GC89">
        <v>2.9571399999999999</v>
      </c>
      <c r="GD89">
        <v>2.7420900000000001</v>
      </c>
      <c r="GE89">
        <v>0.14797099999999999</v>
      </c>
      <c r="GF89">
        <v>0.15701599999999999</v>
      </c>
      <c r="GG89">
        <v>0.12793599999999999</v>
      </c>
      <c r="GH89">
        <v>0.105766</v>
      </c>
      <c r="GI89">
        <v>19978.8</v>
      </c>
      <c r="GJ89">
        <v>18419.099999999999</v>
      </c>
      <c r="GK89">
        <v>23382.9</v>
      </c>
      <c r="GL89">
        <v>21901.1</v>
      </c>
      <c r="GM89">
        <v>28769.599999999999</v>
      </c>
      <c r="GN89">
        <v>27336.2</v>
      </c>
      <c r="GO89">
        <v>36900.199999999997</v>
      </c>
      <c r="GP89">
        <v>34081.300000000003</v>
      </c>
      <c r="GQ89">
        <v>1.9885299999999999</v>
      </c>
      <c r="GR89">
        <v>1.80175</v>
      </c>
      <c r="GS89">
        <v>5.6251900000000004E-3</v>
      </c>
      <c r="GT89">
        <v>0</v>
      </c>
      <c r="GU89">
        <v>29.898900000000001</v>
      </c>
      <c r="GV89">
        <v>999.9</v>
      </c>
      <c r="GW89">
        <v>26.7</v>
      </c>
      <c r="GX89">
        <v>46.8</v>
      </c>
      <c r="GY89">
        <v>28.465399999999999</v>
      </c>
      <c r="GZ89">
        <v>60.085299999999997</v>
      </c>
      <c r="HA89">
        <v>39.375</v>
      </c>
      <c r="HB89">
        <v>1</v>
      </c>
      <c r="HC89">
        <v>0.57525700000000002</v>
      </c>
      <c r="HD89">
        <v>3.2869100000000002</v>
      </c>
      <c r="HE89">
        <v>20.080400000000001</v>
      </c>
      <c r="HF89">
        <v>5.2632599999999998</v>
      </c>
      <c r="HG89">
        <v>11.962300000000001</v>
      </c>
      <c r="HH89">
        <v>4.9797000000000002</v>
      </c>
      <c r="HI89">
        <v>3.2979799999999999</v>
      </c>
      <c r="HJ89">
        <v>9999</v>
      </c>
      <c r="HK89">
        <v>9999</v>
      </c>
      <c r="HL89">
        <v>9999</v>
      </c>
      <c r="HM89">
        <v>999.9</v>
      </c>
      <c r="HN89">
        <v>1.8644700000000001</v>
      </c>
      <c r="HO89">
        <v>1.86049</v>
      </c>
      <c r="HP89">
        <v>1.86704</v>
      </c>
      <c r="HQ89">
        <v>1.86371</v>
      </c>
      <c r="HR89">
        <v>1.86236</v>
      </c>
      <c r="HS89">
        <v>1.86239</v>
      </c>
      <c r="HT89">
        <v>1.8636999999999999</v>
      </c>
      <c r="HU89">
        <v>1.86493</v>
      </c>
      <c r="HV89">
        <v>0</v>
      </c>
      <c r="HW89">
        <v>0</v>
      </c>
      <c r="HX89">
        <v>0</v>
      </c>
      <c r="HY89">
        <v>0</v>
      </c>
      <c r="HZ89" t="s">
        <v>424</v>
      </c>
      <c r="IA89" t="s">
        <v>425</v>
      </c>
      <c r="IB89" t="s">
        <v>426</v>
      </c>
      <c r="IC89" t="s">
        <v>426</v>
      </c>
      <c r="ID89" t="s">
        <v>426</v>
      </c>
      <c r="IE89" t="s">
        <v>426</v>
      </c>
      <c r="IF89">
        <v>0</v>
      </c>
      <c r="IG89">
        <v>100</v>
      </c>
      <c r="IH89">
        <v>100</v>
      </c>
      <c r="II89">
        <v>-0.32700000000000001</v>
      </c>
      <c r="IJ89">
        <v>0.13250000000000001</v>
      </c>
      <c r="IK89">
        <v>-0.38978836856614851</v>
      </c>
      <c r="IL89">
        <v>-8.3322953065825546E-5</v>
      </c>
      <c r="IM89">
        <v>2.3872336679552741E-7</v>
      </c>
      <c r="IN89">
        <v>-5.428329794194132E-11</v>
      </c>
      <c r="IO89">
        <v>0.1324931495853586</v>
      </c>
      <c r="IP89">
        <v>0</v>
      </c>
      <c r="IQ89">
        <v>0</v>
      </c>
      <c r="IR89">
        <v>0</v>
      </c>
      <c r="IS89">
        <v>2</v>
      </c>
      <c r="IT89">
        <v>2035</v>
      </c>
      <c r="IU89">
        <v>1</v>
      </c>
      <c r="IV89">
        <v>21</v>
      </c>
      <c r="IW89">
        <v>0.5</v>
      </c>
      <c r="IX89">
        <v>0.6</v>
      </c>
      <c r="IY89">
        <v>2.0800800000000002</v>
      </c>
      <c r="IZ89">
        <v>2.7197300000000002</v>
      </c>
      <c r="JA89">
        <v>1.4514199999999999</v>
      </c>
      <c r="JB89">
        <v>2.2766099999999998</v>
      </c>
      <c r="JC89">
        <v>1.5942400000000001</v>
      </c>
      <c r="JD89">
        <v>2.3754900000000001</v>
      </c>
      <c r="JE89">
        <v>49.8337</v>
      </c>
      <c r="JF89">
        <v>23.982399999999998</v>
      </c>
      <c r="JG89">
        <v>18</v>
      </c>
      <c r="JH89">
        <v>511.197</v>
      </c>
      <c r="JI89">
        <v>424.553</v>
      </c>
      <c r="JJ89">
        <v>26.679099999999998</v>
      </c>
      <c r="JK89">
        <v>34.210099999999997</v>
      </c>
      <c r="JL89">
        <v>30.0002</v>
      </c>
      <c r="JM89">
        <v>34.151600000000002</v>
      </c>
      <c r="JN89">
        <v>34.1477</v>
      </c>
      <c r="JO89">
        <v>41.567999999999998</v>
      </c>
      <c r="JP89">
        <v>24.113299999999999</v>
      </c>
      <c r="JQ89">
        <v>0</v>
      </c>
      <c r="JR89">
        <v>26.676100000000002</v>
      </c>
      <c r="JS89">
        <v>900</v>
      </c>
      <c r="JT89">
        <v>21.3033</v>
      </c>
      <c r="JU89">
        <v>98.897300000000001</v>
      </c>
      <c r="JV89">
        <v>98.305099999999996</v>
      </c>
    </row>
    <row r="90" spans="1:282" x14ac:dyDescent="0.25">
      <c r="A90">
        <v>74</v>
      </c>
      <c r="B90">
        <v>1689014473</v>
      </c>
      <c r="C90">
        <v>15132.400000095369</v>
      </c>
      <c r="D90" t="s">
        <v>795</v>
      </c>
      <c r="E90" t="s">
        <v>796</v>
      </c>
      <c r="F90" t="s">
        <v>414</v>
      </c>
      <c r="G90" t="s">
        <v>415</v>
      </c>
      <c r="H90" t="s">
        <v>731</v>
      </c>
      <c r="I90" t="s">
        <v>578</v>
      </c>
      <c r="J90" t="s">
        <v>416</v>
      </c>
      <c r="K90">
        <v>1689014473</v>
      </c>
      <c r="L90">
        <f t="shared" si="92"/>
        <v>4.8464228167832014E-3</v>
      </c>
      <c r="M90">
        <f t="shared" si="93"/>
        <v>4.8464228167832015</v>
      </c>
      <c r="N90">
        <f t="shared" si="94"/>
        <v>62.276662496476071</v>
      </c>
      <c r="O90">
        <f t="shared" si="95"/>
        <v>1118.98</v>
      </c>
      <c r="P90">
        <f t="shared" si="96"/>
        <v>775.14647257008619</v>
      </c>
      <c r="Q90">
        <f t="shared" si="97"/>
        <v>76.930759417390078</v>
      </c>
      <c r="R90">
        <f t="shared" si="98"/>
        <v>111.05511567052601</v>
      </c>
      <c r="S90">
        <f t="shared" si="99"/>
        <v>0.32769634237560868</v>
      </c>
      <c r="T90">
        <f t="shared" si="100"/>
        <v>2.9207771125322752</v>
      </c>
      <c r="U90">
        <f t="shared" si="101"/>
        <v>0.30855528104236196</v>
      </c>
      <c r="V90">
        <f t="shared" si="102"/>
        <v>0.19447356362702106</v>
      </c>
      <c r="W90">
        <f t="shared" si="103"/>
        <v>289.57066731358117</v>
      </c>
      <c r="X90">
        <f t="shared" si="104"/>
        <v>30.266536453756803</v>
      </c>
      <c r="Y90">
        <f t="shared" si="105"/>
        <v>29.9863</v>
      </c>
      <c r="Z90">
        <f t="shared" si="106"/>
        <v>4.2570983024302977</v>
      </c>
      <c r="AA90">
        <f t="shared" si="107"/>
        <v>65.300907546236274</v>
      </c>
      <c r="AB90">
        <f t="shared" si="108"/>
        <v>2.7533030250154003</v>
      </c>
      <c r="AC90">
        <f t="shared" si="109"/>
        <v>4.2163319446455247</v>
      </c>
      <c r="AD90">
        <f t="shared" si="110"/>
        <v>1.5037952774148975</v>
      </c>
      <c r="AE90">
        <f t="shared" si="111"/>
        <v>-213.72724622013919</v>
      </c>
      <c r="AF90">
        <f t="shared" si="112"/>
        <v>-26.359630234646726</v>
      </c>
      <c r="AG90">
        <f t="shared" si="113"/>
        <v>-2.0047542437923149</v>
      </c>
      <c r="AH90">
        <f t="shared" si="114"/>
        <v>47.479036615002926</v>
      </c>
      <c r="AI90">
        <v>0</v>
      </c>
      <c r="AJ90">
        <v>0</v>
      </c>
      <c r="AK90">
        <f t="shared" si="115"/>
        <v>1</v>
      </c>
      <c r="AL90">
        <f t="shared" si="116"/>
        <v>0</v>
      </c>
      <c r="AM90">
        <f t="shared" si="117"/>
        <v>52115.772120827227</v>
      </c>
      <c r="AN90" t="s">
        <v>418</v>
      </c>
      <c r="AO90">
        <v>8197.4</v>
      </c>
      <c r="AP90">
        <v>619.92999999999995</v>
      </c>
      <c r="AQ90">
        <v>3131.443117258741</v>
      </c>
      <c r="AR90">
        <f t="shared" si="118"/>
        <v>0.80203057287443702</v>
      </c>
      <c r="AS90">
        <v>-1.0448500102641549</v>
      </c>
      <c r="AT90" t="s">
        <v>797</v>
      </c>
      <c r="AU90">
        <v>8179.72</v>
      </c>
      <c r="AV90">
        <v>826.13357692307682</v>
      </c>
      <c r="AW90">
        <v>1364.9042907423641</v>
      </c>
      <c r="AX90">
        <f t="shared" si="119"/>
        <v>0.39473149690682907</v>
      </c>
      <c r="AY90">
        <v>0.5</v>
      </c>
      <c r="AZ90">
        <f t="shared" si="120"/>
        <v>1513.2095934267259</v>
      </c>
      <c r="BA90">
        <f t="shared" si="121"/>
        <v>62.276662496476071</v>
      </c>
      <c r="BB90">
        <f t="shared" si="122"/>
        <v>298.65574397355283</v>
      </c>
      <c r="BC90">
        <f t="shared" si="123"/>
        <v>4.1845830730788611E-2</v>
      </c>
      <c r="BD90">
        <f t="shared" si="124"/>
        <v>1.2942583875647178</v>
      </c>
      <c r="BE90">
        <f t="shared" si="125"/>
        <v>493.48699083154469</v>
      </c>
      <c r="BF90" t="s">
        <v>798</v>
      </c>
      <c r="BG90">
        <v>638.11</v>
      </c>
      <c r="BH90">
        <f t="shared" si="126"/>
        <v>638.11</v>
      </c>
      <c r="BI90">
        <f t="shared" si="127"/>
        <v>0.5324873660900169</v>
      </c>
      <c r="BJ90">
        <f t="shared" si="128"/>
        <v>0.74129739416221163</v>
      </c>
      <c r="BK90">
        <f t="shared" si="129"/>
        <v>0.7085049383447698</v>
      </c>
      <c r="BL90">
        <f t="shared" si="130"/>
        <v>0.72320712340610338</v>
      </c>
      <c r="BM90">
        <f t="shared" si="131"/>
        <v>0.7033763090373637</v>
      </c>
      <c r="BN90">
        <f t="shared" si="132"/>
        <v>0.57258207801048344</v>
      </c>
      <c r="BO90">
        <f t="shared" si="133"/>
        <v>0.42741792198951656</v>
      </c>
      <c r="BP90">
        <v>13716</v>
      </c>
      <c r="BQ90">
        <v>290.00000000000011</v>
      </c>
      <c r="BR90">
        <v>1184.22</v>
      </c>
      <c r="BS90">
        <v>285</v>
      </c>
      <c r="BT90">
        <v>8179.72</v>
      </c>
      <c r="BU90">
        <v>1186.79</v>
      </c>
      <c r="BV90">
        <v>-2.57</v>
      </c>
      <c r="BW90">
        <v>300.00000000000011</v>
      </c>
      <c r="BX90">
        <v>19.3</v>
      </c>
      <c r="BY90">
        <v>1364.9042907423641</v>
      </c>
      <c r="BZ90">
        <v>4.6030256239235676</v>
      </c>
      <c r="CA90">
        <v>-145.69113251994941</v>
      </c>
      <c r="CB90">
        <v>3.4575607858308728</v>
      </c>
      <c r="CC90">
        <v>0.98447484078931535</v>
      </c>
      <c r="CD90">
        <v>-4.2370311457174646E-3</v>
      </c>
      <c r="CE90">
        <v>289.99999999999989</v>
      </c>
      <c r="CF90">
        <v>1177.49</v>
      </c>
      <c r="CG90">
        <v>675</v>
      </c>
      <c r="CH90">
        <v>8168.05</v>
      </c>
      <c r="CI90">
        <v>1186.54</v>
      </c>
      <c r="CJ90">
        <v>-9.0500000000000007</v>
      </c>
      <c r="CX90">
        <f t="shared" si="134"/>
        <v>1800.03</v>
      </c>
      <c r="CY90">
        <f t="shared" si="135"/>
        <v>1513.2095934267259</v>
      </c>
      <c r="CZ90">
        <f t="shared" si="136"/>
        <v>0.84065798538175796</v>
      </c>
      <c r="DA90">
        <f t="shared" si="137"/>
        <v>0.16086991178679311</v>
      </c>
      <c r="DB90">
        <v>6</v>
      </c>
      <c r="DC90">
        <v>0.5</v>
      </c>
      <c r="DD90" t="s">
        <v>421</v>
      </c>
      <c r="DE90">
        <v>2</v>
      </c>
      <c r="DF90">
        <v>1689014473</v>
      </c>
      <c r="DG90">
        <v>1118.98</v>
      </c>
      <c r="DH90">
        <v>1200.2</v>
      </c>
      <c r="DI90">
        <v>27.742000000000001</v>
      </c>
      <c r="DJ90">
        <v>22.088999999999999</v>
      </c>
      <c r="DK90">
        <v>1119.1099999999999</v>
      </c>
      <c r="DL90">
        <v>27.607399999999998</v>
      </c>
      <c r="DM90">
        <v>500.12099999999998</v>
      </c>
      <c r="DN90">
        <v>99.147800000000004</v>
      </c>
      <c r="DO90">
        <v>9.8938700000000004E-2</v>
      </c>
      <c r="DP90">
        <v>29.818899999999999</v>
      </c>
      <c r="DQ90">
        <v>29.9863</v>
      </c>
      <c r="DR90">
        <v>999.9</v>
      </c>
      <c r="DS90">
        <v>0</v>
      </c>
      <c r="DT90">
        <v>0</v>
      </c>
      <c r="DU90">
        <v>10035.6</v>
      </c>
      <c r="DV90">
        <v>0</v>
      </c>
      <c r="DW90">
        <v>1952.15</v>
      </c>
      <c r="DX90">
        <v>-81.221900000000005</v>
      </c>
      <c r="DY90">
        <v>1150.9000000000001</v>
      </c>
      <c r="DZ90">
        <v>1227.31</v>
      </c>
      <c r="EA90">
        <v>5.6529299999999996</v>
      </c>
      <c r="EB90">
        <v>1200.2</v>
      </c>
      <c r="EC90">
        <v>22.088999999999999</v>
      </c>
      <c r="ED90">
        <v>2.7505600000000001</v>
      </c>
      <c r="EE90">
        <v>2.19008</v>
      </c>
      <c r="EF90">
        <v>22.590299999999999</v>
      </c>
      <c r="EG90">
        <v>18.889900000000001</v>
      </c>
      <c r="EH90">
        <v>1800.03</v>
      </c>
      <c r="EI90">
        <v>0.97800900000000002</v>
      </c>
      <c r="EJ90">
        <v>2.1991299999999998E-2</v>
      </c>
      <c r="EK90">
        <v>0</v>
      </c>
      <c r="EL90">
        <v>826.12900000000002</v>
      </c>
      <c r="EM90">
        <v>4.9999900000000004</v>
      </c>
      <c r="EN90">
        <v>20713.400000000001</v>
      </c>
      <c r="EO90">
        <v>15864.1</v>
      </c>
      <c r="EP90">
        <v>49.811999999999998</v>
      </c>
      <c r="EQ90">
        <v>51.186999999999998</v>
      </c>
      <c r="ER90">
        <v>50.311999999999998</v>
      </c>
      <c r="ES90">
        <v>50.5</v>
      </c>
      <c r="ET90">
        <v>51.375</v>
      </c>
      <c r="EU90">
        <v>1755.56</v>
      </c>
      <c r="EV90">
        <v>39.479999999999997</v>
      </c>
      <c r="EW90">
        <v>0</v>
      </c>
      <c r="EX90">
        <v>117.2000000476837</v>
      </c>
      <c r="EY90">
        <v>0</v>
      </c>
      <c r="EZ90">
        <v>826.13357692307682</v>
      </c>
      <c r="FA90">
        <v>-1.6947350340577361</v>
      </c>
      <c r="FB90">
        <v>-92.663247922151257</v>
      </c>
      <c r="FC90">
        <v>20736.276923076919</v>
      </c>
      <c r="FD90">
        <v>15</v>
      </c>
      <c r="FE90">
        <v>1689014438</v>
      </c>
      <c r="FF90" t="s">
        <v>799</v>
      </c>
      <c r="FG90">
        <v>1689014438</v>
      </c>
      <c r="FH90">
        <v>1689014427.5</v>
      </c>
      <c r="FI90">
        <v>83</v>
      </c>
      <c r="FJ90">
        <v>0.13</v>
      </c>
      <c r="FK90">
        <v>2E-3</v>
      </c>
      <c r="FL90">
        <v>-0.11</v>
      </c>
      <c r="FM90">
        <v>0.13100000000000001</v>
      </c>
      <c r="FN90">
        <v>1200</v>
      </c>
      <c r="FO90">
        <v>21</v>
      </c>
      <c r="FP90">
        <v>0.03</v>
      </c>
      <c r="FQ90">
        <v>0.01</v>
      </c>
      <c r="FR90">
        <v>62.246538858975619</v>
      </c>
      <c r="FS90">
        <v>-0.58672044586529093</v>
      </c>
      <c r="FT90">
        <v>7.1884872368545669E-2</v>
      </c>
      <c r="FU90">
        <v>1</v>
      </c>
      <c r="FV90">
        <v>0.33098826091254169</v>
      </c>
      <c r="FW90">
        <v>-3.4929706070138213E-2</v>
      </c>
      <c r="FX90">
        <v>2.8957548422971122E-3</v>
      </c>
      <c r="FY90">
        <v>1</v>
      </c>
      <c r="FZ90">
        <v>2</v>
      </c>
      <c r="GA90">
        <v>2</v>
      </c>
      <c r="GB90" t="s">
        <v>423</v>
      </c>
      <c r="GC90">
        <v>2.9576099999999999</v>
      </c>
      <c r="GD90">
        <v>2.7424900000000001</v>
      </c>
      <c r="GE90">
        <v>0.18066599999999999</v>
      </c>
      <c r="GF90">
        <v>0.188335</v>
      </c>
      <c r="GG90">
        <v>0.12765000000000001</v>
      </c>
      <c r="GH90">
        <v>0.108348</v>
      </c>
      <c r="GI90">
        <v>19212.7</v>
      </c>
      <c r="GJ90">
        <v>17735.3</v>
      </c>
      <c r="GK90">
        <v>23384.6</v>
      </c>
      <c r="GL90">
        <v>21902.7</v>
      </c>
      <c r="GM90">
        <v>28782.9</v>
      </c>
      <c r="GN90">
        <v>27260.400000000001</v>
      </c>
      <c r="GO90">
        <v>36902.5</v>
      </c>
      <c r="GP90">
        <v>34083.800000000003</v>
      </c>
      <c r="GQ90">
        <v>1.98813</v>
      </c>
      <c r="GR90">
        <v>1.80362</v>
      </c>
      <c r="GS90">
        <v>1.02632E-2</v>
      </c>
      <c r="GT90">
        <v>0</v>
      </c>
      <c r="GU90">
        <v>29.819199999999999</v>
      </c>
      <c r="GV90">
        <v>999.9</v>
      </c>
      <c r="GW90">
        <v>26.6</v>
      </c>
      <c r="GX90">
        <v>46.9</v>
      </c>
      <c r="GY90">
        <v>28.502700000000001</v>
      </c>
      <c r="GZ90">
        <v>60.185299999999998</v>
      </c>
      <c r="HA90">
        <v>39.282899999999998</v>
      </c>
      <c r="HB90">
        <v>1</v>
      </c>
      <c r="HC90">
        <v>0.57500300000000004</v>
      </c>
      <c r="HD90">
        <v>3.7549700000000001</v>
      </c>
      <c r="HE90">
        <v>20.069600000000001</v>
      </c>
      <c r="HF90">
        <v>5.2649100000000004</v>
      </c>
      <c r="HG90">
        <v>11.962199999999999</v>
      </c>
      <c r="HH90">
        <v>4.9797000000000002</v>
      </c>
      <c r="HI90">
        <v>3.298</v>
      </c>
      <c r="HJ90">
        <v>9999</v>
      </c>
      <c r="HK90">
        <v>9999</v>
      </c>
      <c r="HL90">
        <v>9999</v>
      </c>
      <c r="HM90">
        <v>999.9</v>
      </c>
      <c r="HN90">
        <v>1.8644700000000001</v>
      </c>
      <c r="HO90">
        <v>1.8605</v>
      </c>
      <c r="HP90">
        <v>1.8670500000000001</v>
      </c>
      <c r="HQ90">
        <v>1.86372</v>
      </c>
      <c r="HR90">
        <v>1.8623700000000001</v>
      </c>
      <c r="HS90">
        <v>1.8623799999999999</v>
      </c>
      <c r="HT90">
        <v>1.86371</v>
      </c>
      <c r="HU90">
        <v>1.86493</v>
      </c>
      <c r="HV90">
        <v>0</v>
      </c>
      <c r="HW90">
        <v>0</v>
      </c>
      <c r="HX90">
        <v>0</v>
      </c>
      <c r="HY90">
        <v>0</v>
      </c>
      <c r="HZ90" t="s">
        <v>424</v>
      </c>
      <c r="IA90" t="s">
        <v>425</v>
      </c>
      <c r="IB90" t="s">
        <v>426</v>
      </c>
      <c r="IC90" t="s">
        <v>426</v>
      </c>
      <c r="ID90" t="s">
        <v>426</v>
      </c>
      <c r="IE90" t="s">
        <v>426</v>
      </c>
      <c r="IF90">
        <v>0</v>
      </c>
      <c r="IG90">
        <v>100</v>
      </c>
      <c r="IH90">
        <v>100</v>
      </c>
      <c r="II90">
        <v>-0.13</v>
      </c>
      <c r="IJ90">
        <v>0.1346</v>
      </c>
      <c r="IK90">
        <v>-0.26011252434765242</v>
      </c>
      <c r="IL90">
        <v>-8.3322953065825546E-5</v>
      </c>
      <c r="IM90">
        <v>2.3872336679552741E-7</v>
      </c>
      <c r="IN90">
        <v>-5.428329794194132E-11</v>
      </c>
      <c r="IO90">
        <v>0.13460281866202059</v>
      </c>
      <c r="IP90">
        <v>0</v>
      </c>
      <c r="IQ90">
        <v>0</v>
      </c>
      <c r="IR90">
        <v>0</v>
      </c>
      <c r="IS90">
        <v>2</v>
      </c>
      <c r="IT90">
        <v>2035</v>
      </c>
      <c r="IU90">
        <v>1</v>
      </c>
      <c r="IV90">
        <v>21</v>
      </c>
      <c r="IW90">
        <v>0.6</v>
      </c>
      <c r="IX90">
        <v>0.8</v>
      </c>
      <c r="IY90">
        <v>2.63062</v>
      </c>
      <c r="IZ90">
        <v>2.7160600000000001</v>
      </c>
      <c r="JA90">
        <v>1.4526399999999999</v>
      </c>
      <c r="JB90">
        <v>2.2766099999999998</v>
      </c>
      <c r="JC90">
        <v>1.5942400000000001</v>
      </c>
      <c r="JD90">
        <v>2.3718300000000001</v>
      </c>
      <c r="JE90">
        <v>49.865600000000001</v>
      </c>
      <c r="JF90">
        <v>23.973700000000001</v>
      </c>
      <c r="JG90">
        <v>18</v>
      </c>
      <c r="JH90">
        <v>511.012</v>
      </c>
      <c r="JI90">
        <v>425.93700000000001</v>
      </c>
      <c r="JJ90">
        <v>26.119499999999999</v>
      </c>
      <c r="JK90">
        <v>34.179200000000002</v>
      </c>
      <c r="JL90">
        <v>29.9999</v>
      </c>
      <c r="JM90">
        <v>34.160899999999998</v>
      </c>
      <c r="JN90">
        <v>34.162999999999997</v>
      </c>
      <c r="JO90">
        <v>52.582000000000001</v>
      </c>
      <c r="JP90">
        <v>21.316600000000001</v>
      </c>
      <c r="JQ90">
        <v>0</v>
      </c>
      <c r="JR90">
        <v>26.122399999999999</v>
      </c>
      <c r="JS90">
        <v>1200</v>
      </c>
      <c r="JT90">
        <v>22.009</v>
      </c>
      <c r="JU90">
        <v>98.903899999999993</v>
      </c>
      <c r="JV90">
        <v>98.312200000000004</v>
      </c>
    </row>
    <row r="91" spans="1:282" x14ac:dyDescent="0.25">
      <c r="A91">
        <v>75</v>
      </c>
      <c r="B91">
        <v>1689014576</v>
      </c>
      <c r="C91">
        <v>15235.400000095369</v>
      </c>
      <c r="D91" t="s">
        <v>800</v>
      </c>
      <c r="E91" t="s">
        <v>801</v>
      </c>
      <c r="F91" t="s">
        <v>414</v>
      </c>
      <c r="G91" t="s">
        <v>415</v>
      </c>
      <c r="H91" t="s">
        <v>731</v>
      </c>
      <c r="I91" t="s">
        <v>578</v>
      </c>
      <c r="J91" t="s">
        <v>416</v>
      </c>
      <c r="K91">
        <v>1689014576</v>
      </c>
      <c r="L91">
        <f t="shared" si="92"/>
        <v>4.2588429448449667E-3</v>
      </c>
      <c r="M91">
        <f t="shared" si="93"/>
        <v>4.2588429448449663</v>
      </c>
      <c r="N91">
        <f t="shared" si="94"/>
        <v>62.467956784369335</v>
      </c>
      <c r="O91">
        <f t="shared" si="95"/>
        <v>1417.81</v>
      </c>
      <c r="P91">
        <f t="shared" si="96"/>
        <v>1017.4199048284197</v>
      </c>
      <c r="Q91">
        <f t="shared" si="97"/>
        <v>100.97131840733424</v>
      </c>
      <c r="R91">
        <f t="shared" si="98"/>
        <v>140.707041676411</v>
      </c>
      <c r="S91">
        <f t="shared" si="99"/>
        <v>0.28277663593536245</v>
      </c>
      <c r="T91">
        <f t="shared" si="100"/>
        <v>2.916227904301361</v>
      </c>
      <c r="U91">
        <f t="shared" si="101"/>
        <v>0.26837872107652982</v>
      </c>
      <c r="V91">
        <f t="shared" si="102"/>
        <v>0.16896918392800042</v>
      </c>
      <c r="W91">
        <f t="shared" si="103"/>
        <v>289.56284101270927</v>
      </c>
      <c r="X91">
        <f t="shared" si="104"/>
        <v>30.36971928919364</v>
      </c>
      <c r="Y91">
        <f t="shared" si="105"/>
        <v>30.031199999999998</v>
      </c>
      <c r="Z91">
        <f t="shared" si="106"/>
        <v>4.2680908997912006</v>
      </c>
      <c r="AA91">
        <f t="shared" si="107"/>
        <v>65.386741177110807</v>
      </c>
      <c r="AB91">
        <f t="shared" si="108"/>
        <v>2.7489087230945897</v>
      </c>
      <c r="AC91">
        <f t="shared" si="109"/>
        <v>4.2040766577565254</v>
      </c>
      <c r="AD91">
        <f t="shared" si="110"/>
        <v>1.5191821766966109</v>
      </c>
      <c r="AE91">
        <f t="shared" si="111"/>
        <v>-187.81497386766304</v>
      </c>
      <c r="AF91">
        <f t="shared" si="112"/>
        <v>-41.333053550392847</v>
      </c>
      <c r="AG91">
        <f t="shared" si="113"/>
        <v>-3.1483576634746639</v>
      </c>
      <c r="AH91">
        <f t="shared" si="114"/>
        <v>57.266455931178726</v>
      </c>
      <c r="AI91">
        <v>0</v>
      </c>
      <c r="AJ91">
        <v>0</v>
      </c>
      <c r="AK91">
        <f t="shared" si="115"/>
        <v>1</v>
      </c>
      <c r="AL91">
        <f t="shared" si="116"/>
        <v>0</v>
      </c>
      <c r="AM91">
        <f t="shared" si="117"/>
        <v>51994.70987232637</v>
      </c>
      <c r="AN91" t="s">
        <v>418</v>
      </c>
      <c r="AO91">
        <v>8197.4</v>
      </c>
      <c r="AP91">
        <v>619.92999999999995</v>
      </c>
      <c r="AQ91">
        <v>3131.443117258741</v>
      </c>
      <c r="AR91">
        <f t="shared" si="118"/>
        <v>0.80203057287443702</v>
      </c>
      <c r="AS91">
        <v>-1.0448500102641549</v>
      </c>
      <c r="AT91" t="s">
        <v>802</v>
      </c>
      <c r="AU91">
        <v>8179.4</v>
      </c>
      <c r="AV91">
        <v>822.69646153846145</v>
      </c>
      <c r="AW91">
        <v>1359.08648842086</v>
      </c>
      <c r="AX91">
        <f t="shared" si="119"/>
        <v>0.3946695309329703</v>
      </c>
      <c r="AY91">
        <v>0.5</v>
      </c>
      <c r="AZ91">
        <f t="shared" si="120"/>
        <v>1513.160100006585</v>
      </c>
      <c r="BA91">
        <f t="shared" si="121"/>
        <v>62.467956784369335</v>
      </c>
      <c r="BB91">
        <f t="shared" si="122"/>
        <v>298.59909344804265</v>
      </c>
      <c r="BC91">
        <f t="shared" si="123"/>
        <v>4.1973619839934383E-2</v>
      </c>
      <c r="BD91">
        <f t="shared" si="124"/>
        <v>1.3040793532552921</v>
      </c>
      <c r="BE91">
        <f t="shared" si="125"/>
        <v>492.72440374330779</v>
      </c>
      <c r="BF91" t="s">
        <v>803</v>
      </c>
      <c r="BG91">
        <v>634.82000000000005</v>
      </c>
      <c r="BH91">
        <f t="shared" si="126"/>
        <v>634.82000000000005</v>
      </c>
      <c r="BI91">
        <f t="shared" si="127"/>
        <v>0.53290684190554671</v>
      </c>
      <c r="BJ91">
        <f t="shared" si="128"/>
        <v>0.74059760524321083</v>
      </c>
      <c r="BK91">
        <f t="shared" si="129"/>
        <v>0.70990155325642634</v>
      </c>
      <c r="BL91">
        <f t="shared" si="130"/>
        <v>0.72567857454427076</v>
      </c>
      <c r="BM91">
        <f t="shared" si="131"/>
        <v>0.70569276212754473</v>
      </c>
      <c r="BN91">
        <f t="shared" si="132"/>
        <v>0.57146978714520158</v>
      </c>
      <c r="BO91">
        <f t="shared" si="133"/>
        <v>0.42853021285479842</v>
      </c>
      <c r="BP91">
        <v>13718</v>
      </c>
      <c r="BQ91">
        <v>290.00000000000011</v>
      </c>
      <c r="BR91">
        <v>1181.76</v>
      </c>
      <c r="BS91">
        <v>295</v>
      </c>
      <c r="BT91">
        <v>8179.4</v>
      </c>
      <c r="BU91">
        <v>1184.06</v>
      </c>
      <c r="BV91">
        <v>-2.2999999999999998</v>
      </c>
      <c r="BW91">
        <v>300.00000000000011</v>
      </c>
      <c r="BX91">
        <v>19.3</v>
      </c>
      <c r="BY91">
        <v>1359.08648842086</v>
      </c>
      <c r="BZ91">
        <v>5.8048781933975997</v>
      </c>
      <c r="CA91">
        <v>-143.16016145256489</v>
      </c>
      <c r="CB91">
        <v>4.3601484798540584</v>
      </c>
      <c r="CC91">
        <v>0.97468485336428123</v>
      </c>
      <c r="CD91">
        <v>-4.2369103448275814E-3</v>
      </c>
      <c r="CE91">
        <v>289.99999999999989</v>
      </c>
      <c r="CF91">
        <v>1175.96</v>
      </c>
      <c r="CG91">
        <v>675</v>
      </c>
      <c r="CH91">
        <v>8167.73</v>
      </c>
      <c r="CI91">
        <v>1183.81</v>
      </c>
      <c r="CJ91">
        <v>-7.85</v>
      </c>
      <c r="CX91">
        <f t="shared" si="134"/>
        <v>1799.97</v>
      </c>
      <c r="CY91">
        <f t="shared" si="135"/>
        <v>1513.160100006585</v>
      </c>
      <c r="CZ91">
        <f t="shared" si="136"/>
        <v>0.84065851097884137</v>
      </c>
      <c r="DA91">
        <f t="shared" si="137"/>
        <v>0.16087092618916385</v>
      </c>
      <c r="DB91">
        <v>6</v>
      </c>
      <c r="DC91">
        <v>0.5</v>
      </c>
      <c r="DD91" t="s">
        <v>421</v>
      </c>
      <c r="DE91">
        <v>2</v>
      </c>
      <c r="DF91">
        <v>1689014576</v>
      </c>
      <c r="DG91">
        <v>1417.81</v>
      </c>
      <c r="DH91">
        <v>1500</v>
      </c>
      <c r="DI91">
        <v>27.698899999999998</v>
      </c>
      <c r="DJ91">
        <v>22.730899999999998</v>
      </c>
      <c r="DK91">
        <v>1417.79</v>
      </c>
      <c r="DL91">
        <v>27.554400000000001</v>
      </c>
      <c r="DM91">
        <v>500.10599999999999</v>
      </c>
      <c r="DN91">
        <v>99.1434</v>
      </c>
      <c r="DO91">
        <v>9.9123100000000006E-2</v>
      </c>
      <c r="DP91">
        <v>29.7683</v>
      </c>
      <c r="DQ91">
        <v>30.031199999999998</v>
      </c>
      <c r="DR91">
        <v>999.9</v>
      </c>
      <c r="DS91">
        <v>0</v>
      </c>
      <c r="DT91">
        <v>0</v>
      </c>
      <c r="DU91">
        <v>10010</v>
      </c>
      <c r="DV91">
        <v>0</v>
      </c>
      <c r="DW91">
        <v>1953.93</v>
      </c>
      <c r="DX91">
        <v>-82.192700000000002</v>
      </c>
      <c r="DY91">
        <v>1458.2</v>
      </c>
      <c r="DZ91">
        <v>1534.89</v>
      </c>
      <c r="EA91">
        <v>4.9680600000000004</v>
      </c>
      <c r="EB91">
        <v>1500</v>
      </c>
      <c r="EC91">
        <v>22.730899999999998</v>
      </c>
      <c r="ED91">
        <v>2.7461600000000002</v>
      </c>
      <c r="EE91">
        <v>2.2536100000000001</v>
      </c>
      <c r="EF91">
        <v>22.564</v>
      </c>
      <c r="EG91">
        <v>19.348600000000001</v>
      </c>
      <c r="EH91">
        <v>1799.97</v>
      </c>
      <c r="EI91">
        <v>0.97799100000000005</v>
      </c>
      <c r="EJ91">
        <v>2.20092E-2</v>
      </c>
      <c r="EK91">
        <v>0</v>
      </c>
      <c r="EL91">
        <v>822.86900000000003</v>
      </c>
      <c r="EM91">
        <v>4.9999900000000004</v>
      </c>
      <c r="EN91">
        <v>20643.3</v>
      </c>
      <c r="EO91">
        <v>15863.5</v>
      </c>
      <c r="EP91">
        <v>49.811999999999998</v>
      </c>
      <c r="EQ91">
        <v>51.186999999999998</v>
      </c>
      <c r="ER91">
        <v>50.375</v>
      </c>
      <c r="ES91">
        <v>50.561999999999998</v>
      </c>
      <c r="ET91">
        <v>51.311999999999998</v>
      </c>
      <c r="EU91">
        <v>1755.46</v>
      </c>
      <c r="EV91">
        <v>39.51</v>
      </c>
      <c r="EW91">
        <v>0</v>
      </c>
      <c r="EX91">
        <v>100.7999999523163</v>
      </c>
      <c r="EY91">
        <v>0</v>
      </c>
      <c r="EZ91">
        <v>822.69646153846145</v>
      </c>
      <c r="FA91">
        <v>-1.378256409625813</v>
      </c>
      <c r="FB91">
        <v>56.064957358310771</v>
      </c>
      <c r="FC91">
        <v>20658.642307692309</v>
      </c>
      <c r="FD91">
        <v>15</v>
      </c>
      <c r="FE91">
        <v>1689014541</v>
      </c>
      <c r="FF91" t="s">
        <v>804</v>
      </c>
      <c r="FG91">
        <v>1689014541</v>
      </c>
      <c r="FH91">
        <v>1689014540</v>
      </c>
      <c r="FI91">
        <v>84</v>
      </c>
      <c r="FJ91">
        <v>7.0999999999999994E-2</v>
      </c>
      <c r="FK91">
        <v>0.01</v>
      </c>
      <c r="FL91">
        <v>3.6999999999999998E-2</v>
      </c>
      <c r="FM91">
        <v>0.14499999999999999</v>
      </c>
      <c r="FN91">
        <v>1500</v>
      </c>
      <c r="FO91">
        <v>22</v>
      </c>
      <c r="FP91">
        <v>0.03</v>
      </c>
      <c r="FQ91">
        <v>0.02</v>
      </c>
      <c r="FR91">
        <v>62.677373376050639</v>
      </c>
      <c r="FS91">
        <v>-0.67014410851127937</v>
      </c>
      <c r="FT91">
        <v>0.122465670739247</v>
      </c>
      <c r="FU91">
        <v>1</v>
      </c>
      <c r="FV91">
        <v>0.28177245176610322</v>
      </c>
      <c r="FW91">
        <v>2.6942432136128361E-2</v>
      </c>
      <c r="FX91">
        <v>2.436610370090771E-3</v>
      </c>
      <c r="FY91">
        <v>1</v>
      </c>
      <c r="FZ91">
        <v>2</v>
      </c>
      <c r="GA91">
        <v>2</v>
      </c>
      <c r="GB91" t="s">
        <v>423</v>
      </c>
      <c r="GC91">
        <v>2.9575399999999998</v>
      </c>
      <c r="GD91">
        <v>2.7424400000000002</v>
      </c>
      <c r="GE91">
        <v>0.20868800000000001</v>
      </c>
      <c r="GF91">
        <v>0.21542800000000001</v>
      </c>
      <c r="GG91">
        <v>0.127471</v>
      </c>
      <c r="GH91">
        <v>0.11051800000000001</v>
      </c>
      <c r="GI91">
        <v>18553.099999999999</v>
      </c>
      <c r="GJ91">
        <v>17141.900000000001</v>
      </c>
      <c r="GK91">
        <v>23382.9</v>
      </c>
      <c r="GL91">
        <v>21902.400000000001</v>
      </c>
      <c r="GM91">
        <v>28789.8</v>
      </c>
      <c r="GN91">
        <v>27194.6</v>
      </c>
      <c r="GO91">
        <v>36901.1</v>
      </c>
      <c r="GP91">
        <v>34083.199999999997</v>
      </c>
      <c r="GQ91">
        <v>1.9874000000000001</v>
      </c>
      <c r="GR91">
        <v>1.80555</v>
      </c>
      <c r="GS91">
        <v>9.5926199999999996E-3</v>
      </c>
      <c r="GT91">
        <v>0</v>
      </c>
      <c r="GU91">
        <v>29.8751</v>
      </c>
      <c r="GV91">
        <v>999.9</v>
      </c>
      <c r="GW91">
        <v>26.4</v>
      </c>
      <c r="GX91">
        <v>47</v>
      </c>
      <c r="GY91">
        <v>28.431999999999999</v>
      </c>
      <c r="GZ91">
        <v>60.235300000000002</v>
      </c>
      <c r="HA91">
        <v>38.75</v>
      </c>
      <c r="HB91">
        <v>1</v>
      </c>
      <c r="HC91">
        <v>0.57842499999999997</v>
      </c>
      <c r="HD91">
        <v>4.2309000000000001</v>
      </c>
      <c r="HE91">
        <v>20.055800000000001</v>
      </c>
      <c r="HF91">
        <v>5.2605700000000004</v>
      </c>
      <c r="HG91">
        <v>11.962199999999999</v>
      </c>
      <c r="HH91">
        <v>4.9787499999999998</v>
      </c>
      <c r="HI91">
        <v>3.29725</v>
      </c>
      <c r="HJ91">
        <v>9999</v>
      </c>
      <c r="HK91">
        <v>9999</v>
      </c>
      <c r="HL91">
        <v>9999</v>
      </c>
      <c r="HM91">
        <v>999.9</v>
      </c>
      <c r="HN91">
        <v>1.8644700000000001</v>
      </c>
      <c r="HO91">
        <v>1.8605</v>
      </c>
      <c r="HP91">
        <v>1.86707</v>
      </c>
      <c r="HQ91">
        <v>1.86375</v>
      </c>
      <c r="HR91">
        <v>1.8623400000000001</v>
      </c>
      <c r="HS91">
        <v>1.86239</v>
      </c>
      <c r="HT91">
        <v>1.86371</v>
      </c>
      <c r="HU91">
        <v>1.8649500000000001</v>
      </c>
      <c r="HV91">
        <v>0</v>
      </c>
      <c r="HW91">
        <v>0</v>
      </c>
      <c r="HX91">
        <v>0</v>
      </c>
      <c r="HY91">
        <v>0</v>
      </c>
      <c r="HZ91" t="s">
        <v>424</v>
      </c>
      <c r="IA91" t="s">
        <v>425</v>
      </c>
      <c r="IB91" t="s">
        <v>426</v>
      </c>
      <c r="IC91" t="s">
        <v>426</v>
      </c>
      <c r="ID91" t="s">
        <v>426</v>
      </c>
      <c r="IE91" t="s">
        <v>426</v>
      </c>
      <c r="IF91">
        <v>0</v>
      </c>
      <c r="IG91">
        <v>100</v>
      </c>
      <c r="IH91">
        <v>100</v>
      </c>
      <c r="II91">
        <v>0.02</v>
      </c>
      <c r="IJ91">
        <v>0.14449999999999999</v>
      </c>
      <c r="IK91">
        <v>-0.19181369652263919</v>
      </c>
      <c r="IL91">
        <v>-8.3322953065825546E-5</v>
      </c>
      <c r="IM91">
        <v>2.3872336679552741E-7</v>
      </c>
      <c r="IN91">
        <v>-5.428329794194132E-11</v>
      </c>
      <c r="IO91">
        <v>0.1445285714285767</v>
      </c>
      <c r="IP91">
        <v>0</v>
      </c>
      <c r="IQ91">
        <v>0</v>
      </c>
      <c r="IR91">
        <v>0</v>
      </c>
      <c r="IS91">
        <v>2</v>
      </c>
      <c r="IT91">
        <v>2035</v>
      </c>
      <c r="IU91">
        <v>1</v>
      </c>
      <c r="IV91">
        <v>21</v>
      </c>
      <c r="IW91">
        <v>0.6</v>
      </c>
      <c r="IX91">
        <v>0.6</v>
      </c>
      <c r="IY91">
        <v>3.15063</v>
      </c>
      <c r="IZ91">
        <v>2.7197300000000002</v>
      </c>
      <c r="JA91">
        <v>1.4526399999999999</v>
      </c>
      <c r="JB91">
        <v>2.2753899999999998</v>
      </c>
      <c r="JC91">
        <v>1.5942400000000001</v>
      </c>
      <c r="JD91">
        <v>2.3071299999999999</v>
      </c>
      <c r="JE91">
        <v>49.897599999999997</v>
      </c>
      <c r="JF91">
        <v>23.9649</v>
      </c>
      <c r="JG91">
        <v>18</v>
      </c>
      <c r="JH91">
        <v>510.67099999999999</v>
      </c>
      <c r="JI91">
        <v>427.40499999999997</v>
      </c>
      <c r="JJ91">
        <v>25.890499999999999</v>
      </c>
      <c r="JK91">
        <v>34.188499999999998</v>
      </c>
      <c r="JL91">
        <v>30.000299999999999</v>
      </c>
      <c r="JM91">
        <v>34.177199999999999</v>
      </c>
      <c r="JN91">
        <v>34.184399999999997</v>
      </c>
      <c r="JO91">
        <v>62.970700000000001</v>
      </c>
      <c r="JP91">
        <v>18.226400000000002</v>
      </c>
      <c r="JQ91">
        <v>0</v>
      </c>
      <c r="JR91">
        <v>25.8567</v>
      </c>
      <c r="JS91">
        <v>1500</v>
      </c>
      <c r="JT91">
        <v>22.630299999999998</v>
      </c>
      <c r="JU91">
        <v>98.899000000000001</v>
      </c>
      <c r="JV91">
        <v>98.3108</v>
      </c>
    </row>
    <row r="92" spans="1:282" x14ac:dyDescent="0.25">
      <c r="A92">
        <v>76</v>
      </c>
      <c r="B92">
        <v>1689014917.5</v>
      </c>
      <c r="C92">
        <v>15576.900000095369</v>
      </c>
      <c r="D92" t="s">
        <v>805</v>
      </c>
      <c r="E92" t="s">
        <v>806</v>
      </c>
      <c r="F92" t="s">
        <v>414</v>
      </c>
      <c r="G92" t="s">
        <v>415</v>
      </c>
      <c r="H92" t="s">
        <v>31</v>
      </c>
      <c r="I92" t="s">
        <v>501</v>
      </c>
      <c r="J92" t="s">
        <v>416</v>
      </c>
      <c r="K92">
        <v>1689014917.5</v>
      </c>
      <c r="L92">
        <f t="shared" si="92"/>
        <v>6.7898554390623022E-3</v>
      </c>
      <c r="M92">
        <f t="shared" si="93"/>
        <v>6.7898554390623023</v>
      </c>
      <c r="N92">
        <f t="shared" si="94"/>
        <v>61.055732842336063</v>
      </c>
      <c r="O92">
        <f t="shared" si="95"/>
        <v>324.12400000000002</v>
      </c>
      <c r="P92">
        <f t="shared" si="96"/>
        <v>105.89859596125592</v>
      </c>
      <c r="Q92">
        <f t="shared" si="97"/>
        <v>10.509750908833164</v>
      </c>
      <c r="R92">
        <f t="shared" si="98"/>
        <v>32.167211214216003</v>
      </c>
      <c r="S92">
        <f t="shared" si="99"/>
        <v>0.49518836253606757</v>
      </c>
      <c r="T92">
        <f t="shared" si="100"/>
        <v>2.9136025550876137</v>
      </c>
      <c r="U92">
        <f t="shared" si="101"/>
        <v>0.45274047715522597</v>
      </c>
      <c r="V92">
        <f t="shared" si="102"/>
        <v>0.28647273560456116</v>
      </c>
      <c r="W92">
        <f t="shared" si="103"/>
        <v>289.58243101270187</v>
      </c>
      <c r="X92">
        <f t="shared" si="104"/>
        <v>30.298152010828783</v>
      </c>
      <c r="Y92">
        <f t="shared" si="105"/>
        <v>30.050599999999999</v>
      </c>
      <c r="Z92">
        <f t="shared" si="106"/>
        <v>4.2728481331100703</v>
      </c>
      <c r="AA92">
        <f t="shared" si="107"/>
        <v>65.259811776371407</v>
      </c>
      <c r="AB92">
        <f t="shared" si="108"/>
        <v>2.8377894599028002</v>
      </c>
      <c r="AC92">
        <f t="shared" si="109"/>
        <v>4.3484487353827728</v>
      </c>
      <c r="AD92">
        <f t="shared" si="110"/>
        <v>1.4350586732072701</v>
      </c>
      <c r="AE92">
        <f t="shared" si="111"/>
        <v>-299.43262486264751</v>
      </c>
      <c r="AF92">
        <f t="shared" si="112"/>
        <v>48.03449550247457</v>
      </c>
      <c r="AG92">
        <f t="shared" si="113"/>
        <v>3.6731348558138861</v>
      </c>
      <c r="AH92">
        <f t="shared" si="114"/>
        <v>41.857436508342815</v>
      </c>
      <c r="AI92">
        <v>0</v>
      </c>
      <c r="AJ92">
        <v>0</v>
      </c>
      <c r="AK92">
        <f t="shared" si="115"/>
        <v>1</v>
      </c>
      <c r="AL92">
        <f t="shared" si="116"/>
        <v>0</v>
      </c>
      <c r="AM92">
        <f t="shared" si="117"/>
        <v>51819.276056681287</v>
      </c>
      <c r="AN92" t="s">
        <v>418</v>
      </c>
      <c r="AO92">
        <v>8197.4</v>
      </c>
      <c r="AP92">
        <v>619.92999999999995</v>
      </c>
      <c r="AQ92">
        <v>3131.443117258741</v>
      </c>
      <c r="AR92">
        <f t="shared" si="118"/>
        <v>0.80203057287443702</v>
      </c>
      <c r="AS92">
        <v>-1.0448500102641549</v>
      </c>
      <c r="AT92" t="s">
        <v>807</v>
      </c>
      <c r="AU92">
        <v>8184.03</v>
      </c>
      <c r="AV92">
        <v>874.66065384615365</v>
      </c>
      <c r="AW92">
        <v>1412.0899923257709</v>
      </c>
      <c r="AX92">
        <f t="shared" si="119"/>
        <v>0.38059142221838771</v>
      </c>
      <c r="AY92">
        <v>0.5</v>
      </c>
      <c r="AZ92">
        <f t="shared" si="120"/>
        <v>1513.268700006581</v>
      </c>
      <c r="BA92">
        <f t="shared" si="121"/>
        <v>61.055732842336063</v>
      </c>
      <c r="BB92">
        <f t="shared" si="122"/>
        <v>287.96854336703768</v>
      </c>
      <c r="BC92">
        <f t="shared" si="123"/>
        <v>4.1037380111232168E-2</v>
      </c>
      <c r="BD92">
        <f t="shared" si="124"/>
        <v>1.2175945826944954</v>
      </c>
      <c r="BE92">
        <f t="shared" si="125"/>
        <v>499.52197520185615</v>
      </c>
      <c r="BF92" t="s">
        <v>808</v>
      </c>
      <c r="BG92">
        <v>634.35</v>
      </c>
      <c r="BH92">
        <f t="shared" si="126"/>
        <v>634.35</v>
      </c>
      <c r="BI92">
        <f t="shared" si="127"/>
        <v>0.55077225711712663</v>
      </c>
      <c r="BJ92">
        <f t="shared" si="128"/>
        <v>0.69101414840771747</v>
      </c>
      <c r="BK92">
        <f t="shared" si="129"/>
        <v>0.68854185414616875</v>
      </c>
      <c r="BL92">
        <f t="shared" si="130"/>
        <v>0.67843534599839106</v>
      </c>
      <c r="BM92">
        <f t="shared" si="131"/>
        <v>0.68458855067004565</v>
      </c>
      <c r="BN92">
        <f t="shared" si="132"/>
        <v>0.50115987625017511</v>
      </c>
      <c r="BO92">
        <f t="shared" si="133"/>
        <v>0.49884012374982489</v>
      </c>
      <c r="BP92">
        <v>13720</v>
      </c>
      <c r="BQ92">
        <v>290.00000000000011</v>
      </c>
      <c r="BR92">
        <v>1255.97</v>
      </c>
      <c r="BS92">
        <v>285</v>
      </c>
      <c r="BT92">
        <v>8184.03</v>
      </c>
      <c r="BU92">
        <v>1259.1099999999999</v>
      </c>
      <c r="BV92">
        <v>-3.14</v>
      </c>
      <c r="BW92">
        <v>300.00000000000011</v>
      </c>
      <c r="BX92">
        <v>19.3</v>
      </c>
      <c r="BY92">
        <v>1412.0899923257709</v>
      </c>
      <c r="BZ92">
        <v>4.5378749229290234</v>
      </c>
      <c r="CA92">
        <v>-125.2023741511702</v>
      </c>
      <c r="CB92">
        <v>3.4104973263035698</v>
      </c>
      <c r="CC92">
        <v>0.97964656339052658</v>
      </c>
      <c r="CD92">
        <v>-4.2385708565072346E-3</v>
      </c>
      <c r="CE92">
        <v>289.99999999999989</v>
      </c>
      <c r="CF92">
        <v>1258.8</v>
      </c>
      <c r="CG92">
        <v>655</v>
      </c>
      <c r="CH92">
        <v>8173.35</v>
      </c>
      <c r="CI92">
        <v>1258.9100000000001</v>
      </c>
      <c r="CJ92">
        <v>-0.11</v>
      </c>
      <c r="CX92">
        <f t="shared" si="134"/>
        <v>1800.1</v>
      </c>
      <c r="CY92">
        <f t="shared" si="135"/>
        <v>1513.268700006581</v>
      </c>
      <c r="CZ92">
        <f t="shared" si="136"/>
        <v>0.84065813010753909</v>
      </c>
      <c r="DA92">
        <f t="shared" si="137"/>
        <v>0.16087019110755063</v>
      </c>
      <c r="DB92">
        <v>6</v>
      </c>
      <c r="DC92">
        <v>0.5</v>
      </c>
      <c r="DD92" t="s">
        <v>421</v>
      </c>
      <c r="DE92">
        <v>2</v>
      </c>
      <c r="DF92">
        <v>1689014917.5</v>
      </c>
      <c r="DG92">
        <v>324.12400000000002</v>
      </c>
      <c r="DH92">
        <v>400.01600000000002</v>
      </c>
      <c r="DI92">
        <v>28.594200000000001</v>
      </c>
      <c r="DJ92">
        <v>20.681000000000001</v>
      </c>
      <c r="DK92">
        <v>324.56299999999999</v>
      </c>
      <c r="DL92">
        <v>28.4862</v>
      </c>
      <c r="DM92">
        <v>500.10399999999998</v>
      </c>
      <c r="DN92">
        <v>99.143299999999996</v>
      </c>
      <c r="DO92">
        <v>0.100234</v>
      </c>
      <c r="DP92">
        <v>30.356400000000001</v>
      </c>
      <c r="DQ92">
        <v>30.050599999999999</v>
      </c>
      <c r="DR92">
        <v>999.9</v>
      </c>
      <c r="DS92">
        <v>0</v>
      </c>
      <c r="DT92">
        <v>0</v>
      </c>
      <c r="DU92">
        <v>9995</v>
      </c>
      <c r="DV92">
        <v>0</v>
      </c>
      <c r="DW92">
        <v>1753.11</v>
      </c>
      <c r="DX92">
        <v>-76.0518</v>
      </c>
      <c r="DY92">
        <v>333.51900000000001</v>
      </c>
      <c r="DZ92">
        <v>408.46300000000002</v>
      </c>
      <c r="EA92">
        <v>7.968</v>
      </c>
      <c r="EB92">
        <v>400.01600000000002</v>
      </c>
      <c r="EC92">
        <v>20.681000000000001</v>
      </c>
      <c r="ED92">
        <v>2.84036</v>
      </c>
      <c r="EE92">
        <v>2.0503800000000001</v>
      </c>
      <c r="EF92">
        <v>23.1205</v>
      </c>
      <c r="EG92">
        <v>17.838899999999999</v>
      </c>
      <c r="EH92">
        <v>1800.1</v>
      </c>
      <c r="EI92">
        <v>0.97799899999999995</v>
      </c>
      <c r="EJ92">
        <v>2.2000700000000002E-2</v>
      </c>
      <c r="EK92">
        <v>0</v>
      </c>
      <c r="EL92">
        <v>873.35900000000004</v>
      </c>
      <c r="EM92">
        <v>4.9999900000000004</v>
      </c>
      <c r="EN92">
        <v>21113</v>
      </c>
      <c r="EO92">
        <v>15864.7</v>
      </c>
      <c r="EP92">
        <v>49</v>
      </c>
      <c r="EQ92">
        <v>50.186999999999998</v>
      </c>
      <c r="ER92">
        <v>49.625</v>
      </c>
      <c r="ES92">
        <v>49.5</v>
      </c>
      <c r="ET92">
        <v>50.625</v>
      </c>
      <c r="EU92">
        <v>1755.61</v>
      </c>
      <c r="EV92">
        <v>39.49</v>
      </c>
      <c r="EW92">
        <v>0</v>
      </c>
      <c r="EX92">
        <v>339.59999990463263</v>
      </c>
      <c r="EY92">
        <v>0</v>
      </c>
      <c r="EZ92">
        <v>874.66065384615365</v>
      </c>
      <c r="FA92">
        <v>-12.13664955088147</v>
      </c>
      <c r="FB92">
        <v>-310.83418627718538</v>
      </c>
      <c r="FC92">
        <v>21148.38846153846</v>
      </c>
      <c r="FD92">
        <v>15</v>
      </c>
      <c r="FE92">
        <v>1689014952.5</v>
      </c>
      <c r="FF92" t="s">
        <v>809</v>
      </c>
      <c r="FG92">
        <v>1689014945</v>
      </c>
      <c r="FH92">
        <v>1689014952.5</v>
      </c>
      <c r="FI92">
        <v>86</v>
      </c>
      <c r="FJ92">
        <v>0.155</v>
      </c>
      <c r="FK92">
        <v>-3.5000000000000003E-2</v>
      </c>
      <c r="FL92">
        <v>-0.439</v>
      </c>
      <c r="FM92">
        <v>0.108</v>
      </c>
      <c r="FN92">
        <v>400</v>
      </c>
      <c r="FO92">
        <v>21</v>
      </c>
      <c r="FP92">
        <v>0.01</v>
      </c>
      <c r="FQ92">
        <v>0.01</v>
      </c>
      <c r="FR92">
        <v>61.273771199543567</v>
      </c>
      <c r="FS92">
        <v>-0.69848835387800468</v>
      </c>
      <c r="FT92">
        <v>5.2617935495751167E-2</v>
      </c>
      <c r="FU92">
        <v>1</v>
      </c>
      <c r="FV92">
        <v>0.5018782843815196</v>
      </c>
      <c r="FW92">
        <v>-6.9025894563475793E-3</v>
      </c>
      <c r="FX92">
        <v>1.2394602131195549E-3</v>
      </c>
      <c r="FY92">
        <v>1</v>
      </c>
      <c r="FZ92">
        <v>2</v>
      </c>
      <c r="GA92">
        <v>2</v>
      </c>
      <c r="GB92" t="s">
        <v>423</v>
      </c>
      <c r="GC92">
        <v>2.9577399999999998</v>
      </c>
      <c r="GD92">
        <v>2.74342</v>
      </c>
      <c r="GE92">
        <v>7.5289499999999995E-2</v>
      </c>
      <c r="GF92">
        <v>8.8592699999999996E-2</v>
      </c>
      <c r="GG92">
        <v>0.13044900000000001</v>
      </c>
      <c r="GH92">
        <v>0.10347199999999999</v>
      </c>
      <c r="GI92">
        <v>21680.3</v>
      </c>
      <c r="GJ92">
        <v>19938.2</v>
      </c>
      <c r="GK92">
        <v>23379.1</v>
      </c>
      <c r="GL92">
        <v>21926.3</v>
      </c>
      <c r="GM92">
        <v>28674.1</v>
      </c>
      <c r="GN92">
        <v>27422.799999999999</v>
      </c>
      <c r="GO92">
        <v>36892.5</v>
      </c>
      <c r="GP92">
        <v>34106.5</v>
      </c>
      <c r="GQ92">
        <v>1.99255</v>
      </c>
      <c r="GR92">
        <v>1.7942</v>
      </c>
      <c r="GS92">
        <v>-5.2824600000000001E-3</v>
      </c>
      <c r="GT92">
        <v>0</v>
      </c>
      <c r="GU92">
        <v>30.136600000000001</v>
      </c>
      <c r="GV92">
        <v>999.9</v>
      </c>
      <c r="GW92">
        <v>26.9</v>
      </c>
      <c r="GX92">
        <v>47.3</v>
      </c>
      <c r="GY92">
        <v>29.415199999999999</v>
      </c>
      <c r="GZ92">
        <v>60.485300000000002</v>
      </c>
      <c r="HA92">
        <v>38.902200000000001</v>
      </c>
      <c r="HB92">
        <v>1</v>
      </c>
      <c r="HC92">
        <v>0.57142000000000004</v>
      </c>
      <c r="HD92">
        <v>3.3079000000000001</v>
      </c>
      <c r="HE92">
        <v>20.078099999999999</v>
      </c>
      <c r="HF92">
        <v>5.2632599999999998</v>
      </c>
      <c r="HG92">
        <v>11.962</v>
      </c>
      <c r="HH92">
        <v>4.9797500000000001</v>
      </c>
      <c r="HI92">
        <v>3.298</v>
      </c>
      <c r="HJ92">
        <v>9999</v>
      </c>
      <c r="HK92">
        <v>9999</v>
      </c>
      <c r="HL92">
        <v>9999</v>
      </c>
      <c r="HM92">
        <v>999.9</v>
      </c>
      <c r="HN92">
        <v>1.8644499999999999</v>
      </c>
      <c r="HO92">
        <v>1.8604499999999999</v>
      </c>
      <c r="HP92">
        <v>1.8670100000000001</v>
      </c>
      <c r="HQ92">
        <v>1.86371</v>
      </c>
      <c r="HR92">
        <v>1.8623400000000001</v>
      </c>
      <c r="HS92">
        <v>1.8623499999999999</v>
      </c>
      <c r="HT92">
        <v>1.8636900000000001</v>
      </c>
      <c r="HU92">
        <v>1.86493</v>
      </c>
      <c r="HV92">
        <v>0</v>
      </c>
      <c r="HW92">
        <v>0</v>
      </c>
      <c r="HX92">
        <v>0</v>
      </c>
      <c r="HY92">
        <v>0</v>
      </c>
      <c r="HZ92" t="s">
        <v>424</v>
      </c>
      <c r="IA92" t="s">
        <v>425</v>
      </c>
      <c r="IB92" t="s">
        <v>426</v>
      </c>
      <c r="IC92" t="s">
        <v>426</v>
      </c>
      <c r="ID92" t="s">
        <v>426</v>
      </c>
      <c r="IE92" t="s">
        <v>426</v>
      </c>
      <c r="IF92">
        <v>0</v>
      </c>
      <c r="IG92">
        <v>100</v>
      </c>
      <c r="IH92">
        <v>100</v>
      </c>
      <c r="II92">
        <v>-0.439</v>
      </c>
      <c r="IJ92">
        <v>0.108</v>
      </c>
      <c r="IK92">
        <v>-0.59538341559462959</v>
      </c>
      <c r="IL92">
        <v>-8.3322953065825546E-5</v>
      </c>
      <c r="IM92">
        <v>2.3872336679552741E-7</v>
      </c>
      <c r="IN92">
        <v>-5.428329794194132E-11</v>
      </c>
      <c r="IO92">
        <v>0.1628428571428486</v>
      </c>
      <c r="IP92">
        <v>0</v>
      </c>
      <c r="IQ92">
        <v>0</v>
      </c>
      <c r="IR92">
        <v>0</v>
      </c>
      <c r="IS92">
        <v>2</v>
      </c>
      <c r="IT92">
        <v>2035</v>
      </c>
      <c r="IU92">
        <v>1</v>
      </c>
      <c r="IV92">
        <v>21</v>
      </c>
      <c r="IW92">
        <v>3.4</v>
      </c>
      <c r="IX92">
        <v>3.3</v>
      </c>
      <c r="IY92">
        <v>1.07056</v>
      </c>
      <c r="IZ92">
        <v>2.7063000000000001</v>
      </c>
      <c r="JA92">
        <v>1.4526399999999999</v>
      </c>
      <c r="JB92">
        <v>2.2753899999999998</v>
      </c>
      <c r="JC92">
        <v>1.5942400000000001</v>
      </c>
      <c r="JD92">
        <v>2.3071299999999999</v>
      </c>
      <c r="JE92">
        <v>50.025700000000001</v>
      </c>
      <c r="JF92">
        <v>23.973700000000001</v>
      </c>
      <c r="JG92">
        <v>18</v>
      </c>
      <c r="JH92">
        <v>513.65700000000004</v>
      </c>
      <c r="JI92">
        <v>419.45299999999997</v>
      </c>
      <c r="JJ92">
        <v>27.002199999999998</v>
      </c>
      <c r="JK92">
        <v>34.053800000000003</v>
      </c>
      <c r="JL92">
        <v>30.000299999999999</v>
      </c>
      <c r="JM92">
        <v>34.1282</v>
      </c>
      <c r="JN92">
        <v>34.1447</v>
      </c>
      <c r="JO92">
        <v>21.3825</v>
      </c>
      <c r="JP92">
        <v>30.009899999999998</v>
      </c>
      <c r="JQ92">
        <v>0</v>
      </c>
      <c r="JR92">
        <v>26.996300000000002</v>
      </c>
      <c r="JS92">
        <v>400</v>
      </c>
      <c r="JT92">
        <v>20.6206</v>
      </c>
      <c r="JU92">
        <v>98.878600000000006</v>
      </c>
      <c r="JV92">
        <v>98.393500000000003</v>
      </c>
    </row>
    <row r="93" spans="1:282" x14ac:dyDescent="0.25">
      <c r="A93">
        <v>77</v>
      </c>
      <c r="B93">
        <v>1689015092</v>
      </c>
      <c r="C93">
        <v>15751.400000095369</v>
      </c>
      <c r="D93" t="s">
        <v>810</v>
      </c>
      <c r="E93" t="s">
        <v>811</v>
      </c>
      <c r="F93" t="s">
        <v>414</v>
      </c>
      <c r="G93" t="s">
        <v>415</v>
      </c>
      <c r="H93" t="s">
        <v>31</v>
      </c>
      <c r="I93" t="s">
        <v>501</v>
      </c>
      <c r="J93" t="s">
        <v>416</v>
      </c>
      <c r="K93">
        <v>1689015092</v>
      </c>
      <c r="L93">
        <f t="shared" si="92"/>
        <v>6.6186667299421445E-3</v>
      </c>
      <c r="M93">
        <f t="shared" si="93"/>
        <v>6.6186667299421442</v>
      </c>
      <c r="N93">
        <f t="shared" si="94"/>
        <v>47.167881814056265</v>
      </c>
      <c r="O93">
        <f t="shared" si="95"/>
        <v>241.43700000000001</v>
      </c>
      <c r="P93">
        <f t="shared" si="96"/>
        <v>63.558534211710075</v>
      </c>
      <c r="Q93">
        <f t="shared" si="97"/>
        <v>6.3074917706244378</v>
      </c>
      <c r="R93">
        <f t="shared" si="98"/>
        <v>23.9599907315622</v>
      </c>
      <c r="S93">
        <f t="shared" si="99"/>
        <v>0.46602837972909478</v>
      </c>
      <c r="T93">
        <f t="shared" si="100"/>
        <v>2.9229401332159703</v>
      </c>
      <c r="U93">
        <f t="shared" si="101"/>
        <v>0.42833858619801013</v>
      </c>
      <c r="V93">
        <f t="shared" si="102"/>
        <v>0.2708434295185036</v>
      </c>
      <c r="W93">
        <f t="shared" si="103"/>
        <v>289.53933901270381</v>
      </c>
      <c r="X93">
        <f t="shared" si="104"/>
        <v>30.099778616112886</v>
      </c>
      <c r="Y93">
        <f t="shared" si="105"/>
        <v>30.012799999999999</v>
      </c>
      <c r="Z93">
        <f t="shared" si="106"/>
        <v>4.2635831504430985</v>
      </c>
      <c r="AA93">
        <f t="shared" si="107"/>
        <v>64.934376452807186</v>
      </c>
      <c r="AB93">
        <f t="shared" si="108"/>
        <v>2.7845995432857</v>
      </c>
      <c r="AC93">
        <f t="shared" si="109"/>
        <v>4.2883287642093295</v>
      </c>
      <c r="AD93">
        <f t="shared" si="110"/>
        <v>1.4789836071573985</v>
      </c>
      <c r="AE93">
        <f t="shared" si="111"/>
        <v>-291.88320279044859</v>
      </c>
      <c r="AF93">
        <f t="shared" si="112"/>
        <v>15.884220084963982</v>
      </c>
      <c r="AG93">
        <f t="shared" si="113"/>
        <v>1.2090849323450021</v>
      </c>
      <c r="AH93">
        <f t="shared" si="114"/>
        <v>14.749441239564174</v>
      </c>
      <c r="AI93">
        <v>0</v>
      </c>
      <c r="AJ93">
        <v>0</v>
      </c>
      <c r="AK93">
        <f t="shared" si="115"/>
        <v>1</v>
      </c>
      <c r="AL93">
        <f t="shared" si="116"/>
        <v>0</v>
      </c>
      <c r="AM93">
        <f t="shared" si="117"/>
        <v>52126.561094321507</v>
      </c>
      <c r="AN93" t="s">
        <v>418</v>
      </c>
      <c r="AO93">
        <v>8197.4</v>
      </c>
      <c r="AP93">
        <v>619.92999999999995</v>
      </c>
      <c r="AQ93">
        <v>3131.443117258741</v>
      </c>
      <c r="AR93">
        <f t="shared" si="118"/>
        <v>0.80203057287443702</v>
      </c>
      <c r="AS93">
        <v>-1.0448500102641549</v>
      </c>
      <c r="AT93" t="s">
        <v>812</v>
      </c>
      <c r="AU93">
        <v>8183.57</v>
      </c>
      <c r="AV93">
        <v>773.75873076923074</v>
      </c>
      <c r="AW93">
        <v>1152.5888798253941</v>
      </c>
      <c r="AX93">
        <f t="shared" si="119"/>
        <v>0.32867760195079476</v>
      </c>
      <c r="AY93">
        <v>0.5</v>
      </c>
      <c r="AZ93">
        <f t="shared" si="120"/>
        <v>1513.0419000065824</v>
      </c>
      <c r="BA93">
        <f t="shared" si="121"/>
        <v>47.167881814056265</v>
      </c>
      <c r="BB93">
        <f t="shared" si="122"/>
        <v>248.65149167261885</v>
      </c>
      <c r="BC93">
        <f t="shared" si="123"/>
        <v>3.1864769788669221E-2</v>
      </c>
      <c r="BD93">
        <f t="shared" si="124"/>
        <v>1.7168777801614084</v>
      </c>
      <c r="BE93">
        <f t="shared" si="125"/>
        <v>462.6725469809046</v>
      </c>
      <c r="BF93" t="s">
        <v>813</v>
      </c>
      <c r="BG93">
        <v>605.49</v>
      </c>
      <c r="BH93">
        <f t="shared" si="126"/>
        <v>605.49</v>
      </c>
      <c r="BI93">
        <f t="shared" si="127"/>
        <v>0.47466958028284478</v>
      </c>
      <c r="BJ93">
        <f t="shared" si="128"/>
        <v>0.69243451782805066</v>
      </c>
      <c r="BK93">
        <f t="shared" si="129"/>
        <v>0.78340893340921292</v>
      </c>
      <c r="BL93">
        <f t="shared" si="130"/>
        <v>0.71120592072048827</v>
      </c>
      <c r="BM93">
        <f t="shared" si="131"/>
        <v>0.78791316033149805</v>
      </c>
      <c r="BN93">
        <f t="shared" si="132"/>
        <v>0.54185130264429804</v>
      </c>
      <c r="BO93">
        <f t="shared" si="133"/>
        <v>0.45814869735570196</v>
      </c>
      <c r="BP93">
        <v>13722</v>
      </c>
      <c r="BQ93">
        <v>290.00000000000011</v>
      </c>
      <c r="BR93">
        <v>1034.6600000000001</v>
      </c>
      <c r="BS93">
        <v>295</v>
      </c>
      <c r="BT93">
        <v>8183.57</v>
      </c>
      <c r="BU93">
        <v>1036.29</v>
      </c>
      <c r="BV93">
        <v>-1.63</v>
      </c>
      <c r="BW93">
        <v>300.00000000000011</v>
      </c>
      <c r="BX93">
        <v>19.3</v>
      </c>
      <c r="BY93">
        <v>1152.5888798253941</v>
      </c>
      <c r="BZ93">
        <v>3.443904024268075</v>
      </c>
      <c r="CA93">
        <v>-95.175769686359388</v>
      </c>
      <c r="CB93">
        <v>2.5881920794601769</v>
      </c>
      <c r="CC93">
        <v>0.97971394798327371</v>
      </c>
      <c r="CD93">
        <v>-4.2379739710789836E-3</v>
      </c>
      <c r="CE93">
        <v>289.99999999999989</v>
      </c>
      <c r="CF93">
        <v>1034.48</v>
      </c>
      <c r="CG93">
        <v>645</v>
      </c>
      <c r="CH93">
        <v>8173.3</v>
      </c>
      <c r="CI93">
        <v>1036.1400000000001</v>
      </c>
      <c r="CJ93">
        <v>-1.66</v>
      </c>
      <c r="CX93">
        <f t="shared" si="134"/>
        <v>1799.83</v>
      </c>
      <c r="CY93">
        <f t="shared" si="135"/>
        <v>1513.0419000065824</v>
      </c>
      <c r="CZ93">
        <f t="shared" si="136"/>
        <v>0.84065822883638031</v>
      </c>
      <c r="DA93">
        <f t="shared" si="137"/>
        <v>0.16087038165421391</v>
      </c>
      <c r="DB93">
        <v>6</v>
      </c>
      <c r="DC93">
        <v>0.5</v>
      </c>
      <c r="DD93" t="s">
        <v>421</v>
      </c>
      <c r="DE93">
        <v>2</v>
      </c>
      <c r="DF93">
        <v>1689015092</v>
      </c>
      <c r="DG93">
        <v>241.43700000000001</v>
      </c>
      <c r="DH93">
        <v>299.93299999999999</v>
      </c>
      <c r="DI93">
        <v>28.0595</v>
      </c>
      <c r="DJ93">
        <v>20.343</v>
      </c>
      <c r="DK93">
        <v>241.82</v>
      </c>
      <c r="DL93">
        <v>27.931999999999999</v>
      </c>
      <c r="DM93">
        <v>500.197</v>
      </c>
      <c r="DN93">
        <v>99.139899999999997</v>
      </c>
      <c r="DO93">
        <v>9.92006E-2</v>
      </c>
      <c r="DP93">
        <v>30.113600000000002</v>
      </c>
      <c r="DQ93">
        <v>30.012799999999999</v>
      </c>
      <c r="DR93">
        <v>999.9</v>
      </c>
      <c r="DS93">
        <v>0</v>
      </c>
      <c r="DT93">
        <v>0</v>
      </c>
      <c r="DU93">
        <v>10048.799999999999</v>
      </c>
      <c r="DV93">
        <v>0</v>
      </c>
      <c r="DW93">
        <v>1783.02</v>
      </c>
      <c r="DX93">
        <v>-58.496099999999998</v>
      </c>
      <c r="DY93">
        <v>248.40799999999999</v>
      </c>
      <c r="DZ93">
        <v>306.16199999999998</v>
      </c>
      <c r="EA93">
        <v>7.71652</v>
      </c>
      <c r="EB93">
        <v>299.93299999999999</v>
      </c>
      <c r="EC93">
        <v>20.343</v>
      </c>
      <c r="ED93">
        <v>2.7818100000000001</v>
      </c>
      <c r="EE93">
        <v>2.0167999999999999</v>
      </c>
      <c r="EF93">
        <v>22.776599999999998</v>
      </c>
      <c r="EG93">
        <v>17.576799999999999</v>
      </c>
      <c r="EH93">
        <v>1799.83</v>
      </c>
      <c r="EI93">
        <v>0.97799599999999998</v>
      </c>
      <c r="EJ93">
        <v>2.20039E-2</v>
      </c>
      <c r="EK93">
        <v>0</v>
      </c>
      <c r="EL93">
        <v>771.55799999999999</v>
      </c>
      <c r="EM93">
        <v>4.9999900000000004</v>
      </c>
      <c r="EN93">
        <v>19250.3</v>
      </c>
      <c r="EO93">
        <v>15862.3</v>
      </c>
      <c r="EP93">
        <v>48.625</v>
      </c>
      <c r="EQ93">
        <v>49.811999999999998</v>
      </c>
      <c r="ER93">
        <v>49.25</v>
      </c>
      <c r="ES93">
        <v>49.186999999999998</v>
      </c>
      <c r="ET93">
        <v>50.25</v>
      </c>
      <c r="EU93">
        <v>1755.34</v>
      </c>
      <c r="EV93">
        <v>39.49</v>
      </c>
      <c r="EW93">
        <v>0</v>
      </c>
      <c r="EX93">
        <v>172.4000000953674</v>
      </c>
      <c r="EY93">
        <v>0</v>
      </c>
      <c r="EZ93">
        <v>773.75873076923074</v>
      </c>
      <c r="FA93">
        <v>-18.123931619276611</v>
      </c>
      <c r="FB93">
        <v>-290.59487190446202</v>
      </c>
      <c r="FC93">
        <v>19293.188461538459</v>
      </c>
      <c r="FD93">
        <v>15</v>
      </c>
      <c r="FE93">
        <v>1689015040</v>
      </c>
      <c r="FF93" t="s">
        <v>814</v>
      </c>
      <c r="FG93">
        <v>1689015026</v>
      </c>
      <c r="FH93">
        <v>1689015040</v>
      </c>
      <c r="FI93">
        <v>87</v>
      </c>
      <c r="FJ93">
        <v>6.5000000000000002E-2</v>
      </c>
      <c r="FK93">
        <v>-1E-3</v>
      </c>
      <c r="FL93">
        <v>-0.38100000000000001</v>
      </c>
      <c r="FM93">
        <v>0.1</v>
      </c>
      <c r="FN93">
        <v>300</v>
      </c>
      <c r="FO93">
        <v>21</v>
      </c>
      <c r="FP93">
        <v>0.06</v>
      </c>
      <c r="FQ93">
        <v>0.01</v>
      </c>
      <c r="FR93">
        <v>47.1967239922947</v>
      </c>
      <c r="FS93">
        <v>-0.32842082509359388</v>
      </c>
      <c r="FT93">
        <v>4.6850655949915249E-2</v>
      </c>
      <c r="FU93">
        <v>1</v>
      </c>
      <c r="FV93">
        <v>0.47102870521580859</v>
      </c>
      <c r="FW93">
        <v>-4.6116498706453041E-2</v>
      </c>
      <c r="FX93">
        <v>3.5112433691215639E-3</v>
      </c>
      <c r="FY93">
        <v>1</v>
      </c>
      <c r="FZ93">
        <v>2</v>
      </c>
      <c r="GA93">
        <v>2</v>
      </c>
      <c r="GB93" t="s">
        <v>423</v>
      </c>
      <c r="GC93">
        <v>2.9580600000000001</v>
      </c>
      <c r="GD93">
        <v>2.7428599999999999</v>
      </c>
      <c r="GE93">
        <v>5.9070999999999999E-2</v>
      </c>
      <c r="GF93">
        <v>7.0565299999999997E-2</v>
      </c>
      <c r="GG93">
        <v>0.12870100000000001</v>
      </c>
      <c r="GH93">
        <v>0.10229000000000001</v>
      </c>
      <c r="GI93">
        <v>22063.4</v>
      </c>
      <c r="GJ93">
        <v>20335.099999999999</v>
      </c>
      <c r="GK93">
        <v>23382.3</v>
      </c>
      <c r="GL93">
        <v>21929.1</v>
      </c>
      <c r="GM93">
        <v>28735.1</v>
      </c>
      <c r="GN93">
        <v>27461.8</v>
      </c>
      <c r="GO93">
        <v>36897.699999999997</v>
      </c>
      <c r="GP93">
        <v>34111.1</v>
      </c>
      <c r="GQ93">
        <v>1.99312</v>
      </c>
      <c r="GR93">
        <v>1.7918799999999999</v>
      </c>
      <c r="GS93">
        <v>1.0058300000000001E-3</v>
      </c>
      <c r="GT93">
        <v>0</v>
      </c>
      <c r="GU93">
        <v>29.996500000000001</v>
      </c>
      <c r="GV93">
        <v>999.9</v>
      </c>
      <c r="GW93">
        <v>27.5</v>
      </c>
      <c r="GX93">
        <v>47.4</v>
      </c>
      <c r="GY93">
        <v>30.225000000000001</v>
      </c>
      <c r="GZ93">
        <v>59.755299999999998</v>
      </c>
      <c r="HA93">
        <v>38.862200000000001</v>
      </c>
      <c r="HB93">
        <v>1</v>
      </c>
      <c r="HC93">
        <v>0.56172</v>
      </c>
      <c r="HD93">
        <v>2.3786800000000001</v>
      </c>
      <c r="HE93">
        <v>20.096699999999998</v>
      </c>
      <c r="HF93">
        <v>5.2634100000000004</v>
      </c>
      <c r="HG93">
        <v>11.962</v>
      </c>
      <c r="HH93">
        <v>4.9797500000000001</v>
      </c>
      <c r="HI93">
        <v>3.298</v>
      </c>
      <c r="HJ93">
        <v>9999</v>
      </c>
      <c r="HK93">
        <v>9999</v>
      </c>
      <c r="HL93">
        <v>9999</v>
      </c>
      <c r="HM93">
        <v>999.9</v>
      </c>
      <c r="HN93">
        <v>1.86443</v>
      </c>
      <c r="HO93">
        <v>1.8604799999999999</v>
      </c>
      <c r="HP93">
        <v>1.8670100000000001</v>
      </c>
      <c r="HQ93">
        <v>1.86371</v>
      </c>
      <c r="HR93">
        <v>1.8623400000000001</v>
      </c>
      <c r="HS93">
        <v>1.8623499999999999</v>
      </c>
      <c r="HT93">
        <v>1.8636999999999999</v>
      </c>
      <c r="HU93">
        <v>1.86493</v>
      </c>
      <c r="HV93">
        <v>0</v>
      </c>
      <c r="HW93">
        <v>0</v>
      </c>
      <c r="HX93">
        <v>0</v>
      </c>
      <c r="HY93">
        <v>0</v>
      </c>
      <c r="HZ93" t="s">
        <v>424</v>
      </c>
      <c r="IA93" t="s">
        <v>425</v>
      </c>
      <c r="IB93" t="s">
        <v>426</v>
      </c>
      <c r="IC93" t="s">
        <v>426</v>
      </c>
      <c r="ID93" t="s">
        <v>426</v>
      </c>
      <c r="IE93" t="s">
        <v>426</v>
      </c>
      <c r="IF93">
        <v>0</v>
      </c>
      <c r="IG93">
        <v>100</v>
      </c>
      <c r="IH93">
        <v>100</v>
      </c>
      <c r="II93">
        <v>-0.38300000000000001</v>
      </c>
      <c r="IJ93">
        <v>0.1275</v>
      </c>
      <c r="IK93">
        <v>-0.37583996471893538</v>
      </c>
      <c r="IL93">
        <v>-8.3322953065825546E-5</v>
      </c>
      <c r="IM93">
        <v>2.3872336679552741E-7</v>
      </c>
      <c r="IN93">
        <v>-5.428329794194132E-11</v>
      </c>
      <c r="IO93">
        <v>0.12744305676240661</v>
      </c>
      <c r="IP93">
        <v>0</v>
      </c>
      <c r="IQ93">
        <v>0</v>
      </c>
      <c r="IR93">
        <v>0</v>
      </c>
      <c r="IS93">
        <v>2</v>
      </c>
      <c r="IT93">
        <v>2035</v>
      </c>
      <c r="IU93">
        <v>1</v>
      </c>
      <c r="IV93">
        <v>21</v>
      </c>
      <c r="IW93">
        <v>1.1000000000000001</v>
      </c>
      <c r="IX93">
        <v>0.9</v>
      </c>
      <c r="IY93">
        <v>0.84838899999999995</v>
      </c>
      <c r="IZ93">
        <v>2.7111800000000001</v>
      </c>
      <c r="JA93">
        <v>1.4526399999999999</v>
      </c>
      <c r="JB93">
        <v>2.2753899999999998</v>
      </c>
      <c r="JC93">
        <v>1.5942400000000001</v>
      </c>
      <c r="JD93">
        <v>2.36328</v>
      </c>
      <c r="JE93">
        <v>50.0578</v>
      </c>
      <c r="JF93">
        <v>23.982399999999998</v>
      </c>
      <c r="JG93">
        <v>18</v>
      </c>
      <c r="JH93">
        <v>513.60900000000004</v>
      </c>
      <c r="JI93">
        <v>417.51499999999999</v>
      </c>
      <c r="JJ93">
        <v>27.2896</v>
      </c>
      <c r="JK93">
        <v>33.997599999999998</v>
      </c>
      <c r="JL93">
        <v>29.999600000000001</v>
      </c>
      <c r="JM93">
        <v>34.078099999999999</v>
      </c>
      <c r="JN93">
        <v>34.0929</v>
      </c>
      <c r="JO93">
        <v>16.936699999999998</v>
      </c>
      <c r="JP93">
        <v>35.834099999999999</v>
      </c>
      <c r="JQ93">
        <v>0</v>
      </c>
      <c r="JR93">
        <v>27.289899999999999</v>
      </c>
      <c r="JS93">
        <v>300</v>
      </c>
      <c r="JT93">
        <v>20.2454</v>
      </c>
      <c r="JU93">
        <v>98.892300000000006</v>
      </c>
      <c r="JV93">
        <v>98.406499999999994</v>
      </c>
    </row>
    <row r="94" spans="1:282" x14ac:dyDescent="0.25">
      <c r="A94">
        <v>78</v>
      </c>
      <c r="B94">
        <v>1689015242</v>
      </c>
      <c r="C94">
        <v>15901.400000095369</v>
      </c>
      <c r="D94" t="s">
        <v>815</v>
      </c>
      <c r="E94" t="s">
        <v>816</v>
      </c>
      <c r="F94" t="s">
        <v>414</v>
      </c>
      <c r="G94" t="s">
        <v>415</v>
      </c>
      <c r="H94" t="s">
        <v>31</v>
      </c>
      <c r="I94" t="s">
        <v>501</v>
      </c>
      <c r="J94" t="s">
        <v>416</v>
      </c>
      <c r="K94">
        <v>1689015242</v>
      </c>
      <c r="L94">
        <f t="shared" si="92"/>
        <v>6.7578408147581552E-3</v>
      </c>
      <c r="M94">
        <f t="shared" si="93"/>
        <v>6.757840814758155</v>
      </c>
      <c r="N94">
        <f t="shared" si="94"/>
        <v>32.025795885983207</v>
      </c>
      <c r="O94">
        <f t="shared" si="95"/>
        <v>160.19900000000001</v>
      </c>
      <c r="P94">
        <f t="shared" si="96"/>
        <v>42.366401106402272</v>
      </c>
      <c r="Q94">
        <f t="shared" si="97"/>
        <v>4.2044576560623392</v>
      </c>
      <c r="R94">
        <f t="shared" si="98"/>
        <v>15.898209299202101</v>
      </c>
      <c r="S94">
        <f t="shared" si="99"/>
        <v>0.47863869303460099</v>
      </c>
      <c r="T94">
        <f t="shared" si="100"/>
        <v>2.9157378760963786</v>
      </c>
      <c r="U94">
        <f t="shared" si="101"/>
        <v>0.43888526080840279</v>
      </c>
      <c r="V94">
        <f t="shared" si="102"/>
        <v>0.27759931089314049</v>
      </c>
      <c r="W94">
        <f t="shared" si="103"/>
        <v>289.58402701270182</v>
      </c>
      <c r="X94">
        <f t="shared" si="104"/>
        <v>29.863828671891969</v>
      </c>
      <c r="Y94">
        <f t="shared" si="105"/>
        <v>29.960799999999999</v>
      </c>
      <c r="Z94">
        <f t="shared" si="106"/>
        <v>4.2508662829082224</v>
      </c>
      <c r="AA94">
        <f t="shared" si="107"/>
        <v>65.50243363616471</v>
      </c>
      <c r="AB94">
        <f t="shared" si="108"/>
        <v>2.7768946342088503</v>
      </c>
      <c r="AC94">
        <f t="shared" si="109"/>
        <v>4.2393762797168693</v>
      </c>
      <c r="AD94">
        <f t="shared" si="110"/>
        <v>1.4739716486993721</v>
      </c>
      <c r="AE94">
        <f t="shared" si="111"/>
        <v>-298.02077993083464</v>
      </c>
      <c r="AF94">
        <f t="shared" si="112"/>
        <v>-7.4038025637147422</v>
      </c>
      <c r="AG94">
        <f t="shared" si="113"/>
        <v>-0.5642552348565586</v>
      </c>
      <c r="AH94">
        <f t="shared" si="114"/>
        <v>-16.404810716704098</v>
      </c>
      <c r="AI94">
        <v>0</v>
      </c>
      <c r="AJ94">
        <v>0</v>
      </c>
      <c r="AK94">
        <f t="shared" si="115"/>
        <v>1</v>
      </c>
      <c r="AL94">
        <f t="shared" si="116"/>
        <v>0</v>
      </c>
      <c r="AM94">
        <f t="shared" si="117"/>
        <v>51955.733697000869</v>
      </c>
      <c r="AN94" t="s">
        <v>418</v>
      </c>
      <c r="AO94">
        <v>8197.4</v>
      </c>
      <c r="AP94">
        <v>619.92999999999995</v>
      </c>
      <c r="AQ94">
        <v>3131.443117258741</v>
      </c>
      <c r="AR94">
        <f t="shared" si="118"/>
        <v>0.80203057287443702</v>
      </c>
      <c r="AS94">
        <v>-1.0448500102641549</v>
      </c>
      <c r="AT94" t="s">
        <v>817</v>
      </c>
      <c r="AU94">
        <v>8185.04</v>
      </c>
      <c r="AV94">
        <v>724.91338461538464</v>
      </c>
      <c r="AW94">
        <v>957.21809809765568</v>
      </c>
      <c r="AX94">
        <f t="shared" si="119"/>
        <v>0.24268733943073784</v>
      </c>
      <c r="AY94">
        <v>0.5</v>
      </c>
      <c r="AZ94">
        <f t="shared" si="120"/>
        <v>1513.2771000065811</v>
      </c>
      <c r="BA94">
        <f t="shared" si="121"/>
        <v>32.025795885983207</v>
      </c>
      <c r="BB94">
        <f t="shared" si="122"/>
        <v>183.62659661102987</v>
      </c>
      <c r="BC94">
        <f t="shared" si="123"/>
        <v>2.1853661762345801E-2</v>
      </c>
      <c r="BD94">
        <f t="shared" si="124"/>
        <v>2.2713998235951349</v>
      </c>
      <c r="BE94">
        <f t="shared" si="125"/>
        <v>427.63592694798615</v>
      </c>
      <c r="BF94" t="s">
        <v>818</v>
      </c>
      <c r="BG94">
        <v>581.15</v>
      </c>
      <c r="BH94">
        <f t="shared" si="126"/>
        <v>581.15</v>
      </c>
      <c r="BI94">
        <f t="shared" si="127"/>
        <v>0.39287608419130526</v>
      </c>
      <c r="BJ94">
        <f t="shared" si="128"/>
        <v>0.61771980834691054</v>
      </c>
      <c r="BK94">
        <f t="shared" si="129"/>
        <v>0.85253926477993114</v>
      </c>
      <c r="BL94">
        <f t="shared" si="130"/>
        <v>0.6887426944279883</v>
      </c>
      <c r="BM94">
        <f t="shared" si="131"/>
        <v>0.86570323054263087</v>
      </c>
      <c r="BN94">
        <f t="shared" si="132"/>
        <v>0.49521484116516107</v>
      </c>
      <c r="BO94">
        <f t="shared" si="133"/>
        <v>0.50478515883483888</v>
      </c>
      <c r="BP94">
        <v>13724</v>
      </c>
      <c r="BQ94">
        <v>290.00000000000011</v>
      </c>
      <c r="BR94">
        <v>889.93</v>
      </c>
      <c r="BS94">
        <v>255</v>
      </c>
      <c r="BT94">
        <v>8185.04</v>
      </c>
      <c r="BU94">
        <v>892.65</v>
      </c>
      <c r="BV94">
        <v>-2.72</v>
      </c>
      <c r="BW94">
        <v>300.00000000000011</v>
      </c>
      <c r="BX94">
        <v>19.3</v>
      </c>
      <c r="BY94">
        <v>957.21809809765568</v>
      </c>
      <c r="BZ94">
        <v>2.850243219538072</v>
      </c>
      <c r="CA94">
        <v>-52.847962890045338</v>
      </c>
      <c r="CB94">
        <v>2.1418926760181631</v>
      </c>
      <c r="CC94">
        <v>0.95602883894007795</v>
      </c>
      <c r="CD94">
        <v>-4.2373917686318163E-3</v>
      </c>
      <c r="CE94">
        <v>289.99999999999989</v>
      </c>
      <c r="CF94">
        <v>891.54</v>
      </c>
      <c r="CG94">
        <v>645</v>
      </c>
      <c r="CH94">
        <v>8172.75</v>
      </c>
      <c r="CI94">
        <v>892.55</v>
      </c>
      <c r="CJ94">
        <v>-1.01</v>
      </c>
      <c r="CX94">
        <f t="shared" si="134"/>
        <v>1800.11</v>
      </c>
      <c r="CY94">
        <f t="shared" si="135"/>
        <v>1513.2771000065811</v>
      </c>
      <c r="CZ94">
        <f t="shared" si="136"/>
        <v>0.84065812645148419</v>
      </c>
      <c r="DA94">
        <f t="shared" si="137"/>
        <v>0.16087018405136455</v>
      </c>
      <c r="DB94">
        <v>6</v>
      </c>
      <c r="DC94">
        <v>0.5</v>
      </c>
      <c r="DD94" t="s">
        <v>421</v>
      </c>
      <c r="DE94">
        <v>2</v>
      </c>
      <c r="DF94">
        <v>1689015242</v>
      </c>
      <c r="DG94">
        <v>160.19900000000001</v>
      </c>
      <c r="DH94">
        <v>199.917</v>
      </c>
      <c r="DI94">
        <v>27.9815</v>
      </c>
      <c r="DJ94">
        <v>20.101400000000002</v>
      </c>
      <c r="DK94">
        <v>160.571</v>
      </c>
      <c r="DL94">
        <v>27.856300000000001</v>
      </c>
      <c r="DM94">
        <v>500.15199999999999</v>
      </c>
      <c r="DN94">
        <v>99.1404</v>
      </c>
      <c r="DO94">
        <v>9.9977899999999995E-2</v>
      </c>
      <c r="DP94">
        <v>29.913699999999999</v>
      </c>
      <c r="DQ94">
        <v>29.960799999999999</v>
      </c>
      <c r="DR94">
        <v>999.9</v>
      </c>
      <c r="DS94">
        <v>0</v>
      </c>
      <c r="DT94">
        <v>0</v>
      </c>
      <c r="DU94">
        <v>10007.5</v>
      </c>
      <c r="DV94">
        <v>0</v>
      </c>
      <c r="DW94">
        <v>1781.03</v>
      </c>
      <c r="DX94">
        <v>-39.718000000000004</v>
      </c>
      <c r="DY94">
        <v>164.81100000000001</v>
      </c>
      <c r="DZ94">
        <v>204.018</v>
      </c>
      <c r="EA94">
        <v>7.8801800000000002</v>
      </c>
      <c r="EB94">
        <v>199.917</v>
      </c>
      <c r="EC94">
        <v>20.101400000000002</v>
      </c>
      <c r="ED94">
        <v>2.7740999999999998</v>
      </c>
      <c r="EE94">
        <v>1.9928600000000001</v>
      </c>
      <c r="EF94">
        <v>22.730799999999999</v>
      </c>
      <c r="EG94">
        <v>17.387699999999999</v>
      </c>
      <c r="EH94">
        <v>1800.11</v>
      </c>
      <c r="EI94">
        <v>0.97799899999999995</v>
      </c>
      <c r="EJ94">
        <v>2.2000700000000002E-2</v>
      </c>
      <c r="EK94">
        <v>0</v>
      </c>
      <c r="EL94">
        <v>724.65</v>
      </c>
      <c r="EM94">
        <v>4.9999900000000004</v>
      </c>
      <c r="EN94">
        <v>18487.099999999999</v>
      </c>
      <c r="EO94">
        <v>15864.8</v>
      </c>
      <c r="EP94">
        <v>48.5</v>
      </c>
      <c r="EQ94">
        <v>49.811999999999998</v>
      </c>
      <c r="ER94">
        <v>49.125</v>
      </c>
      <c r="ES94">
        <v>49.186999999999998</v>
      </c>
      <c r="ET94">
        <v>50.186999999999998</v>
      </c>
      <c r="EU94">
        <v>1755.62</v>
      </c>
      <c r="EV94">
        <v>39.49</v>
      </c>
      <c r="EW94">
        <v>0</v>
      </c>
      <c r="EX94">
        <v>147.79999995231631</v>
      </c>
      <c r="EY94">
        <v>0</v>
      </c>
      <c r="EZ94">
        <v>724.91338461538464</v>
      </c>
      <c r="FA94">
        <v>-3.714598288490639</v>
      </c>
      <c r="FB94">
        <v>-523.49401729664794</v>
      </c>
      <c r="FC94">
        <v>18587.715384615389</v>
      </c>
      <c r="FD94">
        <v>15</v>
      </c>
      <c r="FE94">
        <v>1689015199.5</v>
      </c>
      <c r="FF94" t="s">
        <v>819</v>
      </c>
      <c r="FG94">
        <v>1689015190.5</v>
      </c>
      <c r="FH94">
        <v>1689015199.5</v>
      </c>
      <c r="FI94">
        <v>88</v>
      </c>
      <c r="FJ94">
        <v>1.0999999999999999E-2</v>
      </c>
      <c r="FK94">
        <v>-2E-3</v>
      </c>
      <c r="FL94">
        <v>-0.372</v>
      </c>
      <c r="FM94">
        <v>9.8000000000000004E-2</v>
      </c>
      <c r="FN94">
        <v>200</v>
      </c>
      <c r="FO94">
        <v>21</v>
      </c>
      <c r="FP94">
        <v>0.03</v>
      </c>
      <c r="FQ94">
        <v>0.01</v>
      </c>
      <c r="FR94">
        <v>31.8835657007</v>
      </c>
      <c r="FS94">
        <v>-3.0283987609609941E-2</v>
      </c>
      <c r="FT94">
        <v>4.5692605814766557E-2</v>
      </c>
      <c r="FU94">
        <v>1</v>
      </c>
      <c r="FV94">
        <v>0.48057948843827242</v>
      </c>
      <c r="FW94">
        <v>-4.1926934153608167E-2</v>
      </c>
      <c r="FX94">
        <v>3.3519988447125999E-3</v>
      </c>
      <c r="FY94">
        <v>1</v>
      </c>
      <c r="FZ94">
        <v>2</v>
      </c>
      <c r="GA94">
        <v>2</v>
      </c>
      <c r="GB94" t="s">
        <v>423</v>
      </c>
      <c r="GC94">
        <v>2.9579800000000001</v>
      </c>
      <c r="GD94">
        <v>2.7432699999999999</v>
      </c>
      <c r="GE94">
        <v>4.1289699999999999E-2</v>
      </c>
      <c r="GF94">
        <v>5.0105700000000003E-2</v>
      </c>
      <c r="GG94">
        <v>0.12847</v>
      </c>
      <c r="GH94">
        <v>0.10144300000000001</v>
      </c>
      <c r="GI94">
        <v>22482.1</v>
      </c>
      <c r="GJ94">
        <v>20784.8</v>
      </c>
      <c r="GK94">
        <v>23384.5</v>
      </c>
      <c r="GL94">
        <v>21931.599999999999</v>
      </c>
      <c r="GM94">
        <v>28744.799999999999</v>
      </c>
      <c r="GN94">
        <v>27489.9</v>
      </c>
      <c r="GO94">
        <v>36901.9</v>
      </c>
      <c r="GP94">
        <v>34115</v>
      </c>
      <c r="GQ94">
        <v>1.9934000000000001</v>
      </c>
      <c r="GR94">
        <v>1.7905800000000001</v>
      </c>
      <c r="GS94">
        <v>-2.7641699999999998E-3</v>
      </c>
      <c r="GT94">
        <v>0</v>
      </c>
      <c r="GU94">
        <v>30.005800000000001</v>
      </c>
      <c r="GV94">
        <v>999.9</v>
      </c>
      <c r="GW94">
        <v>27.8</v>
      </c>
      <c r="GX94">
        <v>47.5</v>
      </c>
      <c r="GY94">
        <v>30.709</v>
      </c>
      <c r="GZ94">
        <v>59.965299999999999</v>
      </c>
      <c r="HA94">
        <v>38.790100000000002</v>
      </c>
      <c r="HB94">
        <v>1</v>
      </c>
      <c r="HC94">
        <v>0.55880300000000005</v>
      </c>
      <c r="HD94">
        <v>2.6073900000000001</v>
      </c>
      <c r="HE94">
        <v>20.094000000000001</v>
      </c>
      <c r="HF94">
        <v>5.2640099999999999</v>
      </c>
      <c r="HG94">
        <v>11.962</v>
      </c>
      <c r="HH94">
        <v>4.9798</v>
      </c>
      <c r="HI94">
        <v>3.298</v>
      </c>
      <c r="HJ94">
        <v>9999</v>
      </c>
      <c r="HK94">
        <v>9999</v>
      </c>
      <c r="HL94">
        <v>9999</v>
      </c>
      <c r="HM94">
        <v>999.9</v>
      </c>
      <c r="HN94">
        <v>1.8644000000000001</v>
      </c>
      <c r="HO94">
        <v>1.8604700000000001</v>
      </c>
      <c r="HP94">
        <v>1.8669899999999999</v>
      </c>
      <c r="HQ94">
        <v>1.86371</v>
      </c>
      <c r="HR94">
        <v>1.8623400000000001</v>
      </c>
      <c r="HS94">
        <v>1.86236</v>
      </c>
      <c r="HT94">
        <v>1.8636900000000001</v>
      </c>
      <c r="HU94">
        <v>1.86493</v>
      </c>
      <c r="HV94">
        <v>0</v>
      </c>
      <c r="HW94">
        <v>0</v>
      </c>
      <c r="HX94">
        <v>0</v>
      </c>
      <c r="HY94">
        <v>0</v>
      </c>
      <c r="HZ94" t="s">
        <v>424</v>
      </c>
      <c r="IA94" t="s">
        <v>425</v>
      </c>
      <c r="IB94" t="s">
        <v>426</v>
      </c>
      <c r="IC94" t="s">
        <v>426</v>
      </c>
      <c r="ID94" t="s">
        <v>426</v>
      </c>
      <c r="IE94" t="s">
        <v>426</v>
      </c>
      <c r="IF94">
        <v>0</v>
      </c>
      <c r="IG94">
        <v>100</v>
      </c>
      <c r="IH94">
        <v>100</v>
      </c>
      <c r="II94">
        <v>-0.372</v>
      </c>
      <c r="IJ94">
        <v>0.12520000000000001</v>
      </c>
      <c r="IK94">
        <v>-0.36440205721312308</v>
      </c>
      <c r="IL94">
        <v>-8.3322953065825546E-5</v>
      </c>
      <c r="IM94">
        <v>2.3872336679552741E-7</v>
      </c>
      <c r="IN94">
        <v>-5.428329794194132E-11</v>
      </c>
      <c r="IO94">
        <v>0.12528228333069211</v>
      </c>
      <c r="IP94">
        <v>0</v>
      </c>
      <c r="IQ94">
        <v>0</v>
      </c>
      <c r="IR94">
        <v>0</v>
      </c>
      <c r="IS94">
        <v>2</v>
      </c>
      <c r="IT94">
        <v>2035</v>
      </c>
      <c r="IU94">
        <v>1</v>
      </c>
      <c r="IV94">
        <v>21</v>
      </c>
      <c r="IW94">
        <v>0.9</v>
      </c>
      <c r="IX94">
        <v>0.7</v>
      </c>
      <c r="IY94">
        <v>0.617676</v>
      </c>
      <c r="IZ94">
        <v>2.7148400000000001</v>
      </c>
      <c r="JA94">
        <v>1.4514199999999999</v>
      </c>
      <c r="JB94">
        <v>2.2753899999999998</v>
      </c>
      <c r="JC94">
        <v>1.5942400000000001</v>
      </c>
      <c r="JD94">
        <v>2.4072300000000002</v>
      </c>
      <c r="JE94">
        <v>50.0899</v>
      </c>
      <c r="JF94">
        <v>23.982399999999998</v>
      </c>
      <c r="JG94">
        <v>18</v>
      </c>
      <c r="JH94">
        <v>513.49900000000002</v>
      </c>
      <c r="JI94">
        <v>416.40100000000001</v>
      </c>
      <c r="JJ94">
        <v>26.926400000000001</v>
      </c>
      <c r="JK94">
        <v>33.976100000000002</v>
      </c>
      <c r="JL94">
        <v>29.999700000000001</v>
      </c>
      <c r="JM94">
        <v>34.043799999999997</v>
      </c>
      <c r="JN94">
        <v>34.059399999999997</v>
      </c>
      <c r="JO94">
        <v>12.338200000000001</v>
      </c>
      <c r="JP94">
        <v>37.667499999999997</v>
      </c>
      <c r="JQ94">
        <v>0</v>
      </c>
      <c r="JR94">
        <v>26.940899999999999</v>
      </c>
      <c r="JS94">
        <v>200</v>
      </c>
      <c r="JT94">
        <v>20.0246</v>
      </c>
      <c r="JU94">
        <v>98.902799999999999</v>
      </c>
      <c r="JV94">
        <v>98.417699999999996</v>
      </c>
    </row>
    <row r="95" spans="1:282" x14ac:dyDescent="0.25">
      <c r="A95">
        <v>79</v>
      </c>
      <c r="B95">
        <v>1689015366.5</v>
      </c>
      <c r="C95">
        <v>16025.900000095369</v>
      </c>
      <c r="D95" t="s">
        <v>820</v>
      </c>
      <c r="E95" t="s">
        <v>821</v>
      </c>
      <c r="F95" t="s">
        <v>414</v>
      </c>
      <c r="G95" t="s">
        <v>415</v>
      </c>
      <c r="H95" t="s">
        <v>31</v>
      </c>
      <c r="I95" t="s">
        <v>501</v>
      </c>
      <c r="J95" t="s">
        <v>416</v>
      </c>
      <c r="K95">
        <v>1689015366.5</v>
      </c>
      <c r="L95">
        <f t="shared" si="92"/>
        <v>6.8114013464717748E-3</v>
      </c>
      <c r="M95">
        <f t="shared" si="93"/>
        <v>6.8114013464717749</v>
      </c>
      <c r="N95">
        <f t="shared" si="94"/>
        <v>19.520065376407977</v>
      </c>
      <c r="O95">
        <f t="shared" si="95"/>
        <v>95.700999999999993</v>
      </c>
      <c r="P95">
        <f t="shared" si="96"/>
        <v>24.328830810943249</v>
      </c>
      <c r="Q95">
        <f t="shared" si="97"/>
        <v>2.4143056029172705</v>
      </c>
      <c r="R95">
        <f t="shared" si="98"/>
        <v>9.4970227833906993</v>
      </c>
      <c r="S95">
        <f t="shared" si="99"/>
        <v>0.48168153693650922</v>
      </c>
      <c r="T95">
        <f t="shared" si="100"/>
        <v>2.9139235548221167</v>
      </c>
      <c r="U95">
        <f t="shared" si="101"/>
        <v>0.44142097977422873</v>
      </c>
      <c r="V95">
        <f t="shared" si="102"/>
        <v>0.27922439906821295</v>
      </c>
      <c r="W95">
        <f t="shared" si="103"/>
        <v>289.5750300127055</v>
      </c>
      <c r="X95">
        <f t="shared" si="104"/>
        <v>29.873777236977997</v>
      </c>
      <c r="Y95">
        <f t="shared" si="105"/>
        <v>29.985399999999998</v>
      </c>
      <c r="Z95">
        <f t="shared" si="106"/>
        <v>4.2568782133199878</v>
      </c>
      <c r="AA95">
        <f t="shared" si="107"/>
        <v>65.482693993192783</v>
      </c>
      <c r="AB95">
        <f t="shared" si="108"/>
        <v>2.7798894455289602</v>
      </c>
      <c r="AC95">
        <f t="shared" si="109"/>
        <v>4.2452276716317483</v>
      </c>
      <c r="AD95">
        <f t="shared" si="110"/>
        <v>1.4769887677910276</v>
      </c>
      <c r="AE95">
        <f t="shared" si="111"/>
        <v>-300.38279937940524</v>
      </c>
      <c r="AF95">
        <f t="shared" si="112"/>
        <v>-7.4934528069969248</v>
      </c>
      <c r="AG95">
        <f t="shared" si="113"/>
        <v>-0.57158072506856838</v>
      </c>
      <c r="AH95">
        <f t="shared" si="114"/>
        <v>-18.872802898765212</v>
      </c>
      <c r="AI95">
        <v>0</v>
      </c>
      <c r="AJ95">
        <v>0</v>
      </c>
      <c r="AK95">
        <f t="shared" si="115"/>
        <v>1</v>
      </c>
      <c r="AL95">
        <f t="shared" si="116"/>
        <v>0</v>
      </c>
      <c r="AM95">
        <f t="shared" si="117"/>
        <v>51899.891760366438</v>
      </c>
      <c r="AN95" t="s">
        <v>418</v>
      </c>
      <c r="AO95">
        <v>8197.4</v>
      </c>
      <c r="AP95">
        <v>619.92999999999995</v>
      </c>
      <c r="AQ95">
        <v>3131.443117258741</v>
      </c>
      <c r="AR95">
        <f t="shared" si="118"/>
        <v>0.80203057287443702</v>
      </c>
      <c r="AS95">
        <v>-1.0448500102641549</v>
      </c>
      <c r="AT95" t="s">
        <v>822</v>
      </c>
      <c r="AU95">
        <v>8183.85</v>
      </c>
      <c r="AV95">
        <v>728.61692307692306</v>
      </c>
      <c r="AW95">
        <v>870.1920245764419</v>
      </c>
      <c r="AX95">
        <f t="shared" si="119"/>
        <v>0.16269409222456299</v>
      </c>
      <c r="AY95">
        <v>0.5</v>
      </c>
      <c r="AZ95">
        <f t="shared" si="120"/>
        <v>1513.227000006583</v>
      </c>
      <c r="BA95">
        <f t="shared" si="121"/>
        <v>19.520065376407977</v>
      </c>
      <c r="BB95">
        <f t="shared" si="122"/>
        <v>123.0965465478849</v>
      </c>
      <c r="BC95">
        <f t="shared" si="123"/>
        <v>1.3590106036029406E-2</v>
      </c>
      <c r="BD95">
        <f t="shared" si="124"/>
        <v>2.5985656370304504</v>
      </c>
      <c r="BE95">
        <f t="shared" si="125"/>
        <v>409.34696127796582</v>
      </c>
      <c r="BF95" t="s">
        <v>823</v>
      </c>
      <c r="BG95">
        <v>591.75</v>
      </c>
      <c r="BH95">
        <f t="shared" si="126"/>
        <v>591.75</v>
      </c>
      <c r="BI95">
        <f t="shared" si="127"/>
        <v>0.31997767930816312</v>
      </c>
      <c r="BJ95">
        <f t="shared" si="128"/>
        <v>0.50845450400268732</v>
      </c>
      <c r="BK95">
        <f t="shared" si="129"/>
        <v>0.8903639094486413</v>
      </c>
      <c r="BL95">
        <f t="shared" si="130"/>
        <v>0.56570748893736</v>
      </c>
      <c r="BM95">
        <f t="shared" si="131"/>
        <v>0.90035408421454033</v>
      </c>
      <c r="BN95">
        <f t="shared" si="132"/>
        <v>0.41294395341929951</v>
      </c>
      <c r="BO95">
        <f t="shared" si="133"/>
        <v>0.58705604658070043</v>
      </c>
      <c r="BP95">
        <v>13726</v>
      </c>
      <c r="BQ95">
        <v>290.00000000000011</v>
      </c>
      <c r="BR95">
        <v>825.91</v>
      </c>
      <c r="BS95">
        <v>295</v>
      </c>
      <c r="BT95">
        <v>8183.85</v>
      </c>
      <c r="BU95">
        <v>826.37</v>
      </c>
      <c r="BV95">
        <v>-0.46</v>
      </c>
      <c r="BW95">
        <v>300.00000000000011</v>
      </c>
      <c r="BX95">
        <v>19.3</v>
      </c>
      <c r="BY95">
        <v>870.1920245764419</v>
      </c>
      <c r="BZ95">
        <v>2.1792280396278572</v>
      </c>
      <c r="CA95">
        <v>-35.86579246114708</v>
      </c>
      <c r="CB95">
        <v>1.637838271021574</v>
      </c>
      <c r="CC95">
        <v>0.94483121349610999</v>
      </c>
      <c r="CD95">
        <v>-4.2375659621801988E-3</v>
      </c>
      <c r="CE95">
        <v>289.99999999999989</v>
      </c>
      <c r="CF95">
        <v>823.8</v>
      </c>
      <c r="CG95">
        <v>685</v>
      </c>
      <c r="CH95">
        <v>8172.55</v>
      </c>
      <c r="CI95">
        <v>826.31</v>
      </c>
      <c r="CJ95">
        <v>-2.5099999999999998</v>
      </c>
      <c r="CX95">
        <f t="shared" si="134"/>
        <v>1800.05</v>
      </c>
      <c r="CY95">
        <f t="shared" si="135"/>
        <v>1513.227000006583</v>
      </c>
      <c r="CZ95">
        <f t="shared" si="136"/>
        <v>0.8406583150504614</v>
      </c>
      <c r="DA95">
        <f t="shared" si="137"/>
        <v>0.16087054804739062</v>
      </c>
      <c r="DB95">
        <v>6</v>
      </c>
      <c r="DC95">
        <v>0.5</v>
      </c>
      <c r="DD95" t="s">
        <v>421</v>
      </c>
      <c r="DE95">
        <v>2</v>
      </c>
      <c r="DF95">
        <v>1689015366.5</v>
      </c>
      <c r="DG95">
        <v>95.700999999999993</v>
      </c>
      <c r="DH95">
        <v>119.90300000000001</v>
      </c>
      <c r="DI95">
        <v>28.012799999999999</v>
      </c>
      <c r="DJ95">
        <v>20.069500000000001</v>
      </c>
      <c r="DK95">
        <v>96.046400000000006</v>
      </c>
      <c r="DL95">
        <v>27.886500000000002</v>
      </c>
      <c r="DM95">
        <v>500.089</v>
      </c>
      <c r="DN95">
        <v>99.136700000000005</v>
      </c>
      <c r="DO95">
        <v>9.9700700000000003E-2</v>
      </c>
      <c r="DP95">
        <v>29.9377</v>
      </c>
      <c r="DQ95">
        <v>29.985399999999998</v>
      </c>
      <c r="DR95">
        <v>999.9</v>
      </c>
      <c r="DS95">
        <v>0</v>
      </c>
      <c r="DT95">
        <v>0</v>
      </c>
      <c r="DU95">
        <v>9997.5</v>
      </c>
      <c r="DV95">
        <v>0</v>
      </c>
      <c r="DW95">
        <v>1762.95</v>
      </c>
      <c r="DX95">
        <v>-24.202100000000002</v>
      </c>
      <c r="DY95">
        <v>98.459199999999996</v>
      </c>
      <c r="DZ95">
        <v>122.35899999999999</v>
      </c>
      <c r="EA95">
        <v>7.9433299999999996</v>
      </c>
      <c r="EB95">
        <v>119.90300000000001</v>
      </c>
      <c r="EC95">
        <v>20.069500000000001</v>
      </c>
      <c r="ED95">
        <v>2.7770999999999999</v>
      </c>
      <c r="EE95">
        <v>1.9896199999999999</v>
      </c>
      <c r="EF95">
        <v>22.7486</v>
      </c>
      <c r="EG95">
        <v>17.361999999999998</v>
      </c>
      <c r="EH95">
        <v>1800.05</v>
      </c>
      <c r="EI95">
        <v>0.97799599999999998</v>
      </c>
      <c r="EJ95">
        <v>2.20039E-2</v>
      </c>
      <c r="EK95">
        <v>0</v>
      </c>
      <c r="EL95">
        <v>728.13300000000004</v>
      </c>
      <c r="EM95">
        <v>4.9999900000000004</v>
      </c>
      <c r="EN95">
        <v>18419</v>
      </c>
      <c r="EO95">
        <v>15864.2</v>
      </c>
      <c r="EP95">
        <v>48.25</v>
      </c>
      <c r="EQ95">
        <v>49.561999999999998</v>
      </c>
      <c r="ER95">
        <v>48.875</v>
      </c>
      <c r="ES95">
        <v>48.875</v>
      </c>
      <c r="ET95">
        <v>49.875</v>
      </c>
      <c r="EU95">
        <v>1755.55</v>
      </c>
      <c r="EV95">
        <v>39.5</v>
      </c>
      <c r="EW95">
        <v>0</v>
      </c>
      <c r="EX95">
        <v>122.3999998569489</v>
      </c>
      <c r="EY95">
        <v>0</v>
      </c>
      <c r="EZ95">
        <v>728.61692307692306</v>
      </c>
      <c r="FA95">
        <v>-3.320068374718447</v>
      </c>
      <c r="FB95">
        <v>-105.5247862590377</v>
      </c>
      <c r="FC95">
        <v>18435.984615384619</v>
      </c>
      <c r="FD95">
        <v>15</v>
      </c>
      <c r="FE95">
        <v>1689015325.5</v>
      </c>
      <c r="FF95" t="s">
        <v>824</v>
      </c>
      <c r="FG95">
        <v>1689015314.5</v>
      </c>
      <c r="FH95">
        <v>1689015325.5</v>
      </c>
      <c r="FI95">
        <v>89</v>
      </c>
      <c r="FJ95">
        <v>2.5000000000000001E-2</v>
      </c>
      <c r="FK95">
        <v>1E-3</v>
      </c>
      <c r="FL95">
        <v>-0.34599999999999997</v>
      </c>
      <c r="FM95">
        <v>8.5000000000000006E-2</v>
      </c>
      <c r="FN95">
        <v>120</v>
      </c>
      <c r="FO95">
        <v>20</v>
      </c>
      <c r="FP95">
        <v>7.0000000000000007E-2</v>
      </c>
      <c r="FQ95">
        <v>0.01</v>
      </c>
      <c r="FR95">
        <v>19.475938207201072</v>
      </c>
      <c r="FS95">
        <v>-0.63673577013367377</v>
      </c>
      <c r="FT95">
        <v>7.7964910291895007E-2</v>
      </c>
      <c r="FU95">
        <v>1</v>
      </c>
      <c r="FV95">
        <v>0.48600802003421212</v>
      </c>
      <c r="FW95">
        <v>-3.8975154593636749E-2</v>
      </c>
      <c r="FX95">
        <v>2.8615859023983629E-3</v>
      </c>
      <c r="FY95">
        <v>1</v>
      </c>
      <c r="FZ95">
        <v>2</v>
      </c>
      <c r="GA95">
        <v>2</v>
      </c>
      <c r="GB95" t="s">
        <v>423</v>
      </c>
      <c r="GC95">
        <v>2.95791</v>
      </c>
      <c r="GD95">
        <v>2.7429000000000001</v>
      </c>
      <c r="GE95">
        <v>2.56644E-2</v>
      </c>
      <c r="GF95">
        <v>3.1571000000000002E-2</v>
      </c>
      <c r="GG95">
        <v>0.128577</v>
      </c>
      <c r="GH95">
        <v>0.101338</v>
      </c>
      <c r="GI95">
        <v>22851.599999999999</v>
      </c>
      <c r="GJ95">
        <v>21193.599999999999</v>
      </c>
      <c r="GK95">
        <v>23388</v>
      </c>
      <c r="GL95">
        <v>21935.200000000001</v>
      </c>
      <c r="GM95">
        <v>28744</v>
      </c>
      <c r="GN95">
        <v>27495.8</v>
      </c>
      <c r="GO95">
        <v>36907.4</v>
      </c>
      <c r="GP95">
        <v>34119.800000000003</v>
      </c>
      <c r="GQ95">
        <v>1.9944500000000001</v>
      </c>
      <c r="GR95">
        <v>1.78992</v>
      </c>
      <c r="GS95">
        <v>6.8284599999999997E-3</v>
      </c>
      <c r="GT95">
        <v>0</v>
      </c>
      <c r="GU95">
        <v>29.874300000000002</v>
      </c>
      <c r="GV95">
        <v>999.9</v>
      </c>
      <c r="GW95">
        <v>27.9</v>
      </c>
      <c r="GX95">
        <v>47.6</v>
      </c>
      <c r="GY95">
        <v>30.9832</v>
      </c>
      <c r="GZ95">
        <v>60.345300000000002</v>
      </c>
      <c r="HA95">
        <v>39.298900000000003</v>
      </c>
      <c r="HB95">
        <v>1</v>
      </c>
      <c r="HC95">
        <v>0.55050100000000002</v>
      </c>
      <c r="HD95">
        <v>2.0389699999999999</v>
      </c>
      <c r="HE95">
        <v>20.101800000000001</v>
      </c>
      <c r="HF95">
        <v>5.2649100000000004</v>
      </c>
      <c r="HG95">
        <v>11.962</v>
      </c>
      <c r="HH95">
        <v>4.9797500000000001</v>
      </c>
      <c r="HI95">
        <v>3.298</v>
      </c>
      <c r="HJ95">
        <v>9999</v>
      </c>
      <c r="HK95">
        <v>9999</v>
      </c>
      <c r="HL95">
        <v>9999</v>
      </c>
      <c r="HM95">
        <v>999.9</v>
      </c>
      <c r="HN95">
        <v>1.8644499999999999</v>
      </c>
      <c r="HO95">
        <v>1.8604700000000001</v>
      </c>
      <c r="HP95">
        <v>1.86697</v>
      </c>
      <c r="HQ95">
        <v>1.86372</v>
      </c>
      <c r="HR95">
        <v>1.8623400000000001</v>
      </c>
      <c r="HS95">
        <v>1.86236</v>
      </c>
      <c r="HT95">
        <v>1.8636900000000001</v>
      </c>
      <c r="HU95">
        <v>1.86493</v>
      </c>
      <c r="HV95">
        <v>0</v>
      </c>
      <c r="HW95">
        <v>0</v>
      </c>
      <c r="HX95">
        <v>0</v>
      </c>
      <c r="HY95">
        <v>0</v>
      </c>
      <c r="HZ95" t="s">
        <v>424</v>
      </c>
      <c r="IA95" t="s">
        <v>425</v>
      </c>
      <c r="IB95" t="s">
        <v>426</v>
      </c>
      <c r="IC95" t="s">
        <v>426</v>
      </c>
      <c r="ID95" t="s">
        <v>426</v>
      </c>
      <c r="IE95" t="s">
        <v>426</v>
      </c>
      <c r="IF95">
        <v>0</v>
      </c>
      <c r="IG95">
        <v>100</v>
      </c>
      <c r="IH95">
        <v>100</v>
      </c>
      <c r="II95">
        <v>-0.34499999999999997</v>
      </c>
      <c r="IJ95">
        <v>0.1263</v>
      </c>
      <c r="IK95">
        <v>-0.33953696060341609</v>
      </c>
      <c r="IL95">
        <v>-8.3322953065825546E-5</v>
      </c>
      <c r="IM95">
        <v>2.3872336679552741E-7</v>
      </c>
      <c r="IN95">
        <v>-5.428329794194132E-11</v>
      </c>
      <c r="IO95">
        <v>0.1262826731419259</v>
      </c>
      <c r="IP95">
        <v>0</v>
      </c>
      <c r="IQ95">
        <v>0</v>
      </c>
      <c r="IR95">
        <v>0</v>
      </c>
      <c r="IS95">
        <v>2</v>
      </c>
      <c r="IT95">
        <v>2035</v>
      </c>
      <c r="IU95">
        <v>1</v>
      </c>
      <c r="IV95">
        <v>21</v>
      </c>
      <c r="IW95">
        <v>0.9</v>
      </c>
      <c r="IX95">
        <v>0.7</v>
      </c>
      <c r="IY95">
        <v>0.42846699999999999</v>
      </c>
      <c r="IZ95">
        <v>2.7246100000000002</v>
      </c>
      <c r="JA95">
        <v>1.4514199999999999</v>
      </c>
      <c r="JB95">
        <v>2.2753899999999998</v>
      </c>
      <c r="JC95">
        <v>1.5942400000000001</v>
      </c>
      <c r="JD95">
        <v>2.4121100000000002</v>
      </c>
      <c r="JE95">
        <v>50.122</v>
      </c>
      <c r="JF95">
        <v>24.008700000000001</v>
      </c>
      <c r="JG95">
        <v>18</v>
      </c>
      <c r="JH95">
        <v>513.745</v>
      </c>
      <c r="JI95">
        <v>415.58600000000001</v>
      </c>
      <c r="JJ95">
        <v>27.122199999999999</v>
      </c>
      <c r="JK95">
        <v>33.904499999999999</v>
      </c>
      <c r="JL95">
        <v>29.998200000000001</v>
      </c>
      <c r="JM95">
        <v>33.991399999999999</v>
      </c>
      <c r="JN95">
        <v>34.007599999999996</v>
      </c>
      <c r="JO95">
        <v>8.5388599999999997</v>
      </c>
      <c r="JP95">
        <v>38.640599999999999</v>
      </c>
      <c r="JQ95">
        <v>0</v>
      </c>
      <c r="JR95">
        <v>27.1493</v>
      </c>
      <c r="JS95">
        <v>120</v>
      </c>
      <c r="JT95">
        <v>19.982199999999999</v>
      </c>
      <c r="JU95">
        <v>98.917500000000004</v>
      </c>
      <c r="JV95">
        <v>98.432599999999994</v>
      </c>
    </row>
    <row r="96" spans="1:282" x14ac:dyDescent="0.25">
      <c r="A96">
        <v>80</v>
      </c>
      <c r="B96">
        <v>1689015495.0999999</v>
      </c>
      <c r="C96">
        <v>16154.5</v>
      </c>
      <c r="D96" t="s">
        <v>825</v>
      </c>
      <c r="E96" t="s">
        <v>826</v>
      </c>
      <c r="F96" t="s">
        <v>414</v>
      </c>
      <c r="G96" t="s">
        <v>415</v>
      </c>
      <c r="H96" t="s">
        <v>31</v>
      </c>
      <c r="I96" t="s">
        <v>501</v>
      </c>
      <c r="J96" t="s">
        <v>416</v>
      </c>
      <c r="K96">
        <v>1689015495.0999999</v>
      </c>
      <c r="L96">
        <f t="shared" si="92"/>
        <v>7.1002209644666931E-3</v>
      </c>
      <c r="M96">
        <f t="shared" si="93"/>
        <v>7.1002209644666934</v>
      </c>
      <c r="N96">
        <f t="shared" si="94"/>
        <v>11.664721485345689</v>
      </c>
      <c r="O96">
        <f t="shared" si="95"/>
        <v>55.399500000000003</v>
      </c>
      <c r="P96">
        <f t="shared" si="96"/>
        <v>14.435912868660264</v>
      </c>
      <c r="Q96">
        <f t="shared" si="97"/>
        <v>1.4325351012566292</v>
      </c>
      <c r="R96">
        <f t="shared" si="98"/>
        <v>5.4975205977002997</v>
      </c>
      <c r="S96">
        <f t="shared" si="99"/>
        <v>0.50326067719236245</v>
      </c>
      <c r="T96">
        <f t="shared" si="100"/>
        <v>2.916067280383098</v>
      </c>
      <c r="U96">
        <f t="shared" si="101"/>
        <v>0.45951660359056629</v>
      </c>
      <c r="V96">
        <f t="shared" si="102"/>
        <v>0.2908105893755551</v>
      </c>
      <c r="W96">
        <f t="shared" si="103"/>
        <v>289.56385801270596</v>
      </c>
      <c r="X96">
        <f t="shared" si="104"/>
        <v>29.744668166644459</v>
      </c>
      <c r="Y96">
        <f t="shared" si="105"/>
        <v>29.947199999999999</v>
      </c>
      <c r="Z96">
        <f t="shared" si="106"/>
        <v>4.2475457913880321</v>
      </c>
      <c r="AA96">
        <f t="shared" si="107"/>
        <v>65.414805828089044</v>
      </c>
      <c r="AB96">
        <f t="shared" si="108"/>
        <v>2.7684334630211995</v>
      </c>
      <c r="AC96">
        <f t="shared" si="109"/>
        <v>4.2321205848973671</v>
      </c>
      <c r="AD96">
        <f t="shared" si="110"/>
        <v>1.4791123283668326</v>
      </c>
      <c r="AE96">
        <f t="shared" si="111"/>
        <v>-313.11974453298114</v>
      </c>
      <c r="AF96">
        <f t="shared" si="112"/>
        <v>-9.9514575166265686</v>
      </c>
      <c r="AG96">
        <f t="shared" si="113"/>
        <v>-0.75816733702013395</v>
      </c>
      <c r="AH96">
        <f t="shared" si="114"/>
        <v>-34.265511373921903</v>
      </c>
      <c r="AI96">
        <v>0</v>
      </c>
      <c r="AJ96">
        <v>0</v>
      </c>
      <c r="AK96">
        <f t="shared" si="115"/>
        <v>1</v>
      </c>
      <c r="AL96">
        <f t="shared" si="116"/>
        <v>0</v>
      </c>
      <c r="AM96">
        <f t="shared" si="117"/>
        <v>51970.094765403606</v>
      </c>
      <c r="AN96" t="s">
        <v>418</v>
      </c>
      <c r="AO96">
        <v>8197.4</v>
      </c>
      <c r="AP96">
        <v>619.92999999999995</v>
      </c>
      <c r="AQ96">
        <v>3131.443117258741</v>
      </c>
      <c r="AR96">
        <f t="shared" si="118"/>
        <v>0.80203057287443702</v>
      </c>
      <c r="AS96">
        <v>-1.0448500102641549</v>
      </c>
      <c r="AT96" t="s">
        <v>827</v>
      </c>
      <c r="AU96">
        <v>8189.09</v>
      </c>
      <c r="AV96">
        <v>742.34508000000005</v>
      </c>
      <c r="AW96">
        <v>834.27020563137603</v>
      </c>
      <c r="AX96">
        <f t="shared" si="119"/>
        <v>0.11018627419614846</v>
      </c>
      <c r="AY96">
        <v>0.5</v>
      </c>
      <c r="AZ96">
        <f t="shared" si="120"/>
        <v>1513.1682000065834</v>
      </c>
      <c r="BA96">
        <f t="shared" si="121"/>
        <v>11.664721485345689</v>
      </c>
      <c r="BB96">
        <f t="shared" si="122"/>
        <v>83.365183095408909</v>
      </c>
      <c r="BC96">
        <f t="shared" si="123"/>
        <v>8.3993117854013494E-3</v>
      </c>
      <c r="BD96">
        <f t="shared" si="124"/>
        <v>2.7535118671640246</v>
      </c>
      <c r="BE96">
        <f t="shared" si="125"/>
        <v>401.22032205190192</v>
      </c>
      <c r="BF96" t="s">
        <v>828</v>
      </c>
      <c r="BG96">
        <v>612.91</v>
      </c>
      <c r="BH96">
        <f t="shared" si="126"/>
        <v>612.91</v>
      </c>
      <c r="BI96">
        <f t="shared" si="127"/>
        <v>0.26533394592924553</v>
      </c>
      <c r="BJ96">
        <f t="shared" si="128"/>
        <v>0.41527394397372352</v>
      </c>
      <c r="BK96">
        <f t="shared" si="129"/>
        <v>0.91210748664988284</v>
      </c>
      <c r="BL96">
        <f t="shared" si="130"/>
        <v>0.42887485976135298</v>
      </c>
      <c r="BM96">
        <f t="shared" si="131"/>
        <v>0.91465694359369953</v>
      </c>
      <c r="BN96">
        <f t="shared" si="132"/>
        <v>0.3428668955426159</v>
      </c>
      <c r="BO96">
        <f t="shared" si="133"/>
        <v>0.65713310445738404</v>
      </c>
      <c r="BP96">
        <v>13728</v>
      </c>
      <c r="BQ96">
        <v>290.00000000000011</v>
      </c>
      <c r="BR96">
        <v>807.49</v>
      </c>
      <c r="BS96">
        <v>225</v>
      </c>
      <c r="BT96">
        <v>8189.09</v>
      </c>
      <c r="BU96">
        <v>806.12</v>
      </c>
      <c r="BV96">
        <v>1.37</v>
      </c>
      <c r="BW96">
        <v>300.00000000000011</v>
      </c>
      <c r="BX96">
        <v>19.3</v>
      </c>
      <c r="BY96">
        <v>834.27020563137603</v>
      </c>
      <c r="BZ96">
        <v>2.196796442433421</v>
      </c>
      <c r="CA96">
        <v>-23.05541083013809</v>
      </c>
      <c r="CB96">
        <v>1.6512184879343359</v>
      </c>
      <c r="CC96">
        <v>0.87441469284976492</v>
      </c>
      <c r="CD96">
        <v>-4.2378262513904381E-3</v>
      </c>
      <c r="CE96">
        <v>289.99999999999989</v>
      </c>
      <c r="CF96">
        <v>804.73</v>
      </c>
      <c r="CG96">
        <v>635</v>
      </c>
      <c r="CH96">
        <v>8174.99</v>
      </c>
      <c r="CI96">
        <v>806.07</v>
      </c>
      <c r="CJ96">
        <v>-1.34</v>
      </c>
      <c r="CX96">
        <f t="shared" si="134"/>
        <v>1799.98</v>
      </c>
      <c r="CY96">
        <f t="shared" si="135"/>
        <v>1513.1682000065834</v>
      </c>
      <c r="CZ96">
        <f t="shared" si="136"/>
        <v>0.84065834065188694</v>
      </c>
      <c r="DA96">
        <f t="shared" si="137"/>
        <v>0.16087059745814175</v>
      </c>
      <c r="DB96">
        <v>6</v>
      </c>
      <c r="DC96">
        <v>0.5</v>
      </c>
      <c r="DD96" t="s">
        <v>421</v>
      </c>
      <c r="DE96">
        <v>2</v>
      </c>
      <c r="DF96">
        <v>1689015495.0999999</v>
      </c>
      <c r="DG96">
        <v>55.399500000000003</v>
      </c>
      <c r="DH96">
        <v>69.864699999999999</v>
      </c>
      <c r="DI96">
        <v>27.898</v>
      </c>
      <c r="DJ96">
        <v>19.617999999999999</v>
      </c>
      <c r="DK96">
        <v>55.731299999999997</v>
      </c>
      <c r="DL96">
        <v>27.771599999999999</v>
      </c>
      <c r="DM96">
        <v>500.15499999999997</v>
      </c>
      <c r="DN96">
        <v>99.134299999999996</v>
      </c>
      <c r="DO96">
        <v>9.9819400000000003E-2</v>
      </c>
      <c r="DP96">
        <v>29.883900000000001</v>
      </c>
      <c r="DQ96">
        <v>29.947199999999999</v>
      </c>
      <c r="DR96">
        <v>999.9</v>
      </c>
      <c r="DS96">
        <v>0</v>
      </c>
      <c r="DT96">
        <v>0</v>
      </c>
      <c r="DU96">
        <v>10010</v>
      </c>
      <c r="DV96">
        <v>0</v>
      </c>
      <c r="DW96">
        <v>1775.27</v>
      </c>
      <c r="DX96">
        <v>-14.465199999999999</v>
      </c>
      <c r="DY96">
        <v>56.989400000000003</v>
      </c>
      <c r="DZ96">
        <v>71.262799999999999</v>
      </c>
      <c r="EA96">
        <v>8.2800399999999996</v>
      </c>
      <c r="EB96">
        <v>69.864699999999999</v>
      </c>
      <c r="EC96">
        <v>19.617999999999999</v>
      </c>
      <c r="ED96">
        <v>2.7656499999999999</v>
      </c>
      <c r="EE96">
        <v>1.94482</v>
      </c>
      <c r="EF96">
        <v>22.680499999999999</v>
      </c>
      <c r="EG96">
        <v>17.002099999999999</v>
      </c>
      <c r="EH96">
        <v>1799.98</v>
      </c>
      <c r="EI96">
        <v>0.977993</v>
      </c>
      <c r="EJ96">
        <v>2.2006999999999999E-2</v>
      </c>
      <c r="EK96">
        <v>0</v>
      </c>
      <c r="EL96">
        <v>742.06799999999998</v>
      </c>
      <c r="EM96">
        <v>4.9999900000000004</v>
      </c>
      <c r="EN96">
        <v>18616.7</v>
      </c>
      <c r="EO96">
        <v>15863.6</v>
      </c>
      <c r="EP96">
        <v>48.061999999999998</v>
      </c>
      <c r="EQ96">
        <v>49.375</v>
      </c>
      <c r="ER96">
        <v>48.75</v>
      </c>
      <c r="ES96">
        <v>48.75</v>
      </c>
      <c r="ET96">
        <v>49.811999999999998</v>
      </c>
      <c r="EU96">
        <v>1755.48</v>
      </c>
      <c r="EV96">
        <v>39.5</v>
      </c>
      <c r="EW96">
        <v>0</v>
      </c>
      <c r="EX96">
        <v>126.7999999523163</v>
      </c>
      <c r="EY96">
        <v>0</v>
      </c>
      <c r="EZ96">
        <v>742.34508000000005</v>
      </c>
      <c r="FA96">
        <v>-2.2902307827046862</v>
      </c>
      <c r="FB96">
        <v>-100.5999997120848</v>
      </c>
      <c r="FC96">
        <v>18612.455999999998</v>
      </c>
      <c r="FD96">
        <v>15</v>
      </c>
      <c r="FE96">
        <v>1689015453.0999999</v>
      </c>
      <c r="FF96" t="s">
        <v>829</v>
      </c>
      <c r="FG96">
        <v>1689015437.0999999</v>
      </c>
      <c r="FH96">
        <v>1689015453.0999999</v>
      </c>
      <c r="FI96">
        <v>90</v>
      </c>
      <c r="FJ96">
        <v>1.2E-2</v>
      </c>
      <c r="FK96">
        <v>0</v>
      </c>
      <c r="FL96">
        <v>-0.33300000000000002</v>
      </c>
      <c r="FM96">
        <v>8.4000000000000005E-2</v>
      </c>
      <c r="FN96">
        <v>70</v>
      </c>
      <c r="FO96">
        <v>20</v>
      </c>
      <c r="FP96">
        <v>0.13</v>
      </c>
      <c r="FQ96">
        <v>0.01</v>
      </c>
      <c r="FR96">
        <v>11.641522144242639</v>
      </c>
      <c r="FS96">
        <v>-0.46701384641856369</v>
      </c>
      <c r="FT96">
        <v>6.3136307125275681E-2</v>
      </c>
      <c r="FU96">
        <v>1</v>
      </c>
      <c r="FV96">
        <v>0.51038321745590831</v>
      </c>
      <c r="FW96">
        <v>-3.0525958058455111E-2</v>
      </c>
      <c r="FX96">
        <v>2.3878069179558768E-3</v>
      </c>
      <c r="FY96">
        <v>1</v>
      </c>
      <c r="FZ96">
        <v>2</v>
      </c>
      <c r="GA96">
        <v>2</v>
      </c>
      <c r="GB96" t="s">
        <v>423</v>
      </c>
      <c r="GC96">
        <v>2.9581200000000001</v>
      </c>
      <c r="GD96">
        <v>2.7431399999999999</v>
      </c>
      <c r="GE96">
        <v>1.52091E-2</v>
      </c>
      <c r="GF96">
        <v>1.8907799999999999E-2</v>
      </c>
      <c r="GG96">
        <v>0.12822</v>
      </c>
      <c r="GH96">
        <v>9.9734600000000007E-2</v>
      </c>
      <c r="GI96">
        <v>23097.4</v>
      </c>
      <c r="GJ96">
        <v>21471.599999999999</v>
      </c>
      <c r="GK96">
        <v>23388.799999999999</v>
      </c>
      <c r="GL96">
        <v>21936.2</v>
      </c>
      <c r="GM96">
        <v>28756</v>
      </c>
      <c r="GN96">
        <v>27545.9</v>
      </c>
      <c r="GO96">
        <v>36908.699999999997</v>
      </c>
      <c r="GP96">
        <v>34121.5</v>
      </c>
      <c r="GQ96">
        <v>1.9948300000000001</v>
      </c>
      <c r="GR96">
        <v>1.7880499999999999</v>
      </c>
      <c r="GS96">
        <v>2.41771E-3</v>
      </c>
      <c r="GT96">
        <v>0</v>
      </c>
      <c r="GU96">
        <v>29.907800000000002</v>
      </c>
      <c r="GV96">
        <v>999.9</v>
      </c>
      <c r="GW96">
        <v>28.2</v>
      </c>
      <c r="GX96">
        <v>47.7</v>
      </c>
      <c r="GY96">
        <v>31.470600000000001</v>
      </c>
      <c r="GZ96">
        <v>60.203400000000002</v>
      </c>
      <c r="HA96">
        <v>38.966299999999997</v>
      </c>
      <c r="HB96">
        <v>1</v>
      </c>
      <c r="HC96">
        <v>0.54891299999999998</v>
      </c>
      <c r="HD96">
        <v>2.1500400000000002</v>
      </c>
      <c r="HE96">
        <v>20.1008</v>
      </c>
      <c r="HF96">
        <v>5.2617700000000003</v>
      </c>
      <c r="HG96">
        <v>11.962</v>
      </c>
      <c r="HH96">
        <v>4.9796500000000004</v>
      </c>
      <c r="HI96">
        <v>3.298</v>
      </c>
      <c r="HJ96">
        <v>9999</v>
      </c>
      <c r="HK96">
        <v>9999</v>
      </c>
      <c r="HL96">
        <v>9999</v>
      </c>
      <c r="HM96">
        <v>999.9</v>
      </c>
      <c r="HN96">
        <v>1.86435</v>
      </c>
      <c r="HO96">
        <v>1.86036</v>
      </c>
      <c r="HP96">
        <v>1.86693</v>
      </c>
      <c r="HQ96">
        <v>1.86371</v>
      </c>
      <c r="HR96">
        <v>1.8623099999999999</v>
      </c>
      <c r="HS96">
        <v>1.86233</v>
      </c>
      <c r="HT96">
        <v>1.8635699999999999</v>
      </c>
      <c r="HU96">
        <v>1.8649100000000001</v>
      </c>
      <c r="HV96">
        <v>0</v>
      </c>
      <c r="HW96">
        <v>0</v>
      </c>
      <c r="HX96">
        <v>0</v>
      </c>
      <c r="HY96">
        <v>0</v>
      </c>
      <c r="HZ96" t="s">
        <v>424</v>
      </c>
      <c r="IA96" t="s">
        <v>425</v>
      </c>
      <c r="IB96" t="s">
        <v>426</v>
      </c>
      <c r="IC96" t="s">
        <v>426</v>
      </c>
      <c r="ID96" t="s">
        <v>426</v>
      </c>
      <c r="IE96" t="s">
        <v>426</v>
      </c>
      <c r="IF96">
        <v>0</v>
      </c>
      <c r="IG96">
        <v>100</v>
      </c>
      <c r="IH96">
        <v>100</v>
      </c>
      <c r="II96">
        <v>-0.33200000000000002</v>
      </c>
      <c r="IJ96">
        <v>0.12640000000000001</v>
      </c>
      <c r="IK96">
        <v>-0.32787096685015932</v>
      </c>
      <c r="IL96">
        <v>-8.3322953065825546E-5</v>
      </c>
      <c r="IM96">
        <v>2.3872336679552741E-7</v>
      </c>
      <c r="IN96">
        <v>-5.428329794194132E-11</v>
      </c>
      <c r="IO96">
        <v>0.1264855733453801</v>
      </c>
      <c r="IP96">
        <v>0</v>
      </c>
      <c r="IQ96">
        <v>0</v>
      </c>
      <c r="IR96">
        <v>0</v>
      </c>
      <c r="IS96">
        <v>2</v>
      </c>
      <c r="IT96">
        <v>2035</v>
      </c>
      <c r="IU96">
        <v>1</v>
      </c>
      <c r="IV96">
        <v>21</v>
      </c>
      <c r="IW96">
        <v>1</v>
      </c>
      <c r="IX96">
        <v>0.7</v>
      </c>
      <c r="IY96">
        <v>0.30761699999999997</v>
      </c>
      <c r="IZ96">
        <v>2.7526899999999999</v>
      </c>
      <c r="JA96">
        <v>1.4526399999999999</v>
      </c>
      <c r="JB96">
        <v>2.2753899999999998</v>
      </c>
      <c r="JC96">
        <v>1.5942400000000001</v>
      </c>
      <c r="JD96">
        <v>2.33887</v>
      </c>
      <c r="JE96">
        <v>50.154200000000003</v>
      </c>
      <c r="JF96">
        <v>24.017499999999998</v>
      </c>
      <c r="JG96">
        <v>18</v>
      </c>
      <c r="JH96">
        <v>513.61099999999999</v>
      </c>
      <c r="JI96">
        <v>414.03</v>
      </c>
      <c r="JJ96">
        <v>27.186599999999999</v>
      </c>
      <c r="JK96">
        <v>33.856900000000003</v>
      </c>
      <c r="JL96">
        <v>30</v>
      </c>
      <c r="JM96">
        <v>33.946899999999999</v>
      </c>
      <c r="JN96">
        <v>33.965400000000002</v>
      </c>
      <c r="JO96">
        <v>6.1327299999999996</v>
      </c>
      <c r="JP96">
        <v>41.053400000000003</v>
      </c>
      <c r="JQ96">
        <v>0</v>
      </c>
      <c r="JR96">
        <v>27.2241</v>
      </c>
      <c r="JS96">
        <v>70</v>
      </c>
      <c r="JT96">
        <v>19.538399999999999</v>
      </c>
      <c r="JU96">
        <v>98.921099999999996</v>
      </c>
      <c r="JV96">
        <v>98.437399999999997</v>
      </c>
    </row>
    <row r="97" spans="1:282" x14ac:dyDescent="0.25">
      <c r="A97">
        <v>81</v>
      </c>
      <c r="B97">
        <v>1689015614.0999999</v>
      </c>
      <c r="C97">
        <v>16273.5</v>
      </c>
      <c r="D97" t="s">
        <v>830</v>
      </c>
      <c r="E97" t="s">
        <v>831</v>
      </c>
      <c r="F97" t="s">
        <v>414</v>
      </c>
      <c r="G97" t="s">
        <v>415</v>
      </c>
      <c r="H97" t="s">
        <v>31</v>
      </c>
      <c r="I97" t="s">
        <v>501</v>
      </c>
      <c r="J97" t="s">
        <v>416</v>
      </c>
      <c r="K97">
        <v>1689015614.0999999</v>
      </c>
      <c r="L97">
        <f t="shared" si="92"/>
        <v>7.101568221059085E-3</v>
      </c>
      <c r="M97">
        <f t="shared" si="93"/>
        <v>7.1015682210590851</v>
      </c>
      <c r="N97">
        <f t="shared" si="94"/>
        <v>5.0460325107208313</v>
      </c>
      <c r="O97">
        <f t="shared" si="95"/>
        <v>23.678599999999999</v>
      </c>
      <c r="P97">
        <f t="shared" si="96"/>
        <v>6.0432017626549825</v>
      </c>
      <c r="Q97">
        <f t="shared" si="97"/>
        <v>0.59967097375279899</v>
      </c>
      <c r="R97">
        <f t="shared" si="98"/>
        <v>2.3496433971227804</v>
      </c>
      <c r="S97">
        <f t="shared" si="99"/>
        <v>0.505729357750205</v>
      </c>
      <c r="T97">
        <f t="shared" si="100"/>
        <v>2.9141554100104825</v>
      </c>
      <c r="U97">
        <f t="shared" si="101"/>
        <v>0.46154895340378976</v>
      </c>
      <c r="V97">
        <f t="shared" si="102"/>
        <v>0.29211521865420242</v>
      </c>
      <c r="W97">
        <f t="shared" si="103"/>
        <v>289.57662601270539</v>
      </c>
      <c r="X97">
        <f t="shared" si="104"/>
        <v>29.75470842991971</v>
      </c>
      <c r="Y97">
        <f t="shared" si="105"/>
        <v>29.974799999999998</v>
      </c>
      <c r="Z97">
        <f t="shared" si="106"/>
        <v>4.2542867987702957</v>
      </c>
      <c r="AA97">
        <f t="shared" si="107"/>
        <v>65.686971675831927</v>
      </c>
      <c r="AB97">
        <f t="shared" si="108"/>
        <v>2.7816143597791401</v>
      </c>
      <c r="AC97">
        <f t="shared" si="109"/>
        <v>4.2346515432413723</v>
      </c>
      <c r="AD97">
        <f t="shared" si="110"/>
        <v>1.4726724389911556</v>
      </c>
      <c r="AE97">
        <f t="shared" si="111"/>
        <v>-313.17915854870563</v>
      </c>
      <c r="AF97">
        <f t="shared" si="112"/>
        <v>-12.647189690390604</v>
      </c>
      <c r="AG97">
        <f t="shared" si="113"/>
        <v>-0.96435949950176314</v>
      </c>
      <c r="AH97">
        <f t="shared" si="114"/>
        <v>-37.214081725892612</v>
      </c>
      <c r="AI97">
        <v>0</v>
      </c>
      <c r="AJ97">
        <v>0</v>
      </c>
      <c r="AK97">
        <f t="shared" si="115"/>
        <v>1</v>
      </c>
      <c r="AL97">
        <f t="shared" si="116"/>
        <v>0</v>
      </c>
      <c r="AM97">
        <f t="shared" si="117"/>
        <v>51913.810306299609</v>
      </c>
      <c r="AN97" t="s">
        <v>418</v>
      </c>
      <c r="AO97">
        <v>8197.4</v>
      </c>
      <c r="AP97">
        <v>619.92999999999995</v>
      </c>
      <c r="AQ97">
        <v>3131.443117258741</v>
      </c>
      <c r="AR97">
        <f t="shared" si="118"/>
        <v>0.80203057287443702</v>
      </c>
      <c r="AS97">
        <v>-1.0448500102641549</v>
      </c>
      <c r="AT97" t="s">
        <v>832</v>
      </c>
      <c r="AU97">
        <v>8195.7999999999993</v>
      </c>
      <c r="AV97">
        <v>759.02523076923069</v>
      </c>
      <c r="AW97">
        <v>829.64765506643209</v>
      </c>
      <c r="AX97">
        <f t="shared" si="119"/>
        <v>8.5123394088959969E-2</v>
      </c>
      <c r="AY97">
        <v>0.5</v>
      </c>
      <c r="AZ97">
        <f t="shared" si="120"/>
        <v>1513.2354000065829</v>
      </c>
      <c r="BA97">
        <f t="shared" si="121"/>
        <v>5.0460325107208313</v>
      </c>
      <c r="BB97">
        <f t="shared" si="122"/>
        <v>64.40586665206267</v>
      </c>
      <c r="BC97">
        <f t="shared" si="123"/>
        <v>4.0250727156914846E-3</v>
      </c>
      <c r="BD97">
        <f t="shared" si="124"/>
        <v>2.7744253215637644</v>
      </c>
      <c r="BE97">
        <f t="shared" si="125"/>
        <v>400.14809952484359</v>
      </c>
      <c r="BF97" t="s">
        <v>833</v>
      </c>
      <c r="BG97">
        <v>637.67999999999995</v>
      </c>
      <c r="BH97">
        <f t="shared" si="126"/>
        <v>637.67999999999995</v>
      </c>
      <c r="BI97">
        <f t="shared" si="127"/>
        <v>0.23138455691899806</v>
      </c>
      <c r="BJ97">
        <f t="shared" si="128"/>
        <v>0.36788710198476859</v>
      </c>
      <c r="BK97">
        <f t="shared" si="129"/>
        <v>0.92302089411064359</v>
      </c>
      <c r="BL97">
        <f t="shared" si="130"/>
        <v>0.33675001885191963</v>
      </c>
      <c r="BM97">
        <f t="shared" si="131"/>
        <v>0.91649748765981598</v>
      </c>
      <c r="BN97">
        <f t="shared" si="132"/>
        <v>0.30907305539224134</v>
      </c>
      <c r="BO97">
        <f t="shared" si="133"/>
        <v>0.69092694460775861</v>
      </c>
      <c r="BP97">
        <v>13730</v>
      </c>
      <c r="BQ97">
        <v>290.00000000000011</v>
      </c>
      <c r="BR97">
        <v>805.8</v>
      </c>
      <c r="BS97">
        <v>155</v>
      </c>
      <c r="BT97">
        <v>8195.7999999999993</v>
      </c>
      <c r="BU97">
        <v>804.16</v>
      </c>
      <c r="BV97">
        <v>1.64</v>
      </c>
      <c r="BW97">
        <v>300.00000000000011</v>
      </c>
      <c r="BX97">
        <v>19.3</v>
      </c>
      <c r="BY97">
        <v>829.64765506643209</v>
      </c>
      <c r="BZ97">
        <v>2.4418302041352158</v>
      </c>
      <c r="CA97">
        <v>-20.88662369027476</v>
      </c>
      <c r="CB97">
        <v>1.8355008770420489</v>
      </c>
      <c r="CC97">
        <v>0.82220792514849506</v>
      </c>
      <c r="CD97">
        <v>-4.2380678531701819E-3</v>
      </c>
      <c r="CE97">
        <v>289.99999999999989</v>
      </c>
      <c r="CF97">
        <v>802.53</v>
      </c>
      <c r="CG97">
        <v>635</v>
      </c>
      <c r="CH97">
        <v>8175.45</v>
      </c>
      <c r="CI97">
        <v>804.1</v>
      </c>
      <c r="CJ97">
        <v>-1.57</v>
      </c>
      <c r="CX97">
        <f t="shared" si="134"/>
        <v>1800.06</v>
      </c>
      <c r="CY97">
        <f t="shared" si="135"/>
        <v>1513.2354000065829</v>
      </c>
      <c r="CZ97">
        <f t="shared" si="136"/>
        <v>0.8406583113932774</v>
      </c>
      <c r="DA97">
        <f t="shared" si="137"/>
        <v>0.16087054098902559</v>
      </c>
      <c r="DB97">
        <v>6</v>
      </c>
      <c r="DC97">
        <v>0.5</v>
      </c>
      <c r="DD97" t="s">
        <v>421</v>
      </c>
      <c r="DE97">
        <v>2</v>
      </c>
      <c r="DF97">
        <v>1689015614.0999999</v>
      </c>
      <c r="DG97">
        <v>23.678599999999999</v>
      </c>
      <c r="DH97">
        <v>29.935400000000001</v>
      </c>
      <c r="DI97">
        <v>28.0318</v>
      </c>
      <c r="DJ97">
        <v>19.749099999999999</v>
      </c>
      <c r="DK97">
        <v>23.9618</v>
      </c>
      <c r="DL97">
        <v>27.906600000000001</v>
      </c>
      <c r="DM97">
        <v>500.01799999999997</v>
      </c>
      <c r="DN97">
        <v>99.131200000000007</v>
      </c>
      <c r="DO97">
        <v>9.94723E-2</v>
      </c>
      <c r="DP97">
        <v>29.894300000000001</v>
      </c>
      <c r="DQ97">
        <v>29.974799999999998</v>
      </c>
      <c r="DR97">
        <v>999.9</v>
      </c>
      <c r="DS97">
        <v>0</v>
      </c>
      <c r="DT97">
        <v>0</v>
      </c>
      <c r="DU97">
        <v>9999.3799999999992</v>
      </c>
      <c r="DV97">
        <v>0</v>
      </c>
      <c r="DW97">
        <v>1769.1</v>
      </c>
      <c r="DX97">
        <v>-6.2567899999999996</v>
      </c>
      <c r="DY97">
        <v>24.361499999999999</v>
      </c>
      <c r="DZ97">
        <v>30.538499999999999</v>
      </c>
      <c r="EA97">
        <v>8.2826599999999999</v>
      </c>
      <c r="EB97">
        <v>29.935400000000001</v>
      </c>
      <c r="EC97">
        <v>19.749099999999999</v>
      </c>
      <c r="ED97">
        <v>2.7788200000000001</v>
      </c>
      <c r="EE97">
        <v>1.9577500000000001</v>
      </c>
      <c r="EF97">
        <v>22.758800000000001</v>
      </c>
      <c r="EG97">
        <v>17.1067</v>
      </c>
      <c r="EH97">
        <v>1800.06</v>
      </c>
      <c r="EI97">
        <v>0.977993</v>
      </c>
      <c r="EJ97">
        <v>2.2006999999999999E-2</v>
      </c>
      <c r="EK97">
        <v>0</v>
      </c>
      <c r="EL97">
        <v>759.48500000000001</v>
      </c>
      <c r="EM97">
        <v>4.9999900000000004</v>
      </c>
      <c r="EN97">
        <v>18882.3</v>
      </c>
      <c r="EO97">
        <v>15864.3</v>
      </c>
      <c r="EP97">
        <v>48</v>
      </c>
      <c r="EQ97">
        <v>49.311999999999998</v>
      </c>
      <c r="ER97">
        <v>48.625</v>
      </c>
      <c r="ES97">
        <v>48.75</v>
      </c>
      <c r="ET97">
        <v>49.686999999999998</v>
      </c>
      <c r="EU97">
        <v>1755.56</v>
      </c>
      <c r="EV97">
        <v>39.5</v>
      </c>
      <c r="EW97">
        <v>0</v>
      </c>
      <c r="EX97">
        <v>117</v>
      </c>
      <c r="EY97">
        <v>0</v>
      </c>
      <c r="EZ97">
        <v>759.02523076923069</v>
      </c>
      <c r="FA97">
        <v>0.34584613872030578</v>
      </c>
      <c r="FB97">
        <v>-144.71111109391779</v>
      </c>
      <c r="FC97">
        <v>18882.669230769228</v>
      </c>
      <c r="FD97">
        <v>15</v>
      </c>
      <c r="FE97">
        <v>1689015574.5999999</v>
      </c>
      <c r="FF97" t="s">
        <v>834</v>
      </c>
      <c r="FG97">
        <v>1689015560.5999999</v>
      </c>
      <c r="FH97">
        <v>1689015574.5999999</v>
      </c>
      <c r="FI97">
        <v>91</v>
      </c>
      <c r="FJ97">
        <v>4.5999999999999999E-2</v>
      </c>
      <c r="FK97">
        <v>-1E-3</v>
      </c>
      <c r="FL97">
        <v>-0.28399999999999997</v>
      </c>
      <c r="FM97">
        <v>7.5999999999999998E-2</v>
      </c>
      <c r="FN97">
        <v>30</v>
      </c>
      <c r="FO97">
        <v>20</v>
      </c>
      <c r="FP97">
        <v>0.26</v>
      </c>
      <c r="FQ97">
        <v>0.01</v>
      </c>
      <c r="FR97">
        <v>4.9704492395867623</v>
      </c>
      <c r="FS97">
        <v>-0.50688927093983915</v>
      </c>
      <c r="FT97">
        <v>7.6485584412852983E-2</v>
      </c>
      <c r="FU97">
        <v>1</v>
      </c>
      <c r="FV97">
        <v>0.50524087861168943</v>
      </c>
      <c r="FW97">
        <v>-2.1678973438424849E-2</v>
      </c>
      <c r="FX97">
        <v>1.8677931231005961E-3</v>
      </c>
      <c r="FY97">
        <v>1</v>
      </c>
      <c r="FZ97">
        <v>2</v>
      </c>
      <c r="GA97">
        <v>2</v>
      </c>
      <c r="GB97" t="s">
        <v>423</v>
      </c>
      <c r="GC97">
        <v>2.9577900000000001</v>
      </c>
      <c r="GD97">
        <v>2.7427000000000001</v>
      </c>
      <c r="GE97">
        <v>6.6306100000000003E-3</v>
      </c>
      <c r="GF97">
        <v>8.2491600000000002E-3</v>
      </c>
      <c r="GG97">
        <v>0.12865199999999999</v>
      </c>
      <c r="GH97">
        <v>0.100205</v>
      </c>
      <c r="GI97">
        <v>23297.599999999999</v>
      </c>
      <c r="GJ97">
        <v>21703.9</v>
      </c>
      <c r="GK97">
        <v>23388.1</v>
      </c>
      <c r="GL97">
        <v>21935.599999999999</v>
      </c>
      <c r="GM97">
        <v>28739.599999999999</v>
      </c>
      <c r="GN97">
        <v>27529.8</v>
      </c>
      <c r="GO97">
        <v>36906.9</v>
      </c>
      <c r="GP97">
        <v>34120.400000000001</v>
      </c>
      <c r="GQ97">
        <v>1.9947999999999999</v>
      </c>
      <c r="GR97">
        <v>1.7867299999999999</v>
      </c>
      <c r="GS97">
        <v>-3.5315799999999999E-3</v>
      </c>
      <c r="GT97">
        <v>0</v>
      </c>
      <c r="GU97">
        <v>30.032299999999999</v>
      </c>
      <c r="GV97">
        <v>999.9</v>
      </c>
      <c r="GW97">
        <v>28.4</v>
      </c>
      <c r="GX97">
        <v>47.8</v>
      </c>
      <c r="GY97">
        <v>31.857900000000001</v>
      </c>
      <c r="GZ97">
        <v>60.333399999999997</v>
      </c>
      <c r="HA97">
        <v>39.715499999999999</v>
      </c>
      <c r="HB97">
        <v>1</v>
      </c>
      <c r="HC97">
        <v>0.55550600000000006</v>
      </c>
      <c r="HD97">
        <v>1.8568</v>
      </c>
      <c r="HE97">
        <v>20.0959</v>
      </c>
      <c r="HF97">
        <v>5.2605700000000004</v>
      </c>
      <c r="HG97">
        <v>11.962</v>
      </c>
      <c r="HH97">
        <v>4.9797500000000001</v>
      </c>
      <c r="HI97">
        <v>3.298</v>
      </c>
      <c r="HJ97">
        <v>9999</v>
      </c>
      <c r="HK97">
        <v>9999</v>
      </c>
      <c r="HL97">
        <v>9999</v>
      </c>
      <c r="HM97">
        <v>999.9</v>
      </c>
      <c r="HN97">
        <v>1.86436</v>
      </c>
      <c r="HO97">
        <v>1.8604099999999999</v>
      </c>
      <c r="HP97">
        <v>1.8669100000000001</v>
      </c>
      <c r="HQ97">
        <v>1.86371</v>
      </c>
      <c r="HR97">
        <v>1.86233</v>
      </c>
      <c r="HS97">
        <v>1.8623400000000001</v>
      </c>
      <c r="HT97">
        <v>1.8635900000000001</v>
      </c>
      <c r="HU97">
        <v>1.8649199999999999</v>
      </c>
      <c r="HV97">
        <v>0</v>
      </c>
      <c r="HW97">
        <v>0</v>
      </c>
      <c r="HX97">
        <v>0</v>
      </c>
      <c r="HY97">
        <v>0</v>
      </c>
      <c r="HZ97" t="s">
        <v>424</v>
      </c>
      <c r="IA97" t="s">
        <v>425</v>
      </c>
      <c r="IB97" t="s">
        <v>426</v>
      </c>
      <c r="IC97" t="s">
        <v>426</v>
      </c>
      <c r="ID97" t="s">
        <v>426</v>
      </c>
      <c r="IE97" t="s">
        <v>426</v>
      </c>
      <c r="IF97">
        <v>0</v>
      </c>
      <c r="IG97">
        <v>100</v>
      </c>
      <c r="IH97">
        <v>100</v>
      </c>
      <c r="II97">
        <v>-0.28299999999999997</v>
      </c>
      <c r="IJ97">
        <v>0.12520000000000001</v>
      </c>
      <c r="IK97">
        <v>-0.28137611929051831</v>
      </c>
      <c r="IL97">
        <v>-8.3322953065825546E-5</v>
      </c>
      <c r="IM97">
        <v>2.3872336679552741E-7</v>
      </c>
      <c r="IN97">
        <v>-5.428329794194132E-11</v>
      </c>
      <c r="IO97">
        <v>0.12515112469551551</v>
      </c>
      <c r="IP97">
        <v>0</v>
      </c>
      <c r="IQ97">
        <v>0</v>
      </c>
      <c r="IR97">
        <v>0</v>
      </c>
      <c r="IS97">
        <v>2</v>
      </c>
      <c r="IT97">
        <v>2035</v>
      </c>
      <c r="IU97">
        <v>1</v>
      </c>
      <c r="IV97">
        <v>21</v>
      </c>
      <c r="IW97">
        <v>0.9</v>
      </c>
      <c r="IX97">
        <v>0.7</v>
      </c>
      <c r="IY97">
        <v>0.21240200000000001</v>
      </c>
      <c r="IZ97">
        <v>2.7783199999999999</v>
      </c>
      <c r="JA97">
        <v>1.4526399999999999</v>
      </c>
      <c r="JB97">
        <v>2.2753899999999998</v>
      </c>
      <c r="JC97">
        <v>1.5942400000000001</v>
      </c>
      <c r="JD97">
        <v>2.2766099999999998</v>
      </c>
      <c r="JE97">
        <v>50.218699999999998</v>
      </c>
      <c r="JF97">
        <v>24.043700000000001</v>
      </c>
      <c r="JG97">
        <v>18</v>
      </c>
      <c r="JH97">
        <v>513.43799999999999</v>
      </c>
      <c r="JI97">
        <v>413.02</v>
      </c>
      <c r="JJ97">
        <v>26.385999999999999</v>
      </c>
      <c r="JK97">
        <v>33.841700000000003</v>
      </c>
      <c r="JL97">
        <v>29.999300000000002</v>
      </c>
      <c r="JM97">
        <v>33.928600000000003</v>
      </c>
      <c r="JN97">
        <v>33.947200000000002</v>
      </c>
      <c r="JO97">
        <v>4.2216699999999996</v>
      </c>
      <c r="JP97">
        <v>41.836100000000002</v>
      </c>
      <c r="JQ97">
        <v>0</v>
      </c>
      <c r="JR97">
        <v>26.988900000000001</v>
      </c>
      <c r="JS97">
        <v>30</v>
      </c>
      <c r="JT97">
        <v>19.640499999999999</v>
      </c>
      <c r="JU97">
        <v>98.917000000000002</v>
      </c>
      <c r="JV97">
        <v>98.434299999999993</v>
      </c>
    </row>
    <row r="98" spans="1:282" x14ac:dyDescent="0.25">
      <c r="A98">
        <v>82</v>
      </c>
      <c r="B98">
        <v>1689015747.0999999</v>
      </c>
      <c r="C98">
        <v>16406.5</v>
      </c>
      <c r="D98" t="s">
        <v>835</v>
      </c>
      <c r="E98" t="s">
        <v>836</v>
      </c>
      <c r="F98" t="s">
        <v>414</v>
      </c>
      <c r="G98" t="s">
        <v>415</v>
      </c>
      <c r="H98" t="s">
        <v>31</v>
      </c>
      <c r="I98" t="s">
        <v>501</v>
      </c>
      <c r="J98" t="s">
        <v>416</v>
      </c>
      <c r="K98">
        <v>1689015747.0999999</v>
      </c>
      <c r="L98">
        <f t="shared" si="92"/>
        <v>7.3075955733913111E-3</v>
      </c>
      <c r="M98">
        <f t="shared" si="93"/>
        <v>7.3075955733913114</v>
      </c>
      <c r="N98">
        <f t="shared" si="94"/>
        <v>1.6134923514347947</v>
      </c>
      <c r="O98">
        <f t="shared" si="95"/>
        <v>7.8820600000000001</v>
      </c>
      <c r="P98">
        <f t="shared" si="96"/>
        <v>2.3355479899919764</v>
      </c>
      <c r="Q98">
        <f t="shared" si="97"/>
        <v>0.23176106567876675</v>
      </c>
      <c r="R98">
        <f t="shared" si="98"/>
        <v>0.78215246835936603</v>
      </c>
      <c r="S98">
        <f t="shared" si="99"/>
        <v>0.51604280703820637</v>
      </c>
      <c r="T98">
        <f t="shared" si="100"/>
        <v>2.9164689683721545</v>
      </c>
      <c r="U98">
        <f t="shared" si="101"/>
        <v>0.47016253596040281</v>
      </c>
      <c r="V98">
        <f t="shared" si="102"/>
        <v>0.2976330749695002</v>
      </c>
      <c r="W98">
        <f t="shared" si="103"/>
        <v>289.54775701269699</v>
      </c>
      <c r="X98">
        <f t="shared" si="104"/>
        <v>29.753551612997949</v>
      </c>
      <c r="Y98">
        <f t="shared" si="105"/>
        <v>30.001100000000001</v>
      </c>
      <c r="Z98">
        <f t="shared" si="106"/>
        <v>4.2607189682508402</v>
      </c>
      <c r="AA98">
        <f t="shared" si="107"/>
        <v>65.287008416850739</v>
      </c>
      <c r="AB98">
        <f t="shared" si="108"/>
        <v>2.7730477747631097</v>
      </c>
      <c r="AC98">
        <f t="shared" si="109"/>
        <v>4.2474725707410101</v>
      </c>
      <c r="AD98">
        <f t="shared" si="110"/>
        <v>1.4876711934877305</v>
      </c>
      <c r="AE98">
        <f t="shared" si="111"/>
        <v>-322.26496478655685</v>
      </c>
      <c r="AF98">
        <f t="shared" si="112"/>
        <v>-8.522010986240323</v>
      </c>
      <c r="AG98">
        <f t="shared" si="113"/>
        <v>-0.64954915677027192</v>
      </c>
      <c r="AH98">
        <f t="shared" si="114"/>
        <v>-41.888767916870442</v>
      </c>
      <c r="AI98">
        <v>0</v>
      </c>
      <c r="AJ98">
        <v>0</v>
      </c>
      <c r="AK98">
        <f t="shared" si="115"/>
        <v>1</v>
      </c>
      <c r="AL98">
        <f t="shared" si="116"/>
        <v>0</v>
      </c>
      <c r="AM98">
        <f t="shared" si="117"/>
        <v>51970.681565984996</v>
      </c>
      <c r="AN98" t="s">
        <v>418</v>
      </c>
      <c r="AO98">
        <v>8197.4</v>
      </c>
      <c r="AP98">
        <v>619.92999999999995</v>
      </c>
      <c r="AQ98">
        <v>3131.443117258741</v>
      </c>
      <c r="AR98">
        <f t="shared" si="118"/>
        <v>0.80203057287443702</v>
      </c>
      <c r="AS98">
        <v>-1.0448500102641549</v>
      </c>
      <c r="AT98" t="s">
        <v>837</v>
      </c>
      <c r="AU98">
        <v>8204.9699999999993</v>
      </c>
      <c r="AV98">
        <v>766.12915999999996</v>
      </c>
      <c r="AW98">
        <v>828.66016954893644</v>
      </c>
      <c r="AX98">
        <f t="shared" si="119"/>
        <v>7.5460377904942533E-2</v>
      </c>
      <c r="AY98">
        <v>0.5</v>
      </c>
      <c r="AZ98">
        <f t="shared" si="120"/>
        <v>1513.0917000065788</v>
      </c>
      <c r="BA98">
        <f t="shared" si="121"/>
        <v>1.6134923514347947</v>
      </c>
      <c r="BB98">
        <f t="shared" si="122"/>
        <v>57.089235743664183</v>
      </c>
      <c r="BC98">
        <f t="shared" si="123"/>
        <v>1.7568944180233039E-3</v>
      </c>
      <c r="BD98">
        <f t="shared" si="124"/>
        <v>2.7789231730098427</v>
      </c>
      <c r="BE98">
        <f t="shared" si="125"/>
        <v>399.91824526482225</v>
      </c>
      <c r="BF98" t="s">
        <v>838</v>
      </c>
      <c r="BG98">
        <v>642.04999999999995</v>
      </c>
      <c r="BH98">
        <f t="shared" si="126"/>
        <v>642.04999999999995</v>
      </c>
      <c r="BI98">
        <f t="shared" si="127"/>
        <v>0.22519505148957952</v>
      </c>
      <c r="BJ98">
        <f t="shared" si="128"/>
        <v>0.33508897023180939</v>
      </c>
      <c r="BK98">
        <f t="shared" si="129"/>
        <v>0.92503788644100271</v>
      </c>
      <c r="BL98">
        <f t="shared" si="130"/>
        <v>0.29957820512513966</v>
      </c>
      <c r="BM98">
        <f t="shared" si="131"/>
        <v>0.91689067115971878</v>
      </c>
      <c r="BN98">
        <f t="shared" si="132"/>
        <v>0.28081932469106546</v>
      </c>
      <c r="BO98">
        <f t="shared" si="133"/>
        <v>0.71918067530893448</v>
      </c>
      <c r="BP98">
        <v>13732</v>
      </c>
      <c r="BQ98">
        <v>290.00000000000011</v>
      </c>
      <c r="BR98">
        <v>803.34</v>
      </c>
      <c r="BS98">
        <v>75</v>
      </c>
      <c r="BT98">
        <v>8204.9699999999993</v>
      </c>
      <c r="BU98">
        <v>801.82</v>
      </c>
      <c r="BV98">
        <v>1.52</v>
      </c>
      <c r="BW98">
        <v>300.00000000000011</v>
      </c>
      <c r="BX98">
        <v>19.3</v>
      </c>
      <c r="BY98">
        <v>828.66016954893644</v>
      </c>
      <c r="BZ98">
        <v>2.3519348670955789</v>
      </c>
      <c r="CA98">
        <v>-22.02504205201252</v>
      </c>
      <c r="CB98">
        <v>1.7680302261492939</v>
      </c>
      <c r="CC98">
        <v>0.84715036325951987</v>
      </c>
      <c r="CD98">
        <v>-4.238331034482761E-3</v>
      </c>
      <c r="CE98">
        <v>289.99999999999989</v>
      </c>
      <c r="CF98">
        <v>799.17</v>
      </c>
      <c r="CG98">
        <v>745</v>
      </c>
      <c r="CH98">
        <v>8172.75</v>
      </c>
      <c r="CI98">
        <v>801.71</v>
      </c>
      <c r="CJ98">
        <v>-2.54</v>
      </c>
      <c r="CX98">
        <f t="shared" si="134"/>
        <v>1799.89</v>
      </c>
      <c r="CY98">
        <f t="shared" si="135"/>
        <v>1513.0917000065788</v>
      </c>
      <c r="CZ98">
        <f t="shared" si="136"/>
        <v>0.84065787354037125</v>
      </c>
      <c r="DA98">
        <f t="shared" si="137"/>
        <v>0.16086969593291645</v>
      </c>
      <c r="DB98">
        <v>6</v>
      </c>
      <c r="DC98">
        <v>0.5</v>
      </c>
      <c r="DD98" t="s">
        <v>421</v>
      </c>
      <c r="DE98">
        <v>2</v>
      </c>
      <c r="DF98">
        <v>1689015747.0999999</v>
      </c>
      <c r="DG98">
        <v>7.8820600000000001</v>
      </c>
      <c r="DH98">
        <v>9.8867200000000004</v>
      </c>
      <c r="DI98">
        <v>27.9451</v>
      </c>
      <c r="DJ98">
        <v>19.4238</v>
      </c>
      <c r="DK98">
        <v>8.1337899999999994</v>
      </c>
      <c r="DL98">
        <v>27.818999999999999</v>
      </c>
      <c r="DM98">
        <v>500.16199999999998</v>
      </c>
      <c r="DN98">
        <v>99.132300000000001</v>
      </c>
      <c r="DO98">
        <v>9.96861E-2</v>
      </c>
      <c r="DP98">
        <v>29.946899999999999</v>
      </c>
      <c r="DQ98">
        <v>30.001100000000001</v>
      </c>
      <c r="DR98">
        <v>999.9</v>
      </c>
      <c r="DS98">
        <v>0</v>
      </c>
      <c r="DT98">
        <v>0</v>
      </c>
      <c r="DU98">
        <v>10012.5</v>
      </c>
      <c r="DV98">
        <v>0</v>
      </c>
      <c r="DW98">
        <v>1809.26</v>
      </c>
      <c r="DX98">
        <v>-2.0046599999999999</v>
      </c>
      <c r="DY98">
        <v>8.1086600000000004</v>
      </c>
      <c r="DZ98">
        <v>10.082599999999999</v>
      </c>
      <c r="EA98">
        <v>8.5212699999999995</v>
      </c>
      <c r="EB98">
        <v>9.8867200000000004</v>
      </c>
      <c r="EC98">
        <v>19.4238</v>
      </c>
      <c r="ED98">
        <v>2.7702599999999999</v>
      </c>
      <c r="EE98">
        <v>1.92553</v>
      </c>
      <c r="EF98">
        <v>22.707899999999999</v>
      </c>
      <c r="EG98">
        <v>16.844899999999999</v>
      </c>
      <c r="EH98">
        <v>1799.89</v>
      </c>
      <c r="EI98">
        <v>0.97800799999999999</v>
      </c>
      <c r="EJ98">
        <v>2.19922E-2</v>
      </c>
      <c r="EK98">
        <v>0</v>
      </c>
      <c r="EL98">
        <v>766.18899999999996</v>
      </c>
      <c r="EM98">
        <v>4.9999900000000004</v>
      </c>
      <c r="EN98">
        <v>19129.8</v>
      </c>
      <c r="EO98">
        <v>15862.9</v>
      </c>
      <c r="EP98">
        <v>47.936999999999998</v>
      </c>
      <c r="EQ98">
        <v>49.25</v>
      </c>
      <c r="ER98">
        <v>48.561999999999998</v>
      </c>
      <c r="ES98">
        <v>48.686999999999998</v>
      </c>
      <c r="ET98">
        <v>49.686999999999998</v>
      </c>
      <c r="EU98">
        <v>1755.42</v>
      </c>
      <c r="EV98">
        <v>39.47</v>
      </c>
      <c r="EW98">
        <v>0</v>
      </c>
      <c r="EX98">
        <v>131</v>
      </c>
      <c r="EY98">
        <v>0</v>
      </c>
      <c r="EZ98">
        <v>766.12915999999996</v>
      </c>
      <c r="FA98">
        <v>-1.1797692384588541</v>
      </c>
      <c r="FB98">
        <v>237.7153848095324</v>
      </c>
      <c r="FC98">
        <v>19100.62</v>
      </c>
      <c r="FD98">
        <v>15</v>
      </c>
      <c r="FE98">
        <v>1689015708.5999999</v>
      </c>
      <c r="FF98" t="s">
        <v>839</v>
      </c>
      <c r="FG98">
        <v>1689015700.5999999</v>
      </c>
      <c r="FH98">
        <v>1689015708.5999999</v>
      </c>
      <c r="FI98">
        <v>92</v>
      </c>
      <c r="FJ98">
        <v>0.03</v>
      </c>
      <c r="FK98">
        <v>1E-3</v>
      </c>
      <c r="FL98">
        <v>-0.252</v>
      </c>
      <c r="FM98">
        <v>6.9000000000000006E-2</v>
      </c>
      <c r="FN98">
        <v>10</v>
      </c>
      <c r="FO98">
        <v>19</v>
      </c>
      <c r="FP98">
        <v>0.23</v>
      </c>
      <c r="FQ98">
        <v>0.01</v>
      </c>
      <c r="FR98">
        <v>1.567417658982706</v>
      </c>
      <c r="FS98">
        <v>-0.36587106918279588</v>
      </c>
      <c r="FT98">
        <v>7.4893284832168755E-2</v>
      </c>
      <c r="FU98">
        <v>1</v>
      </c>
      <c r="FV98">
        <v>0.52032405874091203</v>
      </c>
      <c r="FW98">
        <v>-3.1340538860645223E-2</v>
      </c>
      <c r="FX98">
        <v>2.5300826968943061E-3</v>
      </c>
      <c r="FY98">
        <v>1</v>
      </c>
      <c r="FZ98">
        <v>2</v>
      </c>
      <c r="GA98">
        <v>2</v>
      </c>
      <c r="GB98" t="s">
        <v>423</v>
      </c>
      <c r="GC98">
        <v>2.9581300000000001</v>
      </c>
      <c r="GD98">
        <v>2.74302</v>
      </c>
      <c r="GE98">
        <v>2.2637E-3</v>
      </c>
      <c r="GF98">
        <v>2.7442199999999999E-3</v>
      </c>
      <c r="GG98">
        <v>0.12837200000000001</v>
      </c>
      <c r="GH98">
        <v>9.9037700000000006E-2</v>
      </c>
      <c r="GI98">
        <v>23398.6</v>
      </c>
      <c r="GJ98">
        <v>21823</v>
      </c>
      <c r="GK98">
        <v>23387</v>
      </c>
      <c r="GL98">
        <v>21934.5</v>
      </c>
      <c r="GM98">
        <v>28747.5</v>
      </c>
      <c r="GN98">
        <v>27564.3</v>
      </c>
      <c r="GO98">
        <v>36905.300000000003</v>
      </c>
      <c r="GP98">
        <v>34118.800000000003</v>
      </c>
      <c r="GQ98">
        <v>1.99505</v>
      </c>
      <c r="GR98">
        <v>1.7838499999999999</v>
      </c>
      <c r="GS98">
        <v>-5.6624400000000004E-4</v>
      </c>
      <c r="GT98">
        <v>0</v>
      </c>
      <c r="GU98">
        <v>30.010400000000001</v>
      </c>
      <c r="GV98">
        <v>999.9</v>
      </c>
      <c r="GW98">
        <v>28.7</v>
      </c>
      <c r="GX98">
        <v>48</v>
      </c>
      <c r="GY98">
        <v>32.522599999999997</v>
      </c>
      <c r="GZ98">
        <v>60.263500000000001</v>
      </c>
      <c r="HA98">
        <v>39.066499999999998</v>
      </c>
      <c r="HB98">
        <v>1</v>
      </c>
      <c r="HC98">
        <v>0.55444599999999999</v>
      </c>
      <c r="HD98">
        <v>2.5925400000000001</v>
      </c>
      <c r="HE98">
        <v>20.093</v>
      </c>
      <c r="HF98">
        <v>5.2638600000000002</v>
      </c>
      <c r="HG98">
        <v>11.962199999999999</v>
      </c>
      <c r="HH98">
        <v>4.9795499999999997</v>
      </c>
      <c r="HI98">
        <v>3.29793</v>
      </c>
      <c r="HJ98">
        <v>9999</v>
      </c>
      <c r="HK98">
        <v>9999</v>
      </c>
      <c r="HL98">
        <v>9999</v>
      </c>
      <c r="HM98">
        <v>999.9</v>
      </c>
      <c r="HN98">
        <v>1.8643799999999999</v>
      </c>
      <c r="HO98">
        <v>1.86036</v>
      </c>
      <c r="HP98">
        <v>1.8669199999999999</v>
      </c>
      <c r="HQ98">
        <v>1.86371</v>
      </c>
      <c r="HR98">
        <v>1.8623400000000001</v>
      </c>
      <c r="HS98">
        <v>1.8623400000000001</v>
      </c>
      <c r="HT98">
        <v>1.8636200000000001</v>
      </c>
      <c r="HU98">
        <v>1.8649199999999999</v>
      </c>
      <c r="HV98">
        <v>0</v>
      </c>
      <c r="HW98">
        <v>0</v>
      </c>
      <c r="HX98">
        <v>0</v>
      </c>
      <c r="HY98">
        <v>0</v>
      </c>
      <c r="HZ98" t="s">
        <v>424</v>
      </c>
      <c r="IA98" t="s">
        <v>425</v>
      </c>
      <c r="IB98" t="s">
        <v>426</v>
      </c>
      <c r="IC98" t="s">
        <v>426</v>
      </c>
      <c r="ID98" t="s">
        <v>426</v>
      </c>
      <c r="IE98" t="s">
        <v>426</v>
      </c>
      <c r="IF98">
        <v>0</v>
      </c>
      <c r="IG98">
        <v>100</v>
      </c>
      <c r="IH98">
        <v>100</v>
      </c>
      <c r="II98">
        <v>-0.252</v>
      </c>
      <c r="IJ98">
        <v>0.12609999999999999</v>
      </c>
      <c r="IK98">
        <v>-0.25106266782397618</v>
      </c>
      <c r="IL98">
        <v>-8.3322953065825546E-5</v>
      </c>
      <c r="IM98">
        <v>2.3872336679552741E-7</v>
      </c>
      <c r="IN98">
        <v>-5.428329794194132E-11</v>
      </c>
      <c r="IO98">
        <v>0.12613132963112381</v>
      </c>
      <c r="IP98">
        <v>0</v>
      </c>
      <c r="IQ98">
        <v>0</v>
      </c>
      <c r="IR98">
        <v>0</v>
      </c>
      <c r="IS98">
        <v>2</v>
      </c>
      <c r="IT98">
        <v>2035</v>
      </c>
      <c r="IU98">
        <v>1</v>
      </c>
      <c r="IV98">
        <v>21</v>
      </c>
      <c r="IW98">
        <v>0.8</v>
      </c>
      <c r="IX98">
        <v>0.6</v>
      </c>
      <c r="IY98">
        <v>0.164795</v>
      </c>
      <c r="IZ98">
        <v>2.78931</v>
      </c>
      <c r="JA98">
        <v>1.4514199999999999</v>
      </c>
      <c r="JB98">
        <v>2.2753899999999998</v>
      </c>
      <c r="JC98">
        <v>1.5942400000000001</v>
      </c>
      <c r="JD98">
        <v>2.3706100000000001</v>
      </c>
      <c r="JE98">
        <v>50.3155</v>
      </c>
      <c r="JF98">
        <v>24.07</v>
      </c>
      <c r="JG98">
        <v>18</v>
      </c>
      <c r="JH98">
        <v>513.68200000000002</v>
      </c>
      <c r="JI98">
        <v>411.17700000000002</v>
      </c>
      <c r="JJ98">
        <v>27.008700000000001</v>
      </c>
      <c r="JK98">
        <v>33.866300000000003</v>
      </c>
      <c r="JL98">
        <v>30.0001</v>
      </c>
      <c r="JM98">
        <v>33.9377</v>
      </c>
      <c r="JN98">
        <v>33.954700000000003</v>
      </c>
      <c r="JO98">
        <v>3.2677399999999999</v>
      </c>
      <c r="JP98">
        <v>43.935099999999998</v>
      </c>
      <c r="JQ98">
        <v>0</v>
      </c>
      <c r="JR98">
        <v>27.002199999999998</v>
      </c>
      <c r="JS98">
        <v>10</v>
      </c>
      <c r="JT98">
        <v>19.354399999999998</v>
      </c>
      <c r="JU98">
        <v>98.912499999999994</v>
      </c>
      <c r="JV98">
        <v>98.429599999999994</v>
      </c>
    </row>
    <row r="99" spans="1:282" x14ac:dyDescent="0.25">
      <c r="A99">
        <v>83</v>
      </c>
      <c r="B99">
        <v>1689015936.5999999</v>
      </c>
      <c r="C99">
        <v>16596</v>
      </c>
      <c r="D99" t="s">
        <v>840</v>
      </c>
      <c r="E99" t="s">
        <v>841</v>
      </c>
      <c r="F99" t="s">
        <v>414</v>
      </c>
      <c r="G99" t="s">
        <v>415</v>
      </c>
      <c r="H99" t="s">
        <v>31</v>
      </c>
      <c r="I99" t="s">
        <v>501</v>
      </c>
      <c r="J99" t="s">
        <v>416</v>
      </c>
      <c r="K99">
        <v>1689015936.5999999</v>
      </c>
      <c r="L99">
        <f t="shared" si="92"/>
        <v>6.9463593333805784E-3</v>
      </c>
      <c r="M99">
        <f t="shared" si="93"/>
        <v>6.9463593333805784</v>
      </c>
      <c r="N99">
        <f t="shared" si="94"/>
        <v>51.916212320172832</v>
      </c>
      <c r="O99">
        <f t="shared" si="95"/>
        <v>334.90300000000002</v>
      </c>
      <c r="P99">
        <f t="shared" si="96"/>
        <v>142.71747231083572</v>
      </c>
      <c r="Q99">
        <f t="shared" si="97"/>
        <v>14.162062060261015</v>
      </c>
      <c r="R99">
        <f t="shared" si="98"/>
        <v>33.23291110311721</v>
      </c>
      <c r="S99">
        <f t="shared" si="99"/>
        <v>0.4807942262276117</v>
      </c>
      <c r="T99">
        <f t="shared" si="100"/>
        <v>2.916891762516221</v>
      </c>
      <c r="U99">
        <f t="shared" si="101"/>
        <v>0.44071243109074898</v>
      </c>
      <c r="V99">
        <f t="shared" si="102"/>
        <v>0.27876747368640958</v>
      </c>
      <c r="W99">
        <f t="shared" si="103"/>
        <v>289.57822201270534</v>
      </c>
      <c r="X99">
        <f t="shared" si="104"/>
        <v>29.834888428203879</v>
      </c>
      <c r="Y99">
        <f t="shared" si="105"/>
        <v>30.022099999999998</v>
      </c>
      <c r="Z99">
        <f t="shared" si="106"/>
        <v>4.265861004910465</v>
      </c>
      <c r="AA99">
        <f t="shared" si="107"/>
        <v>64.961368240598333</v>
      </c>
      <c r="AB99">
        <f t="shared" si="108"/>
        <v>2.7571558280792403</v>
      </c>
      <c r="AC99">
        <f t="shared" si="109"/>
        <v>4.2443007325023139</v>
      </c>
      <c r="AD99">
        <f t="shared" si="110"/>
        <v>1.5087051768312247</v>
      </c>
      <c r="AE99">
        <f t="shared" si="111"/>
        <v>-306.33444660208352</v>
      </c>
      <c r="AF99">
        <f t="shared" si="112"/>
        <v>-13.869932339407832</v>
      </c>
      <c r="AG99">
        <f t="shared" si="113"/>
        <v>-1.0570572975555554</v>
      </c>
      <c r="AH99">
        <f t="shared" si="114"/>
        <v>-31.683214226341569</v>
      </c>
      <c r="AI99">
        <v>0</v>
      </c>
      <c r="AJ99">
        <v>0</v>
      </c>
      <c r="AK99">
        <f t="shared" si="115"/>
        <v>1</v>
      </c>
      <c r="AL99">
        <f t="shared" si="116"/>
        <v>0</v>
      </c>
      <c r="AM99">
        <f t="shared" si="117"/>
        <v>51984.93453916302</v>
      </c>
      <c r="AN99" t="s">
        <v>418</v>
      </c>
      <c r="AO99">
        <v>8197.4</v>
      </c>
      <c r="AP99">
        <v>619.92999999999995</v>
      </c>
      <c r="AQ99">
        <v>3131.443117258741</v>
      </c>
      <c r="AR99">
        <f t="shared" si="118"/>
        <v>0.80203057287443702</v>
      </c>
      <c r="AS99">
        <v>-1.0448500102641549</v>
      </c>
      <c r="AT99" t="s">
        <v>842</v>
      </c>
      <c r="AU99">
        <v>8186.54</v>
      </c>
      <c r="AV99">
        <v>754.16488461538461</v>
      </c>
      <c r="AW99">
        <v>1168.0511193809989</v>
      </c>
      <c r="AX99">
        <f t="shared" si="119"/>
        <v>0.35433914483550222</v>
      </c>
      <c r="AY99">
        <v>0.5</v>
      </c>
      <c r="AZ99">
        <f t="shared" si="120"/>
        <v>1513.2438000065829</v>
      </c>
      <c r="BA99">
        <f t="shared" si="121"/>
        <v>51.916212320172832</v>
      </c>
      <c r="BB99">
        <f t="shared" si="122"/>
        <v>268.10075701097918</v>
      </c>
      <c r="BC99">
        <f t="shared" si="123"/>
        <v>3.4998367302219641E-2</v>
      </c>
      <c r="BD99">
        <f t="shared" si="124"/>
        <v>1.6809127317289239</v>
      </c>
      <c r="BE99">
        <f t="shared" si="125"/>
        <v>465.14425699224051</v>
      </c>
      <c r="BF99" t="s">
        <v>843</v>
      </c>
      <c r="BG99">
        <v>599.35</v>
      </c>
      <c r="BH99">
        <f t="shared" si="126"/>
        <v>599.35</v>
      </c>
      <c r="BI99">
        <f t="shared" si="127"/>
        <v>0.48688033421206633</v>
      </c>
      <c r="BJ99">
        <f t="shared" si="128"/>
        <v>0.72777460894767987</v>
      </c>
      <c r="BK99">
        <f t="shared" si="129"/>
        <v>0.77540276244000139</v>
      </c>
      <c r="BL99">
        <f t="shared" si="130"/>
        <v>0.75509995898903137</v>
      </c>
      <c r="BM99">
        <f t="shared" si="131"/>
        <v>0.781756616911776</v>
      </c>
      <c r="BN99">
        <f t="shared" si="132"/>
        <v>0.57837711722051954</v>
      </c>
      <c r="BO99">
        <f t="shared" si="133"/>
        <v>0.42162288277948046</v>
      </c>
      <c r="BP99">
        <v>13734</v>
      </c>
      <c r="BQ99">
        <v>290.00000000000011</v>
      </c>
      <c r="BR99">
        <v>1007.75</v>
      </c>
      <c r="BS99">
        <v>295</v>
      </c>
      <c r="BT99">
        <v>8186.54</v>
      </c>
      <c r="BU99">
        <v>1010.37</v>
      </c>
      <c r="BV99">
        <v>-2.62</v>
      </c>
      <c r="BW99">
        <v>300.00000000000011</v>
      </c>
      <c r="BX99">
        <v>19.3</v>
      </c>
      <c r="BY99">
        <v>1168.0511193809989</v>
      </c>
      <c r="BZ99">
        <v>5.1627545062026359</v>
      </c>
      <c r="CA99">
        <v>-129.08352258451751</v>
      </c>
      <c r="CB99">
        <v>3.8814132028040209</v>
      </c>
      <c r="CC99">
        <v>0.97530901528013181</v>
      </c>
      <c r="CD99">
        <v>-4.2392140155728562E-3</v>
      </c>
      <c r="CE99">
        <v>289.99999999999989</v>
      </c>
      <c r="CF99">
        <v>996.33</v>
      </c>
      <c r="CG99">
        <v>655</v>
      </c>
      <c r="CH99">
        <v>8176.11</v>
      </c>
      <c r="CI99">
        <v>1010.17</v>
      </c>
      <c r="CJ99">
        <v>-13.84</v>
      </c>
      <c r="CX99">
        <f t="shared" si="134"/>
        <v>1800.07</v>
      </c>
      <c r="CY99">
        <f t="shared" si="135"/>
        <v>1513.2438000065829</v>
      </c>
      <c r="CZ99">
        <f t="shared" si="136"/>
        <v>0.84065830773613415</v>
      </c>
      <c r="DA99">
        <f t="shared" si="137"/>
        <v>0.160870533930739</v>
      </c>
      <c r="DB99">
        <v>6</v>
      </c>
      <c r="DC99">
        <v>0.5</v>
      </c>
      <c r="DD99" t="s">
        <v>421</v>
      </c>
      <c r="DE99">
        <v>2</v>
      </c>
      <c r="DF99">
        <v>1689015936.5999999</v>
      </c>
      <c r="DG99">
        <v>334.90300000000002</v>
      </c>
      <c r="DH99">
        <v>399.97300000000001</v>
      </c>
      <c r="DI99">
        <v>27.7851</v>
      </c>
      <c r="DJ99">
        <v>19.683700000000002</v>
      </c>
      <c r="DK99">
        <v>335.238</v>
      </c>
      <c r="DL99">
        <v>27.653700000000001</v>
      </c>
      <c r="DM99">
        <v>500.16199999999998</v>
      </c>
      <c r="DN99">
        <v>99.131500000000003</v>
      </c>
      <c r="DO99">
        <v>9.9952399999999997E-2</v>
      </c>
      <c r="DP99">
        <v>29.933900000000001</v>
      </c>
      <c r="DQ99">
        <v>30.022099999999998</v>
      </c>
      <c r="DR99">
        <v>999.9</v>
      </c>
      <c r="DS99">
        <v>0</v>
      </c>
      <c r="DT99">
        <v>0</v>
      </c>
      <c r="DU99">
        <v>10015</v>
      </c>
      <c r="DV99">
        <v>0</v>
      </c>
      <c r="DW99">
        <v>1847.08</v>
      </c>
      <c r="DX99">
        <v>-65.069999999999993</v>
      </c>
      <c r="DY99">
        <v>344.47399999999999</v>
      </c>
      <c r="DZ99">
        <v>408.00400000000002</v>
      </c>
      <c r="EA99">
        <v>8.1013699999999993</v>
      </c>
      <c r="EB99">
        <v>399.97300000000001</v>
      </c>
      <c r="EC99">
        <v>19.683700000000002</v>
      </c>
      <c r="ED99">
        <v>2.7543799999999998</v>
      </c>
      <c r="EE99">
        <v>1.9512799999999999</v>
      </c>
      <c r="EF99">
        <v>22.613199999999999</v>
      </c>
      <c r="EG99">
        <v>17.054400000000001</v>
      </c>
      <c r="EH99">
        <v>1800.07</v>
      </c>
      <c r="EI99">
        <v>0.977993</v>
      </c>
      <c r="EJ99">
        <v>2.2006999999999999E-2</v>
      </c>
      <c r="EK99">
        <v>0</v>
      </c>
      <c r="EL99">
        <v>755.4</v>
      </c>
      <c r="EM99">
        <v>4.9999900000000004</v>
      </c>
      <c r="EN99">
        <v>19151.599999999999</v>
      </c>
      <c r="EO99">
        <v>15864.4</v>
      </c>
      <c r="EP99">
        <v>48</v>
      </c>
      <c r="EQ99">
        <v>49.311999999999998</v>
      </c>
      <c r="ER99">
        <v>48.625</v>
      </c>
      <c r="ES99">
        <v>48.875</v>
      </c>
      <c r="ET99">
        <v>49.75</v>
      </c>
      <c r="EU99">
        <v>1755.57</v>
      </c>
      <c r="EV99">
        <v>39.5</v>
      </c>
      <c r="EW99">
        <v>0</v>
      </c>
      <c r="EX99">
        <v>187.4000000953674</v>
      </c>
      <c r="EY99">
        <v>0</v>
      </c>
      <c r="EZ99">
        <v>754.16488461538461</v>
      </c>
      <c r="FA99">
        <v>10.220478636908661</v>
      </c>
      <c r="FB99">
        <v>33.948716913128671</v>
      </c>
      <c r="FC99">
        <v>19168.33846153846</v>
      </c>
      <c r="FD99">
        <v>15</v>
      </c>
      <c r="FE99">
        <v>1689015848.5999999</v>
      </c>
      <c r="FF99" t="s">
        <v>844</v>
      </c>
      <c r="FG99">
        <v>1689015833.5999999</v>
      </c>
      <c r="FH99">
        <v>1689015848.5999999</v>
      </c>
      <c r="FI99">
        <v>93</v>
      </c>
      <c r="FJ99">
        <v>-8.1000000000000003E-2</v>
      </c>
      <c r="FK99">
        <v>5.0000000000000001E-3</v>
      </c>
      <c r="FL99">
        <v>-0.33100000000000002</v>
      </c>
      <c r="FM99">
        <v>7.3999999999999996E-2</v>
      </c>
      <c r="FN99">
        <v>400</v>
      </c>
      <c r="FO99">
        <v>19</v>
      </c>
      <c r="FP99">
        <v>0.03</v>
      </c>
      <c r="FQ99">
        <v>0.01</v>
      </c>
      <c r="FR99">
        <v>51.394043531646723</v>
      </c>
      <c r="FS99">
        <v>3.5063896724049268</v>
      </c>
      <c r="FT99">
        <v>0.26376547461339439</v>
      </c>
      <c r="FU99">
        <v>0</v>
      </c>
      <c r="FV99">
        <v>0.48057124037636217</v>
      </c>
      <c r="FW99">
        <v>8.3056193779685473E-3</v>
      </c>
      <c r="FX99">
        <v>1.005475225079462E-3</v>
      </c>
      <c r="FY99">
        <v>1</v>
      </c>
      <c r="FZ99">
        <v>1</v>
      </c>
      <c r="GA99">
        <v>2</v>
      </c>
      <c r="GB99" t="s">
        <v>462</v>
      </c>
      <c r="GC99">
        <v>2.9580199999999999</v>
      </c>
      <c r="GD99">
        <v>2.7433100000000001</v>
      </c>
      <c r="GE99">
        <v>7.7271900000000004E-2</v>
      </c>
      <c r="GF99">
        <v>8.8593400000000003E-2</v>
      </c>
      <c r="GG99">
        <v>0.12782299999999999</v>
      </c>
      <c r="GH99">
        <v>9.9953500000000001E-2</v>
      </c>
      <c r="GI99">
        <v>21634.3</v>
      </c>
      <c r="GJ99">
        <v>19938.599999999999</v>
      </c>
      <c r="GK99">
        <v>23379.4</v>
      </c>
      <c r="GL99">
        <v>21926.5</v>
      </c>
      <c r="GM99">
        <v>28761.3</v>
      </c>
      <c r="GN99">
        <v>27532</v>
      </c>
      <c r="GO99">
        <v>36892.400000000001</v>
      </c>
      <c r="GP99">
        <v>34107.4</v>
      </c>
      <c r="GQ99">
        <v>1.994</v>
      </c>
      <c r="GR99">
        <v>1.7825800000000001</v>
      </c>
      <c r="GS99">
        <v>-9.4920400000000002E-3</v>
      </c>
      <c r="GT99">
        <v>0</v>
      </c>
      <c r="GU99">
        <v>30.176500000000001</v>
      </c>
      <c r="GV99">
        <v>999.9</v>
      </c>
      <c r="GW99">
        <v>28.7</v>
      </c>
      <c r="GX99">
        <v>48.2</v>
      </c>
      <c r="GY99">
        <v>32.854999999999997</v>
      </c>
      <c r="GZ99">
        <v>60.263500000000001</v>
      </c>
      <c r="HA99">
        <v>38.946300000000001</v>
      </c>
      <c r="HB99">
        <v>1</v>
      </c>
      <c r="HC99">
        <v>0.57175100000000001</v>
      </c>
      <c r="HD99">
        <v>3.3721000000000001</v>
      </c>
      <c r="HE99">
        <v>20.0779</v>
      </c>
      <c r="HF99">
        <v>5.26356</v>
      </c>
      <c r="HG99">
        <v>11.962</v>
      </c>
      <c r="HH99">
        <v>4.9797500000000001</v>
      </c>
      <c r="HI99">
        <v>3.298</v>
      </c>
      <c r="HJ99">
        <v>9999</v>
      </c>
      <c r="HK99">
        <v>9999</v>
      </c>
      <c r="HL99">
        <v>9999</v>
      </c>
      <c r="HM99">
        <v>999.9</v>
      </c>
      <c r="HN99">
        <v>1.8643700000000001</v>
      </c>
      <c r="HO99">
        <v>1.86039</v>
      </c>
      <c r="HP99">
        <v>1.8669100000000001</v>
      </c>
      <c r="HQ99">
        <v>1.86371</v>
      </c>
      <c r="HR99">
        <v>1.86232</v>
      </c>
      <c r="HS99">
        <v>1.8623400000000001</v>
      </c>
      <c r="HT99">
        <v>1.8635600000000001</v>
      </c>
      <c r="HU99">
        <v>1.8649100000000001</v>
      </c>
      <c r="HV99">
        <v>0</v>
      </c>
      <c r="HW99">
        <v>0</v>
      </c>
      <c r="HX99">
        <v>0</v>
      </c>
      <c r="HY99">
        <v>0</v>
      </c>
      <c r="HZ99" t="s">
        <v>424</v>
      </c>
      <c r="IA99" t="s">
        <v>425</v>
      </c>
      <c r="IB99" t="s">
        <v>426</v>
      </c>
      <c r="IC99" t="s">
        <v>426</v>
      </c>
      <c r="ID99" t="s">
        <v>426</v>
      </c>
      <c r="IE99" t="s">
        <v>426</v>
      </c>
      <c r="IF99">
        <v>0</v>
      </c>
      <c r="IG99">
        <v>100</v>
      </c>
      <c r="IH99">
        <v>100</v>
      </c>
      <c r="II99">
        <v>-0.33500000000000002</v>
      </c>
      <c r="IJ99">
        <v>0.13139999999999999</v>
      </c>
      <c r="IK99">
        <v>-0.33217596051414339</v>
      </c>
      <c r="IL99">
        <v>-8.3322953065825546E-5</v>
      </c>
      <c r="IM99">
        <v>2.3872336679552741E-7</v>
      </c>
      <c r="IN99">
        <v>-5.428329794194132E-11</v>
      </c>
      <c r="IO99">
        <v>0.13138285996858931</v>
      </c>
      <c r="IP99">
        <v>0</v>
      </c>
      <c r="IQ99">
        <v>0</v>
      </c>
      <c r="IR99">
        <v>0</v>
      </c>
      <c r="IS99">
        <v>2</v>
      </c>
      <c r="IT99">
        <v>2035</v>
      </c>
      <c r="IU99">
        <v>1</v>
      </c>
      <c r="IV99">
        <v>21</v>
      </c>
      <c r="IW99">
        <v>1.7</v>
      </c>
      <c r="IX99">
        <v>1.5</v>
      </c>
      <c r="IY99">
        <v>1.0644499999999999</v>
      </c>
      <c r="IZ99">
        <v>2.7404799999999998</v>
      </c>
      <c r="JA99">
        <v>1.4514199999999999</v>
      </c>
      <c r="JB99">
        <v>2.2753899999999998</v>
      </c>
      <c r="JC99">
        <v>1.5942400000000001</v>
      </c>
      <c r="JD99">
        <v>2.3278799999999999</v>
      </c>
      <c r="JE99">
        <v>50.412599999999998</v>
      </c>
      <c r="JF99">
        <v>24.061199999999999</v>
      </c>
      <c r="JG99">
        <v>18</v>
      </c>
      <c r="JH99">
        <v>513.56100000000004</v>
      </c>
      <c r="JI99">
        <v>410.839</v>
      </c>
      <c r="JJ99">
        <v>26.5456</v>
      </c>
      <c r="JK99">
        <v>33.964500000000001</v>
      </c>
      <c r="JL99">
        <v>30.000399999999999</v>
      </c>
      <c r="JM99">
        <v>34.004800000000003</v>
      </c>
      <c r="JN99">
        <v>34.023299999999999</v>
      </c>
      <c r="JO99">
        <v>21.266300000000001</v>
      </c>
      <c r="JP99">
        <v>45.457700000000003</v>
      </c>
      <c r="JQ99">
        <v>0</v>
      </c>
      <c r="JR99">
        <v>26.530799999999999</v>
      </c>
      <c r="JS99">
        <v>400</v>
      </c>
      <c r="JT99">
        <v>19.6965</v>
      </c>
      <c r="JU99">
        <v>98.878900000000002</v>
      </c>
      <c r="JV99">
        <v>98.395600000000002</v>
      </c>
    </row>
    <row r="100" spans="1:282" x14ac:dyDescent="0.25">
      <c r="A100">
        <v>84</v>
      </c>
      <c r="B100">
        <v>1689016036.0999999</v>
      </c>
      <c r="C100">
        <v>16695.5</v>
      </c>
      <c r="D100" t="s">
        <v>845</v>
      </c>
      <c r="E100" t="s">
        <v>846</v>
      </c>
      <c r="F100" t="s">
        <v>414</v>
      </c>
      <c r="G100" t="s">
        <v>415</v>
      </c>
      <c r="H100" t="s">
        <v>31</v>
      </c>
      <c r="I100" t="s">
        <v>501</v>
      </c>
      <c r="J100" t="s">
        <v>416</v>
      </c>
      <c r="K100">
        <v>1689016036.0999999</v>
      </c>
      <c r="L100">
        <f t="shared" si="92"/>
        <v>6.8320938140811107E-3</v>
      </c>
      <c r="M100">
        <f t="shared" si="93"/>
        <v>6.8320938140811105</v>
      </c>
      <c r="N100">
        <f t="shared" si="94"/>
        <v>56.370740309169982</v>
      </c>
      <c r="O100">
        <f t="shared" si="95"/>
        <v>329.77100000000002</v>
      </c>
      <c r="P100">
        <f t="shared" si="96"/>
        <v>120.40759735097375</v>
      </c>
      <c r="Q100">
        <f t="shared" si="97"/>
        <v>11.947519270469352</v>
      </c>
      <c r="R100">
        <f t="shared" si="98"/>
        <v>32.721734043554399</v>
      </c>
      <c r="S100">
        <f t="shared" si="99"/>
        <v>0.47673304902300356</v>
      </c>
      <c r="T100">
        <f t="shared" si="100"/>
        <v>2.9187846678079774</v>
      </c>
      <c r="U100">
        <f t="shared" si="101"/>
        <v>0.43731910611181146</v>
      </c>
      <c r="V100">
        <f t="shared" si="102"/>
        <v>0.27659357261853312</v>
      </c>
      <c r="W100">
        <f t="shared" si="103"/>
        <v>289.56864601270576</v>
      </c>
      <c r="X100">
        <f t="shared" si="104"/>
        <v>29.770044823400262</v>
      </c>
      <c r="Y100">
        <f t="shared" si="105"/>
        <v>30.009899999999998</v>
      </c>
      <c r="Z100">
        <f t="shared" si="106"/>
        <v>4.2628730685789007</v>
      </c>
      <c r="AA100">
        <f t="shared" si="107"/>
        <v>65.563524808982905</v>
      </c>
      <c r="AB100">
        <f t="shared" si="108"/>
        <v>2.76762101667408</v>
      </c>
      <c r="AC100">
        <f t="shared" si="109"/>
        <v>4.2212816115934126</v>
      </c>
      <c r="AD100">
        <f t="shared" si="110"/>
        <v>1.4952520519048207</v>
      </c>
      <c r="AE100">
        <f t="shared" si="111"/>
        <v>-301.29533720097697</v>
      </c>
      <c r="AF100">
        <f t="shared" si="112"/>
        <v>-26.845192743252834</v>
      </c>
      <c r="AG100">
        <f t="shared" si="113"/>
        <v>-2.0435221136476596</v>
      </c>
      <c r="AH100">
        <f t="shared" si="114"/>
        <v>-40.615406045171724</v>
      </c>
      <c r="AI100">
        <v>0</v>
      </c>
      <c r="AJ100">
        <v>0</v>
      </c>
      <c r="AK100">
        <f t="shared" si="115"/>
        <v>1</v>
      </c>
      <c r="AL100">
        <f t="shared" si="116"/>
        <v>0</v>
      </c>
      <c r="AM100">
        <f t="shared" si="117"/>
        <v>52055.030036068165</v>
      </c>
      <c r="AN100" t="s">
        <v>418</v>
      </c>
      <c r="AO100">
        <v>8197.4</v>
      </c>
      <c r="AP100">
        <v>619.92999999999995</v>
      </c>
      <c r="AQ100">
        <v>3131.443117258741</v>
      </c>
      <c r="AR100">
        <f t="shared" si="118"/>
        <v>0.80203057287443702</v>
      </c>
      <c r="AS100">
        <v>-1.0448500102641549</v>
      </c>
      <c r="AT100" t="s">
        <v>847</v>
      </c>
      <c r="AU100">
        <v>8186.23</v>
      </c>
      <c r="AV100">
        <v>787.17751999999996</v>
      </c>
      <c r="AW100">
        <v>1233.5995979978579</v>
      </c>
      <c r="AX100">
        <f t="shared" si="119"/>
        <v>0.36188571942014625</v>
      </c>
      <c r="AY100">
        <v>0.5</v>
      </c>
      <c r="AZ100">
        <f t="shared" si="120"/>
        <v>1513.193400006583</v>
      </c>
      <c r="BA100">
        <f t="shared" si="121"/>
        <v>56.370740309169982</v>
      </c>
      <c r="BB100">
        <f t="shared" si="122"/>
        <v>273.80154109159969</v>
      </c>
      <c r="BC100">
        <f t="shared" si="123"/>
        <v>3.7943325895542737E-2</v>
      </c>
      <c r="BD100">
        <f t="shared" si="124"/>
        <v>1.5384599041221303</v>
      </c>
      <c r="BE100">
        <f t="shared" si="125"/>
        <v>475.19944357392927</v>
      </c>
      <c r="BF100" t="s">
        <v>848</v>
      </c>
      <c r="BG100">
        <v>616.91</v>
      </c>
      <c r="BH100">
        <f t="shared" si="126"/>
        <v>616.91</v>
      </c>
      <c r="BI100">
        <f t="shared" si="127"/>
        <v>0.4999106671230682</v>
      </c>
      <c r="BJ100">
        <f t="shared" si="128"/>
        <v>0.72390077511800122</v>
      </c>
      <c r="BK100">
        <f t="shared" si="129"/>
        <v>0.75474986041537917</v>
      </c>
      <c r="BL100">
        <f t="shared" si="130"/>
        <v>0.72746324643479598</v>
      </c>
      <c r="BM100">
        <f t="shared" si="131"/>
        <v>0.755657418716704</v>
      </c>
      <c r="BN100">
        <f t="shared" si="132"/>
        <v>0.56732009722285537</v>
      </c>
      <c r="BO100">
        <f t="shared" si="133"/>
        <v>0.43267990277714463</v>
      </c>
      <c r="BP100">
        <v>13736</v>
      </c>
      <c r="BQ100">
        <v>290.00000000000011</v>
      </c>
      <c r="BR100">
        <v>1077.32</v>
      </c>
      <c r="BS100">
        <v>295</v>
      </c>
      <c r="BT100">
        <v>8186.23</v>
      </c>
      <c r="BU100">
        <v>1080.1400000000001</v>
      </c>
      <c r="BV100">
        <v>-2.82</v>
      </c>
      <c r="BW100">
        <v>300.00000000000011</v>
      </c>
      <c r="BX100">
        <v>19.3</v>
      </c>
      <c r="BY100">
        <v>1233.5995979978579</v>
      </c>
      <c r="BZ100">
        <v>5.2879438892849446</v>
      </c>
      <c r="CA100">
        <v>-125.62858261740659</v>
      </c>
      <c r="CB100">
        <v>3.975376903759205</v>
      </c>
      <c r="CC100">
        <v>0.97272725716021546</v>
      </c>
      <c r="CD100">
        <v>-4.2392004449388187E-3</v>
      </c>
      <c r="CE100">
        <v>289.99999999999989</v>
      </c>
      <c r="CF100">
        <v>1071.02</v>
      </c>
      <c r="CG100">
        <v>645</v>
      </c>
      <c r="CH100">
        <v>8176.1</v>
      </c>
      <c r="CI100">
        <v>1079.95</v>
      </c>
      <c r="CJ100">
        <v>-8.93</v>
      </c>
      <c r="CX100">
        <f t="shared" si="134"/>
        <v>1800.01</v>
      </c>
      <c r="CY100">
        <f t="shared" si="135"/>
        <v>1513.193400006583</v>
      </c>
      <c r="CZ100">
        <f t="shared" si="136"/>
        <v>0.84065832967960352</v>
      </c>
      <c r="DA100">
        <f t="shared" si="137"/>
        <v>0.16087057628163495</v>
      </c>
      <c r="DB100">
        <v>6</v>
      </c>
      <c r="DC100">
        <v>0.5</v>
      </c>
      <c r="DD100" t="s">
        <v>421</v>
      </c>
      <c r="DE100">
        <v>2</v>
      </c>
      <c r="DF100">
        <v>1689016036.0999999</v>
      </c>
      <c r="DG100">
        <v>329.77100000000002</v>
      </c>
      <c r="DH100">
        <v>400.09800000000001</v>
      </c>
      <c r="DI100">
        <v>27.892199999999999</v>
      </c>
      <c r="DJ100">
        <v>19.924800000000001</v>
      </c>
      <c r="DK100">
        <v>330.18299999999999</v>
      </c>
      <c r="DL100">
        <v>27.764700000000001</v>
      </c>
      <c r="DM100">
        <v>500.15300000000002</v>
      </c>
      <c r="DN100">
        <v>99.127899999999997</v>
      </c>
      <c r="DO100">
        <v>9.7726400000000005E-2</v>
      </c>
      <c r="DP100">
        <v>29.839300000000001</v>
      </c>
      <c r="DQ100">
        <v>30.009899999999998</v>
      </c>
      <c r="DR100">
        <v>999.9</v>
      </c>
      <c r="DS100">
        <v>0</v>
      </c>
      <c r="DT100">
        <v>0</v>
      </c>
      <c r="DU100">
        <v>10026.200000000001</v>
      </c>
      <c r="DV100">
        <v>0</v>
      </c>
      <c r="DW100">
        <v>1839.37</v>
      </c>
      <c r="DX100">
        <v>-70.326800000000006</v>
      </c>
      <c r="DY100">
        <v>339.233</v>
      </c>
      <c r="DZ100">
        <v>408.23200000000003</v>
      </c>
      <c r="EA100">
        <v>7.9673999999999996</v>
      </c>
      <c r="EB100">
        <v>400.09800000000001</v>
      </c>
      <c r="EC100">
        <v>19.924800000000001</v>
      </c>
      <c r="ED100">
        <v>2.7648999999999999</v>
      </c>
      <c r="EE100">
        <v>1.9751099999999999</v>
      </c>
      <c r="EF100">
        <v>22.675999999999998</v>
      </c>
      <c r="EG100">
        <v>17.246200000000002</v>
      </c>
      <c r="EH100">
        <v>1800.01</v>
      </c>
      <c r="EI100">
        <v>0.977993</v>
      </c>
      <c r="EJ100">
        <v>2.2006999999999999E-2</v>
      </c>
      <c r="EK100">
        <v>0</v>
      </c>
      <c r="EL100">
        <v>790.05399999999997</v>
      </c>
      <c r="EM100">
        <v>4.9999900000000004</v>
      </c>
      <c r="EN100">
        <v>19887.2</v>
      </c>
      <c r="EO100">
        <v>15863.9</v>
      </c>
      <c r="EP100">
        <v>48.125</v>
      </c>
      <c r="EQ100">
        <v>49.625</v>
      </c>
      <c r="ER100">
        <v>48.811999999999998</v>
      </c>
      <c r="ES100">
        <v>49.125</v>
      </c>
      <c r="ET100">
        <v>49.936999999999998</v>
      </c>
      <c r="EU100">
        <v>1755.51</v>
      </c>
      <c r="EV100">
        <v>39.5</v>
      </c>
      <c r="EW100">
        <v>0</v>
      </c>
      <c r="EX100">
        <v>97.400000095367432</v>
      </c>
      <c r="EY100">
        <v>0</v>
      </c>
      <c r="EZ100">
        <v>787.17751999999996</v>
      </c>
      <c r="FA100">
        <v>24.17469228340433</v>
      </c>
      <c r="FB100">
        <v>570.70768949751516</v>
      </c>
      <c r="FC100">
        <v>19819.655999999999</v>
      </c>
      <c r="FD100">
        <v>15</v>
      </c>
      <c r="FE100">
        <v>1689016007.0999999</v>
      </c>
      <c r="FF100" t="s">
        <v>849</v>
      </c>
      <c r="FG100">
        <v>1689016004.0999999</v>
      </c>
      <c r="FH100">
        <v>1689016007.0999999</v>
      </c>
      <c r="FI100">
        <v>94</v>
      </c>
      <c r="FJ100">
        <v>-7.5999999999999998E-2</v>
      </c>
      <c r="FK100">
        <v>-4.0000000000000001E-3</v>
      </c>
      <c r="FL100">
        <v>-0.40600000000000003</v>
      </c>
      <c r="FM100">
        <v>8.2000000000000003E-2</v>
      </c>
      <c r="FN100">
        <v>400</v>
      </c>
      <c r="FO100">
        <v>20</v>
      </c>
      <c r="FP100">
        <v>0.04</v>
      </c>
      <c r="FQ100">
        <v>0.01</v>
      </c>
      <c r="FR100">
        <v>56.245093858260333</v>
      </c>
      <c r="FS100">
        <v>-0.56550895186344241</v>
      </c>
      <c r="FT100">
        <v>7.7295329108066246E-2</v>
      </c>
      <c r="FU100">
        <v>1</v>
      </c>
      <c r="FV100">
        <v>0.47326500153901307</v>
      </c>
      <c r="FW100">
        <v>4.4598132472443923E-2</v>
      </c>
      <c r="FX100">
        <v>4.3268819567490024E-3</v>
      </c>
      <c r="FY100">
        <v>1</v>
      </c>
      <c r="FZ100">
        <v>2</v>
      </c>
      <c r="GA100">
        <v>2</v>
      </c>
      <c r="GB100" t="s">
        <v>423</v>
      </c>
      <c r="GC100">
        <v>2.9578799999999998</v>
      </c>
      <c r="GD100">
        <v>2.7411799999999999</v>
      </c>
      <c r="GE100">
        <v>7.6323000000000002E-2</v>
      </c>
      <c r="GF100">
        <v>8.8597200000000001E-2</v>
      </c>
      <c r="GG100">
        <v>0.12814999999999999</v>
      </c>
      <c r="GH100">
        <v>0.10079399999999999</v>
      </c>
      <c r="GI100">
        <v>21653</v>
      </c>
      <c r="GJ100">
        <v>19934.599999999999</v>
      </c>
      <c r="GK100">
        <v>23375.9</v>
      </c>
      <c r="GL100">
        <v>21922.5</v>
      </c>
      <c r="GM100">
        <v>28746.5</v>
      </c>
      <c r="GN100">
        <v>27501.7</v>
      </c>
      <c r="GO100">
        <v>36886.699999999997</v>
      </c>
      <c r="GP100">
        <v>34101.800000000003</v>
      </c>
      <c r="GQ100">
        <v>1.9923500000000001</v>
      </c>
      <c r="GR100">
        <v>1.78078</v>
      </c>
      <c r="GS100">
        <v>-1.7568500000000001E-2</v>
      </c>
      <c r="GT100">
        <v>0</v>
      </c>
      <c r="GU100">
        <v>30.2957</v>
      </c>
      <c r="GV100">
        <v>999.9</v>
      </c>
      <c r="GW100">
        <v>28.7</v>
      </c>
      <c r="GX100">
        <v>48.3</v>
      </c>
      <c r="GY100">
        <v>33.020499999999998</v>
      </c>
      <c r="GZ100">
        <v>60.043500000000002</v>
      </c>
      <c r="HA100">
        <v>38.798099999999998</v>
      </c>
      <c r="HB100">
        <v>1</v>
      </c>
      <c r="HC100">
        <v>0.57996400000000004</v>
      </c>
      <c r="HD100">
        <v>3.5522800000000001</v>
      </c>
      <c r="HE100">
        <v>20.074200000000001</v>
      </c>
      <c r="HF100">
        <v>5.26431</v>
      </c>
      <c r="HG100">
        <v>11.962300000000001</v>
      </c>
      <c r="HH100">
        <v>4.9796500000000004</v>
      </c>
      <c r="HI100">
        <v>3.298</v>
      </c>
      <c r="HJ100">
        <v>9999</v>
      </c>
      <c r="HK100">
        <v>9999</v>
      </c>
      <c r="HL100">
        <v>9999</v>
      </c>
      <c r="HM100">
        <v>999.9</v>
      </c>
      <c r="HN100">
        <v>1.86432</v>
      </c>
      <c r="HO100">
        <v>1.86036</v>
      </c>
      <c r="HP100">
        <v>1.8669100000000001</v>
      </c>
      <c r="HQ100">
        <v>1.8636900000000001</v>
      </c>
      <c r="HR100">
        <v>1.86233</v>
      </c>
      <c r="HS100">
        <v>1.86233</v>
      </c>
      <c r="HT100">
        <v>1.8635699999999999</v>
      </c>
      <c r="HU100">
        <v>1.8649</v>
      </c>
      <c r="HV100">
        <v>0</v>
      </c>
      <c r="HW100">
        <v>0</v>
      </c>
      <c r="HX100">
        <v>0</v>
      </c>
      <c r="HY100">
        <v>0</v>
      </c>
      <c r="HZ100" t="s">
        <v>424</v>
      </c>
      <c r="IA100" t="s">
        <v>425</v>
      </c>
      <c r="IB100" t="s">
        <v>426</v>
      </c>
      <c r="IC100" t="s">
        <v>426</v>
      </c>
      <c r="ID100" t="s">
        <v>426</v>
      </c>
      <c r="IE100" t="s">
        <v>426</v>
      </c>
      <c r="IF100">
        <v>0</v>
      </c>
      <c r="IG100">
        <v>100</v>
      </c>
      <c r="IH100">
        <v>100</v>
      </c>
      <c r="II100">
        <v>-0.41199999999999998</v>
      </c>
      <c r="IJ100">
        <v>0.1275</v>
      </c>
      <c r="IK100">
        <v>-0.40762826987192252</v>
      </c>
      <c r="IL100">
        <v>-8.3322953065825546E-5</v>
      </c>
      <c r="IM100">
        <v>2.3872336679552741E-7</v>
      </c>
      <c r="IN100">
        <v>-5.428329794194132E-11</v>
      </c>
      <c r="IO100">
        <v>0.12751575105121651</v>
      </c>
      <c r="IP100">
        <v>0</v>
      </c>
      <c r="IQ100">
        <v>0</v>
      </c>
      <c r="IR100">
        <v>0</v>
      </c>
      <c r="IS100">
        <v>2</v>
      </c>
      <c r="IT100">
        <v>2035</v>
      </c>
      <c r="IU100">
        <v>1</v>
      </c>
      <c r="IV100">
        <v>21</v>
      </c>
      <c r="IW100">
        <v>0.5</v>
      </c>
      <c r="IX100">
        <v>0.5</v>
      </c>
      <c r="IY100">
        <v>1.0644499999999999</v>
      </c>
      <c r="IZ100">
        <v>2.7404799999999998</v>
      </c>
      <c r="JA100">
        <v>1.4526399999999999</v>
      </c>
      <c r="JB100">
        <v>2.2753899999999998</v>
      </c>
      <c r="JC100">
        <v>1.5942400000000001</v>
      </c>
      <c r="JD100">
        <v>2.2973599999999998</v>
      </c>
      <c r="JE100">
        <v>50.542499999999997</v>
      </c>
      <c r="JF100">
        <v>24.061199999999999</v>
      </c>
      <c r="JG100">
        <v>18</v>
      </c>
      <c r="JH100">
        <v>513.17499999999995</v>
      </c>
      <c r="JI100">
        <v>410.20499999999998</v>
      </c>
      <c r="JJ100">
        <v>26.3428</v>
      </c>
      <c r="JK100">
        <v>34.072200000000002</v>
      </c>
      <c r="JL100">
        <v>30.000699999999998</v>
      </c>
      <c r="JM100">
        <v>34.087200000000003</v>
      </c>
      <c r="JN100">
        <v>34.0989</v>
      </c>
      <c r="JO100">
        <v>21.254799999999999</v>
      </c>
      <c r="JP100">
        <v>44.967300000000002</v>
      </c>
      <c r="JQ100">
        <v>0</v>
      </c>
      <c r="JR100">
        <v>26.3264</v>
      </c>
      <c r="JS100">
        <v>400</v>
      </c>
      <c r="JT100">
        <v>19.9175</v>
      </c>
      <c r="JU100">
        <v>98.863799999999998</v>
      </c>
      <c r="JV100">
        <v>98.378799999999998</v>
      </c>
    </row>
    <row r="101" spans="1:282" x14ac:dyDescent="0.25">
      <c r="A101">
        <v>85</v>
      </c>
      <c r="B101">
        <v>1689016167.5999999</v>
      </c>
      <c r="C101">
        <v>16827</v>
      </c>
      <c r="D101" t="s">
        <v>850</v>
      </c>
      <c r="E101" t="s">
        <v>851</v>
      </c>
      <c r="F101" t="s">
        <v>414</v>
      </c>
      <c r="G101" t="s">
        <v>415</v>
      </c>
      <c r="H101" t="s">
        <v>31</v>
      </c>
      <c r="I101" t="s">
        <v>501</v>
      </c>
      <c r="J101" t="s">
        <v>416</v>
      </c>
      <c r="K101">
        <v>1689016167.5999999</v>
      </c>
      <c r="L101">
        <f t="shared" si="92"/>
        <v>6.6221819833010079E-3</v>
      </c>
      <c r="M101">
        <f t="shared" si="93"/>
        <v>6.622181983301008</v>
      </c>
      <c r="N101">
        <f t="shared" si="94"/>
        <v>57.83105934731342</v>
      </c>
      <c r="O101">
        <f t="shared" si="95"/>
        <v>327.89100000000002</v>
      </c>
      <c r="P101">
        <f t="shared" si="96"/>
        <v>106.26328301851323</v>
      </c>
      <c r="Q101">
        <f t="shared" si="97"/>
        <v>10.544314629433813</v>
      </c>
      <c r="R101">
        <f t="shared" si="98"/>
        <v>32.536034742662103</v>
      </c>
      <c r="S101">
        <f t="shared" si="99"/>
        <v>0.45986398067426026</v>
      </c>
      <c r="T101">
        <f t="shared" si="100"/>
        <v>2.9097395718789678</v>
      </c>
      <c r="U101">
        <f t="shared" si="101"/>
        <v>0.42297022720840893</v>
      </c>
      <c r="V101">
        <f t="shared" si="102"/>
        <v>0.26742405909344535</v>
      </c>
      <c r="W101">
        <f t="shared" si="103"/>
        <v>289.56226201270607</v>
      </c>
      <c r="X101">
        <f t="shared" si="104"/>
        <v>29.813735176872243</v>
      </c>
      <c r="Y101">
        <f t="shared" si="105"/>
        <v>29.990500000000001</v>
      </c>
      <c r="Z101">
        <f t="shared" si="106"/>
        <v>4.2581255160740312</v>
      </c>
      <c r="AA101">
        <f t="shared" si="107"/>
        <v>65.41228868734315</v>
      </c>
      <c r="AB101">
        <f t="shared" si="108"/>
        <v>2.7595065597500703</v>
      </c>
      <c r="AC101">
        <f t="shared" si="109"/>
        <v>4.2186363069176886</v>
      </c>
      <c r="AD101">
        <f t="shared" si="110"/>
        <v>1.4986189563239609</v>
      </c>
      <c r="AE101">
        <f t="shared" si="111"/>
        <v>-292.03822546357446</v>
      </c>
      <c r="AF101">
        <f t="shared" si="112"/>
        <v>-25.428607515440788</v>
      </c>
      <c r="AG101">
        <f t="shared" si="113"/>
        <v>-1.9414140325353579</v>
      </c>
      <c r="AH101">
        <f t="shared" si="114"/>
        <v>-29.845984998844543</v>
      </c>
      <c r="AI101">
        <v>0</v>
      </c>
      <c r="AJ101">
        <v>0</v>
      </c>
      <c r="AK101">
        <f t="shared" si="115"/>
        <v>1</v>
      </c>
      <c r="AL101">
        <f t="shared" si="116"/>
        <v>0</v>
      </c>
      <c r="AM101">
        <f t="shared" si="117"/>
        <v>51799.395852076515</v>
      </c>
      <c r="AN101" t="s">
        <v>418</v>
      </c>
      <c r="AO101">
        <v>8197.4</v>
      </c>
      <c r="AP101">
        <v>619.92999999999995</v>
      </c>
      <c r="AQ101">
        <v>3131.443117258741</v>
      </c>
      <c r="AR101">
        <f t="shared" si="118"/>
        <v>0.80203057287443702</v>
      </c>
      <c r="AS101">
        <v>-1.0448500102641549</v>
      </c>
      <c r="AT101" t="s">
        <v>852</v>
      </c>
      <c r="AU101">
        <v>8185.86</v>
      </c>
      <c r="AV101">
        <v>808.27647999999999</v>
      </c>
      <c r="AW101">
        <v>1271.7143169448541</v>
      </c>
      <c r="AX101">
        <f t="shared" si="119"/>
        <v>0.36441976847300872</v>
      </c>
      <c r="AY101">
        <v>0.5</v>
      </c>
      <c r="AZ101">
        <f t="shared" si="120"/>
        <v>1513.1598000065833</v>
      </c>
      <c r="BA101">
        <f t="shared" si="121"/>
        <v>57.83105934731342</v>
      </c>
      <c r="BB101">
        <f t="shared" si="122"/>
        <v>275.71267199053165</v>
      </c>
      <c r="BC101">
        <f t="shared" si="123"/>
        <v>3.8909247626933673E-2</v>
      </c>
      <c r="BD101">
        <f t="shared" si="124"/>
        <v>1.462379384688905</v>
      </c>
      <c r="BE101">
        <f t="shared" si="125"/>
        <v>480.74984014055701</v>
      </c>
      <c r="BF101" t="s">
        <v>853</v>
      </c>
      <c r="BG101">
        <v>621.13</v>
      </c>
      <c r="BH101">
        <f t="shared" si="126"/>
        <v>621.13</v>
      </c>
      <c r="BI101">
        <f t="shared" si="127"/>
        <v>0.51158055569257677</v>
      </c>
      <c r="BJ101">
        <f t="shared" si="128"/>
        <v>0.71234092933742943</v>
      </c>
      <c r="BK101">
        <f t="shared" si="129"/>
        <v>0.740835391221916</v>
      </c>
      <c r="BL101">
        <f t="shared" si="130"/>
        <v>0.711029438568195</v>
      </c>
      <c r="BM101">
        <f t="shared" si="131"/>
        <v>0.74048142035735742</v>
      </c>
      <c r="BN101">
        <f t="shared" si="132"/>
        <v>0.54740714642514099</v>
      </c>
      <c r="BO101">
        <f t="shared" si="133"/>
        <v>0.45259285357485901</v>
      </c>
      <c r="BP101">
        <v>13738</v>
      </c>
      <c r="BQ101">
        <v>290.00000000000011</v>
      </c>
      <c r="BR101">
        <v>1117.75</v>
      </c>
      <c r="BS101">
        <v>295</v>
      </c>
      <c r="BT101">
        <v>8185.86</v>
      </c>
      <c r="BU101">
        <v>1120.75</v>
      </c>
      <c r="BV101">
        <v>-3</v>
      </c>
      <c r="BW101">
        <v>300.00000000000011</v>
      </c>
      <c r="BX101">
        <v>19.3</v>
      </c>
      <c r="BY101">
        <v>1271.7143169448541</v>
      </c>
      <c r="BZ101">
        <v>5.0934201975217999</v>
      </c>
      <c r="CA101">
        <v>-123.5762155279982</v>
      </c>
      <c r="CB101">
        <v>3.828947282403492</v>
      </c>
      <c r="CC101">
        <v>0.97382257867734034</v>
      </c>
      <c r="CD101">
        <v>-4.2390471635150289E-3</v>
      </c>
      <c r="CE101">
        <v>289.99999999999989</v>
      </c>
      <c r="CF101">
        <v>1113.5999999999999</v>
      </c>
      <c r="CG101">
        <v>665</v>
      </c>
      <c r="CH101">
        <v>8175.09</v>
      </c>
      <c r="CI101">
        <v>1120.55</v>
      </c>
      <c r="CJ101">
        <v>-6.95</v>
      </c>
      <c r="CX101">
        <f t="shared" si="134"/>
        <v>1799.97</v>
      </c>
      <c r="CY101">
        <f t="shared" si="135"/>
        <v>1513.1598000065833</v>
      </c>
      <c r="CZ101">
        <f t="shared" si="136"/>
        <v>0.8406583443093959</v>
      </c>
      <c r="DA101">
        <f t="shared" si="137"/>
        <v>0.1608706045171342</v>
      </c>
      <c r="DB101">
        <v>6</v>
      </c>
      <c r="DC101">
        <v>0.5</v>
      </c>
      <c r="DD101" t="s">
        <v>421</v>
      </c>
      <c r="DE101">
        <v>2</v>
      </c>
      <c r="DF101">
        <v>1689016167.5999999</v>
      </c>
      <c r="DG101">
        <v>327.89100000000002</v>
      </c>
      <c r="DH101">
        <v>399.88900000000001</v>
      </c>
      <c r="DI101">
        <v>27.809699999999999</v>
      </c>
      <c r="DJ101">
        <v>20.084599999999998</v>
      </c>
      <c r="DK101">
        <v>328.29399999999998</v>
      </c>
      <c r="DL101">
        <v>27.685199999999998</v>
      </c>
      <c r="DM101">
        <v>500.03399999999999</v>
      </c>
      <c r="DN101">
        <v>99.129000000000005</v>
      </c>
      <c r="DO101">
        <v>9.9203100000000002E-2</v>
      </c>
      <c r="DP101">
        <v>29.828399999999998</v>
      </c>
      <c r="DQ101">
        <v>29.990500000000001</v>
      </c>
      <c r="DR101">
        <v>999.9</v>
      </c>
      <c r="DS101">
        <v>0</v>
      </c>
      <c r="DT101">
        <v>0</v>
      </c>
      <c r="DU101">
        <v>9974.3799999999992</v>
      </c>
      <c r="DV101">
        <v>0</v>
      </c>
      <c r="DW101">
        <v>1243.77</v>
      </c>
      <c r="DX101">
        <v>-71.997699999999995</v>
      </c>
      <c r="DY101">
        <v>337.27</v>
      </c>
      <c r="DZ101">
        <v>408.08499999999998</v>
      </c>
      <c r="EA101">
        <v>7.7251099999999999</v>
      </c>
      <c r="EB101">
        <v>399.88900000000001</v>
      </c>
      <c r="EC101">
        <v>20.084599999999998</v>
      </c>
      <c r="ED101">
        <v>2.7567499999999998</v>
      </c>
      <c r="EE101">
        <v>1.9909699999999999</v>
      </c>
      <c r="EF101">
        <v>22.627400000000002</v>
      </c>
      <c r="EG101">
        <v>17.372699999999998</v>
      </c>
      <c r="EH101">
        <v>1799.97</v>
      </c>
      <c r="EI101">
        <v>0.97799599999999998</v>
      </c>
      <c r="EJ101">
        <v>2.20039E-2</v>
      </c>
      <c r="EK101">
        <v>0</v>
      </c>
      <c r="EL101">
        <v>809.09900000000005</v>
      </c>
      <c r="EM101">
        <v>4.9999900000000004</v>
      </c>
      <c r="EN101">
        <v>18149.099999999999</v>
      </c>
      <c r="EO101">
        <v>15863.5</v>
      </c>
      <c r="EP101">
        <v>48.186999999999998</v>
      </c>
      <c r="EQ101">
        <v>49.561999999999998</v>
      </c>
      <c r="ER101">
        <v>48.811999999999998</v>
      </c>
      <c r="ES101">
        <v>49</v>
      </c>
      <c r="ET101">
        <v>49.936999999999998</v>
      </c>
      <c r="EU101">
        <v>1755.47</v>
      </c>
      <c r="EV101">
        <v>39.5</v>
      </c>
      <c r="EW101">
        <v>0</v>
      </c>
      <c r="EX101">
        <v>129.79999995231631</v>
      </c>
      <c r="EY101">
        <v>0</v>
      </c>
      <c r="EZ101">
        <v>808.27647999999999</v>
      </c>
      <c r="FA101">
        <v>4.3226153810979184</v>
      </c>
      <c r="FB101">
        <v>-6984.7769280829953</v>
      </c>
      <c r="FC101">
        <v>18830.204000000002</v>
      </c>
      <c r="FD101">
        <v>15</v>
      </c>
      <c r="FE101">
        <v>1689016130.5999999</v>
      </c>
      <c r="FF101" t="s">
        <v>854</v>
      </c>
      <c r="FG101">
        <v>1689016130.5999999</v>
      </c>
      <c r="FH101">
        <v>1689016130.5999999</v>
      </c>
      <c r="FI101">
        <v>95</v>
      </c>
      <c r="FJ101">
        <v>8.0000000000000002E-3</v>
      </c>
      <c r="FK101">
        <v>-3.0000000000000001E-3</v>
      </c>
      <c r="FL101">
        <v>-0.39800000000000002</v>
      </c>
      <c r="FM101">
        <v>7.5999999999999998E-2</v>
      </c>
      <c r="FN101">
        <v>400</v>
      </c>
      <c r="FO101">
        <v>20</v>
      </c>
      <c r="FP101">
        <v>0.02</v>
      </c>
      <c r="FQ101">
        <v>0.01</v>
      </c>
      <c r="FR101">
        <v>57.874204272214698</v>
      </c>
      <c r="FS101">
        <v>-0.69318643259277513</v>
      </c>
      <c r="FT101">
        <v>0.1066851813065201</v>
      </c>
      <c r="FU101">
        <v>1</v>
      </c>
      <c r="FV101">
        <v>0.46324953464483798</v>
      </c>
      <c r="FW101">
        <v>-2.0057632033536311E-2</v>
      </c>
      <c r="FX101">
        <v>1.675555458066416E-3</v>
      </c>
      <c r="FY101">
        <v>1</v>
      </c>
      <c r="FZ101">
        <v>2</v>
      </c>
      <c r="GA101">
        <v>2</v>
      </c>
      <c r="GB101" t="s">
        <v>423</v>
      </c>
      <c r="GC101">
        <v>2.95749</v>
      </c>
      <c r="GD101">
        <v>2.74221</v>
      </c>
      <c r="GE101">
        <v>7.5956700000000002E-2</v>
      </c>
      <c r="GF101">
        <v>8.8544999999999999E-2</v>
      </c>
      <c r="GG101">
        <v>0.12787100000000001</v>
      </c>
      <c r="GH101">
        <v>0.101343</v>
      </c>
      <c r="GI101">
        <v>21656.6</v>
      </c>
      <c r="GJ101">
        <v>19931.5</v>
      </c>
      <c r="GK101">
        <v>23370.9</v>
      </c>
      <c r="GL101">
        <v>21918.2</v>
      </c>
      <c r="GM101">
        <v>28750.3</v>
      </c>
      <c r="GN101">
        <v>27479.9</v>
      </c>
      <c r="GO101">
        <v>36879.1</v>
      </c>
      <c r="GP101">
        <v>34095.599999999999</v>
      </c>
      <c r="GQ101">
        <v>1.9909300000000001</v>
      </c>
      <c r="GR101">
        <v>1.7791999999999999</v>
      </c>
      <c r="GS101">
        <v>-1.0844299999999999E-2</v>
      </c>
      <c r="GT101">
        <v>0</v>
      </c>
      <c r="GU101">
        <v>30.166899999999998</v>
      </c>
      <c r="GV101">
        <v>999.9</v>
      </c>
      <c r="GW101">
        <v>28.5</v>
      </c>
      <c r="GX101">
        <v>48.5</v>
      </c>
      <c r="GY101">
        <v>33.121200000000002</v>
      </c>
      <c r="GZ101">
        <v>60.503500000000003</v>
      </c>
      <c r="HA101">
        <v>39.002400000000002</v>
      </c>
      <c r="HB101">
        <v>1</v>
      </c>
      <c r="HC101">
        <v>0.58901400000000004</v>
      </c>
      <c r="HD101">
        <v>3.39228</v>
      </c>
      <c r="HE101">
        <v>20.0777</v>
      </c>
      <c r="HF101">
        <v>5.2565200000000001</v>
      </c>
      <c r="HG101">
        <v>11.962</v>
      </c>
      <c r="HH101">
        <v>4.97905</v>
      </c>
      <c r="HI101">
        <v>3.29725</v>
      </c>
      <c r="HJ101">
        <v>9999</v>
      </c>
      <c r="HK101">
        <v>9999</v>
      </c>
      <c r="HL101">
        <v>9999</v>
      </c>
      <c r="HM101">
        <v>999.9</v>
      </c>
      <c r="HN101">
        <v>1.86432</v>
      </c>
      <c r="HO101">
        <v>1.8603499999999999</v>
      </c>
      <c r="HP101">
        <v>1.8669</v>
      </c>
      <c r="HQ101">
        <v>1.86361</v>
      </c>
      <c r="HR101">
        <v>1.8622099999999999</v>
      </c>
      <c r="HS101">
        <v>1.86222</v>
      </c>
      <c r="HT101">
        <v>1.8635600000000001</v>
      </c>
      <c r="HU101">
        <v>1.8647899999999999</v>
      </c>
      <c r="HV101">
        <v>0</v>
      </c>
      <c r="HW101">
        <v>0</v>
      </c>
      <c r="HX101">
        <v>0</v>
      </c>
      <c r="HY101">
        <v>0</v>
      </c>
      <c r="HZ101" t="s">
        <v>424</v>
      </c>
      <c r="IA101" t="s">
        <v>425</v>
      </c>
      <c r="IB101" t="s">
        <v>426</v>
      </c>
      <c r="IC101" t="s">
        <v>426</v>
      </c>
      <c r="ID101" t="s">
        <v>426</v>
      </c>
      <c r="IE101" t="s">
        <v>426</v>
      </c>
      <c r="IF101">
        <v>0</v>
      </c>
      <c r="IG101">
        <v>100</v>
      </c>
      <c r="IH101">
        <v>100</v>
      </c>
      <c r="II101">
        <v>-0.40300000000000002</v>
      </c>
      <c r="IJ101">
        <v>0.1245</v>
      </c>
      <c r="IK101">
        <v>-0.39941925472852829</v>
      </c>
      <c r="IL101">
        <v>-8.3322953065825546E-5</v>
      </c>
      <c r="IM101">
        <v>2.3872336679552741E-7</v>
      </c>
      <c r="IN101">
        <v>-5.428329794194132E-11</v>
      </c>
      <c r="IO101">
        <v>0.1245240854240411</v>
      </c>
      <c r="IP101">
        <v>0</v>
      </c>
      <c r="IQ101">
        <v>0</v>
      </c>
      <c r="IR101">
        <v>0</v>
      </c>
      <c r="IS101">
        <v>2</v>
      </c>
      <c r="IT101">
        <v>2035</v>
      </c>
      <c r="IU101">
        <v>1</v>
      </c>
      <c r="IV101">
        <v>21</v>
      </c>
      <c r="IW101">
        <v>0.6</v>
      </c>
      <c r="IX101">
        <v>0.6</v>
      </c>
      <c r="IY101">
        <v>1.0644499999999999</v>
      </c>
      <c r="IZ101">
        <v>2.7429199999999998</v>
      </c>
      <c r="JA101">
        <v>1.4514199999999999</v>
      </c>
      <c r="JB101">
        <v>2.2753899999999998</v>
      </c>
      <c r="JC101">
        <v>1.5942400000000001</v>
      </c>
      <c r="JD101">
        <v>2.3327599999999999</v>
      </c>
      <c r="JE101">
        <v>50.575099999999999</v>
      </c>
      <c r="JF101">
        <v>24.096299999999999</v>
      </c>
      <c r="JG101">
        <v>18</v>
      </c>
      <c r="JH101">
        <v>512.98800000000006</v>
      </c>
      <c r="JI101">
        <v>409.791</v>
      </c>
      <c r="JJ101">
        <v>26.440100000000001</v>
      </c>
      <c r="JK101">
        <v>34.162700000000001</v>
      </c>
      <c r="JL101">
        <v>30.000399999999999</v>
      </c>
      <c r="JM101">
        <v>34.176000000000002</v>
      </c>
      <c r="JN101">
        <v>34.184399999999997</v>
      </c>
      <c r="JO101">
        <v>21.2683</v>
      </c>
      <c r="JP101">
        <v>43.975900000000003</v>
      </c>
      <c r="JQ101">
        <v>0</v>
      </c>
      <c r="JR101">
        <v>26.449300000000001</v>
      </c>
      <c r="JS101">
        <v>400</v>
      </c>
      <c r="JT101">
        <v>20.0867</v>
      </c>
      <c r="JU101">
        <v>98.843000000000004</v>
      </c>
      <c r="JV101">
        <v>98.360399999999998</v>
      </c>
    </row>
    <row r="102" spans="1:282" x14ac:dyDescent="0.25">
      <c r="A102">
        <v>86</v>
      </c>
      <c r="B102">
        <v>1689016299.0999999</v>
      </c>
      <c r="C102">
        <v>16958.5</v>
      </c>
      <c r="D102" t="s">
        <v>855</v>
      </c>
      <c r="E102" t="s">
        <v>856</v>
      </c>
      <c r="F102" t="s">
        <v>414</v>
      </c>
      <c r="G102" t="s">
        <v>415</v>
      </c>
      <c r="H102" t="s">
        <v>31</v>
      </c>
      <c r="I102" t="s">
        <v>501</v>
      </c>
      <c r="J102" t="s">
        <v>416</v>
      </c>
      <c r="K102">
        <v>1689016299.0999999</v>
      </c>
      <c r="L102">
        <f t="shared" si="92"/>
        <v>6.3797600462377063E-3</v>
      </c>
      <c r="M102">
        <f t="shared" si="93"/>
        <v>6.3797600462377062</v>
      </c>
      <c r="N102">
        <f t="shared" si="94"/>
        <v>62.057823186798792</v>
      </c>
      <c r="O102">
        <f t="shared" si="95"/>
        <v>422.19299999999998</v>
      </c>
      <c r="P102">
        <f t="shared" si="96"/>
        <v>176.19300208636852</v>
      </c>
      <c r="Q102">
        <f t="shared" si="97"/>
        <v>17.483505108074151</v>
      </c>
      <c r="R102">
        <f t="shared" si="98"/>
        <v>41.893908297645297</v>
      </c>
      <c r="S102">
        <f t="shared" si="99"/>
        <v>0.44619466956920628</v>
      </c>
      <c r="T102">
        <f t="shared" si="100"/>
        <v>2.912590773631857</v>
      </c>
      <c r="U102">
        <f t="shared" si="101"/>
        <v>0.41140394150299753</v>
      </c>
      <c r="V102">
        <f t="shared" si="102"/>
        <v>0.26002684261577191</v>
      </c>
      <c r="W102">
        <f t="shared" si="103"/>
        <v>289.59418201270461</v>
      </c>
      <c r="X102">
        <f t="shared" si="104"/>
        <v>29.883699904274167</v>
      </c>
      <c r="Y102">
        <f t="shared" si="105"/>
        <v>29.908300000000001</v>
      </c>
      <c r="Z102">
        <f t="shared" si="106"/>
        <v>4.238060685671722</v>
      </c>
      <c r="AA102">
        <f t="shared" si="107"/>
        <v>65.245358618075471</v>
      </c>
      <c r="AB102">
        <f t="shared" si="108"/>
        <v>2.7534935031364802</v>
      </c>
      <c r="AC102">
        <f t="shared" si="109"/>
        <v>4.220213608226925</v>
      </c>
      <c r="AD102">
        <f t="shared" si="110"/>
        <v>1.4845671825352418</v>
      </c>
      <c r="AE102">
        <f t="shared" si="111"/>
        <v>-281.34741803908287</v>
      </c>
      <c r="AF102">
        <f t="shared" si="112"/>
        <v>-11.525531784042103</v>
      </c>
      <c r="AG102">
        <f t="shared" si="113"/>
        <v>-0.87875614091948895</v>
      </c>
      <c r="AH102">
        <f t="shared" si="114"/>
        <v>-4.1575239513398703</v>
      </c>
      <c r="AI102">
        <v>0</v>
      </c>
      <c r="AJ102">
        <v>0</v>
      </c>
      <c r="AK102">
        <f t="shared" si="115"/>
        <v>1</v>
      </c>
      <c r="AL102">
        <f t="shared" si="116"/>
        <v>0</v>
      </c>
      <c r="AM102">
        <f t="shared" si="117"/>
        <v>51879.415718277167</v>
      </c>
      <c r="AN102" t="s">
        <v>418</v>
      </c>
      <c r="AO102">
        <v>8197.4</v>
      </c>
      <c r="AP102">
        <v>619.92999999999995</v>
      </c>
      <c r="AQ102">
        <v>3131.443117258741</v>
      </c>
      <c r="AR102">
        <f t="shared" si="118"/>
        <v>0.80203057287443702</v>
      </c>
      <c r="AS102">
        <v>-1.0448500102641549</v>
      </c>
      <c r="AT102" t="s">
        <v>857</v>
      </c>
      <c r="AU102">
        <v>8186.6</v>
      </c>
      <c r="AV102">
        <v>834.63808000000006</v>
      </c>
      <c r="AW102">
        <v>1338.108935234766</v>
      </c>
      <c r="AX102">
        <f t="shared" si="119"/>
        <v>0.37625550654172557</v>
      </c>
      <c r="AY102">
        <v>0.5</v>
      </c>
      <c r="AZ102">
        <f t="shared" si="120"/>
        <v>1513.3278000065827</v>
      </c>
      <c r="BA102">
        <f t="shared" si="121"/>
        <v>62.057823186798792</v>
      </c>
      <c r="BB102">
        <f t="shared" si="122"/>
        <v>284.69895897757596</v>
      </c>
      <c r="BC102">
        <f t="shared" si="123"/>
        <v>4.1697954135771813E-2</v>
      </c>
      <c r="BD102">
        <f t="shared" si="124"/>
        <v>1.34020043869548</v>
      </c>
      <c r="BE102">
        <f t="shared" si="125"/>
        <v>489.93980219419899</v>
      </c>
      <c r="BF102" t="s">
        <v>858</v>
      </c>
      <c r="BG102">
        <v>628.75</v>
      </c>
      <c r="BH102">
        <f t="shared" si="126"/>
        <v>628.75</v>
      </c>
      <c r="BI102">
        <f t="shared" si="127"/>
        <v>0.53012046818917002</v>
      </c>
      <c r="BJ102">
        <f t="shared" si="128"/>
        <v>0.70975472391581229</v>
      </c>
      <c r="BK102">
        <f t="shared" si="129"/>
        <v>0.71656175887367934</v>
      </c>
      <c r="BL102">
        <f t="shared" si="130"/>
        <v>0.70103818217696123</v>
      </c>
      <c r="BM102">
        <f t="shared" si="131"/>
        <v>0.71404531782073988</v>
      </c>
      <c r="BN102">
        <f t="shared" si="132"/>
        <v>0.53467280412375495</v>
      </c>
      <c r="BO102">
        <f t="shared" si="133"/>
        <v>0.46532719587624505</v>
      </c>
      <c r="BP102">
        <v>13740</v>
      </c>
      <c r="BQ102">
        <v>290.00000000000011</v>
      </c>
      <c r="BR102">
        <v>1185.49</v>
      </c>
      <c r="BS102">
        <v>295</v>
      </c>
      <c r="BT102">
        <v>8186.6</v>
      </c>
      <c r="BU102">
        <v>1188.82</v>
      </c>
      <c r="BV102">
        <v>-3.33</v>
      </c>
      <c r="BW102">
        <v>300.00000000000011</v>
      </c>
      <c r="BX102">
        <v>19.3</v>
      </c>
      <c r="BY102">
        <v>1338.108935234766</v>
      </c>
      <c r="BZ102">
        <v>4.7412558453438782</v>
      </c>
      <c r="CA102">
        <v>-122.2179268053431</v>
      </c>
      <c r="CB102">
        <v>3.5645689629973178</v>
      </c>
      <c r="CC102">
        <v>0.97673625873141934</v>
      </c>
      <c r="CD102">
        <v>-4.2392545050055673E-3</v>
      </c>
      <c r="CE102">
        <v>289.99999999999989</v>
      </c>
      <c r="CF102">
        <v>1184.57</v>
      </c>
      <c r="CG102">
        <v>685</v>
      </c>
      <c r="CH102">
        <v>8175.36</v>
      </c>
      <c r="CI102">
        <v>1188.6099999999999</v>
      </c>
      <c r="CJ102">
        <v>-4.04</v>
      </c>
      <c r="CX102">
        <f t="shared" si="134"/>
        <v>1800.17</v>
      </c>
      <c r="CY102">
        <f t="shared" si="135"/>
        <v>1513.3278000065827</v>
      </c>
      <c r="CZ102">
        <f t="shared" si="136"/>
        <v>0.8406582711669357</v>
      </c>
      <c r="DA102">
        <f t="shared" si="137"/>
        <v>0.16087046335218597</v>
      </c>
      <c r="DB102">
        <v>6</v>
      </c>
      <c r="DC102">
        <v>0.5</v>
      </c>
      <c r="DD102" t="s">
        <v>421</v>
      </c>
      <c r="DE102">
        <v>2</v>
      </c>
      <c r="DF102">
        <v>1689016299.0999999</v>
      </c>
      <c r="DG102">
        <v>422.19299999999998</v>
      </c>
      <c r="DH102">
        <v>499.875</v>
      </c>
      <c r="DI102">
        <v>27.748799999999999</v>
      </c>
      <c r="DJ102">
        <v>20.307400000000001</v>
      </c>
      <c r="DK102">
        <v>422.60899999999998</v>
      </c>
      <c r="DL102">
        <v>27.624700000000001</v>
      </c>
      <c r="DM102">
        <v>500.12599999999998</v>
      </c>
      <c r="DN102">
        <v>99.129400000000004</v>
      </c>
      <c r="DO102">
        <v>9.9882100000000001E-2</v>
      </c>
      <c r="DP102">
        <v>29.834900000000001</v>
      </c>
      <c r="DQ102">
        <v>29.908300000000001</v>
      </c>
      <c r="DR102">
        <v>999.9</v>
      </c>
      <c r="DS102">
        <v>0</v>
      </c>
      <c r="DT102">
        <v>0</v>
      </c>
      <c r="DU102">
        <v>9990.6200000000008</v>
      </c>
      <c r="DV102">
        <v>0</v>
      </c>
      <c r="DW102">
        <v>1146.31</v>
      </c>
      <c r="DX102">
        <v>-77.682299999999998</v>
      </c>
      <c r="DY102">
        <v>434.24299999999999</v>
      </c>
      <c r="DZ102">
        <v>510.23700000000002</v>
      </c>
      <c r="EA102">
        <v>7.4414600000000002</v>
      </c>
      <c r="EB102">
        <v>499.875</v>
      </c>
      <c r="EC102">
        <v>20.307400000000001</v>
      </c>
      <c r="ED102">
        <v>2.7507299999999999</v>
      </c>
      <c r="EE102">
        <v>2.0130599999999998</v>
      </c>
      <c r="EF102">
        <v>22.5913</v>
      </c>
      <c r="EG102">
        <v>17.5474</v>
      </c>
      <c r="EH102">
        <v>1800.17</v>
      </c>
      <c r="EI102">
        <v>0.97799599999999998</v>
      </c>
      <c r="EJ102">
        <v>2.20039E-2</v>
      </c>
      <c r="EK102">
        <v>0</v>
      </c>
      <c r="EL102">
        <v>835.27</v>
      </c>
      <c r="EM102">
        <v>4.9999900000000004</v>
      </c>
      <c r="EN102">
        <v>19589</v>
      </c>
      <c r="EO102">
        <v>15865.3</v>
      </c>
      <c r="EP102">
        <v>48</v>
      </c>
      <c r="EQ102">
        <v>49.125</v>
      </c>
      <c r="ER102">
        <v>48.625</v>
      </c>
      <c r="ES102">
        <v>48.625</v>
      </c>
      <c r="ET102">
        <v>49.75</v>
      </c>
      <c r="EU102">
        <v>1755.67</v>
      </c>
      <c r="EV102">
        <v>39.5</v>
      </c>
      <c r="EW102">
        <v>0</v>
      </c>
      <c r="EX102">
        <v>129.60000014305109</v>
      </c>
      <c r="EY102">
        <v>0</v>
      </c>
      <c r="EZ102">
        <v>834.63808000000006</v>
      </c>
      <c r="FA102">
        <v>4.0567692443629024</v>
      </c>
      <c r="FB102">
        <v>8656.7000004113979</v>
      </c>
      <c r="FC102">
        <v>17747.876</v>
      </c>
      <c r="FD102">
        <v>15</v>
      </c>
      <c r="FE102">
        <v>1689016257.5999999</v>
      </c>
      <c r="FF102" t="s">
        <v>859</v>
      </c>
      <c r="FG102">
        <v>1689016256.0999999</v>
      </c>
      <c r="FH102">
        <v>1689016257.5999999</v>
      </c>
      <c r="FI102">
        <v>96</v>
      </c>
      <c r="FJ102">
        <v>-0.02</v>
      </c>
      <c r="FK102">
        <v>0</v>
      </c>
      <c r="FL102">
        <v>-0.40799999999999997</v>
      </c>
      <c r="FM102">
        <v>7.8E-2</v>
      </c>
      <c r="FN102">
        <v>500</v>
      </c>
      <c r="FO102">
        <v>20</v>
      </c>
      <c r="FP102">
        <v>0.03</v>
      </c>
      <c r="FQ102">
        <v>0.01</v>
      </c>
      <c r="FR102">
        <v>61.986034534910168</v>
      </c>
      <c r="FS102">
        <v>-0.46199505408305191</v>
      </c>
      <c r="FT102">
        <v>5.8169229801376683E-2</v>
      </c>
      <c r="FU102">
        <v>1</v>
      </c>
      <c r="FV102">
        <v>0.44944679546193012</v>
      </c>
      <c r="FW102">
        <v>-3.3135400810014801E-2</v>
      </c>
      <c r="FX102">
        <v>2.5264231646279309E-3</v>
      </c>
      <c r="FY102">
        <v>1</v>
      </c>
      <c r="FZ102">
        <v>2</v>
      </c>
      <c r="GA102">
        <v>2</v>
      </c>
      <c r="GB102" t="s">
        <v>423</v>
      </c>
      <c r="GC102">
        <v>2.9577200000000001</v>
      </c>
      <c r="GD102">
        <v>2.7430300000000001</v>
      </c>
      <c r="GE102">
        <v>9.24788E-2</v>
      </c>
      <c r="GF102">
        <v>0.10466399999999999</v>
      </c>
      <c r="GG102">
        <v>0.12767500000000001</v>
      </c>
      <c r="GH102">
        <v>0.10213</v>
      </c>
      <c r="GI102">
        <v>21271.8</v>
      </c>
      <c r="GJ102">
        <v>19582</v>
      </c>
      <c r="GK102">
        <v>23373.4</v>
      </c>
      <c r="GL102">
        <v>21921.5</v>
      </c>
      <c r="GM102">
        <v>28762.3</v>
      </c>
      <c r="GN102">
        <v>27461.1</v>
      </c>
      <c r="GO102">
        <v>36884.699999999997</v>
      </c>
      <c r="GP102">
        <v>34101.199999999997</v>
      </c>
      <c r="GQ102">
        <v>1.9911000000000001</v>
      </c>
      <c r="GR102">
        <v>1.77973</v>
      </c>
      <c r="GS102">
        <v>9.2163699999999998E-3</v>
      </c>
      <c r="GT102">
        <v>0</v>
      </c>
      <c r="GU102">
        <v>29.758299999999998</v>
      </c>
      <c r="GV102">
        <v>999.9</v>
      </c>
      <c r="GW102">
        <v>28.4</v>
      </c>
      <c r="GX102">
        <v>48.6</v>
      </c>
      <c r="GY102">
        <v>33.171799999999998</v>
      </c>
      <c r="GZ102">
        <v>60.653500000000001</v>
      </c>
      <c r="HA102">
        <v>39.026400000000002</v>
      </c>
      <c r="HB102">
        <v>1</v>
      </c>
      <c r="HC102">
        <v>0.58175100000000002</v>
      </c>
      <c r="HD102">
        <v>2.15219</v>
      </c>
      <c r="HE102">
        <v>20.100100000000001</v>
      </c>
      <c r="HF102">
        <v>5.2590700000000004</v>
      </c>
      <c r="HG102">
        <v>11.962</v>
      </c>
      <c r="HH102">
        <v>4.97905</v>
      </c>
      <c r="HI102">
        <v>3.29725</v>
      </c>
      <c r="HJ102">
        <v>9999</v>
      </c>
      <c r="HK102">
        <v>9999</v>
      </c>
      <c r="HL102">
        <v>9999</v>
      </c>
      <c r="HM102">
        <v>999.9</v>
      </c>
      <c r="HN102">
        <v>1.86432</v>
      </c>
      <c r="HO102">
        <v>1.86033</v>
      </c>
      <c r="HP102">
        <v>1.86686</v>
      </c>
      <c r="HQ102">
        <v>1.8635600000000001</v>
      </c>
      <c r="HR102">
        <v>1.8621799999999999</v>
      </c>
      <c r="HS102">
        <v>1.86222</v>
      </c>
      <c r="HT102">
        <v>1.8635299999999999</v>
      </c>
      <c r="HU102">
        <v>1.8647800000000001</v>
      </c>
      <c r="HV102">
        <v>0</v>
      </c>
      <c r="HW102">
        <v>0</v>
      </c>
      <c r="HX102">
        <v>0</v>
      </c>
      <c r="HY102">
        <v>0</v>
      </c>
      <c r="HZ102" t="s">
        <v>424</v>
      </c>
      <c r="IA102" t="s">
        <v>425</v>
      </c>
      <c r="IB102" t="s">
        <v>426</v>
      </c>
      <c r="IC102" t="s">
        <v>426</v>
      </c>
      <c r="ID102" t="s">
        <v>426</v>
      </c>
      <c r="IE102" t="s">
        <v>426</v>
      </c>
      <c r="IF102">
        <v>0</v>
      </c>
      <c r="IG102">
        <v>100</v>
      </c>
      <c r="IH102">
        <v>100</v>
      </c>
      <c r="II102">
        <v>-0.41599999999999998</v>
      </c>
      <c r="IJ102">
        <v>0.1241</v>
      </c>
      <c r="IK102">
        <v>-0.41963588141898961</v>
      </c>
      <c r="IL102">
        <v>-8.3322953065825546E-5</v>
      </c>
      <c r="IM102">
        <v>2.3872336679552741E-7</v>
      </c>
      <c r="IN102">
        <v>-5.428329794194132E-11</v>
      </c>
      <c r="IO102">
        <v>0.1241630586476813</v>
      </c>
      <c r="IP102">
        <v>0</v>
      </c>
      <c r="IQ102">
        <v>0</v>
      </c>
      <c r="IR102">
        <v>0</v>
      </c>
      <c r="IS102">
        <v>2</v>
      </c>
      <c r="IT102">
        <v>2035</v>
      </c>
      <c r="IU102">
        <v>1</v>
      </c>
      <c r="IV102">
        <v>21</v>
      </c>
      <c r="IW102">
        <v>0.7</v>
      </c>
      <c r="IX102">
        <v>0.7</v>
      </c>
      <c r="IY102">
        <v>1.2780800000000001</v>
      </c>
      <c r="IZ102">
        <v>2.7441399999999998</v>
      </c>
      <c r="JA102">
        <v>1.4526399999999999</v>
      </c>
      <c r="JB102">
        <v>2.2741699999999998</v>
      </c>
      <c r="JC102">
        <v>1.5942400000000001</v>
      </c>
      <c r="JD102">
        <v>2.3290999999999999</v>
      </c>
      <c r="JE102">
        <v>50.477499999999999</v>
      </c>
      <c r="JF102">
        <v>24.105</v>
      </c>
      <c r="JG102">
        <v>18</v>
      </c>
      <c r="JH102">
        <v>513.21699999999998</v>
      </c>
      <c r="JI102">
        <v>410.21</v>
      </c>
      <c r="JJ102">
        <v>27.1677</v>
      </c>
      <c r="JK102">
        <v>34.149700000000003</v>
      </c>
      <c r="JL102">
        <v>29.999400000000001</v>
      </c>
      <c r="JM102">
        <v>34.189100000000003</v>
      </c>
      <c r="JN102">
        <v>34.194299999999998</v>
      </c>
      <c r="JO102">
        <v>25.523</v>
      </c>
      <c r="JP102">
        <v>43.101700000000001</v>
      </c>
      <c r="JQ102">
        <v>0</v>
      </c>
      <c r="JR102">
        <v>27.193999999999999</v>
      </c>
      <c r="JS102">
        <v>500</v>
      </c>
      <c r="JT102">
        <v>20.3643</v>
      </c>
      <c r="JU102">
        <v>98.856300000000005</v>
      </c>
      <c r="JV102">
        <v>98.375900000000001</v>
      </c>
    </row>
    <row r="103" spans="1:282" x14ac:dyDescent="0.25">
      <c r="A103">
        <v>87</v>
      </c>
      <c r="B103">
        <v>1689016426.5999999</v>
      </c>
      <c r="C103">
        <v>17086</v>
      </c>
      <c r="D103" t="s">
        <v>860</v>
      </c>
      <c r="E103" t="s">
        <v>861</v>
      </c>
      <c r="F103" t="s">
        <v>414</v>
      </c>
      <c r="G103" t="s">
        <v>415</v>
      </c>
      <c r="H103" t="s">
        <v>31</v>
      </c>
      <c r="I103" t="s">
        <v>501</v>
      </c>
      <c r="J103" t="s">
        <v>416</v>
      </c>
      <c r="K103">
        <v>1689016426.5999999</v>
      </c>
      <c r="L103">
        <f t="shared" si="92"/>
        <v>6.113178012317211E-3</v>
      </c>
      <c r="M103">
        <f t="shared" si="93"/>
        <v>6.1131780123172108</v>
      </c>
      <c r="N103">
        <f t="shared" si="94"/>
        <v>64.785991617383232</v>
      </c>
      <c r="O103">
        <f t="shared" si="95"/>
        <v>617.73599999999999</v>
      </c>
      <c r="P103">
        <f t="shared" si="96"/>
        <v>345.27628746303833</v>
      </c>
      <c r="Q103">
        <f t="shared" si="97"/>
        <v>34.261408643999772</v>
      </c>
      <c r="R103">
        <f t="shared" si="98"/>
        <v>61.297303923239994</v>
      </c>
      <c r="S103">
        <f t="shared" si="99"/>
        <v>0.42519667678951778</v>
      </c>
      <c r="T103">
        <f t="shared" si="100"/>
        <v>2.9142285751470314</v>
      </c>
      <c r="U103">
        <f t="shared" si="101"/>
        <v>0.39349514093335369</v>
      </c>
      <c r="V103">
        <f t="shared" si="102"/>
        <v>0.24858546519552052</v>
      </c>
      <c r="W103">
        <f t="shared" si="103"/>
        <v>289.57981801270523</v>
      </c>
      <c r="X103">
        <f t="shared" si="104"/>
        <v>30.06611102208052</v>
      </c>
      <c r="Y103">
        <f t="shared" si="105"/>
        <v>30.036899999999999</v>
      </c>
      <c r="Z103">
        <f t="shared" si="106"/>
        <v>4.2694881644982665</v>
      </c>
      <c r="AA103">
        <f t="shared" si="107"/>
        <v>65.510202815089571</v>
      </c>
      <c r="AB103">
        <f t="shared" si="108"/>
        <v>2.7826877883914998</v>
      </c>
      <c r="AC103">
        <f t="shared" si="109"/>
        <v>4.2477166438424421</v>
      </c>
      <c r="AD103">
        <f t="shared" si="110"/>
        <v>1.4868003761067667</v>
      </c>
      <c r="AE103">
        <f t="shared" si="111"/>
        <v>-269.59115034318899</v>
      </c>
      <c r="AF103">
        <f t="shared" si="112"/>
        <v>-13.982958293955868</v>
      </c>
      <c r="AG103">
        <f t="shared" si="113"/>
        <v>-1.0667972136647264</v>
      </c>
      <c r="AH103">
        <f t="shared" si="114"/>
        <v>4.9389121618956793</v>
      </c>
      <c r="AI103">
        <v>0</v>
      </c>
      <c r="AJ103">
        <v>0</v>
      </c>
      <c r="AK103">
        <f t="shared" si="115"/>
        <v>1</v>
      </c>
      <c r="AL103">
        <f t="shared" si="116"/>
        <v>0</v>
      </c>
      <c r="AM103">
        <f t="shared" si="117"/>
        <v>51906.664807382585</v>
      </c>
      <c r="AN103" t="s">
        <v>418</v>
      </c>
      <c r="AO103">
        <v>8197.4</v>
      </c>
      <c r="AP103">
        <v>619.92999999999995</v>
      </c>
      <c r="AQ103">
        <v>3131.443117258741</v>
      </c>
      <c r="AR103">
        <f t="shared" si="118"/>
        <v>0.80203057287443702</v>
      </c>
      <c r="AS103">
        <v>-1.0448500102641549</v>
      </c>
      <c r="AT103" t="s">
        <v>862</v>
      </c>
      <c r="AU103">
        <v>8187.39</v>
      </c>
      <c r="AV103">
        <v>844.02750000000003</v>
      </c>
      <c r="AW103">
        <v>1383.108940564033</v>
      </c>
      <c r="AX103">
        <f t="shared" si="119"/>
        <v>0.38976065062828313</v>
      </c>
      <c r="AY103">
        <v>0.5</v>
      </c>
      <c r="AZ103">
        <f t="shared" si="120"/>
        <v>1513.2522000065831</v>
      </c>
      <c r="BA103">
        <f t="shared" si="121"/>
        <v>64.785991617383232</v>
      </c>
      <c r="BB103">
        <f t="shared" si="122"/>
        <v>294.9030810196233</v>
      </c>
      <c r="BC103">
        <f t="shared" si="123"/>
        <v>4.3502888432847484E-2</v>
      </c>
      <c r="BD103">
        <f t="shared" si="124"/>
        <v>1.2640610767664735</v>
      </c>
      <c r="BE103">
        <f t="shared" si="125"/>
        <v>495.84663665751373</v>
      </c>
      <c r="BF103" t="s">
        <v>863</v>
      </c>
      <c r="BG103">
        <v>635.39</v>
      </c>
      <c r="BH103">
        <f t="shared" si="126"/>
        <v>635.39</v>
      </c>
      <c r="BI103">
        <f t="shared" si="127"/>
        <v>0.54060740888502434</v>
      </c>
      <c r="BJ103">
        <f t="shared" si="128"/>
        <v>0.72096801527775023</v>
      </c>
      <c r="BK103">
        <f t="shared" si="129"/>
        <v>0.70043949169430897</v>
      </c>
      <c r="BL103">
        <f t="shared" si="130"/>
        <v>0.70636309771024453</v>
      </c>
      <c r="BM103">
        <f t="shared" si="131"/>
        <v>0.6961278301436763</v>
      </c>
      <c r="BN103">
        <f t="shared" si="132"/>
        <v>0.54274993081070189</v>
      </c>
      <c r="BO103">
        <f t="shared" si="133"/>
        <v>0.45725006918929811</v>
      </c>
      <c r="BP103">
        <v>13742</v>
      </c>
      <c r="BQ103">
        <v>290.00000000000011</v>
      </c>
      <c r="BR103">
        <v>1216.5999999999999</v>
      </c>
      <c r="BS103">
        <v>295</v>
      </c>
      <c r="BT103">
        <v>8187.39</v>
      </c>
      <c r="BU103">
        <v>1220.02</v>
      </c>
      <c r="BV103">
        <v>-3.42</v>
      </c>
      <c r="BW103">
        <v>300.00000000000011</v>
      </c>
      <c r="BX103">
        <v>19.3</v>
      </c>
      <c r="BY103">
        <v>1383.108940564033</v>
      </c>
      <c r="BZ103">
        <v>4.6232870100666217</v>
      </c>
      <c r="CA103">
        <v>-133.5298210930531</v>
      </c>
      <c r="CB103">
        <v>3.4762210989705569</v>
      </c>
      <c r="CC103">
        <v>0.98137689430299979</v>
      </c>
      <c r="CD103">
        <v>-4.2396925472747539E-3</v>
      </c>
      <c r="CE103">
        <v>289.99999999999989</v>
      </c>
      <c r="CF103">
        <v>1214.6600000000001</v>
      </c>
      <c r="CG103">
        <v>635</v>
      </c>
      <c r="CH103">
        <v>8177.7</v>
      </c>
      <c r="CI103">
        <v>1219.82</v>
      </c>
      <c r="CJ103">
        <v>-5.16</v>
      </c>
      <c r="CX103">
        <f t="shared" si="134"/>
        <v>1800.08</v>
      </c>
      <c r="CY103">
        <f t="shared" si="135"/>
        <v>1513.2522000065831</v>
      </c>
      <c r="CZ103">
        <f t="shared" si="136"/>
        <v>0.84065830407903153</v>
      </c>
      <c r="DA103">
        <f t="shared" si="137"/>
        <v>0.16087052687253081</v>
      </c>
      <c r="DB103">
        <v>6</v>
      </c>
      <c r="DC103">
        <v>0.5</v>
      </c>
      <c r="DD103" t="s">
        <v>421</v>
      </c>
      <c r="DE103">
        <v>2</v>
      </c>
      <c r="DF103">
        <v>1689016426.5999999</v>
      </c>
      <c r="DG103">
        <v>617.73599999999999</v>
      </c>
      <c r="DH103">
        <v>699.98199999999997</v>
      </c>
      <c r="DI103">
        <v>28.043099999999999</v>
      </c>
      <c r="DJ103">
        <v>20.915500000000002</v>
      </c>
      <c r="DK103">
        <v>618.21699999999998</v>
      </c>
      <c r="DL103">
        <v>27.9146</v>
      </c>
      <c r="DM103">
        <v>500.17500000000001</v>
      </c>
      <c r="DN103">
        <v>99.129199999999997</v>
      </c>
      <c r="DO103">
        <v>9.9765000000000006E-2</v>
      </c>
      <c r="DP103">
        <v>29.947900000000001</v>
      </c>
      <c r="DQ103">
        <v>30.036899999999999</v>
      </c>
      <c r="DR103">
        <v>999.9</v>
      </c>
      <c r="DS103">
        <v>0</v>
      </c>
      <c r="DT103">
        <v>0</v>
      </c>
      <c r="DU103">
        <v>10000</v>
      </c>
      <c r="DV103">
        <v>0</v>
      </c>
      <c r="DW103">
        <v>1868.54</v>
      </c>
      <c r="DX103">
        <v>-82.245999999999995</v>
      </c>
      <c r="DY103">
        <v>635.55899999999997</v>
      </c>
      <c r="DZ103">
        <v>714.93499999999995</v>
      </c>
      <c r="EA103">
        <v>7.1275300000000001</v>
      </c>
      <c r="EB103">
        <v>699.98199999999997</v>
      </c>
      <c r="EC103">
        <v>20.915500000000002</v>
      </c>
      <c r="ED103">
        <v>2.77989</v>
      </c>
      <c r="EE103">
        <v>2.07334</v>
      </c>
      <c r="EF103">
        <v>22.7651</v>
      </c>
      <c r="EG103">
        <v>18.015799999999999</v>
      </c>
      <c r="EH103">
        <v>1800.08</v>
      </c>
      <c r="EI103">
        <v>0.977993</v>
      </c>
      <c r="EJ103">
        <v>2.2006999999999999E-2</v>
      </c>
      <c r="EK103">
        <v>0</v>
      </c>
      <c r="EL103">
        <v>843.76300000000003</v>
      </c>
      <c r="EM103">
        <v>4.9999900000000004</v>
      </c>
      <c r="EN103">
        <v>20893.900000000001</v>
      </c>
      <c r="EO103">
        <v>15864.5</v>
      </c>
      <c r="EP103">
        <v>47.875</v>
      </c>
      <c r="EQ103">
        <v>49</v>
      </c>
      <c r="ER103">
        <v>48.436999999999998</v>
      </c>
      <c r="ES103">
        <v>48.5</v>
      </c>
      <c r="ET103">
        <v>49.561999999999998</v>
      </c>
      <c r="EU103">
        <v>1755.58</v>
      </c>
      <c r="EV103">
        <v>39.5</v>
      </c>
      <c r="EW103">
        <v>0</v>
      </c>
      <c r="EX103">
        <v>125.5999999046326</v>
      </c>
      <c r="EY103">
        <v>0</v>
      </c>
      <c r="EZ103">
        <v>844.02750000000003</v>
      </c>
      <c r="FA103">
        <v>0.17801709772668489</v>
      </c>
      <c r="FB103">
        <v>-197.59316268788899</v>
      </c>
      <c r="FC103">
        <v>20901.076923076918</v>
      </c>
      <c r="FD103">
        <v>15</v>
      </c>
      <c r="FE103">
        <v>1689016384.0999999</v>
      </c>
      <c r="FF103" t="s">
        <v>864</v>
      </c>
      <c r="FG103">
        <v>1689016384.0999999</v>
      </c>
      <c r="FH103">
        <v>1689016372.5999999</v>
      </c>
      <c r="FI103">
        <v>97</v>
      </c>
      <c r="FJ103">
        <v>-8.7999999999999995E-2</v>
      </c>
      <c r="FK103">
        <v>4.0000000000000001E-3</v>
      </c>
      <c r="FL103">
        <v>-0.46800000000000003</v>
      </c>
      <c r="FM103">
        <v>9.6000000000000002E-2</v>
      </c>
      <c r="FN103">
        <v>700</v>
      </c>
      <c r="FO103">
        <v>20</v>
      </c>
      <c r="FP103">
        <v>0.03</v>
      </c>
      <c r="FQ103">
        <v>0.01</v>
      </c>
      <c r="FR103">
        <v>64.660242326474062</v>
      </c>
      <c r="FS103">
        <v>-6.4146562281385267E-2</v>
      </c>
      <c r="FT103">
        <v>9.9994739054218407E-2</v>
      </c>
      <c r="FU103">
        <v>1</v>
      </c>
      <c r="FV103">
        <v>0.42702860969900669</v>
      </c>
      <c r="FW103">
        <v>-2.6635549799453099E-2</v>
      </c>
      <c r="FX103">
        <v>1.9827529560912352E-3</v>
      </c>
      <c r="FY103">
        <v>1</v>
      </c>
      <c r="FZ103">
        <v>2</v>
      </c>
      <c r="GA103">
        <v>2</v>
      </c>
      <c r="GB103" t="s">
        <v>423</v>
      </c>
      <c r="GC103">
        <v>2.9579900000000001</v>
      </c>
      <c r="GD103">
        <v>2.7429999999999999</v>
      </c>
      <c r="GE103">
        <v>0.122082</v>
      </c>
      <c r="GF103">
        <v>0.132802</v>
      </c>
      <c r="GG103">
        <v>0.12862599999999999</v>
      </c>
      <c r="GH103">
        <v>0.104286</v>
      </c>
      <c r="GI103">
        <v>20584.8</v>
      </c>
      <c r="GJ103">
        <v>18973.400000000001</v>
      </c>
      <c r="GK103">
        <v>23380.6</v>
      </c>
      <c r="GL103">
        <v>21929</v>
      </c>
      <c r="GM103">
        <v>28740</v>
      </c>
      <c r="GN103">
        <v>27404.3</v>
      </c>
      <c r="GO103">
        <v>36895.300000000003</v>
      </c>
      <c r="GP103">
        <v>34111.4</v>
      </c>
      <c r="GQ103">
        <v>1.9919800000000001</v>
      </c>
      <c r="GR103">
        <v>1.78332</v>
      </c>
      <c r="GS103">
        <v>1.36718E-2</v>
      </c>
      <c r="GT103">
        <v>0</v>
      </c>
      <c r="GU103">
        <v>29.814399999999999</v>
      </c>
      <c r="GV103">
        <v>999.9</v>
      </c>
      <c r="GW103">
        <v>28.2</v>
      </c>
      <c r="GX103">
        <v>48.6</v>
      </c>
      <c r="GY103">
        <v>32.938499999999998</v>
      </c>
      <c r="GZ103">
        <v>60.1935</v>
      </c>
      <c r="HA103">
        <v>39.3309</v>
      </c>
      <c r="HB103">
        <v>1</v>
      </c>
      <c r="HC103">
        <v>0.57303400000000004</v>
      </c>
      <c r="HD103">
        <v>3.7173799999999999</v>
      </c>
      <c r="HE103">
        <v>20.069299999999998</v>
      </c>
      <c r="HF103">
        <v>5.2623600000000001</v>
      </c>
      <c r="HG103">
        <v>11.962</v>
      </c>
      <c r="HH103">
        <v>4.9794499999999999</v>
      </c>
      <c r="HI103">
        <v>3.2976299999999998</v>
      </c>
      <c r="HJ103">
        <v>9999</v>
      </c>
      <c r="HK103">
        <v>9999</v>
      </c>
      <c r="HL103">
        <v>9999</v>
      </c>
      <c r="HM103">
        <v>999.9</v>
      </c>
      <c r="HN103">
        <v>1.86429</v>
      </c>
      <c r="HO103">
        <v>1.8603099999999999</v>
      </c>
      <c r="HP103">
        <v>1.86683</v>
      </c>
      <c r="HQ103">
        <v>1.8635600000000001</v>
      </c>
      <c r="HR103">
        <v>1.8621799999999999</v>
      </c>
      <c r="HS103">
        <v>1.8621799999999999</v>
      </c>
      <c r="HT103">
        <v>1.8634500000000001</v>
      </c>
      <c r="HU103">
        <v>1.8647800000000001</v>
      </c>
      <c r="HV103">
        <v>0</v>
      </c>
      <c r="HW103">
        <v>0</v>
      </c>
      <c r="HX103">
        <v>0</v>
      </c>
      <c r="HY103">
        <v>0</v>
      </c>
      <c r="HZ103" t="s">
        <v>424</v>
      </c>
      <c r="IA103" t="s">
        <v>425</v>
      </c>
      <c r="IB103" t="s">
        <v>426</v>
      </c>
      <c r="IC103" t="s">
        <v>426</v>
      </c>
      <c r="ID103" t="s">
        <v>426</v>
      </c>
      <c r="IE103" t="s">
        <v>426</v>
      </c>
      <c r="IF103">
        <v>0</v>
      </c>
      <c r="IG103">
        <v>100</v>
      </c>
      <c r="IH103">
        <v>100</v>
      </c>
      <c r="II103">
        <v>-0.48099999999999998</v>
      </c>
      <c r="IJ103">
        <v>0.1285</v>
      </c>
      <c r="IK103">
        <v>-0.5080589623272731</v>
      </c>
      <c r="IL103">
        <v>-8.3322953065825546E-5</v>
      </c>
      <c r="IM103">
        <v>2.3872336679552741E-7</v>
      </c>
      <c r="IN103">
        <v>-5.428329794194132E-11</v>
      </c>
      <c r="IO103">
        <v>0.12848033248778171</v>
      </c>
      <c r="IP103">
        <v>0</v>
      </c>
      <c r="IQ103">
        <v>0</v>
      </c>
      <c r="IR103">
        <v>0</v>
      </c>
      <c r="IS103">
        <v>2</v>
      </c>
      <c r="IT103">
        <v>2035</v>
      </c>
      <c r="IU103">
        <v>1</v>
      </c>
      <c r="IV103">
        <v>21</v>
      </c>
      <c r="IW103">
        <v>0.7</v>
      </c>
      <c r="IX103">
        <v>0.9</v>
      </c>
      <c r="IY103">
        <v>1.6857899999999999</v>
      </c>
      <c r="IZ103">
        <v>2.7355999999999998</v>
      </c>
      <c r="JA103">
        <v>1.4526399999999999</v>
      </c>
      <c r="JB103">
        <v>2.2741699999999998</v>
      </c>
      <c r="JC103">
        <v>1.5942400000000001</v>
      </c>
      <c r="JD103">
        <v>2.3779300000000001</v>
      </c>
      <c r="JE103">
        <v>50.283200000000001</v>
      </c>
      <c r="JF103">
        <v>24.096299999999999</v>
      </c>
      <c r="JG103">
        <v>18</v>
      </c>
      <c r="JH103">
        <v>513.029</v>
      </c>
      <c r="JI103">
        <v>411.99900000000002</v>
      </c>
      <c r="JJ103">
        <v>26.255099999999999</v>
      </c>
      <c r="JK103">
        <v>34.017099999999999</v>
      </c>
      <c r="JL103">
        <v>29.999600000000001</v>
      </c>
      <c r="JM103">
        <v>34.0991</v>
      </c>
      <c r="JN103">
        <v>34.114199999999997</v>
      </c>
      <c r="JO103">
        <v>33.6843</v>
      </c>
      <c r="JP103">
        <v>41.376199999999997</v>
      </c>
      <c r="JQ103">
        <v>0</v>
      </c>
      <c r="JR103">
        <v>26.2225</v>
      </c>
      <c r="JS103">
        <v>700</v>
      </c>
      <c r="JT103">
        <v>20.757000000000001</v>
      </c>
      <c r="JU103">
        <v>98.885499999999993</v>
      </c>
      <c r="JV103">
        <v>98.406899999999993</v>
      </c>
    </row>
    <row r="104" spans="1:282" x14ac:dyDescent="0.25">
      <c r="A104">
        <v>88</v>
      </c>
      <c r="B104">
        <v>1689016556.0999999</v>
      </c>
      <c r="C104">
        <v>17215.5</v>
      </c>
      <c r="D104" t="s">
        <v>865</v>
      </c>
      <c r="E104" t="s">
        <v>866</v>
      </c>
      <c r="F104" t="s">
        <v>414</v>
      </c>
      <c r="G104" t="s">
        <v>415</v>
      </c>
      <c r="H104" t="s">
        <v>31</v>
      </c>
      <c r="I104" t="s">
        <v>501</v>
      </c>
      <c r="J104" t="s">
        <v>416</v>
      </c>
      <c r="K104">
        <v>1689016556.0999999</v>
      </c>
      <c r="L104">
        <f t="shared" si="92"/>
        <v>5.9781740393176986E-3</v>
      </c>
      <c r="M104">
        <f t="shared" si="93"/>
        <v>5.9781740393176985</v>
      </c>
      <c r="N104">
        <f t="shared" si="94"/>
        <v>64.507191531732531</v>
      </c>
      <c r="O104">
        <f t="shared" si="95"/>
        <v>816.77099999999996</v>
      </c>
      <c r="P104">
        <f t="shared" si="96"/>
        <v>530.0360101927123</v>
      </c>
      <c r="Q104">
        <f t="shared" si="97"/>
        <v>52.592846750977934</v>
      </c>
      <c r="R104">
        <f t="shared" si="98"/>
        <v>81.044138902986603</v>
      </c>
      <c r="S104">
        <f t="shared" si="99"/>
        <v>0.4077647167333891</v>
      </c>
      <c r="T104">
        <f t="shared" si="100"/>
        <v>2.9117499039154304</v>
      </c>
      <c r="U104">
        <f t="shared" si="101"/>
        <v>0.37849046267365172</v>
      </c>
      <c r="V104">
        <f t="shared" si="102"/>
        <v>0.23901134259877238</v>
      </c>
      <c r="W104">
        <f t="shared" si="103"/>
        <v>289.57822201270534</v>
      </c>
      <c r="X104">
        <f t="shared" si="104"/>
        <v>29.844160089935123</v>
      </c>
      <c r="Y104">
        <f t="shared" si="105"/>
        <v>29.9436</v>
      </c>
      <c r="Z104">
        <f t="shared" si="106"/>
        <v>4.2466672162236776</v>
      </c>
      <c r="AA104">
        <f t="shared" si="107"/>
        <v>65.337035577995408</v>
      </c>
      <c r="AB104">
        <f t="shared" si="108"/>
        <v>2.7345628491403198</v>
      </c>
      <c r="AC104">
        <f t="shared" si="109"/>
        <v>4.185318211867699</v>
      </c>
      <c r="AD104">
        <f t="shared" si="110"/>
        <v>1.5121043670833578</v>
      </c>
      <c r="AE104">
        <f t="shared" si="111"/>
        <v>-263.63747513391053</v>
      </c>
      <c r="AF104">
        <f t="shared" si="112"/>
        <v>-39.715499987431862</v>
      </c>
      <c r="AG104">
        <f t="shared" si="113"/>
        <v>-3.0273207396278052</v>
      </c>
      <c r="AH104">
        <f t="shared" si="114"/>
        <v>-16.802073848264833</v>
      </c>
      <c r="AI104">
        <v>0</v>
      </c>
      <c r="AJ104">
        <v>0</v>
      </c>
      <c r="AK104">
        <f t="shared" si="115"/>
        <v>1</v>
      </c>
      <c r="AL104">
        <f t="shared" si="116"/>
        <v>0</v>
      </c>
      <c r="AM104">
        <f t="shared" si="117"/>
        <v>51880.115389210172</v>
      </c>
      <c r="AN104" t="s">
        <v>418</v>
      </c>
      <c r="AO104">
        <v>8197.4</v>
      </c>
      <c r="AP104">
        <v>619.92999999999995</v>
      </c>
      <c r="AQ104">
        <v>3131.443117258741</v>
      </c>
      <c r="AR104">
        <f t="shared" si="118"/>
        <v>0.80203057287443702</v>
      </c>
      <c r="AS104">
        <v>-1.0448500102641549</v>
      </c>
      <c r="AT104" t="s">
        <v>867</v>
      </c>
      <c r="AU104">
        <v>8186.42</v>
      </c>
      <c r="AV104">
        <v>839.76452000000006</v>
      </c>
      <c r="AW104">
        <v>1392.3084459808449</v>
      </c>
      <c r="AX104">
        <f t="shared" si="119"/>
        <v>0.39685453864469811</v>
      </c>
      <c r="AY104">
        <v>0.5</v>
      </c>
      <c r="AZ104">
        <f t="shared" si="120"/>
        <v>1513.2438000065829</v>
      </c>
      <c r="BA104">
        <f t="shared" si="121"/>
        <v>64.507191531732531</v>
      </c>
      <c r="BB104">
        <f t="shared" si="122"/>
        <v>300.26883505428111</v>
      </c>
      <c r="BC104">
        <f t="shared" si="123"/>
        <v>4.3318889885232983E-2</v>
      </c>
      <c r="BD104">
        <f t="shared" si="124"/>
        <v>1.2491015739351643</v>
      </c>
      <c r="BE104">
        <f t="shared" si="125"/>
        <v>497.02396428086456</v>
      </c>
      <c r="BF104" t="s">
        <v>868</v>
      </c>
      <c r="BG104">
        <v>635.54999999999995</v>
      </c>
      <c r="BH104">
        <f t="shared" si="126"/>
        <v>635.54999999999995</v>
      </c>
      <c r="BI104">
        <f t="shared" si="127"/>
        <v>0.54352787140332859</v>
      </c>
      <c r="BJ104">
        <f t="shared" si="128"/>
        <v>0.73014570093721931</v>
      </c>
      <c r="BK104">
        <f t="shared" si="129"/>
        <v>0.6967985364645749</v>
      </c>
      <c r="BL104">
        <f t="shared" si="130"/>
        <v>0.71537978416677361</v>
      </c>
      <c r="BM104">
        <f t="shared" si="131"/>
        <v>0.6924648966898973</v>
      </c>
      <c r="BN104">
        <f t="shared" si="132"/>
        <v>0.55258836159290181</v>
      </c>
      <c r="BO104">
        <f t="shared" si="133"/>
        <v>0.44741163840709819</v>
      </c>
      <c r="BP104">
        <v>13744</v>
      </c>
      <c r="BQ104">
        <v>290.00000000000011</v>
      </c>
      <c r="BR104">
        <v>1214.8800000000001</v>
      </c>
      <c r="BS104">
        <v>295</v>
      </c>
      <c r="BT104">
        <v>8186.42</v>
      </c>
      <c r="BU104">
        <v>1218.18</v>
      </c>
      <c r="BV104">
        <v>-3.3</v>
      </c>
      <c r="BW104">
        <v>300.00000000000011</v>
      </c>
      <c r="BX104">
        <v>19.3</v>
      </c>
      <c r="BY104">
        <v>1392.3084459808449</v>
      </c>
      <c r="BZ104">
        <v>5.1536027738746029</v>
      </c>
      <c r="CA104">
        <v>-142.55137134897899</v>
      </c>
      <c r="CB104">
        <v>3.8744786525447532</v>
      </c>
      <c r="CC104">
        <v>0.9797348266491297</v>
      </c>
      <c r="CD104">
        <v>-4.2393543937708613E-3</v>
      </c>
      <c r="CE104">
        <v>289.99999999999989</v>
      </c>
      <c r="CF104">
        <v>1212.74</v>
      </c>
      <c r="CG104">
        <v>665</v>
      </c>
      <c r="CH104">
        <v>8175.72</v>
      </c>
      <c r="CI104">
        <v>1217.95</v>
      </c>
      <c r="CJ104">
        <v>-5.21</v>
      </c>
      <c r="CX104">
        <f t="shared" si="134"/>
        <v>1800.07</v>
      </c>
      <c r="CY104">
        <f t="shared" si="135"/>
        <v>1513.2438000065829</v>
      </c>
      <c r="CZ104">
        <f t="shared" si="136"/>
        <v>0.84065830773613415</v>
      </c>
      <c r="DA104">
        <f t="shared" si="137"/>
        <v>0.160870533930739</v>
      </c>
      <c r="DB104">
        <v>6</v>
      </c>
      <c r="DC104">
        <v>0.5</v>
      </c>
      <c r="DD104" t="s">
        <v>421</v>
      </c>
      <c r="DE104">
        <v>2</v>
      </c>
      <c r="DF104">
        <v>1689016556.0999999</v>
      </c>
      <c r="DG104">
        <v>816.77099999999996</v>
      </c>
      <c r="DH104">
        <v>900.02700000000004</v>
      </c>
      <c r="DI104">
        <v>27.559200000000001</v>
      </c>
      <c r="DJ104">
        <v>20.584099999999999</v>
      </c>
      <c r="DK104">
        <v>817.26</v>
      </c>
      <c r="DL104">
        <v>27.4282</v>
      </c>
      <c r="DM104">
        <v>500.072</v>
      </c>
      <c r="DN104">
        <v>99.125100000000003</v>
      </c>
      <c r="DO104">
        <v>9.9944599999999995E-2</v>
      </c>
      <c r="DP104">
        <v>29.6906</v>
      </c>
      <c r="DQ104">
        <v>29.9436</v>
      </c>
      <c r="DR104">
        <v>999.9</v>
      </c>
      <c r="DS104">
        <v>0</v>
      </c>
      <c r="DT104">
        <v>0</v>
      </c>
      <c r="DU104">
        <v>9986.25</v>
      </c>
      <c r="DV104">
        <v>0</v>
      </c>
      <c r="DW104">
        <v>1268.9100000000001</v>
      </c>
      <c r="DX104">
        <v>-83.256</v>
      </c>
      <c r="DY104">
        <v>839.91800000000001</v>
      </c>
      <c r="DZ104">
        <v>918.94299999999998</v>
      </c>
      <c r="EA104">
        <v>6.9751000000000003</v>
      </c>
      <c r="EB104">
        <v>900.02700000000004</v>
      </c>
      <c r="EC104">
        <v>20.584099999999999</v>
      </c>
      <c r="ED104">
        <v>2.7318099999999998</v>
      </c>
      <c r="EE104">
        <v>2.0404</v>
      </c>
      <c r="EF104">
        <v>22.477699999999999</v>
      </c>
      <c r="EG104">
        <v>17.761399999999998</v>
      </c>
      <c r="EH104">
        <v>1800.07</v>
      </c>
      <c r="EI104">
        <v>0.97799599999999998</v>
      </c>
      <c r="EJ104">
        <v>2.20039E-2</v>
      </c>
      <c r="EK104">
        <v>0</v>
      </c>
      <c r="EL104">
        <v>839.43499999999995</v>
      </c>
      <c r="EM104">
        <v>4.9999900000000004</v>
      </c>
      <c r="EN104">
        <v>20219.599999999999</v>
      </c>
      <c r="EO104">
        <v>15864.4</v>
      </c>
      <c r="EP104">
        <v>48</v>
      </c>
      <c r="EQ104">
        <v>49.375</v>
      </c>
      <c r="ER104">
        <v>48.625</v>
      </c>
      <c r="ES104">
        <v>48.875</v>
      </c>
      <c r="ET104">
        <v>49.75</v>
      </c>
      <c r="EU104">
        <v>1755.57</v>
      </c>
      <c r="EV104">
        <v>39.5</v>
      </c>
      <c r="EW104">
        <v>0</v>
      </c>
      <c r="EX104">
        <v>127.4000000953674</v>
      </c>
      <c r="EY104">
        <v>0</v>
      </c>
      <c r="EZ104">
        <v>839.76452000000006</v>
      </c>
      <c r="FA104">
        <v>-2.518153844028352</v>
      </c>
      <c r="FB104">
        <v>-7985.7076686373821</v>
      </c>
      <c r="FC104">
        <v>19320.432000000001</v>
      </c>
      <c r="FD104">
        <v>15</v>
      </c>
      <c r="FE104">
        <v>1689016515.0999999</v>
      </c>
      <c r="FF104" t="s">
        <v>869</v>
      </c>
      <c r="FG104">
        <v>1689016515.0999999</v>
      </c>
      <c r="FH104">
        <v>1689016515.0999999</v>
      </c>
      <c r="FI104">
        <v>98</v>
      </c>
      <c r="FJ104">
        <v>-4.2999999999999997E-2</v>
      </c>
      <c r="FK104">
        <v>3.0000000000000001E-3</v>
      </c>
      <c r="FL104">
        <v>-0.47199999999999998</v>
      </c>
      <c r="FM104">
        <v>0.1</v>
      </c>
      <c r="FN104">
        <v>900</v>
      </c>
      <c r="FO104">
        <v>20</v>
      </c>
      <c r="FP104">
        <v>0.03</v>
      </c>
      <c r="FQ104">
        <v>0.01</v>
      </c>
      <c r="FR104">
        <v>64.339738316765136</v>
      </c>
      <c r="FS104">
        <v>-0.27752941163632427</v>
      </c>
      <c r="FT104">
        <v>9.2491645182225177E-2</v>
      </c>
      <c r="FU104">
        <v>1</v>
      </c>
      <c r="FV104">
        <v>0.41370886796469658</v>
      </c>
      <c r="FW104">
        <v>-3.7991044919326707E-2</v>
      </c>
      <c r="FX104">
        <v>3.035171969998E-3</v>
      </c>
      <c r="FY104">
        <v>1</v>
      </c>
      <c r="FZ104">
        <v>2</v>
      </c>
      <c r="GA104">
        <v>2</v>
      </c>
      <c r="GB104" t="s">
        <v>423</v>
      </c>
      <c r="GC104">
        <v>2.9576899999999999</v>
      </c>
      <c r="GD104">
        <v>2.7430500000000002</v>
      </c>
      <c r="GE104">
        <v>0.147616</v>
      </c>
      <c r="GF104">
        <v>0.15695999999999999</v>
      </c>
      <c r="GG104">
        <v>0.12706300000000001</v>
      </c>
      <c r="GH104">
        <v>0.103117</v>
      </c>
      <c r="GI104">
        <v>19986</v>
      </c>
      <c r="GJ104">
        <v>18444.099999999999</v>
      </c>
      <c r="GK104">
        <v>23381</v>
      </c>
      <c r="GL104">
        <v>21928.799999999999</v>
      </c>
      <c r="GM104">
        <v>28794.9</v>
      </c>
      <c r="GN104">
        <v>27442.1</v>
      </c>
      <c r="GO104">
        <v>36896.400000000001</v>
      </c>
      <c r="GP104">
        <v>34111.699999999997</v>
      </c>
      <c r="GQ104">
        <v>1.9918499999999999</v>
      </c>
      <c r="GR104">
        <v>1.78277</v>
      </c>
      <c r="GS104">
        <v>-4.0605700000000003E-3</v>
      </c>
      <c r="GT104">
        <v>0</v>
      </c>
      <c r="GU104">
        <v>30.009699999999999</v>
      </c>
      <c r="GV104">
        <v>999.9</v>
      </c>
      <c r="GW104">
        <v>28.1</v>
      </c>
      <c r="GX104">
        <v>48.7</v>
      </c>
      <c r="GY104">
        <v>32.987900000000003</v>
      </c>
      <c r="GZ104">
        <v>60.393500000000003</v>
      </c>
      <c r="HA104">
        <v>39.611400000000003</v>
      </c>
      <c r="HB104">
        <v>1</v>
      </c>
      <c r="HC104">
        <v>0.56778200000000001</v>
      </c>
      <c r="HD104">
        <v>2.86205</v>
      </c>
      <c r="HE104">
        <v>20.088699999999999</v>
      </c>
      <c r="HF104">
        <v>5.2640099999999999</v>
      </c>
      <c r="HG104">
        <v>11.962199999999999</v>
      </c>
      <c r="HH104">
        <v>4.9797000000000002</v>
      </c>
      <c r="HI104">
        <v>3.298</v>
      </c>
      <c r="HJ104">
        <v>9999</v>
      </c>
      <c r="HK104">
        <v>9999</v>
      </c>
      <c r="HL104">
        <v>9999</v>
      </c>
      <c r="HM104">
        <v>999.9</v>
      </c>
      <c r="HN104">
        <v>1.8642799999999999</v>
      </c>
      <c r="HO104">
        <v>1.86026</v>
      </c>
      <c r="HP104">
        <v>1.8667899999999999</v>
      </c>
      <c r="HQ104">
        <v>1.8635600000000001</v>
      </c>
      <c r="HR104">
        <v>1.8621799999999999</v>
      </c>
      <c r="HS104">
        <v>1.8622000000000001</v>
      </c>
      <c r="HT104">
        <v>1.86344</v>
      </c>
      <c r="HU104">
        <v>1.8647800000000001</v>
      </c>
      <c r="HV104">
        <v>0</v>
      </c>
      <c r="HW104">
        <v>0</v>
      </c>
      <c r="HX104">
        <v>0</v>
      </c>
      <c r="HY104">
        <v>0</v>
      </c>
      <c r="HZ104" t="s">
        <v>424</v>
      </c>
      <c r="IA104" t="s">
        <v>425</v>
      </c>
      <c r="IB104" t="s">
        <v>426</v>
      </c>
      <c r="IC104" t="s">
        <v>426</v>
      </c>
      <c r="ID104" t="s">
        <v>426</v>
      </c>
      <c r="IE104" t="s">
        <v>426</v>
      </c>
      <c r="IF104">
        <v>0</v>
      </c>
      <c r="IG104">
        <v>100</v>
      </c>
      <c r="IH104">
        <v>100</v>
      </c>
      <c r="II104">
        <v>-0.48899999999999999</v>
      </c>
      <c r="IJ104">
        <v>0.13100000000000001</v>
      </c>
      <c r="IK104">
        <v>-0.55109698616033054</v>
      </c>
      <c r="IL104">
        <v>-8.3322953065825546E-5</v>
      </c>
      <c r="IM104">
        <v>2.3872336679552741E-7</v>
      </c>
      <c r="IN104">
        <v>-5.428329794194132E-11</v>
      </c>
      <c r="IO104">
        <v>0.13105830087467821</v>
      </c>
      <c r="IP104">
        <v>0</v>
      </c>
      <c r="IQ104">
        <v>0</v>
      </c>
      <c r="IR104">
        <v>0</v>
      </c>
      <c r="IS104">
        <v>2</v>
      </c>
      <c r="IT104">
        <v>2035</v>
      </c>
      <c r="IU104">
        <v>1</v>
      </c>
      <c r="IV104">
        <v>21</v>
      </c>
      <c r="IW104">
        <v>0.7</v>
      </c>
      <c r="IX104">
        <v>0.7</v>
      </c>
      <c r="IY104">
        <v>2.0727500000000001</v>
      </c>
      <c r="IZ104">
        <v>2.7246100000000002</v>
      </c>
      <c r="JA104">
        <v>1.4514199999999999</v>
      </c>
      <c r="JB104">
        <v>2.2741699999999998</v>
      </c>
      <c r="JC104">
        <v>1.5942400000000001</v>
      </c>
      <c r="JD104">
        <v>2.4194300000000002</v>
      </c>
      <c r="JE104">
        <v>50.283200000000001</v>
      </c>
      <c r="JF104">
        <v>24.113800000000001</v>
      </c>
      <c r="JG104">
        <v>18</v>
      </c>
      <c r="JH104">
        <v>513.02800000000002</v>
      </c>
      <c r="JI104">
        <v>411.72500000000002</v>
      </c>
      <c r="JJ104">
        <v>26.534600000000001</v>
      </c>
      <c r="JK104">
        <v>34.055900000000001</v>
      </c>
      <c r="JL104">
        <v>30</v>
      </c>
      <c r="JM104">
        <v>34.108699999999999</v>
      </c>
      <c r="JN104">
        <v>34.126399999999997</v>
      </c>
      <c r="JO104">
        <v>41.416499999999999</v>
      </c>
      <c r="JP104">
        <v>42.000599999999999</v>
      </c>
      <c r="JQ104">
        <v>0</v>
      </c>
      <c r="JR104">
        <v>26.564399999999999</v>
      </c>
      <c r="JS104">
        <v>900</v>
      </c>
      <c r="JT104">
        <v>20.662199999999999</v>
      </c>
      <c r="JU104">
        <v>98.888099999999994</v>
      </c>
      <c r="JV104">
        <v>98.407200000000003</v>
      </c>
    </row>
    <row r="105" spans="1:282" x14ac:dyDescent="0.25">
      <c r="A105">
        <v>89</v>
      </c>
      <c r="B105">
        <v>1689016677.0999999</v>
      </c>
      <c r="C105">
        <v>17336.5</v>
      </c>
      <c r="D105" t="s">
        <v>870</v>
      </c>
      <c r="E105" t="s">
        <v>871</v>
      </c>
      <c r="F105" t="s">
        <v>414</v>
      </c>
      <c r="G105" t="s">
        <v>415</v>
      </c>
      <c r="H105" t="s">
        <v>31</v>
      </c>
      <c r="I105" t="s">
        <v>501</v>
      </c>
      <c r="J105" t="s">
        <v>416</v>
      </c>
      <c r="K105">
        <v>1689016677.0999999</v>
      </c>
      <c r="L105">
        <f t="shared" si="92"/>
        <v>5.6506884251837251E-3</v>
      </c>
      <c r="M105">
        <f t="shared" si="93"/>
        <v>5.6506884251837253</v>
      </c>
      <c r="N105">
        <f t="shared" si="94"/>
        <v>63.799297193221634</v>
      </c>
      <c r="O105">
        <f t="shared" si="95"/>
        <v>1115.8900000000001</v>
      </c>
      <c r="P105">
        <f t="shared" si="96"/>
        <v>806.67258003949632</v>
      </c>
      <c r="Q105">
        <f t="shared" si="97"/>
        <v>80.037747581943719</v>
      </c>
      <c r="R105">
        <f t="shared" si="98"/>
        <v>110.71818276610101</v>
      </c>
      <c r="S105">
        <f t="shared" si="99"/>
        <v>0.38037098477006209</v>
      </c>
      <c r="T105">
        <f t="shared" si="100"/>
        <v>2.9131967631496321</v>
      </c>
      <c r="U105">
        <f t="shared" si="101"/>
        <v>0.35477732686192698</v>
      </c>
      <c r="V105">
        <f t="shared" si="102"/>
        <v>0.22389164963903002</v>
      </c>
      <c r="W105">
        <f t="shared" si="103"/>
        <v>289.53455101270401</v>
      </c>
      <c r="X105">
        <f t="shared" si="104"/>
        <v>29.929183617765936</v>
      </c>
      <c r="Y105">
        <f t="shared" si="105"/>
        <v>30.012599999999999</v>
      </c>
      <c r="Z105">
        <f t="shared" si="106"/>
        <v>4.263534175970884</v>
      </c>
      <c r="AA105">
        <f t="shared" si="107"/>
        <v>65.44312835338782</v>
      </c>
      <c r="AB105">
        <f t="shared" si="108"/>
        <v>2.7389874008307697</v>
      </c>
      <c r="AC105">
        <f t="shared" si="109"/>
        <v>4.1852941168100184</v>
      </c>
      <c r="AD105">
        <f t="shared" si="110"/>
        <v>1.5245467751401143</v>
      </c>
      <c r="AE105">
        <f t="shared" si="111"/>
        <v>-249.19535955060229</v>
      </c>
      <c r="AF105">
        <f t="shared" si="112"/>
        <v>-50.587822600554524</v>
      </c>
      <c r="AG105">
        <f t="shared" si="113"/>
        <v>-3.8554662078842403</v>
      </c>
      <c r="AH105">
        <f t="shared" si="114"/>
        <v>-14.104097346337063</v>
      </c>
      <c r="AI105">
        <v>0</v>
      </c>
      <c r="AJ105">
        <v>0</v>
      </c>
      <c r="AK105">
        <f t="shared" si="115"/>
        <v>1</v>
      </c>
      <c r="AL105">
        <f t="shared" si="116"/>
        <v>0</v>
      </c>
      <c r="AM105">
        <f t="shared" si="117"/>
        <v>51921.227326795946</v>
      </c>
      <c r="AN105" t="s">
        <v>418</v>
      </c>
      <c r="AO105">
        <v>8197.4</v>
      </c>
      <c r="AP105">
        <v>619.92999999999995</v>
      </c>
      <c r="AQ105">
        <v>3131.443117258741</v>
      </c>
      <c r="AR105">
        <f t="shared" si="118"/>
        <v>0.80203057287443702</v>
      </c>
      <c r="AS105">
        <v>-1.0448500102641549</v>
      </c>
      <c r="AT105" t="s">
        <v>872</v>
      </c>
      <c r="AU105">
        <v>8185.87</v>
      </c>
      <c r="AV105">
        <v>833.72461538461539</v>
      </c>
      <c r="AW105">
        <v>1388.092026116944</v>
      </c>
      <c r="AX105">
        <f t="shared" si="119"/>
        <v>0.39937367285591208</v>
      </c>
      <c r="AY105">
        <v>0.5</v>
      </c>
      <c r="AZ105">
        <f t="shared" si="120"/>
        <v>1513.0167000065824</v>
      </c>
      <c r="BA105">
        <f t="shared" si="121"/>
        <v>63.799297193221634</v>
      </c>
      <c r="BB105">
        <f t="shared" si="122"/>
        <v>302.12951828698027</v>
      </c>
      <c r="BC105">
        <f t="shared" si="123"/>
        <v>4.2857522460395633E-2</v>
      </c>
      <c r="BD105">
        <f t="shared" si="124"/>
        <v>1.2559333663335397</v>
      </c>
      <c r="BE105">
        <f t="shared" si="125"/>
        <v>496.4856026232361</v>
      </c>
      <c r="BF105" t="s">
        <v>873</v>
      </c>
      <c r="BG105">
        <v>634.27</v>
      </c>
      <c r="BH105">
        <f t="shared" si="126"/>
        <v>634.27</v>
      </c>
      <c r="BI105">
        <f t="shared" si="127"/>
        <v>0.54306343666974999</v>
      </c>
      <c r="BJ105">
        <f t="shared" si="128"/>
        <v>0.73540887838998614</v>
      </c>
      <c r="BK105">
        <f t="shared" si="129"/>
        <v>0.69812984894517516</v>
      </c>
      <c r="BL105">
        <f t="shared" si="130"/>
        <v>0.72168031207511474</v>
      </c>
      <c r="BM105">
        <f t="shared" si="131"/>
        <v>0.69414373317891509</v>
      </c>
      <c r="BN105">
        <f t="shared" si="132"/>
        <v>0.5594746522881946</v>
      </c>
      <c r="BO105">
        <f t="shared" si="133"/>
        <v>0.4405253477118054</v>
      </c>
      <c r="BP105">
        <v>13746</v>
      </c>
      <c r="BQ105">
        <v>290.00000000000011</v>
      </c>
      <c r="BR105">
        <v>1209.6199999999999</v>
      </c>
      <c r="BS105">
        <v>285</v>
      </c>
      <c r="BT105">
        <v>8185.87</v>
      </c>
      <c r="BU105">
        <v>1212.3800000000001</v>
      </c>
      <c r="BV105">
        <v>-2.76</v>
      </c>
      <c r="BW105">
        <v>300.00000000000011</v>
      </c>
      <c r="BX105">
        <v>19.3</v>
      </c>
      <c r="BY105">
        <v>1388.092026116944</v>
      </c>
      <c r="BZ105">
        <v>3.5410974342740542</v>
      </c>
      <c r="CA105">
        <v>-143.83406514858731</v>
      </c>
      <c r="CB105">
        <v>2.6619910264082001</v>
      </c>
      <c r="CC105">
        <v>0.99050046430274019</v>
      </c>
      <c r="CD105">
        <v>-4.2392462736373848E-3</v>
      </c>
      <c r="CE105">
        <v>289.99999999999989</v>
      </c>
      <c r="CF105">
        <v>1206.42</v>
      </c>
      <c r="CG105">
        <v>685</v>
      </c>
      <c r="CH105">
        <v>8174.52</v>
      </c>
      <c r="CI105">
        <v>1212.1400000000001</v>
      </c>
      <c r="CJ105">
        <v>-5.72</v>
      </c>
      <c r="CX105">
        <f t="shared" si="134"/>
        <v>1799.8</v>
      </c>
      <c r="CY105">
        <f t="shared" si="135"/>
        <v>1513.0167000065824</v>
      </c>
      <c r="CZ105">
        <f t="shared" si="136"/>
        <v>0.84065823980807997</v>
      </c>
      <c r="DA105">
        <f t="shared" si="137"/>
        <v>0.16087040282959442</v>
      </c>
      <c r="DB105">
        <v>6</v>
      </c>
      <c r="DC105">
        <v>0.5</v>
      </c>
      <c r="DD105" t="s">
        <v>421</v>
      </c>
      <c r="DE105">
        <v>2</v>
      </c>
      <c r="DF105">
        <v>1689016677.0999999</v>
      </c>
      <c r="DG105">
        <v>1115.8900000000001</v>
      </c>
      <c r="DH105">
        <v>1200</v>
      </c>
      <c r="DI105">
        <v>27.6053</v>
      </c>
      <c r="DJ105">
        <v>21.012899999999998</v>
      </c>
      <c r="DK105">
        <v>1116.1500000000001</v>
      </c>
      <c r="DL105">
        <v>27.470500000000001</v>
      </c>
      <c r="DM105">
        <v>500.09399999999999</v>
      </c>
      <c r="DN105">
        <v>99.1203</v>
      </c>
      <c r="DO105">
        <v>9.9320900000000004E-2</v>
      </c>
      <c r="DP105">
        <v>29.6905</v>
      </c>
      <c r="DQ105">
        <v>30.012599999999999</v>
      </c>
      <c r="DR105">
        <v>999.9</v>
      </c>
      <c r="DS105">
        <v>0</v>
      </c>
      <c r="DT105">
        <v>0</v>
      </c>
      <c r="DU105">
        <v>9995</v>
      </c>
      <c r="DV105">
        <v>0</v>
      </c>
      <c r="DW105">
        <v>1470.14</v>
      </c>
      <c r="DX105">
        <v>-84.104100000000003</v>
      </c>
      <c r="DY105">
        <v>1147.57</v>
      </c>
      <c r="DZ105">
        <v>1225.75</v>
      </c>
      <c r="EA105">
        <v>6.5923999999999996</v>
      </c>
      <c r="EB105">
        <v>1200</v>
      </c>
      <c r="EC105">
        <v>21.012899999999998</v>
      </c>
      <c r="ED105">
        <v>2.73624</v>
      </c>
      <c r="EE105">
        <v>2.0828000000000002</v>
      </c>
      <c r="EF105">
        <v>22.5044</v>
      </c>
      <c r="EG105">
        <v>18.0883</v>
      </c>
      <c r="EH105">
        <v>1799.8</v>
      </c>
      <c r="EI105">
        <v>0.97799599999999998</v>
      </c>
      <c r="EJ105">
        <v>2.20039E-2</v>
      </c>
      <c r="EK105">
        <v>0</v>
      </c>
      <c r="EL105">
        <v>833.52</v>
      </c>
      <c r="EM105">
        <v>4.9999900000000004</v>
      </c>
      <c r="EN105">
        <v>18247.3</v>
      </c>
      <c r="EO105">
        <v>15862</v>
      </c>
      <c r="EP105">
        <v>48.125</v>
      </c>
      <c r="EQ105">
        <v>49.436999999999998</v>
      </c>
      <c r="ER105">
        <v>48.686999999999998</v>
      </c>
      <c r="ES105">
        <v>48.875</v>
      </c>
      <c r="ET105">
        <v>49.811999999999998</v>
      </c>
      <c r="EU105">
        <v>1755.31</v>
      </c>
      <c r="EV105">
        <v>39.49</v>
      </c>
      <c r="EW105">
        <v>0</v>
      </c>
      <c r="EX105">
        <v>119</v>
      </c>
      <c r="EY105">
        <v>0</v>
      </c>
      <c r="EZ105">
        <v>833.72461538461539</v>
      </c>
      <c r="FA105">
        <v>-2.3668375940461299</v>
      </c>
      <c r="FB105">
        <v>-7854.3111029069896</v>
      </c>
      <c r="FC105">
        <v>20268.09230769231</v>
      </c>
      <c r="FD105">
        <v>15</v>
      </c>
      <c r="FE105">
        <v>1689016637.5999999</v>
      </c>
      <c r="FF105" t="s">
        <v>874</v>
      </c>
      <c r="FG105">
        <v>1689016637.5999999</v>
      </c>
      <c r="FH105">
        <v>1689016631.5999999</v>
      </c>
      <c r="FI105">
        <v>99</v>
      </c>
      <c r="FJ105">
        <v>0.16700000000000001</v>
      </c>
      <c r="FK105">
        <v>4.0000000000000001E-3</v>
      </c>
      <c r="FL105">
        <v>-0.23400000000000001</v>
      </c>
      <c r="FM105">
        <v>0.111</v>
      </c>
      <c r="FN105">
        <v>1200</v>
      </c>
      <c r="FO105">
        <v>21</v>
      </c>
      <c r="FP105">
        <v>0.04</v>
      </c>
      <c r="FQ105">
        <v>0.01</v>
      </c>
      <c r="FR105">
        <v>63.752595307145057</v>
      </c>
      <c r="FS105">
        <v>-0.61104434914113637</v>
      </c>
      <c r="FT105">
        <v>8.7676151102136862E-2</v>
      </c>
      <c r="FU105">
        <v>1</v>
      </c>
      <c r="FV105">
        <v>0.38419873550567768</v>
      </c>
      <c r="FW105">
        <v>-2.5128526971053729E-2</v>
      </c>
      <c r="FX105">
        <v>2.099617645818173E-3</v>
      </c>
      <c r="FY105">
        <v>1</v>
      </c>
      <c r="FZ105">
        <v>2</v>
      </c>
      <c r="GA105">
        <v>2</v>
      </c>
      <c r="GB105" t="s">
        <v>423</v>
      </c>
      <c r="GC105">
        <v>2.9577100000000001</v>
      </c>
      <c r="GD105">
        <v>2.7425099999999998</v>
      </c>
      <c r="GE105">
        <v>0.18032300000000001</v>
      </c>
      <c r="GF105">
        <v>0.18823599999999999</v>
      </c>
      <c r="GG105">
        <v>0.12718299999999999</v>
      </c>
      <c r="GH105">
        <v>0.104606</v>
      </c>
      <c r="GI105">
        <v>19214.5</v>
      </c>
      <c r="GJ105">
        <v>17755.099999999999</v>
      </c>
      <c r="GK105">
        <v>23376.6</v>
      </c>
      <c r="GL105">
        <v>21924.2</v>
      </c>
      <c r="GM105">
        <v>28787.1</v>
      </c>
      <c r="GN105">
        <v>27392.6</v>
      </c>
      <c r="GO105">
        <v>36888.5</v>
      </c>
      <c r="GP105">
        <v>34104.9</v>
      </c>
      <c r="GQ105">
        <v>1.99072</v>
      </c>
      <c r="GR105">
        <v>1.7829299999999999</v>
      </c>
      <c r="GS105">
        <v>-2.0116600000000002E-3</v>
      </c>
      <c r="GT105">
        <v>0</v>
      </c>
      <c r="GU105">
        <v>30.045300000000001</v>
      </c>
      <c r="GV105">
        <v>999.9</v>
      </c>
      <c r="GW105">
        <v>28.1</v>
      </c>
      <c r="GX105">
        <v>48.7</v>
      </c>
      <c r="GY105">
        <v>32.9908</v>
      </c>
      <c r="GZ105">
        <v>60.323500000000003</v>
      </c>
      <c r="HA105">
        <v>38.970399999999998</v>
      </c>
      <c r="HB105">
        <v>1</v>
      </c>
      <c r="HC105">
        <v>0.58244899999999999</v>
      </c>
      <c r="HD105">
        <v>4.0049299999999999</v>
      </c>
      <c r="HE105">
        <v>20.066099999999999</v>
      </c>
      <c r="HF105">
        <v>5.2634100000000004</v>
      </c>
      <c r="HG105">
        <v>11.963200000000001</v>
      </c>
      <c r="HH105">
        <v>4.9796500000000004</v>
      </c>
      <c r="HI105">
        <v>3.29793</v>
      </c>
      <c r="HJ105">
        <v>9999</v>
      </c>
      <c r="HK105">
        <v>9999</v>
      </c>
      <c r="HL105">
        <v>9999</v>
      </c>
      <c r="HM105">
        <v>999.9</v>
      </c>
      <c r="HN105">
        <v>1.86429</v>
      </c>
      <c r="HO105">
        <v>1.86026</v>
      </c>
      <c r="HP105">
        <v>1.8667800000000001</v>
      </c>
      <c r="HQ105">
        <v>1.8635600000000001</v>
      </c>
      <c r="HR105">
        <v>1.8621799999999999</v>
      </c>
      <c r="HS105">
        <v>1.8621799999999999</v>
      </c>
      <c r="HT105">
        <v>1.86351</v>
      </c>
      <c r="HU105">
        <v>1.86477</v>
      </c>
      <c r="HV105">
        <v>0</v>
      </c>
      <c r="HW105">
        <v>0</v>
      </c>
      <c r="HX105">
        <v>0</v>
      </c>
      <c r="HY105">
        <v>0</v>
      </c>
      <c r="HZ105" t="s">
        <v>424</v>
      </c>
      <c r="IA105" t="s">
        <v>425</v>
      </c>
      <c r="IB105" t="s">
        <v>426</v>
      </c>
      <c r="IC105" t="s">
        <v>426</v>
      </c>
      <c r="ID105" t="s">
        <v>426</v>
      </c>
      <c r="IE105" t="s">
        <v>426</v>
      </c>
      <c r="IF105">
        <v>0</v>
      </c>
      <c r="IG105">
        <v>100</v>
      </c>
      <c r="IH105">
        <v>100</v>
      </c>
      <c r="II105">
        <v>-0.26</v>
      </c>
      <c r="IJ105">
        <v>0.1348</v>
      </c>
      <c r="IK105">
        <v>-0.3835770401712319</v>
      </c>
      <c r="IL105">
        <v>-8.3322953065825546E-5</v>
      </c>
      <c r="IM105">
        <v>2.3872336679552741E-7</v>
      </c>
      <c r="IN105">
        <v>-5.428329794194132E-11</v>
      </c>
      <c r="IO105">
        <v>0.1347984542170019</v>
      </c>
      <c r="IP105">
        <v>0</v>
      </c>
      <c r="IQ105">
        <v>0</v>
      </c>
      <c r="IR105">
        <v>0</v>
      </c>
      <c r="IS105">
        <v>2</v>
      </c>
      <c r="IT105">
        <v>2035</v>
      </c>
      <c r="IU105">
        <v>1</v>
      </c>
      <c r="IV105">
        <v>21</v>
      </c>
      <c r="IW105">
        <v>0.7</v>
      </c>
      <c r="IX105">
        <v>0.8</v>
      </c>
      <c r="IY105">
        <v>2.6220699999999999</v>
      </c>
      <c r="IZ105">
        <v>2.7270500000000002</v>
      </c>
      <c r="JA105">
        <v>1.4514199999999999</v>
      </c>
      <c r="JB105">
        <v>2.2741699999999998</v>
      </c>
      <c r="JC105">
        <v>1.5942400000000001</v>
      </c>
      <c r="JD105">
        <v>2.34375</v>
      </c>
      <c r="JE105">
        <v>50.3155</v>
      </c>
      <c r="JF105">
        <v>24.087499999999999</v>
      </c>
      <c r="JG105">
        <v>18</v>
      </c>
      <c r="JH105">
        <v>512.55100000000004</v>
      </c>
      <c r="JI105">
        <v>412.04599999999999</v>
      </c>
      <c r="JJ105">
        <v>25.916499999999999</v>
      </c>
      <c r="JK105">
        <v>34.096699999999998</v>
      </c>
      <c r="JL105">
        <v>30.0002</v>
      </c>
      <c r="JM105">
        <v>34.140099999999997</v>
      </c>
      <c r="JN105">
        <v>34.1569</v>
      </c>
      <c r="JO105">
        <v>52.405200000000001</v>
      </c>
      <c r="JP105">
        <v>41.307299999999998</v>
      </c>
      <c r="JQ105">
        <v>0</v>
      </c>
      <c r="JR105">
        <v>25.919599999999999</v>
      </c>
      <c r="JS105">
        <v>1200</v>
      </c>
      <c r="JT105">
        <v>20.905100000000001</v>
      </c>
      <c r="JU105">
        <v>98.867800000000003</v>
      </c>
      <c r="JV105">
        <v>98.387100000000004</v>
      </c>
    </row>
    <row r="106" spans="1:282" x14ac:dyDescent="0.25">
      <c r="A106">
        <v>90</v>
      </c>
      <c r="B106">
        <v>1689016789.0999999</v>
      </c>
      <c r="C106">
        <v>17448.5</v>
      </c>
      <c r="D106" t="s">
        <v>875</v>
      </c>
      <c r="E106" t="s">
        <v>876</v>
      </c>
      <c r="F106" t="s">
        <v>414</v>
      </c>
      <c r="G106" t="s">
        <v>415</v>
      </c>
      <c r="H106" t="s">
        <v>31</v>
      </c>
      <c r="I106" t="s">
        <v>501</v>
      </c>
      <c r="J106" t="s">
        <v>416</v>
      </c>
      <c r="K106">
        <v>1689016789.0999999</v>
      </c>
      <c r="L106">
        <f t="shared" si="92"/>
        <v>5.2728461675217138E-3</v>
      </c>
      <c r="M106">
        <f t="shared" si="93"/>
        <v>5.2728461675217142</v>
      </c>
      <c r="N106">
        <f t="shared" si="94"/>
        <v>63.557342691422058</v>
      </c>
      <c r="O106">
        <f t="shared" si="95"/>
        <v>1414.73</v>
      </c>
      <c r="P106">
        <f t="shared" si="96"/>
        <v>1073.8463198806749</v>
      </c>
      <c r="Q106">
        <f t="shared" si="97"/>
        <v>106.54545298231645</v>
      </c>
      <c r="R106">
        <f t="shared" si="98"/>
        <v>140.36743052248102</v>
      </c>
      <c r="S106">
        <f t="shared" si="99"/>
        <v>0.3477200211715214</v>
      </c>
      <c r="T106">
        <f t="shared" si="100"/>
        <v>2.9129621491544055</v>
      </c>
      <c r="U106">
        <f t="shared" si="101"/>
        <v>0.32619674172044727</v>
      </c>
      <c r="V106">
        <f t="shared" si="102"/>
        <v>0.20569562826331692</v>
      </c>
      <c r="W106">
        <f t="shared" si="103"/>
        <v>289.57662601270539</v>
      </c>
      <c r="X106">
        <f t="shared" si="104"/>
        <v>30.09613437021649</v>
      </c>
      <c r="Y106">
        <f t="shared" si="105"/>
        <v>30.0473</v>
      </c>
      <c r="Z106">
        <f t="shared" si="106"/>
        <v>4.2720385869950253</v>
      </c>
      <c r="AA106">
        <f t="shared" si="107"/>
        <v>64.848491921406975</v>
      </c>
      <c r="AB106">
        <f t="shared" si="108"/>
        <v>2.72475910632734</v>
      </c>
      <c r="AC106">
        <f t="shared" si="109"/>
        <v>4.2017308739108499</v>
      </c>
      <c r="AD106">
        <f t="shared" si="110"/>
        <v>1.5472794806676853</v>
      </c>
      <c r="AE106">
        <f t="shared" si="111"/>
        <v>-232.53251598770757</v>
      </c>
      <c r="AF106">
        <f t="shared" si="112"/>
        <v>-45.338491761710578</v>
      </c>
      <c r="AG106">
        <f t="shared" si="113"/>
        <v>-3.4574351477114544</v>
      </c>
      <c r="AH106">
        <f t="shared" si="114"/>
        <v>8.2481831155757774</v>
      </c>
      <c r="AI106">
        <v>0</v>
      </c>
      <c r="AJ106">
        <v>0</v>
      </c>
      <c r="AK106">
        <f t="shared" si="115"/>
        <v>1</v>
      </c>
      <c r="AL106">
        <f t="shared" si="116"/>
        <v>0</v>
      </c>
      <c r="AM106">
        <f t="shared" si="117"/>
        <v>51902.849830543637</v>
      </c>
      <c r="AN106" t="s">
        <v>418</v>
      </c>
      <c r="AO106">
        <v>8197.4</v>
      </c>
      <c r="AP106">
        <v>619.92999999999995</v>
      </c>
      <c r="AQ106">
        <v>3131.443117258741</v>
      </c>
      <c r="AR106">
        <f t="shared" si="118"/>
        <v>0.80203057287443702</v>
      </c>
      <c r="AS106">
        <v>-1.0448500102641549</v>
      </c>
      <c r="AT106" t="s">
        <v>877</v>
      </c>
      <c r="AU106">
        <v>8186.06</v>
      </c>
      <c r="AV106">
        <v>828.01847999999984</v>
      </c>
      <c r="AW106">
        <v>1377.741585397521</v>
      </c>
      <c r="AX106">
        <f t="shared" si="119"/>
        <v>0.39900305777509726</v>
      </c>
      <c r="AY106">
        <v>0.5</v>
      </c>
      <c r="AZ106">
        <f t="shared" si="120"/>
        <v>1513.2354000065829</v>
      </c>
      <c r="BA106">
        <f t="shared" si="121"/>
        <v>63.557342691422058</v>
      </c>
      <c r="BB106">
        <f t="shared" si="122"/>
        <v>301.89277586807452</v>
      </c>
      <c r="BC106">
        <f t="shared" si="123"/>
        <v>4.2691436310176967E-2</v>
      </c>
      <c r="BD106">
        <f t="shared" si="124"/>
        <v>1.2728813229189295</v>
      </c>
      <c r="BE106">
        <f t="shared" si="125"/>
        <v>495.15508473464672</v>
      </c>
      <c r="BF106" t="s">
        <v>878</v>
      </c>
      <c r="BG106">
        <v>631.21</v>
      </c>
      <c r="BH106">
        <f t="shared" si="126"/>
        <v>631.21</v>
      </c>
      <c r="BI106">
        <f t="shared" si="127"/>
        <v>0.54185167473341789</v>
      </c>
      <c r="BJ106">
        <f t="shared" si="128"/>
        <v>0.73636952025921165</v>
      </c>
      <c r="BK106">
        <f t="shared" si="129"/>
        <v>0.70141520794828149</v>
      </c>
      <c r="BL106">
        <f t="shared" si="130"/>
        <v>0.7254086846787331</v>
      </c>
      <c r="BM106">
        <f t="shared" si="131"/>
        <v>0.69826493033623682</v>
      </c>
      <c r="BN106">
        <f t="shared" si="132"/>
        <v>0.5613447237105349</v>
      </c>
      <c r="BO106">
        <f t="shared" si="133"/>
        <v>0.4386552762894651</v>
      </c>
      <c r="BP106">
        <v>13748</v>
      </c>
      <c r="BQ106">
        <v>290.00000000000011</v>
      </c>
      <c r="BR106">
        <v>1201.6600000000001</v>
      </c>
      <c r="BS106">
        <v>285</v>
      </c>
      <c r="BT106">
        <v>8186.06</v>
      </c>
      <c r="BU106">
        <v>1204.68</v>
      </c>
      <c r="BV106">
        <v>-3.02</v>
      </c>
      <c r="BW106">
        <v>300.00000000000011</v>
      </c>
      <c r="BX106">
        <v>19.3</v>
      </c>
      <c r="BY106">
        <v>1377.741585397521</v>
      </c>
      <c r="BZ106">
        <v>3.6810672739854282</v>
      </c>
      <c r="CA106">
        <v>-141.66588542877761</v>
      </c>
      <c r="CB106">
        <v>2.7672956630648011</v>
      </c>
      <c r="CC106">
        <v>0.98942882760931039</v>
      </c>
      <c r="CD106">
        <v>-4.2391183537263668E-3</v>
      </c>
      <c r="CE106">
        <v>289.99999999999989</v>
      </c>
      <c r="CF106">
        <v>1199.0999999999999</v>
      </c>
      <c r="CG106">
        <v>635</v>
      </c>
      <c r="CH106">
        <v>8176.28</v>
      </c>
      <c r="CI106">
        <v>1204.48</v>
      </c>
      <c r="CJ106">
        <v>-5.38</v>
      </c>
      <c r="CX106">
        <f t="shared" si="134"/>
        <v>1800.06</v>
      </c>
      <c r="CY106">
        <f t="shared" si="135"/>
        <v>1513.2354000065829</v>
      </c>
      <c r="CZ106">
        <f t="shared" si="136"/>
        <v>0.8406583113932774</v>
      </c>
      <c r="DA106">
        <f t="shared" si="137"/>
        <v>0.16087054098902559</v>
      </c>
      <c r="DB106">
        <v>6</v>
      </c>
      <c r="DC106">
        <v>0.5</v>
      </c>
      <c r="DD106" t="s">
        <v>421</v>
      </c>
      <c r="DE106">
        <v>2</v>
      </c>
      <c r="DF106">
        <v>1689016789.0999999</v>
      </c>
      <c r="DG106">
        <v>1414.73</v>
      </c>
      <c r="DH106">
        <v>1499.94</v>
      </c>
      <c r="DI106">
        <v>27.462199999999999</v>
      </c>
      <c r="DJ106">
        <v>21.3093</v>
      </c>
      <c r="DK106">
        <v>1414.91</v>
      </c>
      <c r="DL106">
        <v>27.333300000000001</v>
      </c>
      <c r="DM106">
        <v>500.06099999999998</v>
      </c>
      <c r="DN106">
        <v>99.119399999999999</v>
      </c>
      <c r="DO106">
        <v>9.9129700000000001E-2</v>
      </c>
      <c r="DP106">
        <v>29.758600000000001</v>
      </c>
      <c r="DQ106">
        <v>30.0473</v>
      </c>
      <c r="DR106">
        <v>999.9</v>
      </c>
      <c r="DS106">
        <v>0</v>
      </c>
      <c r="DT106">
        <v>0</v>
      </c>
      <c r="DU106">
        <v>9993.75</v>
      </c>
      <c r="DV106">
        <v>0</v>
      </c>
      <c r="DW106">
        <v>1794.49</v>
      </c>
      <c r="DX106">
        <v>-85.2059</v>
      </c>
      <c r="DY106">
        <v>1454.68</v>
      </c>
      <c r="DZ106">
        <v>1532.6</v>
      </c>
      <c r="EA106">
        <v>6.1529299999999996</v>
      </c>
      <c r="EB106">
        <v>1499.94</v>
      </c>
      <c r="EC106">
        <v>21.3093</v>
      </c>
      <c r="ED106">
        <v>2.7220399999999998</v>
      </c>
      <c r="EE106">
        <v>2.1121599999999998</v>
      </c>
      <c r="EF106">
        <v>22.418700000000001</v>
      </c>
      <c r="EG106">
        <v>18.311199999999999</v>
      </c>
      <c r="EH106">
        <v>1800.06</v>
      </c>
      <c r="EI106">
        <v>0.97799599999999998</v>
      </c>
      <c r="EJ106">
        <v>2.20039E-2</v>
      </c>
      <c r="EK106">
        <v>0</v>
      </c>
      <c r="EL106">
        <v>827.87</v>
      </c>
      <c r="EM106">
        <v>4.9999900000000004</v>
      </c>
      <c r="EN106">
        <v>20379.599999999999</v>
      </c>
      <c r="EO106">
        <v>15864.3</v>
      </c>
      <c r="EP106">
        <v>48.061999999999998</v>
      </c>
      <c r="EQ106">
        <v>49.125</v>
      </c>
      <c r="ER106">
        <v>48.625</v>
      </c>
      <c r="ES106">
        <v>48.686999999999998</v>
      </c>
      <c r="ET106">
        <v>49.75</v>
      </c>
      <c r="EU106">
        <v>1755.56</v>
      </c>
      <c r="EV106">
        <v>39.5</v>
      </c>
      <c r="EW106">
        <v>0</v>
      </c>
      <c r="EX106">
        <v>110</v>
      </c>
      <c r="EY106">
        <v>0</v>
      </c>
      <c r="EZ106">
        <v>828.01847999999984</v>
      </c>
      <c r="FA106">
        <v>-0.64738460857911639</v>
      </c>
      <c r="FB106">
        <v>45.553844552842158</v>
      </c>
      <c r="FC106">
        <v>20427.907999999999</v>
      </c>
      <c r="FD106">
        <v>15</v>
      </c>
      <c r="FE106">
        <v>1689016750.5999999</v>
      </c>
      <c r="FF106" t="s">
        <v>879</v>
      </c>
      <c r="FG106">
        <v>1689016750.5999999</v>
      </c>
      <c r="FH106">
        <v>1689016745.0999999</v>
      </c>
      <c r="FI106">
        <v>100</v>
      </c>
      <c r="FJ106">
        <v>4.0000000000000001E-3</v>
      </c>
      <c r="FK106">
        <v>-6.0000000000000001E-3</v>
      </c>
      <c r="FL106">
        <v>-0.15</v>
      </c>
      <c r="FM106">
        <v>0.107</v>
      </c>
      <c r="FN106">
        <v>1501</v>
      </c>
      <c r="FO106">
        <v>21</v>
      </c>
      <c r="FP106">
        <v>0.06</v>
      </c>
      <c r="FQ106">
        <v>0.01</v>
      </c>
      <c r="FR106">
        <v>63.489253354759867</v>
      </c>
      <c r="FS106">
        <v>-0.38452270641481601</v>
      </c>
      <c r="FT106">
        <v>9.0648711963428413E-2</v>
      </c>
      <c r="FU106">
        <v>1</v>
      </c>
      <c r="FV106">
        <v>0.34987124091697502</v>
      </c>
      <c r="FW106">
        <v>-2.3761260627737781E-2</v>
      </c>
      <c r="FX106">
        <v>1.90249132749336E-3</v>
      </c>
      <c r="FY106">
        <v>1</v>
      </c>
      <c r="FZ106">
        <v>2</v>
      </c>
      <c r="GA106">
        <v>2</v>
      </c>
      <c r="GB106" t="s">
        <v>423</v>
      </c>
      <c r="GC106">
        <v>2.95763</v>
      </c>
      <c r="GD106">
        <v>2.7423000000000002</v>
      </c>
      <c r="GE106">
        <v>0.20839099999999999</v>
      </c>
      <c r="GF106">
        <v>0.215332</v>
      </c>
      <c r="GG106">
        <v>0.12673999999999999</v>
      </c>
      <c r="GH106">
        <v>0.10563500000000001</v>
      </c>
      <c r="GI106">
        <v>18553.400000000001</v>
      </c>
      <c r="GJ106">
        <v>17159.400000000001</v>
      </c>
      <c r="GK106">
        <v>23374.1</v>
      </c>
      <c r="GL106">
        <v>21921.8</v>
      </c>
      <c r="GM106">
        <v>28801.3</v>
      </c>
      <c r="GN106">
        <v>27360</v>
      </c>
      <c r="GO106">
        <v>36885.5</v>
      </c>
      <c r="GP106">
        <v>34101.800000000003</v>
      </c>
      <c r="GQ106">
        <v>1.9906699999999999</v>
      </c>
      <c r="GR106">
        <v>1.78437</v>
      </c>
      <c r="GS106">
        <v>2.3134100000000001E-2</v>
      </c>
      <c r="GT106">
        <v>0</v>
      </c>
      <c r="GU106">
        <v>29.6707</v>
      </c>
      <c r="GV106">
        <v>999.9</v>
      </c>
      <c r="GW106">
        <v>27.9</v>
      </c>
      <c r="GX106">
        <v>48.8</v>
      </c>
      <c r="GY106">
        <v>32.918700000000001</v>
      </c>
      <c r="GZ106">
        <v>60.253500000000003</v>
      </c>
      <c r="HA106">
        <v>38.894199999999998</v>
      </c>
      <c r="HB106">
        <v>1</v>
      </c>
      <c r="HC106">
        <v>0.57996199999999998</v>
      </c>
      <c r="HD106">
        <v>3.23624</v>
      </c>
      <c r="HE106">
        <v>20.1296</v>
      </c>
      <c r="HF106">
        <v>5.2647599999999999</v>
      </c>
      <c r="HG106">
        <v>11.9625</v>
      </c>
      <c r="HH106">
        <v>4.9797000000000002</v>
      </c>
      <c r="HI106">
        <v>3.2979799999999999</v>
      </c>
      <c r="HJ106">
        <v>9999</v>
      </c>
      <c r="HK106">
        <v>9999</v>
      </c>
      <c r="HL106">
        <v>9999</v>
      </c>
      <c r="HM106">
        <v>999.9</v>
      </c>
      <c r="HN106">
        <v>1.8641700000000001</v>
      </c>
      <c r="HO106">
        <v>1.8602000000000001</v>
      </c>
      <c r="HP106">
        <v>1.8667400000000001</v>
      </c>
      <c r="HQ106">
        <v>1.86341</v>
      </c>
      <c r="HR106">
        <v>1.86205</v>
      </c>
      <c r="HS106">
        <v>1.8620699999999999</v>
      </c>
      <c r="HT106">
        <v>1.86338</v>
      </c>
      <c r="HU106">
        <v>1.8646400000000001</v>
      </c>
      <c r="HV106">
        <v>0</v>
      </c>
      <c r="HW106">
        <v>0</v>
      </c>
      <c r="HX106">
        <v>0</v>
      </c>
      <c r="HY106">
        <v>0</v>
      </c>
      <c r="HZ106" t="s">
        <v>424</v>
      </c>
      <c r="IA106" t="s">
        <v>425</v>
      </c>
      <c r="IB106" t="s">
        <v>426</v>
      </c>
      <c r="IC106" t="s">
        <v>426</v>
      </c>
      <c r="ID106" t="s">
        <v>426</v>
      </c>
      <c r="IE106" t="s">
        <v>426</v>
      </c>
      <c r="IF106">
        <v>0</v>
      </c>
      <c r="IG106">
        <v>100</v>
      </c>
      <c r="IH106">
        <v>100</v>
      </c>
      <c r="II106">
        <v>-0.18</v>
      </c>
      <c r="IJ106">
        <v>0.12889999999999999</v>
      </c>
      <c r="IK106">
        <v>-0.37912551502118358</v>
      </c>
      <c r="IL106">
        <v>-8.3322953065825546E-5</v>
      </c>
      <c r="IM106">
        <v>2.3872336679552741E-7</v>
      </c>
      <c r="IN106">
        <v>-5.428329794194132E-11</v>
      </c>
      <c r="IO106">
        <v>0.12892397931864991</v>
      </c>
      <c r="IP106">
        <v>0</v>
      </c>
      <c r="IQ106">
        <v>0</v>
      </c>
      <c r="IR106">
        <v>0</v>
      </c>
      <c r="IS106">
        <v>2</v>
      </c>
      <c r="IT106">
        <v>2035</v>
      </c>
      <c r="IU106">
        <v>1</v>
      </c>
      <c r="IV106">
        <v>21</v>
      </c>
      <c r="IW106">
        <v>0.6</v>
      </c>
      <c r="IX106">
        <v>0.7</v>
      </c>
      <c r="IY106">
        <v>3.1396500000000001</v>
      </c>
      <c r="IZ106">
        <v>2.7197300000000002</v>
      </c>
      <c r="JA106">
        <v>1.4526399999999999</v>
      </c>
      <c r="JB106">
        <v>2.2741699999999998</v>
      </c>
      <c r="JC106">
        <v>1.5942400000000001</v>
      </c>
      <c r="JD106">
        <v>2.2888199999999999</v>
      </c>
      <c r="JE106">
        <v>50.250900000000001</v>
      </c>
      <c r="JF106">
        <v>16.426100000000002</v>
      </c>
      <c r="JG106">
        <v>18</v>
      </c>
      <c r="JH106">
        <v>512.56399999999996</v>
      </c>
      <c r="JI106">
        <v>413.005</v>
      </c>
      <c r="JJ106">
        <v>26.5335</v>
      </c>
      <c r="JK106">
        <v>34.089799999999997</v>
      </c>
      <c r="JL106">
        <v>29.9986</v>
      </c>
      <c r="JM106">
        <v>34.145499999999998</v>
      </c>
      <c r="JN106">
        <v>34.1569</v>
      </c>
      <c r="JO106">
        <v>62.755099999999999</v>
      </c>
      <c r="JP106">
        <v>39.352200000000003</v>
      </c>
      <c r="JQ106">
        <v>0</v>
      </c>
      <c r="JR106">
        <v>26.509799999999998</v>
      </c>
      <c r="JS106">
        <v>1500</v>
      </c>
      <c r="JT106">
        <v>21.2667</v>
      </c>
      <c r="JU106">
        <v>98.858800000000002</v>
      </c>
      <c r="JV106">
        <v>98.377499999999998</v>
      </c>
    </row>
    <row r="107" spans="1:282" x14ac:dyDescent="0.25">
      <c r="A107">
        <v>91</v>
      </c>
      <c r="B107">
        <v>1689017725.5</v>
      </c>
      <c r="C107">
        <v>18384.900000095371</v>
      </c>
      <c r="D107" t="s">
        <v>880</v>
      </c>
      <c r="E107" t="s">
        <v>881</v>
      </c>
      <c r="F107" t="s">
        <v>414</v>
      </c>
      <c r="G107" t="s">
        <v>415</v>
      </c>
      <c r="H107" t="s">
        <v>416</v>
      </c>
      <c r="I107" t="s">
        <v>501</v>
      </c>
      <c r="J107" t="s">
        <v>500</v>
      </c>
      <c r="K107">
        <v>1689017725.5</v>
      </c>
      <c r="L107">
        <f t="shared" si="92"/>
        <v>6.3871547129949234E-3</v>
      </c>
      <c r="M107">
        <f t="shared" si="93"/>
        <v>6.3871547129949233</v>
      </c>
      <c r="N107">
        <f t="shared" si="94"/>
        <v>57.614547070808086</v>
      </c>
      <c r="O107">
        <f t="shared" si="95"/>
        <v>328.32100000000003</v>
      </c>
      <c r="P107">
        <f t="shared" si="96"/>
        <v>101.88001752380723</v>
      </c>
      <c r="Q107">
        <f t="shared" si="97"/>
        <v>10.108216708957348</v>
      </c>
      <c r="R107">
        <f t="shared" si="98"/>
        <v>32.574982796072504</v>
      </c>
      <c r="S107">
        <f t="shared" si="99"/>
        <v>0.447068392116451</v>
      </c>
      <c r="T107">
        <f t="shared" si="100"/>
        <v>2.9127081103755894</v>
      </c>
      <c r="U107">
        <f t="shared" si="101"/>
        <v>0.41214827836245344</v>
      </c>
      <c r="V107">
        <f t="shared" si="102"/>
        <v>0.26050243491288561</v>
      </c>
      <c r="W107">
        <f t="shared" si="103"/>
        <v>289.5680670127025</v>
      </c>
      <c r="X107">
        <f t="shared" si="104"/>
        <v>30.11580622893602</v>
      </c>
      <c r="Y107">
        <f t="shared" si="105"/>
        <v>30.040600000000001</v>
      </c>
      <c r="Z107">
        <f t="shared" si="106"/>
        <v>4.270395374241744</v>
      </c>
      <c r="AA107">
        <f t="shared" si="107"/>
        <v>65.168214768622505</v>
      </c>
      <c r="AB107">
        <f t="shared" si="108"/>
        <v>2.7874980328875001</v>
      </c>
      <c r="AC107">
        <f t="shared" si="109"/>
        <v>4.2773889737265556</v>
      </c>
      <c r="AD107">
        <f t="shared" si="110"/>
        <v>1.4828973413542439</v>
      </c>
      <c r="AE107">
        <f t="shared" si="111"/>
        <v>-281.67352284307611</v>
      </c>
      <c r="AF107">
        <f t="shared" si="112"/>
        <v>4.4753527099268213</v>
      </c>
      <c r="AG107">
        <f t="shared" si="113"/>
        <v>0.34182610650893241</v>
      </c>
      <c r="AH107">
        <f t="shared" si="114"/>
        <v>12.71172298606211</v>
      </c>
      <c r="AI107">
        <v>0</v>
      </c>
      <c r="AJ107">
        <v>0</v>
      </c>
      <c r="AK107">
        <f t="shared" si="115"/>
        <v>1</v>
      </c>
      <c r="AL107">
        <f t="shared" si="116"/>
        <v>0</v>
      </c>
      <c r="AM107">
        <f t="shared" si="117"/>
        <v>51842.407020560633</v>
      </c>
      <c r="AN107" t="s">
        <v>418</v>
      </c>
      <c r="AO107">
        <v>8197.4</v>
      </c>
      <c r="AP107">
        <v>619.92999999999995</v>
      </c>
      <c r="AQ107">
        <v>3131.443117258741</v>
      </c>
      <c r="AR107">
        <f t="shared" si="118"/>
        <v>0.80203057287443702</v>
      </c>
      <c r="AS107">
        <v>-1.0448500102641549</v>
      </c>
      <c r="AT107" t="s">
        <v>882</v>
      </c>
      <c r="AU107">
        <v>8183.02</v>
      </c>
      <c r="AV107">
        <v>838.3152</v>
      </c>
      <c r="AW107">
        <v>1330.371990548706</v>
      </c>
      <c r="AX107">
        <f t="shared" si="119"/>
        <v>0.36986406361859692</v>
      </c>
      <c r="AY107">
        <v>0.5</v>
      </c>
      <c r="AZ107">
        <f t="shared" si="120"/>
        <v>1513.1931000065815</v>
      </c>
      <c r="BA107">
        <f t="shared" si="121"/>
        <v>57.614547070808086</v>
      </c>
      <c r="BB107">
        <f t="shared" si="122"/>
        <v>279.83787450402809</v>
      </c>
      <c r="BC107">
        <f t="shared" si="123"/>
        <v>3.8765308327679465E-2</v>
      </c>
      <c r="BD107">
        <f t="shared" si="124"/>
        <v>1.3538101670098988</v>
      </c>
      <c r="BE107">
        <f t="shared" si="125"/>
        <v>488.89876417488568</v>
      </c>
      <c r="BF107" t="s">
        <v>883</v>
      </c>
      <c r="BG107">
        <v>638.46</v>
      </c>
      <c r="BH107">
        <f t="shared" si="126"/>
        <v>638.46</v>
      </c>
      <c r="BI107">
        <f t="shared" si="127"/>
        <v>0.52008911452151807</v>
      </c>
      <c r="BJ107">
        <f t="shared" si="128"/>
        <v>0.71115517185717636</v>
      </c>
      <c r="BK107">
        <f t="shared" si="129"/>
        <v>0.72245620687976209</v>
      </c>
      <c r="BL107">
        <f t="shared" si="130"/>
        <v>0.69260657040931461</v>
      </c>
      <c r="BM107">
        <f t="shared" si="131"/>
        <v>0.71712590881303573</v>
      </c>
      <c r="BN107">
        <f t="shared" si="132"/>
        <v>0.54161505245751573</v>
      </c>
      <c r="BO107">
        <f t="shared" si="133"/>
        <v>0.45838494754248427</v>
      </c>
      <c r="BP107">
        <v>13750</v>
      </c>
      <c r="BQ107">
        <v>290.00000000000011</v>
      </c>
      <c r="BR107">
        <v>1172.77</v>
      </c>
      <c r="BS107">
        <v>295</v>
      </c>
      <c r="BT107">
        <v>8183.02</v>
      </c>
      <c r="BU107">
        <v>1176.2</v>
      </c>
      <c r="BV107">
        <v>-3.43</v>
      </c>
      <c r="BW107">
        <v>300.00000000000011</v>
      </c>
      <c r="BX107">
        <v>19.3</v>
      </c>
      <c r="BY107">
        <v>1330.371990548706</v>
      </c>
      <c r="BZ107">
        <v>5.1461409690939082</v>
      </c>
      <c r="CA107">
        <v>-126.1566345909639</v>
      </c>
      <c r="CB107">
        <v>3.867253133913537</v>
      </c>
      <c r="CC107">
        <v>0.97436319430033713</v>
      </c>
      <c r="CD107">
        <v>-4.2376600667408367E-3</v>
      </c>
      <c r="CE107">
        <v>289.99999999999989</v>
      </c>
      <c r="CF107">
        <v>1171.03</v>
      </c>
      <c r="CG107">
        <v>655</v>
      </c>
      <c r="CH107">
        <v>8172.59</v>
      </c>
      <c r="CI107">
        <v>1176.01</v>
      </c>
      <c r="CJ107">
        <v>-4.9800000000000004</v>
      </c>
      <c r="CX107">
        <f t="shared" si="134"/>
        <v>1800.01</v>
      </c>
      <c r="CY107">
        <f t="shared" si="135"/>
        <v>1513.1931000065815</v>
      </c>
      <c r="CZ107">
        <f t="shared" si="136"/>
        <v>0.84065816301386187</v>
      </c>
      <c r="DA107">
        <f t="shared" si="137"/>
        <v>0.16087025461675353</v>
      </c>
      <c r="DB107">
        <v>6</v>
      </c>
      <c r="DC107">
        <v>0.5</v>
      </c>
      <c r="DD107" t="s">
        <v>421</v>
      </c>
      <c r="DE107">
        <v>2</v>
      </c>
      <c r="DF107">
        <v>1689017725.5</v>
      </c>
      <c r="DG107">
        <v>328.32100000000003</v>
      </c>
      <c r="DH107">
        <v>399.96</v>
      </c>
      <c r="DI107">
        <v>28.094999999999999</v>
      </c>
      <c r="DJ107">
        <v>20.647300000000001</v>
      </c>
      <c r="DK107">
        <v>328.55599999999998</v>
      </c>
      <c r="DL107">
        <v>27.958200000000001</v>
      </c>
      <c r="DM107">
        <v>500.10399999999998</v>
      </c>
      <c r="DN107">
        <v>99.117400000000004</v>
      </c>
      <c r="DO107">
        <v>9.9472500000000005E-2</v>
      </c>
      <c r="DP107">
        <v>30.069099999999999</v>
      </c>
      <c r="DQ107">
        <v>30.040600000000001</v>
      </c>
      <c r="DR107">
        <v>999.9</v>
      </c>
      <c r="DS107">
        <v>0</v>
      </c>
      <c r="DT107">
        <v>0</v>
      </c>
      <c r="DU107">
        <v>9992.5</v>
      </c>
      <c r="DV107">
        <v>0</v>
      </c>
      <c r="DW107">
        <v>1882.93</v>
      </c>
      <c r="DX107">
        <v>-71.638599999999997</v>
      </c>
      <c r="DY107">
        <v>337.81200000000001</v>
      </c>
      <c r="DZ107">
        <v>408.392</v>
      </c>
      <c r="EA107">
        <v>7.4477900000000004</v>
      </c>
      <c r="EB107">
        <v>399.96</v>
      </c>
      <c r="EC107">
        <v>20.647300000000001</v>
      </c>
      <c r="ED107">
        <v>2.78471</v>
      </c>
      <c r="EE107">
        <v>2.0465</v>
      </c>
      <c r="EF107">
        <v>22.793700000000001</v>
      </c>
      <c r="EG107">
        <v>17.808800000000002</v>
      </c>
      <c r="EH107">
        <v>1800.01</v>
      </c>
      <c r="EI107">
        <v>0.97800200000000004</v>
      </c>
      <c r="EJ107">
        <v>2.1997599999999999E-2</v>
      </c>
      <c r="EK107">
        <v>0</v>
      </c>
      <c r="EL107">
        <v>838.45399999999995</v>
      </c>
      <c r="EM107">
        <v>4.9999900000000004</v>
      </c>
      <c r="EN107">
        <v>21391.599999999999</v>
      </c>
      <c r="EO107">
        <v>15863.9</v>
      </c>
      <c r="EP107">
        <v>48.186999999999998</v>
      </c>
      <c r="EQ107">
        <v>49.686999999999998</v>
      </c>
      <c r="ER107">
        <v>48.75</v>
      </c>
      <c r="ES107">
        <v>49.375</v>
      </c>
      <c r="ET107">
        <v>50</v>
      </c>
      <c r="EU107">
        <v>1755.52</v>
      </c>
      <c r="EV107">
        <v>39.49</v>
      </c>
      <c r="EW107">
        <v>0</v>
      </c>
      <c r="EX107">
        <v>934.40000009536743</v>
      </c>
      <c r="EY107">
        <v>0</v>
      </c>
      <c r="EZ107">
        <v>838.3152</v>
      </c>
      <c r="FA107">
        <v>1.6725384680694859</v>
      </c>
      <c r="FB107">
        <v>-70.992307621975513</v>
      </c>
      <c r="FC107">
        <v>21401.168000000001</v>
      </c>
      <c r="FD107">
        <v>15</v>
      </c>
      <c r="FE107">
        <v>1689017688.5</v>
      </c>
      <c r="FF107" t="s">
        <v>884</v>
      </c>
      <c r="FG107">
        <v>1689017679.5</v>
      </c>
      <c r="FH107">
        <v>1689017688.5</v>
      </c>
      <c r="FI107">
        <v>102</v>
      </c>
      <c r="FJ107">
        <v>0.23400000000000001</v>
      </c>
      <c r="FK107">
        <v>-0.157</v>
      </c>
      <c r="FL107">
        <v>-0.23</v>
      </c>
      <c r="FM107">
        <v>0.104</v>
      </c>
      <c r="FN107">
        <v>400</v>
      </c>
      <c r="FO107">
        <v>20</v>
      </c>
      <c r="FP107">
        <v>0.04</v>
      </c>
      <c r="FQ107">
        <v>0.01</v>
      </c>
      <c r="FR107">
        <v>57.659458253636487</v>
      </c>
      <c r="FS107">
        <v>-0.64908235990738072</v>
      </c>
      <c r="FT107">
        <v>5.5563509126164402E-2</v>
      </c>
      <c r="FU107">
        <v>1</v>
      </c>
      <c r="FV107">
        <v>0.45166875611073731</v>
      </c>
      <c r="FW107">
        <v>-3.87105990946673E-2</v>
      </c>
      <c r="FX107">
        <v>2.8772674594574432E-3</v>
      </c>
      <c r="FY107">
        <v>1</v>
      </c>
      <c r="FZ107">
        <v>2</v>
      </c>
      <c r="GA107">
        <v>2</v>
      </c>
      <c r="GB107" t="s">
        <v>423</v>
      </c>
      <c r="GC107">
        <v>2.9576799999999999</v>
      </c>
      <c r="GD107">
        <v>2.7426400000000002</v>
      </c>
      <c r="GE107">
        <v>7.6017600000000005E-2</v>
      </c>
      <c r="GF107">
        <v>8.8572899999999996E-2</v>
      </c>
      <c r="GG107">
        <v>0.12875600000000001</v>
      </c>
      <c r="GH107">
        <v>0.10334</v>
      </c>
      <c r="GI107">
        <v>21675.7</v>
      </c>
      <c r="GJ107">
        <v>19914.7</v>
      </c>
      <c r="GK107">
        <v>23392.7</v>
      </c>
      <c r="GL107">
        <v>21900</v>
      </c>
      <c r="GM107">
        <v>28746.799999999999</v>
      </c>
      <c r="GN107">
        <v>27409.4</v>
      </c>
      <c r="GO107">
        <v>36913.1</v>
      </c>
      <c r="GP107">
        <v>34084.699999999997</v>
      </c>
      <c r="GQ107">
        <v>1.9899</v>
      </c>
      <c r="GR107">
        <v>1.79253</v>
      </c>
      <c r="GS107">
        <v>-2.68072E-2</v>
      </c>
      <c r="GT107">
        <v>0</v>
      </c>
      <c r="GU107">
        <v>30.476700000000001</v>
      </c>
      <c r="GV107">
        <v>999.9</v>
      </c>
      <c r="GW107">
        <v>26.1</v>
      </c>
      <c r="GX107">
        <v>48.1</v>
      </c>
      <c r="GY107">
        <v>29.7272</v>
      </c>
      <c r="GZ107">
        <v>60.163499999999999</v>
      </c>
      <c r="HA107">
        <v>39.5032</v>
      </c>
      <c r="HB107">
        <v>1</v>
      </c>
      <c r="HC107">
        <v>0.56426100000000001</v>
      </c>
      <c r="HD107">
        <v>3.6428500000000001</v>
      </c>
      <c r="HE107">
        <v>20.0702</v>
      </c>
      <c r="HF107">
        <v>5.2581699999999998</v>
      </c>
      <c r="HG107">
        <v>11.9625</v>
      </c>
      <c r="HH107">
        <v>4.9791499999999997</v>
      </c>
      <c r="HI107">
        <v>3.2972299999999999</v>
      </c>
      <c r="HJ107">
        <v>9999</v>
      </c>
      <c r="HK107">
        <v>9999</v>
      </c>
      <c r="HL107">
        <v>9999</v>
      </c>
      <c r="HM107">
        <v>999.9</v>
      </c>
      <c r="HN107">
        <v>1.8641700000000001</v>
      </c>
      <c r="HO107">
        <v>1.8602000000000001</v>
      </c>
      <c r="HP107">
        <v>1.86676</v>
      </c>
      <c r="HQ107">
        <v>1.8635200000000001</v>
      </c>
      <c r="HR107">
        <v>1.8621000000000001</v>
      </c>
      <c r="HS107">
        <v>1.8621799999999999</v>
      </c>
      <c r="HT107">
        <v>1.8633999999999999</v>
      </c>
      <c r="HU107">
        <v>1.86469</v>
      </c>
      <c r="HV107">
        <v>0</v>
      </c>
      <c r="HW107">
        <v>0</v>
      </c>
      <c r="HX107">
        <v>0</v>
      </c>
      <c r="HY107">
        <v>0</v>
      </c>
      <c r="HZ107" t="s">
        <v>424</v>
      </c>
      <c r="IA107" t="s">
        <v>425</v>
      </c>
      <c r="IB107" t="s">
        <v>426</v>
      </c>
      <c r="IC107" t="s">
        <v>426</v>
      </c>
      <c r="ID107" t="s">
        <v>426</v>
      </c>
      <c r="IE107" t="s">
        <v>426</v>
      </c>
      <c r="IF107">
        <v>0</v>
      </c>
      <c r="IG107">
        <v>100</v>
      </c>
      <c r="IH107">
        <v>100</v>
      </c>
      <c r="II107">
        <v>-0.23499999999999999</v>
      </c>
      <c r="IJ107">
        <v>0.1368</v>
      </c>
      <c r="IK107">
        <v>-0.2314212813375246</v>
      </c>
      <c r="IL107">
        <v>-8.3322953065825546E-5</v>
      </c>
      <c r="IM107">
        <v>2.3872336679552741E-7</v>
      </c>
      <c r="IN107">
        <v>-5.428329794194132E-11</v>
      </c>
      <c r="IO107">
        <v>0.1368260686579493</v>
      </c>
      <c r="IP107">
        <v>0</v>
      </c>
      <c r="IQ107">
        <v>0</v>
      </c>
      <c r="IR107">
        <v>0</v>
      </c>
      <c r="IS107">
        <v>2</v>
      </c>
      <c r="IT107">
        <v>2035</v>
      </c>
      <c r="IU107">
        <v>1</v>
      </c>
      <c r="IV107">
        <v>21</v>
      </c>
      <c r="IW107">
        <v>0.8</v>
      </c>
      <c r="IX107">
        <v>0.6</v>
      </c>
      <c r="IY107">
        <v>1.073</v>
      </c>
      <c r="IZ107">
        <v>2.7014200000000002</v>
      </c>
      <c r="JA107">
        <v>1.4514199999999999</v>
      </c>
      <c r="JB107">
        <v>2.2741699999999998</v>
      </c>
      <c r="JC107">
        <v>1.5942400000000001</v>
      </c>
      <c r="JD107">
        <v>2.4182100000000002</v>
      </c>
      <c r="JE107">
        <v>49.1066</v>
      </c>
      <c r="JF107">
        <v>24.253900000000002</v>
      </c>
      <c r="JG107">
        <v>18</v>
      </c>
      <c r="JH107">
        <v>511.47800000000001</v>
      </c>
      <c r="JI107">
        <v>417.916</v>
      </c>
      <c r="JJ107">
        <v>26.5016</v>
      </c>
      <c r="JK107">
        <v>34.074399999999997</v>
      </c>
      <c r="JL107">
        <v>30.000299999999999</v>
      </c>
      <c r="JM107">
        <v>34.078099999999999</v>
      </c>
      <c r="JN107">
        <v>34.088500000000003</v>
      </c>
      <c r="JO107">
        <v>21.4222</v>
      </c>
      <c r="JP107">
        <v>30.790099999999999</v>
      </c>
      <c r="JQ107">
        <v>0</v>
      </c>
      <c r="JR107">
        <v>26.4757</v>
      </c>
      <c r="JS107">
        <v>400</v>
      </c>
      <c r="JT107">
        <v>20.677700000000002</v>
      </c>
      <c r="JU107">
        <v>98.934700000000007</v>
      </c>
      <c r="JV107">
        <v>98.309100000000001</v>
      </c>
    </row>
    <row r="108" spans="1:282" x14ac:dyDescent="0.25">
      <c r="A108">
        <v>92</v>
      </c>
      <c r="B108">
        <v>1689017860.5</v>
      </c>
      <c r="C108">
        <v>18519.900000095371</v>
      </c>
      <c r="D108" t="s">
        <v>885</v>
      </c>
      <c r="E108" t="s">
        <v>886</v>
      </c>
      <c r="F108" t="s">
        <v>414</v>
      </c>
      <c r="G108" t="s">
        <v>415</v>
      </c>
      <c r="H108" t="s">
        <v>416</v>
      </c>
      <c r="I108" t="s">
        <v>501</v>
      </c>
      <c r="J108" t="s">
        <v>500</v>
      </c>
      <c r="K108">
        <v>1689017860.5</v>
      </c>
      <c r="L108">
        <f t="shared" si="92"/>
        <v>6.7734118809368738E-3</v>
      </c>
      <c r="M108">
        <f t="shared" si="93"/>
        <v>6.773411880936874</v>
      </c>
      <c r="N108">
        <f t="shared" si="94"/>
        <v>47.668173961082992</v>
      </c>
      <c r="O108">
        <f t="shared" si="95"/>
        <v>241.029</v>
      </c>
      <c r="P108">
        <f t="shared" si="96"/>
        <v>68.786599114749578</v>
      </c>
      <c r="Q108">
        <f t="shared" si="97"/>
        <v>6.8250370567459777</v>
      </c>
      <c r="R108">
        <f t="shared" si="98"/>
        <v>23.915004927139798</v>
      </c>
      <c r="S108">
        <f t="shared" si="99"/>
        <v>0.48842643798665741</v>
      </c>
      <c r="T108">
        <f t="shared" si="100"/>
        <v>2.9129992010396295</v>
      </c>
      <c r="U108">
        <f t="shared" si="101"/>
        <v>0.44707032549763642</v>
      </c>
      <c r="V108">
        <f t="shared" si="102"/>
        <v>0.28284225046021461</v>
      </c>
      <c r="W108">
        <f t="shared" si="103"/>
        <v>289.55312401269998</v>
      </c>
      <c r="X108">
        <f t="shared" si="104"/>
        <v>29.874540172401574</v>
      </c>
      <c r="Y108">
        <f t="shared" si="105"/>
        <v>29.9498</v>
      </c>
      <c r="Z108">
        <f t="shared" si="106"/>
        <v>4.2481804164105963</v>
      </c>
      <c r="AA108">
        <f t="shared" si="107"/>
        <v>65.950573615729695</v>
      </c>
      <c r="AB108">
        <f t="shared" si="108"/>
        <v>2.7983043221339798</v>
      </c>
      <c r="AC108">
        <f t="shared" si="109"/>
        <v>4.243032575332391</v>
      </c>
      <c r="AD108">
        <f t="shared" si="110"/>
        <v>1.4498760942766165</v>
      </c>
      <c r="AE108">
        <f t="shared" si="111"/>
        <v>-298.70746394931615</v>
      </c>
      <c r="AF108">
        <f t="shared" si="112"/>
        <v>-3.3136624327481519</v>
      </c>
      <c r="AG108">
        <f t="shared" si="113"/>
        <v>-0.25278176659170903</v>
      </c>
      <c r="AH108">
        <f t="shared" si="114"/>
        <v>-12.720784135956002</v>
      </c>
      <c r="AI108">
        <v>0</v>
      </c>
      <c r="AJ108">
        <v>0</v>
      </c>
      <c r="AK108">
        <f t="shared" si="115"/>
        <v>1</v>
      </c>
      <c r="AL108">
        <f t="shared" si="116"/>
        <v>0</v>
      </c>
      <c r="AM108">
        <f t="shared" si="117"/>
        <v>51874.804457858467</v>
      </c>
      <c r="AN108" t="s">
        <v>418</v>
      </c>
      <c r="AO108">
        <v>8197.4</v>
      </c>
      <c r="AP108">
        <v>619.92999999999995</v>
      </c>
      <c r="AQ108">
        <v>3131.443117258741</v>
      </c>
      <c r="AR108">
        <f t="shared" si="118"/>
        <v>0.80203057287443702</v>
      </c>
      <c r="AS108">
        <v>-1.0448500102641549</v>
      </c>
      <c r="AT108" t="s">
        <v>887</v>
      </c>
      <c r="AU108">
        <v>8181.46</v>
      </c>
      <c r="AV108">
        <v>781.10346153846149</v>
      </c>
      <c r="AW108">
        <v>1179.1495264427911</v>
      </c>
      <c r="AX108">
        <f t="shared" si="119"/>
        <v>0.33757047429356846</v>
      </c>
      <c r="AY108">
        <v>0.5</v>
      </c>
      <c r="AZ108">
        <f t="shared" si="120"/>
        <v>1513.1172000065803</v>
      </c>
      <c r="BA108">
        <f t="shared" si="121"/>
        <v>47.668173961082992</v>
      </c>
      <c r="BB108">
        <f t="shared" si="122"/>
        <v>255.39184543398881</v>
      </c>
      <c r="BC108">
        <f t="shared" si="123"/>
        <v>3.2193820790045409E-2</v>
      </c>
      <c r="BD108">
        <f t="shared" si="124"/>
        <v>1.6556794087901197</v>
      </c>
      <c r="BE108">
        <f t="shared" si="125"/>
        <v>466.89424916665598</v>
      </c>
      <c r="BF108" t="s">
        <v>888</v>
      </c>
      <c r="BG108">
        <v>615.94000000000005</v>
      </c>
      <c r="BH108">
        <f t="shared" si="126"/>
        <v>615.94000000000005</v>
      </c>
      <c r="BI108">
        <f t="shared" si="127"/>
        <v>0.47764046358213608</v>
      </c>
      <c r="BJ108">
        <f t="shared" si="128"/>
        <v>0.70674597324085175</v>
      </c>
      <c r="BK108">
        <f t="shared" si="129"/>
        <v>0.77610461995509417</v>
      </c>
      <c r="BL108">
        <f t="shared" si="130"/>
        <v>0.71178856617598851</v>
      </c>
      <c r="BM108">
        <f t="shared" si="131"/>
        <v>0.7773376047292293</v>
      </c>
      <c r="BN108">
        <f t="shared" si="132"/>
        <v>0.55730532022041934</v>
      </c>
      <c r="BO108">
        <f t="shared" si="133"/>
        <v>0.44269467977958066</v>
      </c>
      <c r="BP108">
        <v>13752</v>
      </c>
      <c r="BQ108">
        <v>290.00000000000011</v>
      </c>
      <c r="BR108">
        <v>1042.55</v>
      </c>
      <c r="BS108">
        <v>275</v>
      </c>
      <c r="BT108">
        <v>8181.46</v>
      </c>
      <c r="BU108">
        <v>1044.75</v>
      </c>
      <c r="BV108">
        <v>-2.2000000000000002</v>
      </c>
      <c r="BW108">
        <v>300.00000000000011</v>
      </c>
      <c r="BX108">
        <v>19.3</v>
      </c>
      <c r="BY108">
        <v>1179.1495264427911</v>
      </c>
      <c r="BZ108">
        <v>3.3630213616142619</v>
      </c>
      <c r="CA108">
        <v>-109.96250619057589</v>
      </c>
      <c r="CB108">
        <v>2.5265580707496871</v>
      </c>
      <c r="CC108">
        <v>0.98543351815991043</v>
      </c>
      <c r="CD108">
        <v>-4.2365167964404909E-3</v>
      </c>
      <c r="CE108">
        <v>289.99999999999989</v>
      </c>
      <c r="CF108">
        <v>1038.6400000000001</v>
      </c>
      <c r="CG108">
        <v>645</v>
      </c>
      <c r="CH108">
        <v>8170.56</v>
      </c>
      <c r="CI108">
        <v>1044.57</v>
      </c>
      <c r="CJ108">
        <v>-5.93</v>
      </c>
      <c r="CX108">
        <f t="shared" si="134"/>
        <v>1799.92</v>
      </c>
      <c r="CY108">
        <f t="shared" si="135"/>
        <v>1513.1172000065803</v>
      </c>
      <c r="CZ108">
        <f t="shared" si="136"/>
        <v>0.84065802924940014</v>
      </c>
      <c r="DA108">
        <f t="shared" si="137"/>
        <v>0.16086999645134226</v>
      </c>
      <c r="DB108">
        <v>6</v>
      </c>
      <c r="DC108">
        <v>0.5</v>
      </c>
      <c r="DD108" t="s">
        <v>421</v>
      </c>
      <c r="DE108">
        <v>2</v>
      </c>
      <c r="DF108">
        <v>1689017860.5</v>
      </c>
      <c r="DG108">
        <v>241.029</v>
      </c>
      <c r="DH108">
        <v>300.173</v>
      </c>
      <c r="DI108">
        <v>28.2029</v>
      </c>
      <c r="DJ108">
        <v>20.3063</v>
      </c>
      <c r="DK108">
        <v>241.21</v>
      </c>
      <c r="DL108">
        <v>28.0701</v>
      </c>
      <c r="DM108">
        <v>500.14299999999997</v>
      </c>
      <c r="DN108">
        <v>99.121499999999997</v>
      </c>
      <c r="DO108">
        <v>9.8946199999999998E-2</v>
      </c>
      <c r="DP108">
        <v>29.928699999999999</v>
      </c>
      <c r="DQ108">
        <v>29.9498</v>
      </c>
      <c r="DR108">
        <v>999.9</v>
      </c>
      <c r="DS108">
        <v>0</v>
      </c>
      <c r="DT108">
        <v>0</v>
      </c>
      <c r="DU108">
        <v>9993.75</v>
      </c>
      <c r="DV108">
        <v>0</v>
      </c>
      <c r="DW108">
        <v>1863.25</v>
      </c>
      <c r="DX108">
        <v>-59.144599999999997</v>
      </c>
      <c r="DY108">
        <v>248.024</v>
      </c>
      <c r="DZ108">
        <v>306.39499999999998</v>
      </c>
      <c r="EA108">
        <v>7.8965800000000002</v>
      </c>
      <c r="EB108">
        <v>300.173</v>
      </c>
      <c r="EC108">
        <v>20.3063</v>
      </c>
      <c r="ED108">
        <v>2.7955100000000002</v>
      </c>
      <c r="EE108">
        <v>2.0127899999999999</v>
      </c>
      <c r="EF108">
        <v>22.857600000000001</v>
      </c>
      <c r="EG108">
        <v>17.545300000000001</v>
      </c>
      <c r="EH108">
        <v>1799.92</v>
      </c>
      <c r="EI108">
        <v>0.97800600000000004</v>
      </c>
      <c r="EJ108">
        <v>2.1994400000000001E-2</v>
      </c>
      <c r="EK108">
        <v>0</v>
      </c>
      <c r="EL108">
        <v>780.90499999999997</v>
      </c>
      <c r="EM108">
        <v>4.9999900000000004</v>
      </c>
      <c r="EN108">
        <v>20284.099999999999</v>
      </c>
      <c r="EO108">
        <v>15863.2</v>
      </c>
      <c r="EP108">
        <v>48.436999999999998</v>
      </c>
      <c r="EQ108">
        <v>50.125</v>
      </c>
      <c r="ER108">
        <v>49.061999999999998</v>
      </c>
      <c r="ES108">
        <v>49.625</v>
      </c>
      <c r="ET108">
        <v>50.25</v>
      </c>
      <c r="EU108">
        <v>1755.44</v>
      </c>
      <c r="EV108">
        <v>39.479999999999997</v>
      </c>
      <c r="EW108">
        <v>0</v>
      </c>
      <c r="EX108">
        <v>132.80000019073489</v>
      </c>
      <c r="EY108">
        <v>0</v>
      </c>
      <c r="EZ108">
        <v>781.10346153846149</v>
      </c>
      <c r="FA108">
        <v>-3.762940164965102</v>
      </c>
      <c r="FB108">
        <v>-5.364102699848238</v>
      </c>
      <c r="FC108">
        <v>20297.542307692311</v>
      </c>
      <c r="FD108">
        <v>15</v>
      </c>
      <c r="FE108">
        <v>1689017828.5</v>
      </c>
      <c r="FF108" t="s">
        <v>889</v>
      </c>
      <c r="FG108">
        <v>1689017820.5</v>
      </c>
      <c r="FH108">
        <v>1689017828.5</v>
      </c>
      <c r="FI108">
        <v>103</v>
      </c>
      <c r="FJ108">
        <v>5.7000000000000002E-2</v>
      </c>
      <c r="FK108">
        <v>-4.0000000000000001E-3</v>
      </c>
      <c r="FL108">
        <v>-0.17899999999999999</v>
      </c>
      <c r="FM108">
        <v>0.10299999999999999</v>
      </c>
      <c r="FN108">
        <v>300</v>
      </c>
      <c r="FO108">
        <v>20</v>
      </c>
      <c r="FP108">
        <v>0.02</v>
      </c>
      <c r="FQ108">
        <v>0.01</v>
      </c>
      <c r="FR108">
        <v>47.758781056895458</v>
      </c>
      <c r="FS108">
        <v>-0.67862278864611691</v>
      </c>
      <c r="FT108">
        <v>5.8798488873759332E-2</v>
      </c>
      <c r="FU108">
        <v>1</v>
      </c>
      <c r="FV108">
        <v>0.48337003166629883</v>
      </c>
      <c r="FW108">
        <v>1.073598279785822E-2</v>
      </c>
      <c r="FX108">
        <v>1.6015965299805231E-3</v>
      </c>
      <c r="FY108">
        <v>1</v>
      </c>
      <c r="FZ108">
        <v>2</v>
      </c>
      <c r="GA108">
        <v>2</v>
      </c>
      <c r="GB108" t="s">
        <v>423</v>
      </c>
      <c r="GC108">
        <v>2.9576699999999998</v>
      </c>
      <c r="GD108">
        <v>2.7421199999999999</v>
      </c>
      <c r="GE108">
        <v>5.8918999999999999E-2</v>
      </c>
      <c r="GF108">
        <v>7.0581400000000002E-2</v>
      </c>
      <c r="GG108">
        <v>0.12908900000000001</v>
      </c>
      <c r="GH108">
        <v>0.102121</v>
      </c>
      <c r="GI108">
        <v>22070.9</v>
      </c>
      <c r="GJ108">
        <v>20301.2</v>
      </c>
      <c r="GK108">
        <v>23387.200000000001</v>
      </c>
      <c r="GL108">
        <v>21893.599999999999</v>
      </c>
      <c r="GM108">
        <v>28728.3</v>
      </c>
      <c r="GN108">
        <v>27438.9</v>
      </c>
      <c r="GO108">
        <v>36904.1</v>
      </c>
      <c r="GP108">
        <v>34075.800000000003</v>
      </c>
      <c r="GQ108">
        <v>1.9887999999999999</v>
      </c>
      <c r="GR108">
        <v>1.7890200000000001</v>
      </c>
      <c r="GS108">
        <v>-3.8541899999999997E-2</v>
      </c>
      <c r="GT108">
        <v>0</v>
      </c>
      <c r="GU108">
        <v>30.576699999999999</v>
      </c>
      <c r="GV108">
        <v>999.9</v>
      </c>
      <c r="GW108">
        <v>26.3</v>
      </c>
      <c r="GX108">
        <v>48</v>
      </c>
      <c r="GY108">
        <v>29.8062</v>
      </c>
      <c r="GZ108">
        <v>60.403399999999998</v>
      </c>
      <c r="HA108">
        <v>38.994399999999999</v>
      </c>
      <c r="HB108">
        <v>1</v>
      </c>
      <c r="HC108">
        <v>0.57325000000000004</v>
      </c>
      <c r="HD108">
        <v>3.1821299999999999</v>
      </c>
      <c r="HE108">
        <v>20.0807</v>
      </c>
      <c r="HF108">
        <v>5.25997</v>
      </c>
      <c r="HG108">
        <v>11.962</v>
      </c>
      <c r="HH108">
        <v>4.9798999999999998</v>
      </c>
      <c r="HI108">
        <v>3.298</v>
      </c>
      <c r="HJ108">
        <v>9999</v>
      </c>
      <c r="HK108">
        <v>9999</v>
      </c>
      <c r="HL108">
        <v>9999</v>
      </c>
      <c r="HM108">
        <v>999.9</v>
      </c>
      <c r="HN108">
        <v>1.86425</v>
      </c>
      <c r="HO108">
        <v>1.86022</v>
      </c>
      <c r="HP108">
        <v>1.86677</v>
      </c>
      <c r="HQ108">
        <v>1.86355</v>
      </c>
      <c r="HR108">
        <v>1.86216</v>
      </c>
      <c r="HS108">
        <v>1.8621799999999999</v>
      </c>
      <c r="HT108">
        <v>1.8634299999999999</v>
      </c>
      <c r="HU108">
        <v>1.86476</v>
      </c>
      <c r="HV108">
        <v>0</v>
      </c>
      <c r="HW108">
        <v>0</v>
      </c>
      <c r="HX108">
        <v>0</v>
      </c>
      <c r="HY108">
        <v>0</v>
      </c>
      <c r="HZ108" t="s">
        <v>424</v>
      </c>
      <c r="IA108" t="s">
        <v>425</v>
      </c>
      <c r="IB108" t="s">
        <v>426</v>
      </c>
      <c r="IC108" t="s">
        <v>426</v>
      </c>
      <c r="ID108" t="s">
        <v>426</v>
      </c>
      <c r="IE108" t="s">
        <v>426</v>
      </c>
      <c r="IF108">
        <v>0</v>
      </c>
      <c r="IG108">
        <v>100</v>
      </c>
      <c r="IH108">
        <v>100</v>
      </c>
      <c r="II108">
        <v>-0.18099999999999999</v>
      </c>
      <c r="IJ108">
        <v>0.1328</v>
      </c>
      <c r="IK108">
        <v>-0.17448075401483629</v>
      </c>
      <c r="IL108">
        <v>-8.3322953065825546E-5</v>
      </c>
      <c r="IM108">
        <v>2.3872336679552741E-7</v>
      </c>
      <c r="IN108">
        <v>-5.428329794194132E-11</v>
      </c>
      <c r="IO108">
        <v>0.13280505528552031</v>
      </c>
      <c r="IP108">
        <v>0</v>
      </c>
      <c r="IQ108">
        <v>0</v>
      </c>
      <c r="IR108">
        <v>0</v>
      </c>
      <c r="IS108">
        <v>2</v>
      </c>
      <c r="IT108">
        <v>2035</v>
      </c>
      <c r="IU108">
        <v>1</v>
      </c>
      <c r="IV108">
        <v>21</v>
      </c>
      <c r="IW108">
        <v>0.7</v>
      </c>
      <c r="IX108">
        <v>0.5</v>
      </c>
      <c r="IY108">
        <v>0.84960899999999995</v>
      </c>
      <c r="IZ108">
        <v>2.7087400000000001</v>
      </c>
      <c r="JA108">
        <v>1.4514199999999999</v>
      </c>
      <c r="JB108">
        <v>2.2741699999999998</v>
      </c>
      <c r="JC108">
        <v>1.5942400000000001</v>
      </c>
      <c r="JD108">
        <v>2.4133300000000002</v>
      </c>
      <c r="JE108">
        <v>49.420999999999999</v>
      </c>
      <c r="JF108">
        <v>24.262599999999999</v>
      </c>
      <c r="JG108">
        <v>18</v>
      </c>
      <c r="JH108">
        <v>511.56900000000002</v>
      </c>
      <c r="JI108">
        <v>416.28300000000002</v>
      </c>
      <c r="JJ108">
        <v>26.521999999999998</v>
      </c>
      <c r="JK108">
        <v>34.1937</v>
      </c>
      <c r="JL108">
        <v>30.000599999999999</v>
      </c>
      <c r="JM108">
        <v>34.174199999999999</v>
      </c>
      <c r="JN108">
        <v>34.183199999999999</v>
      </c>
      <c r="JO108">
        <v>16.959399999999999</v>
      </c>
      <c r="JP108">
        <v>34.8812</v>
      </c>
      <c r="JQ108">
        <v>0</v>
      </c>
      <c r="JR108">
        <v>26.5397</v>
      </c>
      <c r="JS108">
        <v>300</v>
      </c>
      <c r="JT108">
        <v>20.0505</v>
      </c>
      <c r="JU108">
        <v>98.911000000000001</v>
      </c>
      <c r="JV108">
        <v>98.282200000000003</v>
      </c>
    </row>
    <row r="109" spans="1:282" x14ac:dyDescent="0.25">
      <c r="A109">
        <v>93</v>
      </c>
      <c r="B109">
        <v>1689017995.5</v>
      </c>
      <c r="C109">
        <v>18654.900000095371</v>
      </c>
      <c r="D109" t="s">
        <v>890</v>
      </c>
      <c r="E109" t="s">
        <v>891</v>
      </c>
      <c r="F109" t="s">
        <v>414</v>
      </c>
      <c r="G109" t="s">
        <v>415</v>
      </c>
      <c r="H109" t="s">
        <v>416</v>
      </c>
      <c r="I109" t="s">
        <v>501</v>
      </c>
      <c r="J109" t="s">
        <v>500</v>
      </c>
      <c r="K109">
        <v>1689017995.5</v>
      </c>
      <c r="L109">
        <f t="shared" si="92"/>
        <v>7.2499677640708738E-3</v>
      </c>
      <c r="M109">
        <f t="shared" si="93"/>
        <v>7.249967764070874</v>
      </c>
      <c r="N109">
        <f t="shared" si="94"/>
        <v>33.857649703128644</v>
      </c>
      <c r="O109">
        <f t="shared" si="95"/>
        <v>157.892</v>
      </c>
      <c r="P109">
        <f t="shared" si="96"/>
        <v>42.78088069069701</v>
      </c>
      <c r="Q109">
        <f t="shared" si="97"/>
        <v>4.2452213580129081</v>
      </c>
      <c r="R109">
        <f t="shared" si="98"/>
        <v>15.667898365755999</v>
      </c>
      <c r="S109">
        <f t="shared" si="99"/>
        <v>0.52145005711488757</v>
      </c>
      <c r="T109">
        <f t="shared" si="100"/>
        <v>2.90889149342259</v>
      </c>
      <c r="U109">
        <f t="shared" si="101"/>
        <v>0.4745397134615692</v>
      </c>
      <c r="V109">
        <f t="shared" si="102"/>
        <v>0.3004495644618318</v>
      </c>
      <c r="W109">
        <f t="shared" si="103"/>
        <v>289.60114501270755</v>
      </c>
      <c r="X109">
        <f t="shared" si="104"/>
        <v>29.896271143304894</v>
      </c>
      <c r="Y109">
        <f t="shared" si="105"/>
        <v>29.988199999999999</v>
      </c>
      <c r="Z109">
        <f t="shared" si="106"/>
        <v>4.2575629675634321</v>
      </c>
      <c r="AA109">
        <f t="shared" si="107"/>
        <v>65.331664844561175</v>
      </c>
      <c r="AB109">
        <f t="shared" si="108"/>
        <v>2.7953879698329001</v>
      </c>
      <c r="AC109">
        <f t="shared" si="109"/>
        <v>4.2787643273499318</v>
      </c>
      <c r="AD109">
        <f t="shared" si="110"/>
        <v>1.4621749977305321</v>
      </c>
      <c r="AE109">
        <f t="shared" si="111"/>
        <v>-319.72357839552552</v>
      </c>
      <c r="AF109">
        <f t="shared" si="112"/>
        <v>13.565289683729128</v>
      </c>
      <c r="AG109">
        <f t="shared" si="113"/>
        <v>1.0372319340447684</v>
      </c>
      <c r="AH109">
        <f t="shared" si="114"/>
        <v>-15.519911765044077</v>
      </c>
      <c r="AI109">
        <v>0</v>
      </c>
      <c r="AJ109">
        <v>0</v>
      </c>
      <c r="AK109">
        <f t="shared" si="115"/>
        <v>1</v>
      </c>
      <c r="AL109">
        <f t="shared" si="116"/>
        <v>0</v>
      </c>
      <c r="AM109">
        <f t="shared" si="117"/>
        <v>51733.23245803031</v>
      </c>
      <c r="AN109" t="s">
        <v>418</v>
      </c>
      <c r="AO109">
        <v>8197.4</v>
      </c>
      <c r="AP109">
        <v>619.92999999999995</v>
      </c>
      <c r="AQ109">
        <v>3131.443117258741</v>
      </c>
      <c r="AR109">
        <f t="shared" si="118"/>
        <v>0.80203057287443702</v>
      </c>
      <c r="AS109">
        <v>-1.0448500102641549</v>
      </c>
      <c r="AT109" t="s">
        <v>892</v>
      </c>
      <c r="AU109">
        <v>8179.57</v>
      </c>
      <c r="AV109">
        <v>738.52738461538479</v>
      </c>
      <c r="AW109">
        <v>1003.325406380342</v>
      </c>
      <c r="AX109">
        <f t="shared" si="119"/>
        <v>0.26392037925189071</v>
      </c>
      <c r="AY109">
        <v>0.5</v>
      </c>
      <c r="AZ109">
        <f t="shared" si="120"/>
        <v>1513.3617000065842</v>
      </c>
      <c r="BA109">
        <f t="shared" si="121"/>
        <v>33.857649703128644</v>
      </c>
      <c r="BB109">
        <f t="shared" si="122"/>
        <v>199.70349690551188</v>
      </c>
      <c r="BC109">
        <f t="shared" si="123"/>
        <v>2.3062893499446267E-2</v>
      </c>
      <c r="BD109">
        <f t="shared" si="124"/>
        <v>2.1210643100885149</v>
      </c>
      <c r="BE109">
        <f t="shared" si="125"/>
        <v>436.59935912172972</v>
      </c>
      <c r="BF109" t="s">
        <v>893</v>
      </c>
      <c r="BG109">
        <v>593.38</v>
      </c>
      <c r="BH109">
        <f t="shared" si="126"/>
        <v>593.38</v>
      </c>
      <c r="BI109">
        <f t="shared" si="127"/>
        <v>0.40858668959583722</v>
      </c>
      <c r="BJ109">
        <f t="shared" si="128"/>
        <v>0.64593484313684701</v>
      </c>
      <c r="BK109">
        <f t="shared" si="129"/>
        <v>0.83848100404094472</v>
      </c>
      <c r="BL109">
        <f t="shared" si="130"/>
        <v>0.69066560881605354</v>
      </c>
      <c r="BM109">
        <f t="shared" si="131"/>
        <v>0.84734485209505517</v>
      </c>
      <c r="BN109">
        <f t="shared" si="132"/>
        <v>0.51898524713494798</v>
      </c>
      <c r="BO109">
        <f t="shared" si="133"/>
        <v>0.48101475286505202</v>
      </c>
      <c r="BP109">
        <v>13754</v>
      </c>
      <c r="BQ109">
        <v>290.00000000000011</v>
      </c>
      <c r="BR109">
        <v>922.68</v>
      </c>
      <c r="BS109">
        <v>275</v>
      </c>
      <c r="BT109">
        <v>8179.57</v>
      </c>
      <c r="BU109">
        <v>924.41</v>
      </c>
      <c r="BV109">
        <v>-1.73</v>
      </c>
      <c r="BW109">
        <v>300.00000000000011</v>
      </c>
      <c r="BX109">
        <v>19.3</v>
      </c>
      <c r="BY109">
        <v>1003.325406380342</v>
      </c>
      <c r="BZ109">
        <v>3.4065105567355638</v>
      </c>
      <c r="CA109">
        <v>-64.546752798649223</v>
      </c>
      <c r="CB109">
        <v>2.5586404946433481</v>
      </c>
      <c r="CC109">
        <v>0.95785672105312569</v>
      </c>
      <c r="CD109">
        <v>-4.2353946607341496E-3</v>
      </c>
      <c r="CE109">
        <v>289.99999999999989</v>
      </c>
      <c r="CF109">
        <v>920.6</v>
      </c>
      <c r="CG109">
        <v>635</v>
      </c>
      <c r="CH109">
        <v>8169</v>
      </c>
      <c r="CI109">
        <v>924.31</v>
      </c>
      <c r="CJ109">
        <v>-3.71</v>
      </c>
      <c r="CX109">
        <f t="shared" si="134"/>
        <v>1800.21</v>
      </c>
      <c r="CY109">
        <f t="shared" si="135"/>
        <v>1513.3617000065842</v>
      </c>
      <c r="CZ109">
        <f t="shared" si="136"/>
        <v>0.8406584231876193</v>
      </c>
      <c r="DA109">
        <f t="shared" si="137"/>
        <v>0.16087075675210533</v>
      </c>
      <c r="DB109">
        <v>6</v>
      </c>
      <c r="DC109">
        <v>0.5</v>
      </c>
      <c r="DD109" t="s">
        <v>421</v>
      </c>
      <c r="DE109">
        <v>2</v>
      </c>
      <c r="DF109">
        <v>1689017995.5</v>
      </c>
      <c r="DG109">
        <v>157.892</v>
      </c>
      <c r="DH109">
        <v>199.88399999999999</v>
      </c>
      <c r="DI109">
        <v>28.170300000000001</v>
      </c>
      <c r="DJ109">
        <v>19.717600000000001</v>
      </c>
      <c r="DK109">
        <v>158.19499999999999</v>
      </c>
      <c r="DL109">
        <v>28.035699999999999</v>
      </c>
      <c r="DM109">
        <v>500.12900000000002</v>
      </c>
      <c r="DN109">
        <v>99.130600000000001</v>
      </c>
      <c r="DO109">
        <v>0.101143</v>
      </c>
      <c r="DP109">
        <v>30.0747</v>
      </c>
      <c r="DQ109">
        <v>29.988199999999999</v>
      </c>
      <c r="DR109">
        <v>999.9</v>
      </c>
      <c r="DS109">
        <v>0</v>
      </c>
      <c r="DT109">
        <v>0</v>
      </c>
      <c r="DU109">
        <v>9969.3799999999992</v>
      </c>
      <c r="DV109">
        <v>0</v>
      </c>
      <c r="DW109">
        <v>1839.49</v>
      </c>
      <c r="DX109">
        <v>-41.9923</v>
      </c>
      <c r="DY109">
        <v>162.46799999999999</v>
      </c>
      <c r="DZ109">
        <v>203.904</v>
      </c>
      <c r="EA109">
        <v>8.4526299999999992</v>
      </c>
      <c r="EB109">
        <v>199.88399999999999</v>
      </c>
      <c r="EC109">
        <v>19.717600000000001</v>
      </c>
      <c r="ED109">
        <v>2.7925300000000002</v>
      </c>
      <c r="EE109">
        <v>1.95462</v>
      </c>
      <c r="EF109">
        <v>22.84</v>
      </c>
      <c r="EG109">
        <v>17.081499999999998</v>
      </c>
      <c r="EH109">
        <v>1800.21</v>
      </c>
      <c r="EI109">
        <v>0.97799400000000003</v>
      </c>
      <c r="EJ109">
        <v>2.2006000000000001E-2</v>
      </c>
      <c r="EK109">
        <v>0</v>
      </c>
      <c r="EL109">
        <v>737.846</v>
      </c>
      <c r="EM109">
        <v>4.9999900000000004</v>
      </c>
      <c r="EN109">
        <v>19514.7</v>
      </c>
      <c r="EO109">
        <v>15865.7</v>
      </c>
      <c r="EP109">
        <v>48.561999999999998</v>
      </c>
      <c r="EQ109">
        <v>50.186999999999998</v>
      </c>
      <c r="ER109">
        <v>49.186999999999998</v>
      </c>
      <c r="ES109">
        <v>49.75</v>
      </c>
      <c r="ET109">
        <v>50.375</v>
      </c>
      <c r="EU109">
        <v>1755.7</v>
      </c>
      <c r="EV109">
        <v>39.51</v>
      </c>
      <c r="EW109">
        <v>0</v>
      </c>
      <c r="EX109">
        <v>133.20000004768369</v>
      </c>
      <c r="EY109">
        <v>0</v>
      </c>
      <c r="EZ109">
        <v>738.52738461538479</v>
      </c>
      <c r="FA109">
        <v>-5.6068375947845714</v>
      </c>
      <c r="FB109">
        <v>-116.9094014335126</v>
      </c>
      <c r="FC109">
        <v>19518.415384615389</v>
      </c>
      <c r="FD109">
        <v>15</v>
      </c>
      <c r="FE109">
        <v>1689017955</v>
      </c>
      <c r="FF109" t="s">
        <v>894</v>
      </c>
      <c r="FG109">
        <v>1689017947</v>
      </c>
      <c r="FH109">
        <v>1689017955</v>
      </c>
      <c r="FI109">
        <v>104</v>
      </c>
      <c r="FJ109">
        <v>-0.122</v>
      </c>
      <c r="FK109">
        <v>2E-3</v>
      </c>
      <c r="FL109">
        <v>-0.30399999999999999</v>
      </c>
      <c r="FM109">
        <v>9.4E-2</v>
      </c>
      <c r="FN109">
        <v>200</v>
      </c>
      <c r="FO109">
        <v>20</v>
      </c>
      <c r="FP109">
        <v>0.04</v>
      </c>
      <c r="FQ109">
        <v>0.01</v>
      </c>
      <c r="FR109">
        <v>33.707070341057808</v>
      </c>
      <c r="FS109">
        <v>-0.28539061312143399</v>
      </c>
      <c r="FT109">
        <v>7.9417942249625964E-2</v>
      </c>
      <c r="FU109">
        <v>1</v>
      </c>
      <c r="FV109">
        <v>0.52325735613107671</v>
      </c>
      <c r="FW109">
        <v>-2.5930654711866469E-2</v>
      </c>
      <c r="FX109">
        <v>1.9476779327775029E-3</v>
      </c>
      <c r="FY109">
        <v>1</v>
      </c>
      <c r="FZ109">
        <v>2</v>
      </c>
      <c r="GA109">
        <v>2</v>
      </c>
      <c r="GB109" t="s">
        <v>423</v>
      </c>
      <c r="GC109">
        <v>2.95749</v>
      </c>
      <c r="GD109">
        <v>2.74411</v>
      </c>
      <c r="GE109">
        <v>4.0702599999999999E-2</v>
      </c>
      <c r="GF109">
        <v>5.0055700000000002E-2</v>
      </c>
      <c r="GG109">
        <v>0.12895100000000001</v>
      </c>
      <c r="GH109">
        <v>0.100007</v>
      </c>
      <c r="GI109">
        <v>22487.5</v>
      </c>
      <c r="GJ109">
        <v>20739.8</v>
      </c>
      <c r="GK109">
        <v>23377.3</v>
      </c>
      <c r="GL109">
        <v>21884.2</v>
      </c>
      <c r="GM109">
        <v>28721.200000000001</v>
      </c>
      <c r="GN109">
        <v>27492.2</v>
      </c>
      <c r="GO109">
        <v>36889.4</v>
      </c>
      <c r="GP109">
        <v>34062.5</v>
      </c>
      <c r="GQ109">
        <v>1.98773</v>
      </c>
      <c r="GR109">
        <v>1.7839799999999999</v>
      </c>
      <c r="GS109">
        <v>-3.3237000000000003E-2</v>
      </c>
      <c r="GT109">
        <v>0</v>
      </c>
      <c r="GU109">
        <v>30.5288</v>
      </c>
      <c r="GV109">
        <v>999.9</v>
      </c>
      <c r="GW109">
        <v>26.6</v>
      </c>
      <c r="GX109">
        <v>48.1</v>
      </c>
      <c r="GY109">
        <v>30.292999999999999</v>
      </c>
      <c r="GZ109">
        <v>60.223500000000001</v>
      </c>
      <c r="HA109">
        <v>39.222799999999999</v>
      </c>
      <c r="HB109">
        <v>1</v>
      </c>
      <c r="HC109">
        <v>0.59290100000000001</v>
      </c>
      <c r="HD109">
        <v>3.1059100000000002</v>
      </c>
      <c r="HE109">
        <v>20.0822</v>
      </c>
      <c r="HF109">
        <v>5.26356</v>
      </c>
      <c r="HG109">
        <v>11.962</v>
      </c>
      <c r="HH109">
        <v>4.9797000000000002</v>
      </c>
      <c r="HI109">
        <v>3.298</v>
      </c>
      <c r="HJ109">
        <v>9999</v>
      </c>
      <c r="HK109">
        <v>9999</v>
      </c>
      <c r="HL109">
        <v>9999</v>
      </c>
      <c r="HM109">
        <v>999.9</v>
      </c>
      <c r="HN109">
        <v>1.86419</v>
      </c>
      <c r="HO109">
        <v>1.86025</v>
      </c>
      <c r="HP109">
        <v>1.8667800000000001</v>
      </c>
      <c r="HQ109">
        <v>1.8635600000000001</v>
      </c>
      <c r="HR109">
        <v>1.8621799999999999</v>
      </c>
      <c r="HS109">
        <v>1.8621799999999999</v>
      </c>
      <c r="HT109">
        <v>1.8634599999999999</v>
      </c>
      <c r="HU109">
        <v>1.8647800000000001</v>
      </c>
      <c r="HV109">
        <v>0</v>
      </c>
      <c r="HW109">
        <v>0</v>
      </c>
      <c r="HX109">
        <v>0</v>
      </c>
      <c r="HY109">
        <v>0</v>
      </c>
      <c r="HZ109" t="s">
        <v>424</v>
      </c>
      <c r="IA109" t="s">
        <v>425</v>
      </c>
      <c r="IB109" t="s">
        <v>426</v>
      </c>
      <c r="IC109" t="s">
        <v>426</v>
      </c>
      <c r="ID109" t="s">
        <v>426</v>
      </c>
      <c r="IE109" t="s">
        <v>426</v>
      </c>
      <c r="IF109">
        <v>0</v>
      </c>
      <c r="IG109">
        <v>100</v>
      </c>
      <c r="IH109">
        <v>100</v>
      </c>
      <c r="II109">
        <v>-0.30299999999999999</v>
      </c>
      <c r="IJ109">
        <v>0.1346</v>
      </c>
      <c r="IK109">
        <v>-0.29610197843959318</v>
      </c>
      <c r="IL109">
        <v>-8.3322953065825546E-5</v>
      </c>
      <c r="IM109">
        <v>2.3872336679552741E-7</v>
      </c>
      <c r="IN109">
        <v>-5.428329794194132E-11</v>
      </c>
      <c r="IO109">
        <v>0.13454067543650669</v>
      </c>
      <c r="IP109">
        <v>0</v>
      </c>
      <c r="IQ109">
        <v>0</v>
      </c>
      <c r="IR109">
        <v>0</v>
      </c>
      <c r="IS109">
        <v>2</v>
      </c>
      <c r="IT109">
        <v>2035</v>
      </c>
      <c r="IU109">
        <v>1</v>
      </c>
      <c r="IV109">
        <v>21</v>
      </c>
      <c r="IW109">
        <v>0.8</v>
      </c>
      <c r="IX109">
        <v>0.7</v>
      </c>
      <c r="IY109">
        <v>0.618896</v>
      </c>
      <c r="IZ109">
        <v>2.7160600000000001</v>
      </c>
      <c r="JA109">
        <v>1.4526399999999999</v>
      </c>
      <c r="JB109">
        <v>2.2753899999999998</v>
      </c>
      <c r="JC109">
        <v>1.5942400000000001</v>
      </c>
      <c r="JD109">
        <v>2.34131</v>
      </c>
      <c r="JE109">
        <v>49.674399999999999</v>
      </c>
      <c r="JF109">
        <v>24.262599999999999</v>
      </c>
      <c r="JG109">
        <v>18</v>
      </c>
      <c r="JH109">
        <v>512.05499999999995</v>
      </c>
      <c r="JI109">
        <v>413.923</v>
      </c>
      <c r="JJ109">
        <v>26.793199999999999</v>
      </c>
      <c r="JK109">
        <v>34.353999999999999</v>
      </c>
      <c r="JL109">
        <v>30.0002</v>
      </c>
      <c r="JM109">
        <v>34.315199999999997</v>
      </c>
      <c r="JN109">
        <v>34.318600000000004</v>
      </c>
      <c r="JO109">
        <v>12.342499999999999</v>
      </c>
      <c r="JP109">
        <v>38.516199999999998</v>
      </c>
      <c r="JQ109">
        <v>0</v>
      </c>
      <c r="JR109">
        <v>26.8263</v>
      </c>
      <c r="JS109">
        <v>200</v>
      </c>
      <c r="JT109">
        <v>19.593800000000002</v>
      </c>
      <c r="JU109">
        <v>98.870500000000007</v>
      </c>
      <c r="JV109">
        <v>98.242500000000007</v>
      </c>
    </row>
    <row r="110" spans="1:282" x14ac:dyDescent="0.25">
      <c r="A110">
        <v>94</v>
      </c>
      <c r="B110">
        <v>1689018129</v>
      </c>
      <c r="C110">
        <v>18788.400000095371</v>
      </c>
      <c r="D110" t="s">
        <v>895</v>
      </c>
      <c r="E110" t="s">
        <v>896</v>
      </c>
      <c r="F110" t="s">
        <v>414</v>
      </c>
      <c r="G110" t="s">
        <v>415</v>
      </c>
      <c r="H110" t="s">
        <v>416</v>
      </c>
      <c r="I110" t="s">
        <v>501</v>
      </c>
      <c r="J110" t="s">
        <v>500</v>
      </c>
      <c r="K110">
        <v>1689018129</v>
      </c>
      <c r="L110">
        <f t="shared" si="92"/>
        <v>7.6121557874468159E-3</v>
      </c>
      <c r="M110">
        <f t="shared" si="93"/>
        <v>7.6121557874468158</v>
      </c>
      <c r="N110">
        <f t="shared" si="94"/>
        <v>21.074154089096911</v>
      </c>
      <c r="O110">
        <f t="shared" si="95"/>
        <v>93.725800000000007</v>
      </c>
      <c r="P110">
        <f t="shared" si="96"/>
        <v>26.208192314917476</v>
      </c>
      <c r="Q110">
        <f t="shared" si="97"/>
        <v>2.6007339281064024</v>
      </c>
      <c r="R110">
        <f t="shared" si="98"/>
        <v>9.3007508900250002</v>
      </c>
      <c r="S110">
        <f t="shared" si="99"/>
        <v>0.55624086200152512</v>
      </c>
      <c r="T110">
        <f t="shared" si="100"/>
        <v>2.9138653289860676</v>
      </c>
      <c r="U110">
        <f t="shared" si="101"/>
        <v>0.50328378363225823</v>
      </c>
      <c r="V110">
        <f t="shared" si="102"/>
        <v>0.31888914527861345</v>
      </c>
      <c r="W110">
        <f t="shared" si="103"/>
        <v>289.56124501270932</v>
      </c>
      <c r="X110">
        <f t="shared" si="104"/>
        <v>29.799255352024879</v>
      </c>
      <c r="Y110">
        <f t="shared" si="105"/>
        <v>29.946200000000001</v>
      </c>
      <c r="Z110">
        <f t="shared" si="106"/>
        <v>4.2473017268425561</v>
      </c>
      <c r="AA110">
        <f t="shared" si="107"/>
        <v>65.441933387674965</v>
      </c>
      <c r="AB110">
        <f t="shared" si="108"/>
        <v>2.7996881854874998</v>
      </c>
      <c r="AC110">
        <f t="shared" si="109"/>
        <v>4.2781257223900724</v>
      </c>
      <c r="AD110">
        <f t="shared" si="110"/>
        <v>1.4476135413550564</v>
      </c>
      <c r="AE110">
        <f t="shared" si="111"/>
        <v>-335.69607022640457</v>
      </c>
      <c r="AF110">
        <f t="shared" si="112"/>
        <v>19.777921528891451</v>
      </c>
      <c r="AG110">
        <f t="shared" si="113"/>
        <v>1.5093488543320677</v>
      </c>
      <c r="AH110">
        <f t="shared" si="114"/>
        <v>-24.847554830471726</v>
      </c>
      <c r="AI110">
        <v>0</v>
      </c>
      <c r="AJ110">
        <v>0</v>
      </c>
      <c r="AK110">
        <f t="shared" si="115"/>
        <v>1</v>
      </c>
      <c r="AL110">
        <f t="shared" si="116"/>
        <v>0</v>
      </c>
      <c r="AM110">
        <f t="shared" si="117"/>
        <v>51875.149450127414</v>
      </c>
      <c r="AN110" t="s">
        <v>418</v>
      </c>
      <c r="AO110">
        <v>8197.4</v>
      </c>
      <c r="AP110">
        <v>619.92999999999995</v>
      </c>
      <c r="AQ110">
        <v>3131.443117258741</v>
      </c>
      <c r="AR110">
        <f t="shared" si="118"/>
        <v>0.80203057287443702</v>
      </c>
      <c r="AS110">
        <v>-1.0448500102641549</v>
      </c>
      <c r="AT110" t="s">
        <v>897</v>
      </c>
      <c r="AU110">
        <v>8178.77</v>
      </c>
      <c r="AV110">
        <v>736.16140000000019</v>
      </c>
      <c r="AW110">
        <v>893.77569915864342</v>
      </c>
      <c r="AX110">
        <f t="shared" si="119"/>
        <v>0.17634659267086095</v>
      </c>
      <c r="AY110">
        <v>0.5</v>
      </c>
      <c r="AZ110">
        <f t="shared" si="120"/>
        <v>1513.1517000065849</v>
      </c>
      <c r="BA110">
        <f t="shared" si="121"/>
        <v>21.074154089096911</v>
      </c>
      <c r="BB110">
        <f t="shared" si="122"/>
        <v>133.41957324514101</v>
      </c>
      <c r="BC110">
        <f t="shared" si="123"/>
        <v>1.4617836466274209E-2</v>
      </c>
      <c r="BD110">
        <f t="shared" si="124"/>
        <v>2.503611834833424</v>
      </c>
      <c r="BE110">
        <f t="shared" si="125"/>
        <v>414.4918429594868</v>
      </c>
      <c r="BF110" t="s">
        <v>898</v>
      </c>
      <c r="BG110">
        <v>598.57000000000005</v>
      </c>
      <c r="BH110">
        <f t="shared" si="126"/>
        <v>598.57000000000005</v>
      </c>
      <c r="BI110">
        <f t="shared" si="127"/>
        <v>0.33029058569900205</v>
      </c>
      <c r="BJ110">
        <f t="shared" si="128"/>
        <v>0.53391346985459587</v>
      </c>
      <c r="BK110">
        <f t="shared" si="129"/>
        <v>0.88345026162299978</v>
      </c>
      <c r="BL110">
        <f t="shared" si="130"/>
        <v>0.57555878965013285</v>
      </c>
      <c r="BM110">
        <f t="shared" si="131"/>
        <v>0.89096385868868566</v>
      </c>
      <c r="BN110">
        <f t="shared" si="132"/>
        <v>0.43412298668588895</v>
      </c>
      <c r="BO110">
        <f t="shared" si="133"/>
        <v>0.56587701331411111</v>
      </c>
      <c r="BP110">
        <v>13756</v>
      </c>
      <c r="BQ110">
        <v>290.00000000000011</v>
      </c>
      <c r="BR110">
        <v>840.6</v>
      </c>
      <c r="BS110">
        <v>275</v>
      </c>
      <c r="BT110">
        <v>8178.77</v>
      </c>
      <c r="BU110">
        <v>841.51</v>
      </c>
      <c r="BV110">
        <v>-0.91</v>
      </c>
      <c r="BW110">
        <v>300.00000000000011</v>
      </c>
      <c r="BX110">
        <v>19.3</v>
      </c>
      <c r="BY110">
        <v>893.77569915864342</v>
      </c>
      <c r="BZ110">
        <v>2.6857208961641148</v>
      </c>
      <c r="CA110">
        <v>-42.748554954022453</v>
      </c>
      <c r="CB110">
        <v>2.017056052387403</v>
      </c>
      <c r="CC110">
        <v>0.94132022014506478</v>
      </c>
      <c r="CD110">
        <v>-4.234895661846501E-3</v>
      </c>
      <c r="CE110">
        <v>289.99999999999989</v>
      </c>
      <c r="CF110">
        <v>837.4</v>
      </c>
      <c r="CG110">
        <v>695</v>
      </c>
      <c r="CH110">
        <v>8166.29</v>
      </c>
      <c r="CI110">
        <v>841.43</v>
      </c>
      <c r="CJ110">
        <v>-4.03</v>
      </c>
      <c r="CX110">
        <f t="shared" si="134"/>
        <v>1799.96</v>
      </c>
      <c r="CY110">
        <f t="shared" si="135"/>
        <v>1513.1517000065849</v>
      </c>
      <c r="CZ110">
        <f t="shared" si="136"/>
        <v>0.84065851463731689</v>
      </c>
      <c r="DA110">
        <f t="shared" si="137"/>
        <v>0.16087093325002183</v>
      </c>
      <c r="DB110">
        <v>6</v>
      </c>
      <c r="DC110">
        <v>0.5</v>
      </c>
      <c r="DD110" t="s">
        <v>421</v>
      </c>
      <c r="DE110">
        <v>2</v>
      </c>
      <c r="DF110">
        <v>1689018129</v>
      </c>
      <c r="DG110">
        <v>93.725800000000007</v>
      </c>
      <c r="DH110">
        <v>119.861</v>
      </c>
      <c r="DI110">
        <v>28.213100000000001</v>
      </c>
      <c r="DJ110">
        <v>19.339600000000001</v>
      </c>
      <c r="DK110">
        <v>93.964799999999997</v>
      </c>
      <c r="DL110">
        <v>28.083200000000001</v>
      </c>
      <c r="DM110">
        <v>500.19</v>
      </c>
      <c r="DN110">
        <v>99.133399999999995</v>
      </c>
      <c r="DO110">
        <v>0.10022499999999999</v>
      </c>
      <c r="DP110">
        <v>30.072099999999999</v>
      </c>
      <c r="DQ110">
        <v>29.946200000000001</v>
      </c>
      <c r="DR110">
        <v>999.9</v>
      </c>
      <c r="DS110">
        <v>0</v>
      </c>
      <c r="DT110">
        <v>0</v>
      </c>
      <c r="DU110">
        <v>9997.5</v>
      </c>
      <c r="DV110">
        <v>0</v>
      </c>
      <c r="DW110">
        <v>1811.1</v>
      </c>
      <c r="DX110">
        <v>-26.135400000000001</v>
      </c>
      <c r="DY110">
        <v>96.446899999999999</v>
      </c>
      <c r="DZ110">
        <v>122.22499999999999</v>
      </c>
      <c r="EA110">
        <v>8.8735199999999992</v>
      </c>
      <c r="EB110">
        <v>119.861</v>
      </c>
      <c r="EC110">
        <v>19.339600000000001</v>
      </c>
      <c r="ED110">
        <v>2.7968600000000001</v>
      </c>
      <c r="EE110">
        <v>1.9172</v>
      </c>
      <c r="EF110">
        <v>22.865600000000001</v>
      </c>
      <c r="EG110">
        <v>16.776599999999998</v>
      </c>
      <c r="EH110">
        <v>1799.96</v>
      </c>
      <c r="EI110">
        <v>0.97799100000000005</v>
      </c>
      <c r="EJ110">
        <v>2.20092E-2</v>
      </c>
      <c r="EK110">
        <v>0</v>
      </c>
      <c r="EL110">
        <v>735.096</v>
      </c>
      <c r="EM110">
        <v>4.9999900000000004</v>
      </c>
      <c r="EN110">
        <v>19537.900000000001</v>
      </c>
      <c r="EO110">
        <v>15863.4</v>
      </c>
      <c r="EP110">
        <v>48.686999999999998</v>
      </c>
      <c r="EQ110">
        <v>50.25</v>
      </c>
      <c r="ER110">
        <v>49.311999999999998</v>
      </c>
      <c r="ES110">
        <v>49.75</v>
      </c>
      <c r="ET110">
        <v>50.436999999999998</v>
      </c>
      <c r="EU110">
        <v>1755.45</v>
      </c>
      <c r="EV110">
        <v>39.51</v>
      </c>
      <c r="EW110">
        <v>0</v>
      </c>
      <c r="EX110">
        <v>131.4000000953674</v>
      </c>
      <c r="EY110">
        <v>0</v>
      </c>
      <c r="EZ110">
        <v>736.16140000000019</v>
      </c>
      <c r="FA110">
        <v>-4.4840769189621774</v>
      </c>
      <c r="FB110">
        <v>798.60769178437351</v>
      </c>
      <c r="FC110">
        <v>19462.8</v>
      </c>
      <c r="FD110">
        <v>15</v>
      </c>
      <c r="FE110">
        <v>1689018089.5</v>
      </c>
      <c r="FF110" t="s">
        <v>899</v>
      </c>
      <c r="FG110">
        <v>1689018076.5</v>
      </c>
      <c r="FH110">
        <v>1689018089.5</v>
      </c>
      <c r="FI110">
        <v>105</v>
      </c>
      <c r="FJ110">
        <v>6.3E-2</v>
      </c>
      <c r="FK110">
        <v>-5.0000000000000001E-3</v>
      </c>
      <c r="FL110">
        <v>-0.24</v>
      </c>
      <c r="FM110">
        <v>8.2000000000000003E-2</v>
      </c>
      <c r="FN110">
        <v>120</v>
      </c>
      <c r="FO110">
        <v>20</v>
      </c>
      <c r="FP110">
        <v>0.03</v>
      </c>
      <c r="FQ110">
        <v>0.01</v>
      </c>
      <c r="FR110">
        <v>20.936809700096191</v>
      </c>
      <c r="FS110">
        <v>-0.307658352871233</v>
      </c>
      <c r="FT110">
        <v>6.9094037902393005E-2</v>
      </c>
      <c r="FU110">
        <v>1</v>
      </c>
      <c r="FV110">
        <v>0.56048503284384543</v>
      </c>
      <c r="FW110">
        <v>-4.3117164855836908E-2</v>
      </c>
      <c r="FX110">
        <v>3.3154250567675641E-3</v>
      </c>
      <c r="FY110">
        <v>1</v>
      </c>
      <c r="FZ110">
        <v>2</v>
      </c>
      <c r="GA110">
        <v>2</v>
      </c>
      <c r="GB110" t="s">
        <v>423</v>
      </c>
      <c r="GC110">
        <v>2.9575100000000001</v>
      </c>
      <c r="GD110">
        <v>2.74343</v>
      </c>
      <c r="GE110">
        <v>2.5102599999999999E-2</v>
      </c>
      <c r="GF110">
        <v>3.15188E-2</v>
      </c>
      <c r="GG110">
        <v>0.12907199999999999</v>
      </c>
      <c r="GH110">
        <v>9.8627300000000001E-2</v>
      </c>
      <c r="GI110">
        <v>22846.3</v>
      </c>
      <c r="GJ110">
        <v>21138.400000000001</v>
      </c>
      <c r="GK110">
        <v>23371.3</v>
      </c>
      <c r="GL110">
        <v>21878.799999999999</v>
      </c>
      <c r="GM110">
        <v>28709.1</v>
      </c>
      <c r="GN110">
        <v>27527.4</v>
      </c>
      <c r="GO110">
        <v>36879.599999999999</v>
      </c>
      <c r="GP110">
        <v>34054.800000000003</v>
      </c>
      <c r="GQ110">
        <v>1.9869000000000001</v>
      </c>
      <c r="GR110">
        <v>1.7797499999999999</v>
      </c>
      <c r="GS110">
        <v>-3.4444000000000002E-2</v>
      </c>
      <c r="GT110">
        <v>0</v>
      </c>
      <c r="GU110">
        <v>30.506499999999999</v>
      </c>
      <c r="GV110">
        <v>999.9</v>
      </c>
      <c r="GW110">
        <v>26.9</v>
      </c>
      <c r="GX110">
        <v>48.2</v>
      </c>
      <c r="GY110">
        <v>30.790600000000001</v>
      </c>
      <c r="GZ110">
        <v>60.323500000000003</v>
      </c>
      <c r="HA110">
        <v>39.154600000000002</v>
      </c>
      <c r="HB110">
        <v>1</v>
      </c>
      <c r="HC110">
        <v>0.60153500000000004</v>
      </c>
      <c r="HD110">
        <v>2.7968000000000002</v>
      </c>
      <c r="HE110">
        <v>20.087199999999999</v>
      </c>
      <c r="HF110">
        <v>5.2632599999999998</v>
      </c>
      <c r="HG110">
        <v>11.962199999999999</v>
      </c>
      <c r="HH110">
        <v>4.9797000000000002</v>
      </c>
      <c r="HI110">
        <v>3.2979799999999999</v>
      </c>
      <c r="HJ110">
        <v>9999</v>
      </c>
      <c r="HK110">
        <v>9999</v>
      </c>
      <c r="HL110">
        <v>9999</v>
      </c>
      <c r="HM110">
        <v>999.9</v>
      </c>
      <c r="HN110">
        <v>1.8642700000000001</v>
      </c>
      <c r="HO110">
        <v>1.8602799999999999</v>
      </c>
      <c r="HP110">
        <v>1.8667800000000001</v>
      </c>
      <c r="HQ110">
        <v>1.8635600000000001</v>
      </c>
      <c r="HR110">
        <v>1.8621799999999999</v>
      </c>
      <c r="HS110">
        <v>1.86219</v>
      </c>
      <c r="HT110">
        <v>1.86344</v>
      </c>
      <c r="HU110">
        <v>1.8647800000000001</v>
      </c>
      <c r="HV110">
        <v>0</v>
      </c>
      <c r="HW110">
        <v>0</v>
      </c>
      <c r="HX110">
        <v>0</v>
      </c>
      <c r="HY110">
        <v>0</v>
      </c>
      <c r="HZ110" t="s">
        <v>424</v>
      </c>
      <c r="IA110" t="s">
        <v>425</v>
      </c>
      <c r="IB110" t="s">
        <v>426</v>
      </c>
      <c r="IC110" t="s">
        <v>426</v>
      </c>
      <c r="ID110" t="s">
        <v>426</v>
      </c>
      <c r="IE110" t="s">
        <v>426</v>
      </c>
      <c r="IF110">
        <v>0</v>
      </c>
      <c r="IG110">
        <v>100</v>
      </c>
      <c r="IH110">
        <v>100</v>
      </c>
      <c r="II110">
        <v>-0.23899999999999999</v>
      </c>
      <c r="IJ110">
        <v>0.12989999999999999</v>
      </c>
      <c r="IK110">
        <v>-0.23323727560682439</v>
      </c>
      <c r="IL110">
        <v>-8.3322953065825546E-5</v>
      </c>
      <c r="IM110">
        <v>2.3872336679552741E-7</v>
      </c>
      <c r="IN110">
        <v>-5.428329794194132E-11</v>
      </c>
      <c r="IO110">
        <v>0.12985396294908819</v>
      </c>
      <c r="IP110">
        <v>0</v>
      </c>
      <c r="IQ110">
        <v>0</v>
      </c>
      <c r="IR110">
        <v>0</v>
      </c>
      <c r="IS110">
        <v>2</v>
      </c>
      <c r="IT110">
        <v>2035</v>
      </c>
      <c r="IU110">
        <v>1</v>
      </c>
      <c r="IV110">
        <v>21</v>
      </c>
      <c r="IW110">
        <v>0.9</v>
      </c>
      <c r="IX110">
        <v>0.7</v>
      </c>
      <c r="IY110">
        <v>0.42846699999999999</v>
      </c>
      <c r="IZ110">
        <v>2.7282700000000002</v>
      </c>
      <c r="JA110">
        <v>1.4514199999999999</v>
      </c>
      <c r="JB110">
        <v>2.2753899999999998</v>
      </c>
      <c r="JC110">
        <v>1.5942400000000001</v>
      </c>
      <c r="JD110">
        <v>2.4182100000000002</v>
      </c>
      <c r="JE110">
        <v>49.929600000000001</v>
      </c>
      <c r="JF110">
        <v>24.262599999999999</v>
      </c>
      <c r="JG110">
        <v>18</v>
      </c>
      <c r="JH110">
        <v>512.46400000000006</v>
      </c>
      <c r="JI110">
        <v>411.93700000000001</v>
      </c>
      <c r="JJ110">
        <v>26.9999</v>
      </c>
      <c r="JK110">
        <v>34.465899999999998</v>
      </c>
      <c r="JL110">
        <v>30.0001</v>
      </c>
      <c r="JM110">
        <v>34.427900000000001</v>
      </c>
      <c r="JN110">
        <v>34.429900000000004</v>
      </c>
      <c r="JO110">
        <v>8.5320300000000007</v>
      </c>
      <c r="JP110">
        <v>41.103400000000001</v>
      </c>
      <c r="JQ110">
        <v>0</v>
      </c>
      <c r="JR110">
        <v>27.0381</v>
      </c>
      <c r="JS110">
        <v>120</v>
      </c>
      <c r="JT110">
        <v>19.244700000000002</v>
      </c>
      <c r="JU110">
        <v>98.844499999999996</v>
      </c>
      <c r="JV110">
        <v>98.219499999999996</v>
      </c>
    </row>
    <row r="111" spans="1:282" x14ac:dyDescent="0.25">
      <c r="A111">
        <v>95</v>
      </c>
      <c r="B111">
        <v>1689018251</v>
      </c>
      <c r="C111">
        <v>18910.400000095371</v>
      </c>
      <c r="D111" t="s">
        <v>900</v>
      </c>
      <c r="E111" t="s">
        <v>901</v>
      </c>
      <c r="F111" t="s">
        <v>414</v>
      </c>
      <c r="G111" t="s">
        <v>415</v>
      </c>
      <c r="H111" t="s">
        <v>416</v>
      </c>
      <c r="I111" t="s">
        <v>501</v>
      </c>
      <c r="J111" t="s">
        <v>500</v>
      </c>
      <c r="K111">
        <v>1689018251</v>
      </c>
      <c r="L111">
        <f t="shared" si="92"/>
        <v>7.7589753894983906E-3</v>
      </c>
      <c r="M111">
        <f t="shared" si="93"/>
        <v>7.7589753894983904</v>
      </c>
      <c r="N111">
        <f t="shared" si="94"/>
        <v>12.680501111979932</v>
      </c>
      <c r="O111">
        <f t="shared" si="95"/>
        <v>54.161700000000003</v>
      </c>
      <c r="P111">
        <f t="shared" si="96"/>
        <v>14.931854908287795</v>
      </c>
      <c r="Q111">
        <f t="shared" si="97"/>
        <v>1.48174047788311</v>
      </c>
      <c r="R111">
        <f t="shared" si="98"/>
        <v>5.3746559776988994</v>
      </c>
      <c r="S111">
        <f t="shared" si="99"/>
        <v>0.57753879845668998</v>
      </c>
      <c r="T111">
        <f t="shared" si="100"/>
        <v>2.9147329161794562</v>
      </c>
      <c r="U111">
        <f t="shared" si="101"/>
        <v>0.52068545573741243</v>
      </c>
      <c r="V111">
        <f t="shared" si="102"/>
        <v>0.33006882076036176</v>
      </c>
      <c r="W111">
        <f t="shared" si="103"/>
        <v>289.58983201269831</v>
      </c>
      <c r="X111">
        <f t="shared" si="104"/>
        <v>29.890146456293657</v>
      </c>
      <c r="Y111">
        <f t="shared" si="105"/>
        <v>29.944299999999998</v>
      </c>
      <c r="Z111">
        <f t="shared" si="106"/>
        <v>4.2468380378783284</v>
      </c>
      <c r="AA111">
        <f t="shared" si="107"/>
        <v>65.448883419375008</v>
      </c>
      <c r="AB111">
        <f t="shared" si="108"/>
        <v>2.8207722608351995</v>
      </c>
      <c r="AC111">
        <f t="shared" si="109"/>
        <v>4.3098859957023476</v>
      </c>
      <c r="AD111">
        <f t="shared" si="110"/>
        <v>1.4260657770431289</v>
      </c>
      <c r="AE111">
        <f t="shared" si="111"/>
        <v>-342.17081467687905</v>
      </c>
      <c r="AF111">
        <f t="shared" si="112"/>
        <v>40.337602086813405</v>
      </c>
      <c r="AG111">
        <f t="shared" si="113"/>
        <v>3.0793768237484009</v>
      </c>
      <c r="AH111">
        <f t="shared" si="114"/>
        <v>-9.1640037536189141</v>
      </c>
      <c r="AI111">
        <v>0</v>
      </c>
      <c r="AJ111">
        <v>0</v>
      </c>
      <c r="AK111">
        <f t="shared" si="115"/>
        <v>1</v>
      </c>
      <c r="AL111">
        <f t="shared" si="116"/>
        <v>0</v>
      </c>
      <c r="AM111">
        <f t="shared" si="117"/>
        <v>51877.759238445084</v>
      </c>
      <c r="AN111" t="s">
        <v>418</v>
      </c>
      <c r="AO111">
        <v>8197.4</v>
      </c>
      <c r="AP111">
        <v>619.92999999999995</v>
      </c>
      <c r="AQ111">
        <v>3131.443117258741</v>
      </c>
      <c r="AR111">
        <f t="shared" si="118"/>
        <v>0.80203057287443702</v>
      </c>
      <c r="AS111">
        <v>-1.0448500102641549</v>
      </c>
      <c r="AT111" t="s">
        <v>902</v>
      </c>
      <c r="AU111">
        <v>8190.61</v>
      </c>
      <c r="AV111">
        <v>748.69623076923074</v>
      </c>
      <c r="AW111">
        <v>847.51496631543762</v>
      </c>
      <c r="AX111">
        <f t="shared" si="119"/>
        <v>0.11659821887962674</v>
      </c>
      <c r="AY111">
        <v>0.5</v>
      </c>
      <c r="AZ111">
        <f t="shared" si="120"/>
        <v>1513.3104000065794</v>
      </c>
      <c r="BA111">
        <f t="shared" si="121"/>
        <v>12.680501111979932</v>
      </c>
      <c r="BB111">
        <f t="shared" si="122"/>
        <v>88.224648626391314</v>
      </c>
      <c r="BC111">
        <f t="shared" si="123"/>
        <v>9.0697527236873639E-3</v>
      </c>
      <c r="BD111">
        <f t="shared" si="124"/>
        <v>2.694852883687302</v>
      </c>
      <c r="BE111">
        <f t="shared" si="125"/>
        <v>404.25863308635957</v>
      </c>
      <c r="BF111" t="s">
        <v>903</v>
      </c>
      <c r="BG111">
        <v>623.1</v>
      </c>
      <c r="BH111">
        <f t="shared" si="126"/>
        <v>623.1</v>
      </c>
      <c r="BI111">
        <f t="shared" si="127"/>
        <v>0.26479174437600705</v>
      </c>
      <c r="BJ111">
        <f t="shared" si="128"/>
        <v>0.4403393283819908</v>
      </c>
      <c r="BK111">
        <f t="shared" si="129"/>
        <v>0.9105325883164298</v>
      </c>
      <c r="BL111">
        <f t="shared" si="130"/>
        <v>0.43420590184872748</v>
      </c>
      <c r="BM111">
        <f t="shared" si="131"/>
        <v>0.9093833256328594</v>
      </c>
      <c r="BN111">
        <f t="shared" si="132"/>
        <v>0.36647097212299007</v>
      </c>
      <c r="BO111">
        <f t="shared" si="133"/>
        <v>0.63352902787700993</v>
      </c>
      <c r="BP111">
        <v>13758</v>
      </c>
      <c r="BQ111">
        <v>290.00000000000011</v>
      </c>
      <c r="BR111">
        <v>815</v>
      </c>
      <c r="BS111">
        <v>145</v>
      </c>
      <c r="BT111">
        <v>8190.61</v>
      </c>
      <c r="BU111">
        <v>814.56</v>
      </c>
      <c r="BV111">
        <v>0.44</v>
      </c>
      <c r="BW111">
        <v>300.00000000000011</v>
      </c>
      <c r="BX111">
        <v>19.3</v>
      </c>
      <c r="BY111">
        <v>847.51496631543762</v>
      </c>
      <c r="BZ111">
        <v>2.7996711379698351</v>
      </c>
      <c r="CA111">
        <v>-26.995148284431359</v>
      </c>
      <c r="CB111">
        <v>2.102808328842741</v>
      </c>
      <c r="CC111">
        <v>0.85477602897066207</v>
      </c>
      <c r="CD111">
        <v>-4.2350202447163556E-3</v>
      </c>
      <c r="CE111">
        <v>289.99999999999989</v>
      </c>
      <c r="CF111">
        <v>812.34</v>
      </c>
      <c r="CG111">
        <v>705</v>
      </c>
      <c r="CH111">
        <v>8166.71</v>
      </c>
      <c r="CI111">
        <v>814.46</v>
      </c>
      <c r="CJ111">
        <v>-2.12</v>
      </c>
      <c r="CX111">
        <f t="shared" si="134"/>
        <v>1800.15</v>
      </c>
      <c r="CY111">
        <f t="shared" si="135"/>
        <v>1513.3104000065794</v>
      </c>
      <c r="CZ111">
        <f t="shared" si="136"/>
        <v>0.84065794517489056</v>
      </c>
      <c r="DA111">
        <f t="shared" si="137"/>
        <v>0.16086983418753897</v>
      </c>
      <c r="DB111">
        <v>6</v>
      </c>
      <c r="DC111">
        <v>0.5</v>
      </c>
      <c r="DD111" t="s">
        <v>421</v>
      </c>
      <c r="DE111">
        <v>2</v>
      </c>
      <c r="DF111">
        <v>1689018251</v>
      </c>
      <c r="DG111">
        <v>54.161700000000003</v>
      </c>
      <c r="DH111">
        <v>69.875799999999998</v>
      </c>
      <c r="DI111">
        <v>28.425599999999999</v>
      </c>
      <c r="DJ111">
        <v>19.383400000000002</v>
      </c>
      <c r="DK111">
        <v>54.376199999999997</v>
      </c>
      <c r="DL111">
        <v>28.297699999999999</v>
      </c>
      <c r="DM111">
        <v>500.21600000000001</v>
      </c>
      <c r="DN111">
        <v>99.132999999999996</v>
      </c>
      <c r="DO111">
        <v>0.100517</v>
      </c>
      <c r="DP111">
        <v>30.201000000000001</v>
      </c>
      <c r="DQ111">
        <v>29.944299999999998</v>
      </c>
      <c r="DR111">
        <v>999.9</v>
      </c>
      <c r="DS111">
        <v>0</v>
      </c>
      <c r="DT111">
        <v>0</v>
      </c>
      <c r="DU111">
        <v>10002.5</v>
      </c>
      <c r="DV111">
        <v>0</v>
      </c>
      <c r="DW111">
        <v>1842.97</v>
      </c>
      <c r="DX111">
        <v>-15.714</v>
      </c>
      <c r="DY111">
        <v>55.746400000000001</v>
      </c>
      <c r="DZ111">
        <v>71.257000000000005</v>
      </c>
      <c r="EA111">
        <v>9.0421499999999995</v>
      </c>
      <c r="EB111">
        <v>69.875799999999998</v>
      </c>
      <c r="EC111">
        <v>19.383400000000002</v>
      </c>
      <c r="ED111">
        <v>2.81792</v>
      </c>
      <c r="EE111">
        <v>1.92154</v>
      </c>
      <c r="EF111">
        <v>22.9894</v>
      </c>
      <c r="EG111">
        <v>16.812200000000001</v>
      </c>
      <c r="EH111">
        <v>1800.15</v>
      </c>
      <c r="EI111">
        <v>0.97800900000000002</v>
      </c>
      <c r="EJ111">
        <v>2.1991299999999998E-2</v>
      </c>
      <c r="EK111">
        <v>0</v>
      </c>
      <c r="EL111">
        <v>748.48599999999999</v>
      </c>
      <c r="EM111">
        <v>4.9999900000000004</v>
      </c>
      <c r="EN111">
        <v>19953.400000000001</v>
      </c>
      <c r="EO111">
        <v>15865.2</v>
      </c>
      <c r="EP111">
        <v>48.5</v>
      </c>
      <c r="EQ111">
        <v>50.061999999999998</v>
      </c>
      <c r="ER111">
        <v>49.25</v>
      </c>
      <c r="ES111">
        <v>49.436999999999998</v>
      </c>
      <c r="ET111">
        <v>50.311999999999998</v>
      </c>
      <c r="EU111">
        <v>1755.67</v>
      </c>
      <c r="EV111">
        <v>39.479999999999997</v>
      </c>
      <c r="EW111">
        <v>0</v>
      </c>
      <c r="EX111">
        <v>120.2000000476837</v>
      </c>
      <c r="EY111">
        <v>0</v>
      </c>
      <c r="EZ111">
        <v>748.69623076923074</v>
      </c>
      <c r="FA111">
        <v>-0.52704273417455594</v>
      </c>
      <c r="FB111">
        <v>52.451281654544353</v>
      </c>
      <c r="FC111">
        <v>19910.323076923079</v>
      </c>
      <c r="FD111">
        <v>15</v>
      </c>
      <c r="FE111">
        <v>1689018211</v>
      </c>
      <c r="FF111" t="s">
        <v>904</v>
      </c>
      <c r="FG111">
        <v>1689018195.5</v>
      </c>
      <c r="FH111">
        <v>1689018211</v>
      </c>
      <c r="FI111">
        <v>106</v>
      </c>
      <c r="FJ111">
        <v>2.3E-2</v>
      </c>
      <c r="FK111">
        <v>-2E-3</v>
      </c>
      <c r="FL111">
        <v>-0.215</v>
      </c>
      <c r="FM111">
        <v>6.9000000000000006E-2</v>
      </c>
      <c r="FN111">
        <v>70</v>
      </c>
      <c r="FO111">
        <v>19</v>
      </c>
      <c r="FP111">
        <v>0.12</v>
      </c>
      <c r="FQ111">
        <v>0.01</v>
      </c>
      <c r="FR111">
        <v>12.64758860823383</v>
      </c>
      <c r="FS111">
        <v>-0.48761294904252511</v>
      </c>
      <c r="FT111">
        <v>7.748688223862317E-2</v>
      </c>
      <c r="FU111">
        <v>1</v>
      </c>
      <c r="FV111">
        <v>0.58018348331884007</v>
      </c>
      <c r="FW111">
        <v>-2.575709400169254E-2</v>
      </c>
      <c r="FX111">
        <v>2.0003954314048952E-3</v>
      </c>
      <c r="FY111">
        <v>1</v>
      </c>
      <c r="FZ111">
        <v>2</v>
      </c>
      <c r="GA111">
        <v>2</v>
      </c>
      <c r="GB111" t="s">
        <v>423</v>
      </c>
      <c r="GC111">
        <v>2.9575800000000001</v>
      </c>
      <c r="GD111">
        <v>2.7437800000000001</v>
      </c>
      <c r="GE111">
        <v>1.48243E-2</v>
      </c>
      <c r="GF111">
        <v>1.8880500000000001E-2</v>
      </c>
      <c r="GG111">
        <v>0.129741</v>
      </c>
      <c r="GH111">
        <v>9.8775799999999997E-2</v>
      </c>
      <c r="GI111">
        <v>23087.7</v>
      </c>
      <c r="GJ111">
        <v>21415.3</v>
      </c>
      <c r="GK111">
        <v>23372.2</v>
      </c>
      <c r="GL111">
        <v>21880.3</v>
      </c>
      <c r="GM111">
        <v>28687.5</v>
      </c>
      <c r="GN111">
        <v>27523.9</v>
      </c>
      <c r="GO111">
        <v>36881.1</v>
      </c>
      <c r="GP111">
        <v>34057</v>
      </c>
      <c r="GQ111">
        <v>1.9865200000000001</v>
      </c>
      <c r="GR111">
        <v>1.77925</v>
      </c>
      <c r="GS111">
        <v>-2.58759E-2</v>
      </c>
      <c r="GT111">
        <v>0</v>
      </c>
      <c r="GU111">
        <v>30.365200000000002</v>
      </c>
      <c r="GV111">
        <v>999.9</v>
      </c>
      <c r="GW111">
        <v>26.9</v>
      </c>
      <c r="GX111">
        <v>48.3</v>
      </c>
      <c r="GY111">
        <v>30.948399999999999</v>
      </c>
      <c r="GZ111">
        <v>60.363399999999999</v>
      </c>
      <c r="HA111">
        <v>39.038499999999999</v>
      </c>
      <c r="HB111">
        <v>1</v>
      </c>
      <c r="HC111">
        <v>0.59919</v>
      </c>
      <c r="HD111">
        <v>2.4324300000000001</v>
      </c>
      <c r="HE111">
        <v>20.093399999999999</v>
      </c>
      <c r="HF111">
        <v>5.2646100000000002</v>
      </c>
      <c r="HG111">
        <v>11.9625</v>
      </c>
      <c r="HH111">
        <v>4.9796500000000004</v>
      </c>
      <c r="HI111">
        <v>3.298</v>
      </c>
      <c r="HJ111">
        <v>9999</v>
      </c>
      <c r="HK111">
        <v>9999</v>
      </c>
      <c r="HL111">
        <v>9999</v>
      </c>
      <c r="HM111">
        <v>999.9</v>
      </c>
      <c r="HN111">
        <v>1.86429</v>
      </c>
      <c r="HO111">
        <v>1.8602700000000001</v>
      </c>
      <c r="HP111">
        <v>1.8667899999999999</v>
      </c>
      <c r="HQ111">
        <v>1.8635600000000001</v>
      </c>
      <c r="HR111">
        <v>1.8621700000000001</v>
      </c>
      <c r="HS111">
        <v>1.86219</v>
      </c>
      <c r="HT111">
        <v>1.8635200000000001</v>
      </c>
      <c r="HU111">
        <v>1.8647800000000001</v>
      </c>
      <c r="HV111">
        <v>0</v>
      </c>
      <c r="HW111">
        <v>0</v>
      </c>
      <c r="HX111">
        <v>0</v>
      </c>
      <c r="HY111">
        <v>0</v>
      </c>
      <c r="HZ111" t="s">
        <v>424</v>
      </c>
      <c r="IA111" t="s">
        <v>425</v>
      </c>
      <c r="IB111" t="s">
        <v>426</v>
      </c>
      <c r="IC111" t="s">
        <v>426</v>
      </c>
      <c r="ID111" t="s">
        <v>426</v>
      </c>
      <c r="IE111" t="s">
        <v>426</v>
      </c>
      <c r="IF111">
        <v>0</v>
      </c>
      <c r="IG111">
        <v>100</v>
      </c>
      <c r="IH111">
        <v>100</v>
      </c>
      <c r="II111">
        <v>-0.214</v>
      </c>
      <c r="IJ111">
        <v>0.12790000000000001</v>
      </c>
      <c r="IK111">
        <v>-0.21060936637942521</v>
      </c>
      <c r="IL111">
        <v>-8.3322953065825546E-5</v>
      </c>
      <c r="IM111">
        <v>2.3872336679552741E-7</v>
      </c>
      <c r="IN111">
        <v>-5.428329794194132E-11</v>
      </c>
      <c r="IO111">
        <v>0.127926745263683</v>
      </c>
      <c r="IP111">
        <v>0</v>
      </c>
      <c r="IQ111">
        <v>0</v>
      </c>
      <c r="IR111">
        <v>0</v>
      </c>
      <c r="IS111">
        <v>2</v>
      </c>
      <c r="IT111">
        <v>2035</v>
      </c>
      <c r="IU111">
        <v>1</v>
      </c>
      <c r="IV111">
        <v>21</v>
      </c>
      <c r="IW111">
        <v>0.9</v>
      </c>
      <c r="IX111">
        <v>0.7</v>
      </c>
      <c r="IY111">
        <v>0.30761699999999997</v>
      </c>
      <c r="IZ111">
        <v>2.7490199999999998</v>
      </c>
      <c r="JA111">
        <v>1.4526399999999999</v>
      </c>
      <c r="JB111">
        <v>2.2753899999999998</v>
      </c>
      <c r="JC111">
        <v>1.5942400000000001</v>
      </c>
      <c r="JD111">
        <v>2.3791500000000001</v>
      </c>
      <c r="JE111">
        <v>50.025700000000001</v>
      </c>
      <c r="JF111">
        <v>24.262599999999999</v>
      </c>
      <c r="JG111">
        <v>18</v>
      </c>
      <c r="JH111">
        <v>512.54700000000003</v>
      </c>
      <c r="JI111">
        <v>411.9</v>
      </c>
      <c r="JJ111">
        <v>27.258900000000001</v>
      </c>
      <c r="JK111">
        <v>34.471600000000002</v>
      </c>
      <c r="JL111">
        <v>29.998999999999999</v>
      </c>
      <c r="JM111">
        <v>34.466799999999999</v>
      </c>
      <c r="JN111">
        <v>34.470300000000002</v>
      </c>
      <c r="JO111">
        <v>6.1311</v>
      </c>
      <c r="JP111">
        <v>40.732300000000002</v>
      </c>
      <c r="JQ111">
        <v>0</v>
      </c>
      <c r="JR111">
        <v>27.300799999999999</v>
      </c>
      <c r="JS111">
        <v>70</v>
      </c>
      <c r="JT111">
        <v>19.350000000000001</v>
      </c>
      <c r="JU111">
        <v>98.848600000000005</v>
      </c>
      <c r="JV111">
        <v>98.225899999999996</v>
      </c>
    </row>
    <row r="112" spans="1:282" x14ac:dyDescent="0.25">
      <c r="A112">
        <v>96</v>
      </c>
      <c r="B112">
        <v>1689018373</v>
      </c>
      <c r="C112">
        <v>19032.400000095371</v>
      </c>
      <c r="D112" t="s">
        <v>905</v>
      </c>
      <c r="E112" t="s">
        <v>906</v>
      </c>
      <c r="F112" t="s">
        <v>414</v>
      </c>
      <c r="G112" t="s">
        <v>415</v>
      </c>
      <c r="H112" t="s">
        <v>416</v>
      </c>
      <c r="I112" t="s">
        <v>501</v>
      </c>
      <c r="J112" t="s">
        <v>500</v>
      </c>
      <c r="K112">
        <v>1689018373</v>
      </c>
      <c r="L112">
        <f t="shared" si="92"/>
        <v>7.9680995318751995E-3</v>
      </c>
      <c r="M112">
        <f t="shared" si="93"/>
        <v>7.9680995318751986</v>
      </c>
      <c r="N112">
        <f t="shared" si="94"/>
        <v>5.5343415169442585</v>
      </c>
      <c r="O112">
        <f t="shared" si="95"/>
        <v>23.058499999999999</v>
      </c>
      <c r="P112">
        <f t="shared" si="96"/>
        <v>6.4991489380115093</v>
      </c>
      <c r="Q112">
        <f t="shared" si="97"/>
        <v>0.64491717175164986</v>
      </c>
      <c r="R112">
        <f t="shared" si="98"/>
        <v>2.2881184516115001</v>
      </c>
      <c r="S112">
        <f t="shared" si="99"/>
        <v>0.59917014958648318</v>
      </c>
      <c r="T112">
        <f t="shared" si="100"/>
        <v>2.9127151575698642</v>
      </c>
      <c r="U112">
        <f t="shared" si="101"/>
        <v>0.53818073080810291</v>
      </c>
      <c r="V112">
        <f t="shared" si="102"/>
        <v>0.34132380188808498</v>
      </c>
      <c r="W112">
        <f t="shared" si="103"/>
        <v>289.55791201269972</v>
      </c>
      <c r="X112">
        <f t="shared" si="104"/>
        <v>29.811194566811334</v>
      </c>
      <c r="Y112">
        <f t="shared" si="105"/>
        <v>29.947700000000001</v>
      </c>
      <c r="Z112">
        <f t="shared" si="106"/>
        <v>4.247667828244313</v>
      </c>
      <c r="AA112">
        <f t="shared" si="107"/>
        <v>65.774176549327137</v>
      </c>
      <c r="AB112">
        <f t="shared" si="108"/>
        <v>2.8308922793377</v>
      </c>
      <c r="AC112">
        <f t="shared" si="109"/>
        <v>4.3039570053981313</v>
      </c>
      <c r="AD112">
        <f t="shared" si="110"/>
        <v>1.4167755489066129</v>
      </c>
      <c r="AE112">
        <f t="shared" si="111"/>
        <v>-351.39318935569628</v>
      </c>
      <c r="AF112">
        <f t="shared" si="112"/>
        <v>36.00704769252583</v>
      </c>
      <c r="AG112">
        <f t="shared" si="113"/>
        <v>2.7504054985602986</v>
      </c>
      <c r="AH112">
        <f t="shared" si="114"/>
        <v>-23.077824151910406</v>
      </c>
      <c r="AI112">
        <v>0</v>
      </c>
      <c r="AJ112">
        <v>0</v>
      </c>
      <c r="AK112">
        <f t="shared" si="115"/>
        <v>1</v>
      </c>
      <c r="AL112">
        <f t="shared" si="116"/>
        <v>0</v>
      </c>
      <c r="AM112">
        <f t="shared" si="117"/>
        <v>51824.428988784995</v>
      </c>
      <c r="AN112" t="s">
        <v>418</v>
      </c>
      <c r="AO112">
        <v>8197.4</v>
      </c>
      <c r="AP112">
        <v>619.92999999999995</v>
      </c>
      <c r="AQ112">
        <v>3131.443117258741</v>
      </c>
      <c r="AR112">
        <f t="shared" si="118"/>
        <v>0.80203057287443702</v>
      </c>
      <c r="AS112">
        <v>-1.0448500102641549</v>
      </c>
      <c r="AT112" t="s">
        <v>907</v>
      </c>
      <c r="AU112">
        <v>8193</v>
      </c>
      <c r="AV112">
        <v>766.73603846153844</v>
      </c>
      <c r="AW112">
        <v>839.47388348031473</v>
      </c>
      <c r="AX112">
        <f t="shared" si="119"/>
        <v>8.6646942150502282E-2</v>
      </c>
      <c r="AY112">
        <v>0.5</v>
      </c>
      <c r="AZ112">
        <f t="shared" si="120"/>
        <v>1513.1424000065799</v>
      </c>
      <c r="BA112">
        <f t="shared" si="121"/>
        <v>5.5343415169442585</v>
      </c>
      <c r="BB112">
        <f t="shared" si="122"/>
        <v>65.554580999421162</v>
      </c>
      <c r="BC112">
        <f t="shared" si="123"/>
        <v>4.3480319678966131E-3</v>
      </c>
      <c r="BD112">
        <f t="shared" si="124"/>
        <v>2.730244834152928</v>
      </c>
      <c r="BE112">
        <f t="shared" si="125"/>
        <v>402.41998415728665</v>
      </c>
      <c r="BF112" t="s">
        <v>908</v>
      </c>
      <c r="BG112">
        <v>649.97</v>
      </c>
      <c r="BH112">
        <f t="shared" si="126"/>
        <v>649.97</v>
      </c>
      <c r="BI112">
        <f t="shared" si="127"/>
        <v>0.22574124962013598</v>
      </c>
      <c r="BJ112">
        <f t="shared" si="128"/>
        <v>0.38383300480663846</v>
      </c>
      <c r="BK112">
        <f t="shared" si="129"/>
        <v>0.92363250596498192</v>
      </c>
      <c r="BL112">
        <f t="shared" si="130"/>
        <v>0.33131346619956398</v>
      </c>
      <c r="BM112">
        <f t="shared" si="131"/>
        <v>0.91258501420054616</v>
      </c>
      <c r="BN112">
        <f t="shared" si="132"/>
        <v>0.32537917303946501</v>
      </c>
      <c r="BO112">
        <f t="shared" si="133"/>
        <v>0.67462082696053494</v>
      </c>
      <c r="BP112">
        <v>13760</v>
      </c>
      <c r="BQ112">
        <v>290.00000000000011</v>
      </c>
      <c r="BR112">
        <v>812.81</v>
      </c>
      <c r="BS112">
        <v>125</v>
      </c>
      <c r="BT112">
        <v>8193</v>
      </c>
      <c r="BU112">
        <v>811.3</v>
      </c>
      <c r="BV112">
        <v>1.51</v>
      </c>
      <c r="BW112">
        <v>300.00000000000011</v>
      </c>
      <c r="BX112">
        <v>19.3</v>
      </c>
      <c r="BY112">
        <v>839.47388348031473</v>
      </c>
      <c r="BZ112">
        <v>2.5263785717832641</v>
      </c>
      <c r="CA112">
        <v>-23.07948588534418</v>
      </c>
      <c r="CB112">
        <v>1.8976083378290489</v>
      </c>
      <c r="CC112">
        <v>0.84084050426108925</v>
      </c>
      <c r="CD112">
        <v>-4.2351127919911186E-3</v>
      </c>
      <c r="CE112">
        <v>289.99999999999989</v>
      </c>
      <c r="CF112">
        <v>808.49</v>
      </c>
      <c r="CG112">
        <v>865</v>
      </c>
      <c r="CH112">
        <v>8163.17</v>
      </c>
      <c r="CI112">
        <v>811.2</v>
      </c>
      <c r="CJ112">
        <v>-2.71</v>
      </c>
      <c r="CX112">
        <f t="shared" si="134"/>
        <v>1799.95</v>
      </c>
      <c r="CY112">
        <f t="shared" si="135"/>
        <v>1513.1424000065799</v>
      </c>
      <c r="CZ112">
        <f t="shared" si="136"/>
        <v>0.84065801828194109</v>
      </c>
      <c r="DA112">
        <f t="shared" si="137"/>
        <v>0.16086997528414662</v>
      </c>
      <c r="DB112">
        <v>6</v>
      </c>
      <c r="DC112">
        <v>0.5</v>
      </c>
      <c r="DD112" t="s">
        <v>421</v>
      </c>
      <c r="DE112">
        <v>2</v>
      </c>
      <c r="DF112">
        <v>1689018373</v>
      </c>
      <c r="DG112">
        <v>23.058499999999999</v>
      </c>
      <c r="DH112">
        <v>29.9175</v>
      </c>
      <c r="DI112">
        <v>28.528300000000002</v>
      </c>
      <c r="DJ112">
        <v>19.242999999999999</v>
      </c>
      <c r="DK112">
        <v>23.202000000000002</v>
      </c>
      <c r="DL112">
        <v>28.397400000000001</v>
      </c>
      <c r="DM112">
        <v>500.19600000000003</v>
      </c>
      <c r="DN112">
        <v>99.130200000000002</v>
      </c>
      <c r="DO112">
        <v>0.10081900000000001</v>
      </c>
      <c r="DP112">
        <v>30.177</v>
      </c>
      <c r="DQ112">
        <v>29.947700000000001</v>
      </c>
      <c r="DR112">
        <v>999.9</v>
      </c>
      <c r="DS112">
        <v>0</v>
      </c>
      <c r="DT112">
        <v>0</v>
      </c>
      <c r="DU112">
        <v>9991.25</v>
      </c>
      <c r="DV112">
        <v>0</v>
      </c>
      <c r="DW112">
        <v>1679.46</v>
      </c>
      <c r="DX112">
        <v>-6.8590299999999997</v>
      </c>
      <c r="DY112">
        <v>23.735600000000002</v>
      </c>
      <c r="DZ112">
        <v>30.5045</v>
      </c>
      <c r="EA112">
        <v>9.2852499999999996</v>
      </c>
      <c r="EB112">
        <v>29.9175</v>
      </c>
      <c r="EC112">
        <v>19.242999999999999</v>
      </c>
      <c r="ED112">
        <v>2.8280099999999999</v>
      </c>
      <c r="EE112">
        <v>1.90757</v>
      </c>
      <c r="EF112">
        <v>23.048500000000001</v>
      </c>
      <c r="EG112">
        <v>16.697299999999998</v>
      </c>
      <c r="EH112">
        <v>1799.95</v>
      </c>
      <c r="EI112">
        <v>0.97800600000000004</v>
      </c>
      <c r="EJ112">
        <v>2.1994400000000001E-2</v>
      </c>
      <c r="EK112">
        <v>0</v>
      </c>
      <c r="EL112">
        <v>766.74</v>
      </c>
      <c r="EM112">
        <v>4.9999900000000004</v>
      </c>
      <c r="EN112">
        <v>20223.2</v>
      </c>
      <c r="EO112">
        <v>15863.4</v>
      </c>
      <c r="EP112">
        <v>48.561999999999998</v>
      </c>
      <c r="EQ112">
        <v>49.936999999999998</v>
      </c>
      <c r="ER112">
        <v>49.186999999999998</v>
      </c>
      <c r="ES112">
        <v>49.436999999999998</v>
      </c>
      <c r="ET112">
        <v>50.311999999999998</v>
      </c>
      <c r="EU112">
        <v>1755.47</v>
      </c>
      <c r="EV112">
        <v>39.479999999999997</v>
      </c>
      <c r="EW112">
        <v>0</v>
      </c>
      <c r="EX112">
        <v>120</v>
      </c>
      <c r="EY112">
        <v>0</v>
      </c>
      <c r="EZ112">
        <v>766.73603846153844</v>
      </c>
      <c r="FA112">
        <v>-0.45514529957590177</v>
      </c>
      <c r="FB112">
        <v>-2484.8752084854041</v>
      </c>
      <c r="FC112">
        <v>20201.938461538459</v>
      </c>
      <c r="FD112">
        <v>15</v>
      </c>
      <c r="FE112">
        <v>1689018332.5</v>
      </c>
      <c r="FF112" t="s">
        <v>909</v>
      </c>
      <c r="FG112">
        <v>1689018320</v>
      </c>
      <c r="FH112">
        <v>1689018332.5</v>
      </c>
      <c r="FI112">
        <v>107</v>
      </c>
      <c r="FJ112">
        <v>6.9000000000000006E-2</v>
      </c>
      <c r="FK112">
        <v>3.0000000000000001E-3</v>
      </c>
      <c r="FL112">
        <v>-0.14399999999999999</v>
      </c>
      <c r="FM112">
        <v>7.2999999999999995E-2</v>
      </c>
      <c r="FN112">
        <v>30</v>
      </c>
      <c r="FO112">
        <v>19</v>
      </c>
      <c r="FP112">
        <v>0.18</v>
      </c>
      <c r="FQ112">
        <v>0.01</v>
      </c>
      <c r="FR112">
        <v>5.4825526240938096</v>
      </c>
      <c r="FS112">
        <v>-0.46971855682476321</v>
      </c>
      <c r="FT112">
        <v>8.3109324836961651E-2</v>
      </c>
      <c r="FU112">
        <v>1</v>
      </c>
      <c r="FV112">
        <v>0.59681185622396293</v>
      </c>
      <c r="FW112">
        <v>1.2163474206575721E-2</v>
      </c>
      <c r="FX112">
        <v>1.456496834901407E-3</v>
      </c>
      <c r="FY112">
        <v>1</v>
      </c>
      <c r="FZ112">
        <v>2</v>
      </c>
      <c r="GA112">
        <v>2</v>
      </c>
      <c r="GB112" t="s">
        <v>423</v>
      </c>
      <c r="GC112">
        <v>2.9575200000000001</v>
      </c>
      <c r="GD112">
        <v>2.74397</v>
      </c>
      <c r="GE112">
        <v>6.4103800000000002E-3</v>
      </c>
      <c r="GF112">
        <v>8.2293100000000001E-3</v>
      </c>
      <c r="GG112">
        <v>0.13004299999999999</v>
      </c>
      <c r="GH112">
        <v>9.8257999999999998E-2</v>
      </c>
      <c r="GI112">
        <v>23282.6</v>
      </c>
      <c r="GJ112">
        <v>21645.1</v>
      </c>
      <c r="GK112">
        <v>23370.400000000001</v>
      </c>
      <c r="GL112">
        <v>21878.1</v>
      </c>
      <c r="GM112">
        <v>28674.799999999999</v>
      </c>
      <c r="GN112">
        <v>27536.3</v>
      </c>
      <c r="GO112">
        <v>36878.400000000001</v>
      </c>
      <c r="GP112">
        <v>34053.4</v>
      </c>
      <c r="GQ112">
        <v>1.9866200000000001</v>
      </c>
      <c r="GR112">
        <v>1.7784199999999999</v>
      </c>
      <c r="GS112">
        <v>-3.1583E-2</v>
      </c>
      <c r="GT112">
        <v>0</v>
      </c>
      <c r="GU112">
        <v>30.461400000000001</v>
      </c>
      <c r="GV112">
        <v>999.9</v>
      </c>
      <c r="GW112">
        <v>26.8</v>
      </c>
      <c r="GX112">
        <v>48.4</v>
      </c>
      <c r="GY112">
        <v>30.992100000000001</v>
      </c>
      <c r="GZ112">
        <v>60.493499999999997</v>
      </c>
      <c r="HA112">
        <v>39.575299999999999</v>
      </c>
      <c r="HB112">
        <v>1</v>
      </c>
      <c r="HC112">
        <v>0.60321100000000005</v>
      </c>
      <c r="HD112">
        <v>1.58474</v>
      </c>
      <c r="HE112">
        <v>20.1037</v>
      </c>
      <c r="HF112">
        <v>5.2641600000000004</v>
      </c>
      <c r="HG112">
        <v>11.962</v>
      </c>
      <c r="HH112">
        <v>4.9797500000000001</v>
      </c>
      <c r="HI112">
        <v>3.298</v>
      </c>
      <c r="HJ112">
        <v>9999</v>
      </c>
      <c r="HK112">
        <v>9999</v>
      </c>
      <c r="HL112">
        <v>9999</v>
      </c>
      <c r="HM112">
        <v>999.9</v>
      </c>
      <c r="HN112">
        <v>1.86426</v>
      </c>
      <c r="HO112">
        <v>1.86032</v>
      </c>
      <c r="HP112">
        <v>1.8667899999999999</v>
      </c>
      <c r="HQ112">
        <v>1.8635600000000001</v>
      </c>
      <c r="HR112">
        <v>1.8621799999999999</v>
      </c>
      <c r="HS112">
        <v>1.8621799999999999</v>
      </c>
      <c r="HT112">
        <v>1.86354</v>
      </c>
      <c r="HU112">
        <v>1.8647800000000001</v>
      </c>
      <c r="HV112">
        <v>0</v>
      </c>
      <c r="HW112">
        <v>0</v>
      </c>
      <c r="HX112">
        <v>0</v>
      </c>
      <c r="HY112">
        <v>0</v>
      </c>
      <c r="HZ112" t="s">
        <v>424</v>
      </c>
      <c r="IA112" t="s">
        <v>425</v>
      </c>
      <c r="IB112" t="s">
        <v>426</v>
      </c>
      <c r="IC112" t="s">
        <v>426</v>
      </c>
      <c r="ID112" t="s">
        <v>426</v>
      </c>
      <c r="IE112" t="s">
        <v>426</v>
      </c>
      <c r="IF112">
        <v>0</v>
      </c>
      <c r="IG112">
        <v>100</v>
      </c>
      <c r="IH112">
        <v>100</v>
      </c>
      <c r="II112">
        <v>-0.14399999999999999</v>
      </c>
      <c r="IJ112">
        <v>0.13089999999999999</v>
      </c>
      <c r="IK112">
        <v>-0.14166015594025361</v>
      </c>
      <c r="IL112">
        <v>-8.3322953065825546E-5</v>
      </c>
      <c r="IM112">
        <v>2.3872336679552741E-7</v>
      </c>
      <c r="IN112">
        <v>-5.428329794194132E-11</v>
      </c>
      <c r="IO112">
        <v>0.13085814708608459</v>
      </c>
      <c r="IP112">
        <v>0</v>
      </c>
      <c r="IQ112">
        <v>0</v>
      </c>
      <c r="IR112">
        <v>0</v>
      </c>
      <c r="IS112">
        <v>2</v>
      </c>
      <c r="IT112">
        <v>2035</v>
      </c>
      <c r="IU112">
        <v>1</v>
      </c>
      <c r="IV112">
        <v>21</v>
      </c>
      <c r="IW112">
        <v>0.9</v>
      </c>
      <c r="IX112">
        <v>0.7</v>
      </c>
      <c r="IY112">
        <v>0.21118200000000001</v>
      </c>
      <c r="IZ112">
        <v>2.7661099999999998</v>
      </c>
      <c r="JA112">
        <v>1.4514199999999999</v>
      </c>
      <c r="JB112">
        <v>2.2753899999999998</v>
      </c>
      <c r="JC112">
        <v>1.5942400000000001</v>
      </c>
      <c r="JD112">
        <v>2.4133300000000002</v>
      </c>
      <c r="JE112">
        <v>50.122</v>
      </c>
      <c r="JF112">
        <v>24.2714</v>
      </c>
      <c r="JG112">
        <v>18</v>
      </c>
      <c r="JH112">
        <v>512.87599999999998</v>
      </c>
      <c r="JI112">
        <v>411.62700000000001</v>
      </c>
      <c r="JJ112">
        <v>26.831199999999999</v>
      </c>
      <c r="JK112">
        <v>34.483899999999998</v>
      </c>
      <c r="JL112">
        <v>29.994900000000001</v>
      </c>
      <c r="JM112">
        <v>34.497900000000001</v>
      </c>
      <c r="JN112">
        <v>34.507899999999999</v>
      </c>
      <c r="JO112">
        <v>4.21495</v>
      </c>
      <c r="JP112">
        <v>41.3733</v>
      </c>
      <c r="JQ112">
        <v>0</v>
      </c>
      <c r="JR112">
        <v>27.100899999999999</v>
      </c>
      <c r="JS112">
        <v>30</v>
      </c>
      <c r="JT112">
        <v>19.1343</v>
      </c>
      <c r="JU112">
        <v>98.841099999999997</v>
      </c>
      <c r="JV112">
        <v>98.215699999999998</v>
      </c>
    </row>
    <row r="113" spans="1:282" x14ac:dyDescent="0.25">
      <c r="A113">
        <v>97</v>
      </c>
      <c r="B113">
        <v>1689018515.5</v>
      </c>
      <c r="C113">
        <v>19174.900000095371</v>
      </c>
      <c r="D113" t="s">
        <v>910</v>
      </c>
      <c r="E113" t="s">
        <v>911</v>
      </c>
      <c r="F113" t="s">
        <v>414</v>
      </c>
      <c r="G113" t="s">
        <v>415</v>
      </c>
      <c r="H113" t="s">
        <v>416</v>
      </c>
      <c r="I113" t="s">
        <v>501</v>
      </c>
      <c r="J113" t="s">
        <v>500</v>
      </c>
      <c r="K113">
        <v>1689018515.5</v>
      </c>
      <c r="L113">
        <f t="shared" ref="L113:L144" si="138">(M113)/1000</f>
        <v>7.9886195959418815E-3</v>
      </c>
      <c r="M113">
        <f t="shared" ref="M113:M144" si="139">1000*DM113*AK113*(DI113-DJ113)/(100*DB113*(1000-AK113*DI113))</f>
        <v>7.9886195959418815</v>
      </c>
      <c r="N113">
        <f t="shared" ref="N113:N144" si="140">DM113*AK113*(DH113-DG113*(1000-AK113*DJ113)/(1000-AK113*DI113))/(100*DB113)</f>
        <v>1.9250894732456683</v>
      </c>
      <c r="O113">
        <f t="shared" ref="O113:O144" si="141">DG113 - IF(AK113&gt;1, N113*DB113*100/(AM113*DU113), 0)</f>
        <v>7.5738300000000001</v>
      </c>
      <c r="P113">
        <f t="shared" ref="P113:P144" si="142">((V113-L113/2)*O113-N113)/(V113+L113/2)</f>
        <v>1.73711647463922</v>
      </c>
      <c r="Q113">
        <f t="shared" ref="Q113:Q144" si="143">P113*(DN113+DO113)/1000</f>
        <v>0.17237311166954214</v>
      </c>
      <c r="R113">
        <f t="shared" ref="R113:R144" si="144">(DG113 - IF(AK113&gt;1, N113*DB113*100/(AM113*DU113), 0))*(DN113+DO113)/1000</f>
        <v>0.75154698226396799</v>
      </c>
      <c r="S113">
        <f t="shared" ref="S113:S144" si="145">2/((1/U113-1/T113)+SIGN(U113)*SQRT((1/U113-1/T113)*(1/U113-1/T113) + 4*DC113/((DC113+1)*(DC113+1))*(2*1/U113*1/T113-1/T113*1/T113)))</f>
        <v>0.58922731970095599</v>
      </c>
      <c r="T113">
        <f t="shared" ref="T113:T144" si="146">IF(LEFT(DD113,1)&lt;&gt;"0",IF(LEFT(DD113,1)="1",3,DE113),$D$5+$E$5*(DU113*DN113/($K$5*1000))+$F$5*(DU113*DN113/($K$5*1000))*MAX(MIN(DB113,$J$5),$I$5)*MAX(MIN(DB113,$J$5),$I$5)+$G$5*MAX(MIN(DB113,$J$5),$I$5)*(DU113*DN113/($K$5*1000))+$H$5*(DU113*DN113/($K$5*1000))*(DU113*DN113/($K$5*1000)))</f>
        <v>2.917295058918099</v>
      </c>
      <c r="U113">
        <f t="shared" ref="U113:U144" si="147">L113*(1000-(1000*0.61365*EXP(17.502*Y113/(240.97+Y113))/(DN113+DO113)+DI113)/2)/(1000*0.61365*EXP(17.502*Y113/(240.97+Y113))/(DN113+DO113)-DI113)</f>
        <v>0.53022146821151672</v>
      </c>
      <c r="V113">
        <f t="shared" ref="V113:V144" si="148">1/((DC113+1)/(S113/1.6)+1/(T113/1.37)) + DC113/((DC113+1)/(S113/1.6) + DC113/(T113/1.37))</f>
        <v>0.33619609210757179</v>
      </c>
      <c r="W113">
        <f t="shared" ref="W113:W144" si="149">(CX113*DA113)</f>
        <v>289.57546801269893</v>
      </c>
      <c r="X113">
        <f t="shared" ref="X113:X144" si="150">(DP113+(W113+2*0.95*0.0000000567*(((DP113+$B$7)+273)^4-(DP113+273)^4)-44100*L113)/(1.84*29.3*T113+8*0.95*0.0000000567*(DP113+273)^3))</f>
        <v>29.899310349903459</v>
      </c>
      <c r="Y113">
        <f t="shared" ref="Y113:Y144" si="151">($C$7*DQ113+$D$7*DR113+$E$7*X113)</f>
        <v>29.975300000000001</v>
      </c>
      <c r="Z113">
        <f t="shared" ref="Z113:Z144" si="152">0.61365*EXP(17.502*Y113/(240.97+Y113))</f>
        <v>4.2544090044021639</v>
      </c>
      <c r="AA113">
        <f t="shared" ref="AA113:AA144" si="153">(AB113/AC113*100)</f>
        <v>65.002310594211608</v>
      </c>
      <c r="AB113">
        <f t="shared" ref="AB113:AB144" si="154">DI113*(DN113+DO113)/1000</f>
        <v>2.8125992112422402</v>
      </c>
      <c r="AC113">
        <f t="shared" ref="AC113:AC144" si="155">0.61365*EXP(17.502*DP113/(240.97+DP113))</f>
        <v>4.326921897900502</v>
      </c>
      <c r="AD113">
        <f t="shared" ref="AD113:AD144" si="156">(Z113-DI113*(DN113+DO113)/1000)</f>
        <v>1.4418097931599236</v>
      </c>
      <c r="AE113">
        <f t="shared" ref="AE113:AE144" si="157">(-L113*44100)</f>
        <v>-352.298124181037</v>
      </c>
      <c r="AF113">
        <f t="shared" ref="AF113:AF144" si="158">2*29.3*T113*0.92*(DP113-Y113)</f>
        <v>46.318138703227504</v>
      </c>
      <c r="AG113">
        <f t="shared" ref="AG113:AG144" si="159">2*0.95*0.0000000567*(((DP113+$B$7)+273)^4-(Y113+273)^4)</f>
        <v>3.5345716524426782</v>
      </c>
      <c r="AH113">
        <f t="shared" ref="AH113:AH144" si="160">W113+AG113+AE113+AF113</f>
        <v>-12.869945812667908</v>
      </c>
      <c r="AI113">
        <v>0</v>
      </c>
      <c r="AJ113">
        <v>0</v>
      </c>
      <c r="AK113">
        <f t="shared" ref="AK113:AK144" si="161">IF(AI113*$H$13&gt;=AM113,1,(AM113/(AM113-AI113*$H$13)))</f>
        <v>1</v>
      </c>
      <c r="AL113">
        <f t="shared" ref="AL113:AL144" si="162">(AK113-1)*100</f>
        <v>0</v>
      </c>
      <c r="AM113">
        <f t="shared" ref="AM113:AM144" si="163">MAX(0,($B$13+$C$13*DU113)/(1+$D$13*DU113)*DN113/(DP113+273)*$E$13)</f>
        <v>51938.788259766538</v>
      </c>
      <c r="AN113" t="s">
        <v>418</v>
      </c>
      <c r="AO113">
        <v>8197.4</v>
      </c>
      <c r="AP113">
        <v>619.92999999999995</v>
      </c>
      <c r="AQ113">
        <v>3131.443117258741</v>
      </c>
      <c r="AR113">
        <f t="shared" ref="AR113:AR144" si="164">1-AP113/AQ113</f>
        <v>0.80203057287443702</v>
      </c>
      <c r="AS113">
        <v>-1.0448500102641549</v>
      </c>
      <c r="AT113" t="s">
        <v>912</v>
      </c>
      <c r="AU113">
        <v>8186.53</v>
      </c>
      <c r="AV113">
        <v>774.87588461538462</v>
      </c>
      <c r="AW113">
        <v>827.39217403630335</v>
      </c>
      <c r="AX113">
        <f t="shared" ref="AX113:AX144" si="165">1-AV113/AW113</f>
        <v>6.347206448028897E-2</v>
      </c>
      <c r="AY113">
        <v>0.5</v>
      </c>
      <c r="AZ113">
        <f t="shared" ref="AZ113:AZ144" si="166">CY113</f>
        <v>1513.2348000065795</v>
      </c>
      <c r="BA113">
        <f t="shared" ref="BA113:BA144" si="167">N113</f>
        <v>1.9250894732456683</v>
      </c>
      <c r="BB113">
        <f t="shared" ref="BB113:BB144" si="168">AX113*AY113*AZ113</f>
        <v>48.024068399917397</v>
      </c>
      <c r="BC113">
        <f t="shared" ref="BC113:BC144" si="169">(BA113-AS113)/AZ113</f>
        <v>1.9626428651369305E-3</v>
      </c>
      <c r="BD113">
        <f t="shared" ref="BD113:BD144" si="170">(AQ113-AW113)/AW113</f>
        <v>2.7847144504431136</v>
      </c>
      <c r="BE113">
        <f t="shared" ref="BE113:BE144" si="171">AP113/(AR113+AP113/AW113)</f>
        <v>399.62268149913211</v>
      </c>
      <c r="BF113" t="s">
        <v>913</v>
      </c>
      <c r="BG113">
        <v>656.93</v>
      </c>
      <c r="BH113">
        <f t="shared" ref="BH113:BH144" si="172">IF(BG113&lt;&gt;0, BG113, BE113)</f>
        <v>656.93</v>
      </c>
      <c r="BI113">
        <f t="shared" ref="BI113:BI144" si="173">1-BH113/AW113</f>
        <v>0.20602343046675231</v>
      </c>
      <c r="BJ113">
        <f t="shared" ref="BJ113:BJ144" si="174">(AW113-AV113)/(AW113-BH113)</f>
        <v>0.30808177660420022</v>
      </c>
      <c r="BK113">
        <f t="shared" ref="BK113:BK144" si="175">(AQ113-AW113)/(AQ113-BH113)</f>
        <v>0.93111284282657547</v>
      </c>
      <c r="BL113">
        <f t="shared" ref="BL113:BL144" si="176">(AW113-AV113)/(AW113-AP113)</f>
        <v>0.25313669667671085</v>
      </c>
      <c r="BM113">
        <f t="shared" ref="BM113:BM144" si="177">(AQ113-AW113)/(AQ113-AP113)</f>
        <v>0.91739554429930914</v>
      </c>
      <c r="BN113">
        <f t="shared" ref="BN113:BN144" si="178">(BJ113*BH113/AV113)</f>
        <v>0.26118784378617499</v>
      </c>
      <c r="BO113">
        <f t="shared" ref="BO113:BO144" si="179">(1-BN113)</f>
        <v>0.73881215621382501</v>
      </c>
      <c r="BP113">
        <v>13762</v>
      </c>
      <c r="BQ113">
        <v>290.00000000000011</v>
      </c>
      <c r="BR113">
        <v>809.61</v>
      </c>
      <c r="BS113">
        <v>185</v>
      </c>
      <c r="BT113">
        <v>8186.53</v>
      </c>
      <c r="BU113">
        <v>807.82</v>
      </c>
      <c r="BV113">
        <v>1.79</v>
      </c>
      <c r="BW113">
        <v>300.00000000000011</v>
      </c>
      <c r="BX113">
        <v>19.3</v>
      </c>
      <c r="BY113">
        <v>827.39217403630335</v>
      </c>
      <c r="BZ113">
        <v>3.0630037175829732</v>
      </c>
      <c r="CA113">
        <v>-16.026033438055279</v>
      </c>
      <c r="CB113">
        <v>2.300553891742025</v>
      </c>
      <c r="CC113">
        <v>0.63411810589060869</v>
      </c>
      <c r="CD113">
        <v>-4.2350511679644142E-3</v>
      </c>
      <c r="CE113">
        <v>289.99999999999989</v>
      </c>
      <c r="CF113">
        <v>806.76</v>
      </c>
      <c r="CG113">
        <v>625</v>
      </c>
      <c r="CH113">
        <v>8169.03</v>
      </c>
      <c r="CI113">
        <v>807.77</v>
      </c>
      <c r="CJ113">
        <v>-1.01</v>
      </c>
      <c r="CX113">
        <f t="shared" ref="CX113:CX144" si="180">$B$11*DV113+$C$11*DW113+$F$11*EH113*(1-EK113)</f>
        <v>1800.06</v>
      </c>
      <c r="CY113">
        <f t="shared" ref="CY113:CY144" si="181">CX113*CZ113</f>
        <v>1513.2348000065795</v>
      </c>
      <c r="CZ113">
        <f t="shared" ref="CZ113:CZ144" si="182">($B$11*$D$9+$C$11*$D$9+$F$11*((EU113+EM113)/MAX(EU113+EM113+EV113, 0.1)*$I$9+EV113/MAX(EU113+EM113+EV113, 0.1)*$J$9))/($B$11+$C$11+$F$11)</f>
        <v>0.84065797807105291</v>
      </c>
      <c r="DA113">
        <f t="shared" ref="DA113:DA144" si="183">($B$11*$K$9+$C$11*$K$9+$F$11*((EU113+EM113)/MAX(EU113+EM113+EV113, 0.1)*$P$9+EV113/MAX(EU113+EM113+EV113, 0.1)*$Q$9))/($B$11+$C$11+$F$11)</f>
        <v>0.16086989767713239</v>
      </c>
      <c r="DB113">
        <v>6</v>
      </c>
      <c r="DC113">
        <v>0.5</v>
      </c>
      <c r="DD113" t="s">
        <v>421</v>
      </c>
      <c r="DE113">
        <v>2</v>
      </c>
      <c r="DF113">
        <v>1689018515.5</v>
      </c>
      <c r="DG113">
        <v>7.5738300000000001</v>
      </c>
      <c r="DH113">
        <v>9.9555900000000008</v>
      </c>
      <c r="DI113">
        <v>28.3444</v>
      </c>
      <c r="DJ113">
        <v>19.0335</v>
      </c>
      <c r="DK113">
        <v>7.7340400000000002</v>
      </c>
      <c r="DL113">
        <v>28.215900000000001</v>
      </c>
      <c r="DM113">
        <v>500.2</v>
      </c>
      <c r="DN113">
        <v>99.129599999999996</v>
      </c>
      <c r="DO113">
        <v>9.9849599999999997E-2</v>
      </c>
      <c r="DP113">
        <v>30.2698</v>
      </c>
      <c r="DQ113">
        <v>29.975300000000001</v>
      </c>
      <c r="DR113">
        <v>999.9</v>
      </c>
      <c r="DS113">
        <v>0</v>
      </c>
      <c r="DT113">
        <v>0</v>
      </c>
      <c r="DU113">
        <v>10017.5</v>
      </c>
      <c r="DV113">
        <v>0</v>
      </c>
      <c r="DW113">
        <v>1464.81</v>
      </c>
      <c r="DX113">
        <v>-2.3817699999999999</v>
      </c>
      <c r="DY113">
        <v>7.7947600000000001</v>
      </c>
      <c r="DZ113">
        <v>10.1488</v>
      </c>
      <c r="EA113">
        <v>9.3109400000000004</v>
      </c>
      <c r="EB113">
        <v>9.9555900000000008</v>
      </c>
      <c r="EC113">
        <v>19.0335</v>
      </c>
      <c r="ED113">
        <v>2.8097699999999999</v>
      </c>
      <c r="EE113">
        <v>1.8867799999999999</v>
      </c>
      <c r="EF113">
        <v>22.941600000000001</v>
      </c>
      <c r="EG113">
        <v>16.524899999999999</v>
      </c>
      <c r="EH113">
        <v>1800.06</v>
      </c>
      <c r="EI113">
        <v>0.97800900000000002</v>
      </c>
      <c r="EJ113">
        <v>2.1991299999999998E-2</v>
      </c>
      <c r="EK113">
        <v>0</v>
      </c>
      <c r="EL113">
        <v>775.10500000000002</v>
      </c>
      <c r="EM113">
        <v>4.9999900000000004</v>
      </c>
      <c r="EN113">
        <v>19935.3</v>
      </c>
      <c r="EO113">
        <v>15864.4</v>
      </c>
      <c r="EP113">
        <v>48.5</v>
      </c>
      <c r="EQ113">
        <v>49.686999999999998</v>
      </c>
      <c r="ER113">
        <v>49.125</v>
      </c>
      <c r="ES113">
        <v>49.311999999999998</v>
      </c>
      <c r="ET113">
        <v>50.25</v>
      </c>
      <c r="EU113">
        <v>1755.58</v>
      </c>
      <c r="EV113">
        <v>39.479999999999997</v>
      </c>
      <c r="EW113">
        <v>0</v>
      </c>
      <c r="EX113">
        <v>140.5999999046326</v>
      </c>
      <c r="EY113">
        <v>0</v>
      </c>
      <c r="EZ113">
        <v>774.87588461538462</v>
      </c>
      <c r="FA113">
        <v>-1.7318632682813</v>
      </c>
      <c r="FB113">
        <v>11337.09059492535</v>
      </c>
      <c r="FC113">
        <v>18120.557692307691</v>
      </c>
      <c r="FD113">
        <v>15</v>
      </c>
      <c r="FE113">
        <v>1689018462.5</v>
      </c>
      <c r="FF113" t="s">
        <v>914</v>
      </c>
      <c r="FG113">
        <v>1689018448</v>
      </c>
      <c r="FH113">
        <v>1689018462.5</v>
      </c>
      <c r="FI113">
        <v>108</v>
      </c>
      <c r="FJ113">
        <v>-1.7999999999999999E-2</v>
      </c>
      <c r="FK113">
        <v>-2E-3</v>
      </c>
      <c r="FL113">
        <v>-0.16</v>
      </c>
      <c r="FM113">
        <v>0.06</v>
      </c>
      <c r="FN113">
        <v>10</v>
      </c>
      <c r="FO113">
        <v>19</v>
      </c>
      <c r="FP113">
        <v>0.28999999999999998</v>
      </c>
      <c r="FQ113">
        <v>0.01</v>
      </c>
      <c r="FR113">
        <v>1.8467659982898399</v>
      </c>
      <c r="FS113">
        <v>0.66803030625035742</v>
      </c>
      <c r="FT113">
        <v>5.8134045745330758E-2</v>
      </c>
      <c r="FU113">
        <v>1</v>
      </c>
      <c r="FV113">
        <v>0.59557425768955596</v>
      </c>
      <c r="FW113">
        <v>-4.6725912055807922E-2</v>
      </c>
      <c r="FX113">
        <v>3.47404484756274E-3</v>
      </c>
      <c r="FY113">
        <v>1</v>
      </c>
      <c r="FZ113">
        <v>2</v>
      </c>
      <c r="GA113">
        <v>2</v>
      </c>
      <c r="GB113" t="s">
        <v>423</v>
      </c>
      <c r="GC113">
        <v>2.9574799999999999</v>
      </c>
      <c r="GD113">
        <v>2.7432300000000001</v>
      </c>
      <c r="GE113">
        <v>2.1485499999999999E-3</v>
      </c>
      <c r="GF113">
        <v>2.7579900000000001E-3</v>
      </c>
      <c r="GG113">
        <v>0.12945999999999999</v>
      </c>
      <c r="GH113">
        <v>9.7494999999999998E-2</v>
      </c>
      <c r="GI113">
        <v>23382.799999999999</v>
      </c>
      <c r="GJ113">
        <v>21766.400000000001</v>
      </c>
      <c r="GK113">
        <v>23371.1</v>
      </c>
      <c r="GL113">
        <v>21880.3</v>
      </c>
      <c r="GM113">
        <v>28695.5</v>
      </c>
      <c r="GN113">
        <v>27562.3</v>
      </c>
      <c r="GO113">
        <v>36880.199999999997</v>
      </c>
      <c r="GP113">
        <v>34057</v>
      </c>
      <c r="GQ113">
        <v>1.9863999999999999</v>
      </c>
      <c r="GR113">
        <v>1.77715</v>
      </c>
      <c r="GS113">
        <v>-1.89543E-2</v>
      </c>
      <c r="GT113">
        <v>0</v>
      </c>
      <c r="GU113">
        <v>30.2836</v>
      </c>
      <c r="GV113">
        <v>999.9</v>
      </c>
      <c r="GW113">
        <v>26.7</v>
      </c>
      <c r="GX113">
        <v>48.5</v>
      </c>
      <c r="GY113">
        <v>31.029499999999999</v>
      </c>
      <c r="GZ113">
        <v>60.363500000000002</v>
      </c>
      <c r="HA113">
        <v>39.042499999999997</v>
      </c>
      <c r="HB113">
        <v>1</v>
      </c>
      <c r="HC113">
        <v>0.60556399999999999</v>
      </c>
      <c r="HD113">
        <v>2.4494099999999999</v>
      </c>
      <c r="HE113">
        <v>20.093499999999999</v>
      </c>
      <c r="HF113">
        <v>5.2644599999999997</v>
      </c>
      <c r="HG113">
        <v>11.962300000000001</v>
      </c>
      <c r="HH113">
        <v>4.9797500000000001</v>
      </c>
      <c r="HI113">
        <v>3.2979799999999999</v>
      </c>
      <c r="HJ113">
        <v>9999</v>
      </c>
      <c r="HK113">
        <v>9999</v>
      </c>
      <c r="HL113">
        <v>9999</v>
      </c>
      <c r="HM113">
        <v>999.9</v>
      </c>
      <c r="HN113">
        <v>1.8642700000000001</v>
      </c>
      <c r="HO113">
        <v>1.86032</v>
      </c>
      <c r="HP113">
        <v>1.8668400000000001</v>
      </c>
      <c r="HQ113">
        <v>1.8635600000000001</v>
      </c>
      <c r="HR113">
        <v>1.8621799999999999</v>
      </c>
      <c r="HS113">
        <v>1.8622000000000001</v>
      </c>
      <c r="HT113">
        <v>1.86351</v>
      </c>
      <c r="HU113">
        <v>1.8647800000000001</v>
      </c>
      <c r="HV113">
        <v>0</v>
      </c>
      <c r="HW113">
        <v>0</v>
      </c>
      <c r="HX113">
        <v>0</v>
      </c>
      <c r="HY113">
        <v>0</v>
      </c>
      <c r="HZ113" t="s">
        <v>424</v>
      </c>
      <c r="IA113" t="s">
        <v>425</v>
      </c>
      <c r="IB113" t="s">
        <v>426</v>
      </c>
      <c r="IC113" t="s">
        <v>426</v>
      </c>
      <c r="ID113" t="s">
        <v>426</v>
      </c>
      <c r="IE113" t="s">
        <v>426</v>
      </c>
      <c r="IF113">
        <v>0</v>
      </c>
      <c r="IG113">
        <v>100</v>
      </c>
      <c r="IH113">
        <v>100</v>
      </c>
      <c r="II113">
        <v>-0.16</v>
      </c>
      <c r="IJ113">
        <v>0.1285</v>
      </c>
      <c r="IK113">
        <v>-0.1595875103252167</v>
      </c>
      <c r="IL113">
        <v>-8.3322953065825546E-5</v>
      </c>
      <c r="IM113">
        <v>2.3872336679552741E-7</v>
      </c>
      <c r="IN113">
        <v>-5.428329794194132E-11</v>
      </c>
      <c r="IO113">
        <v>0.12856824380340631</v>
      </c>
      <c r="IP113">
        <v>0</v>
      </c>
      <c r="IQ113">
        <v>0</v>
      </c>
      <c r="IR113">
        <v>0</v>
      </c>
      <c r="IS113">
        <v>2</v>
      </c>
      <c r="IT113">
        <v>2035</v>
      </c>
      <c r="IU113">
        <v>1</v>
      </c>
      <c r="IV113">
        <v>21</v>
      </c>
      <c r="IW113">
        <v>1.1000000000000001</v>
      </c>
      <c r="IX113">
        <v>0.9</v>
      </c>
      <c r="IY113">
        <v>0.164795</v>
      </c>
      <c r="IZ113">
        <v>2.7831999999999999</v>
      </c>
      <c r="JA113">
        <v>1.4514199999999999</v>
      </c>
      <c r="JB113">
        <v>2.2741699999999998</v>
      </c>
      <c r="JC113">
        <v>1.5942400000000001</v>
      </c>
      <c r="JD113">
        <v>2.4182100000000002</v>
      </c>
      <c r="JE113">
        <v>50.218699999999998</v>
      </c>
      <c r="JF113">
        <v>24.2714</v>
      </c>
      <c r="JG113">
        <v>18</v>
      </c>
      <c r="JH113">
        <v>513.06799999999998</v>
      </c>
      <c r="JI113">
        <v>411.05099999999999</v>
      </c>
      <c r="JJ113">
        <v>27.470800000000001</v>
      </c>
      <c r="JK113">
        <v>34.5122</v>
      </c>
      <c r="JL113">
        <v>29.999600000000001</v>
      </c>
      <c r="JM113">
        <v>34.5381</v>
      </c>
      <c r="JN113">
        <v>34.544600000000003</v>
      </c>
      <c r="JO113">
        <v>3.2788300000000001</v>
      </c>
      <c r="JP113">
        <v>41.297400000000003</v>
      </c>
      <c r="JQ113">
        <v>0</v>
      </c>
      <c r="JR113">
        <v>27.492699999999999</v>
      </c>
      <c r="JS113">
        <v>10</v>
      </c>
      <c r="JT113">
        <v>19.083300000000001</v>
      </c>
      <c r="JU113">
        <v>98.845100000000002</v>
      </c>
      <c r="JV113">
        <v>98.225899999999996</v>
      </c>
    </row>
    <row r="114" spans="1:282" x14ac:dyDescent="0.25">
      <c r="A114">
        <v>98</v>
      </c>
      <c r="B114">
        <v>1689018705</v>
      </c>
      <c r="C114">
        <v>19364.400000095371</v>
      </c>
      <c r="D114" t="s">
        <v>915</v>
      </c>
      <c r="E114" t="s">
        <v>916</v>
      </c>
      <c r="F114" t="s">
        <v>414</v>
      </c>
      <c r="G114" t="s">
        <v>415</v>
      </c>
      <c r="H114" t="s">
        <v>416</v>
      </c>
      <c r="I114" t="s">
        <v>501</v>
      </c>
      <c r="J114" t="s">
        <v>500</v>
      </c>
      <c r="K114">
        <v>1689018705</v>
      </c>
      <c r="L114">
        <f t="shared" si="138"/>
        <v>7.5784588443349246E-3</v>
      </c>
      <c r="M114">
        <f t="shared" si="139"/>
        <v>7.578458844334925</v>
      </c>
      <c r="N114">
        <f t="shared" si="140"/>
        <v>52.995769533934414</v>
      </c>
      <c r="O114">
        <f t="shared" si="141"/>
        <v>333.37900000000002</v>
      </c>
      <c r="P114">
        <f t="shared" si="142"/>
        <v>159.99027171173518</v>
      </c>
      <c r="Q114">
        <f t="shared" si="143"/>
        <v>15.874970554497967</v>
      </c>
      <c r="R114">
        <f t="shared" si="144"/>
        <v>33.079397590020996</v>
      </c>
      <c r="S114">
        <f t="shared" si="145"/>
        <v>0.55172313704950549</v>
      </c>
      <c r="T114">
        <f t="shared" si="146"/>
        <v>2.9047212272162453</v>
      </c>
      <c r="U114">
        <f t="shared" si="147"/>
        <v>0.49943216712770649</v>
      </c>
      <c r="V114">
        <f t="shared" si="148"/>
        <v>0.31642921334011076</v>
      </c>
      <c r="W114">
        <f t="shared" si="149"/>
        <v>289.56705001270581</v>
      </c>
      <c r="X114">
        <f t="shared" si="150"/>
        <v>29.973837260199129</v>
      </c>
      <c r="Y114">
        <f t="shared" si="151"/>
        <v>29.935400000000001</v>
      </c>
      <c r="Z114">
        <f t="shared" si="152"/>
        <v>4.2446666084528832</v>
      </c>
      <c r="AA114">
        <f t="shared" si="153"/>
        <v>64.651220299743144</v>
      </c>
      <c r="AB114">
        <f t="shared" si="154"/>
        <v>2.7924084324376999</v>
      </c>
      <c r="AC114">
        <f t="shared" si="155"/>
        <v>4.3191890570529479</v>
      </c>
      <c r="AD114">
        <f t="shared" si="156"/>
        <v>1.4522581760151834</v>
      </c>
      <c r="AE114">
        <f t="shared" si="157"/>
        <v>-334.21003503517016</v>
      </c>
      <c r="AF114">
        <f t="shared" si="158"/>
        <v>47.480917099070112</v>
      </c>
      <c r="AG114">
        <f t="shared" si="159"/>
        <v>3.6377084077318091</v>
      </c>
      <c r="AH114">
        <f t="shared" si="160"/>
        <v>6.4756404843375464</v>
      </c>
      <c r="AI114">
        <v>0</v>
      </c>
      <c r="AJ114">
        <v>0</v>
      </c>
      <c r="AK114">
        <f t="shared" si="161"/>
        <v>1</v>
      </c>
      <c r="AL114">
        <f t="shared" si="162"/>
        <v>0</v>
      </c>
      <c r="AM114">
        <f t="shared" si="163"/>
        <v>51586.754033295823</v>
      </c>
      <c r="AN114" t="s">
        <v>418</v>
      </c>
      <c r="AO114">
        <v>8197.4</v>
      </c>
      <c r="AP114">
        <v>619.92999999999995</v>
      </c>
      <c r="AQ114">
        <v>3131.443117258741</v>
      </c>
      <c r="AR114">
        <f t="shared" si="164"/>
        <v>0.80203057287443702</v>
      </c>
      <c r="AS114">
        <v>-1.0448500102641549</v>
      </c>
      <c r="AT114" t="s">
        <v>917</v>
      </c>
      <c r="AU114">
        <v>8180.31</v>
      </c>
      <c r="AV114">
        <v>770.13508000000002</v>
      </c>
      <c r="AW114">
        <v>1215.4727918104859</v>
      </c>
      <c r="AX114">
        <f t="shared" si="165"/>
        <v>0.36639052293975338</v>
      </c>
      <c r="AY114">
        <v>0.5</v>
      </c>
      <c r="AZ114">
        <f t="shared" si="166"/>
        <v>1513.1850000065833</v>
      </c>
      <c r="BA114">
        <f t="shared" si="167"/>
        <v>52.995769533934414</v>
      </c>
      <c r="BB114">
        <f t="shared" si="168"/>
        <v>277.2083217285014</v>
      </c>
      <c r="BC114">
        <f t="shared" si="169"/>
        <v>3.5713161010691663E-2</v>
      </c>
      <c r="BD114">
        <f t="shared" si="170"/>
        <v>1.5763169182868797</v>
      </c>
      <c r="BE114">
        <f t="shared" si="171"/>
        <v>472.48509345805121</v>
      </c>
      <c r="BF114" t="s">
        <v>918</v>
      </c>
      <c r="BG114">
        <v>614.21</v>
      </c>
      <c r="BH114">
        <f t="shared" si="172"/>
        <v>614.21</v>
      </c>
      <c r="BI114">
        <f t="shared" si="173"/>
        <v>0.49467400328631428</v>
      </c>
      <c r="BJ114">
        <f t="shared" si="174"/>
        <v>0.74067066493423306</v>
      </c>
      <c r="BK114">
        <f t="shared" si="175"/>
        <v>0.76114139461773045</v>
      </c>
      <c r="BL114">
        <f t="shared" si="176"/>
        <v>0.74778457221626748</v>
      </c>
      <c r="BM114">
        <f t="shared" si="177"/>
        <v>0.76287490289498971</v>
      </c>
      <c r="BN114">
        <f t="shared" si="178"/>
        <v>0.59071108552704199</v>
      </c>
      <c r="BO114">
        <f t="shared" si="179"/>
        <v>0.40928891447295801</v>
      </c>
      <c r="BP114">
        <v>13764</v>
      </c>
      <c r="BQ114">
        <v>290.00000000000011</v>
      </c>
      <c r="BR114">
        <v>1036.74</v>
      </c>
      <c r="BS114">
        <v>275</v>
      </c>
      <c r="BT114">
        <v>8180.31</v>
      </c>
      <c r="BU114">
        <v>1040.02</v>
      </c>
      <c r="BV114">
        <v>-3.28</v>
      </c>
      <c r="BW114">
        <v>300.00000000000011</v>
      </c>
      <c r="BX114">
        <v>19.3</v>
      </c>
      <c r="BY114">
        <v>1215.4727918104859</v>
      </c>
      <c r="BZ114">
        <v>4.9645144661946068</v>
      </c>
      <c r="CA114">
        <v>-143.52876959898211</v>
      </c>
      <c r="CB114">
        <v>3.729176342342976</v>
      </c>
      <c r="CC114">
        <v>0.98144873337471739</v>
      </c>
      <c r="CD114">
        <v>-4.236214238042278E-3</v>
      </c>
      <c r="CE114">
        <v>289.99999999999989</v>
      </c>
      <c r="CF114">
        <v>1022.31</v>
      </c>
      <c r="CG114">
        <v>615</v>
      </c>
      <c r="CH114">
        <v>8170.39</v>
      </c>
      <c r="CI114">
        <v>1039.8</v>
      </c>
      <c r="CJ114">
        <v>-17.489999999999998</v>
      </c>
      <c r="CX114">
        <f t="shared" si="180"/>
        <v>1800</v>
      </c>
      <c r="CY114">
        <f t="shared" si="181"/>
        <v>1513.1850000065833</v>
      </c>
      <c r="CZ114">
        <f t="shared" si="182"/>
        <v>0.84065833333699069</v>
      </c>
      <c r="DA114">
        <f t="shared" si="183"/>
        <v>0.16087058334039211</v>
      </c>
      <c r="DB114">
        <v>6</v>
      </c>
      <c r="DC114">
        <v>0.5</v>
      </c>
      <c r="DD114" t="s">
        <v>421</v>
      </c>
      <c r="DE114">
        <v>2</v>
      </c>
      <c r="DF114">
        <v>1689018705</v>
      </c>
      <c r="DG114">
        <v>333.37900000000002</v>
      </c>
      <c r="DH114">
        <v>399.99200000000002</v>
      </c>
      <c r="DI114">
        <v>28.142299999999999</v>
      </c>
      <c r="DJ114">
        <v>19.305900000000001</v>
      </c>
      <c r="DK114">
        <v>333.44400000000002</v>
      </c>
      <c r="DL114">
        <v>28.011399999999998</v>
      </c>
      <c r="DM114">
        <v>500.10300000000001</v>
      </c>
      <c r="DN114">
        <v>99.124200000000002</v>
      </c>
      <c r="DO114">
        <v>0.100399</v>
      </c>
      <c r="DP114">
        <v>30.238600000000002</v>
      </c>
      <c r="DQ114">
        <v>29.935400000000001</v>
      </c>
      <c r="DR114">
        <v>999.9</v>
      </c>
      <c r="DS114">
        <v>0</v>
      </c>
      <c r="DT114">
        <v>0</v>
      </c>
      <c r="DU114">
        <v>9946.25</v>
      </c>
      <c r="DV114">
        <v>0</v>
      </c>
      <c r="DW114">
        <v>986.44500000000005</v>
      </c>
      <c r="DX114">
        <v>-66.613100000000003</v>
      </c>
      <c r="DY114">
        <v>343.03300000000002</v>
      </c>
      <c r="DZ114">
        <v>407.86700000000002</v>
      </c>
      <c r="EA114">
        <v>8.8363999999999994</v>
      </c>
      <c r="EB114">
        <v>399.99200000000002</v>
      </c>
      <c r="EC114">
        <v>19.305900000000001</v>
      </c>
      <c r="ED114">
        <v>2.7895799999999999</v>
      </c>
      <c r="EE114">
        <v>1.91368</v>
      </c>
      <c r="EF114">
        <v>22.822500000000002</v>
      </c>
      <c r="EG114">
        <v>16.747599999999998</v>
      </c>
      <c r="EH114">
        <v>1800</v>
      </c>
      <c r="EI114">
        <v>0.97799400000000003</v>
      </c>
      <c r="EJ114">
        <v>2.2006000000000001E-2</v>
      </c>
      <c r="EK114">
        <v>0</v>
      </c>
      <c r="EL114">
        <v>771.42499999999995</v>
      </c>
      <c r="EM114">
        <v>4.9999900000000004</v>
      </c>
      <c r="EN114">
        <v>17275.5</v>
      </c>
      <c r="EO114">
        <v>15863.7</v>
      </c>
      <c r="EP114">
        <v>48.5</v>
      </c>
      <c r="EQ114">
        <v>49.686999999999998</v>
      </c>
      <c r="ER114">
        <v>49.061999999999998</v>
      </c>
      <c r="ES114">
        <v>49.25</v>
      </c>
      <c r="ET114">
        <v>50.25</v>
      </c>
      <c r="EU114">
        <v>1755.5</v>
      </c>
      <c r="EV114">
        <v>39.5</v>
      </c>
      <c r="EW114">
        <v>0</v>
      </c>
      <c r="EX114">
        <v>187.4000000953674</v>
      </c>
      <c r="EY114">
        <v>0</v>
      </c>
      <c r="EZ114">
        <v>770.13508000000002</v>
      </c>
      <c r="FA114">
        <v>10.909923054054451</v>
      </c>
      <c r="FB114">
        <v>-2197.653845960454</v>
      </c>
      <c r="FC114">
        <v>18333.452000000001</v>
      </c>
      <c r="FD114">
        <v>15</v>
      </c>
      <c r="FE114">
        <v>1689018597.5</v>
      </c>
      <c r="FF114" t="s">
        <v>919</v>
      </c>
      <c r="FG114">
        <v>1689018593</v>
      </c>
      <c r="FH114">
        <v>1689018597.5</v>
      </c>
      <c r="FI114">
        <v>109</v>
      </c>
      <c r="FJ114">
        <v>9.8000000000000004E-2</v>
      </c>
      <c r="FK114">
        <v>2E-3</v>
      </c>
      <c r="FL114">
        <v>-0.06</v>
      </c>
      <c r="FM114">
        <v>7.0000000000000007E-2</v>
      </c>
      <c r="FN114">
        <v>400</v>
      </c>
      <c r="FO114">
        <v>19</v>
      </c>
      <c r="FP114">
        <v>0.03</v>
      </c>
      <c r="FQ114">
        <v>0.01</v>
      </c>
      <c r="FR114">
        <v>52.444533609203383</v>
      </c>
      <c r="FS114">
        <v>3.5892436064524351</v>
      </c>
      <c r="FT114">
        <v>0.26947949948873179</v>
      </c>
      <c r="FU114">
        <v>0</v>
      </c>
      <c r="FV114">
        <v>0.55703255554420716</v>
      </c>
      <c r="FW114">
        <v>-4.3451018202914943E-2</v>
      </c>
      <c r="FX114">
        <v>3.4902796172582339E-3</v>
      </c>
      <c r="FY114">
        <v>1</v>
      </c>
      <c r="FZ114">
        <v>1</v>
      </c>
      <c r="GA114">
        <v>2</v>
      </c>
      <c r="GB114" t="s">
        <v>462</v>
      </c>
      <c r="GC114">
        <v>2.95729</v>
      </c>
      <c r="GD114">
        <v>2.74316</v>
      </c>
      <c r="GE114">
        <v>7.6838000000000004E-2</v>
      </c>
      <c r="GF114">
        <v>8.8477100000000003E-2</v>
      </c>
      <c r="GG114">
        <v>0.12880800000000001</v>
      </c>
      <c r="GH114">
        <v>9.8475900000000005E-2</v>
      </c>
      <c r="GI114">
        <v>21642.3</v>
      </c>
      <c r="GJ114">
        <v>19904.599999999999</v>
      </c>
      <c r="GK114">
        <v>23378.799999999999</v>
      </c>
      <c r="GL114">
        <v>21888.1</v>
      </c>
      <c r="GM114">
        <v>28731.4</v>
      </c>
      <c r="GN114">
        <v>27546.9</v>
      </c>
      <c r="GO114">
        <v>36892.400000000001</v>
      </c>
      <c r="GP114">
        <v>34068.9</v>
      </c>
      <c r="GQ114">
        <v>1.9867300000000001</v>
      </c>
      <c r="GR114">
        <v>1.7801</v>
      </c>
      <c r="GS114">
        <v>-1.5847400000000001E-2</v>
      </c>
      <c r="GT114">
        <v>0</v>
      </c>
      <c r="GU114">
        <v>30.193300000000001</v>
      </c>
      <c r="GV114">
        <v>999.9</v>
      </c>
      <c r="GW114">
        <v>26.3</v>
      </c>
      <c r="GX114">
        <v>48.6</v>
      </c>
      <c r="GY114">
        <v>30.720400000000001</v>
      </c>
      <c r="GZ114">
        <v>60.683500000000002</v>
      </c>
      <c r="HA114">
        <v>39.038499999999999</v>
      </c>
      <c r="HB114">
        <v>1</v>
      </c>
      <c r="HC114">
        <v>0.59051100000000001</v>
      </c>
      <c r="HD114">
        <v>1.4278</v>
      </c>
      <c r="HE114">
        <v>20.107199999999999</v>
      </c>
      <c r="HF114">
        <v>5.2595200000000002</v>
      </c>
      <c r="HG114">
        <v>11.962</v>
      </c>
      <c r="HH114">
        <v>4.9797500000000001</v>
      </c>
      <c r="HI114">
        <v>3.298</v>
      </c>
      <c r="HJ114">
        <v>9999</v>
      </c>
      <c r="HK114">
        <v>9999</v>
      </c>
      <c r="HL114">
        <v>9999</v>
      </c>
      <c r="HM114">
        <v>999.9</v>
      </c>
      <c r="HN114">
        <v>1.86429</v>
      </c>
      <c r="HO114">
        <v>1.86026</v>
      </c>
      <c r="HP114">
        <v>1.8668499999999999</v>
      </c>
      <c r="HQ114">
        <v>1.8635600000000001</v>
      </c>
      <c r="HR114">
        <v>1.8621799999999999</v>
      </c>
      <c r="HS114">
        <v>1.8622000000000001</v>
      </c>
      <c r="HT114">
        <v>1.8634999999999999</v>
      </c>
      <c r="HU114">
        <v>1.8647800000000001</v>
      </c>
      <c r="HV114">
        <v>0</v>
      </c>
      <c r="HW114">
        <v>0</v>
      </c>
      <c r="HX114">
        <v>0</v>
      </c>
      <c r="HY114">
        <v>0</v>
      </c>
      <c r="HZ114" t="s">
        <v>424</v>
      </c>
      <c r="IA114" t="s">
        <v>425</v>
      </c>
      <c r="IB114" t="s">
        <v>426</v>
      </c>
      <c r="IC114" t="s">
        <v>426</v>
      </c>
      <c r="ID114" t="s">
        <v>426</v>
      </c>
      <c r="IE114" t="s">
        <v>426</v>
      </c>
      <c r="IF114">
        <v>0</v>
      </c>
      <c r="IG114">
        <v>100</v>
      </c>
      <c r="IH114">
        <v>100</v>
      </c>
      <c r="II114">
        <v>-6.5000000000000002E-2</v>
      </c>
      <c r="IJ114">
        <v>0.13089999999999999</v>
      </c>
      <c r="IK114">
        <v>-6.11366125432799E-2</v>
      </c>
      <c r="IL114">
        <v>-8.3322953065825546E-5</v>
      </c>
      <c r="IM114">
        <v>2.3872336679552741E-7</v>
      </c>
      <c r="IN114">
        <v>-5.428329794194132E-11</v>
      </c>
      <c r="IO114">
        <v>0.13090914437849299</v>
      </c>
      <c r="IP114">
        <v>0</v>
      </c>
      <c r="IQ114">
        <v>0</v>
      </c>
      <c r="IR114">
        <v>0</v>
      </c>
      <c r="IS114">
        <v>2</v>
      </c>
      <c r="IT114">
        <v>2035</v>
      </c>
      <c r="IU114">
        <v>1</v>
      </c>
      <c r="IV114">
        <v>21</v>
      </c>
      <c r="IW114">
        <v>1.9</v>
      </c>
      <c r="IX114">
        <v>1.8</v>
      </c>
      <c r="IY114">
        <v>1.06934</v>
      </c>
      <c r="IZ114">
        <v>2.7416999999999998</v>
      </c>
      <c r="JA114">
        <v>1.4526399999999999</v>
      </c>
      <c r="JB114">
        <v>2.2753899999999998</v>
      </c>
      <c r="JC114">
        <v>1.5942400000000001</v>
      </c>
      <c r="JD114">
        <v>2.4035600000000001</v>
      </c>
      <c r="JE114">
        <v>50.218699999999998</v>
      </c>
      <c r="JF114">
        <v>24.280100000000001</v>
      </c>
      <c r="JG114">
        <v>18</v>
      </c>
      <c r="JH114">
        <v>513.06299999999999</v>
      </c>
      <c r="JI114">
        <v>412.84500000000003</v>
      </c>
      <c r="JJ114">
        <v>28.1328</v>
      </c>
      <c r="JK114">
        <v>34.473999999999997</v>
      </c>
      <c r="JL114">
        <v>29.999600000000001</v>
      </c>
      <c r="JM114">
        <v>34.512</v>
      </c>
      <c r="JN114">
        <v>34.5229</v>
      </c>
      <c r="JO114">
        <v>21.341699999999999</v>
      </c>
      <c r="JP114">
        <v>39.1203</v>
      </c>
      <c r="JQ114">
        <v>0</v>
      </c>
      <c r="JR114">
        <v>28.167999999999999</v>
      </c>
      <c r="JS114">
        <v>400</v>
      </c>
      <c r="JT114">
        <v>19.349799999999998</v>
      </c>
      <c r="JU114">
        <v>98.878</v>
      </c>
      <c r="JV114">
        <v>98.260499999999993</v>
      </c>
    </row>
    <row r="115" spans="1:282" x14ac:dyDescent="0.25">
      <c r="A115">
        <v>99</v>
      </c>
      <c r="B115">
        <v>1689018891</v>
      </c>
      <c r="C115">
        <v>19550.400000095371</v>
      </c>
      <c r="D115" t="s">
        <v>920</v>
      </c>
      <c r="E115" t="s">
        <v>921</v>
      </c>
      <c r="F115" t="s">
        <v>414</v>
      </c>
      <c r="G115" t="s">
        <v>415</v>
      </c>
      <c r="H115" t="s">
        <v>416</v>
      </c>
      <c r="I115" t="s">
        <v>501</v>
      </c>
      <c r="J115" t="s">
        <v>500</v>
      </c>
      <c r="K115">
        <v>1689018891</v>
      </c>
      <c r="L115">
        <f t="shared" si="138"/>
        <v>6.9728724643371215E-3</v>
      </c>
      <c r="M115">
        <f t="shared" si="139"/>
        <v>6.9728724643371214</v>
      </c>
      <c r="N115">
        <f t="shared" si="140"/>
        <v>59.870028765722211</v>
      </c>
      <c r="O115">
        <f t="shared" si="141"/>
        <v>325.28199999999998</v>
      </c>
      <c r="P115">
        <f t="shared" si="142"/>
        <v>117.75262062101898</v>
      </c>
      <c r="Q115">
        <f t="shared" si="143"/>
        <v>11.682666464608216</v>
      </c>
      <c r="R115">
        <f t="shared" si="144"/>
        <v>32.272412222325997</v>
      </c>
      <c r="S115">
        <f t="shared" si="145"/>
        <v>0.51291399941218085</v>
      </c>
      <c r="T115">
        <f t="shared" si="146"/>
        <v>2.9120949895833945</v>
      </c>
      <c r="U115">
        <f t="shared" si="147"/>
        <v>0.46750057326975408</v>
      </c>
      <c r="V115">
        <f t="shared" si="148"/>
        <v>0.29593227186887916</v>
      </c>
      <c r="W115">
        <f t="shared" si="149"/>
        <v>289.56908401269925</v>
      </c>
      <c r="X115">
        <f t="shared" si="150"/>
        <v>30.32100013863651</v>
      </c>
      <c r="Y115">
        <f t="shared" si="151"/>
        <v>30.001000000000001</v>
      </c>
      <c r="Z115">
        <f t="shared" si="152"/>
        <v>4.2606944952902355</v>
      </c>
      <c r="AA115">
        <f t="shared" si="153"/>
        <v>64.904938221072356</v>
      </c>
      <c r="AB115">
        <f t="shared" si="154"/>
        <v>2.8338095209161001</v>
      </c>
      <c r="AC115">
        <f t="shared" si="155"/>
        <v>4.366092316834008</v>
      </c>
      <c r="AD115">
        <f t="shared" si="156"/>
        <v>1.4268849743741354</v>
      </c>
      <c r="AE115">
        <f t="shared" si="157"/>
        <v>-307.50367567726704</v>
      </c>
      <c r="AF115">
        <f t="shared" si="158"/>
        <v>66.896364209914452</v>
      </c>
      <c r="AG115">
        <f t="shared" si="159"/>
        <v>5.1186609494693727</v>
      </c>
      <c r="AH115">
        <f t="shared" si="160"/>
        <v>54.08043349481602</v>
      </c>
      <c r="AI115">
        <v>0</v>
      </c>
      <c r="AJ115">
        <v>0</v>
      </c>
      <c r="AK115">
        <f t="shared" si="161"/>
        <v>1</v>
      </c>
      <c r="AL115">
        <f t="shared" si="162"/>
        <v>0</v>
      </c>
      <c r="AM115">
        <f t="shared" si="163"/>
        <v>51763.745204835504</v>
      </c>
      <c r="AN115" t="s">
        <v>418</v>
      </c>
      <c r="AO115">
        <v>8197.4</v>
      </c>
      <c r="AP115">
        <v>619.92999999999995</v>
      </c>
      <c r="AQ115">
        <v>3131.443117258741</v>
      </c>
      <c r="AR115">
        <f t="shared" si="164"/>
        <v>0.80203057287443702</v>
      </c>
      <c r="AS115">
        <v>-1.0448500102641549</v>
      </c>
      <c r="AT115" t="s">
        <v>922</v>
      </c>
      <c r="AU115">
        <v>8182.77</v>
      </c>
      <c r="AV115">
        <v>837.56138461538467</v>
      </c>
      <c r="AW115">
        <v>1336.35416201406</v>
      </c>
      <c r="AX115">
        <f t="shared" si="165"/>
        <v>0.3732489422167321</v>
      </c>
      <c r="AY115">
        <v>0.5</v>
      </c>
      <c r="AZ115">
        <f t="shared" si="166"/>
        <v>1513.2012000065797</v>
      </c>
      <c r="BA115">
        <f t="shared" si="167"/>
        <v>59.870028765722211</v>
      </c>
      <c r="BB115">
        <f t="shared" si="168"/>
        <v>282.40037363177277</v>
      </c>
      <c r="BC115">
        <f t="shared" si="169"/>
        <v>4.0255637370444519E-2</v>
      </c>
      <c r="BD115">
        <f t="shared" si="170"/>
        <v>1.3432733673977921</v>
      </c>
      <c r="BE115">
        <f t="shared" si="171"/>
        <v>489.70435980845031</v>
      </c>
      <c r="BF115" t="s">
        <v>923</v>
      </c>
      <c r="BG115">
        <v>637.65</v>
      </c>
      <c r="BH115">
        <f t="shared" si="172"/>
        <v>637.65</v>
      </c>
      <c r="BI115">
        <f t="shared" si="173"/>
        <v>0.52284355590363996</v>
      </c>
      <c r="BJ115">
        <f t="shared" si="174"/>
        <v>0.71388264807364654</v>
      </c>
      <c r="BK115">
        <f t="shared" si="175"/>
        <v>0.71982272419530202</v>
      </c>
      <c r="BL115">
        <f t="shared" si="176"/>
        <v>0.69622550975449427</v>
      </c>
      <c r="BM115">
        <f t="shared" si="177"/>
        <v>0.71474400946150718</v>
      </c>
      <c r="BN115">
        <f t="shared" si="178"/>
        <v>0.54349123408213929</v>
      </c>
      <c r="BO115">
        <f t="shared" si="179"/>
        <v>0.45650876591786071</v>
      </c>
      <c r="BP115">
        <v>13766</v>
      </c>
      <c r="BQ115">
        <v>290.00000000000011</v>
      </c>
      <c r="BR115">
        <v>1164.45</v>
      </c>
      <c r="BS115">
        <v>295</v>
      </c>
      <c r="BT115">
        <v>8182.77</v>
      </c>
      <c r="BU115">
        <v>1166.8599999999999</v>
      </c>
      <c r="BV115">
        <v>-2.41</v>
      </c>
      <c r="BW115">
        <v>300.00000000000011</v>
      </c>
      <c r="BX115">
        <v>19.3</v>
      </c>
      <c r="BY115">
        <v>1336.35416201406</v>
      </c>
      <c r="BZ115">
        <v>4.3800402770269198</v>
      </c>
      <c r="CA115">
        <v>-138.68917927560179</v>
      </c>
      <c r="CB115">
        <v>3.291433488908583</v>
      </c>
      <c r="CC115">
        <v>0.98447443249304611</v>
      </c>
      <c r="CD115">
        <v>-4.2375548387096878E-3</v>
      </c>
      <c r="CE115">
        <v>289.99999999999989</v>
      </c>
      <c r="CF115">
        <v>1158.9100000000001</v>
      </c>
      <c r="CG115">
        <v>645</v>
      </c>
      <c r="CH115">
        <v>8172.65</v>
      </c>
      <c r="CI115">
        <v>1166.6600000000001</v>
      </c>
      <c r="CJ115">
        <v>-7.75</v>
      </c>
      <c r="CX115">
        <f t="shared" si="180"/>
        <v>1800.02</v>
      </c>
      <c r="CY115">
        <f t="shared" si="181"/>
        <v>1513.2012000065797</v>
      </c>
      <c r="CZ115">
        <f t="shared" si="182"/>
        <v>0.84065799269262553</v>
      </c>
      <c r="DA115">
        <f t="shared" si="183"/>
        <v>0.16086992589676741</v>
      </c>
      <c r="DB115">
        <v>6</v>
      </c>
      <c r="DC115">
        <v>0.5</v>
      </c>
      <c r="DD115" t="s">
        <v>421</v>
      </c>
      <c r="DE115">
        <v>2</v>
      </c>
      <c r="DF115">
        <v>1689018891</v>
      </c>
      <c r="DG115">
        <v>325.28199999999998</v>
      </c>
      <c r="DH115">
        <v>399.81799999999998</v>
      </c>
      <c r="DI115">
        <v>28.5627</v>
      </c>
      <c r="DJ115">
        <v>20.4375</v>
      </c>
      <c r="DK115">
        <v>325.39800000000002</v>
      </c>
      <c r="DL115">
        <v>28.436599999999999</v>
      </c>
      <c r="DM115">
        <v>500.2</v>
      </c>
      <c r="DN115">
        <v>99.113600000000005</v>
      </c>
      <c r="DO115">
        <v>0.10004300000000001</v>
      </c>
      <c r="DP115">
        <v>30.427099999999999</v>
      </c>
      <c r="DQ115">
        <v>30.001000000000001</v>
      </c>
      <c r="DR115">
        <v>999.9</v>
      </c>
      <c r="DS115">
        <v>0</v>
      </c>
      <c r="DT115">
        <v>0</v>
      </c>
      <c r="DU115">
        <v>9989.3799999999992</v>
      </c>
      <c r="DV115">
        <v>0</v>
      </c>
      <c r="DW115">
        <v>628.35199999999998</v>
      </c>
      <c r="DX115">
        <v>-74.535799999999995</v>
      </c>
      <c r="DY115">
        <v>334.846</v>
      </c>
      <c r="DZ115">
        <v>408.16</v>
      </c>
      <c r="EA115">
        <v>8.1251899999999999</v>
      </c>
      <c r="EB115">
        <v>399.81799999999998</v>
      </c>
      <c r="EC115">
        <v>20.4375</v>
      </c>
      <c r="ED115">
        <v>2.8309500000000001</v>
      </c>
      <c r="EE115">
        <v>2.02563</v>
      </c>
      <c r="EF115">
        <v>23.0657</v>
      </c>
      <c r="EG115">
        <v>17.646100000000001</v>
      </c>
      <c r="EH115">
        <v>1800.02</v>
      </c>
      <c r="EI115">
        <v>0.97800600000000004</v>
      </c>
      <c r="EJ115">
        <v>2.1994400000000001E-2</v>
      </c>
      <c r="EK115">
        <v>0</v>
      </c>
      <c r="EL115">
        <v>838.22</v>
      </c>
      <c r="EM115">
        <v>4.9999900000000004</v>
      </c>
      <c r="EN115">
        <v>18430.400000000001</v>
      </c>
      <c r="EO115">
        <v>15864</v>
      </c>
      <c r="EP115">
        <v>48.125</v>
      </c>
      <c r="EQ115">
        <v>48.875</v>
      </c>
      <c r="ER115">
        <v>48.686999999999998</v>
      </c>
      <c r="ES115">
        <v>48.5</v>
      </c>
      <c r="ET115">
        <v>49.875</v>
      </c>
      <c r="EU115">
        <v>1755.54</v>
      </c>
      <c r="EV115">
        <v>39.479999999999997</v>
      </c>
      <c r="EW115">
        <v>0</v>
      </c>
      <c r="EX115">
        <v>183.79999995231631</v>
      </c>
      <c r="EY115">
        <v>0</v>
      </c>
      <c r="EZ115">
        <v>837.56138461538467</v>
      </c>
      <c r="FA115">
        <v>5.5754530092868047</v>
      </c>
      <c r="FB115">
        <v>542.79999988841939</v>
      </c>
      <c r="FC115">
        <v>18282.973076923081</v>
      </c>
      <c r="FD115">
        <v>15</v>
      </c>
      <c r="FE115">
        <v>1689018847</v>
      </c>
      <c r="FF115" t="s">
        <v>924</v>
      </c>
      <c r="FG115">
        <v>1689018847</v>
      </c>
      <c r="FH115">
        <v>1689018845.5</v>
      </c>
      <c r="FI115">
        <v>110</v>
      </c>
      <c r="FJ115">
        <v>-5.0999999999999997E-2</v>
      </c>
      <c r="FK115">
        <v>-5.0000000000000001E-3</v>
      </c>
      <c r="FL115">
        <v>-0.111</v>
      </c>
      <c r="FM115">
        <v>9.0999999999999998E-2</v>
      </c>
      <c r="FN115">
        <v>400</v>
      </c>
      <c r="FO115">
        <v>20</v>
      </c>
      <c r="FP115">
        <v>0.03</v>
      </c>
      <c r="FQ115">
        <v>0.01</v>
      </c>
      <c r="FR115">
        <v>59.749837534734787</v>
      </c>
      <c r="FS115">
        <v>-0.36197271446929979</v>
      </c>
      <c r="FT115">
        <v>5.2316758622443983E-2</v>
      </c>
      <c r="FU115">
        <v>1</v>
      </c>
      <c r="FV115">
        <v>0.51654105218921964</v>
      </c>
      <c r="FW115">
        <v>-3.7693563711733262E-2</v>
      </c>
      <c r="FX115">
        <v>2.8584835744913119E-3</v>
      </c>
      <c r="FY115">
        <v>1</v>
      </c>
      <c r="FZ115">
        <v>2</v>
      </c>
      <c r="GA115">
        <v>2</v>
      </c>
      <c r="GB115" t="s">
        <v>423</v>
      </c>
      <c r="GC115">
        <v>2.9578600000000002</v>
      </c>
      <c r="GD115">
        <v>2.7431800000000002</v>
      </c>
      <c r="GE115">
        <v>7.5395299999999998E-2</v>
      </c>
      <c r="GF115">
        <v>8.8501399999999994E-2</v>
      </c>
      <c r="GG115">
        <v>0.130214</v>
      </c>
      <c r="GH115">
        <v>0.10255300000000001</v>
      </c>
      <c r="GI115">
        <v>21696.2</v>
      </c>
      <c r="GJ115">
        <v>19925.3</v>
      </c>
      <c r="GK115">
        <v>23399.3</v>
      </c>
      <c r="GL115">
        <v>21910.1</v>
      </c>
      <c r="GM115">
        <v>28708.799999999999</v>
      </c>
      <c r="GN115">
        <v>27447.200000000001</v>
      </c>
      <c r="GO115">
        <v>36926.5</v>
      </c>
      <c r="GP115">
        <v>34101.4</v>
      </c>
      <c r="GQ115">
        <v>1.98967</v>
      </c>
      <c r="GR115">
        <v>1.7882499999999999</v>
      </c>
      <c r="GS115">
        <v>2.7075399999999999E-2</v>
      </c>
      <c r="GT115">
        <v>0</v>
      </c>
      <c r="GU115">
        <v>29.560199999999998</v>
      </c>
      <c r="GV115">
        <v>999.9</v>
      </c>
      <c r="GW115">
        <v>25.7</v>
      </c>
      <c r="GX115">
        <v>48.4</v>
      </c>
      <c r="GY115">
        <v>29.7242</v>
      </c>
      <c r="GZ115">
        <v>60.323500000000003</v>
      </c>
      <c r="HA115">
        <v>39.431100000000001</v>
      </c>
      <c r="HB115">
        <v>1</v>
      </c>
      <c r="HC115">
        <v>0.55673300000000003</v>
      </c>
      <c r="HD115">
        <v>1.5881099999999999</v>
      </c>
      <c r="HE115">
        <v>20.105799999999999</v>
      </c>
      <c r="HF115">
        <v>5.26356</v>
      </c>
      <c r="HG115">
        <v>11.962199999999999</v>
      </c>
      <c r="HH115">
        <v>4.9798</v>
      </c>
      <c r="HI115">
        <v>3.298</v>
      </c>
      <c r="HJ115">
        <v>9999</v>
      </c>
      <c r="HK115">
        <v>9999</v>
      </c>
      <c r="HL115">
        <v>9999</v>
      </c>
      <c r="HM115">
        <v>999.9</v>
      </c>
      <c r="HN115">
        <v>1.8643000000000001</v>
      </c>
      <c r="HO115">
        <v>1.86025</v>
      </c>
      <c r="HP115">
        <v>1.8668100000000001</v>
      </c>
      <c r="HQ115">
        <v>1.8635600000000001</v>
      </c>
      <c r="HR115">
        <v>1.8621799999999999</v>
      </c>
      <c r="HS115">
        <v>1.86219</v>
      </c>
      <c r="HT115">
        <v>1.86348</v>
      </c>
      <c r="HU115">
        <v>1.8647800000000001</v>
      </c>
      <c r="HV115">
        <v>0</v>
      </c>
      <c r="HW115">
        <v>0</v>
      </c>
      <c r="HX115">
        <v>0</v>
      </c>
      <c r="HY115">
        <v>0</v>
      </c>
      <c r="HZ115" t="s">
        <v>424</v>
      </c>
      <c r="IA115" t="s">
        <v>425</v>
      </c>
      <c r="IB115" t="s">
        <v>426</v>
      </c>
      <c r="IC115" t="s">
        <v>426</v>
      </c>
      <c r="ID115" t="s">
        <v>426</v>
      </c>
      <c r="IE115" t="s">
        <v>426</v>
      </c>
      <c r="IF115">
        <v>0</v>
      </c>
      <c r="IG115">
        <v>100</v>
      </c>
      <c r="IH115">
        <v>100</v>
      </c>
      <c r="II115">
        <v>-0.11600000000000001</v>
      </c>
      <c r="IJ115">
        <v>0.12609999999999999</v>
      </c>
      <c r="IK115">
        <v>-0.1124584841823375</v>
      </c>
      <c r="IL115">
        <v>-8.3322953065825546E-5</v>
      </c>
      <c r="IM115">
        <v>2.3872336679552741E-7</v>
      </c>
      <c r="IN115">
        <v>-5.428329794194132E-11</v>
      </c>
      <c r="IO115">
        <v>0.12602246998895469</v>
      </c>
      <c r="IP115">
        <v>0</v>
      </c>
      <c r="IQ115">
        <v>0</v>
      </c>
      <c r="IR115">
        <v>0</v>
      </c>
      <c r="IS115">
        <v>2</v>
      </c>
      <c r="IT115">
        <v>2035</v>
      </c>
      <c r="IU115">
        <v>1</v>
      </c>
      <c r="IV115">
        <v>21</v>
      </c>
      <c r="IW115">
        <v>0.7</v>
      </c>
      <c r="IX115">
        <v>0.8</v>
      </c>
      <c r="IY115">
        <v>1.07056</v>
      </c>
      <c r="IZ115">
        <v>2.7416999999999998</v>
      </c>
      <c r="JA115">
        <v>1.4514199999999999</v>
      </c>
      <c r="JB115">
        <v>2.2741699999999998</v>
      </c>
      <c r="JC115">
        <v>1.5942400000000001</v>
      </c>
      <c r="JD115">
        <v>2.34497</v>
      </c>
      <c r="JE115">
        <v>49.865600000000001</v>
      </c>
      <c r="JF115">
        <v>24.2714</v>
      </c>
      <c r="JG115">
        <v>18</v>
      </c>
      <c r="JH115">
        <v>512.93600000000004</v>
      </c>
      <c r="JI115">
        <v>416.48500000000001</v>
      </c>
      <c r="JJ115">
        <v>28.1831</v>
      </c>
      <c r="JK115">
        <v>34.131100000000004</v>
      </c>
      <c r="JL115">
        <v>29.9983</v>
      </c>
      <c r="JM115">
        <v>34.2667</v>
      </c>
      <c r="JN115">
        <v>34.280200000000001</v>
      </c>
      <c r="JO115">
        <v>21.3781</v>
      </c>
      <c r="JP115">
        <v>30.9908</v>
      </c>
      <c r="JQ115">
        <v>0</v>
      </c>
      <c r="JR115">
        <v>28.190300000000001</v>
      </c>
      <c r="JS115">
        <v>400</v>
      </c>
      <c r="JT115">
        <v>20.442699999999999</v>
      </c>
      <c r="JU115">
        <v>98.967399999999998</v>
      </c>
      <c r="JV115">
        <v>98.356300000000005</v>
      </c>
    </row>
    <row r="116" spans="1:282" x14ac:dyDescent="0.25">
      <c r="A116">
        <v>100</v>
      </c>
      <c r="B116">
        <v>1689019026.0999999</v>
      </c>
      <c r="C116">
        <v>19685.5</v>
      </c>
      <c r="D116" t="s">
        <v>925</v>
      </c>
      <c r="E116" t="s">
        <v>926</v>
      </c>
      <c r="F116" t="s">
        <v>414</v>
      </c>
      <c r="G116" t="s">
        <v>415</v>
      </c>
      <c r="H116" t="s">
        <v>416</v>
      </c>
      <c r="I116" t="s">
        <v>501</v>
      </c>
      <c r="J116" t="s">
        <v>500</v>
      </c>
      <c r="K116">
        <v>1689019026.0999999</v>
      </c>
      <c r="L116">
        <f t="shared" si="138"/>
        <v>6.9503175777634665E-3</v>
      </c>
      <c r="M116">
        <f t="shared" si="139"/>
        <v>6.9503175777634665</v>
      </c>
      <c r="N116">
        <f t="shared" si="140"/>
        <v>60.231347559580328</v>
      </c>
      <c r="O116">
        <f t="shared" si="141"/>
        <v>325.23399999999998</v>
      </c>
      <c r="P116">
        <f t="shared" si="142"/>
        <v>117.03821158983857</v>
      </c>
      <c r="Q116">
        <f t="shared" si="143"/>
        <v>11.610842071212979</v>
      </c>
      <c r="R116">
        <f t="shared" si="144"/>
        <v>32.265023182537597</v>
      </c>
      <c r="S116">
        <f t="shared" si="145"/>
        <v>0.51422898358098446</v>
      </c>
      <c r="T116">
        <f t="shared" si="146"/>
        <v>2.9186354261598524</v>
      </c>
      <c r="U116">
        <f t="shared" si="147"/>
        <v>0.46868605977177896</v>
      </c>
      <c r="V116">
        <f t="shared" si="148"/>
        <v>0.29668378113911065</v>
      </c>
      <c r="W116">
        <f t="shared" si="149"/>
        <v>289.55907001270617</v>
      </c>
      <c r="X116">
        <f t="shared" si="150"/>
        <v>30.276330475337804</v>
      </c>
      <c r="Y116">
        <f t="shared" si="151"/>
        <v>30.061199999999999</v>
      </c>
      <c r="Z116">
        <f t="shared" si="152"/>
        <v>4.2754493978417027</v>
      </c>
      <c r="AA116">
        <f t="shared" si="153"/>
        <v>65.630491720013964</v>
      </c>
      <c r="AB116">
        <f t="shared" si="154"/>
        <v>2.8571798356598395</v>
      </c>
      <c r="AC116">
        <f t="shared" si="155"/>
        <v>4.353433534901499</v>
      </c>
      <c r="AD116">
        <f t="shared" si="156"/>
        <v>1.4182695621818633</v>
      </c>
      <c r="AE116">
        <f t="shared" si="157"/>
        <v>-306.5090051793689</v>
      </c>
      <c r="AF116">
        <f t="shared" si="158"/>
        <v>49.596553919585098</v>
      </c>
      <c r="AG116">
        <f t="shared" si="159"/>
        <v>3.7866167472640986</v>
      </c>
      <c r="AH116">
        <f t="shared" si="160"/>
        <v>36.433235500186449</v>
      </c>
      <c r="AI116">
        <v>0</v>
      </c>
      <c r="AJ116">
        <v>0</v>
      </c>
      <c r="AK116">
        <f t="shared" si="161"/>
        <v>1</v>
      </c>
      <c r="AL116">
        <f t="shared" si="162"/>
        <v>0</v>
      </c>
      <c r="AM116">
        <f t="shared" si="163"/>
        <v>51958.1623163185</v>
      </c>
      <c r="AN116" t="s">
        <v>418</v>
      </c>
      <c r="AO116">
        <v>8197.4</v>
      </c>
      <c r="AP116">
        <v>619.92999999999995</v>
      </c>
      <c r="AQ116">
        <v>3131.443117258741</v>
      </c>
      <c r="AR116">
        <f t="shared" si="164"/>
        <v>0.80203057287443702</v>
      </c>
      <c r="AS116">
        <v>-1.0448500102641549</v>
      </c>
      <c r="AT116" t="s">
        <v>927</v>
      </c>
      <c r="AU116">
        <v>8184.39</v>
      </c>
      <c r="AV116">
        <v>847.14246153846136</v>
      </c>
      <c r="AW116">
        <v>1362.8069663031499</v>
      </c>
      <c r="AX116">
        <f t="shared" si="165"/>
        <v>0.37838411272839167</v>
      </c>
      <c r="AY116">
        <v>0.5</v>
      </c>
      <c r="AZ116">
        <f t="shared" si="166"/>
        <v>1513.1430000065834</v>
      </c>
      <c r="BA116">
        <f t="shared" si="167"/>
        <v>60.231347559580328</v>
      </c>
      <c r="BB116">
        <f t="shared" si="168"/>
        <v>286.27463574433392</v>
      </c>
      <c r="BC116">
        <f t="shared" si="169"/>
        <v>4.0495972667208509E-2</v>
      </c>
      <c r="BD116">
        <f t="shared" si="170"/>
        <v>1.2977891914900634</v>
      </c>
      <c r="BE116">
        <f t="shared" si="171"/>
        <v>493.21255620555161</v>
      </c>
      <c r="BF116" t="s">
        <v>928</v>
      </c>
      <c r="BG116">
        <v>645.29999999999995</v>
      </c>
      <c r="BH116">
        <f t="shared" si="172"/>
        <v>645.29999999999995</v>
      </c>
      <c r="BI116">
        <f t="shared" si="173"/>
        <v>0.52649200073397917</v>
      </c>
      <c r="BJ116">
        <f t="shared" si="174"/>
        <v>0.71868919603885484</v>
      </c>
      <c r="BK116">
        <f t="shared" si="175"/>
        <v>0.71139756141863475</v>
      </c>
      <c r="BL116">
        <f t="shared" si="176"/>
        <v>0.69414523286519347</v>
      </c>
      <c r="BM116">
        <f t="shared" si="177"/>
        <v>0.70421139304500902</v>
      </c>
      <c r="BN116">
        <f t="shared" si="178"/>
        <v>0.54745235808583914</v>
      </c>
      <c r="BO116">
        <f t="shared" si="179"/>
        <v>0.45254764191416086</v>
      </c>
      <c r="BP116">
        <v>13768</v>
      </c>
      <c r="BQ116">
        <v>290.00000000000011</v>
      </c>
      <c r="BR116">
        <v>1184.53</v>
      </c>
      <c r="BS116">
        <v>295</v>
      </c>
      <c r="BT116">
        <v>8184.39</v>
      </c>
      <c r="BU116">
        <v>1188.05</v>
      </c>
      <c r="BV116">
        <v>-3.52</v>
      </c>
      <c r="BW116">
        <v>300.00000000000011</v>
      </c>
      <c r="BX116">
        <v>19.3</v>
      </c>
      <c r="BY116">
        <v>1362.8069663031499</v>
      </c>
      <c r="BZ116">
        <v>5.0336971921072813</v>
      </c>
      <c r="CA116">
        <v>-143.03149689801049</v>
      </c>
      <c r="CB116">
        <v>3.7834056418522972</v>
      </c>
      <c r="CC116">
        <v>0.98078526450915393</v>
      </c>
      <c r="CD116">
        <v>-4.2380080088987729E-3</v>
      </c>
      <c r="CE116">
        <v>289.99999999999989</v>
      </c>
      <c r="CF116">
        <v>1179.6500000000001</v>
      </c>
      <c r="CG116">
        <v>645</v>
      </c>
      <c r="CH116">
        <v>8174.31</v>
      </c>
      <c r="CI116">
        <v>1187.83</v>
      </c>
      <c r="CJ116">
        <v>-8.18</v>
      </c>
      <c r="CX116">
        <f t="shared" si="180"/>
        <v>1799.95</v>
      </c>
      <c r="CY116">
        <f t="shared" si="181"/>
        <v>1513.1430000065834</v>
      </c>
      <c r="CZ116">
        <f t="shared" si="182"/>
        <v>0.84065835162453595</v>
      </c>
      <c r="DA116">
        <f t="shared" si="183"/>
        <v>0.1608706186353544</v>
      </c>
      <c r="DB116">
        <v>6</v>
      </c>
      <c r="DC116">
        <v>0.5</v>
      </c>
      <c r="DD116" t="s">
        <v>421</v>
      </c>
      <c r="DE116">
        <v>2</v>
      </c>
      <c r="DF116">
        <v>1689019026.0999999</v>
      </c>
      <c r="DG116">
        <v>325.23399999999998</v>
      </c>
      <c r="DH116">
        <v>400.20499999999998</v>
      </c>
      <c r="DI116">
        <v>28.800599999999999</v>
      </c>
      <c r="DJ116">
        <v>20.702500000000001</v>
      </c>
      <c r="DK116">
        <v>325.31099999999998</v>
      </c>
      <c r="DL116">
        <v>28.6692</v>
      </c>
      <c r="DM116">
        <v>500.12799999999999</v>
      </c>
      <c r="DN116">
        <v>99.1066</v>
      </c>
      <c r="DO116">
        <v>9.8966399999999996E-2</v>
      </c>
      <c r="DP116">
        <v>30.3764</v>
      </c>
      <c r="DQ116">
        <v>30.061199999999999</v>
      </c>
      <c r="DR116">
        <v>999.9</v>
      </c>
      <c r="DS116">
        <v>0</v>
      </c>
      <c r="DT116">
        <v>0</v>
      </c>
      <c r="DU116">
        <v>10027.5</v>
      </c>
      <c r="DV116">
        <v>0</v>
      </c>
      <c r="DW116">
        <v>2159.27</v>
      </c>
      <c r="DX116">
        <v>-74.971199999999996</v>
      </c>
      <c r="DY116">
        <v>334.87900000000002</v>
      </c>
      <c r="DZ116">
        <v>408.66500000000002</v>
      </c>
      <c r="EA116">
        <v>8.0980399999999992</v>
      </c>
      <c r="EB116">
        <v>400.20499999999998</v>
      </c>
      <c r="EC116">
        <v>20.702500000000001</v>
      </c>
      <c r="ED116">
        <v>2.85433</v>
      </c>
      <c r="EE116">
        <v>2.0517599999999998</v>
      </c>
      <c r="EF116">
        <v>23.201699999999999</v>
      </c>
      <c r="EG116">
        <v>17.849499999999999</v>
      </c>
      <c r="EH116">
        <v>1799.95</v>
      </c>
      <c r="EI116">
        <v>0.97799599999999998</v>
      </c>
      <c r="EJ116">
        <v>2.20039E-2</v>
      </c>
      <c r="EK116">
        <v>0</v>
      </c>
      <c r="EL116">
        <v>847.70799999999997</v>
      </c>
      <c r="EM116">
        <v>4.9999900000000004</v>
      </c>
      <c r="EN116">
        <v>23012.2</v>
      </c>
      <c r="EO116">
        <v>15863.4</v>
      </c>
      <c r="EP116">
        <v>47.936999999999998</v>
      </c>
      <c r="EQ116">
        <v>48.75</v>
      </c>
      <c r="ER116">
        <v>48.436999999999998</v>
      </c>
      <c r="ES116">
        <v>48.311999999999998</v>
      </c>
      <c r="ET116">
        <v>49.686999999999998</v>
      </c>
      <c r="EU116">
        <v>1755.45</v>
      </c>
      <c r="EV116">
        <v>39.5</v>
      </c>
      <c r="EW116">
        <v>0</v>
      </c>
      <c r="EX116">
        <v>133.20000004768369</v>
      </c>
      <c r="EY116">
        <v>0</v>
      </c>
      <c r="EZ116">
        <v>847.14246153846136</v>
      </c>
      <c r="FA116">
        <v>4.9330598397807641</v>
      </c>
      <c r="FB116">
        <v>790.83076948105622</v>
      </c>
      <c r="FC116">
        <v>22927.146153846159</v>
      </c>
      <c r="FD116">
        <v>15</v>
      </c>
      <c r="FE116">
        <v>1689018989</v>
      </c>
      <c r="FF116" t="s">
        <v>929</v>
      </c>
      <c r="FG116">
        <v>1689018980</v>
      </c>
      <c r="FH116">
        <v>1689018989</v>
      </c>
      <c r="FI116">
        <v>111</v>
      </c>
      <c r="FJ116">
        <v>3.9E-2</v>
      </c>
      <c r="FK116">
        <v>5.0000000000000001E-3</v>
      </c>
      <c r="FL116">
        <v>-7.1999999999999995E-2</v>
      </c>
      <c r="FM116">
        <v>0.106</v>
      </c>
      <c r="FN116">
        <v>400</v>
      </c>
      <c r="FO116">
        <v>21</v>
      </c>
      <c r="FP116">
        <v>0.03</v>
      </c>
      <c r="FQ116">
        <v>0.01</v>
      </c>
      <c r="FR116">
        <v>60.390438411139407</v>
      </c>
      <c r="FS116">
        <v>-0.37072063014028722</v>
      </c>
      <c r="FT116">
        <v>4.2499654861678872E-2</v>
      </c>
      <c r="FU116">
        <v>1</v>
      </c>
      <c r="FV116">
        <v>0.512843898639051</v>
      </c>
      <c r="FW116">
        <v>4.5017016039534591E-2</v>
      </c>
      <c r="FX116">
        <v>3.533330424714245E-3</v>
      </c>
      <c r="FY116">
        <v>1</v>
      </c>
      <c r="FZ116">
        <v>2</v>
      </c>
      <c r="GA116">
        <v>2</v>
      </c>
      <c r="GB116" t="s">
        <v>423</v>
      </c>
      <c r="GC116">
        <v>2.9580099999999998</v>
      </c>
      <c r="GD116">
        <v>2.7424400000000002</v>
      </c>
      <c r="GE116">
        <v>7.5431499999999999E-2</v>
      </c>
      <c r="GF116">
        <v>8.8623900000000005E-2</v>
      </c>
      <c r="GG116">
        <v>0.131023</v>
      </c>
      <c r="GH116">
        <v>0.103543</v>
      </c>
      <c r="GI116">
        <v>21715</v>
      </c>
      <c r="GJ116">
        <v>19941.8</v>
      </c>
      <c r="GK116">
        <v>23419.3</v>
      </c>
      <c r="GL116">
        <v>21930.2</v>
      </c>
      <c r="GM116">
        <v>28704.3</v>
      </c>
      <c r="GN116">
        <v>27439.3</v>
      </c>
      <c r="GO116">
        <v>36958</v>
      </c>
      <c r="GP116">
        <v>34130.1</v>
      </c>
      <c r="GQ116">
        <v>1.9926200000000001</v>
      </c>
      <c r="GR116">
        <v>1.7952699999999999</v>
      </c>
      <c r="GS116">
        <v>1.9323099999999999E-2</v>
      </c>
      <c r="GT116">
        <v>0</v>
      </c>
      <c r="GU116">
        <v>29.746700000000001</v>
      </c>
      <c r="GV116">
        <v>999.9</v>
      </c>
      <c r="GW116">
        <v>25.4</v>
      </c>
      <c r="GX116">
        <v>48.2</v>
      </c>
      <c r="GY116">
        <v>29.081499999999998</v>
      </c>
      <c r="GZ116">
        <v>59.898000000000003</v>
      </c>
      <c r="HA116">
        <v>39.591299999999997</v>
      </c>
      <c r="HB116">
        <v>1</v>
      </c>
      <c r="HC116">
        <v>0.52170000000000005</v>
      </c>
      <c r="HD116">
        <v>2.4651700000000001</v>
      </c>
      <c r="HE116">
        <v>20.093900000000001</v>
      </c>
      <c r="HF116">
        <v>5.2589199999999998</v>
      </c>
      <c r="HG116">
        <v>11.9625</v>
      </c>
      <c r="HH116">
        <v>4.9789000000000003</v>
      </c>
      <c r="HI116">
        <v>3.29725</v>
      </c>
      <c r="HJ116">
        <v>9999</v>
      </c>
      <c r="HK116">
        <v>9999</v>
      </c>
      <c r="HL116">
        <v>9999</v>
      </c>
      <c r="HM116">
        <v>999.9</v>
      </c>
      <c r="HN116">
        <v>1.8643099999999999</v>
      </c>
      <c r="HO116">
        <v>1.8602799999999999</v>
      </c>
      <c r="HP116">
        <v>1.8668</v>
      </c>
      <c r="HQ116">
        <v>1.8635600000000001</v>
      </c>
      <c r="HR116">
        <v>1.8621799999999999</v>
      </c>
      <c r="HS116">
        <v>1.86219</v>
      </c>
      <c r="HT116">
        <v>1.86351</v>
      </c>
      <c r="HU116">
        <v>1.8647800000000001</v>
      </c>
      <c r="HV116">
        <v>0</v>
      </c>
      <c r="HW116">
        <v>0</v>
      </c>
      <c r="HX116">
        <v>0</v>
      </c>
      <c r="HY116">
        <v>0</v>
      </c>
      <c r="HZ116" t="s">
        <v>424</v>
      </c>
      <c r="IA116" t="s">
        <v>425</v>
      </c>
      <c r="IB116" t="s">
        <v>426</v>
      </c>
      <c r="IC116" t="s">
        <v>426</v>
      </c>
      <c r="ID116" t="s">
        <v>426</v>
      </c>
      <c r="IE116" t="s">
        <v>426</v>
      </c>
      <c r="IF116">
        <v>0</v>
      </c>
      <c r="IG116">
        <v>100</v>
      </c>
      <c r="IH116">
        <v>100</v>
      </c>
      <c r="II116">
        <v>-7.6999999999999999E-2</v>
      </c>
      <c r="IJ116">
        <v>0.13139999999999999</v>
      </c>
      <c r="IK116">
        <v>-7.3390916856513944E-2</v>
      </c>
      <c r="IL116">
        <v>-8.3322953065825546E-5</v>
      </c>
      <c r="IM116">
        <v>2.3872336679552741E-7</v>
      </c>
      <c r="IN116">
        <v>-5.428329794194132E-11</v>
      </c>
      <c r="IO116">
        <v>0.13139172365903501</v>
      </c>
      <c r="IP116">
        <v>0</v>
      </c>
      <c r="IQ116">
        <v>0</v>
      </c>
      <c r="IR116">
        <v>0</v>
      </c>
      <c r="IS116">
        <v>2</v>
      </c>
      <c r="IT116">
        <v>2035</v>
      </c>
      <c r="IU116">
        <v>1</v>
      </c>
      <c r="IV116">
        <v>21</v>
      </c>
      <c r="IW116">
        <v>0.8</v>
      </c>
      <c r="IX116">
        <v>0.6</v>
      </c>
      <c r="IY116">
        <v>1.07056</v>
      </c>
      <c r="IZ116">
        <v>2.7380399999999998</v>
      </c>
      <c r="JA116">
        <v>1.4514199999999999</v>
      </c>
      <c r="JB116">
        <v>2.2729499999999998</v>
      </c>
      <c r="JC116">
        <v>1.5942400000000001</v>
      </c>
      <c r="JD116">
        <v>2.4169900000000002</v>
      </c>
      <c r="JE116">
        <v>49.5792</v>
      </c>
      <c r="JF116">
        <v>24.2714</v>
      </c>
      <c r="JG116">
        <v>18</v>
      </c>
      <c r="JH116">
        <v>512.45500000000004</v>
      </c>
      <c r="JI116">
        <v>419.14299999999997</v>
      </c>
      <c r="JJ116">
        <v>27.612200000000001</v>
      </c>
      <c r="JK116">
        <v>33.806100000000001</v>
      </c>
      <c r="JL116">
        <v>29.999700000000001</v>
      </c>
      <c r="JM116">
        <v>33.981400000000001</v>
      </c>
      <c r="JN116">
        <v>34.0062</v>
      </c>
      <c r="JO116">
        <v>21.394400000000001</v>
      </c>
      <c r="JP116">
        <v>29.114799999999999</v>
      </c>
      <c r="JQ116">
        <v>0</v>
      </c>
      <c r="JR116">
        <v>27.568200000000001</v>
      </c>
      <c r="JS116">
        <v>400</v>
      </c>
      <c r="JT116">
        <v>20.572399999999998</v>
      </c>
      <c r="JU116">
        <v>99.051900000000003</v>
      </c>
      <c r="JV116">
        <v>98.441900000000004</v>
      </c>
    </row>
    <row r="117" spans="1:282" x14ac:dyDescent="0.25">
      <c r="A117">
        <v>101</v>
      </c>
      <c r="B117">
        <v>1689019190.5999999</v>
      </c>
      <c r="C117">
        <v>19850</v>
      </c>
      <c r="D117" t="s">
        <v>930</v>
      </c>
      <c r="E117" t="s">
        <v>931</v>
      </c>
      <c r="F117" t="s">
        <v>414</v>
      </c>
      <c r="G117" t="s">
        <v>415</v>
      </c>
      <c r="H117" t="s">
        <v>416</v>
      </c>
      <c r="I117" t="s">
        <v>501</v>
      </c>
      <c r="J117" t="s">
        <v>500</v>
      </c>
      <c r="K117">
        <v>1689019190.5999999</v>
      </c>
      <c r="L117">
        <f t="shared" si="138"/>
        <v>7.3381615693068796E-3</v>
      </c>
      <c r="M117">
        <f t="shared" si="139"/>
        <v>7.3381615693068794</v>
      </c>
      <c r="N117">
        <f t="shared" si="140"/>
        <v>62.649514507260648</v>
      </c>
      <c r="O117">
        <f t="shared" si="141"/>
        <v>420.988</v>
      </c>
      <c r="P117">
        <f t="shared" si="142"/>
        <v>208.41311318360647</v>
      </c>
      <c r="Q117">
        <f t="shared" si="143"/>
        <v>20.675149628882263</v>
      </c>
      <c r="R117">
        <f t="shared" si="144"/>
        <v>41.763158560449597</v>
      </c>
      <c r="S117">
        <f t="shared" si="145"/>
        <v>0.53100571908827832</v>
      </c>
      <c r="T117">
        <f t="shared" si="146"/>
        <v>2.9161753309347005</v>
      </c>
      <c r="U117">
        <f t="shared" si="147"/>
        <v>0.48255541845054989</v>
      </c>
      <c r="V117">
        <f t="shared" si="148"/>
        <v>0.30558096024573567</v>
      </c>
      <c r="W117">
        <f t="shared" si="149"/>
        <v>289.60375801270419</v>
      </c>
      <c r="X117">
        <f t="shared" si="150"/>
        <v>29.940425163592565</v>
      </c>
      <c r="Y117">
        <f t="shared" si="151"/>
        <v>29.985499999999998</v>
      </c>
      <c r="Z117">
        <f t="shared" si="152"/>
        <v>4.2569026671758685</v>
      </c>
      <c r="AA117">
        <f t="shared" si="153"/>
        <v>65.236237597909081</v>
      </c>
      <c r="AB117">
        <f t="shared" si="154"/>
        <v>2.80201084707276</v>
      </c>
      <c r="AC117">
        <f t="shared" si="155"/>
        <v>4.2951754274108671</v>
      </c>
      <c r="AD117">
        <f t="shared" si="156"/>
        <v>1.4548918201031085</v>
      </c>
      <c r="AE117">
        <f t="shared" si="157"/>
        <v>-323.61292520643337</v>
      </c>
      <c r="AF117">
        <f t="shared" si="158"/>
        <v>24.51010604840712</v>
      </c>
      <c r="AG117">
        <f t="shared" si="159"/>
        <v>1.870008082218549</v>
      </c>
      <c r="AH117">
        <f t="shared" si="160"/>
        <v>-7.6290530631035303</v>
      </c>
      <c r="AI117">
        <v>0</v>
      </c>
      <c r="AJ117">
        <v>0</v>
      </c>
      <c r="AK117">
        <f t="shared" si="161"/>
        <v>1</v>
      </c>
      <c r="AL117">
        <f t="shared" si="162"/>
        <v>0</v>
      </c>
      <c r="AM117">
        <f t="shared" si="163"/>
        <v>51928.344513935983</v>
      </c>
      <c r="AN117" t="s">
        <v>418</v>
      </c>
      <c r="AO117">
        <v>8197.4</v>
      </c>
      <c r="AP117">
        <v>619.92999999999995</v>
      </c>
      <c r="AQ117">
        <v>3131.443117258741</v>
      </c>
      <c r="AR117">
        <f t="shared" si="164"/>
        <v>0.80203057287443702</v>
      </c>
      <c r="AS117">
        <v>-1.0448500102641549</v>
      </c>
      <c r="AT117" t="s">
        <v>932</v>
      </c>
      <c r="AU117">
        <v>8185.21</v>
      </c>
      <c r="AV117">
        <v>868.49342307692302</v>
      </c>
      <c r="AW117">
        <v>1411.4489874175979</v>
      </c>
      <c r="AX117">
        <f t="shared" si="165"/>
        <v>0.38467955213462734</v>
      </c>
      <c r="AY117">
        <v>0.5</v>
      </c>
      <c r="AZ117">
        <f t="shared" si="166"/>
        <v>1513.3782000065826</v>
      </c>
      <c r="BA117">
        <f t="shared" si="167"/>
        <v>62.649514507260648</v>
      </c>
      <c r="BB117">
        <f t="shared" si="168"/>
        <v>291.08282409442035</v>
      </c>
      <c r="BC117">
        <f t="shared" si="169"/>
        <v>4.2087539332367654E-2</v>
      </c>
      <c r="BD117">
        <f t="shared" si="170"/>
        <v>1.2186016959692343</v>
      </c>
      <c r="BE117">
        <f t="shared" si="171"/>
        <v>499.44173847100103</v>
      </c>
      <c r="BF117" t="s">
        <v>933</v>
      </c>
      <c r="BG117">
        <v>647.66</v>
      </c>
      <c r="BH117">
        <f t="shared" si="172"/>
        <v>647.66</v>
      </c>
      <c r="BI117">
        <f t="shared" si="173"/>
        <v>0.54113821627732672</v>
      </c>
      <c r="BJ117">
        <f t="shared" si="174"/>
        <v>0.71087116112583659</v>
      </c>
      <c r="BK117">
        <f t="shared" si="175"/>
        <v>0.69248966139178714</v>
      </c>
      <c r="BL117">
        <f t="shared" si="176"/>
        <v>0.68596656930759969</v>
      </c>
      <c r="BM117">
        <f t="shared" si="177"/>
        <v>0.68484377725188916</v>
      </c>
      <c r="BN117">
        <f t="shared" si="178"/>
        <v>0.53011664104908385</v>
      </c>
      <c r="BO117">
        <f t="shared" si="179"/>
        <v>0.46988335895091615</v>
      </c>
      <c r="BP117">
        <v>13770</v>
      </c>
      <c r="BQ117">
        <v>290.00000000000011</v>
      </c>
      <c r="BR117">
        <v>1236.46</v>
      </c>
      <c r="BS117">
        <v>295</v>
      </c>
      <c r="BT117">
        <v>8185.21</v>
      </c>
      <c r="BU117">
        <v>1240.74</v>
      </c>
      <c r="BV117">
        <v>-4.28</v>
      </c>
      <c r="BW117">
        <v>300.00000000000011</v>
      </c>
      <c r="BX117">
        <v>19.3</v>
      </c>
      <c r="BY117">
        <v>1411.4489874175979</v>
      </c>
      <c r="BZ117">
        <v>4.9155112257090821</v>
      </c>
      <c r="CA117">
        <v>-139.72785718368519</v>
      </c>
      <c r="CB117">
        <v>3.6949423752243642</v>
      </c>
      <c r="CC117">
        <v>0.98079624453383285</v>
      </c>
      <c r="CD117">
        <v>-4.2385946607341454E-3</v>
      </c>
      <c r="CE117">
        <v>289.99999999999989</v>
      </c>
      <c r="CF117">
        <v>1234.8699999999999</v>
      </c>
      <c r="CG117">
        <v>635</v>
      </c>
      <c r="CH117">
        <v>8175.48</v>
      </c>
      <c r="CI117">
        <v>1240.54</v>
      </c>
      <c r="CJ117">
        <v>-5.67</v>
      </c>
      <c r="CX117">
        <f t="shared" si="180"/>
        <v>1800.23</v>
      </c>
      <c r="CY117">
        <f t="shared" si="181"/>
        <v>1513.3782000065826</v>
      </c>
      <c r="CZ117">
        <f t="shared" si="182"/>
        <v>0.84065824922736676</v>
      </c>
      <c r="DA117">
        <f t="shared" si="183"/>
        <v>0.16087042100881788</v>
      </c>
      <c r="DB117">
        <v>6</v>
      </c>
      <c r="DC117">
        <v>0.5</v>
      </c>
      <c r="DD117" t="s">
        <v>421</v>
      </c>
      <c r="DE117">
        <v>2</v>
      </c>
      <c r="DF117">
        <v>1689019190.5999999</v>
      </c>
      <c r="DG117">
        <v>420.988</v>
      </c>
      <c r="DH117">
        <v>499.84899999999999</v>
      </c>
      <c r="DI117">
        <v>28.2453</v>
      </c>
      <c r="DJ117">
        <v>19.690999999999999</v>
      </c>
      <c r="DK117">
        <v>421.06900000000002</v>
      </c>
      <c r="DL117">
        <v>28.105599999999999</v>
      </c>
      <c r="DM117">
        <v>500.16199999999998</v>
      </c>
      <c r="DN117">
        <v>99.102800000000002</v>
      </c>
      <c r="DO117">
        <v>9.9929199999999996E-2</v>
      </c>
      <c r="DP117">
        <v>30.141400000000001</v>
      </c>
      <c r="DQ117">
        <v>29.985499999999998</v>
      </c>
      <c r="DR117">
        <v>999.9</v>
      </c>
      <c r="DS117">
        <v>0</v>
      </c>
      <c r="DT117">
        <v>0</v>
      </c>
      <c r="DU117">
        <v>10013.799999999999</v>
      </c>
      <c r="DV117">
        <v>0</v>
      </c>
      <c r="DW117">
        <v>1960.36</v>
      </c>
      <c r="DX117">
        <v>-78.860900000000001</v>
      </c>
      <c r="DY117">
        <v>433.22500000000002</v>
      </c>
      <c r="DZ117">
        <v>509.88900000000001</v>
      </c>
      <c r="EA117">
        <v>8.5543499999999995</v>
      </c>
      <c r="EB117">
        <v>499.84899999999999</v>
      </c>
      <c r="EC117">
        <v>19.690999999999999</v>
      </c>
      <c r="ED117">
        <v>2.7991899999999998</v>
      </c>
      <c r="EE117">
        <v>1.95143</v>
      </c>
      <c r="EF117">
        <v>22.879300000000001</v>
      </c>
      <c r="EG117">
        <v>17.055700000000002</v>
      </c>
      <c r="EH117">
        <v>1800.23</v>
      </c>
      <c r="EI117">
        <v>0.97799899999999995</v>
      </c>
      <c r="EJ117">
        <v>2.2000800000000001E-2</v>
      </c>
      <c r="EK117">
        <v>0</v>
      </c>
      <c r="EL117">
        <v>868.58699999999999</v>
      </c>
      <c r="EM117">
        <v>4.9999900000000004</v>
      </c>
      <c r="EN117">
        <v>22788.799999999999</v>
      </c>
      <c r="EO117">
        <v>15865.9</v>
      </c>
      <c r="EP117">
        <v>48</v>
      </c>
      <c r="EQ117">
        <v>49.375</v>
      </c>
      <c r="ER117">
        <v>48.561999999999998</v>
      </c>
      <c r="ES117">
        <v>48.875</v>
      </c>
      <c r="ET117">
        <v>49.811999999999998</v>
      </c>
      <c r="EU117">
        <v>1755.73</v>
      </c>
      <c r="EV117">
        <v>39.5</v>
      </c>
      <c r="EW117">
        <v>0</v>
      </c>
      <c r="EX117">
        <v>162.80000019073489</v>
      </c>
      <c r="EY117">
        <v>0</v>
      </c>
      <c r="EZ117">
        <v>868.49342307692302</v>
      </c>
      <c r="FA117">
        <v>-0.17767521316767901</v>
      </c>
      <c r="FB117">
        <v>-172.74188030191749</v>
      </c>
      <c r="FC117">
        <v>22804.27307692308</v>
      </c>
      <c r="FD117">
        <v>15</v>
      </c>
      <c r="FE117">
        <v>1689019134.5999999</v>
      </c>
      <c r="FF117" t="s">
        <v>934</v>
      </c>
      <c r="FG117">
        <v>1689019132.5999999</v>
      </c>
      <c r="FH117">
        <v>1689019134.5999999</v>
      </c>
      <c r="FI117">
        <v>112</v>
      </c>
      <c r="FJ117">
        <v>-0.01</v>
      </c>
      <c r="FK117">
        <v>8.0000000000000002E-3</v>
      </c>
      <c r="FL117">
        <v>-7.1999999999999995E-2</v>
      </c>
      <c r="FM117">
        <v>0.108</v>
      </c>
      <c r="FN117">
        <v>500</v>
      </c>
      <c r="FO117">
        <v>20</v>
      </c>
      <c r="FP117">
        <v>0.02</v>
      </c>
      <c r="FQ117">
        <v>0.01</v>
      </c>
      <c r="FR117">
        <v>62.675845942509604</v>
      </c>
      <c r="FS117">
        <v>0.34527914425565381</v>
      </c>
      <c r="FT117">
        <v>5.7181721061932818E-2</v>
      </c>
      <c r="FU117">
        <v>1</v>
      </c>
      <c r="FV117">
        <v>0.5358106132891749</v>
      </c>
      <c r="FW117">
        <v>-2.9777077506552511E-2</v>
      </c>
      <c r="FX117">
        <v>2.2702676117457988E-3</v>
      </c>
      <c r="FY117">
        <v>1</v>
      </c>
      <c r="FZ117">
        <v>2</v>
      </c>
      <c r="GA117">
        <v>2</v>
      </c>
      <c r="GB117" t="s">
        <v>423</v>
      </c>
      <c r="GC117">
        <v>2.95818</v>
      </c>
      <c r="GD117">
        <v>2.7432799999999999</v>
      </c>
      <c r="GE117">
        <v>9.2276899999999995E-2</v>
      </c>
      <c r="GF117">
        <v>0.104699</v>
      </c>
      <c r="GG117">
        <v>0.12926799999999999</v>
      </c>
      <c r="GH117">
        <v>9.99805E-2</v>
      </c>
      <c r="GI117">
        <v>21322</v>
      </c>
      <c r="GJ117">
        <v>19590.599999999999</v>
      </c>
      <c r="GK117">
        <v>23421.9</v>
      </c>
      <c r="GL117">
        <v>21930.6</v>
      </c>
      <c r="GM117">
        <v>28765.8</v>
      </c>
      <c r="GN117">
        <v>27550.400000000001</v>
      </c>
      <c r="GO117">
        <v>36960.5</v>
      </c>
      <c r="GP117">
        <v>34130.199999999997</v>
      </c>
      <c r="GQ117">
        <v>1.99413</v>
      </c>
      <c r="GR117">
        <v>1.7941</v>
      </c>
      <c r="GS117">
        <v>-3.2842200000000002E-2</v>
      </c>
      <c r="GT117">
        <v>0</v>
      </c>
      <c r="GU117">
        <v>30.5197</v>
      </c>
      <c r="GV117">
        <v>999.9</v>
      </c>
      <c r="GW117">
        <v>25.6</v>
      </c>
      <c r="GX117">
        <v>48.2</v>
      </c>
      <c r="GY117">
        <v>29.313400000000001</v>
      </c>
      <c r="GZ117">
        <v>60.268000000000001</v>
      </c>
      <c r="HA117">
        <v>39.823700000000002</v>
      </c>
      <c r="HB117">
        <v>1</v>
      </c>
      <c r="HC117">
        <v>0.51697400000000004</v>
      </c>
      <c r="HD117">
        <v>2.72844</v>
      </c>
      <c r="HE117">
        <v>20.09</v>
      </c>
      <c r="HF117">
        <v>5.26281</v>
      </c>
      <c r="HG117">
        <v>11.962300000000001</v>
      </c>
      <c r="HH117">
        <v>4.9797500000000001</v>
      </c>
      <c r="HI117">
        <v>3.2979799999999999</v>
      </c>
      <c r="HJ117">
        <v>9999</v>
      </c>
      <c r="HK117">
        <v>9999</v>
      </c>
      <c r="HL117">
        <v>9999</v>
      </c>
      <c r="HM117">
        <v>999.9</v>
      </c>
      <c r="HN117">
        <v>1.86432</v>
      </c>
      <c r="HO117">
        <v>1.8602399999999999</v>
      </c>
      <c r="HP117">
        <v>1.8668199999999999</v>
      </c>
      <c r="HQ117">
        <v>1.8635600000000001</v>
      </c>
      <c r="HR117">
        <v>1.8621799999999999</v>
      </c>
      <c r="HS117">
        <v>1.8621799999999999</v>
      </c>
      <c r="HT117">
        <v>1.86344</v>
      </c>
      <c r="HU117">
        <v>1.8647800000000001</v>
      </c>
      <c r="HV117">
        <v>0</v>
      </c>
      <c r="HW117">
        <v>0</v>
      </c>
      <c r="HX117">
        <v>0</v>
      </c>
      <c r="HY117">
        <v>0</v>
      </c>
      <c r="HZ117" t="s">
        <v>424</v>
      </c>
      <c r="IA117" t="s">
        <v>425</v>
      </c>
      <c r="IB117" t="s">
        <v>426</v>
      </c>
      <c r="IC117" t="s">
        <v>426</v>
      </c>
      <c r="ID117" t="s">
        <v>426</v>
      </c>
      <c r="IE117" t="s">
        <v>426</v>
      </c>
      <c r="IF117">
        <v>0</v>
      </c>
      <c r="IG117">
        <v>100</v>
      </c>
      <c r="IH117">
        <v>100</v>
      </c>
      <c r="II117">
        <v>-8.1000000000000003E-2</v>
      </c>
      <c r="IJ117">
        <v>0.13969999999999999</v>
      </c>
      <c r="IK117">
        <v>-8.3681796845491763E-2</v>
      </c>
      <c r="IL117">
        <v>-8.3322953065825546E-5</v>
      </c>
      <c r="IM117">
        <v>2.3872336679552741E-7</v>
      </c>
      <c r="IN117">
        <v>-5.428329794194132E-11</v>
      </c>
      <c r="IO117">
        <v>0.13972882826947999</v>
      </c>
      <c r="IP117">
        <v>0</v>
      </c>
      <c r="IQ117">
        <v>0</v>
      </c>
      <c r="IR117">
        <v>0</v>
      </c>
      <c r="IS117">
        <v>2</v>
      </c>
      <c r="IT117">
        <v>2035</v>
      </c>
      <c r="IU117">
        <v>1</v>
      </c>
      <c r="IV117">
        <v>21</v>
      </c>
      <c r="IW117">
        <v>1</v>
      </c>
      <c r="IX117">
        <v>0.9</v>
      </c>
      <c r="IY117">
        <v>1.2854000000000001</v>
      </c>
      <c r="IZ117">
        <v>2.7307100000000002</v>
      </c>
      <c r="JA117">
        <v>1.4514199999999999</v>
      </c>
      <c r="JB117">
        <v>2.2741699999999998</v>
      </c>
      <c r="JC117">
        <v>1.5942400000000001</v>
      </c>
      <c r="JD117">
        <v>2.4169900000000002</v>
      </c>
      <c r="JE117">
        <v>49.610900000000001</v>
      </c>
      <c r="JF117">
        <v>24.2714</v>
      </c>
      <c r="JG117">
        <v>18</v>
      </c>
      <c r="JH117">
        <v>512.447</v>
      </c>
      <c r="JI117">
        <v>417.54599999999999</v>
      </c>
      <c r="JJ117">
        <v>27.0504</v>
      </c>
      <c r="JK117">
        <v>33.765999999999998</v>
      </c>
      <c r="JL117">
        <v>30.000299999999999</v>
      </c>
      <c r="JM117">
        <v>33.864899999999999</v>
      </c>
      <c r="JN117">
        <v>33.897399999999998</v>
      </c>
      <c r="JO117">
        <v>25.6739</v>
      </c>
      <c r="JP117">
        <v>34.845700000000001</v>
      </c>
      <c r="JQ117">
        <v>0</v>
      </c>
      <c r="JR117">
        <v>27.054400000000001</v>
      </c>
      <c r="JS117">
        <v>500</v>
      </c>
      <c r="JT117">
        <v>19.613499999999998</v>
      </c>
      <c r="JU117">
        <v>99.060299999999998</v>
      </c>
      <c r="JV117">
        <v>98.442800000000005</v>
      </c>
    </row>
    <row r="118" spans="1:282" x14ac:dyDescent="0.25">
      <c r="A118">
        <v>102</v>
      </c>
      <c r="B118">
        <v>1689019323.0999999</v>
      </c>
      <c r="C118">
        <v>19982.5</v>
      </c>
      <c r="D118" t="s">
        <v>935</v>
      </c>
      <c r="E118" t="s">
        <v>936</v>
      </c>
      <c r="F118" t="s">
        <v>414</v>
      </c>
      <c r="G118" t="s">
        <v>415</v>
      </c>
      <c r="H118" t="s">
        <v>416</v>
      </c>
      <c r="I118" t="s">
        <v>501</v>
      </c>
      <c r="J118" t="s">
        <v>500</v>
      </c>
      <c r="K118">
        <v>1689019323.0999999</v>
      </c>
      <c r="L118">
        <f t="shared" si="138"/>
        <v>7.3452585999391803E-3</v>
      </c>
      <c r="M118">
        <f t="shared" si="139"/>
        <v>7.3452585999391804</v>
      </c>
      <c r="N118">
        <f t="shared" si="140"/>
        <v>63.22272545263759</v>
      </c>
      <c r="O118">
        <f t="shared" si="141"/>
        <v>618.71900000000005</v>
      </c>
      <c r="P118">
        <f t="shared" si="142"/>
        <v>399.92733345187821</v>
      </c>
      <c r="Q118">
        <f t="shared" si="143"/>
        <v>39.673549500694143</v>
      </c>
      <c r="R118">
        <f t="shared" si="144"/>
        <v>61.3780975199926</v>
      </c>
      <c r="S118">
        <f t="shared" si="145"/>
        <v>0.53191032365674795</v>
      </c>
      <c r="T118">
        <f t="shared" si="146"/>
        <v>2.9163708953488561</v>
      </c>
      <c r="U118">
        <f t="shared" si="147"/>
        <v>0.48330582708222269</v>
      </c>
      <c r="V118">
        <f t="shared" si="148"/>
        <v>0.30606209495849918</v>
      </c>
      <c r="W118">
        <f t="shared" si="149"/>
        <v>289.54891501270339</v>
      </c>
      <c r="X118">
        <f t="shared" si="150"/>
        <v>29.795343831083528</v>
      </c>
      <c r="Y118">
        <f t="shared" si="151"/>
        <v>29.9376</v>
      </c>
      <c r="Z118">
        <f t="shared" si="152"/>
        <v>4.2452032762365608</v>
      </c>
      <c r="AA118">
        <f t="shared" si="153"/>
        <v>65.515292439189537</v>
      </c>
      <c r="AB118">
        <f t="shared" si="154"/>
        <v>2.7910056463208397</v>
      </c>
      <c r="AC118">
        <f t="shared" si="155"/>
        <v>4.2600827110882786</v>
      </c>
      <c r="AD118">
        <f t="shared" si="156"/>
        <v>1.4541976299157211</v>
      </c>
      <c r="AE118">
        <f t="shared" si="157"/>
        <v>-323.92590425731782</v>
      </c>
      <c r="AF118">
        <f t="shared" si="158"/>
        <v>9.5751479115419222</v>
      </c>
      <c r="AG118">
        <f t="shared" si="159"/>
        <v>0.72980098166162544</v>
      </c>
      <c r="AH118">
        <f t="shared" si="160"/>
        <v>-24.072040351410873</v>
      </c>
      <c r="AI118">
        <v>0</v>
      </c>
      <c r="AJ118">
        <v>0</v>
      </c>
      <c r="AK118">
        <f t="shared" si="161"/>
        <v>1</v>
      </c>
      <c r="AL118">
        <f t="shared" si="162"/>
        <v>0</v>
      </c>
      <c r="AM118">
        <f t="shared" si="163"/>
        <v>51958.384613972703</v>
      </c>
      <c r="AN118" t="s">
        <v>418</v>
      </c>
      <c r="AO118">
        <v>8197.4</v>
      </c>
      <c r="AP118">
        <v>619.92999999999995</v>
      </c>
      <c r="AQ118">
        <v>3131.443117258741</v>
      </c>
      <c r="AR118">
        <f t="shared" si="164"/>
        <v>0.80203057287443702</v>
      </c>
      <c r="AS118">
        <v>-1.0448500102641549</v>
      </c>
      <c r="AT118" t="s">
        <v>937</v>
      </c>
      <c r="AU118">
        <v>8183.66</v>
      </c>
      <c r="AV118">
        <v>867.14234615384601</v>
      </c>
      <c r="AW118">
        <v>1420.3038706568179</v>
      </c>
      <c r="AX118">
        <f t="shared" si="165"/>
        <v>0.3894670259873072</v>
      </c>
      <c r="AY118">
        <v>0.5</v>
      </c>
      <c r="AZ118">
        <f t="shared" si="166"/>
        <v>1513.092300006582</v>
      </c>
      <c r="BA118">
        <f t="shared" si="167"/>
        <v>63.22272545263759</v>
      </c>
      <c r="BB118">
        <f t="shared" si="168"/>
        <v>294.64977906392897</v>
      </c>
      <c r="BC118">
        <f t="shared" si="169"/>
        <v>4.2474325897119546E-2</v>
      </c>
      <c r="BD118">
        <f t="shared" si="170"/>
        <v>1.2047698256364032</v>
      </c>
      <c r="BE118">
        <f t="shared" si="171"/>
        <v>500.54598284625575</v>
      </c>
      <c r="BF118" t="s">
        <v>938</v>
      </c>
      <c r="BG118">
        <v>648.70000000000005</v>
      </c>
      <c r="BH118">
        <f t="shared" si="172"/>
        <v>648.70000000000005</v>
      </c>
      <c r="BI118">
        <f t="shared" si="173"/>
        <v>0.54326675199440988</v>
      </c>
      <c r="BJ118">
        <f t="shared" si="174"/>
        <v>0.71689832767699868</v>
      </c>
      <c r="BK118">
        <f t="shared" si="175"/>
        <v>0.68921316696317525</v>
      </c>
      <c r="BL118">
        <f t="shared" si="176"/>
        <v>0.69112891460215464</v>
      </c>
      <c r="BM118">
        <f t="shared" si="177"/>
        <v>0.68131806075119861</v>
      </c>
      <c r="BN118">
        <f t="shared" si="178"/>
        <v>0.53630404192204084</v>
      </c>
      <c r="BO118">
        <f t="shared" si="179"/>
        <v>0.46369595807795916</v>
      </c>
      <c r="BP118">
        <v>13772</v>
      </c>
      <c r="BQ118">
        <v>290.00000000000011</v>
      </c>
      <c r="BR118">
        <v>1240.01</v>
      </c>
      <c r="BS118">
        <v>295</v>
      </c>
      <c r="BT118">
        <v>8183.66</v>
      </c>
      <c r="BU118">
        <v>1242.6099999999999</v>
      </c>
      <c r="BV118">
        <v>-2.6</v>
      </c>
      <c r="BW118">
        <v>300.00000000000011</v>
      </c>
      <c r="BX118">
        <v>19.3</v>
      </c>
      <c r="BY118">
        <v>1420.3038706568179</v>
      </c>
      <c r="BZ118">
        <v>4.8929699530192972</v>
      </c>
      <c r="CA118">
        <v>-145.41508707667239</v>
      </c>
      <c r="CB118">
        <v>3.6772633781610828</v>
      </c>
      <c r="CC118">
        <v>0.98240938307293968</v>
      </c>
      <c r="CD118">
        <v>-4.2379964404894296E-3</v>
      </c>
      <c r="CE118">
        <v>289.99999999999989</v>
      </c>
      <c r="CF118">
        <v>1236.53</v>
      </c>
      <c r="CG118">
        <v>645</v>
      </c>
      <c r="CH118">
        <v>8173.51</v>
      </c>
      <c r="CI118">
        <v>1242.3900000000001</v>
      </c>
      <c r="CJ118">
        <v>-5.86</v>
      </c>
      <c r="CX118">
        <f t="shared" si="180"/>
        <v>1799.89</v>
      </c>
      <c r="CY118">
        <f t="shared" si="181"/>
        <v>1513.092300006582</v>
      </c>
      <c r="CZ118">
        <f t="shared" si="182"/>
        <v>0.84065820689407789</v>
      </c>
      <c r="DA118">
        <f t="shared" si="183"/>
        <v>0.16087033930557054</v>
      </c>
      <c r="DB118">
        <v>6</v>
      </c>
      <c r="DC118">
        <v>0.5</v>
      </c>
      <c r="DD118" t="s">
        <v>421</v>
      </c>
      <c r="DE118">
        <v>2</v>
      </c>
      <c r="DF118">
        <v>1689019323.0999999</v>
      </c>
      <c r="DG118">
        <v>618.71900000000005</v>
      </c>
      <c r="DH118">
        <v>700.01400000000001</v>
      </c>
      <c r="DI118">
        <v>28.134599999999999</v>
      </c>
      <c r="DJ118">
        <v>19.571000000000002</v>
      </c>
      <c r="DK118">
        <v>618.67499999999995</v>
      </c>
      <c r="DL118">
        <v>27.993099999999998</v>
      </c>
      <c r="DM118">
        <v>500.15899999999999</v>
      </c>
      <c r="DN118">
        <v>99.102000000000004</v>
      </c>
      <c r="DO118">
        <v>9.9895399999999995E-2</v>
      </c>
      <c r="DP118">
        <v>29.9985</v>
      </c>
      <c r="DQ118">
        <v>29.9376</v>
      </c>
      <c r="DR118">
        <v>999.9</v>
      </c>
      <c r="DS118">
        <v>0</v>
      </c>
      <c r="DT118">
        <v>0</v>
      </c>
      <c r="DU118">
        <v>10015</v>
      </c>
      <c r="DV118">
        <v>0</v>
      </c>
      <c r="DW118">
        <v>1898.4</v>
      </c>
      <c r="DX118">
        <v>-81.294600000000003</v>
      </c>
      <c r="DY118">
        <v>636.63099999999997</v>
      </c>
      <c r="DZ118">
        <v>713.98699999999997</v>
      </c>
      <c r="EA118">
        <v>8.5636700000000001</v>
      </c>
      <c r="EB118">
        <v>700.01400000000001</v>
      </c>
      <c r="EC118">
        <v>19.571000000000002</v>
      </c>
      <c r="ED118">
        <v>2.7881999999999998</v>
      </c>
      <c r="EE118">
        <v>1.9395199999999999</v>
      </c>
      <c r="EF118">
        <v>22.814399999999999</v>
      </c>
      <c r="EG118">
        <v>16.959099999999999</v>
      </c>
      <c r="EH118">
        <v>1799.89</v>
      </c>
      <c r="EI118">
        <v>0.97799899999999995</v>
      </c>
      <c r="EJ118">
        <v>2.2000700000000002E-2</v>
      </c>
      <c r="EK118">
        <v>0</v>
      </c>
      <c r="EL118">
        <v>866.476</v>
      </c>
      <c r="EM118">
        <v>4.9999900000000004</v>
      </c>
      <c r="EN118">
        <v>22580.400000000001</v>
      </c>
      <c r="EO118">
        <v>15862.8</v>
      </c>
      <c r="EP118">
        <v>48.311999999999998</v>
      </c>
      <c r="EQ118">
        <v>49.875</v>
      </c>
      <c r="ER118">
        <v>48.875</v>
      </c>
      <c r="ES118">
        <v>49.5</v>
      </c>
      <c r="ET118">
        <v>50.125</v>
      </c>
      <c r="EU118">
        <v>1755.4</v>
      </c>
      <c r="EV118">
        <v>39.49</v>
      </c>
      <c r="EW118">
        <v>0</v>
      </c>
      <c r="EX118">
        <v>130.80000019073489</v>
      </c>
      <c r="EY118">
        <v>0</v>
      </c>
      <c r="EZ118">
        <v>867.14234615384601</v>
      </c>
      <c r="FA118">
        <v>-3.958529907658328</v>
      </c>
      <c r="FB118">
        <v>-104.67692274171191</v>
      </c>
      <c r="FC118">
        <v>22590.607692307691</v>
      </c>
      <c r="FD118">
        <v>15</v>
      </c>
      <c r="FE118">
        <v>1689019277.0999999</v>
      </c>
      <c r="FF118" t="s">
        <v>939</v>
      </c>
      <c r="FG118">
        <v>1689019277.0999999</v>
      </c>
      <c r="FH118">
        <v>1689019270.0999999</v>
      </c>
      <c r="FI118">
        <v>113</v>
      </c>
      <c r="FJ118">
        <v>0.10100000000000001</v>
      </c>
      <c r="FK118">
        <v>2E-3</v>
      </c>
      <c r="FL118">
        <v>5.7000000000000002E-2</v>
      </c>
      <c r="FM118">
        <v>9.4E-2</v>
      </c>
      <c r="FN118">
        <v>700</v>
      </c>
      <c r="FO118">
        <v>20</v>
      </c>
      <c r="FP118">
        <v>0.05</v>
      </c>
      <c r="FQ118">
        <v>0.01</v>
      </c>
      <c r="FR118">
        <v>63.166976558658682</v>
      </c>
      <c r="FS118">
        <v>-0.25897043363439609</v>
      </c>
      <c r="FT118">
        <v>6.4426086844775243E-2</v>
      </c>
      <c r="FU118">
        <v>1</v>
      </c>
      <c r="FV118">
        <v>0.53848199494516502</v>
      </c>
      <c r="FW118">
        <v>-2.587041160206795E-2</v>
      </c>
      <c r="FX118">
        <v>2.557936699390815E-3</v>
      </c>
      <c r="FY118">
        <v>1</v>
      </c>
      <c r="FZ118">
        <v>2</v>
      </c>
      <c r="GA118">
        <v>2</v>
      </c>
      <c r="GB118" t="s">
        <v>423</v>
      </c>
      <c r="GC118">
        <v>2.9580099999999998</v>
      </c>
      <c r="GD118">
        <v>2.7432599999999998</v>
      </c>
      <c r="GE118">
        <v>0.122157</v>
      </c>
      <c r="GF118">
        <v>0.13279199999999999</v>
      </c>
      <c r="GG118">
        <v>0.128887</v>
      </c>
      <c r="GH118">
        <v>9.9534499999999998E-2</v>
      </c>
      <c r="GI118">
        <v>20613.3</v>
      </c>
      <c r="GJ118">
        <v>18967.8</v>
      </c>
      <c r="GK118">
        <v>23414.7</v>
      </c>
      <c r="GL118">
        <v>21922</v>
      </c>
      <c r="GM118">
        <v>28772.400000000001</v>
      </c>
      <c r="GN118">
        <v>27556.1</v>
      </c>
      <c r="GO118">
        <v>36948.9</v>
      </c>
      <c r="GP118">
        <v>34117.9</v>
      </c>
      <c r="GQ118">
        <v>1.9924500000000001</v>
      </c>
      <c r="GR118">
        <v>1.79088</v>
      </c>
      <c r="GS118">
        <v>-4.6383599999999997E-2</v>
      </c>
      <c r="GT118">
        <v>0</v>
      </c>
      <c r="GU118">
        <v>30.692</v>
      </c>
      <c r="GV118">
        <v>999.9</v>
      </c>
      <c r="GW118">
        <v>25.8</v>
      </c>
      <c r="GX118">
        <v>48.2</v>
      </c>
      <c r="GY118">
        <v>29.540700000000001</v>
      </c>
      <c r="GZ118">
        <v>60.468000000000004</v>
      </c>
      <c r="HA118">
        <v>39.823700000000002</v>
      </c>
      <c r="HB118">
        <v>1</v>
      </c>
      <c r="HC118">
        <v>0.53428600000000004</v>
      </c>
      <c r="HD118">
        <v>3.03234</v>
      </c>
      <c r="HE118">
        <v>20.084299999999999</v>
      </c>
      <c r="HF118">
        <v>5.2626600000000003</v>
      </c>
      <c r="HG118">
        <v>11.962</v>
      </c>
      <c r="HH118">
        <v>4.9797000000000002</v>
      </c>
      <c r="HI118">
        <v>3.298</v>
      </c>
      <c r="HJ118">
        <v>9999</v>
      </c>
      <c r="HK118">
        <v>9999</v>
      </c>
      <c r="HL118">
        <v>9999</v>
      </c>
      <c r="HM118">
        <v>999.9</v>
      </c>
      <c r="HN118">
        <v>1.86432</v>
      </c>
      <c r="HO118">
        <v>1.8603000000000001</v>
      </c>
      <c r="HP118">
        <v>1.86683</v>
      </c>
      <c r="HQ118">
        <v>1.8635600000000001</v>
      </c>
      <c r="HR118">
        <v>1.8621799999999999</v>
      </c>
      <c r="HS118">
        <v>1.8622000000000001</v>
      </c>
      <c r="HT118">
        <v>1.8634999999999999</v>
      </c>
      <c r="HU118">
        <v>1.8647800000000001</v>
      </c>
      <c r="HV118">
        <v>0</v>
      </c>
      <c r="HW118">
        <v>0</v>
      </c>
      <c r="HX118">
        <v>0</v>
      </c>
      <c r="HY118">
        <v>0</v>
      </c>
      <c r="HZ118" t="s">
        <v>424</v>
      </c>
      <c r="IA118" t="s">
        <v>425</v>
      </c>
      <c r="IB118" t="s">
        <v>426</v>
      </c>
      <c r="IC118" t="s">
        <v>426</v>
      </c>
      <c r="ID118" t="s">
        <v>426</v>
      </c>
      <c r="IE118" t="s">
        <v>426</v>
      </c>
      <c r="IF118">
        <v>0</v>
      </c>
      <c r="IG118">
        <v>100</v>
      </c>
      <c r="IH118">
        <v>100</v>
      </c>
      <c r="II118">
        <v>4.3999999999999997E-2</v>
      </c>
      <c r="IJ118">
        <v>0.14149999999999999</v>
      </c>
      <c r="IK118">
        <v>1.724168202921789E-2</v>
      </c>
      <c r="IL118">
        <v>-8.3322953065825546E-5</v>
      </c>
      <c r="IM118">
        <v>2.3872336679552741E-7</v>
      </c>
      <c r="IN118">
        <v>-5.428329794194132E-11</v>
      </c>
      <c r="IO118">
        <v>0.14151153952634329</v>
      </c>
      <c r="IP118">
        <v>0</v>
      </c>
      <c r="IQ118">
        <v>0</v>
      </c>
      <c r="IR118">
        <v>0</v>
      </c>
      <c r="IS118">
        <v>2</v>
      </c>
      <c r="IT118">
        <v>2035</v>
      </c>
      <c r="IU118">
        <v>1</v>
      </c>
      <c r="IV118">
        <v>21</v>
      </c>
      <c r="IW118">
        <v>0.8</v>
      </c>
      <c r="IX118">
        <v>0.9</v>
      </c>
      <c r="IY118">
        <v>1.6918899999999999</v>
      </c>
      <c r="IZ118">
        <v>2.7221700000000002</v>
      </c>
      <c r="JA118">
        <v>1.4514199999999999</v>
      </c>
      <c r="JB118">
        <v>2.2741699999999998</v>
      </c>
      <c r="JC118">
        <v>1.5942400000000001</v>
      </c>
      <c r="JD118">
        <v>2.3864700000000001</v>
      </c>
      <c r="JE118">
        <v>49.8018</v>
      </c>
      <c r="JF118">
        <v>24.262599999999999</v>
      </c>
      <c r="JG118">
        <v>18</v>
      </c>
      <c r="JH118">
        <v>512.00199999999995</v>
      </c>
      <c r="JI118">
        <v>415.89100000000002</v>
      </c>
      <c r="JJ118">
        <v>26.741299999999999</v>
      </c>
      <c r="JK118">
        <v>33.9255</v>
      </c>
      <c r="JL118">
        <v>30.001100000000001</v>
      </c>
      <c r="JM118">
        <v>33.9422</v>
      </c>
      <c r="JN118">
        <v>33.963700000000003</v>
      </c>
      <c r="JO118">
        <v>33.810600000000001</v>
      </c>
      <c r="JP118">
        <v>36.480800000000002</v>
      </c>
      <c r="JQ118">
        <v>0</v>
      </c>
      <c r="JR118">
        <v>26.762899999999998</v>
      </c>
      <c r="JS118">
        <v>700</v>
      </c>
      <c r="JT118">
        <v>19.500299999999999</v>
      </c>
      <c r="JU118">
        <v>99.029300000000006</v>
      </c>
      <c r="JV118">
        <v>98.406199999999998</v>
      </c>
    </row>
    <row r="119" spans="1:282" x14ac:dyDescent="0.25">
      <c r="A119">
        <v>103</v>
      </c>
      <c r="B119">
        <v>1689019450.0999999</v>
      </c>
      <c r="C119">
        <v>20109.5</v>
      </c>
      <c r="D119" t="s">
        <v>940</v>
      </c>
      <c r="E119" t="s">
        <v>941</v>
      </c>
      <c r="F119" t="s">
        <v>414</v>
      </c>
      <c r="G119" t="s">
        <v>415</v>
      </c>
      <c r="H119" t="s">
        <v>416</v>
      </c>
      <c r="I119" t="s">
        <v>501</v>
      </c>
      <c r="J119" t="s">
        <v>500</v>
      </c>
      <c r="K119">
        <v>1689019450.0999999</v>
      </c>
      <c r="L119">
        <f t="shared" si="138"/>
        <v>7.0873817981508954E-3</v>
      </c>
      <c r="M119">
        <f t="shared" si="139"/>
        <v>7.0873817981508953</v>
      </c>
      <c r="N119">
        <f t="shared" si="140"/>
        <v>62.898421237032771</v>
      </c>
      <c r="O119">
        <f t="shared" si="141"/>
        <v>817.64400000000001</v>
      </c>
      <c r="P119">
        <f t="shared" si="142"/>
        <v>585.39429365101103</v>
      </c>
      <c r="Q119">
        <f t="shared" si="143"/>
        <v>58.07176559110799</v>
      </c>
      <c r="R119">
        <f t="shared" si="144"/>
        <v>81.1111950013008</v>
      </c>
      <c r="S119">
        <f t="shared" si="145"/>
        <v>0.50588396600638619</v>
      </c>
      <c r="T119">
        <f t="shared" si="146"/>
        <v>2.918435278951041</v>
      </c>
      <c r="U119">
        <f t="shared" si="147"/>
        <v>0.4617365825589575</v>
      </c>
      <c r="V119">
        <f t="shared" si="148"/>
        <v>0.29223010154128315</v>
      </c>
      <c r="W119">
        <f t="shared" si="149"/>
        <v>289.54833601270019</v>
      </c>
      <c r="X119">
        <f t="shared" si="150"/>
        <v>29.814331942523424</v>
      </c>
      <c r="Y119">
        <f t="shared" si="151"/>
        <v>29.9618</v>
      </c>
      <c r="Z119">
        <f t="shared" si="152"/>
        <v>4.2511105259588096</v>
      </c>
      <c r="AA119">
        <f t="shared" si="153"/>
        <v>65.495069414733663</v>
      </c>
      <c r="AB119">
        <f t="shared" si="154"/>
        <v>2.78241266325624</v>
      </c>
      <c r="AC119">
        <f t="shared" si="155"/>
        <v>4.2482780583637538</v>
      </c>
      <c r="AD119">
        <f t="shared" si="156"/>
        <v>1.4686978627025695</v>
      </c>
      <c r="AE119">
        <f t="shared" si="157"/>
        <v>-312.5535372984545</v>
      </c>
      <c r="AF119">
        <f t="shared" si="158"/>
        <v>-1.8251287200023973</v>
      </c>
      <c r="AG119">
        <f t="shared" si="159"/>
        <v>-0.13899312352824114</v>
      </c>
      <c r="AH119">
        <f t="shared" si="160"/>
        <v>-24.96932312928493</v>
      </c>
      <c r="AI119">
        <v>0</v>
      </c>
      <c r="AJ119">
        <v>0</v>
      </c>
      <c r="AK119">
        <f t="shared" si="161"/>
        <v>1</v>
      </c>
      <c r="AL119">
        <f t="shared" si="162"/>
        <v>0</v>
      </c>
      <c r="AM119">
        <f t="shared" si="163"/>
        <v>52025.439829765288</v>
      </c>
      <c r="AN119" t="s">
        <v>418</v>
      </c>
      <c r="AO119">
        <v>8197.4</v>
      </c>
      <c r="AP119">
        <v>619.92999999999995</v>
      </c>
      <c r="AQ119">
        <v>3131.443117258741</v>
      </c>
      <c r="AR119">
        <f t="shared" si="164"/>
        <v>0.80203057287443702</v>
      </c>
      <c r="AS119">
        <v>-1.0448500102641549</v>
      </c>
      <c r="AT119" t="s">
        <v>942</v>
      </c>
      <c r="AU119">
        <v>8182.23</v>
      </c>
      <c r="AV119">
        <v>859.46673076923071</v>
      </c>
      <c r="AW119">
        <v>1411.4429176445151</v>
      </c>
      <c r="AX119">
        <f t="shared" si="165"/>
        <v>0.39107227077695017</v>
      </c>
      <c r="AY119">
        <v>0.5</v>
      </c>
      <c r="AZ119">
        <f t="shared" si="166"/>
        <v>1513.0920000065805</v>
      </c>
      <c r="BA119">
        <f t="shared" si="167"/>
        <v>62.898421237032771</v>
      </c>
      <c r="BB119">
        <f t="shared" si="168"/>
        <v>295.86416216850529</v>
      </c>
      <c r="BC119">
        <f t="shared" si="169"/>
        <v>4.2260002198821242E-2</v>
      </c>
      <c r="BD119">
        <f t="shared" si="170"/>
        <v>1.2186112368501918</v>
      </c>
      <c r="BE119">
        <f t="shared" si="171"/>
        <v>499.44097847211384</v>
      </c>
      <c r="BF119" t="s">
        <v>943</v>
      </c>
      <c r="BG119">
        <v>651.92999999999995</v>
      </c>
      <c r="BH119">
        <f t="shared" si="172"/>
        <v>651.92999999999995</v>
      </c>
      <c r="BI119">
        <f t="shared" si="173"/>
        <v>0.53811097009295095</v>
      </c>
      <c r="BJ119">
        <f t="shared" si="174"/>
        <v>0.72675022906408693</v>
      </c>
      <c r="BK119">
        <f t="shared" si="175"/>
        <v>0.69368465431463222</v>
      </c>
      <c r="BL119">
        <f t="shared" si="176"/>
        <v>0.69736851360294327</v>
      </c>
      <c r="BM119">
        <f t="shared" si="177"/>
        <v>0.68484619403125657</v>
      </c>
      <c r="BN119">
        <f t="shared" si="178"/>
        <v>0.55126075259446461</v>
      </c>
      <c r="BO119">
        <f t="shared" si="179"/>
        <v>0.44873924740553539</v>
      </c>
      <c r="BP119">
        <v>13774</v>
      </c>
      <c r="BQ119">
        <v>290.00000000000011</v>
      </c>
      <c r="BR119">
        <v>1231.49</v>
      </c>
      <c r="BS119">
        <v>295</v>
      </c>
      <c r="BT119">
        <v>8182.23</v>
      </c>
      <c r="BU119">
        <v>1233.72</v>
      </c>
      <c r="BV119">
        <v>-2.23</v>
      </c>
      <c r="BW119">
        <v>300.00000000000011</v>
      </c>
      <c r="BX119">
        <v>19.3</v>
      </c>
      <c r="BY119">
        <v>1411.4429176445151</v>
      </c>
      <c r="BZ119">
        <v>4.1899177169053097</v>
      </c>
      <c r="CA119">
        <v>-145.4204576877658</v>
      </c>
      <c r="CB119">
        <v>3.1483278688634582</v>
      </c>
      <c r="CC119">
        <v>0.98704598749851835</v>
      </c>
      <c r="CD119">
        <v>-4.2374115684093499E-3</v>
      </c>
      <c r="CE119">
        <v>289.99999999999989</v>
      </c>
      <c r="CF119">
        <v>1226.69</v>
      </c>
      <c r="CG119">
        <v>655</v>
      </c>
      <c r="CH119">
        <v>8171.71</v>
      </c>
      <c r="CI119">
        <v>1233.49</v>
      </c>
      <c r="CJ119">
        <v>-6.8</v>
      </c>
      <c r="CX119">
        <f t="shared" si="180"/>
        <v>1799.89</v>
      </c>
      <c r="CY119">
        <f t="shared" si="181"/>
        <v>1513.0920000065805</v>
      </c>
      <c r="CZ119">
        <f t="shared" si="182"/>
        <v>0.84065804021722457</v>
      </c>
      <c r="DA119">
        <f t="shared" si="183"/>
        <v>0.16087001761924349</v>
      </c>
      <c r="DB119">
        <v>6</v>
      </c>
      <c r="DC119">
        <v>0.5</v>
      </c>
      <c r="DD119" t="s">
        <v>421</v>
      </c>
      <c r="DE119">
        <v>2</v>
      </c>
      <c r="DF119">
        <v>1689019450.0999999</v>
      </c>
      <c r="DG119">
        <v>817.64400000000001</v>
      </c>
      <c r="DH119">
        <v>900.05100000000004</v>
      </c>
      <c r="DI119">
        <v>28.048200000000001</v>
      </c>
      <c r="DJ119">
        <v>19.784400000000002</v>
      </c>
      <c r="DK119">
        <v>817.54499999999996</v>
      </c>
      <c r="DL119">
        <v>27.909400000000002</v>
      </c>
      <c r="DM119">
        <v>500.15199999999999</v>
      </c>
      <c r="DN119">
        <v>99.101200000000006</v>
      </c>
      <c r="DO119">
        <v>9.9913199999999994E-2</v>
      </c>
      <c r="DP119">
        <v>29.950199999999999</v>
      </c>
      <c r="DQ119">
        <v>29.9618</v>
      </c>
      <c r="DR119">
        <v>999.9</v>
      </c>
      <c r="DS119">
        <v>0</v>
      </c>
      <c r="DT119">
        <v>0</v>
      </c>
      <c r="DU119">
        <v>10026.9</v>
      </c>
      <c r="DV119">
        <v>0</v>
      </c>
      <c r="DW119">
        <v>1850.68</v>
      </c>
      <c r="DX119">
        <v>-82.406899999999993</v>
      </c>
      <c r="DY119">
        <v>841.23900000000003</v>
      </c>
      <c r="DZ119">
        <v>918.21699999999998</v>
      </c>
      <c r="EA119">
        <v>8.2638200000000008</v>
      </c>
      <c r="EB119">
        <v>900.05100000000004</v>
      </c>
      <c r="EC119">
        <v>19.784400000000002</v>
      </c>
      <c r="ED119">
        <v>2.7796099999999999</v>
      </c>
      <c r="EE119">
        <v>1.96065</v>
      </c>
      <c r="EF119">
        <v>22.763500000000001</v>
      </c>
      <c r="EG119">
        <v>17.130099999999999</v>
      </c>
      <c r="EH119">
        <v>1799.89</v>
      </c>
      <c r="EI119">
        <v>0.97800200000000004</v>
      </c>
      <c r="EJ119">
        <v>2.1997599999999999E-2</v>
      </c>
      <c r="EK119">
        <v>0</v>
      </c>
      <c r="EL119">
        <v>858.76400000000001</v>
      </c>
      <c r="EM119">
        <v>4.9999900000000004</v>
      </c>
      <c r="EN119">
        <v>22339.5</v>
      </c>
      <c r="EO119">
        <v>15862.8</v>
      </c>
      <c r="EP119">
        <v>48.5</v>
      </c>
      <c r="EQ119">
        <v>50.125</v>
      </c>
      <c r="ER119">
        <v>49.125</v>
      </c>
      <c r="ES119">
        <v>49.75</v>
      </c>
      <c r="ET119">
        <v>50.311999999999998</v>
      </c>
      <c r="EU119">
        <v>1755.41</v>
      </c>
      <c r="EV119">
        <v>39.479999999999997</v>
      </c>
      <c r="EW119">
        <v>0</v>
      </c>
      <c r="EX119">
        <v>124.80000019073491</v>
      </c>
      <c r="EY119">
        <v>0</v>
      </c>
      <c r="EZ119">
        <v>859.46673076923071</v>
      </c>
      <c r="FA119">
        <v>-4.3196239115404573</v>
      </c>
      <c r="FB119">
        <v>-86.598290421655733</v>
      </c>
      <c r="FC119">
        <v>22353.1</v>
      </c>
      <c r="FD119">
        <v>15</v>
      </c>
      <c r="FE119">
        <v>1689019405.5999999</v>
      </c>
      <c r="FF119" t="s">
        <v>944</v>
      </c>
      <c r="FG119">
        <v>1689019405.5999999</v>
      </c>
      <c r="FH119">
        <v>1689019402.5999999</v>
      </c>
      <c r="FI119">
        <v>114</v>
      </c>
      <c r="FJ119">
        <v>0.02</v>
      </c>
      <c r="FK119">
        <v>-3.0000000000000001E-3</v>
      </c>
      <c r="FL119">
        <v>0.11600000000000001</v>
      </c>
      <c r="FM119">
        <v>8.7999999999999995E-2</v>
      </c>
      <c r="FN119">
        <v>901</v>
      </c>
      <c r="FO119">
        <v>20</v>
      </c>
      <c r="FP119">
        <v>0.04</v>
      </c>
      <c r="FQ119">
        <v>0.01</v>
      </c>
      <c r="FR119">
        <v>62.971740880570898</v>
      </c>
      <c r="FS119">
        <v>-0.46281042380171872</v>
      </c>
      <c r="FT119">
        <v>9.1330459435170389E-2</v>
      </c>
      <c r="FU119">
        <v>1</v>
      </c>
      <c r="FV119">
        <v>0.50516633065531036</v>
      </c>
      <c r="FW119">
        <v>-6.155237820415215E-3</v>
      </c>
      <c r="FX119">
        <v>7.2818672185824378E-4</v>
      </c>
      <c r="FY119">
        <v>1</v>
      </c>
      <c r="FZ119">
        <v>2</v>
      </c>
      <c r="GA119">
        <v>2</v>
      </c>
      <c r="GB119" t="s">
        <v>423</v>
      </c>
      <c r="GC119">
        <v>2.9578000000000002</v>
      </c>
      <c r="GD119">
        <v>2.7433800000000002</v>
      </c>
      <c r="GE119">
        <v>0.147642</v>
      </c>
      <c r="GF119">
        <v>0.15692700000000001</v>
      </c>
      <c r="GG119">
        <v>0.12858600000000001</v>
      </c>
      <c r="GH119">
        <v>0.100274</v>
      </c>
      <c r="GI119">
        <v>20005.2</v>
      </c>
      <c r="GJ119">
        <v>18430.5</v>
      </c>
      <c r="GK119">
        <v>23404.400000000001</v>
      </c>
      <c r="GL119">
        <v>21912</v>
      </c>
      <c r="GM119">
        <v>28772.400000000001</v>
      </c>
      <c r="GN119">
        <v>27523.3</v>
      </c>
      <c r="GO119">
        <v>36932.5</v>
      </c>
      <c r="GP119">
        <v>34103.5</v>
      </c>
      <c r="GQ119">
        <v>1.9903500000000001</v>
      </c>
      <c r="GR119">
        <v>1.78925</v>
      </c>
      <c r="GS119">
        <v>-4.63352E-2</v>
      </c>
      <c r="GT119">
        <v>0</v>
      </c>
      <c r="GU119">
        <v>30.715399999999999</v>
      </c>
      <c r="GV119">
        <v>999.9</v>
      </c>
      <c r="GW119">
        <v>25.8</v>
      </c>
      <c r="GX119">
        <v>48.3</v>
      </c>
      <c r="GY119">
        <v>29.6891</v>
      </c>
      <c r="GZ119">
        <v>60.008000000000003</v>
      </c>
      <c r="HA119">
        <v>39.078499999999998</v>
      </c>
      <c r="HB119">
        <v>1</v>
      </c>
      <c r="HC119">
        <v>0.550373</v>
      </c>
      <c r="HD119">
        <v>2.1455500000000001</v>
      </c>
      <c r="HE119">
        <v>20.1006</v>
      </c>
      <c r="HF119">
        <v>5.2644599999999997</v>
      </c>
      <c r="HG119">
        <v>11.962</v>
      </c>
      <c r="HH119">
        <v>4.9797000000000002</v>
      </c>
      <c r="HI119">
        <v>3.298</v>
      </c>
      <c r="HJ119">
        <v>9999</v>
      </c>
      <c r="HK119">
        <v>9999</v>
      </c>
      <c r="HL119">
        <v>9999</v>
      </c>
      <c r="HM119">
        <v>999.9</v>
      </c>
      <c r="HN119">
        <v>1.86432</v>
      </c>
      <c r="HO119">
        <v>1.86032</v>
      </c>
      <c r="HP119">
        <v>1.86686</v>
      </c>
      <c r="HQ119">
        <v>1.8635600000000001</v>
      </c>
      <c r="HR119">
        <v>1.8621799999999999</v>
      </c>
      <c r="HS119">
        <v>1.86222</v>
      </c>
      <c r="HT119">
        <v>1.8635200000000001</v>
      </c>
      <c r="HU119">
        <v>1.8647800000000001</v>
      </c>
      <c r="HV119">
        <v>0</v>
      </c>
      <c r="HW119">
        <v>0</v>
      </c>
      <c r="HX119">
        <v>0</v>
      </c>
      <c r="HY119">
        <v>0</v>
      </c>
      <c r="HZ119" t="s">
        <v>424</v>
      </c>
      <c r="IA119" t="s">
        <v>425</v>
      </c>
      <c r="IB119" t="s">
        <v>426</v>
      </c>
      <c r="IC119" t="s">
        <v>426</v>
      </c>
      <c r="ID119" t="s">
        <v>426</v>
      </c>
      <c r="IE119" t="s">
        <v>426</v>
      </c>
      <c r="IF119">
        <v>0</v>
      </c>
      <c r="IG119">
        <v>100</v>
      </c>
      <c r="IH119">
        <v>100</v>
      </c>
      <c r="II119">
        <v>9.9000000000000005E-2</v>
      </c>
      <c r="IJ119">
        <v>0.13880000000000001</v>
      </c>
      <c r="IK119">
        <v>3.6982508480792819E-2</v>
      </c>
      <c r="IL119">
        <v>-8.3322953065825546E-5</v>
      </c>
      <c r="IM119">
        <v>2.3872336679552741E-7</v>
      </c>
      <c r="IN119">
        <v>-5.428329794194132E-11</v>
      </c>
      <c r="IO119">
        <v>0.13878143200926199</v>
      </c>
      <c r="IP119">
        <v>0</v>
      </c>
      <c r="IQ119">
        <v>0</v>
      </c>
      <c r="IR119">
        <v>0</v>
      </c>
      <c r="IS119">
        <v>2</v>
      </c>
      <c r="IT119">
        <v>2035</v>
      </c>
      <c r="IU119">
        <v>1</v>
      </c>
      <c r="IV119">
        <v>21</v>
      </c>
      <c r="IW119">
        <v>0.7</v>
      </c>
      <c r="IX119">
        <v>0.8</v>
      </c>
      <c r="IY119">
        <v>2.0788600000000002</v>
      </c>
      <c r="IZ119">
        <v>2.7246100000000002</v>
      </c>
      <c r="JA119">
        <v>1.4526399999999999</v>
      </c>
      <c r="JB119">
        <v>2.2741699999999998</v>
      </c>
      <c r="JC119">
        <v>1.5942400000000001</v>
      </c>
      <c r="JD119">
        <v>2.34009</v>
      </c>
      <c r="JE119">
        <v>50.025700000000001</v>
      </c>
      <c r="JF119">
        <v>24.262599999999999</v>
      </c>
      <c r="JG119">
        <v>18</v>
      </c>
      <c r="JH119">
        <v>511.60399999999998</v>
      </c>
      <c r="JI119">
        <v>415.58</v>
      </c>
      <c r="JJ119">
        <v>26.3629</v>
      </c>
      <c r="JK119">
        <v>34.095700000000001</v>
      </c>
      <c r="JL119">
        <v>29.9955</v>
      </c>
      <c r="JM119">
        <v>34.058199999999999</v>
      </c>
      <c r="JN119">
        <v>34.067599999999999</v>
      </c>
      <c r="JO119">
        <v>41.552799999999998</v>
      </c>
      <c r="JP119">
        <v>35.957999999999998</v>
      </c>
      <c r="JQ119">
        <v>0</v>
      </c>
      <c r="JR119">
        <v>26.5947</v>
      </c>
      <c r="JS119">
        <v>900</v>
      </c>
      <c r="JT119">
        <v>19.755400000000002</v>
      </c>
      <c r="JU119">
        <v>98.985600000000005</v>
      </c>
      <c r="JV119">
        <v>98.363200000000006</v>
      </c>
    </row>
    <row r="120" spans="1:282" x14ac:dyDescent="0.25">
      <c r="A120">
        <v>104</v>
      </c>
      <c r="B120">
        <v>1689019551.0999999</v>
      </c>
      <c r="C120">
        <v>20210.5</v>
      </c>
      <c r="D120" t="s">
        <v>945</v>
      </c>
      <c r="E120" t="s">
        <v>946</v>
      </c>
      <c r="F120" t="s">
        <v>414</v>
      </c>
      <c r="G120" t="s">
        <v>415</v>
      </c>
      <c r="H120" t="s">
        <v>416</v>
      </c>
      <c r="I120" t="s">
        <v>501</v>
      </c>
      <c r="J120" t="s">
        <v>500</v>
      </c>
      <c r="K120">
        <v>1689019551.0999999</v>
      </c>
      <c r="L120">
        <f t="shared" si="138"/>
        <v>6.7665834633882926E-3</v>
      </c>
      <c r="M120">
        <f t="shared" si="139"/>
        <v>6.7665834633882929</v>
      </c>
      <c r="N120">
        <f t="shared" si="140"/>
        <v>62.12450358309583</v>
      </c>
      <c r="O120">
        <f t="shared" si="141"/>
        <v>1116.74</v>
      </c>
      <c r="P120">
        <f t="shared" si="142"/>
        <v>867.0431532874394</v>
      </c>
      <c r="Q120">
        <f t="shared" si="143"/>
        <v>86.014833682705287</v>
      </c>
      <c r="R120">
        <f t="shared" si="144"/>
        <v>110.785956849578</v>
      </c>
      <c r="S120">
        <f t="shared" si="145"/>
        <v>0.47507921401158831</v>
      </c>
      <c r="T120">
        <f t="shared" si="146"/>
        <v>2.9153526344084115</v>
      </c>
      <c r="U120">
        <f t="shared" si="147"/>
        <v>0.43588421640170349</v>
      </c>
      <c r="V120">
        <f t="shared" si="148"/>
        <v>0.27567917508517209</v>
      </c>
      <c r="W120">
        <f t="shared" si="149"/>
        <v>289.5642960126994</v>
      </c>
      <c r="X120">
        <f t="shared" si="150"/>
        <v>29.90332808884985</v>
      </c>
      <c r="Y120">
        <f t="shared" si="151"/>
        <v>30.026499999999999</v>
      </c>
      <c r="Z120">
        <f t="shared" si="152"/>
        <v>4.2669390690337368</v>
      </c>
      <c r="AA120">
        <f t="shared" si="153"/>
        <v>65.455933845552934</v>
      </c>
      <c r="AB120">
        <f t="shared" si="154"/>
        <v>2.7816130188772701</v>
      </c>
      <c r="AC120">
        <f t="shared" si="155"/>
        <v>4.2495964161792372</v>
      </c>
      <c r="AD120">
        <f t="shared" si="156"/>
        <v>1.4853260501564667</v>
      </c>
      <c r="AE120">
        <f t="shared" si="157"/>
        <v>-298.40633073542369</v>
      </c>
      <c r="AF120">
        <f t="shared" si="158"/>
        <v>-11.143529627939159</v>
      </c>
      <c r="AG120">
        <f t="shared" si="159"/>
        <v>-0.84983045906389654</v>
      </c>
      <c r="AH120">
        <f t="shared" si="160"/>
        <v>-20.835394809727376</v>
      </c>
      <c r="AI120">
        <v>0</v>
      </c>
      <c r="AJ120">
        <v>0</v>
      </c>
      <c r="AK120">
        <f t="shared" si="161"/>
        <v>1</v>
      </c>
      <c r="AL120">
        <f t="shared" si="162"/>
        <v>0</v>
      </c>
      <c r="AM120">
        <f t="shared" si="163"/>
        <v>51936.83438880121</v>
      </c>
      <c r="AN120" t="s">
        <v>418</v>
      </c>
      <c r="AO120">
        <v>8197.4</v>
      </c>
      <c r="AP120">
        <v>619.92999999999995</v>
      </c>
      <c r="AQ120">
        <v>3131.443117258741</v>
      </c>
      <c r="AR120">
        <f t="shared" si="164"/>
        <v>0.80203057287443702</v>
      </c>
      <c r="AS120">
        <v>-1.0448500102641549</v>
      </c>
      <c r="AT120" t="s">
        <v>947</v>
      </c>
      <c r="AU120">
        <v>8181.31</v>
      </c>
      <c r="AV120">
        <v>851.90071999999998</v>
      </c>
      <c r="AW120">
        <v>1401.484474451662</v>
      </c>
      <c r="AX120">
        <f t="shared" si="165"/>
        <v>0.39214401905286145</v>
      </c>
      <c r="AY120">
        <v>0.5</v>
      </c>
      <c r="AZ120">
        <f t="shared" si="166"/>
        <v>1513.1760000065799</v>
      </c>
      <c r="BA120">
        <f t="shared" si="167"/>
        <v>62.12450358309583</v>
      </c>
      <c r="BB120">
        <f t="shared" si="168"/>
        <v>296.6914590884565</v>
      </c>
      <c r="BC120">
        <f t="shared" si="169"/>
        <v>4.1746203741722908E-2</v>
      </c>
      <c r="BD120">
        <f t="shared" si="170"/>
        <v>1.2343758880981783</v>
      </c>
      <c r="BE120">
        <f t="shared" si="171"/>
        <v>498.18836351719182</v>
      </c>
      <c r="BF120" t="s">
        <v>948</v>
      </c>
      <c r="BG120">
        <v>643.66999999999996</v>
      </c>
      <c r="BH120">
        <f t="shared" si="172"/>
        <v>643.66999999999996</v>
      </c>
      <c r="BI120">
        <f t="shared" si="173"/>
        <v>0.54072270386595678</v>
      </c>
      <c r="BJ120">
        <f t="shared" si="174"/>
        <v>0.72522203386168993</v>
      </c>
      <c r="BK120">
        <f t="shared" si="175"/>
        <v>0.69538441058214662</v>
      </c>
      <c r="BL120">
        <f t="shared" si="176"/>
        <v>0.70319315213088573</v>
      </c>
      <c r="BM120">
        <f t="shared" si="177"/>
        <v>0.68881131096591253</v>
      </c>
      <c r="BN120">
        <f t="shared" si="178"/>
        <v>0.54795547835169567</v>
      </c>
      <c r="BO120">
        <f t="shared" si="179"/>
        <v>0.45204452164830433</v>
      </c>
      <c r="BP120">
        <v>13776</v>
      </c>
      <c r="BQ120">
        <v>290.00000000000011</v>
      </c>
      <c r="BR120">
        <v>1221.82</v>
      </c>
      <c r="BS120">
        <v>285</v>
      </c>
      <c r="BT120">
        <v>8181.31</v>
      </c>
      <c r="BU120">
        <v>1223.96</v>
      </c>
      <c r="BV120">
        <v>-2.14</v>
      </c>
      <c r="BW120">
        <v>300.00000000000011</v>
      </c>
      <c r="BX120">
        <v>19.3</v>
      </c>
      <c r="BY120">
        <v>1401.484474451662</v>
      </c>
      <c r="BZ120">
        <v>4.6321687776458447</v>
      </c>
      <c r="CA120">
        <v>-145.24189750286641</v>
      </c>
      <c r="CB120">
        <v>3.48024877905375</v>
      </c>
      <c r="CC120">
        <v>0.98417774703032623</v>
      </c>
      <c r="CD120">
        <v>-4.2369726362625152E-3</v>
      </c>
      <c r="CE120">
        <v>289.99999999999989</v>
      </c>
      <c r="CF120">
        <v>1217.6199999999999</v>
      </c>
      <c r="CG120">
        <v>655</v>
      </c>
      <c r="CH120">
        <v>8170.75</v>
      </c>
      <c r="CI120">
        <v>1223.73</v>
      </c>
      <c r="CJ120">
        <v>-6.11</v>
      </c>
      <c r="CX120">
        <f t="shared" si="180"/>
        <v>1799.99</v>
      </c>
      <c r="CY120">
        <f t="shared" si="181"/>
        <v>1513.1760000065799</v>
      </c>
      <c r="CZ120">
        <f t="shared" si="182"/>
        <v>0.84065800365923138</v>
      </c>
      <c r="DA120">
        <f t="shared" si="183"/>
        <v>0.16086994706231669</v>
      </c>
      <c r="DB120">
        <v>6</v>
      </c>
      <c r="DC120">
        <v>0.5</v>
      </c>
      <c r="DD120" t="s">
        <v>421</v>
      </c>
      <c r="DE120">
        <v>2</v>
      </c>
      <c r="DF120">
        <v>1689019551.0999999</v>
      </c>
      <c r="DG120">
        <v>1116.74</v>
      </c>
      <c r="DH120">
        <v>1200.3399999999999</v>
      </c>
      <c r="DI120">
        <v>28.039100000000001</v>
      </c>
      <c r="DJ120">
        <v>20.148499999999999</v>
      </c>
      <c r="DK120">
        <v>1116.3499999999999</v>
      </c>
      <c r="DL120">
        <v>27.904</v>
      </c>
      <c r="DM120">
        <v>500.10300000000001</v>
      </c>
      <c r="DN120">
        <v>99.105699999999999</v>
      </c>
      <c r="DO120">
        <v>9.9089700000000003E-2</v>
      </c>
      <c r="DP120">
        <v>29.9556</v>
      </c>
      <c r="DQ120">
        <v>30.026499999999999</v>
      </c>
      <c r="DR120">
        <v>999.9</v>
      </c>
      <c r="DS120">
        <v>0</v>
      </c>
      <c r="DT120">
        <v>0</v>
      </c>
      <c r="DU120">
        <v>10008.799999999999</v>
      </c>
      <c r="DV120">
        <v>0</v>
      </c>
      <c r="DW120">
        <v>1843.93</v>
      </c>
      <c r="DX120">
        <v>-83.601399999999998</v>
      </c>
      <c r="DY120">
        <v>1148.95</v>
      </c>
      <c r="DZ120">
        <v>1225.02</v>
      </c>
      <c r="EA120">
        <v>7.8905599999999998</v>
      </c>
      <c r="EB120">
        <v>1200.3399999999999</v>
      </c>
      <c r="EC120">
        <v>20.148499999999999</v>
      </c>
      <c r="ED120">
        <v>2.7788300000000001</v>
      </c>
      <c r="EE120">
        <v>1.9968300000000001</v>
      </c>
      <c r="EF120">
        <v>22.758900000000001</v>
      </c>
      <c r="EG120">
        <v>17.4192</v>
      </c>
      <c r="EH120">
        <v>1799.99</v>
      </c>
      <c r="EI120">
        <v>0.97800600000000004</v>
      </c>
      <c r="EJ120">
        <v>2.1994400000000001E-2</v>
      </c>
      <c r="EK120">
        <v>0</v>
      </c>
      <c r="EL120">
        <v>851.32</v>
      </c>
      <c r="EM120">
        <v>4.9999900000000004</v>
      </c>
      <c r="EN120">
        <v>22253.7</v>
      </c>
      <c r="EO120">
        <v>15863.8</v>
      </c>
      <c r="EP120">
        <v>48.625</v>
      </c>
      <c r="EQ120">
        <v>50.186999999999998</v>
      </c>
      <c r="ER120">
        <v>49.25</v>
      </c>
      <c r="ES120">
        <v>49.875</v>
      </c>
      <c r="ET120">
        <v>50.436999999999998</v>
      </c>
      <c r="EU120">
        <v>1755.51</v>
      </c>
      <c r="EV120">
        <v>39.479999999999997</v>
      </c>
      <c r="EW120">
        <v>0</v>
      </c>
      <c r="EX120">
        <v>99</v>
      </c>
      <c r="EY120">
        <v>0</v>
      </c>
      <c r="EZ120">
        <v>851.90071999999998</v>
      </c>
      <c r="FA120">
        <v>-3.036999983587624</v>
      </c>
      <c r="FB120">
        <v>-59.784615875523237</v>
      </c>
      <c r="FC120">
        <v>22234.964</v>
      </c>
      <c r="FD120">
        <v>15</v>
      </c>
      <c r="FE120">
        <v>1689019519.5999999</v>
      </c>
      <c r="FF120" t="s">
        <v>949</v>
      </c>
      <c r="FG120">
        <v>1689019519.5999999</v>
      </c>
      <c r="FH120">
        <v>1689019519.5999999</v>
      </c>
      <c r="FI120">
        <v>115</v>
      </c>
      <c r="FJ120">
        <v>0.223</v>
      </c>
      <c r="FK120">
        <v>-4.0000000000000001E-3</v>
      </c>
      <c r="FL120">
        <v>0.41</v>
      </c>
      <c r="FM120">
        <v>8.7999999999999995E-2</v>
      </c>
      <c r="FN120">
        <v>1200</v>
      </c>
      <c r="FO120">
        <v>20</v>
      </c>
      <c r="FP120">
        <v>0.05</v>
      </c>
      <c r="FQ120">
        <v>0.01</v>
      </c>
      <c r="FR120">
        <v>62.336603670836674</v>
      </c>
      <c r="FS120">
        <v>-0.61063368014884878</v>
      </c>
      <c r="FT120">
        <v>7.609349483196505E-2</v>
      </c>
      <c r="FU120">
        <v>1</v>
      </c>
      <c r="FV120">
        <v>0.4710191120111068</v>
      </c>
      <c r="FW120">
        <v>2.622781970441497E-2</v>
      </c>
      <c r="FX120">
        <v>2.0705042031629699E-3</v>
      </c>
      <c r="FY120">
        <v>1</v>
      </c>
      <c r="FZ120">
        <v>2</v>
      </c>
      <c r="GA120">
        <v>2</v>
      </c>
      <c r="GB120" t="s">
        <v>423</v>
      </c>
      <c r="GC120">
        <v>2.95757</v>
      </c>
      <c r="GD120">
        <v>2.7423999999999999</v>
      </c>
      <c r="GE120">
        <v>0.18032699999999999</v>
      </c>
      <c r="GF120">
        <v>0.188219</v>
      </c>
      <c r="GG120">
        <v>0.128549</v>
      </c>
      <c r="GH120">
        <v>0.10155500000000001</v>
      </c>
      <c r="GI120">
        <v>19233.099999999999</v>
      </c>
      <c r="GJ120">
        <v>17741.099999999999</v>
      </c>
      <c r="GK120">
        <v>23399.8</v>
      </c>
      <c r="GL120">
        <v>21906.9</v>
      </c>
      <c r="GM120">
        <v>28770.7</v>
      </c>
      <c r="GN120">
        <v>27480.2</v>
      </c>
      <c r="GO120">
        <v>36925.1</v>
      </c>
      <c r="GP120">
        <v>34096.6</v>
      </c>
      <c r="GQ120">
        <v>1.9886999999999999</v>
      </c>
      <c r="GR120">
        <v>1.78908</v>
      </c>
      <c r="GS120">
        <v>-3.9074600000000001E-2</v>
      </c>
      <c r="GT120">
        <v>0</v>
      </c>
      <c r="GU120">
        <v>30.661999999999999</v>
      </c>
      <c r="GV120">
        <v>999.9</v>
      </c>
      <c r="GW120">
        <v>25.8</v>
      </c>
      <c r="GX120">
        <v>48.4</v>
      </c>
      <c r="GY120">
        <v>29.840199999999999</v>
      </c>
      <c r="GZ120">
        <v>60.198</v>
      </c>
      <c r="HA120">
        <v>39.519199999999998</v>
      </c>
      <c r="HB120">
        <v>1</v>
      </c>
      <c r="HC120">
        <v>0.56596299999999999</v>
      </c>
      <c r="HD120">
        <v>3.9443700000000002</v>
      </c>
      <c r="HE120">
        <v>20.062000000000001</v>
      </c>
      <c r="HF120">
        <v>5.2650600000000001</v>
      </c>
      <c r="HG120">
        <v>11.962199999999999</v>
      </c>
      <c r="HH120">
        <v>4.9796500000000004</v>
      </c>
      <c r="HI120">
        <v>3.298</v>
      </c>
      <c r="HJ120">
        <v>9999</v>
      </c>
      <c r="HK120">
        <v>9999</v>
      </c>
      <c r="HL120">
        <v>9999</v>
      </c>
      <c r="HM120">
        <v>999.9</v>
      </c>
      <c r="HN120">
        <v>1.86432</v>
      </c>
      <c r="HO120">
        <v>1.8603000000000001</v>
      </c>
      <c r="HP120">
        <v>1.8668400000000001</v>
      </c>
      <c r="HQ120">
        <v>1.8635600000000001</v>
      </c>
      <c r="HR120">
        <v>1.8621799999999999</v>
      </c>
      <c r="HS120">
        <v>1.86219</v>
      </c>
      <c r="HT120">
        <v>1.86348</v>
      </c>
      <c r="HU120">
        <v>1.8647800000000001</v>
      </c>
      <c r="HV120">
        <v>0</v>
      </c>
      <c r="HW120">
        <v>0</v>
      </c>
      <c r="HX120">
        <v>0</v>
      </c>
      <c r="HY120">
        <v>0</v>
      </c>
      <c r="HZ120" t="s">
        <v>424</v>
      </c>
      <c r="IA120" t="s">
        <v>425</v>
      </c>
      <c r="IB120" t="s">
        <v>426</v>
      </c>
      <c r="IC120" t="s">
        <v>426</v>
      </c>
      <c r="ID120" t="s">
        <v>426</v>
      </c>
      <c r="IE120" t="s">
        <v>426</v>
      </c>
      <c r="IF120">
        <v>0</v>
      </c>
      <c r="IG120">
        <v>100</v>
      </c>
      <c r="IH120">
        <v>100</v>
      </c>
      <c r="II120">
        <v>0.39</v>
      </c>
      <c r="IJ120">
        <v>0.1351</v>
      </c>
      <c r="IK120">
        <v>0.25953126096699908</v>
      </c>
      <c r="IL120">
        <v>-8.3322953065825546E-5</v>
      </c>
      <c r="IM120">
        <v>2.3872336679552741E-7</v>
      </c>
      <c r="IN120">
        <v>-5.428329794194132E-11</v>
      </c>
      <c r="IO120">
        <v>0.13503404885300349</v>
      </c>
      <c r="IP120">
        <v>0</v>
      </c>
      <c r="IQ120">
        <v>0</v>
      </c>
      <c r="IR120">
        <v>0</v>
      </c>
      <c r="IS120">
        <v>2</v>
      </c>
      <c r="IT120">
        <v>2035</v>
      </c>
      <c r="IU120">
        <v>1</v>
      </c>
      <c r="IV120">
        <v>21</v>
      </c>
      <c r="IW120">
        <v>0.5</v>
      </c>
      <c r="IX120">
        <v>0.5</v>
      </c>
      <c r="IY120">
        <v>2.6293899999999999</v>
      </c>
      <c r="IZ120">
        <v>2.7185100000000002</v>
      </c>
      <c r="JA120">
        <v>1.4526399999999999</v>
      </c>
      <c r="JB120">
        <v>2.2741699999999998</v>
      </c>
      <c r="JC120">
        <v>1.5942400000000001</v>
      </c>
      <c r="JD120">
        <v>2.3950200000000001</v>
      </c>
      <c r="JE120">
        <v>50.154200000000003</v>
      </c>
      <c r="JF120">
        <v>24.253900000000002</v>
      </c>
      <c r="JG120">
        <v>18</v>
      </c>
      <c r="JH120">
        <v>511.26499999999999</v>
      </c>
      <c r="JI120">
        <v>416.065</v>
      </c>
      <c r="JJ120">
        <v>26.286899999999999</v>
      </c>
      <c r="JK120">
        <v>34.200800000000001</v>
      </c>
      <c r="JL120">
        <v>30.000800000000002</v>
      </c>
      <c r="JM120">
        <v>34.1462</v>
      </c>
      <c r="JN120">
        <v>34.149000000000001</v>
      </c>
      <c r="JO120">
        <v>52.540799999999997</v>
      </c>
      <c r="JP120">
        <v>35.062100000000001</v>
      </c>
      <c r="JQ120">
        <v>0</v>
      </c>
      <c r="JR120">
        <v>26.272500000000001</v>
      </c>
      <c r="JS120">
        <v>1200</v>
      </c>
      <c r="JT120">
        <v>20.0168</v>
      </c>
      <c r="JU120">
        <v>98.965900000000005</v>
      </c>
      <c r="JV120">
        <v>98.342200000000005</v>
      </c>
    </row>
    <row r="121" spans="1:282" x14ac:dyDescent="0.25">
      <c r="A121">
        <v>105</v>
      </c>
      <c r="B121">
        <v>1689019672.5999999</v>
      </c>
      <c r="C121">
        <v>20332</v>
      </c>
      <c r="D121" t="s">
        <v>950</v>
      </c>
      <c r="E121" t="s">
        <v>951</v>
      </c>
      <c r="F121" t="s">
        <v>414</v>
      </c>
      <c r="G121" t="s">
        <v>415</v>
      </c>
      <c r="H121" t="s">
        <v>416</v>
      </c>
      <c r="I121" t="s">
        <v>501</v>
      </c>
      <c r="J121" t="s">
        <v>500</v>
      </c>
      <c r="K121">
        <v>1689019672.5999999</v>
      </c>
      <c r="L121">
        <f t="shared" si="138"/>
        <v>6.1542469809833964E-3</v>
      </c>
      <c r="M121">
        <f t="shared" si="139"/>
        <v>6.1542469809833964</v>
      </c>
      <c r="N121">
        <f t="shared" si="140"/>
        <v>61.859169703738154</v>
      </c>
      <c r="O121">
        <f t="shared" si="141"/>
        <v>1415.33</v>
      </c>
      <c r="P121">
        <f t="shared" si="142"/>
        <v>1130.8359394496897</v>
      </c>
      <c r="Q121">
        <f t="shared" si="143"/>
        <v>112.19195932153092</v>
      </c>
      <c r="R121">
        <f t="shared" si="144"/>
        <v>140.41704923511298</v>
      </c>
      <c r="S121">
        <f t="shared" si="145"/>
        <v>0.41858166090211768</v>
      </c>
      <c r="T121">
        <f t="shared" si="146"/>
        <v>2.9165545349967474</v>
      </c>
      <c r="U121">
        <f t="shared" si="147"/>
        <v>0.38784321863245469</v>
      </c>
      <c r="V121">
        <f t="shared" si="148"/>
        <v>0.24497536641677553</v>
      </c>
      <c r="W121">
        <f t="shared" si="149"/>
        <v>289.56850501269599</v>
      </c>
      <c r="X121">
        <f t="shared" si="150"/>
        <v>29.907964675699073</v>
      </c>
      <c r="Y121">
        <f t="shared" si="151"/>
        <v>30.042100000000001</v>
      </c>
      <c r="Z121">
        <f t="shared" si="152"/>
        <v>4.2707632098312853</v>
      </c>
      <c r="AA121">
        <f t="shared" si="153"/>
        <v>65.343660745543446</v>
      </c>
      <c r="AB121">
        <f t="shared" si="154"/>
        <v>2.75220710323488</v>
      </c>
      <c r="AC121">
        <f t="shared" si="155"/>
        <v>4.2118961071867789</v>
      </c>
      <c r="AD121">
        <f t="shared" si="156"/>
        <v>1.5185561065964053</v>
      </c>
      <c r="AE121">
        <f t="shared" si="157"/>
        <v>-271.40229186136776</v>
      </c>
      <c r="AF121">
        <f t="shared" si="158"/>
        <v>-37.972805073915161</v>
      </c>
      <c r="AG121">
        <f t="shared" si="159"/>
        <v>-2.8927007365575754</v>
      </c>
      <c r="AH121">
        <f t="shared" si="160"/>
        <v>-22.699292659144497</v>
      </c>
      <c r="AI121">
        <v>0</v>
      </c>
      <c r="AJ121">
        <v>0</v>
      </c>
      <c r="AK121">
        <f t="shared" si="161"/>
        <v>1</v>
      </c>
      <c r="AL121">
        <f t="shared" si="162"/>
        <v>0</v>
      </c>
      <c r="AM121">
        <f t="shared" si="163"/>
        <v>51997.799017541722</v>
      </c>
      <c r="AN121" t="s">
        <v>418</v>
      </c>
      <c r="AO121">
        <v>8197.4</v>
      </c>
      <c r="AP121">
        <v>619.92999999999995</v>
      </c>
      <c r="AQ121">
        <v>3131.443117258741</v>
      </c>
      <c r="AR121">
        <f t="shared" si="164"/>
        <v>0.80203057287443702</v>
      </c>
      <c r="AS121">
        <v>-1.0448500102641549</v>
      </c>
      <c r="AT121" t="s">
        <v>952</v>
      </c>
      <c r="AU121">
        <v>8183.03</v>
      </c>
      <c r="AV121">
        <v>843.23883999999987</v>
      </c>
      <c r="AW121">
        <v>1387.6952884840209</v>
      </c>
      <c r="AX121">
        <f t="shared" si="165"/>
        <v>0.39234582188342593</v>
      </c>
      <c r="AY121">
        <v>0.5</v>
      </c>
      <c r="AZ121">
        <f t="shared" si="166"/>
        <v>1513.200900006578</v>
      </c>
      <c r="BA121">
        <f t="shared" si="167"/>
        <v>61.859169703738154</v>
      </c>
      <c r="BB121">
        <f t="shared" si="168"/>
        <v>296.84902539391032</v>
      </c>
      <c r="BC121">
        <f t="shared" si="169"/>
        <v>4.1570170698238984E-2</v>
      </c>
      <c r="BD121">
        <f t="shared" si="170"/>
        <v>1.2565783304486582</v>
      </c>
      <c r="BE121">
        <f t="shared" si="171"/>
        <v>496.43483814404567</v>
      </c>
      <c r="BF121" t="s">
        <v>953</v>
      </c>
      <c r="BG121">
        <v>644.41</v>
      </c>
      <c r="BH121">
        <f t="shared" si="172"/>
        <v>644.41</v>
      </c>
      <c r="BI121">
        <f t="shared" si="173"/>
        <v>0.53562572032367295</v>
      </c>
      <c r="BJ121">
        <f t="shared" si="174"/>
        <v>0.73249996592085875</v>
      </c>
      <c r="BK121">
        <f t="shared" si="175"/>
        <v>0.70113574952983126</v>
      </c>
      <c r="BL121">
        <f t="shared" si="176"/>
        <v>0.70914439171777233</v>
      </c>
      <c r="BM121">
        <f t="shared" si="177"/>
        <v>0.69430170075240571</v>
      </c>
      <c r="BN121">
        <f t="shared" si="178"/>
        <v>0.55978244910903374</v>
      </c>
      <c r="BO121">
        <f t="shared" si="179"/>
        <v>0.44021755089096626</v>
      </c>
      <c r="BP121">
        <v>13778</v>
      </c>
      <c r="BQ121">
        <v>290.00000000000011</v>
      </c>
      <c r="BR121">
        <v>1207.8699999999999</v>
      </c>
      <c r="BS121">
        <v>245</v>
      </c>
      <c r="BT121">
        <v>8183.03</v>
      </c>
      <c r="BU121">
        <v>1211.54</v>
      </c>
      <c r="BV121">
        <v>-3.67</v>
      </c>
      <c r="BW121">
        <v>300.00000000000011</v>
      </c>
      <c r="BX121">
        <v>19.3</v>
      </c>
      <c r="BY121">
        <v>1387.6952884840209</v>
      </c>
      <c r="BZ121">
        <v>4.2219071688890253</v>
      </c>
      <c r="CA121">
        <v>-144.15091703062041</v>
      </c>
      <c r="CB121">
        <v>3.1715382910720868</v>
      </c>
      <c r="CC121">
        <v>0.98662738637188729</v>
      </c>
      <c r="CD121">
        <v>-4.2364865406006704E-3</v>
      </c>
      <c r="CE121">
        <v>289.99999999999989</v>
      </c>
      <c r="CF121">
        <v>1205.94</v>
      </c>
      <c r="CG121">
        <v>645</v>
      </c>
      <c r="CH121">
        <v>8169.84</v>
      </c>
      <c r="CI121">
        <v>1211.25</v>
      </c>
      <c r="CJ121">
        <v>-5.31</v>
      </c>
      <c r="CX121">
        <f t="shared" si="180"/>
        <v>1800.02</v>
      </c>
      <c r="CY121">
        <f t="shared" si="181"/>
        <v>1513.200900006578</v>
      </c>
      <c r="CZ121">
        <f t="shared" si="182"/>
        <v>0.8406578260278097</v>
      </c>
      <c r="DA121">
        <f t="shared" si="183"/>
        <v>0.16086960423367297</v>
      </c>
      <c r="DB121">
        <v>6</v>
      </c>
      <c r="DC121">
        <v>0.5</v>
      </c>
      <c r="DD121" t="s">
        <v>421</v>
      </c>
      <c r="DE121">
        <v>2</v>
      </c>
      <c r="DF121">
        <v>1689019672.5999999</v>
      </c>
      <c r="DG121">
        <v>1415.33</v>
      </c>
      <c r="DH121">
        <v>1499.98</v>
      </c>
      <c r="DI121">
        <v>27.7408</v>
      </c>
      <c r="DJ121">
        <v>20.563400000000001</v>
      </c>
      <c r="DK121">
        <v>1414.9</v>
      </c>
      <c r="DL121">
        <v>27.6035</v>
      </c>
      <c r="DM121">
        <v>500.197</v>
      </c>
      <c r="DN121">
        <v>99.112399999999994</v>
      </c>
      <c r="DO121">
        <v>9.9126099999999995E-2</v>
      </c>
      <c r="DP121">
        <v>29.800599999999999</v>
      </c>
      <c r="DQ121">
        <v>30.042100000000001</v>
      </c>
      <c r="DR121">
        <v>999.9</v>
      </c>
      <c r="DS121">
        <v>0</v>
      </c>
      <c r="DT121">
        <v>0</v>
      </c>
      <c r="DU121">
        <v>10015</v>
      </c>
      <c r="DV121">
        <v>0</v>
      </c>
      <c r="DW121">
        <v>1842.77</v>
      </c>
      <c r="DX121">
        <v>-84.653199999999998</v>
      </c>
      <c r="DY121">
        <v>1455.71</v>
      </c>
      <c r="DZ121">
        <v>1531.48</v>
      </c>
      <c r="EA121">
        <v>7.1773600000000002</v>
      </c>
      <c r="EB121">
        <v>1499.98</v>
      </c>
      <c r="EC121">
        <v>20.563400000000001</v>
      </c>
      <c r="ED121">
        <v>2.74946</v>
      </c>
      <c r="EE121">
        <v>2.03809</v>
      </c>
      <c r="EF121">
        <v>22.5837</v>
      </c>
      <c r="EG121">
        <v>17.743400000000001</v>
      </c>
      <c r="EH121">
        <v>1800.02</v>
      </c>
      <c r="EI121">
        <v>0.97800900000000002</v>
      </c>
      <c r="EJ121">
        <v>2.1991299999999998E-2</v>
      </c>
      <c r="EK121">
        <v>0</v>
      </c>
      <c r="EL121">
        <v>842.87300000000005</v>
      </c>
      <c r="EM121">
        <v>4.9999900000000004</v>
      </c>
      <c r="EN121">
        <v>22184.2</v>
      </c>
      <c r="EO121">
        <v>15864</v>
      </c>
      <c r="EP121">
        <v>48.75</v>
      </c>
      <c r="EQ121">
        <v>50.311999999999998</v>
      </c>
      <c r="ER121">
        <v>49.375</v>
      </c>
      <c r="ES121">
        <v>49.936999999999998</v>
      </c>
      <c r="ET121">
        <v>50.5</v>
      </c>
      <c r="EU121">
        <v>1755.55</v>
      </c>
      <c r="EV121">
        <v>39.47</v>
      </c>
      <c r="EW121">
        <v>0</v>
      </c>
      <c r="EX121">
        <v>119.6000001430511</v>
      </c>
      <c r="EY121">
        <v>0</v>
      </c>
      <c r="EZ121">
        <v>843.23883999999987</v>
      </c>
      <c r="FA121">
        <v>-4.0986153837665462</v>
      </c>
      <c r="FB121">
        <v>116.6076915386374</v>
      </c>
      <c r="FC121">
        <v>22174.36399999999</v>
      </c>
      <c r="FD121">
        <v>15</v>
      </c>
      <c r="FE121">
        <v>1689019634.0999999</v>
      </c>
      <c r="FF121" t="s">
        <v>954</v>
      </c>
      <c r="FG121">
        <v>1689019634.0999999</v>
      </c>
      <c r="FH121">
        <v>1689019625.0999999</v>
      </c>
      <c r="FI121">
        <v>116</v>
      </c>
      <c r="FJ121">
        <v>-3.5999999999999997E-2</v>
      </c>
      <c r="FK121">
        <v>2E-3</v>
      </c>
      <c r="FL121">
        <v>0.45200000000000001</v>
      </c>
      <c r="FM121">
        <v>9.7000000000000003E-2</v>
      </c>
      <c r="FN121">
        <v>1501</v>
      </c>
      <c r="FO121">
        <v>20</v>
      </c>
      <c r="FP121">
        <v>0.04</v>
      </c>
      <c r="FQ121">
        <v>0.01</v>
      </c>
      <c r="FR121">
        <v>61.944708972625662</v>
      </c>
      <c r="FS121">
        <v>-0.50091818155984602</v>
      </c>
      <c r="FT121">
        <v>8.7924024564287398E-2</v>
      </c>
      <c r="FU121">
        <v>1</v>
      </c>
      <c r="FV121">
        <v>0.42265799297177992</v>
      </c>
      <c r="FW121">
        <v>-3.0249830530416959E-2</v>
      </c>
      <c r="FX121">
        <v>2.2862637004002831E-3</v>
      </c>
      <c r="FY121">
        <v>1</v>
      </c>
      <c r="FZ121">
        <v>2</v>
      </c>
      <c r="GA121">
        <v>2</v>
      </c>
      <c r="GB121" t="s">
        <v>423</v>
      </c>
      <c r="GC121">
        <v>2.9576500000000001</v>
      </c>
      <c r="GD121">
        <v>2.7424900000000001</v>
      </c>
      <c r="GE121">
        <v>0.208339</v>
      </c>
      <c r="GF121">
        <v>0.215251</v>
      </c>
      <c r="GG121">
        <v>0.12756500000000001</v>
      </c>
      <c r="GH121">
        <v>0.10299999999999999</v>
      </c>
      <c r="GI121">
        <v>18567.2</v>
      </c>
      <c r="GJ121">
        <v>17142.3</v>
      </c>
      <c r="GK121">
        <v>23391</v>
      </c>
      <c r="GL121">
        <v>21898.7</v>
      </c>
      <c r="GM121">
        <v>28796</v>
      </c>
      <c r="GN121">
        <v>27427.8</v>
      </c>
      <c r="GO121">
        <v>36912.1</v>
      </c>
      <c r="GP121">
        <v>34084.699999999997</v>
      </c>
      <c r="GQ121">
        <v>1.98675</v>
      </c>
      <c r="GR121">
        <v>1.78817</v>
      </c>
      <c r="GS121">
        <v>-4.0084099999999998E-2</v>
      </c>
      <c r="GT121">
        <v>0</v>
      </c>
      <c r="GU121">
        <v>30.693999999999999</v>
      </c>
      <c r="GV121">
        <v>999.9</v>
      </c>
      <c r="GW121">
        <v>25.6</v>
      </c>
      <c r="GX121">
        <v>48.5</v>
      </c>
      <c r="GY121">
        <v>29.7578</v>
      </c>
      <c r="GZ121">
        <v>60.158000000000001</v>
      </c>
      <c r="HA121">
        <v>38.918300000000002</v>
      </c>
      <c r="HB121">
        <v>1</v>
      </c>
      <c r="HC121">
        <v>0.58436500000000002</v>
      </c>
      <c r="HD121">
        <v>4.5455199999999998</v>
      </c>
      <c r="HE121">
        <v>20.045300000000001</v>
      </c>
      <c r="HF121">
        <v>5.2644599999999997</v>
      </c>
      <c r="HG121">
        <v>11.9625</v>
      </c>
      <c r="HH121">
        <v>4.9796500000000004</v>
      </c>
      <c r="HI121">
        <v>3.29793</v>
      </c>
      <c r="HJ121">
        <v>9999</v>
      </c>
      <c r="HK121">
        <v>9999</v>
      </c>
      <c r="HL121">
        <v>9999</v>
      </c>
      <c r="HM121">
        <v>999.9</v>
      </c>
      <c r="HN121">
        <v>1.86432</v>
      </c>
      <c r="HO121">
        <v>1.8603099999999999</v>
      </c>
      <c r="HP121">
        <v>1.86686</v>
      </c>
      <c r="HQ121">
        <v>1.8635600000000001</v>
      </c>
      <c r="HR121">
        <v>1.8621799999999999</v>
      </c>
      <c r="HS121">
        <v>1.8622000000000001</v>
      </c>
      <c r="HT121">
        <v>1.86354</v>
      </c>
      <c r="HU121">
        <v>1.8647800000000001</v>
      </c>
      <c r="HV121">
        <v>0</v>
      </c>
      <c r="HW121">
        <v>0</v>
      </c>
      <c r="HX121">
        <v>0</v>
      </c>
      <c r="HY121">
        <v>0</v>
      </c>
      <c r="HZ121" t="s">
        <v>424</v>
      </c>
      <c r="IA121" t="s">
        <v>425</v>
      </c>
      <c r="IB121" t="s">
        <v>426</v>
      </c>
      <c r="IC121" t="s">
        <v>426</v>
      </c>
      <c r="ID121" t="s">
        <v>426</v>
      </c>
      <c r="IE121" t="s">
        <v>426</v>
      </c>
      <c r="IF121">
        <v>0</v>
      </c>
      <c r="IG121">
        <v>100</v>
      </c>
      <c r="IH121">
        <v>100</v>
      </c>
      <c r="II121">
        <v>0.43</v>
      </c>
      <c r="IJ121">
        <v>0.13730000000000001</v>
      </c>
      <c r="IK121">
        <v>0.22295442503752669</v>
      </c>
      <c r="IL121">
        <v>-8.3322953065825546E-5</v>
      </c>
      <c r="IM121">
        <v>2.3872336679552741E-7</v>
      </c>
      <c r="IN121">
        <v>-5.428329794194132E-11</v>
      </c>
      <c r="IO121">
        <v>0.13729230773306339</v>
      </c>
      <c r="IP121">
        <v>0</v>
      </c>
      <c r="IQ121">
        <v>0</v>
      </c>
      <c r="IR121">
        <v>0</v>
      </c>
      <c r="IS121">
        <v>2</v>
      </c>
      <c r="IT121">
        <v>2035</v>
      </c>
      <c r="IU121">
        <v>1</v>
      </c>
      <c r="IV121">
        <v>21</v>
      </c>
      <c r="IW121">
        <v>0.6</v>
      </c>
      <c r="IX121">
        <v>0.8</v>
      </c>
      <c r="IY121">
        <v>3.14697</v>
      </c>
      <c r="IZ121">
        <v>2.7111800000000001</v>
      </c>
      <c r="JA121">
        <v>1.4526399999999999</v>
      </c>
      <c r="JB121">
        <v>2.2741699999999998</v>
      </c>
      <c r="JC121">
        <v>1.5942400000000001</v>
      </c>
      <c r="JD121">
        <v>2.34863</v>
      </c>
      <c r="JE121">
        <v>50.283200000000001</v>
      </c>
      <c r="JF121">
        <v>24.245100000000001</v>
      </c>
      <c r="JG121">
        <v>18</v>
      </c>
      <c r="JH121">
        <v>510.947</v>
      </c>
      <c r="JI121">
        <v>416.303</v>
      </c>
      <c r="JJ121">
        <v>25.769400000000001</v>
      </c>
      <c r="JK121">
        <v>34.326799999999999</v>
      </c>
      <c r="JL121">
        <v>30.001200000000001</v>
      </c>
      <c r="JM121">
        <v>34.260399999999997</v>
      </c>
      <c r="JN121">
        <v>34.262599999999999</v>
      </c>
      <c r="JO121">
        <v>62.890599999999999</v>
      </c>
      <c r="JP121">
        <v>31.7988</v>
      </c>
      <c r="JQ121">
        <v>0</v>
      </c>
      <c r="JR121">
        <v>25.7563</v>
      </c>
      <c r="JS121">
        <v>1500</v>
      </c>
      <c r="JT121">
        <v>20.5456</v>
      </c>
      <c r="JU121">
        <v>98.930199999999999</v>
      </c>
      <c r="JV121">
        <v>98.306899999999999</v>
      </c>
    </row>
    <row r="122" spans="1:282" x14ac:dyDescent="0.25">
      <c r="A122">
        <v>106</v>
      </c>
      <c r="B122">
        <v>1689020207.5999999</v>
      </c>
      <c r="C122">
        <v>20867</v>
      </c>
      <c r="D122" t="s">
        <v>955</v>
      </c>
      <c r="E122" t="s">
        <v>956</v>
      </c>
      <c r="F122" t="s">
        <v>414</v>
      </c>
      <c r="G122" t="s">
        <v>415</v>
      </c>
      <c r="H122" t="s">
        <v>500</v>
      </c>
      <c r="I122" t="s">
        <v>417</v>
      </c>
      <c r="J122" t="s">
        <v>500</v>
      </c>
      <c r="K122">
        <v>1689020207.5999999</v>
      </c>
      <c r="L122">
        <f t="shared" si="138"/>
        <v>5.6863117427858895E-3</v>
      </c>
      <c r="M122">
        <f t="shared" si="139"/>
        <v>5.6863117427858896</v>
      </c>
      <c r="N122">
        <f t="shared" si="140"/>
        <v>53.414717471937962</v>
      </c>
      <c r="O122">
        <f t="shared" si="141"/>
        <v>333.95499999999998</v>
      </c>
      <c r="P122">
        <f t="shared" si="142"/>
        <v>103.52322431769771</v>
      </c>
      <c r="Q122">
        <f t="shared" si="143"/>
        <v>10.268582909712082</v>
      </c>
      <c r="R122">
        <f t="shared" si="144"/>
        <v>33.125365136319999</v>
      </c>
      <c r="S122">
        <f t="shared" si="145"/>
        <v>0.40451868766853738</v>
      </c>
      <c r="T122">
        <f t="shared" si="146"/>
        <v>2.9067627492644834</v>
      </c>
      <c r="U122">
        <f t="shared" si="147"/>
        <v>0.37564532283092311</v>
      </c>
      <c r="V122">
        <f t="shared" si="148"/>
        <v>0.23720051669163653</v>
      </c>
      <c r="W122">
        <f t="shared" si="149"/>
        <v>289.5409350127037</v>
      </c>
      <c r="X122">
        <f t="shared" si="150"/>
        <v>30.181155693615711</v>
      </c>
      <c r="Y122">
        <f t="shared" si="151"/>
        <v>29.950600000000001</v>
      </c>
      <c r="Z122">
        <f t="shared" si="152"/>
        <v>4.2483757022728197</v>
      </c>
      <c r="AA122">
        <f t="shared" si="153"/>
        <v>65.910172463367687</v>
      </c>
      <c r="AB122">
        <f t="shared" si="154"/>
        <v>2.8002243805823994</v>
      </c>
      <c r="AC122">
        <f t="shared" si="155"/>
        <v>4.2485465838201835</v>
      </c>
      <c r="AD122">
        <f t="shared" si="156"/>
        <v>1.4481513216904203</v>
      </c>
      <c r="AE122">
        <f t="shared" si="157"/>
        <v>-250.76634785685772</v>
      </c>
      <c r="AF122">
        <f t="shared" si="158"/>
        <v>0.10969657533658714</v>
      </c>
      <c r="AG122">
        <f t="shared" si="159"/>
        <v>8.3870966422871576E-3</v>
      </c>
      <c r="AH122">
        <f t="shared" si="160"/>
        <v>38.892670827824873</v>
      </c>
      <c r="AI122">
        <v>0</v>
      </c>
      <c r="AJ122">
        <v>0</v>
      </c>
      <c r="AK122">
        <f t="shared" si="161"/>
        <v>1</v>
      </c>
      <c r="AL122">
        <f t="shared" si="162"/>
        <v>0</v>
      </c>
      <c r="AM122">
        <f t="shared" si="163"/>
        <v>51692.973578771911</v>
      </c>
      <c r="AN122" t="s">
        <v>418</v>
      </c>
      <c r="AO122">
        <v>8197.4</v>
      </c>
      <c r="AP122">
        <v>619.92999999999995</v>
      </c>
      <c r="AQ122">
        <v>3131.443117258741</v>
      </c>
      <c r="AR122">
        <f t="shared" si="164"/>
        <v>0.80203057287443702</v>
      </c>
      <c r="AS122">
        <v>-1.0448500102641549</v>
      </c>
      <c r="AT122" t="s">
        <v>957</v>
      </c>
      <c r="AU122">
        <v>8203.35</v>
      </c>
      <c r="AV122">
        <v>829.24284615384613</v>
      </c>
      <c r="AW122">
        <v>1292.849870044545</v>
      </c>
      <c r="AX122">
        <f t="shared" si="165"/>
        <v>0.35859308542508916</v>
      </c>
      <c r="AY122">
        <v>0.5</v>
      </c>
      <c r="AZ122">
        <f t="shared" si="166"/>
        <v>1513.0503000065819</v>
      </c>
      <c r="BA122">
        <f t="shared" si="167"/>
        <v>53.414717471937962</v>
      </c>
      <c r="BB122">
        <f t="shared" si="168"/>
        <v>271.28468774135848</v>
      </c>
      <c r="BC122">
        <f t="shared" si="169"/>
        <v>3.5993230021477286E-2</v>
      </c>
      <c r="BD122">
        <f t="shared" si="170"/>
        <v>1.4221243238016859</v>
      </c>
      <c r="BE122">
        <f t="shared" si="171"/>
        <v>483.73939527041091</v>
      </c>
      <c r="BF122" t="s">
        <v>958</v>
      </c>
      <c r="BG122">
        <v>632.86</v>
      </c>
      <c r="BH122">
        <f t="shared" si="172"/>
        <v>632.86</v>
      </c>
      <c r="BI122">
        <f t="shared" si="173"/>
        <v>0.51049227395738161</v>
      </c>
      <c r="BJ122">
        <f t="shared" si="174"/>
        <v>0.70244566611213055</v>
      </c>
      <c r="BK122">
        <f t="shared" si="175"/>
        <v>0.73585434661519822</v>
      </c>
      <c r="BL122">
        <f t="shared" si="176"/>
        <v>0.68894833475493844</v>
      </c>
      <c r="BM122">
        <f t="shared" si="177"/>
        <v>0.73206595441594913</v>
      </c>
      <c r="BN122">
        <f t="shared" si="178"/>
        <v>0.5360911659565254</v>
      </c>
      <c r="BO122">
        <f t="shared" si="179"/>
        <v>0.4639088340434746</v>
      </c>
      <c r="BP122">
        <v>13780</v>
      </c>
      <c r="BQ122">
        <v>290.00000000000011</v>
      </c>
      <c r="BR122">
        <v>1151.42</v>
      </c>
      <c r="BS122">
        <v>275</v>
      </c>
      <c r="BT122">
        <v>8203.35</v>
      </c>
      <c r="BU122">
        <v>1155.05</v>
      </c>
      <c r="BV122">
        <v>-3.63</v>
      </c>
      <c r="BW122">
        <v>300.00000000000011</v>
      </c>
      <c r="BX122">
        <v>19.3</v>
      </c>
      <c r="BY122">
        <v>1292.849870044545</v>
      </c>
      <c r="BZ122">
        <v>4.3907226776857753</v>
      </c>
      <c r="CA122">
        <v>-113.0451133384919</v>
      </c>
      <c r="CB122">
        <v>3.307402257303099</v>
      </c>
      <c r="CC122">
        <v>0.97659319301369707</v>
      </c>
      <c r="CD122">
        <v>-4.248319688542823E-3</v>
      </c>
      <c r="CE122">
        <v>289.99999999999989</v>
      </c>
      <c r="CF122">
        <v>1151.92</v>
      </c>
      <c r="CG122">
        <v>655</v>
      </c>
      <c r="CH122">
        <v>8191.88</v>
      </c>
      <c r="CI122">
        <v>1154.8499999999999</v>
      </c>
      <c r="CJ122">
        <v>-2.93</v>
      </c>
      <c r="CX122">
        <f t="shared" si="180"/>
        <v>1799.84</v>
      </c>
      <c r="CY122">
        <f t="shared" si="181"/>
        <v>1513.0503000065819</v>
      </c>
      <c r="CZ122">
        <f t="shared" si="182"/>
        <v>0.84065822517922817</v>
      </c>
      <c r="DA122">
        <f t="shared" si="183"/>
        <v>0.16087037459591058</v>
      </c>
      <c r="DB122">
        <v>6</v>
      </c>
      <c r="DC122">
        <v>0.5</v>
      </c>
      <c r="DD122" t="s">
        <v>421</v>
      </c>
      <c r="DE122">
        <v>2</v>
      </c>
      <c r="DF122">
        <v>1689020207.5999999</v>
      </c>
      <c r="DG122">
        <v>333.95499999999998</v>
      </c>
      <c r="DH122">
        <v>400.30900000000003</v>
      </c>
      <c r="DI122">
        <v>28.230599999999999</v>
      </c>
      <c r="DJ122">
        <v>21.601900000000001</v>
      </c>
      <c r="DK122">
        <v>334.09199999999998</v>
      </c>
      <c r="DL122">
        <v>28.1067</v>
      </c>
      <c r="DM122">
        <v>500.16899999999998</v>
      </c>
      <c r="DN122">
        <v>99.090699999999998</v>
      </c>
      <c r="DO122">
        <v>0.10040399999999999</v>
      </c>
      <c r="DP122">
        <v>29.9513</v>
      </c>
      <c r="DQ122">
        <v>29.950600000000001</v>
      </c>
      <c r="DR122">
        <v>999.9</v>
      </c>
      <c r="DS122">
        <v>0</v>
      </c>
      <c r="DT122">
        <v>0</v>
      </c>
      <c r="DU122">
        <v>9961.25</v>
      </c>
      <c r="DV122">
        <v>0</v>
      </c>
      <c r="DW122">
        <v>1902.05</v>
      </c>
      <c r="DX122">
        <v>-66.353899999999996</v>
      </c>
      <c r="DY122">
        <v>343.65600000000001</v>
      </c>
      <c r="DZ122">
        <v>409.14699999999999</v>
      </c>
      <c r="EA122">
        <v>6.6286899999999997</v>
      </c>
      <c r="EB122">
        <v>400.30900000000003</v>
      </c>
      <c r="EC122">
        <v>21.601900000000001</v>
      </c>
      <c r="ED122">
        <v>2.79739</v>
      </c>
      <c r="EE122">
        <v>2.1405400000000001</v>
      </c>
      <c r="EF122">
        <v>22.8687</v>
      </c>
      <c r="EG122">
        <v>18.524100000000001</v>
      </c>
      <c r="EH122">
        <v>1799.84</v>
      </c>
      <c r="EI122">
        <v>0.97799999999999998</v>
      </c>
      <c r="EJ122">
        <v>2.2000499999999999E-2</v>
      </c>
      <c r="EK122">
        <v>0</v>
      </c>
      <c r="EL122">
        <v>828.90899999999999</v>
      </c>
      <c r="EM122">
        <v>4.9999900000000004</v>
      </c>
      <c r="EN122">
        <v>22534.2</v>
      </c>
      <c r="EO122">
        <v>15862.4</v>
      </c>
      <c r="EP122">
        <v>49</v>
      </c>
      <c r="EQ122">
        <v>50.125</v>
      </c>
      <c r="ER122">
        <v>49.561999999999998</v>
      </c>
      <c r="ES122">
        <v>49.5</v>
      </c>
      <c r="ET122">
        <v>50.625</v>
      </c>
      <c r="EU122">
        <v>1755.35</v>
      </c>
      <c r="EV122">
        <v>39.49</v>
      </c>
      <c r="EW122">
        <v>0</v>
      </c>
      <c r="EX122">
        <v>533</v>
      </c>
      <c r="EY122">
        <v>0</v>
      </c>
      <c r="EZ122">
        <v>829.24284615384613</v>
      </c>
      <c r="FA122">
        <v>0.73695727496183738</v>
      </c>
      <c r="FB122">
        <v>-153.40512680725561</v>
      </c>
      <c r="FC122">
        <v>22753.126923076921</v>
      </c>
      <c r="FD122">
        <v>15</v>
      </c>
      <c r="FE122">
        <v>1689020176.0999999</v>
      </c>
      <c r="FF122" t="s">
        <v>959</v>
      </c>
      <c r="FG122">
        <v>1689020171.5999999</v>
      </c>
      <c r="FH122">
        <v>1689020176.0999999</v>
      </c>
      <c r="FI122">
        <v>118</v>
      </c>
      <c r="FJ122">
        <v>0.13600000000000001</v>
      </c>
      <c r="FK122">
        <v>-0.11700000000000001</v>
      </c>
      <c r="FL122">
        <v>-0.13200000000000001</v>
      </c>
      <c r="FM122">
        <v>0.121</v>
      </c>
      <c r="FN122">
        <v>400</v>
      </c>
      <c r="FO122">
        <v>22</v>
      </c>
      <c r="FP122">
        <v>0.05</v>
      </c>
      <c r="FQ122">
        <v>0.01</v>
      </c>
      <c r="FR122">
        <v>53.358279857638919</v>
      </c>
      <c r="FS122">
        <v>4.9967202638122432E-2</v>
      </c>
      <c r="FT122">
        <v>6.2193510018146693E-2</v>
      </c>
      <c r="FU122">
        <v>1</v>
      </c>
      <c r="FV122">
        <v>0.39975543028889599</v>
      </c>
      <c r="FW122">
        <v>4.5866267607518219E-2</v>
      </c>
      <c r="FX122">
        <v>3.460932018510764E-3</v>
      </c>
      <c r="FY122">
        <v>1</v>
      </c>
      <c r="FZ122">
        <v>2</v>
      </c>
      <c r="GA122">
        <v>2</v>
      </c>
      <c r="GB122" t="s">
        <v>423</v>
      </c>
      <c r="GC122">
        <v>2.9577800000000001</v>
      </c>
      <c r="GD122">
        <v>2.7433000000000001</v>
      </c>
      <c r="GE122">
        <v>7.7004600000000006E-2</v>
      </c>
      <c r="GF122">
        <v>8.8598099999999999E-2</v>
      </c>
      <c r="GG122">
        <v>0.12917300000000001</v>
      </c>
      <c r="GH122">
        <v>0.106612</v>
      </c>
      <c r="GI122">
        <v>21661.1</v>
      </c>
      <c r="GJ122">
        <v>19940.599999999999</v>
      </c>
      <c r="GK122">
        <v>23401.9</v>
      </c>
      <c r="GL122">
        <v>21929.1</v>
      </c>
      <c r="GM122">
        <v>28747.5</v>
      </c>
      <c r="GN122">
        <v>27339.4</v>
      </c>
      <c r="GO122">
        <v>36931.699999999997</v>
      </c>
      <c r="GP122">
        <v>34123.300000000003</v>
      </c>
      <c r="GQ122">
        <v>1.9690300000000001</v>
      </c>
      <c r="GR122">
        <v>1.79142</v>
      </c>
      <c r="GS122">
        <v>-1.7330100000000001E-2</v>
      </c>
      <c r="GT122">
        <v>0</v>
      </c>
      <c r="GU122">
        <v>30.232600000000001</v>
      </c>
      <c r="GV122">
        <v>999.9</v>
      </c>
      <c r="GW122">
        <v>25.3</v>
      </c>
      <c r="GX122">
        <v>48.2</v>
      </c>
      <c r="GY122">
        <v>28.974900000000002</v>
      </c>
      <c r="GZ122">
        <v>60.448099999999997</v>
      </c>
      <c r="HA122">
        <v>38.765999999999998</v>
      </c>
      <c r="HB122">
        <v>1</v>
      </c>
      <c r="HC122">
        <v>0.55850900000000003</v>
      </c>
      <c r="HD122">
        <v>1.4962299999999999</v>
      </c>
      <c r="HE122">
        <v>20.1022</v>
      </c>
      <c r="HF122">
        <v>5.2646100000000002</v>
      </c>
      <c r="HG122">
        <v>11.9625</v>
      </c>
      <c r="HH122">
        <v>4.9795999999999996</v>
      </c>
      <c r="HI122">
        <v>3.298</v>
      </c>
      <c r="HJ122">
        <v>9999</v>
      </c>
      <c r="HK122">
        <v>9999</v>
      </c>
      <c r="HL122">
        <v>9999</v>
      </c>
      <c r="HM122">
        <v>999.9</v>
      </c>
      <c r="HN122">
        <v>1.86425</v>
      </c>
      <c r="HO122">
        <v>1.8602399999999999</v>
      </c>
      <c r="HP122">
        <v>1.8667800000000001</v>
      </c>
      <c r="HQ122">
        <v>1.86355</v>
      </c>
      <c r="HR122">
        <v>1.8621799999999999</v>
      </c>
      <c r="HS122">
        <v>1.8621799999999999</v>
      </c>
      <c r="HT122">
        <v>1.86344</v>
      </c>
      <c r="HU122">
        <v>1.8647800000000001</v>
      </c>
      <c r="HV122">
        <v>0</v>
      </c>
      <c r="HW122">
        <v>0</v>
      </c>
      <c r="HX122">
        <v>0</v>
      </c>
      <c r="HY122">
        <v>0</v>
      </c>
      <c r="HZ122" t="s">
        <v>424</v>
      </c>
      <c r="IA122" t="s">
        <v>425</v>
      </c>
      <c r="IB122" t="s">
        <v>426</v>
      </c>
      <c r="IC122" t="s">
        <v>426</v>
      </c>
      <c r="ID122" t="s">
        <v>426</v>
      </c>
      <c r="IE122" t="s">
        <v>426</v>
      </c>
      <c r="IF122">
        <v>0</v>
      </c>
      <c r="IG122">
        <v>100</v>
      </c>
      <c r="IH122">
        <v>100</v>
      </c>
      <c r="II122">
        <v>-0.13700000000000001</v>
      </c>
      <c r="IJ122">
        <v>0.1239</v>
      </c>
      <c r="IK122">
        <v>-0.13384700468541419</v>
      </c>
      <c r="IL122">
        <v>-8.3322953065825546E-5</v>
      </c>
      <c r="IM122">
        <v>2.3872336679552741E-7</v>
      </c>
      <c r="IN122">
        <v>-5.428329794194132E-11</v>
      </c>
      <c r="IO122">
        <v>0.12389311261933871</v>
      </c>
      <c r="IP122">
        <v>0</v>
      </c>
      <c r="IQ122">
        <v>0</v>
      </c>
      <c r="IR122">
        <v>0</v>
      </c>
      <c r="IS122">
        <v>2</v>
      </c>
      <c r="IT122">
        <v>2035</v>
      </c>
      <c r="IU122">
        <v>1</v>
      </c>
      <c r="IV122">
        <v>21</v>
      </c>
      <c r="IW122">
        <v>0.6</v>
      </c>
      <c r="IX122">
        <v>0.5</v>
      </c>
      <c r="IY122">
        <v>1.073</v>
      </c>
      <c r="IZ122">
        <v>2.7087400000000001</v>
      </c>
      <c r="JA122">
        <v>1.4526399999999999</v>
      </c>
      <c r="JB122">
        <v>2.2741699999999998</v>
      </c>
      <c r="JC122">
        <v>1.5942400000000001</v>
      </c>
      <c r="JD122">
        <v>2.2961399999999998</v>
      </c>
      <c r="JE122">
        <v>49.642600000000002</v>
      </c>
      <c r="JF122">
        <v>24.2714</v>
      </c>
      <c r="JG122">
        <v>18</v>
      </c>
      <c r="JH122">
        <v>498.45499999999998</v>
      </c>
      <c r="JI122">
        <v>417.82499999999999</v>
      </c>
      <c r="JJ122">
        <v>26.3871</v>
      </c>
      <c r="JK122">
        <v>34.0824</v>
      </c>
      <c r="JL122">
        <v>29.997199999999999</v>
      </c>
      <c r="JM122">
        <v>34.151600000000002</v>
      </c>
      <c r="JN122">
        <v>34.175199999999997</v>
      </c>
      <c r="JO122">
        <v>21.428699999999999</v>
      </c>
      <c r="JP122">
        <v>24.546199999999999</v>
      </c>
      <c r="JQ122">
        <v>0</v>
      </c>
      <c r="JR122">
        <v>26.8142</v>
      </c>
      <c r="JS122">
        <v>400</v>
      </c>
      <c r="JT122">
        <v>21.451599999999999</v>
      </c>
      <c r="JU122">
        <v>98.9803</v>
      </c>
      <c r="JV122">
        <v>98.428100000000001</v>
      </c>
    </row>
    <row r="123" spans="1:282" x14ac:dyDescent="0.25">
      <c r="A123">
        <v>107</v>
      </c>
      <c r="B123">
        <v>1689020338.5999999</v>
      </c>
      <c r="C123">
        <v>20998</v>
      </c>
      <c r="D123" t="s">
        <v>960</v>
      </c>
      <c r="E123" t="s">
        <v>961</v>
      </c>
      <c r="F123" t="s">
        <v>414</v>
      </c>
      <c r="G123" t="s">
        <v>415</v>
      </c>
      <c r="H123" t="s">
        <v>500</v>
      </c>
      <c r="I123" t="s">
        <v>417</v>
      </c>
      <c r="J123" t="s">
        <v>500</v>
      </c>
      <c r="K123">
        <v>1689020338.5999999</v>
      </c>
      <c r="L123">
        <f t="shared" si="138"/>
        <v>5.3154705003489481E-3</v>
      </c>
      <c r="M123">
        <f t="shared" si="139"/>
        <v>5.3154705003489484</v>
      </c>
      <c r="N123">
        <f t="shared" si="140"/>
        <v>40.10748874020652</v>
      </c>
      <c r="O123">
        <f t="shared" si="141"/>
        <v>250.21899999999999</v>
      </c>
      <c r="P123">
        <f t="shared" si="142"/>
        <v>63.088694315323345</v>
      </c>
      <c r="Q123">
        <f t="shared" si="143"/>
        <v>6.2576925766793812</v>
      </c>
      <c r="R123">
        <f t="shared" si="144"/>
        <v>24.818925099608997</v>
      </c>
      <c r="S123">
        <f t="shared" si="145"/>
        <v>0.37121657994854629</v>
      </c>
      <c r="T123">
        <f t="shared" si="146"/>
        <v>2.9062837733317983</v>
      </c>
      <c r="U123">
        <f t="shared" si="147"/>
        <v>0.34674364357703141</v>
      </c>
      <c r="V123">
        <f t="shared" si="148"/>
        <v>0.21877898127588896</v>
      </c>
      <c r="W123">
        <f t="shared" si="149"/>
        <v>289.55587801270633</v>
      </c>
      <c r="X123">
        <f t="shared" si="150"/>
        <v>30.652955111345413</v>
      </c>
      <c r="Y123">
        <f t="shared" si="151"/>
        <v>30.004200000000001</v>
      </c>
      <c r="Z123">
        <f t="shared" si="152"/>
        <v>4.2614776907954717</v>
      </c>
      <c r="AA123">
        <f t="shared" si="153"/>
        <v>64.388204500887824</v>
      </c>
      <c r="AB123">
        <f t="shared" si="154"/>
        <v>2.7950315862878998</v>
      </c>
      <c r="AC123">
        <f t="shared" si="155"/>
        <v>4.3409062388893922</v>
      </c>
      <c r="AD123">
        <f t="shared" si="156"/>
        <v>1.4664461045075718</v>
      </c>
      <c r="AE123">
        <f t="shared" si="157"/>
        <v>-234.41224906538861</v>
      </c>
      <c r="AF123">
        <f t="shared" si="158"/>
        <v>50.436441436613308</v>
      </c>
      <c r="AG123">
        <f t="shared" si="159"/>
        <v>3.8650541096155968</v>
      </c>
      <c r="AH123">
        <f t="shared" si="160"/>
        <v>109.44512449354661</v>
      </c>
      <c r="AI123">
        <v>0</v>
      </c>
      <c r="AJ123">
        <v>0</v>
      </c>
      <c r="AK123">
        <f t="shared" si="161"/>
        <v>1</v>
      </c>
      <c r="AL123">
        <f t="shared" si="162"/>
        <v>0</v>
      </c>
      <c r="AM123">
        <f t="shared" si="163"/>
        <v>51615.461462985506</v>
      </c>
      <c r="AN123" t="s">
        <v>418</v>
      </c>
      <c r="AO123">
        <v>8197.4</v>
      </c>
      <c r="AP123">
        <v>619.92999999999995</v>
      </c>
      <c r="AQ123">
        <v>3131.443117258741</v>
      </c>
      <c r="AR123">
        <f t="shared" si="164"/>
        <v>0.80203057287443702</v>
      </c>
      <c r="AS123">
        <v>-1.0448500102641549</v>
      </c>
      <c r="AT123" t="s">
        <v>962</v>
      </c>
      <c r="AU123">
        <v>8199.23</v>
      </c>
      <c r="AV123">
        <v>777.06484</v>
      </c>
      <c r="AW123">
        <v>1118.4489341038559</v>
      </c>
      <c r="AX123">
        <f t="shared" si="165"/>
        <v>0.30522993378985686</v>
      </c>
      <c r="AY123">
        <v>0.5</v>
      </c>
      <c r="AZ123">
        <f t="shared" si="166"/>
        <v>1513.1262000065835</v>
      </c>
      <c r="BA123">
        <f t="shared" si="167"/>
        <v>40.10748874020652</v>
      </c>
      <c r="BB123">
        <f t="shared" si="168"/>
        <v>230.92570492185359</v>
      </c>
      <c r="BC123">
        <f t="shared" si="169"/>
        <v>2.7196897886172102E-2</v>
      </c>
      <c r="BD123">
        <f t="shared" si="170"/>
        <v>1.7998087545836621</v>
      </c>
      <c r="BE123">
        <f t="shared" si="171"/>
        <v>457.07199815338987</v>
      </c>
      <c r="BF123" t="s">
        <v>963</v>
      </c>
      <c r="BG123">
        <v>616.33000000000004</v>
      </c>
      <c r="BH123">
        <f t="shared" si="172"/>
        <v>616.33000000000004</v>
      </c>
      <c r="BI123">
        <f t="shared" si="173"/>
        <v>0.44894220808227847</v>
      </c>
      <c r="BJ123">
        <f t="shared" si="174"/>
        <v>0.67988691705707649</v>
      </c>
      <c r="BK123">
        <f t="shared" si="175"/>
        <v>0.80035930365982</v>
      </c>
      <c r="BL123">
        <f t="shared" si="176"/>
        <v>0.68479664612444924</v>
      </c>
      <c r="BM123">
        <f t="shared" si="177"/>
        <v>0.80150653776079894</v>
      </c>
      <c r="BN123">
        <f t="shared" si="178"/>
        <v>0.53925320258961651</v>
      </c>
      <c r="BO123">
        <f t="shared" si="179"/>
        <v>0.46074679741038349</v>
      </c>
      <c r="BP123">
        <v>13782</v>
      </c>
      <c r="BQ123">
        <v>290.00000000000011</v>
      </c>
      <c r="BR123">
        <v>1012.65</v>
      </c>
      <c r="BS123">
        <v>285</v>
      </c>
      <c r="BT123">
        <v>8199.23</v>
      </c>
      <c r="BU123">
        <v>1014.89</v>
      </c>
      <c r="BV123">
        <v>-2.2400000000000002</v>
      </c>
      <c r="BW123">
        <v>300.00000000000011</v>
      </c>
      <c r="BX123">
        <v>19.3</v>
      </c>
      <c r="BY123">
        <v>1118.4489341038559</v>
      </c>
      <c r="BZ123">
        <v>3.560458237316301</v>
      </c>
      <c r="CA123">
        <v>-84.913645401146994</v>
      </c>
      <c r="CB123">
        <v>2.6808594988206451</v>
      </c>
      <c r="CC123">
        <v>0.97284834471649417</v>
      </c>
      <c r="CD123">
        <v>-4.2466834260289363E-3</v>
      </c>
      <c r="CE123">
        <v>289.99999999999989</v>
      </c>
      <c r="CF123">
        <v>1011.8</v>
      </c>
      <c r="CG123">
        <v>645</v>
      </c>
      <c r="CH123">
        <v>8188.78</v>
      </c>
      <c r="CI123">
        <v>1014.75</v>
      </c>
      <c r="CJ123">
        <v>-2.95</v>
      </c>
      <c r="CX123">
        <f t="shared" si="180"/>
        <v>1799.93</v>
      </c>
      <c r="CY123">
        <f t="shared" si="181"/>
        <v>1513.1262000065835</v>
      </c>
      <c r="CZ123">
        <f t="shared" si="182"/>
        <v>0.84065835893983853</v>
      </c>
      <c r="DA123">
        <f t="shared" si="183"/>
        <v>0.16087063275388838</v>
      </c>
      <c r="DB123">
        <v>6</v>
      </c>
      <c r="DC123">
        <v>0.5</v>
      </c>
      <c r="DD123" t="s">
        <v>421</v>
      </c>
      <c r="DE123">
        <v>2</v>
      </c>
      <c r="DF123">
        <v>1689020338.5999999</v>
      </c>
      <c r="DG123">
        <v>250.21899999999999</v>
      </c>
      <c r="DH123">
        <v>299.93099999999998</v>
      </c>
      <c r="DI123">
        <v>28.178899999999999</v>
      </c>
      <c r="DJ123">
        <v>21.9817</v>
      </c>
      <c r="DK123">
        <v>250.37200000000001</v>
      </c>
      <c r="DL123">
        <v>28.06</v>
      </c>
      <c r="DM123">
        <v>500.13099999999997</v>
      </c>
      <c r="DN123">
        <v>99.088399999999993</v>
      </c>
      <c r="DO123">
        <v>0.100411</v>
      </c>
      <c r="DP123">
        <v>30.3261</v>
      </c>
      <c r="DQ123">
        <v>30.004200000000001</v>
      </c>
      <c r="DR123">
        <v>999.9</v>
      </c>
      <c r="DS123">
        <v>0</v>
      </c>
      <c r="DT123">
        <v>0</v>
      </c>
      <c r="DU123">
        <v>9958.75</v>
      </c>
      <c r="DV123">
        <v>0</v>
      </c>
      <c r="DW123">
        <v>497.435</v>
      </c>
      <c r="DX123">
        <v>-49.711399999999998</v>
      </c>
      <c r="DY123">
        <v>257.47500000000002</v>
      </c>
      <c r="DZ123">
        <v>306.67200000000003</v>
      </c>
      <c r="EA123">
        <v>6.1972300000000002</v>
      </c>
      <c r="EB123">
        <v>299.93099999999998</v>
      </c>
      <c r="EC123">
        <v>21.9817</v>
      </c>
      <c r="ED123">
        <v>2.7921999999999998</v>
      </c>
      <c r="EE123">
        <v>2.1781299999999999</v>
      </c>
      <c r="EF123">
        <v>22.838100000000001</v>
      </c>
      <c r="EG123">
        <v>18.802299999999999</v>
      </c>
      <c r="EH123">
        <v>1799.93</v>
      </c>
      <c r="EI123">
        <v>0.97799400000000003</v>
      </c>
      <c r="EJ123">
        <v>2.2005799999999999E-2</v>
      </c>
      <c r="EK123">
        <v>0</v>
      </c>
      <c r="EL123">
        <v>775.70600000000002</v>
      </c>
      <c r="EM123">
        <v>4.9999900000000004</v>
      </c>
      <c r="EN123">
        <v>16825.7</v>
      </c>
      <c r="EO123">
        <v>15863.1</v>
      </c>
      <c r="EP123">
        <v>49.061999999999998</v>
      </c>
      <c r="EQ123">
        <v>50</v>
      </c>
      <c r="ER123">
        <v>49.625</v>
      </c>
      <c r="ES123">
        <v>49.625</v>
      </c>
      <c r="ET123">
        <v>50.75</v>
      </c>
      <c r="EU123">
        <v>1755.43</v>
      </c>
      <c r="EV123">
        <v>39.5</v>
      </c>
      <c r="EW123">
        <v>0</v>
      </c>
      <c r="EX123">
        <v>129.20000004768369</v>
      </c>
      <c r="EY123">
        <v>0</v>
      </c>
      <c r="EZ123">
        <v>777.06484</v>
      </c>
      <c r="FA123">
        <v>-11.38123076914167</v>
      </c>
      <c r="FB123">
        <v>-110.2307693011373</v>
      </c>
      <c r="FC123">
        <v>16837.668000000001</v>
      </c>
      <c r="FD123">
        <v>15</v>
      </c>
      <c r="FE123">
        <v>1689020283.0999999</v>
      </c>
      <c r="FF123" t="s">
        <v>964</v>
      </c>
      <c r="FG123">
        <v>1689020277.5999999</v>
      </c>
      <c r="FH123">
        <v>1689020283.0999999</v>
      </c>
      <c r="FI123">
        <v>119</v>
      </c>
      <c r="FJ123">
        <v>-1.2E-2</v>
      </c>
      <c r="FK123">
        <v>-5.0000000000000001E-3</v>
      </c>
      <c r="FL123">
        <v>-0.15</v>
      </c>
      <c r="FM123">
        <v>0.107</v>
      </c>
      <c r="FN123">
        <v>300</v>
      </c>
      <c r="FO123">
        <v>21</v>
      </c>
      <c r="FP123">
        <v>0.04</v>
      </c>
      <c r="FQ123">
        <v>0.01</v>
      </c>
      <c r="FR123">
        <v>40.06934445970127</v>
      </c>
      <c r="FS123">
        <v>-0.46664960697245372</v>
      </c>
      <c r="FT123">
        <v>4.426106723223118E-2</v>
      </c>
      <c r="FU123">
        <v>1</v>
      </c>
      <c r="FV123">
        <v>0.37332539912811019</v>
      </c>
      <c r="FW123">
        <v>-4.288994480114678E-2</v>
      </c>
      <c r="FX123">
        <v>3.21788212934142E-3</v>
      </c>
      <c r="FY123">
        <v>1</v>
      </c>
      <c r="FZ123">
        <v>2</v>
      </c>
      <c r="GA123">
        <v>2</v>
      </c>
      <c r="GB123" t="s">
        <v>423</v>
      </c>
      <c r="GC123">
        <v>2.9576699999999998</v>
      </c>
      <c r="GD123">
        <v>2.7432799999999999</v>
      </c>
      <c r="GE123">
        <v>6.0788200000000001E-2</v>
      </c>
      <c r="GF123">
        <v>7.0525099999999993E-2</v>
      </c>
      <c r="GG123">
        <v>0.129022</v>
      </c>
      <c r="GH123">
        <v>0.107917</v>
      </c>
      <c r="GI123">
        <v>22041.1</v>
      </c>
      <c r="GJ123">
        <v>20335.5</v>
      </c>
      <c r="GK123">
        <v>23401.599999999999</v>
      </c>
      <c r="GL123">
        <v>21928.7</v>
      </c>
      <c r="GM123">
        <v>28752</v>
      </c>
      <c r="GN123">
        <v>27298.3</v>
      </c>
      <c r="GO123">
        <v>36932.5</v>
      </c>
      <c r="GP123">
        <v>34123.699999999997</v>
      </c>
      <c r="GQ123">
        <v>1.9679500000000001</v>
      </c>
      <c r="GR123">
        <v>1.79193</v>
      </c>
      <c r="GS123">
        <v>1.5512099999999999E-2</v>
      </c>
      <c r="GT123">
        <v>0</v>
      </c>
      <c r="GU123">
        <v>29.7517</v>
      </c>
      <c r="GV123">
        <v>999.9</v>
      </c>
      <c r="GW123">
        <v>25.4</v>
      </c>
      <c r="GX123">
        <v>48.1</v>
      </c>
      <c r="GY123">
        <v>28.941400000000002</v>
      </c>
      <c r="GZ123">
        <v>60.7881</v>
      </c>
      <c r="HA123">
        <v>38.858199999999997</v>
      </c>
      <c r="HB123">
        <v>1</v>
      </c>
      <c r="HC123">
        <v>0.56081300000000001</v>
      </c>
      <c r="HD123">
        <v>4.8915899999999999</v>
      </c>
      <c r="HE123">
        <v>20.023099999999999</v>
      </c>
      <c r="HF123">
        <v>5.2649100000000004</v>
      </c>
      <c r="HG123">
        <v>11.9655</v>
      </c>
      <c r="HH123">
        <v>4.9796500000000004</v>
      </c>
      <c r="HI123">
        <v>3.298</v>
      </c>
      <c r="HJ123">
        <v>9999</v>
      </c>
      <c r="HK123">
        <v>9999</v>
      </c>
      <c r="HL123">
        <v>9999</v>
      </c>
      <c r="HM123">
        <v>999.9</v>
      </c>
      <c r="HN123">
        <v>1.8642399999999999</v>
      </c>
      <c r="HO123">
        <v>1.8602000000000001</v>
      </c>
      <c r="HP123">
        <v>1.86677</v>
      </c>
      <c r="HQ123">
        <v>1.8635600000000001</v>
      </c>
      <c r="HR123">
        <v>1.8621700000000001</v>
      </c>
      <c r="HS123">
        <v>1.8621799999999999</v>
      </c>
      <c r="HT123">
        <v>1.8634200000000001</v>
      </c>
      <c r="HU123">
        <v>1.86476</v>
      </c>
      <c r="HV123">
        <v>0</v>
      </c>
      <c r="HW123">
        <v>0</v>
      </c>
      <c r="HX123">
        <v>0</v>
      </c>
      <c r="HY123">
        <v>0</v>
      </c>
      <c r="HZ123" t="s">
        <v>424</v>
      </c>
      <c r="IA123" t="s">
        <v>425</v>
      </c>
      <c r="IB123" t="s">
        <v>426</v>
      </c>
      <c r="IC123" t="s">
        <v>426</v>
      </c>
      <c r="ID123" t="s">
        <v>426</v>
      </c>
      <c r="IE123" t="s">
        <v>426</v>
      </c>
      <c r="IF123">
        <v>0</v>
      </c>
      <c r="IG123">
        <v>100</v>
      </c>
      <c r="IH123">
        <v>100</v>
      </c>
      <c r="II123">
        <v>-0.153</v>
      </c>
      <c r="IJ123">
        <v>0.11890000000000001</v>
      </c>
      <c r="IK123">
        <v>-0.14545742921544</v>
      </c>
      <c r="IL123">
        <v>-8.3322953065825546E-5</v>
      </c>
      <c r="IM123">
        <v>2.3872336679552741E-7</v>
      </c>
      <c r="IN123">
        <v>-5.428329794194132E-11</v>
      </c>
      <c r="IO123">
        <v>0.1189199413074403</v>
      </c>
      <c r="IP123">
        <v>0</v>
      </c>
      <c r="IQ123">
        <v>0</v>
      </c>
      <c r="IR123">
        <v>0</v>
      </c>
      <c r="IS123">
        <v>2</v>
      </c>
      <c r="IT123">
        <v>2035</v>
      </c>
      <c r="IU123">
        <v>1</v>
      </c>
      <c r="IV123">
        <v>21</v>
      </c>
      <c r="IW123">
        <v>1</v>
      </c>
      <c r="IX123">
        <v>0.9</v>
      </c>
      <c r="IY123">
        <v>0.853271</v>
      </c>
      <c r="IZ123">
        <v>2.7099600000000001</v>
      </c>
      <c r="JA123">
        <v>1.4526399999999999</v>
      </c>
      <c r="JB123">
        <v>2.2729499999999998</v>
      </c>
      <c r="JC123">
        <v>1.5942400000000001</v>
      </c>
      <c r="JD123">
        <v>2.3840300000000001</v>
      </c>
      <c r="JE123">
        <v>49.515799999999999</v>
      </c>
      <c r="JF123">
        <v>24.253900000000002</v>
      </c>
      <c r="JG123">
        <v>18</v>
      </c>
      <c r="JH123">
        <v>497.733</v>
      </c>
      <c r="JI123">
        <v>418.06200000000001</v>
      </c>
      <c r="JJ123">
        <v>28.0716</v>
      </c>
      <c r="JK123">
        <v>34.078699999999998</v>
      </c>
      <c r="JL123">
        <v>30.005600000000001</v>
      </c>
      <c r="JM123">
        <v>34.148299999999999</v>
      </c>
      <c r="JN123">
        <v>34.162100000000002</v>
      </c>
      <c r="JO123">
        <v>17.021100000000001</v>
      </c>
      <c r="JP123">
        <v>22.064399999999999</v>
      </c>
      <c r="JQ123">
        <v>0</v>
      </c>
      <c r="JR123">
        <v>27.442399999999999</v>
      </c>
      <c r="JS123">
        <v>300</v>
      </c>
      <c r="JT123">
        <v>22.063199999999998</v>
      </c>
      <c r="JU123">
        <v>98.981099999999998</v>
      </c>
      <c r="JV123">
        <v>98.428100000000001</v>
      </c>
    </row>
    <row r="124" spans="1:282" x14ac:dyDescent="0.25">
      <c r="A124">
        <v>108</v>
      </c>
      <c r="B124">
        <v>1689020452.0999999</v>
      </c>
      <c r="C124">
        <v>21111.5</v>
      </c>
      <c r="D124" t="s">
        <v>965</v>
      </c>
      <c r="E124" t="s">
        <v>966</v>
      </c>
      <c r="F124" t="s">
        <v>414</v>
      </c>
      <c r="G124" t="s">
        <v>415</v>
      </c>
      <c r="H124" t="s">
        <v>500</v>
      </c>
      <c r="I124" t="s">
        <v>417</v>
      </c>
      <c r="J124" t="s">
        <v>500</v>
      </c>
      <c r="K124">
        <v>1689020452.0999999</v>
      </c>
      <c r="L124">
        <f t="shared" si="138"/>
        <v>5.3459901892039217E-3</v>
      </c>
      <c r="M124">
        <f t="shared" si="139"/>
        <v>5.3459901892039214</v>
      </c>
      <c r="N124">
        <f t="shared" si="140"/>
        <v>27.063987489713593</v>
      </c>
      <c r="O124">
        <f t="shared" si="141"/>
        <v>166.55600000000001</v>
      </c>
      <c r="P124">
        <f t="shared" si="142"/>
        <v>45.386239068718062</v>
      </c>
      <c r="Q124">
        <f t="shared" si="143"/>
        <v>4.5019234139186244</v>
      </c>
      <c r="R124">
        <f t="shared" si="144"/>
        <v>16.520918487944002</v>
      </c>
      <c r="S124">
        <f t="shared" si="145"/>
        <v>0.38785493152784545</v>
      </c>
      <c r="T124">
        <f t="shared" si="146"/>
        <v>2.912023533406225</v>
      </c>
      <c r="U124">
        <f t="shared" si="147"/>
        <v>0.36127203496379906</v>
      </c>
      <c r="V124">
        <f t="shared" si="148"/>
        <v>0.22803138210987395</v>
      </c>
      <c r="W124">
        <f t="shared" si="149"/>
        <v>289.55109001270654</v>
      </c>
      <c r="X124">
        <f t="shared" si="150"/>
        <v>30.810927932613293</v>
      </c>
      <c r="Y124">
        <f t="shared" si="151"/>
        <v>30.049399999999999</v>
      </c>
      <c r="Z124">
        <f t="shared" si="152"/>
        <v>4.2725537372375122</v>
      </c>
      <c r="AA124">
        <f t="shared" si="153"/>
        <v>65.202344928696036</v>
      </c>
      <c r="AB124">
        <f t="shared" si="154"/>
        <v>2.8575051021919999</v>
      </c>
      <c r="AC124">
        <f t="shared" si="155"/>
        <v>4.3825189190924192</v>
      </c>
      <c r="AD124">
        <f t="shared" si="156"/>
        <v>1.4150486350455123</v>
      </c>
      <c r="AE124">
        <f t="shared" si="157"/>
        <v>-235.75816734389295</v>
      </c>
      <c r="AF124">
        <f t="shared" si="158"/>
        <v>69.595002544537422</v>
      </c>
      <c r="AG124">
        <f t="shared" si="159"/>
        <v>5.3282854021838997</v>
      </c>
      <c r="AH124">
        <f t="shared" si="160"/>
        <v>128.71621061553492</v>
      </c>
      <c r="AI124">
        <v>0</v>
      </c>
      <c r="AJ124">
        <v>0</v>
      </c>
      <c r="AK124">
        <f t="shared" si="161"/>
        <v>1</v>
      </c>
      <c r="AL124">
        <f t="shared" si="162"/>
        <v>0</v>
      </c>
      <c r="AM124">
        <f t="shared" si="163"/>
        <v>51750.047930352201</v>
      </c>
      <c r="AN124" t="s">
        <v>418</v>
      </c>
      <c r="AO124">
        <v>8197.4</v>
      </c>
      <c r="AP124">
        <v>619.92999999999995</v>
      </c>
      <c r="AQ124">
        <v>3131.443117258741</v>
      </c>
      <c r="AR124">
        <f t="shared" si="164"/>
        <v>0.80203057287443702</v>
      </c>
      <c r="AS124">
        <v>-1.0448500102641549</v>
      </c>
      <c r="AT124" t="s">
        <v>967</v>
      </c>
      <c r="AU124">
        <v>8199.68</v>
      </c>
      <c r="AV124">
        <v>761.84930769230766</v>
      </c>
      <c r="AW124">
        <v>985.82058566592661</v>
      </c>
      <c r="AX124">
        <f t="shared" si="165"/>
        <v>0.22719273793854211</v>
      </c>
      <c r="AY124">
        <v>0.5</v>
      </c>
      <c r="AZ124">
        <f t="shared" si="166"/>
        <v>1513.1010000065837</v>
      </c>
      <c r="BA124">
        <f t="shared" si="167"/>
        <v>27.063987489713593</v>
      </c>
      <c r="BB124">
        <f t="shared" si="168"/>
        <v>171.88277948452088</v>
      </c>
      <c r="BC124">
        <f t="shared" si="169"/>
        <v>1.8576973711507325E-2</v>
      </c>
      <c r="BD124">
        <f t="shared" si="170"/>
        <v>2.1764837971439155</v>
      </c>
      <c r="BE124">
        <f t="shared" si="171"/>
        <v>433.25169912160959</v>
      </c>
      <c r="BF124" t="s">
        <v>968</v>
      </c>
      <c r="BG124">
        <v>606.24</v>
      </c>
      <c r="BH124">
        <f t="shared" si="172"/>
        <v>606.24</v>
      </c>
      <c r="BI124">
        <f t="shared" si="173"/>
        <v>0.38504023063133552</v>
      </c>
      <c r="BJ124">
        <f t="shared" si="174"/>
        <v>0.59004935033937367</v>
      </c>
      <c r="BK124">
        <f t="shared" si="175"/>
        <v>0.84968314704205494</v>
      </c>
      <c r="BL124">
        <f t="shared" si="176"/>
        <v>0.61212637533700864</v>
      </c>
      <c r="BM124">
        <f t="shared" si="177"/>
        <v>0.85431468259051424</v>
      </c>
      <c r="BN124">
        <f t="shared" si="178"/>
        <v>0.46953054171995501</v>
      </c>
      <c r="BO124">
        <f t="shared" si="179"/>
        <v>0.53046945828004499</v>
      </c>
      <c r="BP124">
        <v>13784</v>
      </c>
      <c r="BQ124">
        <v>290.00000000000011</v>
      </c>
      <c r="BR124">
        <v>917.83</v>
      </c>
      <c r="BS124">
        <v>275</v>
      </c>
      <c r="BT124">
        <v>8199.68</v>
      </c>
      <c r="BU124">
        <v>919.19</v>
      </c>
      <c r="BV124">
        <v>-1.36</v>
      </c>
      <c r="BW124">
        <v>300.00000000000011</v>
      </c>
      <c r="BX124">
        <v>19.3</v>
      </c>
      <c r="BY124">
        <v>985.82058566592661</v>
      </c>
      <c r="BZ124">
        <v>3.014972111292439</v>
      </c>
      <c r="CA124">
        <v>-54.632389731408743</v>
      </c>
      <c r="CB124">
        <v>2.270096125989753</v>
      </c>
      <c r="CC124">
        <v>0.95388500635518847</v>
      </c>
      <c r="CD124">
        <v>-4.2461132369299281E-3</v>
      </c>
      <c r="CE124">
        <v>289.99999999999989</v>
      </c>
      <c r="CF124">
        <v>915.39</v>
      </c>
      <c r="CG124">
        <v>625</v>
      </c>
      <c r="CH124">
        <v>8189.29</v>
      </c>
      <c r="CI124">
        <v>919.11</v>
      </c>
      <c r="CJ124">
        <v>-3.72</v>
      </c>
      <c r="CX124">
        <f t="shared" si="180"/>
        <v>1799.9</v>
      </c>
      <c r="CY124">
        <f t="shared" si="181"/>
        <v>1513.1010000065837</v>
      </c>
      <c r="CZ124">
        <f t="shared" si="182"/>
        <v>0.84065836991309717</v>
      </c>
      <c r="DA124">
        <f t="shared" si="183"/>
        <v>0.16087065393227765</v>
      </c>
      <c r="DB124">
        <v>6</v>
      </c>
      <c r="DC124">
        <v>0.5</v>
      </c>
      <c r="DD124" t="s">
        <v>421</v>
      </c>
      <c r="DE124">
        <v>2</v>
      </c>
      <c r="DF124">
        <v>1689020452.0999999</v>
      </c>
      <c r="DG124">
        <v>166.55600000000001</v>
      </c>
      <c r="DH124">
        <v>200.089</v>
      </c>
      <c r="DI124">
        <v>28.808</v>
      </c>
      <c r="DJ124">
        <v>22.579899999999999</v>
      </c>
      <c r="DK124">
        <v>166.732</v>
      </c>
      <c r="DL124">
        <v>28.674600000000002</v>
      </c>
      <c r="DM124">
        <v>500.18299999999999</v>
      </c>
      <c r="DN124">
        <v>99.090999999999994</v>
      </c>
      <c r="DO124">
        <v>0.100374</v>
      </c>
      <c r="DP124">
        <v>30.492699999999999</v>
      </c>
      <c r="DQ124">
        <v>30.049399999999999</v>
      </c>
      <c r="DR124">
        <v>999.9</v>
      </c>
      <c r="DS124">
        <v>0</v>
      </c>
      <c r="DT124">
        <v>0</v>
      </c>
      <c r="DU124">
        <v>9991.25</v>
      </c>
      <c r="DV124">
        <v>0</v>
      </c>
      <c r="DW124">
        <v>1040.8699999999999</v>
      </c>
      <c r="DX124">
        <v>-33.532699999999998</v>
      </c>
      <c r="DY124">
        <v>171.49700000000001</v>
      </c>
      <c r="DZ124">
        <v>204.71100000000001</v>
      </c>
      <c r="EA124">
        <v>6.2281199999999997</v>
      </c>
      <c r="EB124">
        <v>200.089</v>
      </c>
      <c r="EC124">
        <v>22.579899999999999</v>
      </c>
      <c r="ED124">
        <v>2.8546100000000001</v>
      </c>
      <c r="EE124">
        <v>2.23746</v>
      </c>
      <c r="EF124">
        <v>23.203299999999999</v>
      </c>
      <c r="EG124">
        <v>19.2331</v>
      </c>
      <c r="EH124">
        <v>1799.9</v>
      </c>
      <c r="EI124">
        <v>0.97799100000000005</v>
      </c>
      <c r="EJ124">
        <v>2.2008900000000001E-2</v>
      </c>
      <c r="EK124">
        <v>0</v>
      </c>
      <c r="EL124">
        <v>760.29499999999996</v>
      </c>
      <c r="EM124">
        <v>4.9999900000000004</v>
      </c>
      <c r="EN124">
        <v>19034</v>
      </c>
      <c r="EO124">
        <v>15862.8</v>
      </c>
      <c r="EP124">
        <v>49</v>
      </c>
      <c r="EQ124">
        <v>49.625</v>
      </c>
      <c r="ER124">
        <v>49.436999999999998</v>
      </c>
      <c r="ES124">
        <v>49.311999999999998</v>
      </c>
      <c r="ET124">
        <v>50.625</v>
      </c>
      <c r="EU124">
        <v>1755.4</v>
      </c>
      <c r="EV124">
        <v>39.5</v>
      </c>
      <c r="EW124">
        <v>0</v>
      </c>
      <c r="EX124">
        <v>111.6000001430511</v>
      </c>
      <c r="EY124">
        <v>0</v>
      </c>
      <c r="EZ124">
        <v>761.84930769230766</v>
      </c>
      <c r="FA124">
        <v>-8.4661196499950631</v>
      </c>
      <c r="FB124">
        <v>4058.5504327420708</v>
      </c>
      <c r="FC124">
        <v>17930.54615384615</v>
      </c>
      <c r="FD124">
        <v>15</v>
      </c>
      <c r="FE124">
        <v>1689020418.5999999</v>
      </c>
      <c r="FF124" t="s">
        <v>969</v>
      </c>
      <c r="FG124">
        <v>1689020407.0999999</v>
      </c>
      <c r="FH124">
        <v>1689020418.5999999</v>
      </c>
      <c r="FI124">
        <v>120</v>
      </c>
      <c r="FJ124">
        <v>-2.3E-2</v>
      </c>
      <c r="FK124">
        <v>1.4E-2</v>
      </c>
      <c r="FL124">
        <v>-0.17599999999999999</v>
      </c>
      <c r="FM124">
        <v>0.13300000000000001</v>
      </c>
      <c r="FN124">
        <v>200</v>
      </c>
      <c r="FO124">
        <v>22</v>
      </c>
      <c r="FP124">
        <v>0.05</v>
      </c>
      <c r="FQ124">
        <v>0.02</v>
      </c>
      <c r="FR124">
        <v>27.02331701227148</v>
      </c>
      <c r="FS124">
        <v>-0.67681886980397621</v>
      </c>
      <c r="FT124">
        <v>6.0127895810812293E-2</v>
      </c>
      <c r="FU124">
        <v>1</v>
      </c>
      <c r="FV124">
        <v>0.38670687554939542</v>
      </c>
      <c r="FW124">
        <v>4.8269528878649347E-2</v>
      </c>
      <c r="FX124">
        <v>4.7120739639199168E-3</v>
      </c>
      <c r="FY124">
        <v>1</v>
      </c>
      <c r="FZ124">
        <v>2</v>
      </c>
      <c r="GA124">
        <v>2</v>
      </c>
      <c r="GB124" t="s">
        <v>423</v>
      </c>
      <c r="GC124">
        <v>2.9579599999999999</v>
      </c>
      <c r="GD124">
        <v>2.7435200000000002</v>
      </c>
      <c r="GE124">
        <v>4.2693399999999999E-2</v>
      </c>
      <c r="GF124">
        <v>5.0128499999999999E-2</v>
      </c>
      <c r="GG124">
        <v>0.13100600000000001</v>
      </c>
      <c r="GH124">
        <v>0.109987</v>
      </c>
      <c r="GI124">
        <v>22473.4</v>
      </c>
      <c r="GJ124">
        <v>20790.3</v>
      </c>
      <c r="GK124">
        <v>23409.5</v>
      </c>
      <c r="GL124">
        <v>21937.5</v>
      </c>
      <c r="GM124">
        <v>28693.7</v>
      </c>
      <c r="GN124">
        <v>27243.3</v>
      </c>
      <c r="GO124">
        <v>36945.699999999997</v>
      </c>
      <c r="GP124">
        <v>34136.800000000003</v>
      </c>
      <c r="GQ124">
        <v>1.9692000000000001</v>
      </c>
      <c r="GR124">
        <v>1.79562</v>
      </c>
      <c r="GS124">
        <v>3.6612199999999998E-2</v>
      </c>
      <c r="GT124">
        <v>0</v>
      </c>
      <c r="GU124">
        <v>29.453299999999999</v>
      </c>
      <c r="GV124">
        <v>999.9</v>
      </c>
      <c r="GW124">
        <v>25.4</v>
      </c>
      <c r="GX124">
        <v>48</v>
      </c>
      <c r="GY124">
        <v>28.793399999999998</v>
      </c>
      <c r="GZ124">
        <v>60.548099999999998</v>
      </c>
      <c r="HA124">
        <v>39.230800000000002</v>
      </c>
      <c r="HB124">
        <v>1</v>
      </c>
      <c r="HC124">
        <v>0.54106200000000004</v>
      </c>
      <c r="HD124">
        <v>2.1766100000000002</v>
      </c>
      <c r="HE124">
        <v>20.097000000000001</v>
      </c>
      <c r="HF124">
        <v>5.2647599999999999</v>
      </c>
      <c r="HG124">
        <v>11.962199999999999</v>
      </c>
      <c r="HH124">
        <v>4.9798</v>
      </c>
      <c r="HI124">
        <v>3.298</v>
      </c>
      <c r="HJ124">
        <v>9999</v>
      </c>
      <c r="HK124">
        <v>9999</v>
      </c>
      <c r="HL124">
        <v>9999</v>
      </c>
      <c r="HM124">
        <v>999.9</v>
      </c>
      <c r="HN124">
        <v>1.86429</v>
      </c>
      <c r="HO124">
        <v>1.8602099999999999</v>
      </c>
      <c r="HP124">
        <v>1.8668100000000001</v>
      </c>
      <c r="HQ124">
        <v>1.8635600000000001</v>
      </c>
      <c r="HR124">
        <v>1.8621799999999999</v>
      </c>
      <c r="HS124">
        <v>1.8621799999999999</v>
      </c>
      <c r="HT124">
        <v>1.86344</v>
      </c>
      <c r="HU124">
        <v>1.8647800000000001</v>
      </c>
      <c r="HV124">
        <v>0</v>
      </c>
      <c r="HW124">
        <v>0</v>
      </c>
      <c r="HX124">
        <v>0</v>
      </c>
      <c r="HY124">
        <v>0</v>
      </c>
      <c r="HZ124" t="s">
        <v>424</v>
      </c>
      <c r="IA124" t="s">
        <v>425</v>
      </c>
      <c r="IB124" t="s">
        <v>426</v>
      </c>
      <c r="IC124" t="s">
        <v>426</v>
      </c>
      <c r="ID124" t="s">
        <v>426</v>
      </c>
      <c r="IE124" t="s">
        <v>426</v>
      </c>
      <c r="IF124">
        <v>0</v>
      </c>
      <c r="IG124">
        <v>100</v>
      </c>
      <c r="IH124">
        <v>100</v>
      </c>
      <c r="II124">
        <v>-0.17599999999999999</v>
      </c>
      <c r="IJ124">
        <v>0.13339999999999999</v>
      </c>
      <c r="IK124">
        <v>-0.16860092303060201</v>
      </c>
      <c r="IL124">
        <v>-8.3322953065825546E-5</v>
      </c>
      <c r="IM124">
        <v>2.3872336679552741E-7</v>
      </c>
      <c r="IN124">
        <v>-5.428329794194132E-11</v>
      </c>
      <c r="IO124">
        <v>0.1333666666666673</v>
      </c>
      <c r="IP124">
        <v>0</v>
      </c>
      <c r="IQ124">
        <v>0</v>
      </c>
      <c r="IR124">
        <v>0</v>
      </c>
      <c r="IS124">
        <v>2</v>
      </c>
      <c r="IT124">
        <v>2035</v>
      </c>
      <c r="IU124">
        <v>1</v>
      </c>
      <c r="IV124">
        <v>21</v>
      </c>
      <c r="IW124">
        <v>0.8</v>
      </c>
      <c r="IX124">
        <v>0.6</v>
      </c>
      <c r="IY124">
        <v>0.62255899999999997</v>
      </c>
      <c r="IZ124">
        <v>2.7136200000000001</v>
      </c>
      <c r="JA124">
        <v>1.4514199999999999</v>
      </c>
      <c r="JB124">
        <v>2.2729499999999998</v>
      </c>
      <c r="JC124">
        <v>1.5942400000000001</v>
      </c>
      <c r="JD124">
        <v>2.4243199999999998</v>
      </c>
      <c r="JE124">
        <v>49.294899999999998</v>
      </c>
      <c r="JF124">
        <v>24.2714</v>
      </c>
      <c r="JG124">
        <v>18</v>
      </c>
      <c r="JH124">
        <v>497.53399999999999</v>
      </c>
      <c r="JI124">
        <v>419.62099999999998</v>
      </c>
      <c r="JJ124">
        <v>27.966799999999999</v>
      </c>
      <c r="JK124">
        <v>33.911999999999999</v>
      </c>
      <c r="JL124">
        <v>29.999099999999999</v>
      </c>
      <c r="JM124">
        <v>34.026299999999999</v>
      </c>
      <c r="JN124">
        <v>34.039200000000001</v>
      </c>
      <c r="JO124">
        <v>12.4373</v>
      </c>
      <c r="JP124">
        <v>20.342199999999998</v>
      </c>
      <c r="JQ124">
        <v>0</v>
      </c>
      <c r="JR124">
        <v>27.9361</v>
      </c>
      <c r="JS124">
        <v>200</v>
      </c>
      <c r="JT124">
        <v>22.594999999999999</v>
      </c>
      <c r="JU124">
        <v>99.015600000000006</v>
      </c>
      <c r="JV124">
        <v>98.466499999999996</v>
      </c>
    </row>
    <row r="125" spans="1:282" x14ac:dyDescent="0.25">
      <c r="A125">
        <v>109</v>
      </c>
      <c r="B125">
        <v>1689020566.5999999</v>
      </c>
      <c r="C125">
        <v>21226</v>
      </c>
      <c r="D125" t="s">
        <v>970</v>
      </c>
      <c r="E125" t="s">
        <v>971</v>
      </c>
      <c r="F125" t="s">
        <v>414</v>
      </c>
      <c r="G125" t="s">
        <v>415</v>
      </c>
      <c r="H125" t="s">
        <v>500</v>
      </c>
      <c r="I125" t="s">
        <v>417</v>
      </c>
      <c r="J125" t="s">
        <v>500</v>
      </c>
      <c r="K125">
        <v>1689020566.5999999</v>
      </c>
      <c r="L125">
        <f t="shared" si="138"/>
        <v>5.6253971610647577E-3</v>
      </c>
      <c r="M125">
        <f t="shared" si="139"/>
        <v>5.6253971610647575</v>
      </c>
      <c r="N125">
        <f t="shared" si="140"/>
        <v>16.817360778243877</v>
      </c>
      <c r="O125">
        <f t="shared" si="141"/>
        <v>99.310900000000004</v>
      </c>
      <c r="P125">
        <f t="shared" si="142"/>
        <v>29.031349942205537</v>
      </c>
      <c r="Q125">
        <f t="shared" si="143"/>
        <v>2.8795740215479579</v>
      </c>
      <c r="R125">
        <f t="shared" si="144"/>
        <v>9.8504922528869994</v>
      </c>
      <c r="S125">
        <f t="shared" si="145"/>
        <v>0.41761856171694051</v>
      </c>
      <c r="T125">
        <f t="shared" si="146"/>
        <v>2.9130694455735506</v>
      </c>
      <c r="U125">
        <f t="shared" si="147"/>
        <v>0.38698213199419085</v>
      </c>
      <c r="V125">
        <f t="shared" si="148"/>
        <v>0.2444288392334899</v>
      </c>
      <c r="W125">
        <f t="shared" si="149"/>
        <v>289.58301001270513</v>
      </c>
      <c r="X125">
        <f t="shared" si="150"/>
        <v>30.702147582725289</v>
      </c>
      <c r="Y125">
        <f t="shared" si="151"/>
        <v>29.973600000000001</v>
      </c>
      <c r="Z125">
        <f t="shared" si="152"/>
        <v>4.2539935177355392</v>
      </c>
      <c r="AA125">
        <f t="shared" si="153"/>
        <v>65.482315480903623</v>
      </c>
      <c r="AB125">
        <f t="shared" si="154"/>
        <v>2.8638675393899997</v>
      </c>
      <c r="AC125">
        <f t="shared" si="155"/>
        <v>4.3734976662900378</v>
      </c>
      <c r="AD125">
        <f t="shared" si="156"/>
        <v>1.3901259783455395</v>
      </c>
      <c r="AE125">
        <f t="shared" si="157"/>
        <v>-248.08001480295582</v>
      </c>
      <c r="AF125">
        <f t="shared" si="158"/>
        <v>75.870565115729718</v>
      </c>
      <c r="AG125">
        <f t="shared" si="159"/>
        <v>5.803455447073655</v>
      </c>
      <c r="AH125">
        <f t="shared" si="160"/>
        <v>123.17701577255268</v>
      </c>
      <c r="AI125">
        <v>0</v>
      </c>
      <c r="AJ125">
        <v>0</v>
      </c>
      <c r="AK125">
        <f t="shared" si="161"/>
        <v>1</v>
      </c>
      <c r="AL125">
        <f t="shared" si="162"/>
        <v>0</v>
      </c>
      <c r="AM125">
        <f t="shared" si="163"/>
        <v>51785.832759342062</v>
      </c>
      <c r="AN125" t="s">
        <v>418</v>
      </c>
      <c r="AO125">
        <v>8197.4</v>
      </c>
      <c r="AP125">
        <v>619.92999999999995</v>
      </c>
      <c r="AQ125">
        <v>3131.443117258741</v>
      </c>
      <c r="AR125">
        <f t="shared" si="164"/>
        <v>0.80203057287443702</v>
      </c>
      <c r="AS125">
        <v>-1.0448500102641549</v>
      </c>
      <c r="AT125" t="s">
        <v>972</v>
      </c>
      <c r="AU125">
        <v>8199.1</v>
      </c>
      <c r="AV125">
        <v>771.58580000000006</v>
      </c>
      <c r="AW125">
        <v>902.84478220796723</v>
      </c>
      <c r="AX125">
        <f t="shared" si="165"/>
        <v>0.14538377448110684</v>
      </c>
      <c r="AY125">
        <v>0.5</v>
      </c>
      <c r="AZ125">
        <f t="shared" si="166"/>
        <v>1513.2690000065829</v>
      </c>
      <c r="BA125">
        <f t="shared" si="167"/>
        <v>16.817360778243877</v>
      </c>
      <c r="BB125">
        <f t="shared" si="168"/>
        <v>110.00237951310356</v>
      </c>
      <c r="BC125">
        <f t="shared" si="169"/>
        <v>1.1803724776249518E-2</v>
      </c>
      <c r="BD125">
        <f t="shared" si="170"/>
        <v>2.4684180259652031</v>
      </c>
      <c r="BE125">
        <f t="shared" si="171"/>
        <v>416.43175290348654</v>
      </c>
      <c r="BF125" t="s">
        <v>973</v>
      </c>
      <c r="BG125">
        <v>624.09</v>
      </c>
      <c r="BH125">
        <f t="shared" si="172"/>
        <v>624.09</v>
      </c>
      <c r="BI125">
        <f t="shared" si="173"/>
        <v>0.30875161234941595</v>
      </c>
      <c r="BJ125">
        <f t="shared" si="174"/>
        <v>0.47087616279903088</v>
      </c>
      <c r="BK125">
        <f t="shared" si="175"/>
        <v>0.88882508000599214</v>
      </c>
      <c r="BL125">
        <f t="shared" si="176"/>
        <v>0.46395236467877543</v>
      </c>
      <c r="BM125">
        <f t="shared" si="177"/>
        <v>0.88735285503236305</v>
      </c>
      <c r="BN125">
        <f t="shared" si="178"/>
        <v>0.38086380599700925</v>
      </c>
      <c r="BO125">
        <f t="shared" si="179"/>
        <v>0.61913619400299069</v>
      </c>
      <c r="BP125">
        <v>13786</v>
      </c>
      <c r="BQ125">
        <v>290.00000000000011</v>
      </c>
      <c r="BR125">
        <v>864.54</v>
      </c>
      <c r="BS125">
        <v>285</v>
      </c>
      <c r="BT125">
        <v>8199.1</v>
      </c>
      <c r="BU125">
        <v>864.35</v>
      </c>
      <c r="BV125">
        <v>0.19</v>
      </c>
      <c r="BW125">
        <v>300.00000000000011</v>
      </c>
      <c r="BX125">
        <v>19.3</v>
      </c>
      <c r="BY125">
        <v>902.84478220796723</v>
      </c>
      <c r="BZ125">
        <v>2.0820901548087112</v>
      </c>
      <c r="CA125">
        <v>-31.56208322517146</v>
      </c>
      <c r="CB125">
        <v>1.567706680248969</v>
      </c>
      <c r="CC125">
        <v>0.93538313784827865</v>
      </c>
      <c r="CD125">
        <v>-4.2461563959955489E-3</v>
      </c>
      <c r="CE125">
        <v>289.99999999999989</v>
      </c>
      <c r="CF125">
        <v>862.46</v>
      </c>
      <c r="CG125">
        <v>625</v>
      </c>
      <c r="CH125">
        <v>8189.4</v>
      </c>
      <c r="CI125">
        <v>864.3</v>
      </c>
      <c r="CJ125">
        <v>-1.84</v>
      </c>
      <c r="CX125">
        <f t="shared" si="180"/>
        <v>1800.1</v>
      </c>
      <c r="CY125">
        <f t="shared" si="181"/>
        <v>1513.2690000065829</v>
      </c>
      <c r="CZ125">
        <f t="shared" si="182"/>
        <v>0.84065829676494808</v>
      </c>
      <c r="DA125">
        <f t="shared" si="183"/>
        <v>0.16087051275634973</v>
      </c>
      <c r="DB125">
        <v>6</v>
      </c>
      <c r="DC125">
        <v>0.5</v>
      </c>
      <c r="DD125" t="s">
        <v>421</v>
      </c>
      <c r="DE125">
        <v>2</v>
      </c>
      <c r="DF125">
        <v>1689020566.5999999</v>
      </c>
      <c r="DG125">
        <v>99.310900000000004</v>
      </c>
      <c r="DH125">
        <v>120.15300000000001</v>
      </c>
      <c r="DI125">
        <v>28.873000000000001</v>
      </c>
      <c r="DJ125">
        <v>22.3203</v>
      </c>
      <c r="DK125">
        <v>99.466399999999993</v>
      </c>
      <c r="DL125">
        <v>28.741499999999998</v>
      </c>
      <c r="DM125">
        <v>500.21899999999999</v>
      </c>
      <c r="DN125">
        <v>99.088300000000004</v>
      </c>
      <c r="DO125">
        <v>0.10013</v>
      </c>
      <c r="DP125">
        <v>30.456700000000001</v>
      </c>
      <c r="DQ125">
        <v>29.973600000000001</v>
      </c>
      <c r="DR125">
        <v>999.9</v>
      </c>
      <c r="DS125">
        <v>0</v>
      </c>
      <c r="DT125">
        <v>0</v>
      </c>
      <c r="DU125">
        <v>9997.5</v>
      </c>
      <c r="DV125">
        <v>0</v>
      </c>
      <c r="DW125">
        <v>706.51099999999997</v>
      </c>
      <c r="DX125">
        <v>-20.842099999999999</v>
      </c>
      <c r="DY125">
        <v>102.264</v>
      </c>
      <c r="DZ125">
        <v>122.896</v>
      </c>
      <c r="EA125">
        <v>6.5526999999999997</v>
      </c>
      <c r="EB125">
        <v>120.15300000000001</v>
      </c>
      <c r="EC125">
        <v>22.3203</v>
      </c>
      <c r="ED125">
        <v>2.86097</v>
      </c>
      <c r="EE125">
        <v>2.2116799999999999</v>
      </c>
      <c r="EF125">
        <v>23.240200000000002</v>
      </c>
      <c r="EG125">
        <v>19.0471</v>
      </c>
      <c r="EH125">
        <v>1800.1</v>
      </c>
      <c r="EI125">
        <v>0.97799400000000003</v>
      </c>
      <c r="EJ125">
        <v>2.2005799999999999E-2</v>
      </c>
      <c r="EK125">
        <v>0</v>
      </c>
      <c r="EL125">
        <v>771.25</v>
      </c>
      <c r="EM125">
        <v>4.9999900000000004</v>
      </c>
      <c r="EN125">
        <v>17329.400000000001</v>
      </c>
      <c r="EO125">
        <v>15864.7</v>
      </c>
      <c r="EP125">
        <v>48.811999999999998</v>
      </c>
      <c r="EQ125">
        <v>49.311999999999998</v>
      </c>
      <c r="ER125">
        <v>49.25</v>
      </c>
      <c r="ES125">
        <v>49.061999999999998</v>
      </c>
      <c r="ET125">
        <v>50.5</v>
      </c>
      <c r="EU125">
        <v>1755.6</v>
      </c>
      <c r="EV125">
        <v>39.5</v>
      </c>
      <c r="EW125">
        <v>0</v>
      </c>
      <c r="EX125">
        <v>112.4000000953674</v>
      </c>
      <c r="EY125">
        <v>0</v>
      </c>
      <c r="EZ125">
        <v>771.58580000000006</v>
      </c>
      <c r="FA125">
        <v>-2.2096923110168731</v>
      </c>
      <c r="FB125">
        <v>297.19230759502989</v>
      </c>
      <c r="FC125">
        <v>17261.531999999999</v>
      </c>
      <c r="FD125">
        <v>15</v>
      </c>
      <c r="FE125">
        <v>1689020529.5999999</v>
      </c>
      <c r="FF125" t="s">
        <v>974</v>
      </c>
      <c r="FG125">
        <v>1689020518.5999999</v>
      </c>
      <c r="FH125">
        <v>1689020529.5999999</v>
      </c>
      <c r="FI125">
        <v>121</v>
      </c>
      <c r="FJ125">
        <v>1.9E-2</v>
      </c>
      <c r="FK125">
        <v>-2E-3</v>
      </c>
      <c r="FL125">
        <v>-0.156</v>
      </c>
      <c r="FM125">
        <v>0.13100000000000001</v>
      </c>
      <c r="FN125">
        <v>120</v>
      </c>
      <c r="FO125">
        <v>22</v>
      </c>
      <c r="FP125">
        <v>7.0000000000000007E-2</v>
      </c>
      <c r="FQ125">
        <v>0.01</v>
      </c>
      <c r="FR125">
        <v>16.84001015941644</v>
      </c>
      <c r="FS125">
        <v>-0.57536614385667462</v>
      </c>
      <c r="FT125">
        <v>4.6030084373423881E-2</v>
      </c>
      <c r="FU125">
        <v>1</v>
      </c>
      <c r="FV125">
        <v>0.41917060043106907</v>
      </c>
      <c r="FW125">
        <v>2.6844651947556201E-2</v>
      </c>
      <c r="FX125">
        <v>2.5763609327931068E-3</v>
      </c>
      <c r="FY125">
        <v>1</v>
      </c>
      <c r="FZ125">
        <v>2</v>
      </c>
      <c r="GA125">
        <v>2</v>
      </c>
      <c r="GB125" t="s">
        <v>423</v>
      </c>
      <c r="GC125">
        <v>2.9582799999999998</v>
      </c>
      <c r="GD125">
        <v>2.7433399999999999</v>
      </c>
      <c r="GE125">
        <v>2.65262E-2</v>
      </c>
      <c r="GF125">
        <v>3.1631399999999997E-2</v>
      </c>
      <c r="GG125">
        <v>0.13126199999999999</v>
      </c>
      <c r="GH125">
        <v>0.109142</v>
      </c>
      <c r="GI125">
        <v>22862.5</v>
      </c>
      <c r="GJ125">
        <v>21205</v>
      </c>
      <c r="GK125">
        <v>23419</v>
      </c>
      <c r="GL125">
        <v>21947.4</v>
      </c>
      <c r="GM125">
        <v>28695.1</v>
      </c>
      <c r="GN125">
        <v>27279.4</v>
      </c>
      <c r="GO125">
        <v>36961.4</v>
      </c>
      <c r="GP125">
        <v>34151.1</v>
      </c>
      <c r="GQ125">
        <v>1.9717</v>
      </c>
      <c r="GR125">
        <v>1.79897</v>
      </c>
      <c r="GS125">
        <v>3.68729E-2</v>
      </c>
      <c r="GT125">
        <v>0</v>
      </c>
      <c r="GU125">
        <v>29.373200000000001</v>
      </c>
      <c r="GV125">
        <v>999.9</v>
      </c>
      <c r="GW125">
        <v>25.5</v>
      </c>
      <c r="GX125">
        <v>47.8</v>
      </c>
      <c r="GY125">
        <v>28.620699999999999</v>
      </c>
      <c r="GZ125">
        <v>60.458100000000002</v>
      </c>
      <c r="HA125">
        <v>39.695500000000003</v>
      </c>
      <c r="HB125">
        <v>1</v>
      </c>
      <c r="HC125">
        <v>0.52043700000000004</v>
      </c>
      <c r="HD125">
        <v>1.6222799999999999</v>
      </c>
      <c r="HE125">
        <v>20.1051</v>
      </c>
      <c r="HF125">
        <v>5.2641600000000004</v>
      </c>
      <c r="HG125">
        <v>11.962</v>
      </c>
      <c r="HH125">
        <v>4.9798</v>
      </c>
      <c r="HI125">
        <v>3.298</v>
      </c>
      <c r="HJ125">
        <v>9999</v>
      </c>
      <c r="HK125">
        <v>9999</v>
      </c>
      <c r="HL125">
        <v>9999</v>
      </c>
      <c r="HM125">
        <v>999.9</v>
      </c>
      <c r="HN125">
        <v>1.8642300000000001</v>
      </c>
      <c r="HO125">
        <v>1.8602000000000001</v>
      </c>
      <c r="HP125">
        <v>1.8667800000000001</v>
      </c>
      <c r="HQ125">
        <v>1.8635299999999999</v>
      </c>
      <c r="HR125">
        <v>1.8621700000000001</v>
      </c>
      <c r="HS125">
        <v>1.8621799999999999</v>
      </c>
      <c r="HT125">
        <v>1.86341</v>
      </c>
      <c r="HU125">
        <v>1.86477</v>
      </c>
      <c r="HV125">
        <v>0</v>
      </c>
      <c r="HW125">
        <v>0</v>
      </c>
      <c r="HX125">
        <v>0</v>
      </c>
      <c r="HY125">
        <v>0</v>
      </c>
      <c r="HZ125" t="s">
        <v>424</v>
      </c>
      <c r="IA125" t="s">
        <v>425</v>
      </c>
      <c r="IB125" t="s">
        <v>426</v>
      </c>
      <c r="IC125" t="s">
        <v>426</v>
      </c>
      <c r="ID125" t="s">
        <v>426</v>
      </c>
      <c r="IE125" t="s">
        <v>426</v>
      </c>
      <c r="IF125">
        <v>0</v>
      </c>
      <c r="IG125">
        <v>100</v>
      </c>
      <c r="IH125">
        <v>100</v>
      </c>
      <c r="II125">
        <v>-0.155</v>
      </c>
      <c r="IJ125">
        <v>0.13150000000000001</v>
      </c>
      <c r="IK125">
        <v>-0.14954100044226801</v>
      </c>
      <c r="IL125">
        <v>-8.3322953065825546E-5</v>
      </c>
      <c r="IM125">
        <v>2.3872336679552741E-7</v>
      </c>
      <c r="IN125">
        <v>-5.428329794194132E-11</v>
      </c>
      <c r="IO125">
        <v>0.13150000000000001</v>
      </c>
      <c r="IP125">
        <v>0</v>
      </c>
      <c r="IQ125">
        <v>0</v>
      </c>
      <c r="IR125">
        <v>0</v>
      </c>
      <c r="IS125">
        <v>2</v>
      </c>
      <c r="IT125">
        <v>2035</v>
      </c>
      <c r="IU125">
        <v>1</v>
      </c>
      <c r="IV125">
        <v>21</v>
      </c>
      <c r="IW125">
        <v>0.8</v>
      </c>
      <c r="IX125">
        <v>0.6</v>
      </c>
      <c r="IY125">
        <v>0.43212899999999999</v>
      </c>
      <c r="IZ125">
        <v>2.7282700000000002</v>
      </c>
      <c r="JA125">
        <v>1.4514199999999999</v>
      </c>
      <c r="JB125">
        <v>2.2729499999999998</v>
      </c>
      <c r="JC125">
        <v>1.5942400000000001</v>
      </c>
      <c r="JD125">
        <v>2.3718300000000001</v>
      </c>
      <c r="JE125">
        <v>49.012700000000002</v>
      </c>
      <c r="JF125">
        <v>24.2714</v>
      </c>
      <c r="JG125">
        <v>18</v>
      </c>
      <c r="JH125">
        <v>497.77300000000002</v>
      </c>
      <c r="JI125">
        <v>420.678</v>
      </c>
      <c r="JJ125">
        <v>28.102799999999998</v>
      </c>
      <c r="JK125">
        <v>33.708199999999998</v>
      </c>
      <c r="JL125">
        <v>29.999099999999999</v>
      </c>
      <c r="JM125">
        <v>33.860199999999999</v>
      </c>
      <c r="JN125">
        <v>33.880499999999998</v>
      </c>
      <c r="JO125">
        <v>8.6179199999999998</v>
      </c>
      <c r="JP125">
        <v>21.184200000000001</v>
      </c>
      <c r="JQ125">
        <v>0</v>
      </c>
      <c r="JR125">
        <v>28.121400000000001</v>
      </c>
      <c r="JS125">
        <v>120</v>
      </c>
      <c r="JT125">
        <v>22.2227</v>
      </c>
      <c r="JU125">
        <v>99.057199999999995</v>
      </c>
      <c r="JV125">
        <v>98.509</v>
      </c>
    </row>
    <row r="126" spans="1:282" x14ac:dyDescent="0.25">
      <c r="A126">
        <v>110</v>
      </c>
      <c r="B126">
        <v>1689020716.5999999</v>
      </c>
      <c r="C126">
        <v>21376</v>
      </c>
      <c r="D126" t="s">
        <v>975</v>
      </c>
      <c r="E126" t="s">
        <v>976</v>
      </c>
      <c r="F126" t="s">
        <v>414</v>
      </c>
      <c r="G126" t="s">
        <v>415</v>
      </c>
      <c r="H126" t="s">
        <v>500</v>
      </c>
      <c r="I126" t="s">
        <v>417</v>
      </c>
      <c r="J126" t="s">
        <v>500</v>
      </c>
      <c r="K126">
        <v>1689020716.5999999</v>
      </c>
      <c r="L126">
        <f t="shared" si="138"/>
        <v>6.1137300165553573E-3</v>
      </c>
      <c r="M126">
        <f t="shared" si="139"/>
        <v>6.1137300165553574</v>
      </c>
      <c r="N126">
        <f t="shared" si="140"/>
        <v>10.734166587727719</v>
      </c>
      <c r="O126">
        <f t="shared" si="141"/>
        <v>56.9773</v>
      </c>
      <c r="P126">
        <f t="shared" si="142"/>
        <v>15.473905929096286</v>
      </c>
      <c r="Q126">
        <f t="shared" si="143"/>
        <v>1.5349454719575639</v>
      </c>
      <c r="R126">
        <f t="shared" si="144"/>
        <v>5.6519051518154999</v>
      </c>
      <c r="S126">
        <f t="shared" si="145"/>
        <v>0.45344529592791216</v>
      </c>
      <c r="T126">
        <f t="shared" si="146"/>
        <v>2.9135289108234916</v>
      </c>
      <c r="U126">
        <f t="shared" si="147"/>
        <v>0.41757395309799866</v>
      </c>
      <c r="V126">
        <f t="shared" si="148"/>
        <v>0.26396974004640339</v>
      </c>
      <c r="W126">
        <f t="shared" si="149"/>
        <v>289.55370301270318</v>
      </c>
      <c r="X126">
        <f t="shared" si="150"/>
        <v>30.750582142307184</v>
      </c>
      <c r="Y126">
        <f t="shared" si="151"/>
        <v>30.144100000000002</v>
      </c>
      <c r="Z126">
        <f t="shared" si="152"/>
        <v>4.2958408983345455</v>
      </c>
      <c r="AA126">
        <f t="shared" si="153"/>
        <v>65.557229516535671</v>
      </c>
      <c r="AB126">
        <f t="shared" si="154"/>
        <v>2.896158357354</v>
      </c>
      <c r="AC126">
        <f t="shared" si="155"/>
        <v>4.4177558733220934</v>
      </c>
      <c r="AD126">
        <f t="shared" si="156"/>
        <v>1.3996825409805456</v>
      </c>
      <c r="AE126">
        <f t="shared" si="157"/>
        <v>-269.61549373009126</v>
      </c>
      <c r="AF126">
        <f t="shared" si="158"/>
        <v>76.746439774858146</v>
      </c>
      <c r="AG126">
        <f t="shared" si="159"/>
        <v>5.8795936231587289</v>
      </c>
      <c r="AH126">
        <f t="shared" si="160"/>
        <v>102.56424268062878</v>
      </c>
      <c r="AI126">
        <v>0</v>
      </c>
      <c r="AJ126">
        <v>0</v>
      </c>
      <c r="AK126">
        <f t="shared" si="161"/>
        <v>1</v>
      </c>
      <c r="AL126">
        <f t="shared" si="162"/>
        <v>0</v>
      </c>
      <c r="AM126">
        <f t="shared" si="163"/>
        <v>51769.016147420771</v>
      </c>
      <c r="AN126" t="s">
        <v>418</v>
      </c>
      <c r="AO126">
        <v>8197.4</v>
      </c>
      <c r="AP126">
        <v>619.92999999999995</v>
      </c>
      <c r="AQ126">
        <v>3131.443117258741</v>
      </c>
      <c r="AR126">
        <f t="shared" si="164"/>
        <v>0.80203057287443702</v>
      </c>
      <c r="AS126">
        <v>-1.0448500102641549</v>
      </c>
      <c r="AT126" t="s">
        <v>977</v>
      </c>
      <c r="AU126">
        <v>8209.7000000000007</v>
      </c>
      <c r="AV126">
        <v>785.21992307692301</v>
      </c>
      <c r="AW126">
        <v>881.05605309590737</v>
      </c>
      <c r="AX126">
        <f t="shared" si="165"/>
        <v>0.10877415765118426</v>
      </c>
      <c r="AY126">
        <v>0.5</v>
      </c>
      <c r="AZ126">
        <f t="shared" si="166"/>
        <v>1513.1175000065821</v>
      </c>
      <c r="BA126">
        <f t="shared" si="167"/>
        <v>10.734166587727719</v>
      </c>
      <c r="BB126">
        <f t="shared" si="168"/>
        <v>82.294040745240878</v>
      </c>
      <c r="BC126">
        <f t="shared" si="169"/>
        <v>7.7846013927805567E-3</v>
      </c>
      <c r="BD126">
        <f t="shared" si="170"/>
        <v>2.5541928419370019</v>
      </c>
      <c r="BE126">
        <f t="shared" si="171"/>
        <v>411.73522263177387</v>
      </c>
      <c r="BF126" t="s">
        <v>978</v>
      </c>
      <c r="BG126">
        <v>642.67999999999995</v>
      </c>
      <c r="BH126">
        <f t="shared" si="172"/>
        <v>642.67999999999995</v>
      </c>
      <c r="BI126">
        <f t="shared" si="173"/>
        <v>0.27055719356139418</v>
      </c>
      <c r="BJ126">
        <f t="shared" si="174"/>
        <v>0.40203757371729776</v>
      </c>
      <c r="BK126">
        <f t="shared" si="175"/>
        <v>0.90421906711697497</v>
      </c>
      <c r="BL126">
        <f t="shared" si="176"/>
        <v>0.36701098524161924</v>
      </c>
      <c r="BM126">
        <f t="shared" si="177"/>
        <v>0.89602839367969511</v>
      </c>
      <c r="BN126">
        <f t="shared" si="178"/>
        <v>0.3290562303413701</v>
      </c>
      <c r="BO126">
        <f t="shared" si="179"/>
        <v>0.6709437696586299</v>
      </c>
      <c r="BP126">
        <v>13788</v>
      </c>
      <c r="BQ126">
        <v>290.00000000000011</v>
      </c>
      <c r="BR126">
        <v>851.05</v>
      </c>
      <c r="BS126">
        <v>185</v>
      </c>
      <c r="BT126">
        <v>8209.7000000000007</v>
      </c>
      <c r="BU126">
        <v>850.49</v>
      </c>
      <c r="BV126">
        <v>0.56000000000000005</v>
      </c>
      <c r="BW126">
        <v>300.00000000000011</v>
      </c>
      <c r="BX126">
        <v>19.3</v>
      </c>
      <c r="BY126">
        <v>881.05605309590737</v>
      </c>
      <c r="BZ126">
        <v>1.932733008330447</v>
      </c>
      <c r="CA126">
        <v>-25.094597466478511</v>
      </c>
      <c r="CB126">
        <v>1.4557325373477219</v>
      </c>
      <c r="CC126">
        <v>0.91388980465496472</v>
      </c>
      <c r="CD126">
        <v>-4.2470627363737469E-3</v>
      </c>
      <c r="CE126">
        <v>289.99999999999989</v>
      </c>
      <c r="CF126">
        <v>848.83</v>
      </c>
      <c r="CG126">
        <v>685</v>
      </c>
      <c r="CH126">
        <v>8190.23</v>
      </c>
      <c r="CI126">
        <v>850.42</v>
      </c>
      <c r="CJ126">
        <v>-1.59</v>
      </c>
      <c r="CX126">
        <f t="shared" si="180"/>
        <v>1799.92</v>
      </c>
      <c r="CY126">
        <f t="shared" si="181"/>
        <v>1513.1175000065821</v>
      </c>
      <c r="CZ126">
        <f t="shared" si="182"/>
        <v>0.84065819592347546</v>
      </c>
      <c r="DA126">
        <f t="shared" si="183"/>
        <v>0.16087031813230765</v>
      </c>
      <c r="DB126">
        <v>6</v>
      </c>
      <c r="DC126">
        <v>0.5</v>
      </c>
      <c r="DD126" t="s">
        <v>421</v>
      </c>
      <c r="DE126">
        <v>2</v>
      </c>
      <c r="DF126">
        <v>1689020716.5999999</v>
      </c>
      <c r="DG126">
        <v>56.9773</v>
      </c>
      <c r="DH126">
        <v>70.271500000000003</v>
      </c>
      <c r="DI126">
        <v>29.196400000000001</v>
      </c>
      <c r="DJ126">
        <v>22.076699999999999</v>
      </c>
      <c r="DK126">
        <v>57.118299999999998</v>
      </c>
      <c r="DL126">
        <v>29.074400000000001</v>
      </c>
      <c r="DM126">
        <v>500.18099999999998</v>
      </c>
      <c r="DN126">
        <v>99.095699999999994</v>
      </c>
      <c r="DO126">
        <v>0.100035</v>
      </c>
      <c r="DP126">
        <v>30.6327</v>
      </c>
      <c r="DQ126">
        <v>30.144100000000002</v>
      </c>
      <c r="DR126">
        <v>999.9</v>
      </c>
      <c r="DS126">
        <v>0</v>
      </c>
      <c r="DT126">
        <v>0</v>
      </c>
      <c r="DU126">
        <v>9999.3799999999992</v>
      </c>
      <c r="DV126">
        <v>0</v>
      </c>
      <c r="DW126">
        <v>1878.41</v>
      </c>
      <c r="DX126">
        <v>-13.2943</v>
      </c>
      <c r="DY126">
        <v>58.690800000000003</v>
      </c>
      <c r="DZ126">
        <v>71.857900000000001</v>
      </c>
      <c r="EA126">
        <v>7.1197299999999997</v>
      </c>
      <c r="EB126">
        <v>70.271500000000003</v>
      </c>
      <c r="EC126">
        <v>22.076699999999999</v>
      </c>
      <c r="ED126">
        <v>2.89324</v>
      </c>
      <c r="EE126">
        <v>2.1877</v>
      </c>
      <c r="EF126">
        <v>23.425899999999999</v>
      </c>
      <c r="EG126">
        <v>18.872599999999998</v>
      </c>
      <c r="EH126">
        <v>1799.92</v>
      </c>
      <c r="EI126">
        <v>0.97799999999999998</v>
      </c>
      <c r="EJ126">
        <v>2.20004E-2</v>
      </c>
      <c r="EK126">
        <v>0</v>
      </c>
      <c r="EL126">
        <v>784.38599999999997</v>
      </c>
      <c r="EM126">
        <v>4.9999900000000004</v>
      </c>
      <c r="EN126">
        <v>21893.599999999999</v>
      </c>
      <c r="EO126">
        <v>15863.1</v>
      </c>
      <c r="EP126">
        <v>48.5</v>
      </c>
      <c r="EQ126">
        <v>49</v>
      </c>
      <c r="ER126">
        <v>48.936999999999998</v>
      </c>
      <c r="ES126">
        <v>48.686999999999998</v>
      </c>
      <c r="ET126">
        <v>50.186999999999998</v>
      </c>
      <c r="EU126">
        <v>1755.43</v>
      </c>
      <c r="EV126">
        <v>39.49</v>
      </c>
      <c r="EW126">
        <v>0</v>
      </c>
      <c r="EX126">
        <v>147.80000019073489</v>
      </c>
      <c r="EY126">
        <v>0</v>
      </c>
      <c r="EZ126">
        <v>785.21992307692301</v>
      </c>
      <c r="FA126">
        <v>-3.2344615440095099</v>
      </c>
      <c r="FB126">
        <v>-127.0188027640128</v>
      </c>
      <c r="FC126">
        <v>21898.803846153849</v>
      </c>
      <c r="FD126">
        <v>15</v>
      </c>
      <c r="FE126">
        <v>1689020676.0999999</v>
      </c>
      <c r="FF126" t="s">
        <v>979</v>
      </c>
      <c r="FG126">
        <v>1689020662.5999999</v>
      </c>
      <c r="FH126">
        <v>1689020676.0999999</v>
      </c>
      <c r="FI126">
        <v>122</v>
      </c>
      <c r="FJ126">
        <v>1.2999999999999999E-2</v>
      </c>
      <c r="FK126">
        <v>-8.9999999999999993E-3</v>
      </c>
      <c r="FL126">
        <v>-0.14199999999999999</v>
      </c>
      <c r="FM126">
        <v>0.122</v>
      </c>
      <c r="FN126">
        <v>70</v>
      </c>
      <c r="FO126">
        <v>22</v>
      </c>
      <c r="FP126">
        <v>0.15</v>
      </c>
      <c r="FQ126">
        <v>0.02</v>
      </c>
      <c r="FR126">
        <v>10.69591774259364</v>
      </c>
      <c r="FS126">
        <v>1.830364179941971E-2</v>
      </c>
      <c r="FT126">
        <v>1.5809614699010929E-2</v>
      </c>
      <c r="FU126">
        <v>1</v>
      </c>
      <c r="FV126">
        <v>0.4541359661814991</v>
      </c>
      <c r="FW126">
        <v>2.4343225800446889E-2</v>
      </c>
      <c r="FX126">
        <v>2.6958143322598251E-3</v>
      </c>
      <c r="FY126">
        <v>1</v>
      </c>
      <c r="FZ126">
        <v>2</v>
      </c>
      <c r="GA126">
        <v>2</v>
      </c>
      <c r="GB126" t="s">
        <v>423</v>
      </c>
      <c r="GC126">
        <v>2.9584700000000002</v>
      </c>
      <c r="GD126">
        <v>2.7432599999999998</v>
      </c>
      <c r="GE126">
        <v>1.55874E-2</v>
      </c>
      <c r="GF126">
        <v>1.9026000000000001E-2</v>
      </c>
      <c r="GG126">
        <v>0.132387</v>
      </c>
      <c r="GH126">
        <v>0.108374</v>
      </c>
      <c r="GI126">
        <v>23132</v>
      </c>
      <c r="GJ126">
        <v>21494.2</v>
      </c>
      <c r="GK126">
        <v>23431.200000000001</v>
      </c>
      <c r="GL126">
        <v>21960.400000000001</v>
      </c>
      <c r="GM126">
        <v>28669.599999999999</v>
      </c>
      <c r="GN126">
        <v>27316.5</v>
      </c>
      <c r="GO126">
        <v>36980.199999999997</v>
      </c>
      <c r="GP126">
        <v>34169.199999999997</v>
      </c>
      <c r="GQ126">
        <v>1.9756</v>
      </c>
      <c r="GR126">
        <v>1.8041</v>
      </c>
      <c r="GS126">
        <v>3.3494099999999999E-2</v>
      </c>
      <c r="GT126">
        <v>0</v>
      </c>
      <c r="GU126">
        <v>29.599</v>
      </c>
      <c r="GV126">
        <v>999.9</v>
      </c>
      <c r="GW126">
        <v>25.5</v>
      </c>
      <c r="GX126">
        <v>47.5</v>
      </c>
      <c r="GY126">
        <v>28.183900000000001</v>
      </c>
      <c r="GZ126">
        <v>60.188099999999999</v>
      </c>
      <c r="HA126">
        <v>38.830100000000002</v>
      </c>
      <c r="HB126">
        <v>1</v>
      </c>
      <c r="HC126">
        <v>0.50278999999999996</v>
      </c>
      <c r="HD126">
        <v>3.3127900000000001</v>
      </c>
      <c r="HE126">
        <v>20.0779</v>
      </c>
      <c r="HF126">
        <v>5.2641600000000004</v>
      </c>
      <c r="HG126">
        <v>11.962899999999999</v>
      </c>
      <c r="HH126">
        <v>4.9797500000000001</v>
      </c>
      <c r="HI126">
        <v>3.2979799999999999</v>
      </c>
      <c r="HJ126">
        <v>9999</v>
      </c>
      <c r="HK126">
        <v>9999</v>
      </c>
      <c r="HL126">
        <v>9999</v>
      </c>
      <c r="HM126">
        <v>999.9</v>
      </c>
      <c r="HN126">
        <v>1.8641700000000001</v>
      </c>
      <c r="HO126">
        <v>1.8602000000000001</v>
      </c>
      <c r="HP126">
        <v>1.86676</v>
      </c>
      <c r="HQ126">
        <v>1.86348</v>
      </c>
      <c r="HR126">
        <v>1.86215</v>
      </c>
      <c r="HS126">
        <v>1.86216</v>
      </c>
      <c r="HT126">
        <v>1.8633999999999999</v>
      </c>
      <c r="HU126">
        <v>1.86466</v>
      </c>
      <c r="HV126">
        <v>0</v>
      </c>
      <c r="HW126">
        <v>0</v>
      </c>
      <c r="HX126">
        <v>0</v>
      </c>
      <c r="HY126">
        <v>0</v>
      </c>
      <c r="HZ126" t="s">
        <v>424</v>
      </c>
      <c r="IA126" t="s">
        <v>425</v>
      </c>
      <c r="IB126" t="s">
        <v>426</v>
      </c>
      <c r="IC126" t="s">
        <v>426</v>
      </c>
      <c r="ID126" t="s">
        <v>426</v>
      </c>
      <c r="IE126" t="s">
        <v>426</v>
      </c>
      <c r="IF126">
        <v>0</v>
      </c>
      <c r="IG126">
        <v>100</v>
      </c>
      <c r="IH126">
        <v>100</v>
      </c>
      <c r="II126">
        <v>-0.14099999999999999</v>
      </c>
      <c r="IJ126">
        <v>0.122</v>
      </c>
      <c r="IK126">
        <v>-0.13702227651101359</v>
      </c>
      <c r="IL126">
        <v>-8.3322953065825546E-5</v>
      </c>
      <c r="IM126">
        <v>2.3872336679552741E-7</v>
      </c>
      <c r="IN126">
        <v>-5.428329794194132E-11</v>
      </c>
      <c r="IO126">
        <v>0.122014999999994</v>
      </c>
      <c r="IP126">
        <v>0</v>
      </c>
      <c r="IQ126">
        <v>0</v>
      </c>
      <c r="IR126">
        <v>0</v>
      </c>
      <c r="IS126">
        <v>2</v>
      </c>
      <c r="IT126">
        <v>2035</v>
      </c>
      <c r="IU126">
        <v>1</v>
      </c>
      <c r="IV126">
        <v>21</v>
      </c>
      <c r="IW126">
        <v>0.9</v>
      </c>
      <c r="IX126">
        <v>0.7</v>
      </c>
      <c r="IY126">
        <v>0.3125</v>
      </c>
      <c r="IZ126">
        <v>2.7490199999999998</v>
      </c>
      <c r="JA126">
        <v>1.4514199999999999</v>
      </c>
      <c r="JB126">
        <v>2.2729499999999998</v>
      </c>
      <c r="JC126">
        <v>1.5942400000000001</v>
      </c>
      <c r="JD126">
        <v>2.36328</v>
      </c>
      <c r="JE126">
        <v>48.670699999999997</v>
      </c>
      <c r="JF126">
        <v>24.262599999999999</v>
      </c>
      <c r="JG126">
        <v>18</v>
      </c>
      <c r="JH126">
        <v>498.33800000000002</v>
      </c>
      <c r="JI126">
        <v>422.41399999999999</v>
      </c>
      <c r="JJ126">
        <v>27.478000000000002</v>
      </c>
      <c r="JK126">
        <v>33.448599999999999</v>
      </c>
      <c r="JL126">
        <v>30.000299999999999</v>
      </c>
      <c r="JM126">
        <v>33.625500000000002</v>
      </c>
      <c r="JN126">
        <v>33.654800000000002</v>
      </c>
      <c r="JO126">
        <v>6.2291699999999999</v>
      </c>
      <c r="JP126">
        <v>20.8216</v>
      </c>
      <c r="JQ126">
        <v>0</v>
      </c>
      <c r="JR126">
        <v>27.375</v>
      </c>
      <c r="JS126">
        <v>70</v>
      </c>
      <c r="JT126">
        <v>21.970600000000001</v>
      </c>
      <c r="JU126">
        <v>99.107900000000001</v>
      </c>
      <c r="JV126">
        <v>98.563699999999997</v>
      </c>
    </row>
    <row r="127" spans="1:282" x14ac:dyDescent="0.25">
      <c r="A127">
        <v>111</v>
      </c>
      <c r="B127">
        <v>1689020816.5</v>
      </c>
      <c r="C127">
        <v>21475.900000095371</v>
      </c>
      <c r="D127" t="s">
        <v>980</v>
      </c>
      <c r="E127" t="s">
        <v>981</v>
      </c>
      <c r="F127" t="s">
        <v>414</v>
      </c>
      <c r="G127" t="s">
        <v>415</v>
      </c>
      <c r="H127" t="s">
        <v>500</v>
      </c>
      <c r="I127" t="s">
        <v>417</v>
      </c>
      <c r="J127" t="s">
        <v>500</v>
      </c>
      <c r="K127">
        <v>1689020816.5</v>
      </c>
      <c r="L127">
        <f t="shared" si="138"/>
        <v>6.7072976855756441E-3</v>
      </c>
      <c r="M127">
        <f t="shared" si="139"/>
        <v>6.7072976855756439</v>
      </c>
      <c r="N127">
        <f t="shared" si="140"/>
        <v>4.7847426938893083</v>
      </c>
      <c r="O127">
        <f t="shared" si="141"/>
        <v>24.067599999999999</v>
      </c>
      <c r="P127">
        <f t="shared" si="142"/>
        <v>6.8474620954301484</v>
      </c>
      <c r="Q127">
        <f t="shared" si="143"/>
        <v>0.67919572524308014</v>
      </c>
      <c r="R127">
        <f t="shared" si="144"/>
        <v>2.3872510441159998</v>
      </c>
      <c r="S127">
        <f t="shared" si="145"/>
        <v>0.4904023514324608</v>
      </c>
      <c r="T127">
        <f t="shared" si="146"/>
        <v>2.9095825630626631</v>
      </c>
      <c r="U127">
        <f t="shared" si="147"/>
        <v>0.44868174764235502</v>
      </c>
      <c r="V127">
        <f t="shared" si="148"/>
        <v>0.28387815377559089</v>
      </c>
      <c r="W127">
        <f t="shared" si="149"/>
        <v>289.56168301270282</v>
      </c>
      <c r="X127">
        <f t="shared" si="150"/>
        <v>30.099605767721442</v>
      </c>
      <c r="Y127">
        <f t="shared" si="151"/>
        <v>29.962299999999999</v>
      </c>
      <c r="Z127">
        <f t="shared" si="152"/>
        <v>4.2512326520704695</v>
      </c>
      <c r="AA127">
        <f t="shared" si="153"/>
        <v>65.704350213275049</v>
      </c>
      <c r="AB127">
        <f t="shared" si="154"/>
        <v>2.8213237401579998</v>
      </c>
      <c r="AC127">
        <f t="shared" si="155"/>
        <v>4.2939679503716839</v>
      </c>
      <c r="AD127">
        <f t="shared" si="156"/>
        <v>1.4299089119124697</v>
      </c>
      <c r="AE127">
        <f t="shared" si="157"/>
        <v>-295.79182793388588</v>
      </c>
      <c r="AF127">
        <f t="shared" si="158"/>
        <v>27.325258517359536</v>
      </c>
      <c r="AG127">
        <f t="shared" si="159"/>
        <v>2.0892245631058488</v>
      </c>
      <c r="AH127">
        <f t="shared" si="160"/>
        <v>23.184338159282326</v>
      </c>
      <c r="AI127">
        <v>0</v>
      </c>
      <c r="AJ127">
        <v>0</v>
      </c>
      <c r="AK127">
        <f t="shared" si="161"/>
        <v>1</v>
      </c>
      <c r="AL127">
        <f t="shared" si="162"/>
        <v>0</v>
      </c>
      <c r="AM127">
        <f t="shared" si="163"/>
        <v>51741.447846128423</v>
      </c>
      <c r="AN127" t="s">
        <v>418</v>
      </c>
      <c r="AO127">
        <v>8197.4</v>
      </c>
      <c r="AP127">
        <v>619.92999999999995</v>
      </c>
      <c r="AQ127">
        <v>3131.443117258741</v>
      </c>
      <c r="AR127">
        <f t="shared" si="164"/>
        <v>0.80203057287443702</v>
      </c>
      <c r="AS127">
        <v>-1.0448500102641549</v>
      </c>
      <c r="AT127" t="s">
        <v>982</v>
      </c>
      <c r="AU127">
        <v>8211.75</v>
      </c>
      <c r="AV127">
        <v>801.90056000000016</v>
      </c>
      <c r="AW127">
        <v>875.84349092743707</v>
      </c>
      <c r="AX127">
        <f t="shared" si="165"/>
        <v>8.4424822121059839E-2</v>
      </c>
      <c r="AY127">
        <v>0.5</v>
      </c>
      <c r="AZ127">
        <f t="shared" si="166"/>
        <v>1513.1595000065818</v>
      </c>
      <c r="BA127">
        <f t="shared" si="167"/>
        <v>4.7847426938893083</v>
      </c>
      <c r="BB127">
        <f t="shared" si="168"/>
        <v>63.874110814423759</v>
      </c>
      <c r="BC127">
        <f t="shared" si="169"/>
        <v>3.8525963086694474E-3</v>
      </c>
      <c r="BD127">
        <f t="shared" si="170"/>
        <v>2.5753455379828569</v>
      </c>
      <c r="BE127">
        <f t="shared" si="171"/>
        <v>410.59326223929793</v>
      </c>
      <c r="BF127" t="s">
        <v>983</v>
      </c>
      <c r="BG127">
        <v>669.71</v>
      </c>
      <c r="BH127">
        <f t="shared" si="172"/>
        <v>669.71</v>
      </c>
      <c r="BI127">
        <f t="shared" si="173"/>
        <v>0.23535425342849869</v>
      </c>
      <c r="BJ127">
        <f t="shared" si="174"/>
        <v>0.3587138149882993</v>
      </c>
      <c r="BK127">
        <f t="shared" si="175"/>
        <v>0.91626489098989883</v>
      </c>
      <c r="BL127">
        <f t="shared" si="176"/>
        <v>0.28893721335075312</v>
      </c>
      <c r="BM127">
        <f t="shared" si="177"/>
        <v>0.89810386050989022</v>
      </c>
      <c r="BN127">
        <f t="shared" si="178"/>
        <v>0.29958107154310243</v>
      </c>
      <c r="BO127">
        <f t="shared" si="179"/>
        <v>0.70041892845689757</v>
      </c>
      <c r="BP127">
        <v>13790</v>
      </c>
      <c r="BQ127">
        <v>290.00000000000011</v>
      </c>
      <c r="BR127">
        <v>850.85</v>
      </c>
      <c r="BS127">
        <v>165</v>
      </c>
      <c r="BT127">
        <v>8211.75</v>
      </c>
      <c r="BU127">
        <v>849.45</v>
      </c>
      <c r="BV127">
        <v>1.4</v>
      </c>
      <c r="BW127">
        <v>300.00000000000011</v>
      </c>
      <c r="BX127">
        <v>19.3</v>
      </c>
      <c r="BY127">
        <v>875.84349092743707</v>
      </c>
      <c r="BZ127">
        <v>2.184687521987553</v>
      </c>
      <c r="CA127">
        <v>-21.67531538687334</v>
      </c>
      <c r="CB127">
        <v>1.6455305933231861</v>
      </c>
      <c r="CC127">
        <v>0.86104754193423738</v>
      </c>
      <c r="CD127">
        <v>-4.2473216907675179E-3</v>
      </c>
      <c r="CE127">
        <v>289.99999999999989</v>
      </c>
      <c r="CF127">
        <v>847.8</v>
      </c>
      <c r="CG127">
        <v>725</v>
      </c>
      <c r="CH127">
        <v>8189.17</v>
      </c>
      <c r="CI127">
        <v>849.38</v>
      </c>
      <c r="CJ127">
        <v>-1.58</v>
      </c>
      <c r="CX127">
        <f t="shared" si="180"/>
        <v>1799.97</v>
      </c>
      <c r="CY127">
        <f t="shared" si="181"/>
        <v>1513.1595000065818</v>
      </c>
      <c r="CZ127">
        <f t="shared" si="182"/>
        <v>0.84065817763995054</v>
      </c>
      <c r="DA127">
        <f t="shared" si="183"/>
        <v>0.16087028284510455</v>
      </c>
      <c r="DB127">
        <v>6</v>
      </c>
      <c r="DC127">
        <v>0.5</v>
      </c>
      <c r="DD127" t="s">
        <v>421</v>
      </c>
      <c r="DE127">
        <v>2</v>
      </c>
      <c r="DF127">
        <v>1689020816.5</v>
      </c>
      <c r="DG127">
        <v>24.067599999999999</v>
      </c>
      <c r="DH127">
        <v>30.0017</v>
      </c>
      <c r="DI127">
        <v>28.4438</v>
      </c>
      <c r="DJ127">
        <v>20.625699999999998</v>
      </c>
      <c r="DK127">
        <v>24.113600000000002</v>
      </c>
      <c r="DL127">
        <v>28.3428</v>
      </c>
      <c r="DM127">
        <v>500.11</v>
      </c>
      <c r="DN127">
        <v>99.089100000000002</v>
      </c>
      <c r="DO127">
        <v>0.10031</v>
      </c>
      <c r="DP127">
        <v>30.136500000000002</v>
      </c>
      <c r="DQ127">
        <v>29.962299999999999</v>
      </c>
      <c r="DR127">
        <v>999.9</v>
      </c>
      <c r="DS127">
        <v>0</v>
      </c>
      <c r="DT127">
        <v>0</v>
      </c>
      <c r="DU127">
        <v>9977.5</v>
      </c>
      <c r="DV127">
        <v>0</v>
      </c>
      <c r="DW127">
        <v>1876.79</v>
      </c>
      <c r="DX127">
        <v>-6.0269700000000004</v>
      </c>
      <c r="DY127">
        <v>24.677099999999999</v>
      </c>
      <c r="DZ127">
        <v>30.633500000000002</v>
      </c>
      <c r="EA127">
        <v>7.8391099999999998</v>
      </c>
      <c r="EB127">
        <v>30.0017</v>
      </c>
      <c r="EC127">
        <v>20.625699999999998</v>
      </c>
      <c r="ED127">
        <v>2.8205499999999999</v>
      </c>
      <c r="EE127">
        <v>2.0437799999999999</v>
      </c>
      <c r="EF127">
        <v>23.004899999999999</v>
      </c>
      <c r="EG127">
        <v>17.787700000000001</v>
      </c>
      <c r="EH127">
        <v>1799.97</v>
      </c>
      <c r="EI127">
        <v>0.97799999999999998</v>
      </c>
      <c r="EJ127">
        <v>2.2000499999999999E-2</v>
      </c>
      <c r="EK127">
        <v>0</v>
      </c>
      <c r="EL127">
        <v>801.71400000000006</v>
      </c>
      <c r="EM127">
        <v>4.9999900000000004</v>
      </c>
      <c r="EN127">
        <v>22153.1</v>
      </c>
      <c r="EO127">
        <v>15863.5</v>
      </c>
      <c r="EP127">
        <v>48.561999999999998</v>
      </c>
      <c r="EQ127">
        <v>49.436999999999998</v>
      </c>
      <c r="ER127">
        <v>49.061999999999998</v>
      </c>
      <c r="ES127">
        <v>48.875</v>
      </c>
      <c r="ET127">
        <v>50.25</v>
      </c>
      <c r="EU127">
        <v>1755.48</v>
      </c>
      <c r="EV127">
        <v>39.49</v>
      </c>
      <c r="EW127">
        <v>0</v>
      </c>
      <c r="EX127">
        <v>97.800000190734863</v>
      </c>
      <c r="EY127">
        <v>0</v>
      </c>
      <c r="EZ127">
        <v>801.90056000000016</v>
      </c>
      <c r="FA127">
        <v>-1.293076913198042</v>
      </c>
      <c r="FB127">
        <v>-324.64615213060767</v>
      </c>
      <c r="FC127">
        <v>22155.52</v>
      </c>
      <c r="FD127">
        <v>15</v>
      </c>
      <c r="FE127">
        <v>1689020853.5</v>
      </c>
      <c r="FF127" t="s">
        <v>984</v>
      </c>
      <c r="FG127">
        <v>1689020843.5</v>
      </c>
      <c r="FH127">
        <v>1689020853.5</v>
      </c>
      <c r="FI127">
        <v>123</v>
      </c>
      <c r="FJ127">
        <v>9.4E-2</v>
      </c>
      <c r="FK127">
        <v>4.0000000000000001E-3</v>
      </c>
      <c r="FL127">
        <v>-4.5999999999999999E-2</v>
      </c>
      <c r="FM127">
        <v>0.10100000000000001</v>
      </c>
      <c r="FN127">
        <v>30</v>
      </c>
      <c r="FO127">
        <v>21</v>
      </c>
      <c r="FP127">
        <v>0.17</v>
      </c>
      <c r="FQ127">
        <v>0.01</v>
      </c>
      <c r="FR127">
        <v>4.8098926630014454</v>
      </c>
      <c r="FS127">
        <v>0.31595429414715331</v>
      </c>
      <c r="FT127">
        <v>3.0331470728585191E-2</v>
      </c>
      <c r="FU127">
        <v>1</v>
      </c>
      <c r="FV127">
        <v>0.48688263566824902</v>
      </c>
      <c r="FW127">
        <v>4.2352126856571908E-2</v>
      </c>
      <c r="FX127">
        <v>3.2610800466856531E-3</v>
      </c>
      <c r="FY127">
        <v>1</v>
      </c>
      <c r="FZ127">
        <v>2</v>
      </c>
      <c r="GA127">
        <v>2</v>
      </c>
      <c r="GB127" t="s">
        <v>423</v>
      </c>
      <c r="GC127">
        <v>2.95831</v>
      </c>
      <c r="GD127">
        <v>2.74335</v>
      </c>
      <c r="GE127">
        <v>6.6766999999999998E-3</v>
      </c>
      <c r="GF127">
        <v>8.2723099999999997E-3</v>
      </c>
      <c r="GG127">
        <v>0.130082</v>
      </c>
      <c r="GH127">
        <v>0.10334400000000001</v>
      </c>
      <c r="GI127">
        <v>23340.7</v>
      </c>
      <c r="GJ127">
        <v>21728</v>
      </c>
      <c r="GK127">
        <v>23430.9</v>
      </c>
      <c r="GL127">
        <v>21959</v>
      </c>
      <c r="GM127">
        <v>28745.5</v>
      </c>
      <c r="GN127">
        <v>27469.9</v>
      </c>
      <c r="GO127">
        <v>36979</v>
      </c>
      <c r="GP127">
        <v>34167</v>
      </c>
      <c r="GQ127">
        <v>1.9774499999999999</v>
      </c>
      <c r="GR127">
        <v>1.80193</v>
      </c>
      <c r="GS127">
        <v>-7.6331200000000002E-3</v>
      </c>
      <c r="GT127">
        <v>0</v>
      </c>
      <c r="GU127">
        <v>30.086500000000001</v>
      </c>
      <c r="GV127">
        <v>999.9</v>
      </c>
      <c r="GW127">
        <v>25.5</v>
      </c>
      <c r="GX127">
        <v>47.4</v>
      </c>
      <c r="GY127">
        <v>28.046800000000001</v>
      </c>
      <c r="GZ127">
        <v>59.938099999999999</v>
      </c>
      <c r="HA127">
        <v>39.539299999999997</v>
      </c>
      <c r="HB127">
        <v>1</v>
      </c>
      <c r="HC127">
        <v>0.50256100000000004</v>
      </c>
      <c r="HD127">
        <v>2.7835200000000002</v>
      </c>
      <c r="HE127">
        <v>20.089300000000001</v>
      </c>
      <c r="HF127">
        <v>5.2619199999999999</v>
      </c>
      <c r="HG127">
        <v>11.962300000000001</v>
      </c>
      <c r="HH127">
        <v>4.9797000000000002</v>
      </c>
      <c r="HI127">
        <v>3.298</v>
      </c>
      <c r="HJ127">
        <v>9999</v>
      </c>
      <c r="HK127">
        <v>9999</v>
      </c>
      <c r="HL127">
        <v>9999</v>
      </c>
      <c r="HM127">
        <v>999.9</v>
      </c>
      <c r="HN127">
        <v>1.8641700000000001</v>
      </c>
      <c r="HO127">
        <v>1.8602000000000001</v>
      </c>
      <c r="HP127">
        <v>1.86676</v>
      </c>
      <c r="HQ127">
        <v>1.8634900000000001</v>
      </c>
      <c r="HR127">
        <v>1.86216</v>
      </c>
      <c r="HS127">
        <v>1.8621799999999999</v>
      </c>
      <c r="HT127">
        <v>1.8633999999999999</v>
      </c>
      <c r="HU127">
        <v>1.8646799999999999</v>
      </c>
      <c r="HV127">
        <v>0</v>
      </c>
      <c r="HW127">
        <v>0</v>
      </c>
      <c r="HX127">
        <v>0</v>
      </c>
      <c r="HY127">
        <v>0</v>
      </c>
      <c r="HZ127" t="s">
        <v>424</v>
      </c>
      <c r="IA127" t="s">
        <v>425</v>
      </c>
      <c r="IB127" t="s">
        <v>426</v>
      </c>
      <c r="IC127" t="s">
        <v>426</v>
      </c>
      <c r="ID127" t="s">
        <v>426</v>
      </c>
      <c r="IE127" t="s">
        <v>426</v>
      </c>
      <c r="IF127">
        <v>0</v>
      </c>
      <c r="IG127">
        <v>100</v>
      </c>
      <c r="IH127">
        <v>100</v>
      </c>
      <c r="II127">
        <v>-4.5999999999999999E-2</v>
      </c>
      <c r="IJ127">
        <v>0.10100000000000001</v>
      </c>
      <c r="IK127">
        <v>-0.13702227651101359</v>
      </c>
      <c r="IL127">
        <v>-8.3322953065825546E-5</v>
      </c>
      <c r="IM127">
        <v>2.3872336679552741E-7</v>
      </c>
      <c r="IN127">
        <v>-5.428329794194132E-11</v>
      </c>
      <c r="IO127">
        <v>0.122014999999994</v>
      </c>
      <c r="IP127">
        <v>0</v>
      </c>
      <c r="IQ127">
        <v>0</v>
      </c>
      <c r="IR127">
        <v>0</v>
      </c>
      <c r="IS127">
        <v>2</v>
      </c>
      <c r="IT127">
        <v>2035</v>
      </c>
      <c r="IU127">
        <v>1</v>
      </c>
      <c r="IV127">
        <v>21</v>
      </c>
      <c r="IW127">
        <v>2.6</v>
      </c>
      <c r="IX127">
        <v>2.2999999999999998</v>
      </c>
      <c r="IY127">
        <v>0.21606400000000001</v>
      </c>
      <c r="IZ127">
        <v>2.7587899999999999</v>
      </c>
      <c r="JA127">
        <v>1.4514199999999999</v>
      </c>
      <c r="JB127">
        <v>2.2729499999999998</v>
      </c>
      <c r="JC127">
        <v>1.5942400000000001</v>
      </c>
      <c r="JD127">
        <v>2.4304199999999998</v>
      </c>
      <c r="JE127">
        <v>48.5779</v>
      </c>
      <c r="JF127">
        <v>24.2714</v>
      </c>
      <c r="JG127">
        <v>18</v>
      </c>
      <c r="JH127">
        <v>499.26400000000001</v>
      </c>
      <c r="JI127">
        <v>420.76400000000001</v>
      </c>
      <c r="JJ127">
        <v>27.042000000000002</v>
      </c>
      <c r="JK127">
        <v>33.468600000000002</v>
      </c>
      <c r="JL127">
        <v>30.001200000000001</v>
      </c>
      <c r="JM127">
        <v>33.593499999999999</v>
      </c>
      <c r="JN127">
        <v>33.6295</v>
      </c>
      <c r="JO127">
        <v>4.2925500000000003</v>
      </c>
      <c r="JP127">
        <v>28.087399999999999</v>
      </c>
      <c r="JQ127">
        <v>0</v>
      </c>
      <c r="JR127">
        <v>27.0381</v>
      </c>
      <c r="JS127">
        <v>30</v>
      </c>
      <c r="JT127">
        <v>20.471699999999998</v>
      </c>
      <c r="JU127">
        <v>99.105400000000003</v>
      </c>
      <c r="JV127">
        <v>98.557299999999998</v>
      </c>
    </row>
    <row r="128" spans="1:282" x14ac:dyDescent="0.25">
      <c r="A128">
        <v>112</v>
      </c>
      <c r="B128">
        <v>1689020998.5</v>
      </c>
      <c r="C128">
        <v>21657.900000095371</v>
      </c>
      <c r="D128" t="s">
        <v>985</v>
      </c>
      <c r="E128" t="s">
        <v>986</v>
      </c>
      <c r="F128" t="s">
        <v>414</v>
      </c>
      <c r="G128" t="s">
        <v>415</v>
      </c>
      <c r="H128" t="s">
        <v>500</v>
      </c>
      <c r="I128" t="s">
        <v>417</v>
      </c>
      <c r="J128" t="s">
        <v>500</v>
      </c>
      <c r="K128">
        <v>1689020998.5</v>
      </c>
      <c r="L128">
        <f t="shared" si="138"/>
        <v>7.1702716237501988E-3</v>
      </c>
      <c r="M128">
        <f t="shared" si="139"/>
        <v>7.1702716237501987</v>
      </c>
      <c r="N128">
        <f t="shared" si="140"/>
        <v>1.5761796346778305</v>
      </c>
      <c r="O128">
        <f t="shared" si="141"/>
        <v>7.8593599999999997</v>
      </c>
      <c r="P128">
        <f t="shared" si="142"/>
        <v>2.4072817119123773</v>
      </c>
      <c r="Q128">
        <f t="shared" si="143"/>
        <v>0.23876925292001414</v>
      </c>
      <c r="R128">
        <f t="shared" si="144"/>
        <v>0.77954046937807997</v>
      </c>
      <c r="S128">
        <f t="shared" si="145"/>
        <v>0.51280305414254723</v>
      </c>
      <c r="T128">
        <f t="shared" si="146"/>
        <v>2.9088691676533056</v>
      </c>
      <c r="U128">
        <f t="shared" si="147"/>
        <v>0.4673627732505638</v>
      </c>
      <c r="V128">
        <f t="shared" si="148"/>
        <v>0.2958480884383396</v>
      </c>
      <c r="W128">
        <f t="shared" si="149"/>
        <v>289.57604701270219</v>
      </c>
      <c r="X128">
        <f t="shared" si="150"/>
        <v>30.003049479172258</v>
      </c>
      <c r="Y128">
        <f t="shared" si="151"/>
        <v>30.015899999999998</v>
      </c>
      <c r="Z128">
        <f t="shared" si="152"/>
        <v>4.2643423174580617</v>
      </c>
      <c r="AA128">
        <f t="shared" si="153"/>
        <v>65.042352238670517</v>
      </c>
      <c r="AB128">
        <f t="shared" si="154"/>
        <v>2.7967944503421993</v>
      </c>
      <c r="AC128">
        <f t="shared" si="155"/>
        <v>4.2999589560959679</v>
      </c>
      <c r="AD128">
        <f t="shared" si="156"/>
        <v>1.4675478671158624</v>
      </c>
      <c r="AE128">
        <f t="shared" si="157"/>
        <v>-316.20897860738376</v>
      </c>
      <c r="AF128">
        <f t="shared" si="158"/>
        <v>22.723646116689441</v>
      </c>
      <c r="AG128">
        <f t="shared" si="159"/>
        <v>1.7384923812044519</v>
      </c>
      <c r="AH128">
        <f t="shared" si="160"/>
        <v>-2.1707930967876443</v>
      </c>
      <c r="AI128">
        <v>0</v>
      </c>
      <c r="AJ128">
        <v>0</v>
      </c>
      <c r="AK128">
        <f t="shared" si="161"/>
        <v>1</v>
      </c>
      <c r="AL128">
        <f t="shared" si="162"/>
        <v>0</v>
      </c>
      <c r="AM128">
        <f t="shared" si="163"/>
        <v>51716.968244663352</v>
      </c>
      <c r="AN128" t="s">
        <v>418</v>
      </c>
      <c r="AO128">
        <v>8197.4</v>
      </c>
      <c r="AP128">
        <v>619.92999999999995</v>
      </c>
      <c r="AQ128">
        <v>3131.443117258741</v>
      </c>
      <c r="AR128">
        <f t="shared" si="164"/>
        <v>0.80203057287443702</v>
      </c>
      <c r="AS128">
        <v>-1.0448500102641549</v>
      </c>
      <c r="AT128" t="s">
        <v>987</v>
      </c>
      <c r="AU128">
        <v>8209.84</v>
      </c>
      <c r="AV128">
        <v>807.74448000000007</v>
      </c>
      <c r="AW128">
        <v>866.21435709927925</v>
      </c>
      <c r="AX128">
        <f t="shared" si="165"/>
        <v>6.7500471009369067E-2</v>
      </c>
      <c r="AY128">
        <v>0.5</v>
      </c>
      <c r="AZ128">
        <f t="shared" si="166"/>
        <v>1513.2351000065814</v>
      </c>
      <c r="BA128">
        <f t="shared" si="167"/>
        <v>1.5761796346778305</v>
      </c>
      <c r="BB128">
        <f t="shared" si="168"/>
        <v>51.072040999176977</v>
      </c>
      <c r="BC128">
        <f t="shared" si="169"/>
        <v>1.7320703471196152E-3</v>
      </c>
      <c r="BD128">
        <f t="shared" si="170"/>
        <v>2.6150902967541527</v>
      </c>
      <c r="BE128">
        <f t="shared" si="171"/>
        <v>408.46462523623126</v>
      </c>
      <c r="BF128" t="s">
        <v>988</v>
      </c>
      <c r="BG128">
        <v>676.28</v>
      </c>
      <c r="BH128">
        <f t="shared" si="172"/>
        <v>676.28</v>
      </c>
      <c r="BI128">
        <f t="shared" si="173"/>
        <v>0.21926946320229412</v>
      </c>
      <c r="BJ128">
        <f t="shared" si="174"/>
        <v>0.30784255145959083</v>
      </c>
      <c r="BK128">
        <f t="shared" si="175"/>
        <v>0.92263880319636493</v>
      </c>
      <c r="BL128">
        <f t="shared" si="176"/>
        <v>0.23740800182331306</v>
      </c>
      <c r="BM128">
        <f t="shared" si="177"/>
        <v>0.90193785753821054</v>
      </c>
      <c r="BN128">
        <f t="shared" si="178"/>
        <v>0.25773962664664951</v>
      </c>
      <c r="BO128">
        <f t="shared" si="179"/>
        <v>0.74226037335335049</v>
      </c>
      <c r="BP128">
        <v>13792</v>
      </c>
      <c r="BQ128">
        <v>290.00000000000011</v>
      </c>
      <c r="BR128">
        <v>845.35</v>
      </c>
      <c r="BS128">
        <v>175</v>
      </c>
      <c r="BT128">
        <v>8209.84</v>
      </c>
      <c r="BU128">
        <v>843.97</v>
      </c>
      <c r="BV128">
        <v>1.38</v>
      </c>
      <c r="BW128">
        <v>300.00000000000011</v>
      </c>
      <c r="BX128">
        <v>19.3</v>
      </c>
      <c r="BY128">
        <v>866.21435709927925</v>
      </c>
      <c r="BZ128">
        <v>2.4645942791495861</v>
      </c>
      <c r="CA128">
        <v>-18.25823446756533</v>
      </c>
      <c r="CB128">
        <v>1.856105717015115</v>
      </c>
      <c r="CC128">
        <v>0.77557561867853464</v>
      </c>
      <c r="CD128">
        <v>-4.2467343715239117E-3</v>
      </c>
      <c r="CE128">
        <v>289.99999999999989</v>
      </c>
      <c r="CF128">
        <v>842.19</v>
      </c>
      <c r="CG128">
        <v>665</v>
      </c>
      <c r="CH128">
        <v>8189.74</v>
      </c>
      <c r="CI128">
        <v>843.92</v>
      </c>
      <c r="CJ128">
        <v>-1.73</v>
      </c>
      <c r="CX128">
        <f t="shared" si="180"/>
        <v>1800.06</v>
      </c>
      <c r="CY128">
        <f t="shared" si="181"/>
        <v>1513.2351000065814</v>
      </c>
      <c r="CZ128">
        <f t="shared" si="182"/>
        <v>0.84065814473216527</v>
      </c>
      <c r="DA128">
        <f t="shared" si="183"/>
        <v>0.16087021933307902</v>
      </c>
      <c r="DB128">
        <v>6</v>
      </c>
      <c r="DC128">
        <v>0.5</v>
      </c>
      <c r="DD128" t="s">
        <v>421</v>
      </c>
      <c r="DE128">
        <v>2</v>
      </c>
      <c r="DF128">
        <v>1689020998.5</v>
      </c>
      <c r="DG128">
        <v>7.8593599999999997</v>
      </c>
      <c r="DH128">
        <v>9.8179300000000005</v>
      </c>
      <c r="DI128">
        <v>28.197399999999998</v>
      </c>
      <c r="DJ128">
        <v>19.837700000000002</v>
      </c>
      <c r="DK128">
        <v>7.9679099999999998</v>
      </c>
      <c r="DL128">
        <v>28.070900000000002</v>
      </c>
      <c r="DM128">
        <v>500.12</v>
      </c>
      <c r="DN128">
        <v>99.085899999999995</v>
      </c>
      <c r="DO128">
        <v>0.100353</v>
      </c>
      <c r="DP128">
        <v>30.160799999999998</v>
      </c>
      <c r="DQ128">
        <v>30.015899999999998</v>
      </c>
      <c r="DR128">
        <v>999.9</v>
      </c>
      <c r="DS128">
        <v>0</v>
      </c>
      <c r="DT128">
        <v>0</v>
      </c>
      <c r="DU128">
        <v>9973.75</v>
      </c>
      <c r="DV128">
        <v>0</v>
      </c>
      <c r="DW128">
        <v>1819.91</v>
      </c>
      <c r="DX128">
        <v>-1.9585600000000001</v>
      </c>
      <c r="DY128">
        <v>8.0874100000000002</v>
      </c>
      <c r="DZ128">
        <v>10.0166</v>
      </c>
      <c r="EA128">
        <v>8.3596699999999995</v>
      </c>
      <c r="EB128">
        <v>9.8179300000000005</v>
      </c>
      <c r="EC128">
        <v>19.837700000000002</v>
      </c>
      <c r="ED128">
        <v>2.7939600000000002</v>
      </c>
      <c r="EE128">
        <v>1.9656400000000001</v>
      </c>
      <c r="EF128">
        <v>22.848500000000001</v>
      </c>
      <c r="EG128">
        <v>17.170200000000001</v>
      </c>
      <c r="EH128">
        <v>1800.06</v>
      </c>
      <c r="EI128">
        <v>0.97800299999999996</v>
      </c>
      <c r="EJ128">
        <v>2.1997300000000001E-2</v>
      </c>
      <c r="EK128">
        <v>0</v>
      </c>
      <c r="EL128">
        <v>807.76900000000001</v>
      </c>
      <c r="EM128">
        <v>4.9999900000000004</v>
      </c>
      <c r="EN128">
        <v>22156.6</v>
      </c>
      <c r="EO128">
        <v>15864.4</v>
      </c>
      <c r="EP128">
        <v>48.875</v>
      </c>
      <c r="EQ128">
        <v>49.936999999999998</v>
      </c>
      <c r="ER128">
        <v>49.375</v>
      </c>
      <c r="ES128">
        <v>49.311999999999998</v>
      </c>
      <c r="ET128">
        <v>50.5</v>
      </c>
      <c r="EU128">
        <v>1755.57</v>
      </c>
      <c r="EV128">
        <v>39.49</v>
      </c>
      <c r="EW128">
        <v>0</v>
      </c>
      <c r="EX128">
        <v>180</v>
      </c>
      <c r="EY128">
        <v>0</v>
      </c>
      <c r="EZ128">
        <v>807.74448000000007</v>
      </c>
      <c r="FA128">
        <v>-0.85730768500017152</v>
      </c>
      <c r="FB128">
        <v>6.4538480851780538</v>
      </c>
      <c r="FC128">
        <v>22190.02</v>
      </c>
      <c r="FD128">
        <v>15</v>
      </c>
      <c r="FE128">
        <v>1689020951.5</v>
      </c>
      <c r="FF128" t="s">
        <v>989</v>
      </c>
      <c r="FG128">
        <v>1689020935.5</v>
      </c>
      <c r="FH128">
        <v>1689020951.5</v>
      </c>
      <c r="FI128">
        <v>124</v>
      </c>
      <c r="FJ128">
        <v>-6.5000000000000002E-2</v>
      </c>
      <c r="FK128">
        <v>0</v>
      </c>
      <c r="FL128">
        <v>-0.109</v>
      </c>
      <c r="FM128">
        <v>8.7999999999999995E-2</v>
      </c>
      <c r="FN128">
        <v>10</v>
      </c>
      <c r="FO128">
        <v>20</v>
      </c>
      <c r="FP128">
        <v>0.34</v>
      </c>
      <c r="FQ128">
        <v>0.01</v>
      </c>
      <c r="FR128">
        <v>1.5760455235884341</v>
      </c>
      <c r="FS128">
        <v>-0.59411761991115453</v>
      </c>
      <c r="FT128">
        <v>6.5006690783050353E-2</v>
      </c>
      <c r="FU128">
        <v>1</v>
      </c>
      <c r="FV128">
        <v>0.51944530032950575</v>
      </c>
      <c r="FW128">
        <v>-4.2309644762964053E-2</v>
      </c>
      <c r="FX128">
        <v>3.224529241565831E-3</v>
      </c>
      <c r="FY128">
        <v>1</v>
      </c>
      <c r="FZ128">
        <v>2</v>
      </c>
      <c r="GA128">
        <v>2</v>
      </c>
      <c r="GB128" t="s">
        <v>423</v>
      </c>
      <c r="GC128">
        <v>2.9581200000000001</v>
      </c>
      <c r="GD128">
        <v>2.74335</v>
      </c>
      <c r="GE128">
        <v>2.2180400000000001E-3</v>
      </c>
      <c r="GF128">
        <v>2.7256200000000002E-3</v>
      </c>
      <c r="GG128">
        <v>0.12917100000000001</v>
      </c>
      <c r="GH128">
        <v>0.100518</v>
      </c>
      <c r="GI128">
        <v>23429.3</v>
      </c>
      <c r="GJ128">
        <v>21832.7</v>
      </c>
      <c r="GK128">
        <v>23415.9</v>
      </c>
      <c r="GL128">
        <v>21943.3</v>
      </c>
      <c r="GM128">
        <v>28758.1</v>
      </c>
      <c r="GN128">
        <v>27538.799999999999</v>
      </c>
      <c r="GO128">
        <v>36954.400000000001</v>
      </c>
      <c r="GP128">
        <v>34144.1</v>
      </c>
      <c r="GQ128">
        <v>1.97637</v>
      </c>
      <c r="GR128">
        <v>1.7972999999999999</v>
      </c>
      <c r="GS128">
        <v>-1.4253E-2</v>
      </c>
      <c r="GT128">
        <v>0</v>
      </c>
      <c r="GU128">
        <v>30.247800000000002</v>
      </c>
      <c r="GV128">
        <v>999.9</v>
      </c>
      <c r="GW128">
        <v>25.8</v>
      </c>
      <c r="GX128">
        <v>47.3</v>
      </c>
      <c r="GY128">
        <v>28.228200000000001</v>
      </c>
      <c r="GZ128">
        <v>60.308199999999999</v>
      </c>
      <c r="HA128">
        <v>39.847799999999999</v>
      </c>
      <c r="HB128">
        <v>1</v>
      </c>
      <c r="HC128">
        <v>0.52982499999999999</v>
      </c>
      <c r="HD128">
        <v>2.8215699999999999</v>
      </c>
      <c r="HE128">
        <v>20.088000000000001</v>
      </c>
      <c r="HF128">
        <v>5.26356</v>
      </c>
      <c r="HG128">
        <v>11.962199999999999</v>
      </c>
      <c r="HH128">
        <v>4.9797000000000002</v>
      </c>
      <c r="HI128">
        <v>3.298</v>
      </c>
      <c r="HJ128">
        <v>9999</v>
      </c>
      <c r="HK128">
        <v>9999</v>
      </c>
      <c r="HL128">
        <v>9999</v>
      </c>
      <c r="HM128">
        <v>999.9</v>
      </c>
      <c r="HN128">
        <v>1.8642300000000001</v>
      </c>
      <c r="HO128">
        <v>1.8602000000000001</v>
      </c>
      <c r="HP128">
        <v>1.8667800000000001</v>
      </c>
      <c r="HQ128">
        <v>1.86351</v>
      </c>
      <c r="HR128">
        <v>1.8621700000000001</v>
      </c>
      <c r="HS128">
        <v>1.8621700000000001</v>
      </c>
      <c r="HT128">
        <v>1.8634200000000001</v>
      </c>
      <c r="HU128">
        <v>1.8646799999999999</v>
      </c>
      <c r="HV128">
        <v>0</v>
      </c>
      <c r="HW128">
        <v>0</v>
      </c>
      <c r="HX128">
        <v>0</v>
      </c>
      <c r="HY128">
        <v>0</v>
      </c>
      <c r="HZ128" t="s">
        <v>424</v>
      </c>
      <c r="IA128" t="s">
        <v>425</v>
      </c>
      <c r="IB128" t="s">
        <v>426</v>
      </c>
      <c r="IC128" t="s">
        <v>426</v>
      </c>
      <c r="ID128" t="s">
        <v>426</v>
      </c>
      <c r="IE128" t="s">
        <v>426</v>
      </c>
      <c r="IF128">
        <v>0</v>
      </c>
      <c r="IG128">
        <v>100</v>
      </c>
      <c r="IH128">
        <v>100</v>
      </c>
      <c r="II128">
        <v>-0.109</v>
      </c>
      <c r="IJ128">
        <v>0.1265</v>
      </c>
      <c r="IK128">
        <v>-0.10789288163741539</v>
      </c>
      <c r="IL128">
        <v>-8.3322953065825546E-5</v>
      </c>
      <c r="IM128">
        <v>2.3872336679552741E-7</v>
      </c>
      <c r="IN128">
        <v>-5.428329794194132E-11</v>
      </c>
      <c r="IO128">
        <v>0.12642980301967549</v>
      </c>
      <c r="IP128">
        <v>0</v>
      </c>
      <c r="IQ128">
        <v>0</v>
      </c>
      <c r="IR128">
        <v>0</v>
      </c>
      <c r="IS128">
        <v>2</v>
      </c>
      <c r="IT128">
        <v>2035</v>
      </c>
      <c r="IU128">
        <v>1</v>
      </c>
      <c r="IV128">
        <v>21</v>
      </c>
      <c r="IW128">
        <v>1.1000000000000001</v>
      </c>
      <c r="IX128">
        <v>0.8</v>
      </c>
      <c r="IY128">
        <v>0.168457</v>
      </c>
      <c r="IZ128">
        <v>2.7831999999999999</v>
      </c>
      <c r="JA128">
        <v>1.4514199999999999</v>
      </c>
      <c r="JB128">
        <v>2.2729499999999998</v>
      </c>
      <c r="JC128">
        <v>1.5942400000000001</v>
      </c>
      <c r="JD128">
        <v>2.35229</v>
      </c>
      <c r="JE128">
        <v>48.546999999999997</v>
      </c>
      <c r="JF128">
        <v>24.262599999999999</v>
      </c>
      <c r="JG128">
        <v>18</v>
      </c>
      <c r="JH128">
        <v>499.83800000000002</v>
      </c>
      <c r="JI128">
        <v>418.69600000000003</v>
      </c>
      <c r="JJ128">
        <v>27.163900000000002</v>
      </c>
      <c r="JK128">
        <v>33.709800000000001</v>
      </c>
      <c r="JL128">
        <v>30.000699999999998</v>
      </c>
      <c r="JM128">
        <v>33.745600000000003</v>
      </c>
      <c r="JN128">
        <v>33.765599999999999</v>
      </c>
      <c r="JO128">
        <v>3.3417599999999998</v>
      </c>
      <c r="JP128">
        <v>32.539499999999997</v>
      </c>
      <c r="JQ128">
        <v>0</v>
      </c>
      <c r="JR128">
        <v>27.161799999999999</v>
      </c>
      <c r="JS128">
        <v>10</v>
      </c>
      <c r="JT128">
        <v>19.7485</v>
      </c>
      <c r="JU128">
        <v>99.040400000000005</v>
      </c>
      <c r="JV128">
        <v>98.489500000000007</v>
      </c>
    </row>
    <row r="129" spans="1:282" x14ac:dyDescent="0.25">
      <c r="A129">
        <v>113</v>
      </c>
      <c r="B129">
        <v>1689021188</v>
      </c>
      <c r="C129">
        <v>21847.400000095371</v>
      </c>
      <c r="D129" t="s">
        <v>990</v>
      </c>
      <c r="E129" t="s">
        <v>991</v>
      </c>
      <c r="F129" t="s">
        <v>414</v>
      </c>
      <c r="G129" t="s">
        <v>415</v>
      </c>
      <c r="H129" t="s">
        <v>500</v>
      </c>
      <c r="I129" t="s">
        <v>417</v>
      </c>
      <c r="J129" t="s">
        <v>500</v>
      </c>
      <c r="K129">
        <v>1689021188</v>
      </c>
      <c r="L129">
        <f t="shared" si="138"/>
        <v>6.6015517338950773E-3</v>
      </c>
      <c r="M129">
        <f t="shared" si="139"/>
        <v>6.6015517338950769</v>
      </c>
      <c r="N129">
        <f t="shared" si="140"/>
        <v>49.696351357911574</v>
      </c>
      <c r="O129">
        <f t="shared" si="141"/>
        <v>337.73</v>
      </c>
      <c r="P129">
        <f t="shared" si="142"/>
        <v>148.53160440853753</v>
      </c>
      <c r="Q129">
        <f t="shared" si="143"/>
        <v>14.732559016401405</v>
      </c>
      <c r="R129">
        <f t="shared" si="144"/>
        <v>33.498777424660005</v>
      </c>
      <c r="S129">
        <f t="shared" si="145"/>
        <v>0.46672464097938637</v>
      </c>
      <c r="T129">
        <f t="shared" si="146"/>
        <v>2.9124027782047963</v>
      </c>
      <c r="U129">
        <f t="shared" si="147"/>
        <v>0.42880217523014569</v>
      </c>
      <c r="V129">
        <f t="shared" si="148"/>
        <v>0.27115130530779952</v>
      </c>
      <c r="W129">
        <f t="shared" si="149"/>
        <v>289.53556801270071</v>
      </c>
      <c r="X129">
        <f t="shared" si="150"/>
        <v>30.243876497387802</v>
      </c>
      <c r="Y129">
        <f t="shared" si="151"/>
        <v>30.006699999999999</v>
      </c>
      <c r="Z129">
        <f t="shared" si="152"/>
        <v>4.2620896495804983</v>
      </c>
      <c r="AA129">
        <f t="shared" si="153"/>
        <v>64.525687373387981</v>
      </c>
      <c r="AB129">
        <f t="shared" si="154"/>
        <v>2.7893363607113999</v>
      </c>
      <c r="AC129">
        <f t="shared" si="155"/>
        <v>4.3228309131686871</v>
      </c>
      <c r="AD129">
        <f t="shared" si="156"/>
        <v>1.4727532888690984</v>
      </c>
      <c r="AE129">
        <f t="shared" si="157"/>
        <v>-291.12843146477292</v>
      </c>
      <c r="AF129">
        <f t="shared" si="158"/>
        <v>38.719518885477214</v>
      </c>
      <c r="AG129">
        <f t="shared" si="159"/>
        <v>2.9598966952732275</v>
      </c>
      <c r="AH129">
        <f t="shared" si="160"/>
        <v>40.08655212867825</v>
      </c>
      <c r="AI129">
        <v>0</v>
      </c>
      <c r="AJ129">
        <v>0</v>
      </c>
      <c r="AK129">
        <f t="shared" si="161"/>
        <v>1</v>
      </c>
      <c r="AL129">
        <f t="shared" si="162"/>
        <v>0</v>
      </c>
      <c r="AM129">
        <f t="shared" si="163"/>
        <v>51801.607917897069</v>
      </c>
      <c r="AN129" t="s">
        <v>418</v>
      </c>
      <c r="AO129">
        <v>8197.4</v>
      </c>
      <c r="AP129">
        <v>619.92999999999995</v>
      </c>
      <c r="AQ129">
        <v>3131.443117258741</v>
      </c>
      <c r="AR129">
        <f t="shared" si="164"/>
        <v>0.80203057287443702</v>
      </c>
      <c r="AS129">
        <v>-1.0448500102641549</v>
      </c>
      <c r="AT129" t="s">
        <v>992</v>
      </c>
      <c r="AU129">
        <v>8200.73</v>
      </c>
      <c r="AV129">
        <v>771.1634230769231</v>
      </c>
      <c r="AW129">
        <v>1168.9657107419021</v>
      </c>
      <c r="AX129">
        <f t="shared" si="165"/>
        <v>0.34030278562448824</v>
      </c>
      <c r="AY129">
        <v>0.5</v>
      </c>
      <c r="AZ129">
        <f t="shared" si="166"/>
        <v>1513.0248000065806</v>
      </c>
      <c r="BA129">
        <f t="shared" si="167"/>
        <v>49.696351357911574</v>
      </c>
      <c r="BB129">
        <f t="shared" si="168"/>
        <v>257.44327708058677</v>
      </c>
      <c r="BC129">
        <f t="shared" si="169"/>
        <v>3.3536265478236078E-2</v>
      </c>
      <c r="BD129">
        <f t="shared" si="170"/>
        <v>1.6788152026044652</v>
      </c>
      <c r="BE129">
        <f t="shared" si="171"/>
        <v>465.28922565467627</v>
      </c>
      <c r="BF129" t="s">
        <v>993</v>
      </c>
      <c r="BG129">
        <v>612.83000000000004</v>
      </c>
      <c r="BH129">
        <f t="shared" si="172"/>
        <v>612.83000000000004</v>
      </c>
      <c r="BI129">
        <f t="shared" si="173"/>
        <v>0.47575023427243379</v>
      </c>
      <c r="BJ129">
        <f t="shared" si="174"/>
        <v>0.71529714776686171</v>
      </c>
      <c r="BK129">
        <f t="shared" si="175"/>
        <v>0.77918970288410139</v>
      </c>
      <c r="BL129">
        <f t="shared" si="176"/>
        <v>0.72454720136042861</v>
      </c>
      <c r="BM129">
        <f t="shared" si="177"/>
        <v>0.78139245741182428</v>
      </c>
      <c r="BN129">
        <f t="shared" si="178"/>
        <v>0.56843405424616489</v>
      </c>
      <c r="BO129">
        <f t="shared" si="179"/>
        <v>0.43156594575383511</v>
      </c>
      <c r="BP129">
        <v>13794</v>
      </c>
      <c r="BQ129">
        <v>290.00000000000011</v>
      </c>
      <c r="BR129">
        <v>1021.81</v>
      </c>
      <c r="BS129">
        <v>285</v>
      </c>
      <c r="BT129">
        <v>8200.73</v>
      </c>
      <c r="BU129">
        <v>1024.08</v>
      </c>
      <c r="BV129">
        <v>-2.27</v>
      </c>
      <c r="BW129">
        <v>300.00000000000011</v>
      </c>
      <c r="BX129">
        <v>19.3</v>
      </c>
      <c r="BY129">
        <v>1168.9657107419021</v>
      </c>
      <c r="BZ129">
        <v>5.0493400673888829</v>
      </c>
      <c r="CA129">
        <v>-118.8149196199513</v>
      </c>
      <c r="CB129">
        <v>3.80263393598208</v>
      </c>
      <c r="CC129">
        <v>0.97211923723541727</v>
      </c>
      <c r="CD129">
        <v>-4.2473993325917621E-3</v>
      </c>
      <c r="CE129">
        <v>289.99999999999989</v>
      </c>
      <c r="CF129">
        <v>1011.6</v>
      </c>
      <c r="CG129">
        <v>635</v>
      </c>
      <c r="CH129">
        <v>8190.58</v>
      </c>
      <c r="CI129">
        <v>1023.9</v>
      </c>
      <c r="CJ129">
        <v>-12.3</v>
      </c>
      <c r="CX129">
        <f t="shared" si="180"/>
        <v>1799.81</v>
      </c>
      <c r="CY129">
        <f t="shared" si="181"/>
        <v>1513.0248000065806</v>
      </c>
      <c r="CZ129">
        <f t="shared" si="182"/>
        <v>0.84065806946654409</v>
      </c>
      <c r="DA129">
        <f t="shared" si="183"/>
        <v>0.16087007407043005</v>
      </c>
      <c r="DB129">
        <v>6</v>
      </c>
      <c r="DC129">
        <v>0.5</v>
      </c>
      <c r="DD129" t="s">
        <v>421</v>
      </c>
      <c r="DE129">
        <v>2</v>
      </c>
      <c r="DF129">
        <v>1689021188</v>
      </c>
      <c r="DG129">
        <v>337.73</v>
      </c>
      <c r="DH129">
        <v>400.02499999999998</v>
      </c>
      <c r="DI129">
        <v>28.121700000000001</v>
      </c>
      <c r="DJ129">
        <v>20.424600000000002</v>
      </c>
      <c r="DK129">
        <v>337.791</v>
      </c>
      <c r="DL129">
        <v>27.991900000000001</v>
      </c>
      <c r="DM129">
        <v>500.12900000000002</v>
      </c>
      <c r="DN129">
        <v>99.087699999999998</v>
      </c>
      <c r="DO129">
        <v>0.100342</v>
      </c>
      <c r="DP129">
        <v>30.253299999999999</v>
      </c>
      <c r="DQ129">
        <v>30.006699999999999</v>
      </c>
      <c r="DR129">
        <v>999.9</v>
      </c>
      <c r="DS129">
        <v>0</v>
      </c>
      <c r="DT129">
        <v>0</v>
      </c>
      <c r="DU129">
        <v>9993.75</v>
      </c>
      <c r="DV129">
        <v>0</v>
      </c>
      <c r="DW129">
        <v>1755.4</v>
      </c>
      <c r="DX129">
        <v>-62.295099999999998</v>
      </c>
      <c r="DY129">
        <v>347.50200000000001</v>
      </c>
      <c r="DZ129">
        <v>408.36599999999999</v>
      </c>
      <c r="EA129">
        <v>7.6971499999999997</v>
      </c>
      <c r="EB129">
        <v>400.02499999999998</v>
      </c>
      <c r="EC129">
        <v>20.424600000000002</v>
      </c>
      <c r="ED129">
        <v>2.7865199999999999</v>
      </c>
      <c r="EE129">
        <v>2.0238299999999998</v>
      </c>
      <c r="EF129">
        <v>22.804400000000001</v>
      </c>
      <c r="EG129">
        <v>17.632000000000001</v>
      </c>
      <c r="EH129">
        <v>1799.81</v>
      </c>
      <c r="EI129">
        <v>0.97800299999999996</v>
      </c>
      <c r="EJ129">
        <v>2.1997300000000001E-2</v>
      </c>
      <c r="EK129">
        <v>0</v>
      </c>
      <c r="EL129">
        <v>771.39700000000005</v>
      </c>
      <c r="EM129">
        <v>4.9999900000000004</v>
      </c>
      <c r="EN129">
        <v>21585.5</v>
      </c>
      <c r="EO129">
        <v>15862.1</v>
      </c>
      <c r="EP129">
        <v>49.061999999999998</v>
      </c>
      <c r="EQ129">
        <v>50.125</v>
      </c>
      <c r="ER129">
        <v>49.561999999999998</v>
      </c>
      <c r="ES129">
        <v>49.561999999999998</v>
      </c>
      <c r="ET129">
        <v>50.686999999999998</v>
      </c>
      <c r="EU129">
        <v>1755.33</v>
      </c>
      <c r="EV129">
        <v>39.479999999999997</v>
      </c>
      <c r="EW129">
        <v>0</v>
      </c>
      <c r="EX129">
        <v>187.4000000953674</v>
      </c>
      <c r="EY129">
        <v>0</v>
      </c>
      <c r="EZ129">
        <v>771.1634230769231</v>
      </c>
      <c r="FA129">
        <v>1.2677265029289351</v>
      </c>
      <c r="FB129">
        <v>327.33675075787738</v>
      </c>
      <c r="FC129">
        <v>21577.307692307691</v>
      </c>
      <c r="FD129">
        <v>15</v>
      </c>
      <c r="FE129">
        <v>1689021089</v>
      </c>
      <c r="FF129" t="s">
        <v>994</v>
      </c>
      <c r="FG129">
        <v>1689021076</v>
      </c>
      <c r="FH129">
        <v>1689021089</v>
      </c>
      <c r="FI129">
        <v>125</v>
      </c>
      <c r="FJ129">
        <v>4.9000000000000002E-2</v>
      </c>
      <c r="FK129">
        <v>3.0000000000000001E-3</v>
      </c>
      <c r="FL129">
        <v>-5.7000000000000002E-2</v>
      </c>
      <c r="FM129">
        <v>8.7999999999999995E-2</v>
      </c>
      <c r="FN129">
        <v>400</v>
      </c>
      <c r="FO129">
        <v>20</v>
      </c>
      <c r="FP129">
        <v>0.05</v>
      </c>
      <c r="FQ129">
        <v>0.01</v>
      </c>
      <c r="FR129">
        <v>49.405479347929223</v>
      </c>
      <c r="FS129">
        <v>1.545414711406031</v>
      </c>
      <c r="FT129">
        <v>0.11797172219183701</v>
      </c>
      <c r="FU129">
        <v>0</v>
      </c>
      <c r="FV129">
        <v>0.46884644004913972</v>
      </c>
      <c r="FW129">
        <v>-1.8195741939172679E-2</v>
      </c>
      <c r="FX129">
        <v>1.422231435119304E-3</v>
      </c>
      <c r="FY129">
        <v>1</v>
      </c>
      <c r="FZ129">
        <v>1</v>
      </c>
      <c r="GA129">
        <v>2</v>
      </c>
      <c r="GB129" t="s">
        <v>462</v>
      </c>
      <c r="GC129">
        <v>2.9579</v>
      </c>
      <c r="GD129">
        <v>2.7435200000000002</v>
      </c>
      <c r="GE129">
        <v>7.7725100000000005E-2</v>
      </c>
      <c r="GF129">
        <v>8.8589399999999999E-2</v>
      </c>
      <c r="GG129">
        <v>0.12887000000000001</v>
      </c>
      <c r="GH129">
        <v>0.102562</v>
      </c>
      <c r="GI129">
        <v>21647.3</v>
      </c>
      <c r="GJ129">
        <v>19944</v>
      </c>
      <c r="GK129">
        <v>23404.799999999999</v>
      </c>
      <c r="GL129">
        <v>21932.1</v>
      </c>
      <c r="GM129">
        <v>28760.2</v>
      </c>
      <c r="GN129">
        <v>27468.2</v>
      </c>
      <c r="GO129">
        <v>36936.300000000003</v>
      </c>
      <c r="GP129">
        <v>34128.1</v>
      </c>
      <c r="GQ129">
        <v>1.9742</v>
      </c>
      <c r="GR129">
        <v>1.79697</v>
      </c>
      <c r="GS129">
        <v>-1.41338E-2</v>
      </c>
      <c r="GT129">
        <v>0</v>
      </c>
      <c r="GU129">
        <v>30.236699999999999</v>
      </c>
      <c r="GV129">
        <v>999.9</v>
      </c>
      <c r="GW129">
        <v>26.1</v>
      </c>
      <c r="GX129">
        <v>47.3</v>
      </c>
      <c r="GY129">
        <v>28.558499999999999</v>
      </c>
      <c r="GZ129">
        <v>60.508200000000002</v>
      </c>
      <c r="HA129">
        <v>39.491199999999999</v>
      </c>
      <c r="HB129">
        <v>1</v>
      </c>
      <c r="HC129">
        <v>0.55040900000000004</v>
      </c>
      <c r="HD129">
        <v>2.73271</v>
      </c>
      <c r="HE129">
        <v>20.089500000000001</v>
      </c>
      <c r="HF129">
        <v>5.2605700000000004</v>
      </c>
      <c r="HG129">
        <v>11.962</v>
      </c>
      <c r="HH129">
        <v>4.9798</v>
      </c>
      <c r="HI129">
        <v>3.298</v>
      </c>
      <c r="HJ129">
        <v>9999</v>
      </c>
      <c r="HK129">
        <v>9999</v>
      </c>
      <c r="HL129">
        <v>9999</v>
      </c>
      <c r="HM129">
        <v>999.9</v>
      </c>
      <c r="HN129">
        <v>1.8642399999999999</v>
      </c>
      <c r="HO129">
        <v>1.8602000000000001</v>
      </c>
      <c r="HP129">
        <v>1.86677</v>
      </c>
      <c r="HQ129">
        <v>1.8634900000000001</v>
      </c>
      <c r="HR129">
        <v>1.86215</v>
      </c>
      <c r="HS129">
        <v>1.8621799999999999</v>
      </c>
      <c r="HT129">
        <v>1.8634200000000001</v>
      </c>
      <c r="HU129">
        <v>1.8647</v>
      </c>
      <c r="HV129">
        <v>0</v>
      </c>
      <c r="HW129">
        <v>0</v>
      </c>
      <c r="HX129">
        <v>0</v>
      </c>
      <c r="HY129">
        <v>0</v>
      </c>
      <c r="HZ129" t="s">
        <v>424</v>
      </c>
      <c r="IA129" t="s">
        <v>425</v>
      </c>
      <c r="IB129" t="s">
        <v>426</v>
      </c>
      <c r="IC129" t="s">
        <v>426</v>
      </c>
      <c r="ID129" t="s">
        <v>426</v>
      </c>
      <c r="IE129" t="s">
        <v>426</v>
      </c>
      <c r="IF129">
        <v>0</v>
      </c>
      <c r="IG129">
        <v>100</v>
      </c>
      <c r="IH129">
        <v>100</v>
      </c>
      <c r="II129">
        <v>-6.0999999999999999E-2</v>
      </c>
      <c r="IJ129">
        <v>0.1298</v>
      </c>
      <c r="IK129">
        <v>-5.8478674549018839E-2</v>
      </c>
      <c r="IL129">
        <v>-8.3322953065825546E-5</v>
      </c>
      <c r="IM129">
        <v>2.3872336679552741E-7</v>
      </c>
      <c r="IN129">
        <v>-5.428329794194132E-11</v>
      </c>
      <c r="IO129">
        <v>0.12988685492891769</v>
      </c>
      <c r="IP129">
        <v>0</v>
      </c>
      <c r="IQ129">
        <v>0</v>
      </c>
      <c r="IR129">
        <v>0</v>
      </c>
      <c r="IS129">
        <v>2</v>
      </c>
      <c r="IT129">
        <v>2035</v>
      </c>
      <c r="IU129">
        <v>1</v>
      </c>
      <c r="IV129">
        <v>21</v>
      </c>
      <c r="IW129">
        <v>1.9</v>
      </c>
      <c r="IX129">
        <v>1.6</v>
      </c>
      <c r="IY129">
        <v>1.07422</v>
      </c>
      <c r="IZ129">
        <v>2.7368199999999998</v>
      </c>
      <c r="JA129">
        <v>1.4526399999999999</v>
      </c>
      <c r="JB129">
        <v>2.2741699999999998</v>
      </c>
      <c r="JC129">
        <v>1.5942400000000001</v>
      </c>
      <c r="JD129">
        <v>2.2741699999999998</v>
      </c>
      <c r="JE129">
        <v>48.5779</v>
      </c>
      <c r="JF129">
        <v>24.262599999999999</v>
      </c>
      <c r="JG129">
        <v>18</v>
      </c>
      <c r="JH129">
        <v>499.923</v>
      </c>
      <c r="JI129">
        <v>419.77800000000002</v>
      </c>
      <c r="JJ129">
        <v>27.336200000000002</v>
      </c>
      <c r="JK129">
        <v>33.9193</v>
      </c>
      <c r="JL129">
        <v>30.000399999999999</v>
      </c>
      <c r="JM129">
        <v>33.924599999999998</v>
      </c>
      <c r="JN129">
        <v>33.939300000000003</v>
      </c>
      <c r="JO129">
        <v>21.452400000000001</v>
      </c>
      <c r="JP129">
        <v>29.482199999999999</v>
      </c>
      <c r="JQ129">
        <v>0</v>
      </c>
      <c r="JR129">
        <v>27.3262</v>
      </c>
      <c r="JS129">
        <v>400</v>
      </c>
      <c r="JT129">
        <v>20.585599999999999</v>
      </c>
      <c r="JU129">
        <v>98.992400000000004</v>
      </c>
      <c r="JV129">
        <v>98.441900000000004</v>
      </c>
    </row>
    <row r="130" spans="1:282" x14ac:dyDescent="0.25">
      <c r="A130">
        <v>114</v>
      </c>
      <c r="B130">
        <v>1689021321.5</v>
      </c>
      <c r="C130">
        <v>21980.900000095371</v>
      </c>
      <c r="D130" t="s">
        <v>995</v>
      </c>
      <c r="E130" t="s">
        <v>996</v>
      </c>
      <c r="F130" t="s">
        <v>414</v>
      </c>
      <c r="G130" t="s">
        <v>415</v>
      </c>
      <c r="H130" t="s">
        <v>500</v>
      </c>
      <c r="I130" t="s">
        <v>417</v>
      </c>
      <c r="J130" t="s">
        <v>500</v>
      </c>
      <c r="K130">
        <v>1689021321.5</v>
      </c>
      <c r="L130">
        <f t="shared" si="138"/>
        <v>6.2028505599730898E-3</v>
      </c>
      <c r="M130">
        <f t="shared" si="139"/>
        <v>6.2028505599730899</v>
      </c>
      <c r="N130">
        <f t="shared" si="140"/>
        <v>54.136595818969191</v>
      </c>
      <c r="O130">
        <f t="shared" si="141"/>
        <v>332.452</v>
      </c>
      <c r="P130">
        <f t="shared" si="142"/>
        <v>118.60624291188886</v>
      </c>
      <c r="Q130">
        <f t="shared" si="143"/>
        <v>11.764700745014565</v>
      </c>
      <c r="R130">
        <f t="shared" si="144"/>
        <v>32.976327350552396</v>
      </c>
      <c r="S130">
        <f t="shared" si="145"/>
        <v>0.44564361070759134</v>
      </c>
      <c r="T130">
        <f t="shared" si="146"/>
        <v>2.9078690928228172</v>
      </c>
      <c r="U130">
        <f t="shared" si="147"/>
        <v>0.4108835342814563</v>
      </c>
      <c r="V130">
        <f t="shared" si="148"/>
        <v>0.25969895317305763</v>
      </c>
      <c r="W130">
        <f t="shared" si="149"/>
        <v>289.55109001270654</v>
      </c>
      <c r="X130">
        <f t="shared" si="150"/>
        <v>30.045846354711866</v>
      </c>
      <c r="Y130">
        <f t="shared" si="151"/>
        <v>29.853200000000001</v>
      </c>
      <c r="Z130">
        <f t="shared" si="152"/>
        <v>4.2246570790344338</v>
      </c>
      <c r="AA130">
        <f t="shared" si="153"/>
        <v>65.437680626360887</v>
      </c>
      <c r="AB130">
        <f t="shared" si="154"/>
        <v>2.7801024210504903</v>
      </c>
      <c r="AC130">
        <f t="shared" si="155"/>
        <v>4.2484733481378241</v>
      </c>
      <c r="AD130">
        <f t="shared" si="156"/>
        <v>1.4445546579839434</v>
      </c>
      <c r="AE130">
        <f t="shared" si="157"/>
        <v>-273.54570969481324</v>
      </c>
      <c r="AF130">
        <f t="shared" si="158"/>
        <v>15.332011968455305</v>
      </c>
      <c r="AG130">
        <f t="shared" si="159"/>
        <v>1.171230491355395</v>
      </c>
      <c r="AH130">
        <f t="shared" si="160"/>
        <v>32.508622777704005</v>
      </c>
      <c r="AI130">
        <v>0</v>
      </c>
      <c r="AJ130">
        <v>0</v>
      </c>
      <c r="AK130">
        <f t="shared" si="161"/>
        <v>1</v>
      </c>
      <c r="AL130">
        <f t="shared" si="162"/>
        <v>0</v>
      </c>
      <c r="AM130">
        <f t="shared" si="163"/>
        <v>51724.473615203082</v>
      </c>
      <c r="AN130" t="s">
        <v>418</v>
      </c>
      <c r="AO130">
        <v>8197.4</v>
      </c>
      <c r="AP130">
        <v>619.92999999999995</v>
      </c>
      <c r="AQ130">
        <v>3131.443117258741</v>
      </c>
      <c r="AR130">
        <f t="shared" si="164"/>
        <v>0.80203057287443702</v>
      </c>
      <c r="AS130">
        <v>-1.0448500102641549</v>
      </c>
      <c r="AT130" t="s">
        <v>997</v>
      </c>
      <c r="AU130">
        <v>8199.2800000000007</v>
      </c>
      <c r="AV130">
        <v>804.51135999999997</v>
      </c>
      <c r="AW130">
        <v>1254.27964358998</v>
      </c>
      <c r="AX130">
        <f t="shared" si="165"/>
        <v>0.35858692747548715</v>
      </c>
      <c r="AY130">
        <v>0.5</v>
      </c>
      <c r="AZ130">
        <f t="shared" si="166"/>
        <v>1513.1010000065837</v>
      </c>
      <c r="BA130">
        <f t="shared" si="167"/>
        <v>54.136595818969191</v>
      </c>
      <c r="BB130">
        <f t="shared" si="168"/>
        <v>271.28911927622397</v>
      </c>
      <c r="BC130">
        <f t="shared" si="169"/>
        <v>3.6469109351585413E-2</v>
      </c>
      <c r="BD130">
        <f t="shared" si="170"/>
        <v>1.4966068238945285</v>
      </c>
      <c r="BE130">
        <f t="shared" si="171"/>
        <v>478.23684262321024</v>
      </c>
      <c r="BF130" t="s">
        <v>998</v>
      </c>
      <c r="BG130">
        <v>628.09</v>
      </c>
      <c r="BH130">
        <f t="shared" si="172"/>
        <v>628.09</v>
      </c>
      <c r="BI130">
        <f t="shared" si="173"/>
        <v>0.49924245106753828</v>
      </c>
      <c r="BJ130">
        <f t="shared" si="174"/>
        <v>0.71826209231349392</v>
      </c>
      <c r="BK130">
        <f t="shared" si="175"/>
        <v>0.7498596425438856</v>
      </c>
      <c r="BL130">
        <f t="shared" si="176"/>
        <v>0.70902267879367398</v>
      </c>
      <c r="BM130">
        <f t="shared" si="177"/>
        <v>0.74742332053500948</v>
      </c>
      <c r="BN130">
        <f t="shared" si="178"/>
        <v>0.56075434107130873</v>
      </c>
      <c r="BO130">
        <f t="shared" si="179"/>
        <v>0.43924565892869127</v>
      </c>
      <c r="BP130">
        <v>13796</v>
      </c>
      <c r="BQ130">
        <v>290.00000000000011</v>
      </c>
      <c r="BR130">
        <v>1099.08</v>
      </c>
      <c r="BS130">
        <v>285</v>
      </c>
      <c r="BT130">
        <v>8199.2800000000007</v>
      </c>
      <c r="BU130">
        <v>1102.69</v>
      </c>
      <c r="BV130">
        <v>-3.61</v>
      </c>
      <c r="BW130">
        <v>300.00000000000011</v>
      </c>
      <c r="BX130">
        <v>19.3</v>
      </c>
      <c r="BY130">
        <v>1254.27964358998</v>
      </c>
      <c r="BZ130">
        <v>4.5870675488872212</v>
      </c>
      <c r="CA130">
        <v>-124.2895392137488</v>
      </c>
      <c r="CB130">
        <v>3.453849258128086</v>
      </c>
      <c r="CC130">
        <v>0.97883562725033513</v>
      </c>
      <c r="CD130">
        <v>-4.247043826473864E-3</v>
      </c>
      <c r="CE130">
        <v>289.99999999999989</v>
      </c>
      <c r="CF130">
        <v>1093.17</v>
      </c>
      <c r="CG130">
        <v>665</v>
      </c>
      <c r="CH130">
        <v>8188.1</v>
      </c>
      <c r="CI130">
        <v>1102.49</v>
      </c>
      <c r="CJ130">
        <v>-9.32</v>
      </c>
      <c r="CX130">
        <f t="shared" si="180"/>
        <v>1799.9</v>
      </c>
      <c r="CY130">
        <f t="shared" si="181"/>
        <v>1513.1010000065837</v>
      </c>
      <c r="CZ130">
        <f t="shared" si="182"/>
        <v>0.84065836991309717</v>
      </c>
      <c r="DA130">
        <f t="shared" si="183"/>
        <v>0.16087065393227765</v>
      </c>
      <c r="DB130">
        <v>6</v>
      </c>
      <c r="DC130">
        <v>0.5</v>
      </c>
      <c r="DD130" t="s">
        <v>421</v>
      </c>
      <c r="DE130">
        <v>2</v>
      </c>
      <c r="DF130">
        <v>1689021321.5</v>
      </c>
      <c r="DG130">
        <v>332.452</v>
      </c>
      <c r="DH130">
        <v>399.87</v>
      </c>
      <c r="DI130">
        <v>28.027699999999999</v>
      </c>
      <c r="DJ130">
        <v>20.795100000000001</v>
      </c>
      <c r="DK130">
        <v>332.55700000000002</v>
      </c>
      <c r="DL130">
        <v>27.901900000000001</v>
      </c>
      <c r="DM130">
        <v>500.15199999999999</v>
      </c>
      <c r="DN130">
        <v>99.091300000000004</v>
      </c>
      <c r="DO130">
        <v>9.9943699999999996E-2</v>
      </c>
      <c r="DP130">
        <v>29.951000000000001</v>
      </c>
      <c r="DQ130">
        <v>29.853200000000001</v>
      </c>
      <c r="DR130">
        <v>999.9</v>
      </c>
      <c r="DS130">
        <v>0</v>
      </c>
      <c r="DT130">
        <v>0</v>
      </c>
      <c r="DU130">
        <v>9967.5</v>
      </c>
      <c r="DV130">
        <v>0</v>
      </c>
      <c r="DW130">
        <v>665.62300000000005</v>
      </c>
      <c r="DX130">
        <v>-67.418099999999995</v>
      </c>
      <c r="DY130">
        <v>342.03899999999999</v>
      </c>
      <c r="DZ130">
        <v>408.36200000000002</v>
      </c>
      <c r="EA130">
        <v>7.2325400000000002</v>
      </c>
      <c r="EB130">
        <v>399.87</v>
      </c>
      <c r="EC130">
        <v>20.795100000000001</v>
      </c>
      <c r="ED130">
        <v>2.7772999999999999</v>
      </c>
      <c r="EE130">
        <v>2.0606200000000001</v>
      </c>
      <c r="EF130">
        <v>22.7498</v>
      </c>
      <c r="EG130">
        <v>17.917999999999999</v>
      </c>
      <c r="EH130">
        <v>1799.9</v>
      </c>
      <c r="EI130">
        <v>0.97799400000000003</v>
      </c>
      <c r="EJ130">
        <v>2.2005799999999999E-2</v>
      </c>
      <c r="EK130">
        <v>0</v>
      </c>
      <c r="EL130">
        <v>805.60199999999998</v>
      </c>
      <c r="EM130">
        <v>4.9999900000000004</v>
      </c>
      <c r="EN130">
        <v>18057.7</v>
      </c>
      <c r="EO130">
        <v>15862.9</v>
      </c>
      <c r="EP130">
        <v>49.25</v>
      </c>
      <c r="EQ130">
        <v>50.311999999999998</v>
      </c>
      <c r="ER130">
        <v>49.75</v>
      </c>
      <c r="ES130">
        <v>49.75</v>
      </c>
      <c r="ET130">
        <v>50.875</v>
      </c>
      <c r="EU130">
        <v>1755.4</v>
      </c>
      <c r="EV130">
        <v>39.5</v>
      </c>
      <c r="EW130">
        <v>0</v>
      </c>
      <c r="EX130">
        <v>131.60000014305109</v>
      </c>
      <c r="EY130">
        <v>0</v>
      </c>
      <c r="EZ130">
        <v>804.51135999999997</v>
      </c>
      <c r="FA130">
        <v>10.212153849327169</v>
      </c>
      <c r="FB130">
        <v>547.06153772123469</v>
      </c>
      <c r="FC130">
        <v>17967.62</v>
      </c>
      <c r="FD130">
        <v>15</v>
      </c>
      <c r="FE130">
        <v>1689021260.5</v>
      </c>
      <c r="FF130" t="s">
        <v>999</v>
      </c>
      <c r="FG130">
        <v>1689021253.5</v>
      </c>
      <c r="FH130">
        <v>1689021260.5</v>
      </c>
      <c r="FI130">
        <v>126</v>
      </c>
      <c r="FJ130">
        <v>-4.2999999999999997E-2</v>
      </c>
      <c r="FK130">
        <v>-4.0000000000000001E-3</v>
      </c>
      <c r="FL130">
        <v>-0.1</v>
      </c>
      <c r="FM130">
        <v>0.107</v>
      </c>
      <c r="FN130">
        <v>400</v>
      </c>
      <c r="FO130">
        <v>21</v>
      </c>
      <c r="FP130">
        <v>0.02</v>
      </c>
      <c r="FQ130">
        <v>0.01</v>
      </c>
      <c r="FR130">
        <v>54.105134842385063</v>
      </c>
      <c r="FS130">
        <v>0.64320006408271158</v>
      </c>
      <c r="FT130">
        <v>6.1719865157161158E-2</v>
      </c>
      <c r="FU130">
        <v>1</v>
      </c>
      <c r="FV130">
        <v>0.44984204074649142</v>
      </c>
      <c r="FW130">
        <v>-1.9132359455517701E-4</v>
      </c>
      <c r="FX130">
        <v>2.1538288277459269E-3</v>
      </c>
      <c r="FY130">
        <v>1</v>
      </c>
      <c r="FZ130">
        <v>2</v>
      </c>
      <c r="GA130">
        <v>2</v>
      </c>
      <c r="GB130" t="s">
        <v>423</v>
      </c>
      <c r="GC130">
        <v>2.95777</v>
      </c>
      <c r="GD130">
        <v>2.7428900000000001</v>
      </c>
      <c r="GE130">
        <v>7.6738600000000004E-2</v>
      </c>
      <c r="GF130">
        <v>8.8538900000000004E-2</v>
      </c>
      <c r="GG130">
        <v>0.12854699999999999</v>
      </c>
      <c r="GH130">
        <v>0.103835</v>
      </c>
      <c r="GI130">
        <v>21662.9</v>
      </c>
      <c r="GJ130">
        <v>19938.099999999999</v>
      </c>
      <c r="GK130">
        <v>23397.200000000001</v>
      </c>
      <c r="GL130">
        <v>21925</v>
      </c>
      <c r="GM130">
        <v>28762.6</v>
      </c>
      <c r="GN130">
        <v>27420.9</v>
      </c>
      <c r="GO130">
        <v>36924.300000000003</v>
      </c>
      <c r="GP130">
        <v>34118</v>
      </c>
      <c r="GQ130">
        <v>1.9720200000000001</v>
      </c>
      <c r="GR130">
        <v>1.7951699999999999</v>
      </c>
      <c r="GS130">
        <v>-2.7194599999999999E-2</v>
      </c>
      <c r="GT130">
        <v>0</v>
      </c>
      <c r="GU130">
        <v>30.2957</v>
      </c>
      <c r="GV130">
        <v>999.9</v>
      </c>
      <c r="GW130">
        <v>26.3</v>
      </c>
      <c r="GX130">
        <v>47.3</v>
      </c>
      <c r="GY130">
        <v>28.773599999999998</v>
      </c>
      <c r="GZ130">
        <v>60.498199999999997</v>
      </c>
      <c r="HA130">
        <v>38.858199999999997</v>
      </c>
      <c r="HB130">
        <v>1</v>
      </c>
      <c r="HC130">
        <v>0.56543699999999997</v>
      </c>
      <c r="HD130">
        <v>2.6690399999999999</v>
      </c>
      <c r="HE130">
        <v>20.090399999999999</v>
      </c>
      <c r="HF130">
        <v>5.2568200000000003</v>
      </c>
      <c r="HG130">
        <v>11.962</v>
      </c>
      <c r="HH130">
        <v>4.97905</v>
      </c>
      <c r="HI130">
        <v>3.29725</v>
      </c>
      <c r="HJ130">
        <v>9999</v>
      </c>
      <c r="HK130">
        <v>9999</v>
      </c>
      <c r="HL130">
        <v>9999</v>
      </c>
      <c r="HM130">
        <v>999.9</v>
      </c>
      <c r="HN130">
        <v>1.8642000000000001</v>
      </c>
      <c r="HO130">
        <v>1.8602000000000001</v>
      </c>
      <c r="HP130">
        <v>1.86676</v>
      </c>
      <c r="HQ130">
        <v>1.8634900000000001</v>
      </c>
      <c r="HR130">
        <v>1.86215</v>
      </c>
      <c r="HS130">
        <v>1.8621799999999999</v>
      </c>
      <c r="HT130">
        <v>1.8634299999999999</v>
      </c>
      <c r="HU130">
        <v>1.86476</v>
      </c>
      <c r="HV130">
        <v>0</v>
      </c>
      <c r="HW130">
        <v>0</v>
      </c>
      <c r="HX130">
        <v>0</v>
      </c>
      <c r="HY130">
        <v>0</v>
      </c>
      <c r="HZ130" t="s">
        <v>424</v>
      </c>
      <c r="IA130" t="s">
        <v>425</v>
      </c>
      <c r="IB130" t="s">
        <v>426</v>
      </c>
      <c r="IC130" t="s">
        <v>426</v>
      </c>
      <c r="ID130" t="s">
        <v>426</v>
      </c>
      <c r="IE130" t="s">
        <v>426</v>
      </c>
      <c r="IF130">
        <v>0</v>
      </c>
      <c r="IG130">
        <v>100</v>
      </c>
      <c r="IH130">
        <v>100</v>
      </c>
      <c r="II130">
        <v>-0.105</v>
      </c>
      <c r="IJ130">
        <v>0.1258</v>
      </c>
      <c r="IK130">
        <v>-0.10176120351881281</v>
      </c>
      <c r="IL130">
        <v>-8.3322953065825546E-5</v>
      </c>
      <c r="IM130">
        <v>2.3872336679552741E-7</v>
      </c>
      <c r="IN130">
        <v>-5.428329794194132E-11</v>
      </c>
      <c r="IO130">
        <v>0.12573730770205799</v>
      </c>
      <c r="IP130">
        <v>0</v>
      </c>
      <c r="IQ130">
        <v>0</v>
      </c>
      <c r="IR130">
        <v>0</v>
      </c>
      <c r="IS130">
        <v>2</v>
      </c>
      <c r="IT130">
        <v>2035</v>
      </c>
      <c r="IU130">
        <v>1</v>
      </c>
      <c r="IV130">
        <v>21</v>
      </c>
      <c r="IW130">
        <v>1.1000000000000001</v>
      </c>
      <c r="IX130">
        <v>1</v>
      </c>
      <c r="IY130">
        <v>1.073</v>
      </c>
      <c r="IZ130">
        <v>2.7368199999999998</v>
      </c>
      <c r="JA130">
        <v>1.4526399999999999</v>
      </c>
      <c r="JB130">
        <v>2.2741699999999998</v>
      </c>
      <c r="JC130">
        <v>1.5942400000000001</v>
      </c>
      <c r="JD130">
        <v>2.36816</v>
      </c>
      <c r="JE130">
        <v>48.639699999999998</v>
      </c>
      <c r="JF130">
        <v>24.262599999999999</v>
      </c>
      <c r="JG130">
        <v>18</v>
      </c>
      <c r="JH130">
        <v>499.68900000000002</v>
      </c>
      <c r="JI130">
        <v>419.60599999999999</v>
      </c>
      <c r="JJ130">
        <v>26.9617</v>
      </c>
      <c r="JK130">
        <v>34.0839</v>
      </c>
      <c r="JL130">
        <v>30.000599999999999</v>
      </c>
      <c r="JM130">
        <v>34.066000000000003</v>
      </c>
      <c r="JN130">
        <v>34.0777</v>
      </c>
      <c r="JO130">
        <v>21.4328</v>
      </c>
      <c r="JP130">
        <v>31.041599999999999</v>
      </c>
      <c r="JQ130">
        <v>0</v>
      </c>
      <c r="JR130">
        <v>27.028199999999998</v>
      </c>
      <c r="JS130">
        <v>400</v>
      </c>
      <c r="JT130">
        <v>20.6632</v>
      </c>
      <c r="JU130">
        <v>98.960300000000004</v>
      </c>
      <c r="JV130">
        <v>98.411500000000004</v>
      </c>
    </row>
    <row r="131" spans="1:282" x14ac:dyDescent="0.25">
      <c r="A131">
        <v>115</v>
      </c>
      <c r="B131">
        <v>1689021421</v>
      </c>
      <c r="C131">
        <v>22080.400000095371</v>
      </c>
      <c r="D131" t="s">
        <v>1000</v>
      </c>
      <c r="E131" t="s">
        <v>1001</v>
      </c>
      <c r="F131" t="s">
        <v>414</v>
      </c>
      <c r="G131" t="s">
        <v>415</v>
      </c>
      <c r="H131" t="s">
        <v>500</v>
      </c>
      <c r="I131" t="s">
        <v>417</v>
      </c>
      <c r="J131" t="s">
        <v>500</v>
      </c>
      <c r="K131">
        <v>1689021421</v>
      </c>
      <c r="L131">
        <f t="shared" si="138"/>
        <v>5.808061205858815E-3</v>
      </c>
      <c r="M131">
        <f t="shared" si="139"/>
        <v>5.8080612058588148</v>
      </c>
      <c r="N131">
        <f t="shared" si="140"/>
        <v>54.255628753169574</v>
      </c>
      <c r="O131">
        <f t="shared" si="141"/>
        <v>332.60700000000003</v>
      </c>
      <c r="P131">
        <f t="shared" si="142"/>
        <v>98.111405247372062</v>
      </c>
      <c r="Q131">
        <f t="shared" si="143"/>
        <v>9.7317288589957673</v>
      </c>
      <c r="R131">
        <f t="shared" si="144"/>
        <v>32.991486896379001</v>
      </c>
      <c r="S131">
        <f t="shared" si="145"/>
        <v>0.40357213109642642</v>
      </c>
      <c r="T131">
        <f t="shared" si="146"/>
        <v>2.9120111813093392</v>
      </c>
      <c r="U131">
        <f t="shared" si="147"/>
        <v>0.3748764451687957</v>
      </c>
      <c r="V131">
        <f t="shared" si="148"/>
        <v>0.236705718253715</v>
      </c>
      <c r="W131">
        <f t="shared" si="149"/>
        <v>289.56212101269625</v>
      </c>
      <c r="X131">
        <f t="shared" si="150"/>
        <v>30.640052859326666</v>
      </c>
      <c r="Y131">
        <f t="shared" si="151"/>
        <v>30.151800000000001</v>
      </c>
      <c r="Z131">
        <f t="shared" si="152"/>
        <v>4.2977392163344286</v>
      </c>
      <c r="AA131">
        <f t="shared" si="153"/>
        <v>64.44231644186425</v>
      </c>
      <c r="AB131">
        <f t="shared" si="154"/>
        <v>2.8160607250687999</v>
      </c>
      <c r="AC131">
        <f t="shared" si="155"/>
        <v>4.3698936980474157</v>
      </c>
      <c r="AD131">
        <f t="shared" si="156"/>
        <v>1.4816784912656287</v>
      </c>
      <c r="AE131">
        <f t="shared" si="157"/>
        <v>-256.13549917837372</v>
      </c>
      <c r="AF131">
        <f t="shared" si="158"/>
        <v>45.606276747360297</v>
      </c>
      <c r="AG131">
        <f t="shared" si="159"/>
        <v>3.4925887123728248</v>
      </c>
      <c r="AH131">
        <f t="shared" si="160"/>
        <v>82.525487294055651</v>
      </c>
      <c r="AI131">
        <v>0</v>
      </c>
      <c r="AJ131">
        <v>0</v>
      </c>
      <c r="AK131">
        <f t="shared" si="161"/>
        <v>1</v>
      </c>
      <c r="AL131">
        <f t="shared" si="162"/>
        <v>0</v>
      </c>
      <c r="AM131">
        <f t="shared" si="163"/>
        <v>51758.277678011575</v>
      </c>
      <c r="AN131" t="s">
        <v>418</v>
      </c>
      <c r="AO131">
        <v>8197.4</v>
      </c>
      <c r="AP131">
        <v>619.92999999999995</v>
      </c>
      <c r="AQ131">
        <v>3131.443117258741</v>
      </c>
      <c r="AR131">
        <f t="shared" si="164"/>
        <v>0.80203057287443702</v>
      </c>
      <c r="AS131">
        <v>-1.0448500102641549</v>
      </c>
      <c r="AT131" t="s">
        <v>1002</v>
      </c>
      <c r="AU131">
        <v>8199.16</v>
      </c>
      <c r="AV131">
        <v>807.02132000000017</v>
      </c>
      <c r="AW131">
        <v>1276.639342845446</v>
      </c>
      <c r="AX131">
        <f t="shared" si="165"/>
        <v>0.36785488828719204</v>
      </c>
      <c r="AY131">
        <v>0.5</v>
      </c>
      <c r="AZ131">
        <f t="shared" si="166"/>
        <v>1513.1673000065782</v>
      </c>
      <c r="BA131">
        <f t="shared" si="167"/>
        <v>54.255628753169574</v>
      </c>
      <c r="BB131">
        <f t="shared" si="168"/>
        <v>278.31299405187593</v>
      </c>
      <c r="BC131">
        <f t="shared" si="169"/>
        <v>3.6546176198225616E-2</v>
      </c>
      <c r="BD131">
        <f t="shared" si="170"/>
        <v>1.4528800046841761</v>
      </c>
      <c r="BE131">
        <f t="shared" si="171"/>
        <v>481.45197875592953</v>
      </c>
      <c r="BF131" t="s">
        <v>1003</v>
      </c>
      <c r="BG131">
        <v>628.49</v>
      </c>
      <c r="BH131">
        <f t="shared" si="172"/>
        <v>628.49</v>
      </c>
      <c r="BI131">
        <f t="shared" si="173"/>
        <v>0.50769964632361564</v>
      </c>
      <c r="BJ131">
        <f t="shared" si="174"/>
        <v>0.72455218543271482</v>
      </c>
      <c r="BK131">
        <f t="shared" si="175"/>
        <v>0.74104615129375428</v>
      </c>
      <c r="BL131">
        <f t="shared" si="176"/>
        <v>0.71510787529022346</v>
      </c>
      <c r="BM131">
        <f t="shared" si="177"/>
        <v>0.73852044079219092</v>
      </c>
      <c r="BN131">
        <f t="shared" si="178"/>
        <v>0.5642648982589541</v>
      </c>
      <c r="BO131">
        <f t="shared" si="179"/>
        <v>0.4357351017410459</v>
      </c>
      <c r="BP131">
        <v>13798</v>
      </c>
      <c r="BQ131">
        <v>290.00000000000011</v>
      </c>
      <c r="BR131">
        <v>1106.8599999999999</v>
      </c>
      <c r="BS131">
        <v>295</v>
      </c>
      <c r="BT131">
        <v>8199.16</v>
      </c>
      <c r="BU131">
        <v>1109.18</v>
      </c>
      <c r="BV131">
        <v>-2.3199999999999998</v>
      </c>
      <c r="BW131">
        <v>300.00000000000011</v>
      </c>
      <c r="BX131">
        <v>19.3</v>
      </c>
      <c r="BY131">
        <v>1276.639342845446</v>
      </c>
      <c r="BZ131">
        <v>5.0558853991918689</v>
      </c>
      <c r="CA131">
        <v>-137.30511673551061</v>
      </c>
      <c r="CB131">
        <v>3.8068027695927489</v>
      </c>
      <c r="CC131">
        <v>0.97893035888019564</v>
      </c>
      <c r="CD131">
        <v>-4.2467194660734198E-3</v>
      </c>
      <c r="CE131">
        <v>289.99999999999989</v>
      </c>
      <c r="CF131">
        <v>1097</v>
      </c>
      <c r="CG131">
        <v>655</v>
      </c>
      <c r="CH131">
        <v>8188.24</v>
      </c>
      <c r="CI131">
        <v>1108.95</v>
      </c>
      <c r="CJ131">
        <v>-11.95</v>
      </c>
      <c r="CX131">
        <f t="shared" si="180"/>
        <v>1799.98</v>
      </c>
      <c r="CY131">
        <f t="shared" si="181"/>
        <v>1513.1673000065782</v>
      </c>
      <c r="CZ131">
        <f t="shared" si="182"/>
        <v>0.84065784064632842</v>
      </c>
      <c r="DA131">
        <f t="shared" si="183"/>
        <v>0.16086963244741401</v>
      </c>
      <c r="DB131">
        <v>6</v>
      </c>
      <c r="DC131">
        <v>0.5</v>
      </c>
      <c r="DD131" t="s">
        <v>421</v>
      </c>
      <c r="DE131">
        <v>2</v>
      </c>
      <c r="DF131">
        <v>1689021421</v>
      </c>
      <c r="DG131">
        <v>332.60700000000003</v>
      </c>
      <c r="DH131">
        <v>400.00900000000001</v>
      </c>
      <c r="DI131">
        <v>28.3904</v>
      </c>
      <c r="DJ131">
        <v>21.620899999999999</v>
      </c>
      <c r="DK131">
        <v>332.726</v>
      </c>
      <c r="DL131">
        <v>28.266400000000001</v>
      </c>
      <c r="DM131">
        <v>500.17</v>
      </c>
      <c r="DN131">
        <v>99.090299999999999</v>
      </c>
      <c r="DO131">
        <v>0.100297</v>
      </c>
      <c r="DP131">
        <v>30.442299999999999</v>
      </c>
      <c r="DQ131">
        <v>30.151800000000001</v>
      </c>
      <c r="DR131">
        <v>999.9</v>
      </c>
      <c r="DS131">
        <v>0</v>
      </c>
      <c r="DT131">
        <v>0</v>
      </c>
      <c r="DU131">
        <v>9991.25</v>
      </c>
      <c r="DV131">
        <v>0</v>
      </c>
      <c r="DW131">
        <v>1840.03</v>
      </c>
      <c r="DX131">
        <v>-67.3887</v>
      </c>
      <c r="DY131">
        <v>342.34</v>
      </c>
      <c r="DZ131">
        <v>408.84899999999999</v>
      </c>
      <c r="EA131">
        <v>6.7711699999999997</v>
      </c>
      <c r="EB131">
        <v>400.00900000000001</v>
      </c>
      <c r="EC131">
        <v>21.620899999999999</v>
      </c>
      <c r="ED131">
        <v>2.81338</v>
      </c>
      <c r="EE131">
        <v>2.14242</v>
      </c>
      <c r="EF131">
        <v>22.962800000000001</v>
      </c>
      <c r="EG131">
        <v>18.5382</v>
      </c>
      <c r="EH131">
        <v>1799.98</v>
      </c>
      <c r="EI131">
        <v>0.97800900000000002</v>
      </c>
      <c r="EJ131">
        <v>2.1991E-2</v>
      </c>
      <c r="EK131">
        <v>0</v>
      </c>
      <c r="EL131">
        <v>807.68600000000004</v>
      </c>
      <c r="EM131">
        <v>4.9999900000000004</v>
      </c>
      <c r="EN131">
        <v>22550.9</v>
      </c>
      <c r="EO131">
        <v>15863.7</v>
      </c>
      <c r="EP131">
        <v>49.25</v>
      </c>
      <c r="EQ131">
        <v>50.186999999999998</v>
      </c>
      <c r="ER131">
        <v>49.75</v>
      </c>
      <c r="ES131">
        <v>49.625</v>
      </c>
      <c r="ET131">
        <v>50.875</v>
      </c>
      <c r="EU131">
        <v>1755.51</v>
      </c>
      <c r="EV131">
        <v>39.47</v>
      </c>
      <c r="EW131">
        <v>0</v>
      </c>
      <c r="EX131">
        <v>97.399999856948853</v>
      </c>
      <c r="EY131">
        <v>0</v>
      </c>
      <c r="EZ131">
        <v>807.02132000000017</v>
      </c>
      <c r="FA131">
        <v>0.54676923433360769</v>
      </c>
      <c r="FB131">
        <v>8087.130783654331</v>
      </c>
      <c r="FC131">
        <v>22134.923999999999</v>
      </c>
      <c r="FD131">
        <v>15</v>
      </c>
      <c r="FE131">
        <v>1689021450</v>
      </c>
      <c r="FF131" t="s">
        <v>1004</v>
      </c>
      <c r="FG131">
        <v>1689021448</v>
      </c>
      <c r="FH131">
        <v>1689021450</v>
      </c>
      <c r="FI131">
        <v>127</v>
      </c>
      <c r="FJ131">
        <v>-1.9E-2</v>
      </c>
      <c r="FK131">
        <v>-2E-3</v>
      </c>
      <c r="FL131">
        <v>-0.11899999999999999</v>
      </c>
      <c r="FM131">
        <v>0.124</v>
      </c>
      <c r="FN131">
        <v>400</v>
      </c>
      <c r="FO131">
        <v>22</v>
      </c>
      <c r="FP131">
        <v>0.03</v>
      </c>
      <c r="FQ131">
        <v>0.01</v>
      </c>
      <c r="FR131">
        <v>54.152254284899897</v>
      </c>
      <c r="FS131">
        <v>0.68115108704030525</v>
      </c>
      <c r="FT131">
        <v>6.0869069854430968E-2</v>
      </c>
      <c r="FU131">
        <v>1</v>
      </c>
      <c r="FV131">
        <v>0.40086080310503253</v>
      </c>
      <c r="FW131">
        <v>1.6202687647771791E-2</v>
      </c>
      <c r="FX131">
        <v>1.294852798732386E-3</v>
      </c>
      <c r="FY131">
        <v>1</v>
      </c>
      <c r="FZ131">
        <v>2</v>
      </c>
      <c r="GA131">
        <v>2</v>
      </c>
      <c r="GB131" t="s">
        <v>423</v>
      </c>
      <c r="GC131">
        <v>2.9577499999999999</v>
      </c>
      <c r="GD131">
        <v>2.7434500000000002</v>
      </c>
      <c r="GE131">
        <v>7.6761899999999994E-2</v>
      </c>
      <c r="GF131">
        <v>8.8558999999999999E-2</v>
      </c>
      <c r="GG131">
        <v>0.12969</v>
      </c>
      <c r="GH131">
        <v>0.10669099999999999</v>
      </c>
      <c r="GI131">
        <v>21660.400000000001</v>
      </c>
      <c r="GJ131">
        <v>19936.400000000001</v>
      </c>
      <c r="GK131">
        <v>23395.200000000001</v>
      </c>
      <c r="GL131">
        <v>21923.7</v>
      </c>
      <c r="GM131">
        <v>28722.3</v>
      </c>
      <c r="GN131">
        <v>27331.200000000001</v>
      </c>
      <c r="GO131">
        <v>36921.4</v>
      </c>
      <c r="GP131">
        <v>34116.1</v>
      </c>
      <c r="GQ131">
        <v>1.9715800000000001</v>
      </c>
      <c r="GR131">
        <v>1.7966</v>
      </c>
      <c r="GS131">
        <v>7.0258999999999999E-3</v>
      </c>
      <c r="GT131">
        <v>0</v>
      </c>
      <c r="GU131">
        <v>30.037500000000001</v>
      </c>
      <c r="GV131">
        <v>999.9</v>
      </c>
      <c r="GW131">
        <v>26.3</v>
      </c>
      <c r="GX131">
        <v>47.2</v>
      </c>
      <c r="GY131">
        <v>28.6297</v>
      </c>
      <c r="GZ131">
        <v>60.1282</v>
      </c>
      <c r="HA131">
        <v>39.046500000000002</v>
      </c>
      <c r="HB131">
        <v>1</v>
      </c>
      <c r="HC131">
        <v>0.57153500000000002</v>
      </c>
      <c r="HD131">
        <v>3.4000300000000001</v>
      </c>
      <c r="HE131">
        <v>20.073799999999999</v>
      </c>
      <c r="HF131">
        <v>5.2634100000000004</v>
      </c>
      <c r="HG131">
        <v>11.962</v>
      </c>
      <c r="HH131">
        <v>4.9797500000000001</v>
      </c>
      <c r="HI131">
        <v>3.298</v>
      </c>
      <c r="HJ131">
        <v>9999</v>
      </c>
      <c r="HK131">
        <v>9999</v>
      </c>
      <c r="HL131">
        <v>9999</v>
      </c>
      <c r="HM131">
        <v>999.9</v>
      </c>
      <c r="HN131">
        <v>1.8642300000000001</v>
      </c>
      <c r="HO131">
        <v>1.8602000000000001</v>
      </c>
      <c r="HP131">
        <v>1.8667800000000001</v>
      </c>
      <c r="HQ131">
        <v>1.8635200000000001</v>
      </c>
      <c r="HR131">
        <v>1.86215</v>
      </c>
      <c r="HS131">
        <v>1.8621799999999999</v>
      </c>
      <c r="HT131">
        <v>1.86341</v>
      </c>
      <c r="HU131">
        <v>1.86473</v>
      </c>
      <c r="HV131">
        <v>0</v>
      </c>
      <c r="HW131">
        <v>0</v>
      </c>
      <c r="HX131">
        <v>0</v>
      </c>
      <c r="HY131">
        <v>0</v>
      </c>
      <c r="HZ131" t="s">
        <v>424</v>
      </c>
      <c r="IA131" t="s">
        <v>425</v>
      </c>
      <c r="IB131" t="s">
        <v>426</v>
      </c>
      <c r="IC131" t="s">
        <v>426</v>
      </c>
      <c r="ID131" t="s">
        <v>426</v>
      </c>
      <c r="IE131" t="s">
        <v>426</v>
      </c>
      <c r="IF131">
        <v>0</v>
      </c>
      <c r="IG131">
        <v>100</v>
      </c>
      <c r="IH131">
        <v>100</v>
      </c>
      <c r="II131">
        <v>-0.11899999999999999</v>
      </c>
      <c r="IJ131">
        <v>0.124</v>
      </c>
      <c r="IK131">
        <v>-0.10176120351881281</v>
      </c>
      <c r="IL131">
        <v>-8.3322953065825546E-5</v>
      </c>
      <c r="IM131">
        <v>2.3872336679552741E-7</v>
      </c>
      <c r="IN131">
        <v>-5.428329794194132E-11</v>
      </c>
      <c r="IO131">
        <v>0.12573730770205799</v>
      </c>
      <c r="IP131">
        <v>0</v>
      </c>
      <c r="IQ131">
        <v>0</v>
      </c>
      <c r="IR131">
        <v>0</v>
      </c>
      <c r="IS131">
        <v>2</v>
      </c>
      <c r="IT131">
        <v>2035</v>
      </c>
      <c r="IU131">
        <v>1</v>
      </c>
      <c r="IV131">
        <v>21</v>
      </c>
      <c r="IW131">
        <v>2.8</v>
      </c>
      <c r="IX131">
        <v>2.7</v>
      </c>
      <c r="IY131">
        <v>1.07422</v>
      </c>
      <c r="IZ131">
        <v>2.7294900000000002</v>
      </c>
      <c r="JA131">
        <v>1.4514199999999999</v>
      </c>
      <c r="JB131">
        <v>2.2741699999999998</v>
      </c>
      <c r="JC131">
        <v>1.5942400000000001</v>
      </c>
      <c r="JD131">
        <v>2.4230999999999998</v>
      </c>
      <c r="JE131">
        <v>48.608800000000002</v>
      </c>
      <c r="JF131">
        <v>24.262599999999999</v>
      </c>
      <c r="JG131">
        <v>18</v>
      </c>
      <c r="JH131">
        <v>499.77699999999999</v>
      </c>
      <c r="JI131">
        <v>420.88</v>
      </c>
      <c r="JJ131">
        <v>27.400099999999998</v>
      </c>
      <c r="JK131">
        <v>34.114400000000003</v>
      </c>
      <c r="JL131">
        <v>29.999700000000001</v>
      </c>
      <c r="JM131">
        <v>34.111800000000002</v>
      </c>
      <c r="JN131">
        <v>34.1203</v>
      </c>
      <c r="JO131">
        <v>21.460799999999999</v>
      </c>
      <c r="JP131">
        <v>25.8367</v>
      </c>
      <c r="JQ131">
        <v>0</v>
      </c>
      <c r="JR131">
        <v>27.3019</v>
      </c>
      <c r="JS131">
        <v>400</v>
      </c>
      <c r="JT131">
        <v>21.7319</v>
      </c>
      <c r="JU131">
        <v>98.952299999999994</v>
      </c>
      <c r="JV131">
        <v>98.405799999999999</v>
      </c>
    </row>
    <row r="132" spans="1:282" x14ac:dyDescent="0.25">
      <c r="A132">
        <v>116</v>
      </c>
      <c r="B132">
        <v>1689021541</v>
      </c>
      <c r="C132">
        <v>22200.400000095371</v>
      </c>
      <c r="D132" t="s">
        <v>1005</v>
      </c>
      <c r="E132" t="s">
        <v>1006</v>
      </c>
      <c r="F132" t="s">
        <v>414</v>
      </c>
      <c r="G132" t="s">
        <v>415</v>
      </c>
      <c r="H132" t="s">
        <v>500</v>
      </c>
      <c r="I132" t="s">
        <v>417</v>
      </c>
      <c r="J132" t="s">
        <v>500</v>
      </c>
      <c r="K132">
        <v>1689021541</v>
      </c>
      <c r="L132">
        <f t="shared" si="138"/>
        <v>5.8951041404246259E-3</v>
      </c>
      <c r="M132">
        <f t="shared" si="139"/>
        <v>5.8951041404246256</v>
      </c>
      <c r="N132">
        <f t="shared" si="140"/>
        <v>59.351261179820213</v>
      </c>
      <c r="O132">
        <f t="shared" si="141"/>
        <v>425.82100000000003</v>
      </c>
      <c r="P132">
        <f t="shared" si="142"/>
        <v>176.03013390333913</v>
      </c>
      <c r="Q132">
        <f t="shared" si="143"/>
        <v>17.460870993538443</v>
      </c>
      <c r="R132">
        <f t="shared" si="144"/>
        <v>42.238254226531005</v>
      </c>
      <c r="S132">
        <f t="shared" si="145"/>
        <v>0.4182103325158168</v>
      </c>
      <c r="T132">
        <f t="shared" si="146"/>
        <v>2.9041504263783828</v>
      </c>
      <c r="U132">
        <f t="shared" si="147"/>
        <v>0.38740354090368145</v>
      </c>
      <c r="V132">
        <f t="shared" si="148"/>
        <v>0.24470569997488678</v>
      </c>
      <c r="W132">
        <f t="shared" si="149"/>
        <v>289.55908271896323</v>
      </c>
      <c r="X132">
        <f t="shared" si="150"/>
        <v>30.275907888716116</v>
      </c>
      <c r="Y132">
        <f t="shared" si="151"/>
        <v>30.0002</v>
      </c>
      <c r="Z132">
        <f t="shared" si="152"/>
        <v>4.2604987160155758</v>
      </c>
      <c r="AA132">
        <f t="shared" si="153"/>
        <v>65.456094971536558</v>
      </c>
      <c r="AB132">
        <f t="shared" si="154"/>
        <v>2.8048467950448002</v>
      </c>
      <c r="AC132">
        <f t="shared" si="155"/>
        <v>4.2850811620590594</v>
      </c>
      <c r="AD132">
        <f t="shared" si="156"/>
        <v>1.4556519209707757</v>
      </c>
      <c r="AE132">
        <f t="shared" si="157"/>
        <v>-259.97409259272598</v>
      </c>
      <c r="AF132">
        <f t="shared" si="158"/>
        <v>15.68816949024867</v>
      </c>
      <c r="AG132">
        <f t="shared" si="159"/>
        <v>1.2017345279094029</v>
      </c>
      <c r="AH132">
        <f t="shared" si="160"/>
        <v>46.474894144395336</v>
      </c>
      <c r="AI132">
        <v>0</v>
      </c>
      <c r="AJ132">
        <v>0</v>
      </c>
      <c r="AK132">
        <f t="shared" si="161"/>
        <v>1</v>
      </c>
      <c r="AL132">
        <f t="shared" si="162"/>
        <v>0</v>
      </c>
      <c r="AM132">
        <f t="shared" si="163"/>
        <v>51593.405775396925</v>
      </c>
      <c r="AN132" t="s">
        <v>418</v>
      </c>
      <c r="AO132">
        <v>8197.4</v>
      </c>
      <c r="AP132">
        <v>619.92999999999995</v>
      </c>
      <c r="AQ132">
        <v>3131.443117258741</v>
      </c>
      <c r="AR132">
        <f t="shared" si="164"/>
        <v>0.80203057287443702</v>
      </c>
      <c r="AS132">
        <v>-1.0448500102641549</v>
      </c>
      <c r="AT132" t="s">
        <v>1007</v>
      </c>
      <c r="AU132">
        <v>8199.11</v>
      </c>
      <c r="AV132">
        <v>835.27907692307701</v>
      </c>
      <c r="AW132">
        <v>1344.633558105231</v>
      </c>
      <c r="AX132">
        <f t="shared" si="165"/>
        <v>0.37880542108431592</v>
      </c>
      <c r="AY132">
        <v>0.5</v>
      </c>
      <c r="AZ132">
        <f t="shared" si="166"/>
        <v>1513.1430065901366</v>
      </c>
      <c r="BA132">
        <f t="shared" si="167"/>
        <v>59.351261179820213</v>
      </c>
      <c r="BB132">
        <f t="shared" si="168"/>
        <v>286.59338688608227</v>
      </c>
      <c r="BC132">
        <f t="shared" si="169"/>
        <v>3.9914344465158541E-2</v>
      </c>
      <c r="BD132">
        <f t="shared" si="170"/>
        <v>1.3288449841095475</v>
      </c>
      <c r="BE132">
        <f t="shared" si="171"/>
        <v>490.81180467336065</v>
      </c>
      <c r="BF132" t="s">
        <v>1008</v>
      </c>
      <c r="BG132">
        <v>636.17999999999995</v>
      </c>
      <c r="BH132">
        <f t="shared" si="172"/>
        <v>636.17999999999995</v>
      </c>
      <c r="BI132">
        <f t="shared" si="173"/>
        <v>0.52687481569591132</v>
      </c>
      <c r="BJ132">
        <f t="shared" si="174"/>
        <v>0.71896664976096625</v>
      </c>
      <c r="BK132">
        <f t="shared" si="175"/>
        <v>0.71608061963279945</v>
      </c>
      <c r="BL132">
        <f t="shared" si="176"/>
        <v>0.70284528823603876</v>
      </c>
      <c r="BM132">
        <f t="shared" si="177"/>
        <v>0.711447432575535</v>
      </c>
      <c r="BN132">
        <f t="shared" si="178"/>
        <v>0.54759207536938448</v>
      </c>
      <c r="BO132">
        <f t="shared" si="179"/>
        <v>0.45240792463061552</v>
      </c>
      <c r="BP132">
        <v>13800</v>
      </c>
      <c r="BQ132">
        <v>290.00000000000011</v>
      </c>
      <c r="BR132">
        <v>1185.1300000000001</v>
      </c>
      <c r="BS132">
        <v>285</v>
      </c>
      <c r="BT132">
        <v>8199.11</v>
      </c>
      <c r="BU132">
        <v>1188.6099999999999</v>
      </c>
      <c r="BV132">
        <v>-3.48</v>
      </c>
      <c r="BW132">
        <v>300.00000000000011</v>
      </c>
      <c r="BX132">
        <v>19.3</v>
      </c>
      <c r="BY132">
        <v>1344.633558105231</v>
      </c>
      <c r="BZ132">
        <v>3.631505041284496</v>
      </c>
      <c r="CA132">
        <v>-127.92569530638509</v>
      </c>
      <c r="CB132">
        <v>2.734294267986058</v>
      </c>
      <c r="CC132">
        <v>0.98736972605776097</v>
      </c>
      <c r="CD132">
        <v>-4.2468046718576232E-3</v>
      </c>
      <c r="CE132">
        <v>289.99999999999989</v>
      </c>
      <c r="CF132">
        <v>1182.42</v>
      </c>
      <c r="CG132">
        <v>635</v>
      </c>
      <c r="CH132">
        <v>8188.85</v>
      </c>
      <c r="CI132">
        <v>1188.4100000000001</v>
      </c>
      <c r="CJ132">
        <v>-5.99</v>
      </c>
      <c r="CX132">
        <f t="shared" si="180"/>
        <v>1799.95</v>
      </c>
      <c r="CY132">
        <f t="shared" si="181"/>
        <v>1513.1430065901366</v>
      </c>
      <c r="CZ132">
        <f t="shared" si="182"/>
        <v>0.84065835528216704</v>
      </c>
      <c r="DA132">
        <f t="shared" si="183"/>
        <v>0.16087062569458219</v>
      </c>
      <c r="DB132">
        <v>6</v>
      </c>
      <c r="DC132">
        <v>0.5</v>
      </c>
      <c r="DD132" t="s">
        <v>421</v>
      </c>
      <c r="DE132">
        <v>2</v>
      </c>
      <c r="DF132">
        <v>1689021541</v>
      </c>
      <c r="DG132">
        <v>425.82100000000003</v>
      </c>
      <c r="DH132">
        <v>500.029</v>
      </c>
      <c r="DI132">
        <v>28.276800000000001</v>
      </c>
      <c r="DJ132">
        <v>21.405100000000001</v>
      </c>
      <c r="DK132">
        <v>425.87700000000001</v>
      </c>
      <c r="DL132">
        <v>28.159800000000001</v>
      </c>
      <c r="DM132">
        <v>500.17399999999998</v>
      </c>
      <c r="DN132">
        <v>99.091800000000006</v>
      </c>
      <c r="DO132">
        <v>0.10071099999999999</v>
      </c>
      <c r="DP132">
        <v>30.1004</v>
      </c>
      <c r="DQ132">
        <v>30.0002</v>
      </c>
      <c r="DR132">
        <v>999.9</v>
      </c>
      <c r="DS132">
        <v>0</v>
      </c>
      <c r="DT132">
        <v>0</v>
      </c>
      <c r="DU132">
        <v>9946.25</v>
      </c>
      <c r="DV132">
        <v>0</v>
      </c>
      <c r="DW132">
        <v>1753.73</v>
      </c>
      <c r="DX132">
        <v>-74.268699999999995</v>
      </c>
      <c r="DY132">
        <v>438.15300000000002</v>
      </c>
      <c r="DZ132">
        <v>510.96600000000001</v>
      </c>
      <c r="EA132">
        <v>6.8787599999999998</v>
      </c>
      <c r="EB132">
        <v>500.029</v>
      </c>
      <c r="EC132">
        <v>21.405100000000001</v>
      </c>
      <c r="ED132">
        <v>2.8027000000000002</v>
      </c>
      <c r="EE132">
        <v>2.12107</v>
      </c>
      <c r="EF132">
        <v>22.9</v>
      </c>
      <c r="EG132">
        <v>18.378299999999999</v>
      </c>
      <c r="EH132">
        <v>1799.95</v>
      </c>
      <c r="EI132">
        <v>0.97799100000000005</v>
      </c>
      <c r="EJ132">
        <v>2.2008900000000001E-2</v>
      </c>
      <c r="EK132">
        <v>0</v>
      </c>
      <c r="EL132">
        <v>835.88099999999997</v>
      </c>
      <c r="EM132">
        <v>4.9999900000000004</v>
      </c>
      <c r="EN132">
        <v>22797.200000000001</v>
      </c>
      <c r="EO132">
        <v>15863.3</v>
      </c>
      <c r="EP132">
        <v>49.375</v>
      </c>
      <c r="EQ132">
        <v>50.436999999999998</v>
      </c>
      <c r="ER132">
        <v>49.936999999999998</v>
      </c>
      <c r="ES132">
        <v>49.811999999999998</v>
      </c>
      <c r="ET132">
        <v>51</v>
      </c>
      <c r="EU132">
        <v>1755.44</v>
      </c>
      <c r="EV132">
        <v>39.5</v>
      </c>
      <c r="EW132">
        <v>0</v>
      </c>
      <c r="EX132">
        <v>117.80000019073491</v>
      </c>
      <c r="EY132">
        <v>0</v>
      </c>
      <c r="EZ132">
        <v>835.27907692307701</v>
      </c>
      <c r="FA132">
        <v>3.9032478505816002</v>
      </c>
      <c r="FB132">
        <v>1413.8324812471601</v>
      </c>
      <c r="FC132">
        <v>22712.115384615379</v>
      </c>
      <c r="FD132">
        <v>15</v>
      </c>
      <c r="FE132">
        <v>1689021568</v>
      </c>
      <c r="FF132" t="s">
        <v>1009</v>
      </c>
      <c r="FG132">
        <v>1689021568</v>
      </c>
      <c r="FH132">
        <v>1689021567</v>
      </c>
      <c r="FI132">
        <v>128</v>
      </c>
      <c r="FJ132">
        <v>5.2999999999999999E-2</v>
      </c>
      <c r="FK132">
        <v>-2E-3</v>
      </c>
      <c r="FL132">
        <v>-5.6000000000000001E-2</v>
      </c>
      <c r="FM132">
        <v>0.11700000000000001</v>
      </c>
      <c r="FN132">
        <v>500</v>
      </c>
      <c r="FO132">
        <v>21</v>
      </c>
      <c r="FP132">
        <v>0.03</v>
      </c>
      <c r="FQ132">
        <v>0.01</v>
      </c>
      <c r="FR132">
        <v>59.311673926691647</v>
      </c>
      <c r="FS132">
        <v>0.16996291150057219</v>
      </c>
      <c r="FT132">
        <v>3.4761477818922699E-2</v>
      </c>
      <c r="FU132">
        <v>1</v>
      </c>
      <c r="FV132">
        <v>0.42122478392181778</v>
      </c>
      <c r="FW132">
        <v>-1.1931823512236419E-2</v>
      </c>
      <c r="FX132">
        <v>1.0910466116687361E-3</v>
      </c>
      <c r="FY132">
        <v>1</v>
      </c>
      <c r="FZ132">
        <v>2</v>
      </c>
      <c r="GA132">
        <v>2</v>
      </c>
      <c r="GB132" t="s">
        <v>423</v>
      </c>
      <c r="GC132">
        <v>2.9577399999999998</v>
      </c>
      <c r="GD132">
        <v>2.7434799999999999</v>
      </c>
      <c r="GE132">
        <v>9.2996899999999993E-2</v>
      </c>
      <c r="GF132">
        <v>0.10466499999999999</v>
      </c>
      <c r="GG132">
        <v>0.12933900000000001</v>
      </c>
      <c r="GH132">
        <v>0.105933</v>
      </c>
      <c r="GI132">
        <v>21280</v>
      </c>
      <c r="GJ132">
        <v>19584.599999999999</v>
      </c>
      <c r="GK132">
        <v>23395.7</v>
      </c>
      <c r="GL132">
        <v>21924.400000000001</v>
      </c>
      <c r="GM132">
        <v>28736</v>
      </c>
      <c r="GN132">
        <v>27356.5</v>
      </c>
      <c r="GO132">
        <v>36922.1</v>
      </c>
      <c r="GP132">
        <v>34117.1</v>
      </c>
      <c r="GQ132">
        <v>1.9722200000000001</v>
      </c>
      <c r="GR132">
        <v>1.79627</v>
      </c>
      <c r="GS132">
        <v>-1.26511E-2</v>
      </c>
      <c r="GT132">
        <v>0</v>
      </c>
      <c r="GU132">
        <v>30.206099999999999</v>
      </c>
      <c r="GV132">
        <v>999.9</v>
      </c>
      <c r="GW132">
        <v>26.5</v>
      </c>
      <c r="GX132">
        <v>47.2</v>
      </c>
      <c r="GY132">
        <v>28.848800000000001</v>
      </c>
      <c r="GZ132">
        <v>60.6081</v>
      </c>
      <c r="HA132">
        <v>39.114600000000003</v>
      </c>
      <c r="HB132">
        <v>1</v>
      </c>
      <c r="HC132">
        <v>0.569693</v>
      </c>
      <c r="HD132">
        <v>2.9956200000000002</v>
      </c>
      <c r="HE132">
        <v>20.084599999999998</v>
      </c>
      <c r="HF132">
        <v>5.2632599999999998</v>
      </c>
      <c r="HG132">
        <v>11.962199999999999</v>
      </c>
      <c r="HH132">
        <v>4.9797000000000002</v>
      </c>
      <c r="HI132">
        <v>3.2979799999999999</v>
      </c>
      <c r="HJ132">
        <v>9999</v>
      </c>
      <c r="HK132">
        <v>9999</v>
      </c>
      <c r="HL132">
        <v>9999</v>
      </c>
      <c r="HM132">
        <v>999.9</v>
      </c>
      <c r="HN132">
        <v>1.8641700000000001</v>
      </c>
      <c r="HO132">
        <v>1.8602000000000001</v>
      </c>
      <c r="HP132">
        <v>1.86677</v>
      </c>
      <c r="HQ132">
        <v>1.86354</v>
      </c>
      <c r="HR132">
        <v>1.8621700000000001</v>
      </c>
      <c r="HS132">
        <v>1.8621799999999999</v>
      </c>
      <c r="HT132">
        <v>1.8633999999999999</v>
      </c>
      <c r="HU132">
        <v>1.86473</v>
      </c>
      <c r="HV132">
        <v>0</v>
      </c>
      <c r="HW132">
        <v>0</v>
      </c>
      <c r="HX132">
        <v>0</v>
      </c>
      <c r="HY132">
        <v>0</v>
      </c>
      <c r="HZ132" t="s">
        <v>424</v>
      </c>
      <c r="IA132" t="s">
        <v>425</v>
      </c>
      <c r="IB132" t="s">
        <v>426</v>
      </c>
      <c r="IC132" t="s">
        <v>426</v>
      </c>
      <c r="ID132" t="s">
        <v>426</v>
      </c>
      <c r="IE132" t="s">
        <v>426</v>
      </c>
      <c r="IF132">
        <v>0</v>
      </c>
      <c r="IG132">
        <v>100</v>
      </c>
      <c r="IH132">
        <v>100</v>
      </c>
      <c r="II132">
        <v>-5.6000000000000001E-2</v>
      </c>
      <c r="IJ132">
        <v>0.11700000000000001</v>
      </c>
      <c r="IK132">
        <v>-0.1206206520852848</v>
      </c>
      <c r="IL132">
        <v>-8.3322953065825546E-5</v>
      </c>
      <c r="IM132">
        <v>2.3872336679552741E-7</v>
      </c>
      <c r="IN132">
        <v>-5.428329794194132E-11</v>
      </c>
      <c r="IO132">
        <v>0.1240699999999961</v>
      </c>
      <c r="IP132">
        <v>0</v>
      </c>
      <c r="IQ132">
        <v>0</v>
      </c>
      <c r="IR132">
        <v>0</v>
      </c>
      <c r="IS132">
        <v>2</v>
      </c>
      <c r="IT132">
        <v>2035</v>
      </c>
      <c r="IU132">
        <v>1</v>
      </c>
      <c r="IV132">
        <v>21</v>
      </c>
      <c r="IW132">
        <v>1.6</v>
      </c>
      <c r="IX132">
        <v>1.5</v>
      </c>
      <c r="IY132">
        <v>1.2878400000000001</v>
      </c>
      <c r="IZ132">
        <v>2.7294900000000002</v>
      </c>
      <c r="JA132">
        <v>1.4526399999999999</v>
      </c>
      <c r="JB132">
        <v>2.2741699999999998</v>
      </c>
      <c r="JC132">
        <v>1.5942400000000001</v>
      </c>
      <c r="JD132">
        <v>2.32056</v>
      </c>
      <c r="JE132">
        <v>48.546999999999997</v>
      </c>
      <c r="JF132">
        <v>24.262599999999999</v>
      </c>
      <c r="JG132">
        <v>18</v>
      </c>
      <c r="JH132">
        <v>500.64</v>
      </c>
      <c r="JI132">
        <v>421.10700000000003</v>
      </c>
      <c r="JJ132">
        <v>26.9526</v>
      </c>
      <c r="JK132">
        <v>34.157899999999998</v>
      </c>
      <c r="JL132">
        <v>30.000699999999998</v>
      </c>
      <c r="JM132">
        <v>34.164999999999999</v>
      </c>
      <c r="JN132">
        <v>34.18</v>
      </c>
      <c r="JO132">
        <v>25.7165</v>
      </c>
      <c r="JP132">
        <v>28.253799999999998</v>
      </c>
      <c r="JQ132">
        <v>0</v>
      </c>
      <c r="JR132">
        <v>26.9465</v>
      </c>
      <c r="JS132">
        <v>500</v>
      </c>
      <c r="JT132">
        <v>21.322099999999999</v>
      </c>
      <c r="JU132">
        <v>98.954300000000003</v>
      </c>
      <c r="JV132">
        <v>98.408900000000003</v>
      </c>
    </row>
    <row r="133" spans="1:282" x14ac:dyDescent="0.25">
      <c r="A133">
        <v>117</v>
      </c>
      <c r="B133">
        <v>1689021707.5</v>
      </c>
      <c r="C133">
        <v>22366.900000095371</v>
      </c>
      <c r="D133" t="s">
        <v>1010</v>
      </c>
      <c r="E133" t="s">
        <v>1011</v>
      </c>
      <c r="F133" t="s">
        <v>414</v>
      </c>
      <c r="G133" t="s">
        <v>415</v>
      </c>
      <c r="H133" t="s">
        <v>500</v>
      </c>
      <c r="I133" t="s">
        <v>417</v>
      </c>
      <c r="J133" t="s">
        <v>500</v>
      </c>
      <c r="K133">
        <v>1689021707.5</v>
      </c>
      <c r="L133">
        <f t="shared" si="138"/>
        <v>5.9528762919135725E-3</v>
      </c>
      <c r="M133">
        <f t="shared" si="139"/>
        <v>5.9528762919135723</v>
      </c>
      <c r="N133">
        <f t="shared" si="140"/>
        <v>61.327363207264824</v>
      </c>
      <c r="O133">
        <f t="shared" si="141"/>
        <v>622.03099999999995</v>
      </c>
      <c r="P133">
        <f t="shared" si="142"/>
        <v>355.10442534043318</v>
      </c>
      <c r="Q133">
        <f t="shared" si="143"/>
        <v>35.226844776624837</v>
      </c>
      <c r="R133">
        <f t="shared" si="144"/>
        <v>61.706326138407995</v>
      </c>
      <c r="S133">
        <f t="shared" si="145"/>
        <v>0.41073678302101696</v>
      </c>
      <c r="T133">
        <f t="shared" si="146"/>
        <v>2.9126392461690989</v>
      </c>
      <c r="U133">
        <f t="shared" si="147"/>
        <v>0.38105924248766448</v>
      </c>
      <c r="V133">
        <f t="shared" si="148"/>
        <v>0.24064949862312848</v>
      </c>
      <c r="W133">
        <f t="shared" si="149"/>
        <v>289.58301001270513</v>
      </c>
      <c r="X133">
        <f t="shared" si="150"/>
        <v>30.144714091920356</v>
      </c>
      <c r="Y133">
        <f t="shared" si="151"/>
        <v>30.022099999999998</v>
      </c>
      <c r="Z133">
        <f t="shared" si="152"/>
        <v>4.265861004910465</v>
      </c>
      <c r="AA133">
        <f t="shared" si="153"/>
        <v>65.100246434314997</v>
      </c>
      <c r="AB133">
        <f t="shared" si="154"/>
        <v>2.7711108539856002</v>
      </c>
      <c r="AC133">
        <f t="shared" si="155"/>
        <v>4.2566825868802241</v>
      </c>
      <c r="AD133">
        <f t="shared" si="156"/>
        <v>1.4947501509248649</v>
      </c>
      <c r="AE133">
        <f t="shared" si="157"/>
        <v>-262.52184447338857</v>
      </c>
      <c r="AF133">
        <f t="shared" si="158"/>
        <v>-5.8884827639797326</v>
      </c>
      <c r="AG133">
        <f t="shared" si="159"/>
        <v>-0.4495419351977179</v>
      </c>
      <c r="AH133">
        <f t="shared" si="160"/>
        <v>20.723140840139116</v>
      </c>
      <c r="AI133">
        <v>0</v>
      </c>
      <c r="AJ133">
        <v>0</v>
      </c>
      <c r="AK133">
        <f t="shared" si="161"/>
        <v>1</v>
      </c>
      <c r="AL133">
        <f t="shared" si="162"/>
        <v>0</v>
      </c>
      <c r="AM133">
        <f t="shared" si="163"/>
        <v>51854.559387984664</v>
      </c>
      <c r="AN133" t="s">
        <v>418</v>
      </c>
      <c r="AO133">
        <v>8197.4</v>
      </c>
      <c r="AP133">
        <v>619.92999999999995</v>
      </c>
      <c r="AQ133">
        <v>3131.443117258741</v>
      </c>
      <c r="AR133">
        <f t="shared" si="164"/>
        <v>0.80203057287443702</v>
      </c>
      <c r="AS133">
        <v>-1.0448500102641549</v>
      </c>
      <c r="AT133" t="s">
        <v>1012</v>
      </c>
      <c r="AU133">
        <v>8197.2000000000007</v>
      </c>
      <c r="AV133">
        <v>844.37516000000005</v>
      </c>
      <c r="AW133">
        <v>1397.4966421942299</v>
      </c>
      <c r="AX133">
        <f t="shared" si="165"/>
        <v>0.39579449817193535</v>
      </c>
      <c r="AY133">
        <v>0.5</v>
      </c>
      <c r="AZ133">
        <f t="shared" si="166"/>
        <v>1513.2690000065829</v>
      </c>
      <c r="BA133">
        <f t="shared" si="167"/>
        <v>61.327363207264824</v>
      </c>
      <c r="BB133">
        <f t="shared" si="168"/>
        <v>299.47177222837598</v>
      </c>
      <c r="BC133">
        <f t="shared" si="169"/>
        <v>4.1216871036978658E-2</v>
      </c>
      <c r="BD133">
        <f t="shared" si="170"/>
        <v>1.2407518005496001</v>
      </c>
      <c r="BE133">
        <f t="shared" si="171"/>
        <v>497.6835340819992</v>
      </c>
      <c r="BF133" t="s">
        <v>1013</v>
      </c>
      <c r="BG133">
        <v>641.49</v>
      </c>
      <c r="BH133">
        <f t="shared" si="172"/>
        <v>641.49</v>
      </c>
      <c r="BI133">
        <f t="shared" si="173"/>
        <v>0.54097206345141036</v>
      </c>
      <c r="BJ133">
        <f t="shared" si="174"/>
        <v>0.73163574408401078</v>
      </c>
      <c r="BK133">
        <f t="shared" si="175"/>
        <v>0.69637715788539067</v>
      </c>
      <c r="BL133">
        <f t="shared" si="176"/>
        <v>0.71134929429761273</v>
      </c>
      <c r="BM133">
        <f t="shared" si="177"/>
        <v>0.69039913156299726</v>
      </c>
      <c r="BN133">
        <f t="shared" si="178"/>
        <v>0.55583943690675608</v>
      </c>
      <c r="BO133">
        <f t="shared" si="179"/>
        <v>0.44416056309324392</v>
      </c>
      <c r="BP133">
        <v>13802</v>
      </c>
      <c r="BQ133">
        <v>290.00000000000011</v>
      </c>
      <c r="BR133">
        <v>1217.3399999999999</v>
      </c>
      <c r="BS133">
        <v>285</v>
      </c>
      <c r="BT133">
        <v>8197.2000000000007</v>
      </c>
      <c r="BU133">
        <v>1220.93</v>
      </c>
      <c r="BV133">
        <v>-3.59</v>
      </c>
      <c r="BW133">
        <v>300.00000000000011</v>
      </c>
      <c r="BX133">
        <v>19.3</v>
      </c>
      <c r="BY133">
        <v>1397.4966421942299</v>
      </c>
      <c r="BZ133">
        <v>4.5412989525956524</v>
      </c>
      <c r="CA133">
        <v>-144.73544919374979</v>
      </c>
      <c r="CB133">
        <v>3.4184987617913278</v>
      </c>
      <c r="CC133">
        <v>0.98462030070116413</v>
      </c>
      <c r="CD133">
        <v>-4.2460500556173592E-3</v>
      </c>
      <c r="CE133">
        <v>289.99999999999989</v>
      </c>
      <c r="CF133">
        <v>1212.58</v>
      </c>
      <c r="CG133">
        <v>645</v>
      </c>
      <c r="CH133">
        <v>8186.54</v>
      </c>
      <c r="CI133">
        <v>1220.7</v>
      </c>
      <c r="CJ133">
        <v>-8.1199999999999992</v>
      </c>
      <c r="CX133">
        <f t="shared" si="180"/>
        <v>1800.1</v>
      </c>
      <c r="CY133">
        <f t="shared" si="181"/>
        <v>1513.2690000065829</v>
      </c>
      <c r="CZ133">
        <f t="shared" si="182"/>
        <v>0.84065829676494808</v>
      </c>
      <c r="DA133">
        <f t="shared" si="183"/>
        <v>0.16087051275634973</v>
      </c>
      <c r="DB133">
        <v>6</v>
      </c>
      <c r="DC133">
        <v>0.5</v>
      </c>
      <c r="DD133" t="s">
        <v>421</v>
      </c>
      <c r="DE133">
        <v>2</v>
      </c>
      <c r="DF133">
        <v>1689021707.5</v>
      </c>
      <c r="DG133">
        <v>622.03099999999995</v>
      </c>
      <c r="DH133">
        <v>700.04700000000003</v>
      </c>
      <c r="DI133">
        <v>27.934200000000001</v>
      </c>
      <c r="DJ133">
        <v>20.992100000000001</v>
      </c>
      <c r="DK133">
        <v>622.072</v>
      </c>
      <c r="DL133">
        <v>27.810099999999998</v>
      </c>
      <c r="DM133">
        <v>500.13</v>
      </c>
      <c r="DN133">
        <v>99.101100000000002</v>
      </c>
      <c r="DO133">
        <v>0.100268</v>
      </c>
      <c r="DP133">
        <v>29.9846</v>
      </c>
      <c r="DQ133">
        <v>30.022099999999998</v>
      </c>
      <c r="DR133">
        <v>999.9</v>
      </c>
      <c r="DS133">
        <v>0</v>
      </c>
      <c r="DT133">
        <v>0</v>
      </c>
      <c r="DU133">
        <v>9993.75</v>
      </c>
      <c r="DV133">
        <v>0</v>
      </c>
      <c r="DW133">
        <v>1786.89</v>
      </c>
      <c r="DX133">
        <v>-78.015600000000006</v>
      </c>
      <c r="DY133">
        <v>639.90700000000004</v>
      </c>
      <c r="DZ133">
        <v>715.05799999999999</v>
      </c>
      <c r="EA133">
        <v>6.9421499999999998</v>
      </c>
      <c r="EB133">
        <v>700.04700000000003</v>
      </c>
      <c r="EC133">
        <v>20.992100000000001</v>
      </c>
      <c r="ED133">
        <v>2.76831</v>
      </c>
      <c r="EE133">
        <v>2.0803400000000001</v>
      </c>
      <c r="EF133">
        <v>22.696300000000001</v>
      </c>
      <c r="EG133">
        <v>18.069400000000002</v>
      </c>
      <c r="EH133">
        <v>1800.1</v>
      </c>
      <c r="EI133">
        <v>0.97799700000000001</v>
      </c>
      <c r="EJ133">
        <v>2.2002600000000001E-2</v>
      </c>
      <c r="EK133">
        <v>0</v>
      </c>
      <c r="EL133">
        <v>844.62300000000005</v>
      </c>
      <c r="EM133">
        <v>4.9999900000000004</v>
      </c>
      <c r="EN133">
        <v>23081.4</v>
      </c>
      <c r="EO133">
        <v>15864.6</v>
      </c>
      <c r="EP133">
        <v>49.75</v>
      </c>
      <c r="EQ133">
        <v>51.061999999999998</v>
      </c>
      <c r="ER133">
        <v>50.311999999999998</v>
      </c>
      <c r="ES133">
        <v>50.311999999999998</v>
      </c>
      <c r="ET133">
        <v>51.311999999999998</v>
      </c>
      <c r="EU133">
        <v>1755.6</v>
      </c>
      <c r="EV133">
        <v>39.5</v>
      </c>
      <c r="EW133">
        <v>0</v>
      </c>
      <c r="EX133">
        <v>164.4000000953674</v>
      </c>
      <c r="EY133">
        <v>0</v>
      </c>
      <c r="EZ133">
        <v>844.37516000000005</v>
      </c>
      <c r="FA133">
        <v>-1.1405384480006659</v>
      </c>
      <c r="FB133">
        <v>-93.515384471447618</v>
      </c>
      <c r="FC133">
        <v>23087.423999999999</v>
      </c>
      <c r="FD133">
        <v>15</v>
      </c>
      <c r="FE133">
        <v>1689021667</v>
      </c>
      <c r="FF133" t="s">
        <v>1014</v>
      </c>
      <c r="FG133">
        <v>1689021667</v>
      </c>
      <c r="FH133">
        <v>1689021658</v>
      </c>
      <c r="FI133">
        <v>129</v>
      </c>
      <c r="FJ133">
        <v>-1E-3</v>
      </c>
      <c r="FK133">
        <v>2E-3</v>
      </c>
      <c r="FL133">
        <v>-2.8000000000000001E-2</v>
      </c>
      <c r="FM133">
        <v>0.113</v>
      </c>
      <c r="FN133">
        <v>700</v>
      </c>
      <c r="FO133">
        <v>21</v>
      </c>
      <c r="FP133">
        <v>0.02</v>
      </c>
      <c r="FQ133">
        <v>0.01</v>
      </c>
      <c r="FR133">
        <v>61.334732244153088</v>
      </c>
      <c r="FS133">
        <v>-0.5150970219752995</v>
      </c>
      <c r="FT133">
        <v>6.6274875758414037E-2</v>
      </c>
      <c r="FU133">
        <v>1</v>
      </c>
      <c r="FV133">
        <v>0.41938728379836188</v>
      </c>
      <c r="FW133">
        <v>-4.80457508965806E-2</v>
      </c>
      <c r="FX133">
        <v>3.7783195538764391E-3</v>
      </c>
      <c r="FY133">
        <v>1</v>
      </c>
      <c r="FZ133">
        <v>2</v>
      </c>
      <c r="GA133">
        <v>2</v>
      </c>
      <c r="GB133" t="s">
        <v>423</v>
      </c>
      <c r="GC133">
        <v>2.95743</v>
      </c>
      <c r="GD133">
        <v>2.7434400000000001</v>
      </c>
      <c r="GE133">
        <v>0.12251099999999999</v>
      </c>
      <c r="GF133">
        <v>0.13270499999999999</v>
      </c>
      <c r="GG133">
        <v>0.128187</v>
      </c>
      <c r="GH133">
        <v>0.104467</v>
      </c>
      <c r="GI133">
        <v>20578.099999999999</v>
      </c>
      <c r="GJ133">
        <v>18961.5</v>
      </c>
      <c r="GK133">
        <v>23385.599999999999</v>
      </c>
      <c r="GL133">
        <v>21913.9</v>
      </c>
      <c r="GM133">
        <v>28764.9</v>
      </c>
      <c r="GN133">
        <v>27391.5</v>
      </c>
      <c r="GO133">
        <v>36905.9</v>
      </c>
      <c r="GP133">
        <v>34101.9</v>
      </c>
      <c r="GQ133">
        <v>1.97038</v>
      </c>
      <c r="GR133">
        <v>1.79342</v>
      </c>
      <c r="GS133">
        <v>-2.36817E-2</v>
      </c>
      <c r="GT133">
        <v>0</v>
      </c>
      <c r="GU133">
        <v>30.407399999999999</v>
      </c>
      <c r="GV133">
        <v>999.9</v>
      </c>
      <c r="GW133">
        <v>26.7</v>
      </c>
      <c r="GX133">
        <v>47.2</v>
      </c>
      <c r="GY133">
        <v>29.062200000000001</v>
      </c>
      <c r="GZ133">
        <v>60.6282</v>
      </c>
      <c r="HA133">
        <v>38.753999999999998</v>
      </c>
      <c r="HB133">
        <v>1</v>
      </c>
      <c r="HC133">
        <v>0.59019600000000005</v>
      </c>
      <c r="HD133">
        <v>3.3929200000000002</v>
      </c>
      <c r="HE133">
        <v>20.075500000000002</v>
      </c>
      <c r="HF133">
        <v>5.2637099999999997</v>
      </c>
      <c r="HG133">
        <v>11.963699999999999</v>
      </c>
      <c r="HH133">
        <v>4.9797500000000001</v>
      </c>
      <c r="HI133">
        <v>3.298</v>
      </c>
      <c r="HJ133">
        <v>9999</v>
      </c>
      <c r="HK133">
        <v>9999</v>
      </c>
      <c r="HL133">
        <v>9999</v>
      </c>
      <c r="HM133">
        <v>999.9</v>
      </c>
      <c r="HN133">
        <v>1.8642000000000001</v>
      </c>
      <c r="HO133">
        <v>1.8602000000000001</v>
      </c>
      <c r="HP133">
        <v>1.86676</v>
      </c>
      <c r="HQ133">
        <v>1.86354</v>
      </c>
      <c r="HR133">
        <v>1.86212</v>
      </c>
      <c r="HS133">
        <v>1.8621799999999999</v>
      </c>
      <c r="HT133">
        <v>1.8633999999999999</v>
      </c>
      <c r="HU133">
        <v>1.86476</v>
      </c>
      <c r="HV133">
        <v>0</v>
      </c>
      <c r="HW133">
        <v>0</v>
      </c>
      <c r="HX133">
        <v>0</v>
      </c>
      <c r="HY133">
        <v>0</v>
      </c>
      <c r="HZ133" t="s">
        <v>424</v>
      </c>
      <c r="IA133" t="s">
        <v>425</v>
      </c>
      <c r="IB133" t="s">
        <v>426</v>
      </c>
      <c r="IC133" t="s">
        <v>426</v>
      </c>
      <c r="ID133" t="s">
        <v>426</v>
      </c>
      <c r="IE133" t="s">
        <v>426</v>
      </c>
      <c r="IF133">
        <v>0</v>
      </c>
      <c r="IG133">
        <v>100</v>
      </c>
      <c r="IH133">
        <v>100</v>
      </c>
      <c r="II133">
        <v>-4.1000000000000002E-2</v>
      </c>
      <c r="IJ133">
        <v>0.1241</v>
      </c>
      <c r="IK133">
        <v>-6.830074545857262E-2</v>
      </c>
      <c r="IL133">
        <v>-8.3322953065825546E-5</v>
      </c>
      <c r="IM133">
        <v>2.3872336679552741E-7</v>
      </c>
      <c r="IN133">
        <v>-5.428329794194132E-11</v>
      </c>
      <c r="IO133">
        <v>0.1241112100080478</v>
      </c>
      <c r="IP133">
        <v>0</v>
      </c>
      <c r="IQ133">
        <v>0</v>
      </c>
      <c r="IR133">
        <v>0</v>
      </c>
      <c r="IS133">
        <v>2</v>
      </c>
      <c r="IT133">
        <v>2035</v>
      </c>
      <c r="IU133">
        <v>1</v>
      </c>
      <c r="IV133">
        <v>21</v>
      </c>
      <c r="IW133">
        <v>0.7</v>
      </c>
      <c r="IX133">
        <v>0.8</v>
      </c>
      <c r="IY133">
        <v>1.69434</v>
      </c>
      <c r="IZ133">
        <v>2.7185100000000002</v>
      </c>
      <c r="JA133">
        <v>1.4526399999999999</v>
      </c>
      <c r="JB133">
        <v>2.2741699999999998</v>
      </c>
      <c r="JC133">
        <v>1.5942400000000001</v>
      </c>
      <c r="JD133">
        <v>2.3974600000000001</v>
      </c>
      <c r="JE133">
        <v>48.639699999999998</v>
      </c>
      <c r="JF133">
        <v>24.262599999999999</v>
      </c>
      <c r="JG133">
        <v>18</v>
      </c>
      <c r="JH133">
        <v>500.90699999999998</v>
      </c>
      <c r="JI133">
        <v>420.488</v>
      </c>
      <c r="JJ133">
        <v>26.6114</v>
      </c>
      <c r="JK133">
        <v>34.361800000000002</v>
      </c>
      <c r="JL133">
        <v>30.000599999999999</v>
      </c>
      <c r="JM133">
        <v>34.342199999999998</v>
      </c>
      <c r="JN133">
        <v>34.3538</v>
      </c>
      <c r="JO133">
        <v>33.856900000000003</v>
      </c>
      <c r="JP133">
        <v>31.745200000000001</v>
      </c>
      <c r="JQ133">
        <v>0</v>
      </c>
      <c r="JR133">
        <v>26.6173</v>
      </c>
      <c r="JS133">
        <v>700</v>
      </c>
      <c r="JT133">
        <v>20.932700000000001</v>
      </c>
      <c r="JU133">
        <v>98.911100000000005</v>
      </c>
      <c r="JV133">
        <v>98.363799999999998</v>
      </c>
    </row>
    <row r="134" spans="1:282" x14ac:dyDescent="0.25">
      <c r="A134">
        <v>118</v>
      </c>
      <c r="B134">
        <v>1689021837.5</v>
      </c>
      <c r="C134">
        <v>22496.900000095371</v>
      </c>
      <c r="D134" t="s">
        <v>1015</v>
      </c>
      <c r="E134" t="s">
        <v>1016</v>
      </c>
      <c r="F134" t="s">
        <v>414</v>
      </c>
      <c r="G134" t="s">
        <v>415</v>
      </c>
      <c r="H134" t="s">
        <v>500</v>
      </c>
      <c r="I134" t="s">
        <v>417</v>
      </c>
      <c r="J134" t="s">
        <v>500</v>
      </c>
      <c r="K134">
        <v>1689021837.5</v>
      </c>
      <c r="L134">
        <f t="shared" si="138"/>
        <v>5.8718902659256819E-3</v>
      </c>
      <c r="M134">
        <f t="shared" si="139"/>
        <v>5.871890265925682</v>
      </c>
      <c r="N134">
        <f t="shared" si="140"/>
        <v>61.177031839686848</v>
      </c>
      <c r="O134">
        <f t="shared" si="141"/>
        <v>820.83</v>
      </c>
      <c r="P134">
        <f t="shared" si="142"/>
        <v>545.3595217658044</v>
      </c>
      <c r="Q134">
        <f t="shared" si="143"/>
        <v>54.100252074980588</v>
      </c>
      <c r="R134">
        <f t="shared" si="144"/>
        <v>81.427220280159005</v>
      </c>
      <c r="S134">
        <f t="shared" si="145"/>
        <v>0.40340874697591106</v>
      </c>
      <c r="T134">
        <f t="shared" si="146"/>
        <v>2.9174434297032583</v>
      </c>
      <c r="U134">
        <f t="shared" si="147"/>
        <v>0.37478473536031665</v>
      </c>
      <c r="V134">
        <f t="shared" si="148"/>
        <v>0.236642742026967</v>
      </c>
      <c r="W134">
        <f t="shared" si="149"/>
        <v>289.55210701270329</v>
      </c>
      <c r="X134">
        <f t="shared" si="150"/>
        <v>29.924116334126619</v>
      </c>
      <c r="Y134">
        <f t="shared" si="151"/>
        <v>29.957000000000001</v>
      </c>
      <c r="Z134">
        <f t="shared" si="152"/>
        <v>4.2499382708481281</v>
      </c>
      <c r="AA134">
        <f t="shared" si="153"/>
        <v>65.520163785131544</v>
      </c>
      <c r="AB134">
        <f t="shared" si="154"/>
        <v>2.75055819040483</v>
      </c>
      <c r="AC134">
        <f t="shared" si="155"/>
        <v>4.1980331420188124</v>
      </c>
      <c r="AD134">
        <f t="shared" si="156"/>
        <v>1.4993800804432982</v>
      </c>
      <c r="AE134">
        <f t="shared" si="157"/>
        <v>-258.95036072732256</v>
      </c>
      <c r="AF134">
        <f t="shared" si="158"/>
        <v>-33.611849415927928</v>
      </c>
      <c r="AG134">
        <f t="shared" si="159"/>
        <v>-2.5579061535844825</v>
      </c>
      <c r="AH134">
        <f t="shared" si="160"/>
        <v>-5.5680092841316977</v>
      </c>
      <c r="AI134">
        <v>0</v>
      </c>
      <c r="AJ134">
        <v>0</v>
      </c>
      <c r="AK134">
        <f t="shared" si="161"/>
        <v>1</v>
      </c>
      <c r="AL134">
        <f t="shared" si="162"/>
        <v>0</v>
      </c>
      <c r="AM134">
        <f t="shared" si="163"/>
        <v>52032.731179453702</v>
      </c>
      <c r="AN134" t="s">
        <v>418</v>
      </c>
      <c r="AO134">
        <v>8197.4</v>
      </c>
      <c r="AP134">
        <v>619.92999999999995</v>
      </c>
      <c r="AQ134">
        <v>3131.443117258741</v>
      </c>
      <c r="AR134">
        <f t="shared" si="164"/>
        <v>0.80203057287443702</v>
      </c>
      <c r="AS134">
        <v>-1.0448500102641549</v>
      </c>
      <c r="AT134" t="s">
        <v>1017</v>
      </c>
      <c r="AU134">
        <v>8194.85</v>
      </c>
      <c r="AV134">
        <v>841.05373076923081</v>
      </c>
      <c r="AW134">
        <v>1395.454278737436</v>
      </c>
      <c r="AX134">
        <f t="shared" si="165"/>
        <v>0.39729037089614261</v>
      </c>
      <c r="AY134">
        <v>0.5</v>
      </c>
      <c r="AZ134">
        <f t="shared" si="166"/>
        <v>1513.1091000065821</v>
      </c>
      <c r="BA134">
        <f t="shared" si="167"/>
        <v>61.177031839686848</v>
      </c>
      <c r="BB134">
        <f t="shared" si="168"/>
        <v>300.57183777397177</v>
      </c>
      <c r="BC134">
        <f t="shared" si="169"/>
        <v>4.1121874060291046E-2</v>
      </c>
      <c r="BD134">
        <f t="shared" si="170"/>
        <v>1.2440313272692634</v>
      </c>
      <c r="BE134">
        <f t="shared" si="171"/>
        <v>497.4242672937882</v>
      </c>
      <c r="BF134" t="s">
        <v>1018</v>
      </c>
      <c r="BG134">
        <v>641.15</v>
      </c>
      <c r="BH134">
        <f t="shared" si="172"/>
        <v>641.15</v>
      </c>
      <c r="BI134">
        <f t="shared" si="173"/>
        <v>0.54054388612424287</v>
      </c>
      <c r="BJ134">
        <f t="shared" si="174"/>
        <v>0.73498263710788936</v>
      </c>
      <c r="BK134">
        <f t="shared" si="175"/>
        <v>0.69710221117755122</v>
      </c>
      <c r="BL134">
        <f t="shared" si="176"/>
        <v>0.71487194297872492</v>
      </c>
      <c r="BM134">
        <f t="shared" si="177"/>
        <v>0.69121233195711795</v>
      </c>
      <c r="BN134">
        <f t="shared" si="178"/>
        <v>0.56029014620829376</v>
      </c>
      <c r="BO134">
        <f t="shared" si="179"/>
        <v>0.43970985379170624</v>
      </c>
      <c r="BP134">
        <v>13804</v>
      </c>
      <c r="BQ134">
        <v>290.00000000000011</v>
      </c>
      <c r="BR134">
        <v>1216.2</v>
      </c>
      <c r="BS134">
        <v>285</v>
      </c>
      <c r="BT134">
        <v>8194.85</v>
      </c>
      <c r="BU134">
        <v>1218.73</v>
      </c>
      <c r="BV134">
        <v>-2.5299999999999998</v>
      </c>
      <c r="BW134">
        <v>300.00000000000011</v>
      </c>
      <c r="BX134">
        <v>19.3</v>
      </c>
      <c r="BY134">
        <v>1395.454278737436</v>
      </c>
      <c r="BZ134">
        <v>5.1133138413464474</v>
      </c>
      <c r="CA134">
        <v>-144.82407001808789</v>
      </c>
      <c r="CB134">
        <v>3.8479177834404119</v>
      </c>
      <c r="CC134">
        <v>0.98061671442676968</v>
      </c>
      <c r="CD134">
        <v>-4.2450945494994386E-3</v>
      </c>
      <c r="CE134">
        <v>289.99999999999989</v>
      </c>
      <c r="CF134">
        <v>1210.6400000000001</v>
      </c>
      <c r="CG134">
        <v>625</v>
      </c>
      <c r="CH134">
        <v>8184.69</v>
      </c>
      <c r="CI134">
        <v>1218.51</v>
      </c>
      <c r="CJ134">
        <v>-7.87</v>
      </c>
      <c r="CX134">
        <f t="shared" si="180"/>
        <v>1799.91</v>
      </c>
      <c r="CY134">
        <f t="shared" si="181"/>
        <v>1513.1091000065821</v>
      </c>
      <c r="CZ134">
        <f t="shared" si="182"/>
        <v>0.84065819958030241</v>
      </c>
      <c r="DA134">
        <f t="shared" si="183"/>
        <v>0.16087032518998354</v>
      </c>
      <c r="DB134">
        <v>6</v>
      </c>
      <c r="DC134">
        <v>0.5</v>
      </c>
      <c r="DD134" t="s">
        <v>421</v>
      </c>
      <c r="DE134">
        <v>2</v>
      </c>
      <c r="DF134">
        <v>1689021837.5</v>
      </c>
      <c r="DG134">
        <v>820.83</v>
      </c>
      <c r="DH134">
        <v>900.00199999999995</v>
      </c>
      <c r="DI134">
        <v>27.7271</v>
      </c>
      <c r="DJ134">
        <v>20.878299999999999</v>
      </c>
      <c r="DK134">
        <v>820.88800000000003</v>
      </c>
      <c r="DL134">
        <v>27.601400000000002</v>
      </c>
      <c r="DM134">
        <v>500.15300000000002</v>
      </c>
      <c r="DN134">
        <v>99.101399999999998</v>
      </c>
      <c r="DO134">
        <v>9.9677299999999996E-2</v>
      </c>
      <c r="DP134">
        <v>29.743300000000001</v>
      </c>
      <c r="DQ134">
        <v>29.957000000000001</v>
      </c>
      <c r="DR134">
        <v>999.9</v>
      </c>
      <c r="DS134">
        <v>0</v>
      </c>
      <c r="DT134">
        <v>0</v>
      </c>
      <c r="DU134">
        <v>10021.200000000001</v>
      </c>
      <c r="DV134">
        <v>0</v>
      </c>
      <c r="DW134">
        <v>1795.35</v>
      </c>
      <c r="DX134">
        <v>-79.171899999999994</v>
      </c>
      <c r="DY134">
        <v>844.23900000000003</v>
      </c>
      <c r="DZ134">
        <v>919.19299999999998</v>
      </c>
      <c r="EA134">
        <v>6.8488199999999999</v>
      </c>
      <c r="EB134">
        <v>900.00199999999995</v>
      </c>
      <c r="EC134">
        <v>20.878299999999999</v>
      </c>
      <c r="ED134">
        <v>2.7477900000000002</v>
      </c>
      <c r="EE134">
        <v>2.0690599999999999</v>
      </c>
      <c r="EF134">
        <v>22.573699999999999</v>
      </c>
      <c r="EG134">
        <v>17.983000000000001</v>
      </c>
      <c r="EH134">
        <v>1799.91</v>
      </c>
      <c r="EI134">
        <v>0.97800100000000001</v>
      </c>
      <c r="EJ134">
        <v>2.1999399999999999E-2</v>
      </c>
      <c r="EK134">
        <v>0</v>
      </c>
      <c r="EL134">
        <v>840.79300000000001</v>
      </c>
      <c r="EM134">
        <v>4.9999900000000004</v>
      </c>
      <c r="EN134">
        <v>23170.2</v>
      </c>
      <c r="EO134">
        <v>15863</v>
      </c>
      <c r="EP134">
        <v>50.125</v>
      </c>
      <c r="EQ134">
        <v>51.625</v>
      </c>
      <c r="ER134">
        <v>50.75</v>
      </c>
      <c r="ES134">
        <v>50.811999999999998</v>
      </c>
      <c r="ET134">
        <v>51.686999999999998</v>
      </c>
      <c r="EU134">
        <v>1755.42</v>
      </c>
      <c r="EV134">
        <v>39.49</v>
      </c>
      <c r="EW134">
        <v>0</v>
      </c>
      <c r="EX134">
        <v>127.80000019073491</v>
      </c>
      <c r="EY134">
        <v>0</v>
      </c>
      <c r="EZ134">
        <v>841.05373076923081</v>
      </c>
      <c r="FA134">
        <v>-2.441333325775243</v>
      </c>
      <c r="FB134">
        <v>39.391452089438758</v>
      </c>
      <c r="FC134">
        <v>23167.753846153839</v>
      </c>
      <c r="FD134">
        <v>15</v>
      </c>
      <c r="FE134">
        <v>1689021788.5</v>
      </c>
      <c r="FF134" t="s">
        <v>1019</v>
      </c>
      <c r="FG134">
        <v>1689021787</v>
      </c>
      <c r="FH134">
        <v>1689021788.5</v>
      </c>
      <c r="FI134">
        <v>130</v>
      </c>
      <c r="FJ134">
        <v>-5.1999999999999998E-2</v>
      </c>
      <c r="FK134">
        <v>2E-3</v>
      </c>
      <c r="FL134">
        <v>-4.2000000000000003E-2</v>
      </c>
      <c r="FM134">
        <v>0.114</v>
      </c>
      <c r="FN134">
        <v>900</v>
      </c>
      <c r="FO134">
        <v>21</v>
      </c>
      <c r="FP134">
        <v>0.03</v>
      </c>
      <c r="FQ134">
        <v>0.01</v>
      </c>
      <c r="FR134">
        <v>61.099216530255028</v>
      </c>
      <c r="FS134">
        <v>-0.31440021162440218</v>
      </c>
      <c r="FT134">
        <v>0.1084389389546772</v>
      </c>
      <c r="FU134">
        <v>1</v>
      </c>
      <c r="FV134">
        <v>0.4055320139846309</v>
      </c>
      <c r="FW134">
        <v>4.8241468424990034E-3</v>
      </c>
      <c r="FX134">
        <v>6.8200611737382624E-4</v>
      </c>
      <c r="FY134">
        <v>1</v>
      </c>
      <c r="FZ134">
        <v>2</v>
      </c>
      <c r="GA134">
        <v>2</v>
      </c>
      <c r="GB134" t="s">
        <v>423</v>
      </c>
      <c r="GC134">
        <v>2.9572600000000002</v>
      </c>
      <c r="GD134">
        <v>2.7431000000000001</v>
      </c>
      <c r="GE134">
        <v>0.14788299999999999</v>
      </c>
      <c r="GF134">
        <v>0.15678800000000001</v>
      </c>
      <c r="GG134">
        <v>0.127466</v>
      </c>
      <c r="GH134">
        <v>0.10402500000000001</v>
      </c>
      <c r="GI134">
        <v>19974.400000000001</v>
      </c>
      <c r="GJ134">
        <v>18425.900000000001</v>
      </c>
      <c r="GK134">
        <v>23376.7</v>
      </c>
      <c r="GL134">
        <v>21904.6</v>
      </c>
      <c r="GM134">
        <v>28780.9</v>
      </c>
      <c r="GN134">
        <v>27396.2</v>
      </c>
      <c r="GO134">
        <v>36891.800000000003</v>
      </c>
      <c r="GP134">
        <v>34088.6</v>
      </c>
      <c r="GQ134">
        <v>1.96898</v>
      </c>
      <c r="GR134">
        <v>1.7904800000000001</v>
      </c>
      <c r="GS134">
        <v>-3.7789299999999998E-2</v>
      </c>
      <c r="GT134">
        <v>0</v>
      </c>
      <c r="GU134">
        <v>30.5717</v>
      </c>
      <c r="GV134">
        <v>999.9</v>
      </c>
      <c r="GW134">
        <v>26.9</v>
      </c>
      <c r="GX134">
        <v>47.2</v>
      </c>
      <c r="GY134">
        <v>29.2821</v>
      </c>
      <c r="GZ134">
        <v>60.288200000000003</v>
      </c>
      <c r="HA134">
        <v>38.738</v>
      </c>
      <c r="HB134">
        <v>1</v>
      </c>
      <c r="HC134">
        <v>0.60868900000000004</v>
      </c>
      <c r="HD134">
        <v>3.57585</v>
      </c>
      <c r="HE134">
        <v>20.072900000000001</v>
      </c>
      <c r="HF134">
        <v>5.2640099999999999</v>
      </c>
      <c r="HG134">
        <v>11.962</v>
      </c>
      <c r="HH134">
        <v>4.9796500000000004</v>
      </c>
      <c r="HI134">
        <v>3.298</v>
      </c>
      <c r="HJ134">
        <v>9999</v>
      </c>
      <c r="HK134">
        <v>9999</v>
      </c>
      <c r="HL134">
        <v>9999</v>
      </c>
      <c r="HM134">
        <v>999.9</v>
      </c>
      <c r="HN134">
        <v>1.8642099999999999</v>
      </c>
      <c r="HO134">
        <v>1.8602099999999999</v>
      </c>
      <c r="HP134">
        <v>1.86676</v>
      </c>
      <c r="HQ134">
        <v>1.86354</v>
      </c>
      <c r="HR134">
        <v>1.86216</v>
      </c>
      <c r="HS134">
        <v>1.8621799999999999</v>
      </c>
      <c r="HT134">
        <v>1.86344</v>
      </c>
      <c r="HU134">
        <v>1.86477</v>
      </c>
      <c r="HV134">
        <v>0</v>
      </c>
      <c r="HW134">
        <v>0</v>
      </c>
      <c r="HX134">
        <v>0</v>
      </c>
      <c r="HY134">
        <v>0</v>
      </c>
      <c r="HZ134" t="s">
        <v>424</v>
      </c>
      <c r="IA134" t="s">
        <v>425</v>
      </c>
      <c r="IB134" t="s">
        <v>426</v>
      </c>
      <c r="IC134" t="s">
        <v>426</v>
      </c>
      <c r="ID134" t="s">
        <v>426</v>
      </c>
      <c r="IE134" t="s">
        <v>426</v>
      </c>
      <c r="IF134">
        <v>0</v>
      </c>
      <c r="IG134">
        <v>100</v>
      </c>
      <c r="IH134">
        <v>100</v>
      </c>
      <c r="II134">
        <v>-5.8000000000000003E-2</v>
      </c>
      <c r="IJ134">
        <v>0.12570000000000001</v>
      </c>
      <c r="IK134">
        <v>-0.1204355016531528</v>
      </c>
      <c r="IL134">
        <v>-8.3322953065825546E-5</v>
      </c>
      <c r="IM134">
        <v>2.3872336679552741E-7</v>
      </c>
      <c r="IN134">
        <v>-5.428329794194132E-11</v>
      </c>
      <c r="IO134">
        <v>0.1256902538664619</v>
      </c>
      <c r="IP134">
        <v>0</v>
      </c>
      <c r="IQ134">
        <v>0</v>
      </c>
      <c r="IR134">
        <v>0</v>
      </c>
      <c r="IS134">
        <v>2</v>
      </c>
      <c r="IT134">
        <v>2035</v>
      </c>
      <c r="IU134">
        <v>1</v>
      </c>
      <c r="IV134">
        <v>21</v>
      </c>
      <c r="IW134">
        <v>0.8</v>
      </c>
      <c r="IX134">
        <v>0.8</v>
      </c>
      <c r="IY134">
        <v>2.0813000000000001</v>
      </c>
      <c r="IZ134">
        <v>2.7197300000000002</v>
      </c>
      <c r="JA134">
        <v>1.4526399999999999</v>
      </c>
      <c r="JB134">
        <v>2.2741699999999998</v>
      </c>
      <c r="JC134">
        <v>1.5942400000000001</v>
      </c>
      <c r="JD134">
        <v>2.3828100000000001</v>
      </c>
      <c r="JE134">
        <v>48.7637</v>
      </c>
      <c r="JF134">
        <v>24.262599999999999</v>
      </c>
      <c r="JG134">
        <v>18</v>
      </c>
      <c r="JH134">
        <v>501.57900000000001</v>
      </c>
      <c r="JI134">
        <v>419.92899999999997</v>
      </c>
      <c r="JJ134">
        <v>26.188600000000001</v>
      </c>
      <c r="JK134">
        <v>34.584699999999998</v>
      </c>
      <c r="JL134">
        <v>30.001300000000001</v>
      </c>
      <c r="JM134">
        <v>34.533799999999999</v>
      </c>
      <c r="JN134">
        <v>34.545400000000001</v>
      </c>
      <c r="JO134">
        <v>41.603400000000001</v>
      </c>
      <c r="JP134">
        <v>33.0411</v>
      </c>
      <c r="JQ134">
        <v>0</v>
      </c>
      <c r="JR134">
        <v>26.168600000000001</v>
      </c>
      <c r="JS134">
        <v>900</v>
      </c>
      <c r="JT134">
        <v>20.8322</v>
      </c>
      <c r="JU134">
        <v>98.873500000000007</v>
      </c>
      <c r="JV134">
        <v>98.324100000000001</v>
      </c>
    </row>
    <row r="135" spans="1:282" x14ac:dyDescent="0.25">
      <c r="A135">
        <v>119</v>
      </c>
      <c r="B135">
        <v>1689021951</v>
      </c>
      <c r="C135">
        <v>22610.400000095371</v>
      </c>
      <c r="D135" t="s">
        <v>1020</v>
      </c>
      <c r="E135" t="s">
        <v>1021</v>
      </c>
      <c r="F135" t="s">
        <v>414</v>
      </c>
      <c r="G135" t="s">
        <v>415</v>
      </c>
      <c r="H135" t="s">
        <v>500</v>
      </c>
      <c r="I135" t="s">
        <v>417</v>
      </c>
      <c r="J135" t="s">
        <v>500</v>
      </c>
      <c r="K135">
        <v>1689021951</v>
      </c>
      <c r="L135">
        <f t="shared" si="138"/>
        <v>5.3999998230720445E-3</v>
      </c>
      <c r="M135">
        <f t="shared" si="139"/>
        <v>5.3999998230720445</v>
      </c>
      <c r="N135">
        <f t="shared" si="140"/>
        <v>60.501540598221354</v>
      </c>
      <c r="O135">
        <f t="shared" si="141"/>
        <v>1120.3499999999999</v>
      </c>
      <c r="P135">
        <f t="shared" si="142"/>
        <v>820.02313351704333</v>
      </c>
      <c r="Q135">
        <f t="shared" si="143"/>
        <v>81.34502462905688</v>
      </c>
      <c r="R135">
        <f t="shared" si="144"/>
        <v>111.13698457784999</v>
      </c>
      <c r="S135">
        <f t="shared" si="145"/>
        <v>0.37138486636868345</v>
      </c>
      <c r="T135">
        <f t="shared" si="146"/>
        <v>2.9119353355352127</v>
      </c>
      <c r="U135">
        <f t="shared" si="147"/>
        <v>0.34693470391909786</v>
      </c>
      <c r="V135">
        <f t="shared" si="148"/>
        <v>0.21889665968593913</v>
      </c>
      <c r="W135">
        <f t="shared" si="149"/>
        <v>289.59418201270461</v>
      </c>
      <c r="X135">
        <f t="shared" si="150"/>
        <v>30.444676547354302</v>
      </c>
      <c r="Y135">
        <f t="shared" si="151"/>
        <v>29.966999999999999</v>
      </c>
      <c r="Z135">
        <f t="shared" si="152"/>
        <v>4.2523807869875094</v>
      </c>
      <c r="AA135">
        <f t="shared" si="153"/>
        <v>64.331593301553241</v>
      </c>
      <c r="AB135">
        <f t="shared" si="154"/>
        <v>2.7629645358579</v>
      </c>
      <c r="AC135">
        <f t="shared" si="155"/>
        <v>4.2948796913929224</v>
      </c>
      <c r="AD135">
        <f t="shared" si="156"/>
        <v>1.4894162511296094</v>
      </c>
      <c r="AE135">
        <f t="shared" si="157"/>
        <v>-238.13999219747717</v>
      </c>
      <c r="AF135">
        <f t="shared" si="158"/>
        <v>27.190366252583861</v>
      </c>
      <c r="AG135">
        <f t="shared" si="159"/>
        <v>2.0773176757975693</v>
      </c>
      <c r="AH135">
        <f t="shared" si="160"/>
        <v>80.721873743608882</v>
      </c>
      <c r="AI135">
        <v>0</v>
      </c>
      <c r="AJ135">
        <v>0</v>
      </c>
      <c r="AK135">
        <f t="shared" si="161"/>
        <v>1</v>
      </c>
      <c r="AL135">
        <f t="shared" si="162"/>
        <v>0</v>
      </c>
      <c r="AM135">
        <f t="shared" si="163"/>
        <v>51807.87451793877</v>
      </c>
      <c r="AN135" t="s">
        <v>418</v>
      </c>
      <c r="AO135">
        <v>8197.4</v>
      </c>
      <c r="AP135">
        <v>619.92999999999995</v>
      </c>
      <c r="AQ135">
        <v>3131.443117258741</v>
      </c>
      <c r="AR135">
        <f t="shared" si="164"/>
        <v>0.80203057287443702</v>
      </c>
      <c r="AS135">
        <v>-1.0448500102641549</v>
      </c>
      <c r="AT135" t="s">
        <v>1022</v>
      </c>
      <c r="AU135">
        <v>8192.82</v>
      </c>
      <c r="AV135">
        <v>836.67791999999997</v>
      </c>
      <c r="AW135">
        <v>1397.947915559887</v>
      </c>
      <c r="AX135">
        <f t="shared" si="165"/>
        <v>0.40149564179942632</v>
      </c>
      <c r="AY135">
        <v>0.5</v>
      </c>
      <c r="AZ135">
        <f t="shared" si="166"/>
        <v>1513.3278000065827</v>
      </c>
      <c r="BA135">
        <f t="shared" si="167"/>
        <v>60.501540598221354</v>
      </c>
      <c r="BB135">
        <f t="shared" si="168"/>
        <v>303.7972581582784</v>
      </c>
      <c r="BC135">
        <f t="shared" si="169"/>
        <v>4.0669569810465253E-2</v>
      </c>
      <c r="BD135">
        <f t="shared" si="170"/>
        <v>1.2400284605772156</v>
      </c>
      <c r="BE135">
        <f t="shared" si="171"/>
        <v>497.74075494619393</v>
      </c>
      <c r="BF135" t="s">
        <v>1023</v>
      </c>
      <c r="BG135">
        <v>639.22</v>
      </c>
      <c r="BH135">
        <f t="shared" si="172"/>
        <v>639.22</v>
      </c>
      <c r="BI135">
        <f t="shared" si="173"/>
        <v>0.54274405155932559</v>
      </c>
      <c r="BJ135">
        <f t="shared" si="174"/>
        <v>0.73975134438767798</v>
      </c>
      <c r="BK135">
        <f t="shared" si="175"/>
        <v>0.69556180170801452</v>
      </c>
      <c r="BL135">
        <f t="shared" si="176"/>
        <v>0.72141011708705816</v>
      </c>
      <c r="BM135">
        <f t="shared" si="177"/>
        <v>0.69021944969609561</v>
      </c>
      <c r="BN135">
        <f t="shared" si="178"/>
        <v>0.56516831991872274</v>
      </c>
      <c r="BO135">
        <f t="shared" si="179"/>
        <v>0.43483168008127726</v>
      </c>
      <c r="BP135">
        <v>13806</v>
      </c>
      <c r="BQ135">
        <v>290.00000000000011</v>
      </c>
      <c r="BR135">
        <v>1213.75</v>
      </c>
      <c r="BS135">
        <v>295</v>
      </c>
      <c r="BT135">
        <v>8192.82</v>
      </c>
      <c r="BU135">
        <v>1216.3599999999999</v>
      </c>
      <c r="BV135">
        <v>-2.61</v>
      </c>
      <c r="BW135">
        <v>300.00000000000011</v>
      </c>
      <c r="BX135">
        <v>19.3</v>
      </c>
      <c r="BY135">
        <v>1397.947915559887</v>
      </c>
      <c r="BZ135">
        <v>4.3966473022800177</v>
      </c>
      <c r="CA135">
        <v>-148.76877160898491</v>
      </c>
      <c r="CB135">
        <v>3.307773961186173</v>
      </c>
      <c r="CC135">
        <v>0.98634675927503479</v>
      </c>
      <c r="CD135">
        <v>-4.2443414905450512E-3</v>
      </c>
      <c r="CE135">
        <v>289.99999999999989</v>
      </c>
      <c r="CF135">
        <v>1208.18</v>
      </c>
      <c r="CG135">
        <v>655</v>
      </c>
      <c r="CH135">
        <v>8181.61</v>
      </c>
      <c r="CI135">
        <v>1216.1099999999999</v>
      </c>
      <c r="CJ135">
        <v>-7.93</v>
      </c>
      <c r="CX135">
        <f t="shared" si="180"/>
        <v>1800.17</v>
      </c>
      <c r="CY135">
        <f t="shared" si="181"/>
        <v>1513.3278000065827</v>
      </c>
      <c r="CZ135">
        <f t="shared" si="182"/>
        <v>0.8406582711669357</v>
      </c>
      <c r="DA135">
        <f t="shared" si="183"/>
        <v>0.16087046335218597</v>
      </c>
      <c r="DB135">
        <v>6</v>
      </c>
      <c r="DC135">
        <v>0.5</v>
      </c>
      <c r="DD135" t="s">
        <v>421</v>
      </c>
      <c r="DE135">
        <v>2</v>
      </c>
      <c r="DF135">
        <v>1689021951</v>
      </c>
      <c r="DG135">
        <v>1120.3499999999999</v>
      </c>
      <c r="DH135">
        <v>1200.19</v>
      </c>
      <c r="DI135">
        <v>27.852900000000002</v>
      </c>
      <c r="DJ135">
        <v>21.555099999999999</v>
      </c>
      <c r="DK135">
        <v>1120.19</v>
      </c>
      <c r="DL135">
        <v>27.730899999999998</v>
      </c>
      <c r="DM135">
        <v>500.13600000000002</v>
      </c>
      <c r="DN135">
        <v>99.098399999999998</v>
      </c>
      <c r="DO135">
        <v>0.100051</v>
      </c>
      <c r="DP135">
        <v>30.1402</v>
      </c>
      <c r="DQ135">
        <v>29.966999999999999</v>
      </c>
      <c r="DR135">
        <v>999.9</v>
      </c>
      <c r="DS135">
        <v>0</v>
      </c>
      <c r="DT135">
        <v>0</v>
      </c>
      <c r="DU135">
        <v>9990</v>
      </c>
      <c r="DV135">
        <v>0</v>
      </c>
      <c r="DW135">
        <v>533.27300000000002</v>
      </c>
      <c r="DX135">
        <v>-79.847200000000001</v>
      </c>
      <c r="DY135">
        <v>1152.45</v>
      </c>
      <c r="DZ135">
        <v>1226.6300000000001</v>
      </c>
      <c r="EA135">
        <v>6.2978199999999998</v>
      </c>
      <c r="EB135">
        <v>1200.19</v>
      </c>
      <c r="EC135">
        <v>21.555099999999999</v>
      </c>
      <c r="ED135">
        <v>2.7601800000000001</v>
      </c>
      <c r="EE135">
        <v>2.1360700000000001</v>
      </c>
      <c r="EF135">
        <v>22.6478</v>
      </c>
      <c r="EG135">
        <v>18.4908</v>
      </c>
      <c r="EH135">
        <v>1800.17</v>
      </c>
      <c r="EI135">
        <v>0.97799499999999995</v>
      </c>
      <c r="EJ135">
        <v>2.2004900000000001E-2</v>
      </c>
      <c r="EK135">
        <v>0</v>
      </c>
      <c r="EL135">
        <v>836.32899999999995</v>
      </c>
      <c r="EM135">
        <v>4.9999900000000004</v>
      </c>
      <c r="EN135">
        <v>18252.8</v>
      </c>
      <c r="EO135">
        <v>15865.3</v>
      </c>
      <c r="EP135">
        <v>50.25</v>
      </c>
      <c r="EQ135">
        <v>51.311999999999998</v>
      </c>
      <c r="ER135">
        <v>50.811999999999998</v>
      </c>
      <c r="ES135">
        <v>50.811999999999998</v>
      </c>
      <c r="ET135">
        <v>51.75</v>
      </c>
      <c r="EU135">
        <v>1755.67</v>
      </c>
      <c r="EV135">
        <v>39.5</v>
      </c>
      <c r="EW135">
        <v>0</v>
      </c>
      <c r="EX135">
        <v>111.6000001430511</v>
      </c>
      <c r="EY135">
        <v>0</v>
      </c>
      <c r="EZ135">
        <v>836.67791999999997</v>
      </c>
      <c r="FA135">
        <v>-0.32115386501288068</v>
      </c>
      <c r="FB135">
        <v>410.07692300050508</v>
      </c>
      <c r="FC135">
        <v>18206.259999999998</v>
      </c>
      <c r="FD135">
        <v>15</v>
      </c>
      <c r="FE135">
        <v>1689021919</v>
      </c>
      <c r="FF135" t="s">
        <v>1024</v>
      </c>
      <c r="FG135">
        <v>1689021919</v>
      </c>
      <c r="FH135">
        <v>1689021909</v>
      </c>
      <c r="FI135">
        <v>131</v>
      </c>
      <c r="FJ135">
        <v>0.14899999999999999</v>
      </c>
      <c r="FK135">
        <v>-4.0000000000000001E-3</v>
      </c>
      <c r="FL135">
        <v>0.17799999999999999</v>
      </c>
      <c r="FM135">
        <v>0.10100000000000001</v>
      </c>
      <c r="FN135">
        <v>1201</v>
      </c>
      <c r="FO135">
        <v>21</v>
      </c>
      <c r="FP135">
        <v>0.03</v>
      </c>
      <c r="FQ135">
        <v>0.01</v>
      </c>
      <c r="FR135">
        <v>60.711586575703699</v>
      </c>
      <c r="FS135">
        <v>-0.43286445852395522</v>
      </c>
      <c r="FT135">
        <v>8.2815347101051665E-2</v>
      </c>
      <c r="FU135">
        <v>1</v>
      </c>
      <c r="FV135">
        <v>0.36708758329814267</v>
      </c>
      <c r="FW135">
        <v>2.9579870447873999E-2</v>
      </c>
      <c r="FX135">
        <v>2.3552588912239538E-3</v>
      </c>
      <c r="FY135">
        <v>1</v>
      </c>
      <c r="FZ135">
        <v>2</v>
      </c>
      <c r="GA135">
        <v>2</v>
      </c>
      <c r="GB135" t="s">
        <v>423</v>
      </c>
      <c r="GC135">
        <v>2.95709</v>
      </c>
      <c r="GD135">
        <v>2.7431899999999998</v>
      </c>
      <c r="GE135">
        <v>0.18051200000000001</v>
      </c>
      <c r="GF135">
        <v>0.18804699999999999</v>
      </c>
      <c r="GG135">
        <v>0.12784300000000001</v>
      </c>
      <c r="GH135">
        <v>0.106346</v>
      </c>
      <c r="GI135">
        <v>19204.099999999999</v>
      </c>
      <c r="GJ135">
        <v>17736.7</v>
      </c>
      <c r="GK135">
        <v>23371.7</v>
      </c>
      <c r="GL135">
        <v>21898.6</v>
      </c>
      <c r="GM135">
        <v>28765.5</v>
      </c>
      <c r="GN135">
        <v>27321</v>
      </c>
      <c r="GO135">
        <v>36884.699999999997</v>
      </c>
      <c r="GP135">
        <v>34081.4</v>
      </c>
      <c r="GQ135">
        <v>1.9661500000000001</v>
      </c>
      <c r="GR135">
        <v>1.79097</v>
      </c>
      <c r="GS135">
        <v>4.4703499999999997E-3</v>
      </c>
      <c r="GT135">
        <v>0</v>
      </c>
      <c r="GU135">
        <v>29.894300000000001</v>
      </c>
      <c r="GV135">
        <v>999.9</v>
      </c>
      <c r="GW135">
        <v>27</v>
      </c>
      <c r="GX135">
        <v>47.2</v>
      </c>
      <c r="GY135">
        <v>29.3903</v>
      </c>
      <c r="GZ135">
        <v>60.558199999999999</v>
      </c>
      <c r="HA135">
        <v>39.378999999999998</v>
      </c>
      <c r="HB135">
        <v>1</v>
      </c>
      <c r="HC135">
        <v>0.60990100000000003</v>
      </c>
      <c r="HD135">
        <v>1.43147</v>
      </c>
      <c r="HE135">
        <v>20.106300000000001</v>
      </c>
      <c r="HF135">
        <v>5.2646100000000002</v>
      </c>
      <c r="HG135">
        <v>11.962</v>
      </c>
      <c r="HH135">
        <v>4.9797000000000002</v>
      </c>
      <c r="HI135">
        <v>3.298</v>
      </c>
      <c r="HJ135">
        <v>9999</v>
      </c>
      <c r="HK135">
        <v>9999</v>
      </c>
      <c r="HL135">
        <v>9999</v>
      </c>
      <c r="HM135">
        <v>999.9</v>
      </c>
      <c r="HN135">
        <v>1.8642300000000001</v>
      </c>
      <c r="HO135">
        <v>1.86022</v>
      </c>
      <c r="HP135">
        <v>1.8668100000000001</v>
      </c>
      <c r="HQ135">
        <v>1.86354</v>
      </c>
      <c r="HR135">
        <v>1.8621700000000001</v>
      </c>
      <c r="HS135">
        <v>1.8621799999999999</v>
      </c>
      <c r="HT135">
        <v>1.86344</v>
      </c>
      <c r="HU135">
        <v>1.86477</v>
      </c>
      <c r="HV135">
        <v>0</v>
      </c>
      <c r="HW135">
        <v>0</v>
      </c>
      <c r="HX135">
        <v>0</v>
      </c>
      <c r="HY135">
        <v>0</v>
      </c>
      <c r="HZ135" t="s">
        <v>424</v>
      </c>
      <c r="IA135" t="s">
        <v>425</v>
      </c>
      <c r="IB135" t="s">
        <v>426</v>
      </c>
      <c r="IC135" t="s">
        <v>426</v>
      </c>
      <c r="ID135" t="s">
        <v>426</v>
      </c>
      <c r="IE135" t="s">
        <v>426</v>
      </c>
      <c r="IF135">
        <v>0</v>
      </c>
      <c r="IG135">
        <v>100</v>
      </c>
      <c r="IH135">
        <v>100</v>
      </c>
      <c r="II135">
        <v>0.16</v>
      </c>
      <c r="IJ135">
        <v>0.122</v>
      </c>
      <c r="IK135">
        <v>2.7915688169563802E-2</v>
      </c>
      <c r="IL135">
        <v>-8.3322953065825546E-5</v>
      </c>
      <c r="IM135">
        <v>2.3872336679552741E-7</v>
      </c>
      <c r="IN135">
        <v>-5.428329794194132E-11</v>
      </c>
      <c r="IO135">
        <v>0.12198567763710889</v>
      </c>
      <c r="IP135">
        <v>0</v>
      </c>
      <c r="IQ135">
        <v>0</v>
      </c>
      <c r="IR135">
        <v>0</v>
      </c>
      <c r="IS135">
        <v>2</v>
      </c>
      <c r="IT135">
        <v>2035</v>
      </c>
      <c r="IU135">
        <v>1</v>
      </c>
      <c r="IV135">
        <v>21</v>
      </c>
      <c r="IW135">
        <v>0.5</v>
      </c>
      <c r="IX135">
        <v>0.7</v>
      </c>
      <c r="IY135">
        <v>2.63184</v>
      </c>
      <c r="IZ135">
        <v>2.7209500000000002</v>
      </c>
      <c r="JA135">
        <v>1.4526399999999999</v>
      </c>
      <c r="JB135">
        <v>2.2741699999999998</v>
      </c>
      <c r="JC135">
        <v>1.5942400000000001</v>
      </c>
      <c r="JD135">
        <v>2.2778299999999998</v>
      </c>
      <c r="JE135">
        <v>48.7637</v>
      </c>
      <c r="JF135">
        <v>24.262599999999999</v>
      </c>
      <c r="JG135">
        <v>18</v>
      </c>
      <c r="JH135">
        <v>500.68099999999998</v>
      </c>
      <c r="JI135">
        <v>420.99700000000001</v>
      </c>
      <c r="JJ135">
        <v>28.226299999999998</v>
      </c>
      <c r="JK135">
        <v>34.680700000000002</v>
      </c>
      <c r="JL135">
        <v>30</v>
      </c>
      <c r="JM135">
        <v>34.647799999999997</v>
      </c>
      <c r="JN135">
        <v>34.644100000000002</v>
      </c>
      <c r="JO135">
        <v>52.608199999999997</v>
      </c>
      <c r="JP135">
        <v>28.74</v>
      </c>
      <c r="JQ135">
        <v>0</v>
      </c>
      <c r="JR135">
        <v>28.245000000000001</v>
      </c>
      <c r="JS135">
        <v>1200</v>
      </c>
      <c r="JT135">
        <v>21.751899999999999</v>
      </c>
      <c r="JU135">
        <v>98.853499999999997</v>
      </c>
      <c r="JV135">
        <v>98.300899999999999</v>
      </c>
    </row>
    <row r="136" spans="1:282" x14ac:dyDescent="0.25">
      <c r="A136">
        <v>120</v>
      </c>
      <c r="B136">
        <v>1689022114</v>
      </c>
      <c r="C136">
        <v>22773.400000095371</v>
      </c>
      <c r="D136" t="s">
        <v>1025</v>
      </c>
      <c r="E136" t="s">
        <v>1026</v>
      </c>
      <c r="F136" t="s">
        <v>414</v>
      </c>
      <c r="G136" t="s">
        <v>415</v>
      </c>
      <c r="H136" t="s">
        <v>500</v>
      </c>
      <c r="I136" t="s">
        <v>417</v>
      </c>
      <c r="J136" t="s">
        <v>500</v>
      </c>
      <c r="K136">
        <v>1689022114</v>
      </c>
      <c r="L136">
        <f t="shared" si="138"/>
        <v>5.3357722079282136E-3</v>
      </c>
      <c r="M136">
        <f t="shared" si="139"/>
        <v>5.3357722079282137</v>
      </c>
      <c r="N136">
        <f t="shared" si="140"/>
        <v>59.72704830895497</v>
      </c>
      <c r="O136">
        <f t="shared" si="141"/>
        <v>1419.36</v>
      </c>
      <c r="P136">
        <f t="shared" si="142"/>
        <v>1114.6156403439315</v>
      </c>
      <c r="Q136">
        <f t="shared" si="143"/>
        <v>110.56883782757316</v>
      </c>
      <c r="R136">
        <f t="shared" si="144"/>
        <v>140.79919568553598</v>
      </c>
      <c r="S136">
        <f t="shared" si="145"/>
        <v>0.37007255816934537</v>
      </c>
      <c r="T136">
        <f t="shared" si="146"/>
        <v>2.9137026610814729</v>
      </c>
      <c r="U136">
        <f t="shared" si="147"/>
        <v>0.34580251746014329</v>
      </c>
      <c r="V136">
        <f t="shared" si="148"/>
        <v>0.21817436353095809</v>
      </c>
      <c r="W136">
        <f t="shared" si="149"/>
        <v>289.56270001269951</v>
      </c>
      <c r="X136">
        <f t="shared" si="150"/>
        <v>30.342996711404712</v>
      </c>
      <c r="Y136">
        <f t="shared" si="151"/>
        <v>30.047899999999998</v>
      </c>
      <c r="Z136">
        <f t="shared" si="152"/>
        <v>4.2721857672548422</v>
      </c>
      <c r="AA136">
        <f t="shared" si="153"/>
        <v>65.545144033386677</v>
      </c>
      <c r="AB136">
        <f t="shared" si="154"/>
        <v>2.7960647399326404</v>
      </c>
      <c r="AC136">
        <f t="shared" si="155"/>
        <v>4.265861004910465</v>
      </c>
      <c r="AD136">
        <f t="shared" si="156"/>
        <v>1.4761210273222019</v>
      </c>
      <c r="AE136">
        <f t="shared" si="157"/>
        <v>-235.30755436963423</v>
      </c>
      <c r="AF136">
        <f t="shared" si="158"/>
        <v>-4.0527552768970301</v>
      </c>
      <c r="AG136">
        <f t="shared" si="159"/>
        <v>-0.30938177930499905</v>
      </c>
      <c r="AH136">
        <f t="shared" si="160"/>
        <v>49.893008586863246</v>
      </c>
      <c r="AI136">
        <v>0</v>
      </c>
      <c r="AJ136">
        <v>0</v>
      </c>
      <c r="AK136">
        <f t="shared" si="161"/>
        <v>1</v>
      </c>
      <c r="AL136">
        <f t="shared" si="162"/>
        <v>0</v>
      </c>
      <c r="AM136">
        <f t="shared" si="163"/>
        <v>51878.354351965441</v>
      </c>
      <c r="AN136" t="s">
        <v>418</v>
      </c>
      <c r="AO136">
        <v>8197.4</v>
      </c>
      <c r="AP136">
        <v>619.92999999999995</v>
      </c>
      <c r="AQ136">
        <v>3131.443117258741</v>
      </c>
      <c r="AR136">
        <f t="shared" si="164"/>
        <v>0.80203057287443702</v>
      </c>
      <c r="AS136">
        <v>-1.0448500102641549</v>
      </c>
      <c r="AT136" t="s">
        <v>1027</v>
      </c>
      <c r="AU136">
        <v>8195.27</v>
      </c>
      <c r="AV136">
        <v>831.8505769230768</v>
      </c>
      <c r="AW136">
        <v>1384.650587680507</v>
      </c>
      <c r="AX136">
        <f t="shared" si="165"/>
        <v>0.399234301906773</v>
      </c>
      <c r="AY136">
        <v>0.5</v>
      </c>
      <c r="AZ136">
        <f t="shared" si="166"/>
        <v>1513.16760000658</v>
      </c>
      <c r="BA136">
        <f t="shared" si="167"/>
        <v>59.72704830895497</v>
      </c>
      <c r="BB136">
        <f t="shared" si="168"/>
        <v>302.05420522828706</v>
      </c>
      <c r="BC136">
        <f t="shared" si="169"/>
        <v>4.0162040423648286E-2</v>
      </c>
      <c r="BD136">
        <f t="shared" si="170"/>
        <v>1.2615403085224324</v>
      </c>
      <c r="BE136">
        <f t="shared" si="171"/>
        <v>496.04463270400828</v>
      </c>
      <c r="BF136" t="s">
        <v>1028</v>
      </c>
      <c r="BG136">
        <v>634.59</v>
      </c>
      <c r="BH136">
        <f t="shared" si="172"/>
        <v>634.59</v>
      </c>
      <c r="BI136">
        <f t="shared" si="173"/>
        <v>0.54169665210410134</v>
      </c>
      <c r="BJ136">
        <f t="shared" si="174"/>
        <v>0.73700714293882996</v>
      </c>
      <c r="BK136">
        <f t="shared" si="175"/>
        <v>0.69959763251753171</v>
      </c>
      <c r="BL136">
        <f t="shared" si="176"/>
        <v>0.72287842077606623</v>
      </c>
      <c r="BM136">
        <f t="shared" si="177"/>
        <v>0.69551399814499792</v>
      </c>
      <c r="BN136">
        <f t="shared" si="178"/>
        <v>0.56223722843051083</v>
      </c>
      <c r="BO136">
        <f t="shared" si="179"/>
        <v>0.43776277156948917</v>
      </c>
      <c r="BP136">
        <v>13808</v>
      </c>
      <c r="BQ136">
        <v>290.00000000000011</v>
      </c>
      <c r="BR136">
        <v>1205.04</v>
      </c>
      <c r="BS136">
        <v>265</v>
      </c>
      <c r="BT136">
        <v>8195.27</v>
      </c>
      <c r="BU136">
        <v>1208.6099999999999</v>
      </c>
      <c r="BV136">
        <v>-3.57</v>
      </c>
      <c r="BW136">
        <v>300.00000000000011</v>
      </c>
      <c r="BX136">
        <v>19.3</v>
      </c>
      <c r="BY136">
        <v>1384.650587680507</v>
      </c>
      <c r="BZ136">
        <v>3.9698886092229122</v>
      </c>
      <c r="CA136">
        <v>-144.26710534560041</v>
      </c>
      <c r="CB136">
        <v>2.9870947975046982</v>
      </c>
      <c r="CC136">
        <v>0.98813851042225476</v>
      </c>
      <c r="CD136">
        <v>-4.2445087875417186E-3</v>
      </c>
      <c r="CE136">
        <v>289.99999999999989</v>
      </c>
      <c r="CF136">
        <v>1201.99</v>
      </c>
      <c r="CG136">
        <v>635</v>
      </c>
      <c r="CH136">
        <v>8183.34</v>
      </c>
      <c r="CI136">
        <v>1208.3599999999999</v>
      </c>
      <c r="CJ136">
        <v>-6.37</v>
      </c>
      <c r="CX136">
        <f t="shared" si="180"/>
        <v>1799.98</v>
      </c>
      <c r="CY136">
        <f t="shared" si="181"/>
        <v>1513.16760000658</v>
      </c>
      <c r="CZ136">
        <f t="shared" si="182"/>
        <v>0.84065800731484785</v>
      </c>
      <c r="DA136">
        <f t="shared" si="183"/>
        <v>0.16086995411765659</v>
      </c>
      <c r="DB136">
        <v>6</v>
      </c>
      <c r="DC136">
        <v>0.5</v>
      </c>
      <c r="DD136" t="s">
        <v>421</v>
      </c>
      <c r="DE136">
        <v>2</v>
      </c>
      <c r="DF136">
        <v>1689022114</v>
      </c>
      <c r="DG136">
        <v>1419.36</v>
      </c>
      <c r="DH136">
        <v>1500.09</v>
      </c>
      <c r="DI136">
        <v>28.186399999999999</v>
      </c>
      <c r="DJ136">
        <v>21.9663</v>
      </c>
      <c r="DK136">
        <v>1419.12</v>
      </c>
      <c r="DL136">
        <v>28.033100000000001</v>
      </c>
      <c r="DM136">
        <v>500.18900000000002</v>
      </c>
      <c r="DN136">
        <v>99.099400000000003</v>
      </c>
      <c r="DO136">
        <v>9.96726E-2</v>
      </c>
      <c r="DP136">
        <v>30.022099999999998</v>
      </c>
      <c r="DQ136">
        <v>30.047899999999998</v>
      </c>
      <c r="DR136">
        <v>999.9</v>
      </c>
      <c r="DS136">
        <v>0</v>
      </c>
      <c r="DT136">
        <v>0</v>
      </c>
      <c r="DU136">
        <v>10000</v>
      </c>
      <c r="DV136">
        <v>0</v>
      </c>
      <c r="DW136">
        <v>1724.57</v>
      </c>
      <c r="DX136">
        <v>-80.730199999999996</v>
      </c>
      <c r="DY136">
        <v>1460.52</v>
      </c>
      <c r="DZ136">
        <v>1533.78</v>
      </c>
      <c r="EA136">
        <v>6.22011</v>
      </c>
      <c r="EB136">
        <v>1500.09</v>
      </c>
      <c r="EC136">
        <v>21.9663</v>
      </c>
      <c r="ED136">
        <v>2.79325</v>
      </c>
      <c r="EE136">
        <v>2.1768399999999999</v>
      </c>
      <c r="EF136">
        <v>22.8443</v>
      </c>
      <c r="EG136">
        <v>18.792899999999999</v>
      </c>
      <c r="EH136">
        <v>1799.98</v>
      </c>
      <c r="EI136">
        <v>0.97800399999999998</v>
      </c>
      <c r="EJ136">
        <v>2.19963E-2</v>
      </c>
      <c r="EK136">
        <v>0</v>
      </c>
      <c r="EL136">
        <v>832.12199999999996</v>
      </c>
      <c r="EM136">
        <v>4.9999900000000004</v>
      </c>
      <c r="EN136">
        <v>22958.799999999999</v>
      </c>
      <c r="EO136">
        <v>15863.7</v>
      </c>
      <c r="EP136">
        <v>50.125</v>
      </c>
      <c r="EQ136">
        <v>51.125</v>
      </c>
      <c r="ER136">
        <v>50.686999999999998</v>
      </c>
      <c r="ES136">
        <v>50.561999999999998</v>
      </c>
      <c r="ET136">
        <v>51.686999999999998</v>
      </c>
      <c r="EU136">
        <v>1755.5</v>
      </c>
      <c r="EV136">
        <v>39.479999999999997</v>
      </c>
      <c r="EW136">
        <v>0</v>
      </c>
      <c r="EX136">
        <v>161</v>
      </c>
      <c r="EY136">
        <v>0</v>
      </c>
      <c r="EZ136">
        <v>831.8505769230768</v>
      </c>
      <c r="FA136">
        <v>-2.616717960238518</v>
      </c>
      <c r="FB136">
        <v>-123.3948718025061</v>
      </c>
      <c r="FC136">
        <v>22964.00384615385</v>
      </c>
      <c r="FD136">
        <v>15</v>
      </c>
      <c r="FE136">
        <v>1689022080</v>
      </c>
      <c r="FF136" t="s">
        <v>1029</v>
      </c>
      <c r="FG136">
        <v>1689021919</v>
      </c>
      <c r="FH136">
        <v>1689022069</v>
      </c>
      <c r="FI136">
        <v>132</v>
      </c>
      <c r="FJ136">
        <v>0.14899999999999999</v>
      </c>
      <c r="FK136">
        <v>3.1E-2</v>
      </c>
      <c r="FL136">
        <v>0.17799999999999999</v>
      </c>
      <c r="FM136">
        <v>0.153</v>
      </c>
      <c r="FN136">
        <v>1201</v>
      </c>
      <c r="FO136">
        <v>23</v>
      </c>
      <c r="FP136">
        <v>0.03</v>
      </c>
      <c r="FQ136">
        <v>0.02</v>
      </c>
      <c r="FR136">
        <v>59.741132590097898</v>
      </c>
      <c r="FS136">
        <v>-0.69678001215473073</v>
      </c>
      <c r="FT136">
        <v>5.7062771196417048E-2</v>
      </c>
      <c r="FU136">
        <v>1</v>
      </c>
      <c r="FV136">
        <v>0.37628739999196043</v>
      </c>
      <c r="FW136">
        <v>-4.636744161357538E-2</v>
      </c>
      <c r="FX136">
        <v>3.40577645872995E-3</v>
      </c>
      <c r="FY136">
        <v>1</v>
      </c>
      <c r="FZ136">
        <v>2</v>
      </c>
      <c r="GA136">
        <v>2</v>
      </c>
      <c r="GB136" t="s">
        <v>423</v>
      </c>
      <c r="GC136">
        <v>2.9573100000000001</v>
      </c>
      <c r="GD136">
        <v>2.7429100000000002</v>
      </c>
      <c r="GE136">
        <v>0.20855599999999999</v>
      </c>
      <c r="GF136">
        <v>0.21513499999999999</v>
      </c>
      <c r="GG136">
        <v>0.12881699999999999</v>
      </c>
      <c r="GH136">
        <v>0.107765</v>
      </c>
      <c r="GI136">
        <v>18550.900000000001</v>
      </c>
      <c r="GJ136">
        <v>17150.2</v>
      </c>
      <c r="GK136">
        <v>23378</v>
      </c>
      <c r="GL136">
        <v>21906.5</v>
      </c>
      <c r="GM136">
        <v>28742.400000000001</v>
      </c>
      <c r="GN136">
        <v>27287.7</v>
      </c>
      <c r="GO136">
        <v>36894.9</v>
      </c>
      <c r="GP136">
        <v>34092.5</v>
      </c>
      <c r="GQ136">
        <v>1.9673</v>
      </c>
      <c r="GR136">
        <v>1.79538</v>
      </c>
      <c r="GS136">
        <v>4.7534700000000001E-3</v>
      </c>
      <c r="GT136">
        <v>0</v>
      </c>
      <c r="GU136">
        <v>29.970500000000001</v>
      </c>
      <c r="GV136">
        <v>999.9</v>
      </c>
      <c r="GW136">
        <v>26.9</v>
      </c>
      <c r="GX136">
        <v>47.1</v>
      </c>
      <c r="GY136">
        <v>29.1296</v>
      </c>
      <c r="GZ136">
        <v>60.338200000000001</v>
      </c>
      <c r="HA136">
        <v>38.786099999999998</v>
      </c>
      <c r="HB136">
        <v>1</v>
      </c>
      <c r="HC136">
        <v>0.60444900000000001</v>
      </c>
      <c r="HD136">
        <v>3.2657799999999999</v>
      </c>
      <c r="HE136">
        <v>20.0776</v>
      </c>
      <c r="HF136">
        <v>5.2608699999999997</v>
      </c>
      <c r="HG136">
        <v>11.962199999999999</v>
      </c>
      <c r="HH136">
        <v>4.9791499999999997</v>
      </c>
      <c r="HI136">
        <v>3.2972000000000001</v>
      </c>
      <c r="HJ136">
        <v>9999</v>
      </c>
      <c r="HK136">
        <v>9999</v>
      </c>
      <c r="HL136">
        <v>9999</v>
      </c>
      <c r="HM136">
        <v>999.9</v>
      </c>
      <c r="HN136">
        <v>1.8641799999999999</v>
      </c>
      <c r="HO136">
        <v>1.8602000000000001</v>
      </c>
      <c r="HP136">
        <v>1.8667800000000001</v>
      </c>
      <c r="HQ136">
        <v>1.86354</v>
      </c>
      <c r="HR136">
        <v>1.86216</v>
      </c>
      <c r="HS136">
        <v>1.8621799999999999</v>
      </c>
      <c r="HT136">
        <v>1.8633999999999999</v>
      </c>
      <c r="HU136">
        <v>1.8647499999999999</v>
      </c>
      <c r="HV136">
        <v>0</v>
      </c>
      <c r="HW136">
        <v>0</v>
      </c>
      <c r="HX136">
        <v>0</v>
      </c>
      <c r="HY136">
        <v>0</v>
      </c>
      <c r="HZ136" t="s">
        <v>424</v>
      </c>
      <c r="IA136" t="s">
        <v>425</v>
      </c>
      <c r="IB136" t="s">
        <v>426</v>
      </c>
      <c r="IC136" t="s">
        <v>426</v>
      </c>
      <c r="ID136" t="s">
        <v>426</v>
      </c>
      <c r="IE136" t="s">
        <v>426</v>
      </c>
      <c r="IF136">
        <v>0</v>
      </c>
      <c r="IG136">
        <v>100</v>
      </c>
      <c r="IH136">
        <v>100</v>
      </c>
      <c r="II136">
        <v>0.24</v>
      </c>
      <c r="IJ136">
        <v>0.15329999999999999</v>
      </c>
      <c r="IK136">
        <v>2.7915688169563802E-2</v>
      </c>
      <c r="IL136">
        <v>-8.3322953065825546E-5</v>
      </c>
      <c r="IM136">
        <v>2.3872336679552741E-7</v>
      </c>
      <c r="IN136">
        <v>-5.428329794194132E-11</v>
      </c>
      <c r="IO136">
        <v>0.15324285714286029</v>
      </c>
      <c r="IP136">
        <v>0</v>
      </c>
      <c r="IQ136">
        <v>0</v>
      </c>
      <c r="IR136">
        <v>0</v>
      </c>
      <c r="IS136">
        <v>2</v>
      </c>
      <c r="IT136">
        <v>2035</v>
      </c>
      <c r="IU136">
        <v>1</v>
      </c>
      <c r="IV136">
        <v>21</v>
      </c>
      <c r="IW136">
        <v>3.2</v>
      </c>
      <c r="IX136">
        <v>0.8</v>
      </c>
      <c r="IY136">
        <v>3.14941</v>
      </c>
      <c r="IZ136">
        <v>2.7087400000000001</v>
      </c>
      <c r="JA136">
        <v>1.4526399999999999</v>
      </c>
      <c r="JB136">
        <v>2.2741699999999998</v>
      </c>
      <c r="JC136">
        <v>1.5942400000000001</v>
      </c>
      <c r="JD136">
        <v>2.3596200000000001</v>
      </c>
      <c r="JE136">
        <v>48.732599999999998</v>
      </c>
      <c r="JF136">
        <v>24.262599999999999</v>
      </c>
      <c r="JG136">
        <v>18</v>
      </c>
      <c r="JH136">
        <v>501.12099999999998</v>
      </c>
      <c r="JI136">
        <v>423.779</v>
      </c>
      <c r="JJ136">
        <v>26.8278</v>
      </c>
      <c r="JK136">
        <v>34.587499999999999</v>
      </c>
      <c r="JL136">
        <v>30.0002</v>
      </c>
      <c r="JM136">
        <v>34.610300000000002</v>
      </c>
      <c r="JN136">
        <v>34.619199999999999</v>
      </c>
      <c r="JO136">
        <v>62.9574</v>
      </c>
      <c r="JP136">
        <v>26.943899999999999</v>
      </c>
      <c r="JQ136">
        <v>0</v>
      </c>
      <c r="JR136">
        <v>26.7957</v>
      </c>
      <c r="JS136">
        <v>1500</v>
      </c>
      <c r="JT136">
        <v>21.841100000000001</v>
      </c>
      <c r="JU136">
        <v>98.880600000000001</v>
      </c>
      <c r="JV136">
        <v>98.334400000000002</v>
      </c>
    </row>
    <row r="137" spans="1:282" x14ac:dyDescent="0.25">
      <c r="A137">
        <v>121</v>
      </c>
      <c r="B137">
        <v>1689023432.0999999</v>
      </c>
      <c r="C137">
        <v>24091.5</v>
      </c>
      <c r="D137" t="s">
        <v>1030</v>
      </c>
      <c r="E137" t="s">
        <v>1031</v>
      </c>
      <c r="F137" t="s">
        <v>414</v>
      </c>
      <c r="G137" t="s">
        <v>415</v>
      </c>
      <c r="H137" t="s">
        <v>577</v>
      </c>
      <c r="I137" t="s">
        <v>655</v>
      </c>
      <c r="J137" t="s">
        <v>500</v>
      </c>
      <c r="K137">
        <v>1689023432.0999999</v>
      </c>
      <c r="L137">
        <f t="shared" si="138"/>
        <v>5.5606354469184697E-3</v>
      </c>
      <c r="M137">
        <f t="shared" si="139"/>
        <v>5.5606354469184698</v>
      </c>
      <c r="N137">
        <f t="shared" si="140"/>
        <v>53.695528611685148</v>
      </c>
      <c r="O137">
        <f t="shared" si="141"/>
        <v>333.39</v>
      </c>
      <c r="P137">
        <f t="shared" si="142"/>
        <v>88.103836766879084</v>
      </c>
      <c r="Q137">
        <f t="shared" si="143"/>
        <v>8.7384795276288898</v>
      </c>
      <c r="R137">
        <f t="shared" si="144"/>
        <v>33.066910552656005</v>
      </c>
      <c r="S137">
        <f t="shared" si="145"/>
        <v>0.38000073073158552</v>
      </c>
      <c r="T137">
        <f t="shared" si="146"/>
        <v>2.9134290732341857</v>
      </c>
      <c r="U137">
        <f t="shared" si="147"/>
        <v>0.35445697051441533</v>
      </c>
      <c r="V137">
        <f t="shared" si="148"/>
        <v>0.22368736447734613</v>
      </c>
      <c r="W137">
        <f t="shared" si="149"/>
        <v>289.54674001270024</v>
      </c>
      <c r="X137">
        <f t="shared" si="150"/>
        <v>30.184091821303337</v>
      </c>
      <c r="Y137">
        <f t="shared" si="151"/>
        <v>30.064699999999998</v>
      </c>
      <c r="Z137">
        <f t="shared" si="152"/>
        <v>4.2763086090290843</v>
      </c>
      <c r="AA137">
        <f t="shared" si="153"/>
        <v>65.442241767314258</v>
      </c>
      <c r="AB137">
        <f t="shared" si="154"/>
        <v>2.7756506947569601</v>
      </c>
      <c r="AC137">
        <f t="shared" si="155"/>
        <v>4.2413747142496039</v>
      </c>
      <c r="AD137">
        <f t="shared" si="156"/>
        <v>1.5006579142721241</v>
      </c>
      <c r="AE137">
        <f t="shared" si="157"/>
        <v>-245.2240232091045</v>
      </c>
      <c r="AF137">
        <f t="shared" si="158"/>
        <v>-22.429422954417184</v>
      </c>
      <c r="AG137">
        <f t="shared" si="159"/>
        <v>-1.7116854471454199</v>
      </c>
      <c r="AH137">
        <f t="shared" si="160"/>
        <v>20.181608402033113</v>
      </c>
      <c r="AI137">
        <v>0</v>
      </c>
      <c r="AJ137">
        <v>0</v>
      </c>
      <c r="AK137">
        <f t="shared" si="161"/>
        <v>1</v>
      </c>
      <c r="AL137">
        <f t="shared" si="162"/>
        <v>0</v>
      </c>
      <c r="AM137">
        <f t="shared" si="163"/>
        <v>51887.397681733484</v>
      </c>
      <c r="AN137" t="s">
        <v>418</v>
      </c>
      <c r="AO137">
        <v>8197.4</v>
      </c>
      <c r="AP137">
        <v>619.92999999999995</v>
      </c>
      <c r="AQ137">
        <v>3131.443117258741</v>
      </c>
      <c r="AR137">
        <f t="shared" si="164"/>
        <v>0.80203057287443702</v>
      </c>
      <c r="AS137">
        <v>-1.0448500102641549</v>
      </c>
      <c r="AT137" t="s">
        <v>1032</v>
      </c>
      <c r="AU137">
        <v>8186.67</v>
      </c>
      <c r="AV137">
        <v>838.38442307692299</v>
      </c>
      <c r="AW137">
        <v>1299.648377640448</v>
      </c>
      <c r="AX137">
        <f t="shared" si="165"/>
        <v>0.35491442339270562</v>
      </c>
      <c r="AY137">
        <v>0.5</v>
      </c>
      <c r="AZ137">
        <f t="shared" si="166"/>
        <v>1513.0836000065806</v>
      </c>
      <c r="BA137">
        <f t="shared" si="167"/>
        <v>53.695528611685148</v>
      </c>
      <c r="BB137">
        <f t="shared" si="168"/>
        <v>268.50759672064737</v>
      </c>
      <c r="BC137">
        <f t="shared" si="169"/>
        <v>3.6178026529209116E-2</v>
      </c>
      <c r="BD137">
        <f t="shared" si="170"/>
        <v>1.409454103996939</v>
      </c>
      <c r="BE137">
        <f t="shared" si="171"/>
        <v>484.688061414733</v>
      </c>
      <c r="BF137" t="s">
        <v>1033</v>
      </c>
      <c r="BG137">
        <v>635.44000000000005</v>
      </c>
      <c r="BH137">
        <f t="shared" si="172"/>
        <v>635.44000000000005</v>
      </c>
      <c r="BI137">
        <f t="shared" si="173"/>
        <v>0.51106775422313755</v>
      </c>
      <c r="BJ137">
        <f t="shared" si="174"/>
        <v>0.6944566947531311</v>
      </c>
      <c r="BK137">
        <f t="shared" si="175"/>
        <v>0.73389120668650409</v>
      </c>
      <c r="BL137">
        <f t="shared" si="176"/>
        <v>0.678610391798941</v>
      </c>
      <c r="BM137">
        <f t="shared" si="177"/>
        <v>0.72935901749048193</v>
      </c>
      <c r="BN137">
        <f t="shared" si="178"/>
        <v>0.52635229134432648</v>
      </c>
      <c r="BO137">
        <f t="shared" si="179"/>
        <v>0.47364770865567352</v>
      </c>
      <c r="BP137">
        <v>13810</v>
      </c>
      <c r="BQ137">
        <v>290.00000000000011</v>
      </c>
      <c r="BR137">
        <v>1157.47</v>
      </c>
      <c r="BS137">
        <v>295</v>
      </c>
      <c r="BT137">
        <v>8186.67</v>
      </c>
      <c r="BU137">
        <v>1159.76</v>
      </c>
      <c r="BV137">
        <v>-2.29</v>
      </c>
      <c r="BW137">
        <v>300.00000000000011</v>
      </c>
      <c r="BX137">
        <v>19.3</v>
      </c>
      <c r="BY137">
        <v>1299.648377640448</v>
      </c>
      <c r="BZ137">
        <v>4.1058419046728272</v>
      </c>
      <c r="CA137">
        <v>-114.52518755348019</v>
      </c>
      <c r="CB137">
        <v>3.0867046472217852</v>
      </c>
      <c r="CC137">
        <v>0.98006568380962755</v>
      </c>
      <c r="CD137">
        <v>-4.2406529477196841E-3</v>
      </c>
      <c r="CE137">
        <v>289.99999999999989</v>
      </c>
      <c r="CF137">
        <v>1157.8699999999999</v>
      </c>
      <c r="CG137">
        <v>655</v>
      </c>
      <c r="CH137">
        <v>8175.59</v>
      </c>
      <c r="CI137">
        <v>1159.57</v>
      </c>
      <c r="CJ137">
        <v>-1.7</v>
      </c>
      <c r="CX137">
        <f t="shared" si="180"/>
        <v>1799.88</v>
      </c>
      <c r="CY137">
        <f t="shared" si="181"/>
        <v>1513.0836000065806</v>
      </c>
      <c r="CZ137">
        <f t="shared" si="182"/>
        <v>0.84065804387324738</v>
      </c>
      <c r="DA137">
        <f t="shared" si="183"/>
        <v>0.16087002467536737</v>
      </c>
      <c r="DB137">
        <v>6</v>
      </c>
      <c r="DC137">
        <v>0.5</v>
      </c>
      <c r="DD137" t="s">
        <v>421</v>
      </c>
      <c r="DE137">
        <v>2</v>
      </c>
      <c r="DF137">
        <v>1689023432.0999999</v>
      </c>
      <c r="DG137">
        <v>333.39</v>
      </c>
      <c r="DH137">
        <v>400.04899999999998</v>
      </c>
      <c r="DI137">
        <v>27.9849</v>
      </c>
      <c r="DJ137">
        <v>21.498899999999999</v>
      </c>
      <c r="DK137">
        <v>333.49099999999999</v>
      </c>
      <c r="DL137">
        <v>27.8643</v>
      </c>
      <c r="DM137">
        <v>500.00200000000001</v>
      </c>
      <c r="DN137">
        <v>99.0839</v>
      </c>
      <c r="DO137">
        <v>9.9970400000000001E-2</v>
      </c>
      <c r="DP137">
        <v>29.921900000000001</v>
      </c>
      <c r="DQ137">
        <v>30.064699999999998</v>
      </c>
      <c r="DR137">
        <v>999.9</v>
      </c>
      <c r="DS137">
        <v>0</v>
      </c>
      <c r="DT137">
        <v>0</v>
      </c>
      <c r="DU137">
        <v>10000</v>
      </c>
      <c r="DV137">
        <v>0</v>
      </c>
      <c r="DW137">
        <v>1573.32</v>
      </c>
      <c r="DX137">
        <v>-66.659700000000001</v>
      </c>
      <c r="DY137">
        <v>342.988</v>
      </c>
      <c r="DZ137">
        <v>408.839</v>
      </c>
      <c r="EA137">
        <v>6.4860300000000004</v>
      </c>
      <c r="EB137">
        <v>400.04899999999998</v>
      </c>
      <c r="EC137">
        <v>21.498899999999999</v>
      </c>
      <c r="ED137">
        <v>2.77285</v>
      </c>
      <c r="EE137">
        <v>2.1301899999999998</v>
      </c>
      <c r="EF137">
        <v>22.723400000000002</v>
      </c>
      <c r="EG137">
        <v>18.4468</v>
      </c>
      <c r="EH137">
        <v>1799.88</v>
      </c>
      <c r="EI137">
        <v>0.97800500000000001</v>
      </c>
      <c r="EJ137">
        <v>2.1995399999999998E-2</v>
      </c>
      <c r="EK137">
        <v>0</v>
      </c>
      <c r="EL137">
        <v>835.721</v>
      </c>
      <c r="EM137">
        <v>4.9999900000000004</v>
      </c>
      <c r="EN137">
        <v>21513.599999999999</v>
      </c>
      <c r="EO137">
        <v>15862.8</v>
      </c>
      <c r="EP137">
        <v>49.936999999999998</v>
      </c>
      <c r="EQ137">
        <v>51.125</v>
      </c>
      <c r="ER137">
        <v>50.5</v>
      </c>
      <c r="ES137">
        <v>50.436999999999998</v>
      </c>
      <c r="ET137">
        <v>51.5</v>
      </c>
      <c r="EU137">
        <v>1755.4</v>
      </c>
      <c r="EV137">
        <v>39.479999999999997</v>
      </c>
      <c r="EW137">
        <v>0</v>
      </c>
      <c r="EX137">
        <v>1316</v>
      </c>
      <c r="EY137">
        <v>0</v>
      </c>
      <c r="EZ137">
        <v>838.38442307692299</v>
      </c>
      <c r="FA137">
        <v>-16.7750085500113</v>
      </c>
      <c r="FB137">
        <v>-91.176067949213333</v>
      </c>
      <c r="FC137">
        <v>21554.026923076919</v>
      </c>
      <c r="FD137">
        <v>15</v>
      </c>
      <c r="FE137">
        <v>1689023388.0999999</v>
      </c>
      <c r="FF137" t="s">
        <v>1034</v>
      </c>
      <c r="FG137">
        <v>1689023382.5999999</v>
      </c>
      <c r="FH137">
        <v>1689023388.0999999</v>
      </c>
      <c r="FI137">
        <v>136</v>
      </c>
      <c r="FJ137">
        <v>1.0999999999999999E-2</v>
      </c>
      <c r="FK137">
        <v>-3.7999999999999999E-2</v>
      </c>
      <c r="FL137">
        <v>-9.6000000000000002E-2</v>
      </c>
      <c r="FM137">
        <v>0.111</v>
      </c>
      <c r="FN137">
        <v>400</v>
      </c>
      <c r="FO137">
        <v>21</v>
      </c>
      <c r="FP137">
        <v>0.02</v>
      </c>
      <c r="FQ137">
        <v>0.02</v>
      </c>
      <c r="FR137">
        <v>53.706496390931378</v>
      </c>
      <c r="FS137">
        <v>-0.54343844675168107</v>
      </c>
      <c r="FT137">
        <v>7.6306512821770492E-2</v>
      </c>
      <c r="FU137">
        <v>1</v>
      </c>
      <c r="FV137">
        <v>0.37999696449110348</v>
      </c>
      <c r="FW137">
        <v>-2.884356206254432E-2</v>
      </c>
      <c r="FX137">
        <v>2.3280820521292488E-3</v>
      </c>
      <c r="FY137">
        <v>1</v>
      </c>
      <c r="FZ137">
        <v>2</v>
      </c>
      <c r="GA137">
        <v>2</v>
      </c>
      <c r="GB137" t="s">
        <v>423</v>
      </c>
      <c r="GC137">
        <v>2.9569700000000001</v>
      </c>
      <c r="GD137">
        <v>2.7431999999999999</v>
      </c>
      <c r="GE137">
        <v>7.6804600000000001E-2</v>
      </c>
      <c r="GF137">
        <v>8.8456599999999996E-2</v>
      </c>
      <c r="GG137">
        <v>0.128273</v>
      </c>
      <c r="GH137">
        <v>0.106151</v>
      </c>
      <c r="GI137">
        <v>21647.5</v>
      </c>
      <c r="GJ137">
        <v>19917.400000000001</v>
      </c>
      <c r="GK137">
        <v>23383.9</v>
      </c>
      <c r="GL137">
        <v>21901.8</v>
      </c>
      <c r="GM137">
        <v>28757.5</v>
      </c>
      <c r="GN137">
        <v>27326.799999999999</v>
      </c>
      <c r="GO137">
        <v>36902.400000000001</v>
      </c>
      <c r="GP137">
        <v>34088.9</v>
      </c>
      <c r="GQ137">
        <v>1.98417</v>
      </c>
      <c r="GR137">
        <v>1.7912999999999999</v>
      </c>
      <c r="GS137">
        <v>-7.9199700000000001E-3</v>
      </c>
      <c r="GT137">
        <v>0</v>
      </c>
      <c r="GU137">
        <v>30.1935</v>
      </c>
      <c r="GV137">
        <v>999.9</v>
      </c>
      <c r="GW137">
        <v>28.5</v>
      </c>
      <c r="GX137">
        <v>46.9</v>
      </c>
      <c r="GY137">
        <v>30.560700000000001</v>
      </c>
      <c r="GZ137">
        <v>60.887300000000003</v>
      </c>
      <c r="HA137">
        <v>39.359000000000002</v>
      </c>
      <c r="HB137">
        <v>1</v>
      </c>
      <c r="HC137">
        <v>0.60748500000000005</v>
      </c>
      <c r="HD137">
        <v>5.0114700000000001</v>
      </c>
      <c r="HE137">
        <v>20.080400000000001</v>
      </c>
      <c r="HF137">
        <v>5.2617700000000003</v>
      </c>
      <c r="HG137">
        <v>11.963699999999999</v>
      </c>
      <c r="HH137">
        <v>4.9790999999999999</v>
      </c>
      <c r="HI137">
        <v>3.2972299999999999</v>
      </c>
      <c r="HJ137">
        <v>9999</v>
      </c>
      <c r="HK137">
        <v>9999</v>
      </c>
      <c r="HL137">
        <v>9999</v>
      </c>
      <c r="HM137">
        <v>999.9</v>
      </c>
      <c r="HN137">
        <v>1.8640000000000001</v>
      </c>
      <c r="HO137">
        <v>1.8599600000000001</v>
      </c>
      <c r="HP137">
        <v>1.8666</v>
      </c>
      <c r="HQ137">
        <v>1.8632500000000001</v>
      </c>
      <c r="HR137">
        <v>1.86188</v>
      </c>
      <c r="HS137">
        <v>1.86188</v>
      </c>
      <c r="HT137">
        <v>1.8632299999999999</v>
      </c>
      <c r="HU137">
        <v>1.8644700000000001</v>
      </c>
      <c r="HV137">
        <v>0</v>
      </c>
      <c r="HW137">
        <v>0</v>
      </c>
      <c r="HX137">
        <v>0</v>
      </c>
      <c r="HY137">
        <v>0</v>
      </c>
      <c r="HZ137" t="s">
        <v>424</v>
      </c>
      <c r="IA137" t="s">
        <v>425</v>
      </c>
      <c r="IB137" t="s">
        <v>426</v>
      </c>
      <c r="IC137" t="s">
        <v>426</v>
      </c>
      <c r="ID137" t="s">
        <v>426</v>
      </c>
      <c r="IE137" t="s">
        <v>426</v>
      </c>
      <c r="IF137">
        <v>0</v>
      </c>
      <c r="IG137">
        <v>100</v>
      </c>
      <c r="IH137">
        <v>100</v>
      </c>
      <c r="II137">
        <v>-0.10100000000000001</v>
      </c>
      <c r="IJ137">
        <v>0.1206</v>
      </c>
      <c r="IK137">
        <v>-9.7702865841056252E-2</v>
      </c>
      <c r="IL137">
        <v>-8.3322953065825546E-5</v>
      </c>
      <c r="IM137">
        <v>2.3872336679552741E-7</v>
      </c>
      <c r="IN137">
        <v>-5.428329794194132E-11</v>
      </c>
      <c r="IO137">
        <v>0.12056267771319321</v>
      </c>
      <c r="IP137">
        <v>0</v>
      </c>
      <c r="IQ137">
        <v>0</v>
      </c>
      <c r="IR137">
        <v>0</v>
      </c>
      <c r="IS137">
        <v>2</v>
      </c>
      <c r="IT137">
        <v>2035</v>
      </c>
      <c r="IU137">
        <v>1</v>
      </c>
      <c r="IV137">
        <v>21</v>
      </c>
      <c r="IW137">
        <v>0.8</v>
      </c>
      <c r="IX137">
        <v>0.7</v>
      </c>
      <c r="IY137">
        <v>1.07178</v>
      </c>
      <c r="IZ137">
        <v>2.6989700000000001</v>
      </c>
      <c r="JA137">
        <v>1.4514199999999999</v>
      </c>
      <c r="JB137">
        <v>2.2753899999999998</v>
      </c>
      <c r="JC137">
        <v>1.5942400000000001</v>
      </c>
      <c r="JD137">
        <v>2.4218799999999998</v>
      </c>
      <c r="JE137">
        <v>48.300899999999999</v>
      </c>
      <c r="JF137">
        <v>15.9795</v>
      </c>
      <c r="JG137">
        <v>18</v>
      </c>
      <c r="JH137">
        <v>511.83699999999999</v>
      </c>
      <c r="JI137">
        <v>420.77800000000002</v>
      </c>
      <c r="JJ137">
        <v>25.6371</v>
      </c>
      <c r="JK137">
        <v>34.551099999999998</v>
      </c>
      <c r="JL137">
        <v>30.000599999999999</v>
      </c>
      <c r="JM137">
        <v>34.566800000000001</v>
      </c>
      <c r="JN137">
        <v>34.585099999999997</v>
      </c>
      <c r="JO137">
        <v>21.4</v>
      </c>
      <c r="JP137">
        <v>33.393000000000001</v>
      </c>
      <c r="JQ137">
        <v>0</v>
      </c>
      <c r="JR137">
        <v>25.580100000000002</v>
      </c>
      <c r="JS137">
        <v>400</v>
      </c>
      <c r="JT137">
        <v>21.392700000000001</v>
      </c>
      <c r="JU137">
        <v>98.902600000000007</v>
      </c>
      <c r="JV137">
        <v>98.319699999999997</v>
      </c>
    </row>
    <row r="138" spans="1:282" x14ac:dyDescent="0.25">
      <c r="A138">
        <v>122</v>
      </c>
      <c r="B138">
        <v>1689023561.5999999</v>
      </c>
      <c r="C138">
        <v>24221</v>
      </c>
      <c r="D138" t="s">
        <v>1035</v>
      </c>
      <c r="E138" t="s">
        <v>1036</v>
      </c>
      <c r="F138" t="s">
        <v>414</v>
      </c>
      <c r="G138" t="s">
        <v>415</v>
      </c>
      <c r="H138" t="s">
        <v>577</v>
      </c>
      <c r="I138" t="s">
        <v>655</v>
      </c>
      <c r="J138" t="s">
        <v>500</v>
      </c>
      <c r="K138">
        <v>1689023561.5999999</v>
      </c>
      <c r="L138">
        <f t="shared" si="138"/>
        <v>5.7702924044993184E-3</v>
      </c>
      <c r="M138">
        <f t="shared" si="139"/>
        <v>5.770292404499318</v>
      </c>
      <c r="N138">
        <f t="shared" si="140"/>
        <v>41.625148835319756</v>
      </c>
      <c r="O138">
        <f t="shared" si="141"/>
        <v>248.268</v>
      </c>
      <c r="P138">
        <f t="shared" si="142"/>
        <v>64.24803750322414</v>
      </c>
      <c r="Q138">
        <f t="shared" si="143"/>
        <v>6.3724294504533949</v>
      </c>
      <c r="R138">
        <f t="shared" si="144"/>
        <v>24.624414632521201</v>
      </c>
      <c r="S138">
        <f t="shared" si="145"/>
        <v>0.39340714931650511</v>
      </c>
      <c r="T138">
        <f t="shared" si="146"/>
        <v>2.9117006571400244</v>
      </c>
      <c r="U138">
        <f t="shared" si="147"/>
        <v>0.36608365966893408</v>
      </c>
      <c r="V138">
        <f t="shared" si="148"/>
        <v>0.23109885860785018</v>
      </c>
      <c r="W138">
        <f t="shared" si="149"/>
        <v>289.56226201270607</v>
      </c>
      <c r="X138">
        <f t="shared" si="150"/>
        <v>29.988024655750127</v>
      </c>
      <c r="Y138">
        <f t="shared" si="151"/>
        <v>29.9773</v>
      </c>
      <c r="Z138">
        <f t="shared" si="152"/>
        <v>4.2548978575236669</v>
      </c>
      <c r="AA138">
        <f t="shared" si="153"/>
        <v>65.289233035862921</v>
      </c>
      <c r="AB138">
        <f t="shared" si="154"/>
        <v>2.7467051312915198</v>
      </c>
      <c r="AC138">
        <f t="shared" si="155"/>
        <v>4.2069802378943155</v>
      </c>
      <c r="AD138">
        <f t="shared" si="156"/>
        <v>1.5081927262321471</v>
      </c>
      <c r="AE138">
        <f t="shared" si="157"/>
        <v>-254.46989503841993</v>
      </c>
      <c r="AF138">
        <f t="shared" si="158"/>
        <v>-30.924194348063274</v>
      </c>
      <c r="AG138">
        <f t="shared" si="159"/>
        <v>-2.3586828599911267</v>
      </c>
      <c r="AH138">
        <f t="shared" si="160"/>
        <v>1.8094897662317422</v>
      </c>
      <c r="AI138">
        <v>0</v>
      </c>
      <c r="AJ138">
        <v>0</v>
      </c>
      <c r="AK138">
        <f t="shared" si="161"/>
        <v>1</v>
      </c>
      <c r="AL138">
        <f t="shared" si="162"/>
        <v>0</v>
      </c>
      <c r="AM138">
        <f t="shared" si="163"/>
        <v>51862.494579948056</v>
      </c>
      <c r="AN138" t="s">
        <v>418</v>
      </c>
      <c r="AO138">
        <v>8197.4</v>
      </c>
      <c r="AP138">
        <v>619.92999999999995</v>
      </c>
      <c r="AQ138">
        <v>3131.443117258741</v>
      </c>
      <c r="AR138">
        <f t="shared" si="164"/>
        <v>0.80203057287443702</v>
      </c>
      <c r="AS138">
        <v>-1.0448500102641549</v>
      </c>
      <c r="AT138" t="s">
        <v>1037</v>
      </c>
      <c r="AU138">
        <v>8183.67</v>
      </c>
      <c r="AV138">
        <v>768.84539999999993</v>
      </c>
      <c r="AW138">
        <v>1103.567683470249</v>
      </c>
      <c r="AX138">
        <f t="shared" si="165"/>
        <v>0.30330924734737652</v>
      </c>
      <c r="AY138">
        <v>0.5</v>
      </c>
      <c r="AZ138">
        <f t="shared" si="166"/>
        <v>1513.1598000065833</v>
      </c>
      <c r="BA138">
        <f t="shared" si="167"/>
        <v>41.625148835319756</v>
      </c>
      <c r="BB138">
        <f t="shared" si="168"/>
        <v>229.47768002815178</v>
      </c>
      <c r="BC138">
        <f t="shared" si="169"/>
        <v>2.8199268078228267E-2</v>
      </c>
      <c r="BD138">
        <f t="shared" si="170"/>
        <v>1.8375632633711148</v>
      </c>
      <c r="BE138">
        <f t="shared" si="171"/>
        <v>454.56700340217617</v>
      </c>
      <c r="BF138" t="s">
        <v>1038</v>
      </c>
      <c r="BG138">
        <v>608.94000000000005</v>
      </c>
      <c r="BH138">
        <f t="shared" si="172"/>
        <v>608.94000000000005</v>
      </c>
      <c r="BI138">
        <f t="shared" si="173"/>
        <v>0.44820783616538695</v>
      </c>
      <c r="BJ138">
        <f t="shared" si="174"/>
        <v>0.67671562804952079</v>
      </c>
      <c r="BK138">
        <f t="shared" si="175"/>
        <v>0.80391394560187046</v>
      </c>
      <c r="BL138">
        <f t="shared" si="176"/>
        <v>0.69209305831694878</v>
      </c>
      <c r="BM138">
        <f t="shared" si="177"/>
        <v>0.80743175094457453</v>
      </c>
      <c r="BN138">
        <f t="shared" si="178"/>
        <v>0.53597148990483034</v>
      </c>
      <c r="BO138">
        <f t="shared" si="179"/>
        <v>0.46402851009516966</v>
      </c>
      <c r="BP138">
        <v>13812</v>
      </c>
      <c r="BQ138">
        <v>290.00000000000011</v>
      </c>
      <c r="BR138">
        <v>1002.5</v>
      </c>
      <c r="BS138">
        <v>285</v>
      </c>
      <c r="BT138">
        <v>8183.67</v>
      </c>
      <c r="BU138">
        <v>1003.73</v>
      </c>
      <c r="BV138">
        <v>-1.23</v>
      </c>
      <c r="BW138">
        <v>300.00000000000011</v>
      </c>
      <c r="BX138">
        <v>19.3</v>
      </c>
      <c r="BY138">
        <v>1103.567683470249</v>
      </c>
      <c r="BZ138">
        <v>3.089234604969608</v>
      </c>
      <c r="CA138">
        <v>-81.701804054359357</v>
      </c>
      <c r="CB138">
        <v>2.3215812058461651</v>
      </c>
      <c r="CC138">
        <v>0.97789180412686427</v>
      </c>
      <c r="CD138">
        <v>-4.2391494994438268E-3</v>
      </c>
      <c r="CE138">
        <v>289.99999999999989</v>
      </c>
      <c r="CF138">
        <v>1002.3</v>
      </c>
      <c r="CG138">
        <v>665</v>
      </c>
      <c r="CH138">
        <v>8172.24</v>
      </c>
      <c r="CI138">
        <v>1003.59</v>
      </c>
      <c r="CJ138">
        <v>-1.29</v>
      </c>
      <c r="CX138">
        <f t="shared" si="180"/>
        <v>1799.97</v>
      </c>
      <c r="CY138">
        <f t="shared" si="181"/>
        <v>1513.1598000065833</v>
      </c>
      <c r="CZ138">
        <f t="shared" si="182"/>
        <v>0.8406583443093959</v>
      </c>
      <c r="DA138">
        <f t="shared" si="183"/>
        <v>0.1608706045171342</v>
      </c>
      <c r="DB138">
        <v>6</v>
      </c>
      <c r="DC138">
        <v>0.5</v>
      </c>
      <c r="DD138" t="s">
        <v>421</v>
      </c>
      <c r="DE138">
        <v>2</v>
      </c>
      <c r="DF138">
        <v>1689023561.5999999</v>
      </c>
      <c r="DG138">
        <v>248.268</v>
      </c>
      <c r="DH138">
        <v>299.935</v>
      </c>
      <c r="DI138">
        <v>27.692799999999998</v>
      </c>
      <c r="DJ138">
        <v>20.9605</v>
      </c>
      <c r="DK138">
        <v>248.33699999999999</v>
      </c>
      <c r="DL138">
        <v>27.573399999999999</v>
      </c>
      <c r="DM138">
        <v>500.02199999999999</v>
      </c>
      <c r="DN138">
        <v>99.085099999999997</v>
      </c>
      <c r="DO138">
        <v>9.9710900000000005E-2</v>
      </c>
      <c r="DP138">
        <v>29.7803</v>
      </c>
      <c r="DQ138">
        <v>29.9773</v>
      </c>
      <c r="DR138">
        <v>999.9</v>
      </c>
      <c r="DS138">
        <v>0</v>
      </c>
      <c r="DT138">
        <v>0</v>
      </c>
      <c r="DU138">
        <v>9990</v>
      </c>
      <c r="DV138">
        <v>0</v>
      </c>
      <c r="DW138">
        <v>1151.3</v>
      </c>
      <c r="DX138">
        <v>-51.666899999999998</v>
      </c>
      <c r="DY138">
        <v>255.339</v>
      </c>
      <c r="DZ138">
        <v>306.35599999999999</v>
      </c>
      <c r="EA138">
        <v>6.7323199999999996</v>
      </c>
      <c r="EB138">
        <v>299.935</v>
      </c>
      <c r="EC138">
        <v>20.9605</v>
      </c>
      <c r="ED138">
        <v>2.7439399999999998</v>
      </c>
      <c r="EE138">
        <v>2.07687</v>
      </c>
      <c r="EF138">
        <v>22.550699999999999</v>
      </c>
      <c r="EG138">
        <v>18.042899999999999</v>
      </c>
      <c r="EH138">
        <v>1799.97</v>
      </c>
      <c r="EI138">
        <v>0.97799599999999998</v>
      </c>
      <c r="EJ138">
        <v>2.20039E-2</v>
      </c>
      <c r="EK138">
        <v>0</v>
      </c>
      <c r="EL138">
        <v>767.01499999999999</v>
      </c>
      <c r="EM138">
        <v>4.9999900000000004</v>
      </c>
      <c r="EN138">
        <v>17841.400000000001</v>
      </c>
      <c r="EO138">
        <v>15863.5</v>
      </c>
      <c r="EP138">
        <v>50.186999999999998</v>
      </c>
      <c r="EQ138">
        <v>51.5</v>
      </c>
      <c r="ER138">
        <v>50.75</v>
      </c>
      <c r="ES138">
        <v>50.75</v>
      </c>
      <c r="ET138">
        <v>51.686999999999998</v>
      </c>
      <c r="EU138">
        <v>1755.47</v>
      </c>
      <c r="EV138">
        <v>39.5</v>
      </c>
      <c r="EW138">
        <v>0</v>
      </c>
      <c r="EX138">
        <v>127.3999998569489</v>
      </c>
      <c r="EY138">
        <v>0</v>
      </c>
      <c r="EZ138">
        <v>768.84539999999993</v>
      </c>
      <c r="FA138">
        <v>-13.187692326422351</v>
      </c>
      <c r="FB138">
        <v>-8322.4692406558588</v>
      </c>
      <c r="FC138">
        <v>19544.475999999999</v>
      </c>
      <c r="FD138">
        <v>15</v>
      </c>
      <c r="FE138">
        <v>1689023527.5999999</v>
      </c>
      <c r="FF138" t="s">
        <v>1039</v>
      </c>
      <c r="FG138">
        <v>1689023522.5999999</v>
      </c>
      <c r="FH138">
        <v>1689023527.5999999</v>
      </c>
      <c r="FI138">
        <v>137</v>
      </c>
      <c r="FJ138">
        <v>3.5000000000000003E-2</v>
      </c>
      <c r="FK138">
        <v>-1E-3</v>
      </c>
      <c r="FL138">
        <v>-6.8000000000000005E-2</v>
      </c>
      <c r="FM138">
        <v>0.107</v>
      </c>
      <c r="FN138">
        <v>300</v>
      </c>
      <c r="FO138">
        <v>21</v>
      </c>
      <c r="FP138">
        <v>0.03</v>
      </c>
      <c r="FQ138">
        <v>0.01</v>
      </c>
      <c r="FR138">
        <v>41.681869507422483</v>
      </c>
      <c r="FS138">
        <v>-0.53887376120128649</v>
      </c>
      <c r="FT138">
        <v>6.1202715420224603E-2</v>
      </c>
      <c r="FU138">
        <v>1</v>
      </c>
      <c r="FV138">
        <v>0.39480369614544158</v>
      </c>
      <c r="FW138">
        <v>8.8297510142437037E-3</v>
      </c>
      <c r="FX138">
        <v>1.352294558124655E-3</v>
      </c>
      <c r="FY138">
        <v>1</v>
      </c>
      <c r="FZ138">
        <v>2</v>
      </c>
      <c r="GA138">
        <v>2</v>
      </c>
      <c r="GB138" t="s">
        <v>423</v>
      </c>
      <c r="GC138">
        <v>2.9568599999999998</v>
      </c>
      <c r="GD138">
        <v>2.7428499999999998</v>
      </c>
      <c r="GE138">
        <v>6.0277900000000002E-2</v>
      </c>
      <c r="GF138">
        <v>7.0417199999999999E-2</v>
      </c>
      <c r="GG138">
        <v>0.12731000000000001</v>
      </c>
      <c r="GH138">
        <v>0.104257</v>
      </c>
      <c r="GI138">
        <v>22027.4</v>
      </c>
      <c r="GJ138">
        <v>20305</v>
      </c>
      <c r="GK138">
        <v>23376.7</v>
      </c>
      <c r="GL138">
        <v>21895.5</v>
      </c>
      <c r="GM138">
        <v>28780.9</v>
      </c>
      <c r="GN138">
        <v>27377.200000000001</v>
      </c>
      <c r="GO138">
        <v>36891.5</v>
      </c>
      <c r="GP138">
        <v>34080.1</v>
      </c>
      <c r="GQ138">
        <v>1.9830700000000001</v>
      </c>
      <c r="GR138">
        <v>1.78755</v>
      </c>
      <c r="GS138">
        <v>-8.7432599999999992E-3</v>
      </c>
      <c r="GT138">
        <v>0</v>
      </c>
      <c r="GU138">
        <v>30.119499999999999</v>
      </c>
      <c r="GV138">
        <v>999.9</v>
      </c>
      <c r="GW138">
        <v>28.6</v>
      </c>
      <c r="GX138">
        <v>46.9</v>
      </c>
      <c r="GY138">
        <v>30.665800000000001</v>
      </c>
      <c r="GZ138">
        <v>60.467300000000002</v>
      </c>
      <c r="HA138">
        <v>39.270800000000001</v>
      </c>
      <c r="HB138">
        <v>1</v>
      </c>
      <c r="HC138">
        <v>0.61161299999999996</v>
      </c>
      <c r="HD138">
        <v>3.4205000000000001</v>
      </c>
      <c r="HE138">
        <v>20.1233</v>
      </c>
      <c r="HF138">
        <v>5.2634100000000004</v>
      </c>
      <c r="HG138">
        <v>11.962</v>
      </c>
      <c r="HH138">
        <v>4.9794499999999999</v>
      </c>
      <c r="HI138">
        <v>3.2976700000000001</v>
      </c>
      <c r="HJ138">
        <v>9999</v>
      </c>
      <c r="HK138">
        <v>9999</v>
      </c>
      <c r="HL138">
        <v>9999</v>
      </c>
      <c r="HM138">
        <v>999.9</v>
      </c>
      <c r="HN138">
        <v>1.8640099999999999</v>
      </c>
      <c r="HO138">
        <v>1.8600300000000001</v>
      </c>
      <c r="HP138">
        <v>1.8666100000000001</v>
      </c>
      <c r="HQ138">
        <v>1.8632500000000001</v>
      </c>
      <c r="HR138">
        <v>1.86191</v>
      </c>
      <c r="HS138">
        <v>1.86192</v>
      </c>
      <c r="HT138">
        <v>1.8632500000000001</v>
      </c>
      <c r="HU138">
        <v>1.8644700000000001</v>
      </c>
      <c r="HV138">
        <v>0</v>
      </c>
      <c r="HW138">
        <v>0</v>
      </c>
      <c r="HX138">
        <v>0</v>
      </c>
      <c r="HY138">
        <v>0</v>
      </c>
      <c r="HZ138" t="s">
        <v>424</v>
      </c>
      <c r="IA138" t="s">
        <v>425</v>
      </c>
      <c r="IB138" t="s">
        <v>426</v>
      </c>
      <c r="IC138" t="s">
        <v>426</v>
      </c>
      <c r="ID138" t="s">
        <v>426</v>
      </c>
      <c r="IE138" t="s">
        <v>426</v>
      </c>
      <c r="IF138">
        <v>0</v>
      </c>
      <c r="IG138">
        <v>100</v>
      </c>
      <c r="IH138">
        <v>100</v>
      </c>
      <c r="II138">
        <v>-6.9000000000000006E-2</v>
      </c>
      <c r="IJ138">
        <v>0.11940000000000001</v>
      </c>
      <c r="IK138">
        <v>-6.2924118239455706E-2</v>
      </c>
      <c r="IL138">
        <v>-8.3322953065825546E-5</v>
      </c>
      <c r="IM138">
        <v>2.3872336679552741E-7</v>
      </c>
      <c r="IN138">
        <v>-5.428329794194132E-11</v>
      </c>
      <c r="IO138">
        <v>0.11934324491072509</v>
      </c>
      <c r="IP138">
        <v>0</v>
      </c>
      <c r="IQ138">
        <v>0</v>
      </c>
      <c r="IR138">
        <v>0</v>
      </c>
      <c r="IS138">
        <v>2</v>
      </c>
      <c r="IT138">
        <v>2035</v>
      </c>
      <c r="IU138">
        <v>1</v>
      </c>
      <c r="IV138">
        <v>21</v>
      </c>
      <c r="IW138">
        <v>0.7</v>
      </c>
      <c r="IX138">
        <v>0.6</v>
      </c>
      <c r="IY138">
        <v>0.84960899999999995</v>
      </c>
      <c r="IZ138">
        <v>2.7002000000000002</v>
      </c>
      <c r="JA138">
        <v>1.4514199999999999</v>
      </c>
      <c r="JB138">
        <v>2.2753899999999998</v>
      </c>
      <c r="JC138">
        <v>1.5942400000000001</v>
      </c>
      <c r="JD138">
        <v>2.3290999999999999</v>
      </c>
      <c r="JE138">
        <v>48.331600000000002</v>
      </c>
      <c r="JF138">
        <v>15.997</v>
      </c>
      <c r="JG138">
        <v>18</v>
      </c>
      <c r="JH138">
        <v>512.17399999999998</v>
      </c>
      <c r="JI138">
        <v>419.13099999999997</v>
      </c>
      <c r="JJ138">
        <v>26.4282</v>
      </c>
      <c r="JK138">
        <v>34.716799999999999</v>
      </c>
      <c r="JL138">
        <v>30.000699999999998</v>
      </c>
      <c r="JM138">
        <v>34.693199999999997</v>
      </c>
      <c r="JN138">
        <v>34.703099999999999</v>
      </c>
      <c r="JO138">
        <v>16.957799999999999</v>
      </c>
      <c r="JP138">
        <v>35.815600000000003</v>
      </c>
      <c r="JQ138">
        <v>0</v>
      </c>
      <c r="JR138">
        <v>26.4313</v>
      </c>
      <c r="JS138">
        <v>300</v>
      </c>
      <c r="JT138">
        <v>20.844999999999999</v>
      </c>
      <c r="JU138">
        <v>98.872900000000001</v>
      </c>
      <c r="JV138">
        <v>98.293199999999999</v>
      </c>
    </row>
    <row r="139" spans="1:282" x14ac:dyDescent="0.25">
      <c r="A139">
        <v>123</v>
      </c>
      <c r="B139">
        <v>1689023680.0999999</v>
      </c>
      <c r="C139">
        <v>24339.5</v>
      </c>
      <c r="D139" t="s">
        <v>1040</v>
      </c>
      <c r="E139" t="s">
        <v>1041</v>
      </c>
      <c r="F139" t="s">
        <v>414</v>
      </c>
      <c r="G139" t="s">
        <v>415</v>
      </c>
      <c r="H139" t="s">
        <v>577</v>
      </c>
      <c r="I139" t="s">
        <v>655</v>
      </c>
      <c r="J139" t="s">
        <v>500</v>
      </c>
      <c r="K139">
        <v>1689023680.0999999</v>
      </c>
      <c r="L139">
        <f t="shared" si="138"/>
        <v>5.8211955148424173E-3</v>
      </c>
      <c r="M139">
        <f t="shared" si="139"/>
        <v>5.821195514842417</v>
      </c>
      <c r="N139">
        <f t="shared" si="140"/>
        <v>28.612250271548692</v>
      </c>
      <c r="O139">
        <f t="shared" si="141"/>
        <v>164.56100000000001</v>
      </c>
      <c r="P139">
        <f t="shared" si="142"/>
        <v>40.375503488489706</v>
      </c>
      <c r="Q139">
        <f t="shared" si="143"/>
        <v>4.004470610014744</v>
      </c>
      <c r="R139">
        <f t="shared" si="144"/>
        <v>16.321274810665802</v>
      </c>
      <c r="S139">
        <f t="shared" si="145"/>
        <v>0.40083470885852857</v>
      </c>
      <c r="T139">
        <f t="shared" si="146"/>
        <v>2.9129476592844945</v>
      </c>
      <c r="U139">
        <f t="shared" si="147"/>
        <v>0.37252076198830991</v>
      </c>
      <c r="V139">
        <f t="shared" si="148"/>
        <v>0.23520248998085519</v>
      </c>
      <c r="W139">
        <f t="shared" si="149"/>
        <v>289.57981801270523</v>
      </c>
      <c r="X139">
        <f t="shared" si="150"/>
        <v>30.086947925169675</v>
      </c>
      <c r="Y139">
        <f t="shared" si="151"/>
        <v>30.0275</v>
      </c>
      <c r="Z139">
        <f t="shared" si="152"/>
        <v>4.2671841167178455</v>
      </c>
      <c r="AA139">
        <f t="shared" si="153"/>
        <v>65.474700407045376</v>
      </c>
      <c r="AB139">
        <f t="shared" si="154"/>
        <v>2.7723385371847202</v>
      </c>
      <c r="AC139">
        <f t="shared" si="155"/>
        <v>4.2342133983806729</v>
      </c>
      <c r="AD139">
        <f t="shared" si="156"/>
        <v>1.4948455795331252</v>
      </c>
      <c r="AE139">
        <f t="shared" si="157"/>
        <v>-256.71472220455058</v>
      </c>
      <c r="AF139">
        <f t="shared" si="158"/>
        <v>-21.200782617991912</v>
      </c>
      <c r="AG139">
        <f t="shared" si="159"/>
        <v>-1.6176565388141555</v>
      </c>
      <c r="AH139">
        <f t="shared" si="160"/>
        <v>10.046656651348563</v>
      </c>
      <c r="AI139">
        <v>0</v>
      </c>
      <c r="AJ139">
        <v>0</v>
      </c>
      <c r="AK139">
        <f t="shared" si="161"/>
        <v>1</v>
      </c>
      <c r="AL139">
        <f t="shared" si="162"/>
        <v>0</v>
      </c>
      <c r="AM139">
        <f t="shared" si="163"/>
        <v>51878.681779569553</v>
      </c>
      <c r="AN139" t="s">
        <v>418</v>
      </c>
      <c r="AO139">
        <v>8197.4</v>
      </c>
      <c r="AP139">
        <v>619.92999999999995</v>
      </c>
      <c r="AQ139">
        <v>3131.443117258741</v>
      </c>
      <c r="AR139">
        <f t="shared" si="164"/>
        <v>0.80203057287443702</v>
      </c>
      <c r="AS139">
        <v>-1.0448500102641549</v>
      </c>
      <c r="AT139" t="s">
        <v>1042</v>
      </c>
      <c r="AU139">
        <v>8182.46</v>
      </c>
      <c r="AV139">
        <v>744.12626923076925</v>
      </c>
      <c r="AW139">
        <v>963.05101762546485</v>
      </c>
      <c r="AX139">
        <f t="shared" si="165"/>
        <v>0.22732414419174263</v>
      </c>
      <c r="AY139">
        <v>0.5</v>
      </c>
      <c r="AZ139">
        <f t="shared" si="166"/>
        <v>1513.2522000065831</v>
      </c>
      <c r="BA139">
        <f t="shared" si="167"/>
        <v>28.612250271548692</v>
      </c>
      <c r="BB139">
        <f t="shared" si="168"/>
        <v>171.99938065638412</v>
      </c>
      <c r="BC139">
        <f t="shared" si="169"/>
        <v>1.9598253537436675E-2</v>
      </c>
      <c r="BD139">
        <f t="shared" si="170"/>
        <v>2.2515859076497797</v>
      </c>
      <c r="BE139">
        <f t="shared" si="171"/>
        <v>428.79617507580042</v>
      </c>
      <c r="BF139" t="s">
        <v>1043</v>
      </c>
      <c r="BG139">
        <v>599.04</v>
      </c>
      <c r="BH139">
        <f t="shared" si="172"/>
        <v>599.04</v>
      </c>
      <c r="BI139">
        <f t="shared" si="173"/>
        <v>0.37797687865278862</v>
      </c>
      <c r="BJ139">
        <f t="shared" si="174"/>
        <v>0.60142341246371223</v>
      </c>
      <c r="BK139">
        <f t="shared" si="175"/>
        <v>0.85625865994846151</v>
      </c>
      <c r="BL139">
        <f t="shared" si="176"/>
        <v>0.63803945881759938</v>
      </c>
      <c r="BM139">
        <f t="shared" si="177"/>
        <v>0.86338075828965866</v>
      </c>
      <c r="BN139">
        <f t="shared" si="178"/>
        <v>0.48416068065261747</v>
      </c>
      <c r="BO139">
        <f t="shared" si="179"/>
        <v>0.51583931934738247</v>
      </c>
      <c r="BP139">
        <v>13814</v>
      </c>
      <c r="BQ139">
        <v>290.00000000000011</v>
      </c>
      <c r="BR139">
        <v>900.54</v>
      </c>
      <c r="BS139">
        <v>295</v>
      </c>
      <c r="BT139">
        <v>8182.46</v>
      </c>
      <c r="BU139">
        <v>901.86</v>
      </c>
      <c r="BV139">
        <v>-1.32</v>
      </c>
      <c r="BW139">
        <v>300.00000000000011</v>
      </c>
      <c r="BX139">
        <v>19.3</v>
      </c>
      <c r="BY139">
        <v>963.05101762546485</v>
      </c>
      <c r="BZ139">
        <v>3.1058177120070338</v>
      </c>
      <c r="CA139">
        <v>-50.067311342681982</v>
      </c>
      <c r="CB139">
        <v>2.3337045408439132</v>
      </c>
      <c r="CC139">
        <v>0.94265519266506503</v>
      </c>
      <c r="CD139">
        <v>-4.2382429365962117E-3</v>
      </c>
      <c r="CE139">
        <v>289.99999999999989</v>
      </c>
      <c r="CF139">
        <v>899.53</v>
      </c>
      <c r="CG139">
        <v>665</v>
      </c>
      <c r="CH139">
        <v>8170.99</v>
      </c>
      <c r="CI139">
        <v>901.78</v>
      </c>
      <c r="CJ139">
        <v>-2.25</v>
      </c>
      <c r="CX139">
        <f t="shared" si="180"/>
        <v>1800.08</v>
      </c>
      <c r="CY139">
        <f t="shared" si="181"/>
        <v>1513.2522000065831</v>
      </c>
      <c r="CZ139">
        <f t="shared" si="182"/>
        <v>0.84065830407903153</v>
      </c>
      <c r="DA139">
        <f t="shared" si="183"/>
        <v>0.16087052687253081</v>
      </c>
      <c r="DB139">
        <v>6</v>
      </c>
      <c r="DC139">
        <v>0.5</v>
      </c>
      <c r="DD139" t="s">
        <v>421</v>
      </c>
      <c r="DE139">
        <v>2</v>
      </c>
      <c r="DF139">
        <v>1689023680.0999999</v>
      </c>
      <c r="DG139">
        <v>164.56100000000001</v>
      </c>
      <c r="DH139">
        <v>200.03700000000001</v>
      </c>
      <c r="DI139">
        <v>27.952400000000001</v>
      </c>
      <c r="DJ139">
        <v>21.163799999999998</v>
      </c>
      <c r="DK139">
        <v>164.66</v>
      </c>
      <c r="DL139">
        <v>27.837900000000001</v>
      </c>
      <c r="DM139">
        <v>500.11599999999999</v>
      </c>
      <c r="DN139">
        <v>99.081400000000002</v>
      </c>
      <c r="DO139">
        <v>9.9297800000000006E-2</v>
      </c>
      <c r="DP139">
        <v>29.892499999999998</v>
      </c>
      <c r="DQ139">
        <v>30.0275</v>
      </c>
      <c r="DR139">
        <v>999.9</v>
      </c>
      <c r="DS139">
        <v>0</v>
      </c>
      <c r="DT139">
        <v>0</v>
      </c>
      <c r="DU139">
        <v>9997.5</v>
      </c>
      <c r="DV139">
        <v>0</v>
      </c>
      <c r="DW139">
        <v>1563.68</v>
      </c>
      <c r="DX139">
        <v>-35.475700000000003</v>
      </c>
      <c r="DY139">
        <v>169.29300000000001</v>
      </c>
      <c r="DZ139">
        <v>204.36199999999999</v>
      </c>
      <c r="EA139">
        <v>6.7885900000000001</v>
      </c>
      <c r="EB139">
        <v>200.03700000000001</v>
      </c>
      <c r="EC139">
        <v>21.163799999999998</v>
      </c>
      <c r="ED139">
        <v>2.7695699999999999</v>
      </c>
      <c r="EE139">
        <v>2.09694</v>
      </c>
      <c r="EF139">
        <v>22.703800000000001</v>
      </c>
      <c r="EG139">
        <v>18.196000000000002</v>
      </c>
      <c r="EH139">
        <v>1800.08</v>
      </c>
      <c r="EI139">
        <v>0.97799599999999998</v>
      </c>
      <c r="EJ139">
        <v>2.20039E-2</v>
      </c>
      <c r="EK139">
        <v>0</v>
      </c>
      <c r="EL139">
        <v>743.44399999999996</v>
      </c>
      <c r="EM139">
        <v>4.9999900000000004</v>
      </c>
      <c r="EN139">
        <v>19863.3</v>
      </c>
      <c r="EO139">
        <v>15864.5</v>
      </c>
      <c r="EP139">
        <v>50.25</v>
      </c>
      <c r="EQ139">
        <v>51.375</v>
      </c>
      <c r="ER139">
        <v>50.811999999999998</v>
      </c>
      <c r="ES139">
        <v>50.75</v>
      </c>
      <c r="ET139">
        <v>51.75</v>
      </c>
      <c r="EU139">
        <v>1755.58</v>
      </c>
      <c r="EV139">
        <v>39.5</v>
      </c>
      <c r="EW139">
        <v>0</v>
      </c>
      <c r="EX139">
        <v>116.5999999046326</v>
      </c>
      <c r="EY139">
        <v>0</v>
      </c>
      <c r="EZ139">
        <v>744.12626923076925</v>
      </c>
      <c r="FA139">
        <v>-8.2333333233650947</v>
      </c>
      <c r="FB139">
        <v>-422.11281784763241</v>
      </c>
      <c r="FC139">
        <v>19924.792307692311</v>
      </c>
      <c r="FD139">
        <v>15</v>
      </c>
      <c r="FE139">
        <v>1689023644.0999999</v>
      </c>
      <c r="FF139" t="s">
        <v>1044</v>
      </c>
      <c r="FG139">
        <v>1689023632.0999999</v>
      </c>
      <c r="FH139">
        <v>1689023644.0999999</v>
      </c>
      <c r="FI139">
        <v>138</v>
      </c>
      <c r="FJ139">
        <v>-2.9000000000000001E-2</v>
      </c>
      <c r="FK139">
        <v>-5.0000000000000001E-3</v>
      </c>
      <c r="FL139">
        <v>-9.9000000000000005E-2</v>
      </c>
      <c r="FM139">
        <v>9.9000000000000005E-2</v>
      </c>
      <c r="FN139">
        <v>200</v>
      </c>
      <c r="FO139">
        <v>21</v>
      </c>
      <c r="FP139">
        <v>0.05</v>
      </c>
      <c r="FQ139">
        <v>0.01</v>
      </c>
      <c r="FR139">
        <v>28.497869949050941</v>
      </c>
      <c r="FS139">
        <v>-4.8909842390417672E-2</v>
      </c>
      <c r="FT139">
        <v>3.648934133310569E-2</v>
      </c>
      <c r="FU139">
        <v>1</v>
      </c>
      <c r="FV139">
        <v>0.39666482309341328</v>
      </c>
      <c r="FW139">
        <v>3.8866389726447043E-2</v>
      </c>
      <c r="FX139">
        <v>3.4177876772354052E-3</v>
      </c>
      <c r="FY139">
        <v>1</v>
      </c>
      <c r="FZ139">
        <v>2</v>
      </c>
      <c r="GA139">
        <v>2</v>
      </c>
      <c r="GB139" t="s">
        <v>423</v>
      </c>
      <c r="GC139">
        <v>2.9570599999999998</v>
      </c>
      <c r="GD139">
        <v>2.7425000000000002</v>
      </c>
      <c r="GE139">
        <v>4.21237E-2</v>
      </c>
      <c r="GF139">
        <v>5.0008299999999999E-2</v>
      </c>
      <c r="GG139">
        <v>0.128135</v>
      </c>
      <c r="GH139">
        <v>0.104951</v>
      </c>
      <c r="GI139">
        <v>22450.3</v>
      </c>
      <c r="GJ139">
        <v>20748.8</v>
      </c>
      <c r="GK139">
        <v>23374.6</v>
      </c>
      <c r="GL139">
        <v>21893.9</v>
      </c>
      <c r="GM139">
        <v>28750.7</v>
      </c>
      <c r="GN139">
        <v>27352.9</v>
      </c>
      <c r="GO139">
        <v>36889.4</v>
      </c>
      <c r="GP139">
        <v>34077.9</v>
      </c>
      <c r="GQ139">
        <v>1.9823</v>
      </c>
      <c r="GR139">
        <v>1.7880199999999999</v>
      </c>
      <c r="GS139">
        <v>9.5553700000000005E-3</v>
      </c>
      <c r="GT139">
        <v>0</v>
      </c>
      <c r="GU139">
        <v>29.872</v>
      </c>
      <c r="GV139">
        <v>999.9</v>
      </c>
      <c r="GW139">
        <v>28.6</v>
      </c>
      <c r="GX139">
        <v>46.8</v>
      </c>
      <c r="GY139">
        <v>30.5078</v>
      </c>
      <c r="GZ139">
        <v>60.417299999999997</v>
      </c>
      <c r="HA139">
        <v>38.902200000000001</v>
      </c>
      <c r="HB139">
        <v>1</v>
      </c>
      <c r="HC139">
        <v>0.62043199999999998</v>
      </c>
      <c r="HD139">
        <v>3.9179200000000001</v>
      </c>
      <c r="HE139">
        <v>20.063300000000002</v>
      </c>
      <c r="HF139">
        <v>5.25997</v>
      </c>
      <c r="HG139">
        <v>11.962300000000001</v>
      </c>
      <c r="HH139">
        <v>4.9792500000000004</v>
      </c>
      <c r="HI139">
        <v>3.2973300000000001</v>
      </c>
      <c r="HJ139">
        <v>9999</v>
      </c>
      <c r="HK139">
        <v>9999</v>
      </c>
      <c r="HL139">
        <v>9999</v>
      </c>
      <c r="HM139">
        <v>999.9</v>
      </c>
      <c r="HN139">
        <v>1.8641700000000001</v>
      </c>
      <c r="HO139">
        <v>1.8602000000000001</v>
      </c>
      <c r="HP139">
        <v>1.86676</v>
      </c>
      <c r="HQ139">
        <v>1.86341</v>
      </c>
      <c r="HR139">
        <v>1.86206</v>
      </c>
      <c r="HS139">
        <v>1.86209</v>
      </c>
      <c r="HT139">
        <v>1.8633999999999999</v>
      </c>
      <c r="HU139">
        <v>1.8646199999999999</v>
      </c>
      <c r="HV139">
        <v>0</v>
      </c>
      <c r="HW139">
        <v>0</v>
      </c>
      <c r="HX139">
        <v>0</v>
      </c>
      <c r="HY139">
        <v>0</v>
      </c>
      <c r="HZ139" t="s">
        <v>424</v>
      </c>
      <c r="IA139" t="s">
        <v>425</v>
      </c>
      <c r="IB139" t="s">
        <v>426</v>
      </c>
      <c r="IC139" t="s">
        <v>426</v>
      </c>
      <c r="ID139" t="s">
        <v>426</v>
      </c>
      <c r="IE139" t="s">
        <v>426</v>
      </c>
      <c r="IF139">
        <v>0</v>
      </c>
      <c r="IG139">
        <v>100</v>
      </c>
      <c r="IH139">
        <v>100</v>
      </c>
      <c r="II139">
        <v>-9.9000000000000005E-2</v>
      </c>
      <c r="IJ139">
        <v>0.1145</v>
      </c>
      <c r="IK139">
        <v>-9.1783519017450188E-2</v>
      </c>
      <c r="IL139">
        <v>-8.3322953065825546E-5</v>
      </c>
      <c r="IM139">
        <v>2.3872336679552741E-7</v>
      </c>
      <c r="IN139">
        <v>-5.428329794194132E-11</v>
      </c>
      <c r="IO139">
        <v>0.11452392167063261</v>
      </c>
      <c r="IP139">
        <v>0</v>
      </c>
      <c r="IQ139">
        <v>0</v>
      </c>
      <c r="IR139">
        <v>0</v>
      </c>
      <c r="IS139">
        <v>2</v>
      </c>
      <c r="IT139">
        <v>2035</v>
      </c>
      <c r="IU139">
        <v>1</v>
      </c>
      <c r="IV139">
        <v>21</v>
      </c>
      <c r="IW139">
        <v>0.8</v>
      </c>
      <c r="IX139">
        <v>0.6</v>
      </c>
      <c r="IY139">
        <v>0.62011700000000003</v>
      </c>
      <c r="IZ139">
        <v>2.7026400000000002</v>
      </c>
      <c r="JA139">
        <v>1.4514199999999999</v>
      </c>
      <c r="JB139">
        <v>2.2753899999999998</v>
      </c>
      <c r="JC139">
        <v>1.5942400000000001</v>
      </c>
      <c r="JD139">
        <v>2.4316399999999998</v>
      </c>
      <c r="JE139">
        <v>48.239600000000003</v>
      </c>
      <c r="JF139">
        <v>24.113800000000001</v>
      </c>
      <c r="JG139">
        <v>18</v>
      </c>
      <c r="JH139">
        <v>512.07299999999998</v>
      </c>
      <c r="JI139">
        <v>419.75700000000001</v>
      </c>
      <c r="JJ139">
        <v>26.278500000000001</v>
      </c>
      <c r="JK139">
        <v>34.7423</v>
      </c>
      <c r="JL139">
        <v>30.000299999999999</v>
      </c>
      <c r="JM139">
        <v>34.741999999999997</v>
      </c>
      <c r="JN139">
        <v>34.744900000000001</v>
      </c>
      <c r="JO139">
        <v>12.3705</v>
      </c>
      <c r="JP139">
        <v>34.192799999999998</v>
      </c>
      <c r="JQ139">
        <v>0</v>
      </c>
      <c r="JR139">
        <v>26.255199999999999</v>
      </c>
      <c r="JS139">
        <v>200</v>
      </c>
      <c r="JT139">
        <v>21.088899999999999</v>
      </c>
      <c r="JU139">
        <v>98.866</v>
      </c>
      <c r="JV139">
        <v>98.286600000000007</v>
      </c>
    </row>
    <row r="140" spans="1:282" x14ac:dyDescent="0.25">
      <c r="A140">
        <v>124</v>
      </c>
      <c r="B140">
        <v>1689023779.5999999</v>
      </c>
      <c r="C140">
        <v>24439</v>
      </c>
      <c r="D140" t="s">
        <v>1045</v>
      </c>
      <c r="E140" t="s">
        <v>1046</v>
      </c>
      <c r="F140" t="s">
        <v>414</v>
      </c>
      <c r="G140" t="s">
        <v>415</v>
      </c>
      <c r="H140" t="s">
        <v>577</v>
      </c>
      <c r="I140" t="s">
        <v>655</v>
      </c>
      <c r="J140" t="s">
        <v>500</v>
      </c>
      <c r="K140">
        <v>1689023779.5999999</v>
      </c>
      <c r="L140">
        <f t="shared" si="138"/>
        <v>6.0991779742559978E-3</v>
      </c>
      <c r="M140">
        <f t="shared" si="139"/>
        <v>6.0991779742559977</v>
      </c>
      <c r="N140">
        <f t="shared" si="140"/>
        <v>18.06812149488627</v>
      </c>
      <c r="O140">
        <f t="shared" si="141"/>
        <v>97.643600000000006</v>
      </c>
      <c r="P140">
        <f t="shared" si="142"/>
        <v>22.410906268306405</v>
      </c>
      <c r="Q140">
        <f t="shared" si="143"/>
        <v>2.2227752823075986</v>
      </c>
      <c r="R140">
        <f t="shared" si="144"/>
        <v>9.6845606311989609</v>
      </c>
      <c r="S140">
        <f t="shared" si="145"/>
        <v>0.41870912966193402</v>
      </c>
      <c r="T140">
        <f t="shared" si="146"/>
        <v>2.9136195275835517</v>
      </c>
      <c r="U140">
        <f t="shared" si="147"/>
        <v>0.38792415896411714</v>
      </c>
      <c r="V140">
        <f t="shared" si="148"/>
        <v>0.24502962051046856</v>
      </c>
      <c r="W140">
        <f t="shared" si="149"/>
        <v>289.5750300127055</v>
      </c>
      <c r="X140">
        <f t="shared" si="150"/>
        <v>30.006962991751362</v>
      </c>
      <c r="Y140">
        <f t="shared" si="151"/>
        <v>30.001000000000001</v>
      </c>
      <c r="Z140">
        <f t="shared" si="152"/>
        <v>4.2606944952902355</v>
      </c>
      <c r="AA140">
        <f t="shared" si="153"/>
        <v>65.127093415716047</v>
      </c>
      <c r="AB140">
        <f t="shared" si="154"/>
        <v>2.7564472759917602</v>
      </c>
      <c r="AC140">
        <f t="shared" si="155"/>
        <v>4.2324125512510475</v>
      </c>
      <c r="AD140">
        <f t="shared" si="156"/>
        <v>1.5042472192984753</v>
      </c>
      <c r="AE140">
        <f t="shared" si="157"/>
        <v>-268.97374866468948</v>
      </c>
      <c r="AF140">
        <f t="shared" si="158"/>
        <v>-18.205462587048672</v>
      </c>
      <c r="AG140">
        <f t="shared" si="159"/>
        <v>-1.388554990431293</v>
      </c>
      <c r="AH140">
        <f t="shared" si="160"/>
        <v>1.0072637705360279</v>
      </c>
      <c r="AI140">
        <v>0</v>
      </c>
      <c r="AJ140">
        <v>0</v>
      </c>
      <c r="AK140">
        <f t="shared" si="161"/>
        <v>1</v>
      </c>
      <c r="AL140">
        <f t="shared" si="162"/>
        <v>0</v>
      </c>
      <c r="AM140">
        <f t="shared" si="163"/>
        <v>51899.098348566717</v>
      </c>
      <c r="AN140" t="s">
        <v>418</v>
      </c>
      <c r="AO140">
        <v>8197.4</v>
      </c>
      <c r="AP140">
        <v>619.92999999999995</v>
      </c>
      <c r="AQ140">
        <v>3131.443117258741</v>
      </c>
      <c r="AR140">
        <f t="shared" si="164"/>
        <v>0.80203057287443702</v>
      </c>
      <c r="AS140">
        <v>-1.0448500102641549</v>
      </c>
      <c r="AT140" t="s">
        <v>1047</v>
      </c>
      <c r="AU140">
        <v>8184.21</v>
      </c>
      <c r="AV140">
        <v>753.19511538461541</v>
      </c>
      <c r="AW140">
        <v>892.70421224846689</v>
      </c>
      <c r="AX140">
        <f t="shared" si="165"/>
        <v>0.15627695596111046</v>
      </c>
      <c r="AY140">
        <v>0.5</v>
      </c>
      <c r="AZ140">
        <f t="shared" si="166"/>
        <v>1513.227000006583</v>
      </c>
      <c r="BA140">
        <f t="shared" si="167"/>
        <v>18.06812149488627</v>
      </c>
      <c r="BB140">
        <f t="shared" si="168"/>
        <v>118.24125461959603</v>
      </c>
      <c r="BC140">
        <f t="shared" si="169"/>
        <v>1.2630604334357819E-2</v>
      </c>
      <c r="BD140">
        <f t="shared" si="170"/>
        <v>2.5078171182496503</v>
      </c>
      <c r="BE140">
        <f t="shared" si="171"/>
        <v>414.26125265346769</v>
      </c>
      <c r="BF140" t="s">
        <v>1048</v>
      </c>
      <c r="BG140">
        <v>617.07000000000005</v>
      </c>
      <c r="BH140">
        <f t="shared" si="172"/>
        <v>617.07000000000005</v>
      </c>
      <c r="BI140">
        <f t="shared" si="173"/>
        <v>0.30876320338426877</v>
      </c>
      <c r="BJ140">
        <f t="shared" si="174"/>
        <v>0.50613853674337361</v>
      </c>
      <c r="BK140">
        <f t="shared" si="175"/>
        <v>0.89037656728171954</v>
      </c>
      <c r="BL140">
        <f t="shared" si="176"/>
        <v>0.51144532950488086</v>
      </c>
      <c r="BM140">
        <f t="shared" si="177"/>
        <v>0.89139048871614346</v>
      </c>
      <c r="BN140">
        <f t="shared" si="178"/>
        <v>0.414664010013856</v>
      </c>
      <c r="BO140">
        <f t="shared" si="179"/>
        <v>0.585335989986144</v>
      </c>
      <c r="BP140">
        <v>13816</v>
      </c>
      <c r="BQ140">
        <v>290.00000000000011</v>
      </c>
      <c r="BR140">
        <v>849.3</v>
      </c>
      <c r="BS140">
        <v>255</v>
      </c>
      <c r="BT140">
        <v>8184.21</v>
      </c>
      <c r="BU140">
        <v>850.17</v>
      </c>
      <c r="BV140">
        <v>-0.87</v>
      </c>
      <c r="BW140">
        <v>300.00000000000011</v>
      </c>
      <c r="BX140">
        <v>19.3</v>
      </c>
      <c r="BY140">
        <v>892.70421224846689</v>
      </c>
      <c r="BZ140">
        <v>2.2072982561220438</v>
      </c>
      <c r="CA140">
        <v>-34.811198226415193</v>
      </c>
      <c r="CB140">
        <v>1.6584560081083799</v>
      </c>
      <c r="CC140">
        <v>0.94024567521347024</v>
      </c>
      <c r="CD140">
        <v>-4.2380729699666381E-3</v>
      </c>
      <c r="CE140">
        <v>289.99999999999989</v>
      </c>
      <c r="CF140">
        <v>848.32</v>
      </c>
      <c r="CG140">
        <v>635</v>
      </c>
      <c r="CH140">
        <v>8171.5</v>
      </c>
      <c r="CI140">
        <v>850.1</v>
      </c>
      <c r="CJ140">
        <v>-1.78</v>
      </c>
      <c r="CX140">
        <f t="shared" si="180"/>
        <v>1800.05</v>
      </c>
      <c r="CY140">
        <f t="shared" si="181"/>
        <v>1513.227000006583</v>
      </c>
      <c r="CZ140">
        <f t="shared" si="182"/>
        <v>0.8406583150504614</v>
      </c>
      <c r="DA140">
        <f t="shared" si="183"/>
        <v>0.16087054804739062</v>
      </c>
      <c r="DB140">
        <v>6</v>
      </c>
      <c r="DC140">
        <v>0.5</v>
      </c>
      <c r="DD140" t="s">
        <v>421</v>
      </c>
      <c r="DE140">
        <v>2</v>
      </c>
      <c r="DF140">
        <v>1689023779.5999999</v>
      </c>
      <c r="DG140">
        <v>97.643600000000006</v>
      </c>
      <c r="DH140">
        <v>120.03400000000001</v>
      </c>
      <c r="DI140">
        <v>27.791599999999999</v>
      </c>
      <c r="DJ140">
        <v>20.677900000000001</v>
      </c>
      <c r="DK140">
        <v>97.764600000000002</v>
      </c>
      <c r="DL140">
        <v>27.704599999999999</v>
      </c>
      <c r="DM140">
        <v>500.13400000000001</v>
      </c>
      <c r="DN140">
        <v>99.082800000000006</v>
      </c>
      <c r="DO140">
        <v>9.9948599999999999E-2</v>
      </c>
      <c r="DP140">
        <v>29.885100000000001</v>
      </c>
      <c r="DQ140">
        <v>30.001000000000001</v>
      </c>
      <c r="DR140">
        <v>999.9</v>
      </c>
      <c r="DS140">
        <v>0</v>
      </c>
      <c r="DT140">
        <v>0</v>
      </c>
      <c r="DU140">
        <v>10001.200000000001</v>
      </c>
      <c r="DV140">
        <v>0</v>
      </c>
      <c r="DW140">
        <v>1571.31</v>
      </c>
      <c r="DX140">
        <v>-22.366900000000001</v>
      </c>
      <c r="DY140">
        <v>100.462</v>
      </c>
      <c r="DZ140">
        <v>122.568</v>
      </c>
      <c r="EA140">
        <v>7.1412000000000004</v>
      </c>
      <c r="EB140">
        <v>120.03400000000001</v>
      </c>
      <c r="EC140">
        <v>20.677900000000001</v>
      </c>
      <c r="ED140">
        <v>2.7564000000000002</v>
      </c>
      <c r="EE140">
        <v>2.0488300000000002</v>
      </c>
      <c r="EF140">
        <v>22.625299999999999</v>
      </c>
      <c r="EG140">
        <v>17.826799999999999</v>
      </c>
      <c r="EH140">
        <v>1800.05</v>
      </c>
      <c r="EI140">
        <v>0.97799599999999998</v>
      </c>
      <c r="EJ140">
        <v>2.20039E-2</v>
      </c>
      <c r="EK140">
        <v>0</v>
      </c>
      <c r="EL140">
        <v>752.07100000000003</v>
      </c>
      <c r="EM140">
        <v>4.9999900000000004</v>
      </c>
      <c r="EN140">
        <v>20022.099999999999</v>
      </c>
      <c r="EO140">
        <v>15864.2</v>
      </c>
      <c r="EP140">
        <v>50.25</v>
      </c>
      <c r="EQ140">
        <v>51.375</v>
      </c>
      <c r="ER140">
        <v>50.811999999999998</v>
      </c>
      <c r="ES140">
        <v>50.75</v>
      </c>
      <c r="ET140">
        <v>51.75</v>
      </c>
      <c r="EU140">
        <v>1755.55</v>
      </c>
      <c r="EV140">
        <v>39.5</v>
      </c>
      <c r="EW140">
        <v>0</v>
      </c>
      <c r="EX140">
        <v>97.399999856948853</v>
      </c>
      <c r="EY140">
        <v>0</v>
      </c>
      <c r="EZ140">
        <v>753.19511538461541</v>
      </c>
      <c r="FA140">
        <v>-6.2392136690931874</v>
      </c>
      <c r="FB140">
        <v>-583.89401651259607</v>
      </c>
      <c r="FC140">
        <v>20090.557692307691</v>
      </c>
      <c r="FD140">
        <v>15</v>
      </c>
      <c r="FE140">
        <v>1689023809.5999999</v>
      </c>
      <c r="FF140" t="s">
        <v>1049</v>
      </c>
      <c r="FG140">
        <v>1689023797.5999999</v>
      </c>
      <c r="FH140">
        <v>1689023809.5999999</v>
      </c>
      <c r="FI140">
        <v>139</v>
      </c>
      <c r="FJ140">
        <v>-2.1999999999999999E-2</v>
      </c>
      <c r="FK140">
        <v>-2E-3</v>
      </c>
      <c r="FL140">
        <v>-0.121</v>
      </c>
      <c r="FM140">
        <v>8.6999999999999994E-2</v>
      </c>
      <c r="FN140">
        <v>120</v>
      </c>
      <c r="FO140">
        <v>21</v>
      </c>
      <c r="FP140">
        <v>0.06</v>
      </c>
      <c r="FQ140">
        <v>0.01</v>
      </c>
      <c r="FR140">
        <v>17.88298681679392</v>
      </c>
      <c r="FS140">
        <v>0.68827534706604088</v>
      </c>
      <c r="FT140">
        <v>6.068692355142085E-2</v>
      </c>
      <c r="FU140">
        <v>1</v>
      </c>
      <c r="FV140">
        <v>0.41768466058181858</v>
      </c>
      <c r="FW140">
        <v>2.148963874725841E-2</v>
      </c>
      <c r="FX140">
        <v>1.605447932538952E-3</v>
      </c>
      <c r="FY140">
        <v>1</v>
      </c>
      <c r="FZ140">
        <v>2</v>
      </c>
      <c r="GA140">
        <v>2</v>
      </c>
      <c r="GB140" t="s">
        <v>423</v>
      </c>
      <c r="GC140">
        <v>2.9571100000000001</v>
      </c>
      <c r="GD140">
        <v>2.7431899999999998</v>
      </c>
      <c r="GE140">
        <v>2.60238E-2</v>
      </c>
      <c r="GF140">
        <v>3.1514599999999997E-2</v>
      </c>
      <c r="GG140">
        <v>0.12770999999999999</v>
      </c>
      <c r="GH140">
        <v>0.103253</v>
      </c>
      <c r="GI140">
        <v>22827.200000000001</v>
      </c>
      <c r="GJ140">
        <v>21152.2</v>
      </c>
      <c r="GK140">
        <v>23374.799999999999</v>
      </c>
      <c r="GL140">
        <v>21893.9</v>
      </c>
      <c r="GM140">
        <v>28763.9</v>
      </c>
      <c r="GN140">
        <v>27403.9</v>
      </c>
      <c r="GO140">
        <v>36889.4</v>
      </c>
      <c r="GP140">
        <v>34077.800000000003</v>
      </c>
      <c r="GQ140">
        <v>1.98282</v>
      </c>
      <c r="GR140">
        <v>1.7877000000000001</v>
      </c>
      <c r="GS140">
        <v>5.5655799999999997E-3</v>
      </c>
      <c r="GT140">
        <v>0</v>
      </c>
      <c r="GU140">
        <v>29.910499999999999</v>
      </c>
      <c r="GV140">
        <v>999.9</v>
      </c>
      <c r="GW140">
        <v>28.6</v>
      </c>
      <c r="GX140">
        <v>46.7</v>
      </c>
      <c r="GY140">
        <v>30.355599999999999</v>
      </c>
      <c r="GZ140">
        <v>60.357300000000002</v>
      </c>
      <c r="HA140">
        <v>38.854199999999999</v>
      </c>
      <c r="HB140">
        <v>1</v>
      </c>
      <c r="HC140">
        <v>0.61901399999999995</v>
      </c>
      <c r="HD140">
        <v>3.84762</v>
      </c>
      <c r="HE140">
        <v>20.066600000000001</v>
      </c>
      <c r="HF140">
        <v>5.2647599999999999</v>
      </c>
      <c r="HG140">
        <v>11.9625</v>
      </c>
      <c r="HH140">
        <v>4.9797500000000001</v>
      </c>
      <c r="HI140">
        <v>3.298</v>
      </c>
      <c r="HJ140">
        <v>9999</v>
      </c>
      <c r="HK140">
        <v>9999</v>
      </c>
      <c r="HL140">
        <v>9999</v>
      </c>
      <c r="HM140">
        <v>999.9</v>
      </c>
      <c r="HN140">
        <v>1.8641799999999999</v>
      </c>
      <c r="HO140">
        <v>1.8602000000000001</v>
      </c>
      <c r="HP140">
        <v>1.8667800000000001</v>
      </c>
      <c r="HQ140">
        <v>1.8634599999999999</v>
      </c>
      <c r="HR140">
        <v>1.86212</v>
      </c>
      <c r="HS140">
        <v>1.8621700000000001</v>
      </c>
      <c r="HT140">
        <v>1.8633999999999999</v>
      </c>
      <c r="HU140">
        <v>1.8646400000000001</v>
      </c>
      <c r="HV140">
        <v>0</v>
      </c>
      <c r="HW140">
        <v>0</v>
      </c>
      <c r="HX140">
        <v>0</v>
      </c>
      <c r="HY140">
        <v>0</v>
      </c>
      <c r="HZ140" t="s">
        <v>424</v>
      </c>
      <c r="IA140" t="s">
        <v>425</v>
      </c>
      <c r="IB140" t="s">
        <v>426</v>
      </c>
      <c r="IC140" t="s">
        <v>426</v>
      </c>
      <c r="ID140" t="s">
        <v>426</v>
      </c>
      <c r="IE140" t="s">
        <v>426</v>
      </c>
      <c r="IF140">
        <v>0</v>
      </c>
      <c r="IG140">
        <v>100</v>
      </c>
      <c r="IH140">
        <v>100</v>
      </c>
      <c r="II140">
        <v>-0.121</v>
      </c>
      <c r="IJ140">
        <v>8.6999999999999994E-2</v>
      </c>
      <c r="IK140">
        <v>-9.1783519017450188E-2</v>
      </c>
      <c r="IL140">
        <v>-8.3322953065825546E-5</v>
      </c>
      <c r="IM140">
        <v>2.3872336679552741E-7</v>
      </c>
      <c r="IN140">
        <v>-5.428329794194132E-11</v>
      </c>
      <c r="IO140">
        <v>0.11452392167063261</v>
      </c>
      <c r="IP140">
        <v>0</v>
      </c>
      <c r="IQ140">
        <v>0</v>
      </c>
      <c r="IR140">
        <v>0</v>
      </c>
      <c r="IS140">
        <v>2</v>
      </c>
      <c r="IT140">
        <v>2035</v>
      </c>
      <c r="IU140">
        <v>1</v>
      </c>
      <c r="IV140">
        <v>21</v>
      </c>
      <c r="IW140">
        <v>2.5</v>
      </c>
      <c r="IX140">
        <v>2.2999999999999998</v>
      </c>
      <c r="IY140">
        <v>0.43090800000000001</v>
      </c>
      <c r="IZ140">
        <v>2.7246100000000002</v>
      </c>
      <c r="JA140">
        <v>1.4514199999999999</v>
      </c>
      <c r="JB140">
        <v>2.2753899999999998</v>
      </c>
      <c r="JC140">
        <v>1.5942400000000001</v>
      </c>
      <c r="JD140">
        <v>2.4279799999999998</v>
      </c>
      <c r="JE140">
        <v>48.209000000000003</v>
      </c>
      <c r="JF140">
        <v>24.113800000000001</v>
      </c>
      <c r="JG140">
        <v>18</v>
      </c>
      <c r="JH140">
        <v>512.5</v>
      </c>
      <c r="JI140">
        <v>419.69400000000002</v>
      </c>
      <c r="JJ140">
        <v>26.231400000000001</v>
      </c>
      <c r="JK140">
        <v>34.745199999999997</v>
      </c>
      <c r="JL140">
        <v>30</v>
      </c>
      <c r="JM140">
        <v>34.751399999999997</v>
      </c>
      <c r="JN140">
        <v>34.765900000000002</v>
      </c>
      <c r="JO140">
        <v>8.5839099999999995</v>
      </c>
      <c r="JP140">
        <v>35.320500000000003</v>
      </c>
      <c r="JQ140">
        <v>0</v>
      </c>
      <c r="JR140">
        <v>26.228100000000001</v>
      </c>
      <c r="JS140">
        <v>120</v>
      </c>
      <c r="JT140">
        <v>20.5913</v>
      </c>
      <c r="JU140">
        <v>98.866399999999999</v>
      </c>
      <c r="JV140">
        <v>98.286299999999997</v>
      </c>
    </row>
    <row r="141" spans="1:282" x14ac:dyDescent="0.25">
      <c r="A141">
        <v>125</v>
      </c>
      <c r="B141">
        <v>1689023900.5999999</v>
      </c>
      <c r="C141">
        <v>24560</v>
      </c>
      <c r="D141" t="s">
        <v>1050</v>
      </c>
      <c r="E141" t="s">
        <v>1051</v>
      </c>
      <c r="F141" t="s">
        <v>414</v>
      </c>
      <c r="G141" t="s">
        <v>415</v>
      </c>
      <c r="H141" t="s">
        <v>577</v>
      </c>
      <c r="I141" t="s">
        <v>655</v>
      </c>
      <c r="J141" t="s">
        <v>500</v>
      </c>
      <c r="K141">
        <v>1689023900.5999999</v>
      </c>
      <c r="L141">
        <f t="shared" si="138"/>
        <v>6.5305143838938311E-3</v>
      </c>
      <c r="M141">
        <f t="shared" si="139"/>
        <v>6.5305143838938307</v>
      </c>
      <c r="N141">
        <f t="shared" si="140"/>
        <v>11.166886766314191</v>
      </c>
      <c r="O141">
        <f t="shared" si="141"/>
        <v>56.185699999999997</v>
      </c>
      <c r="P141">
        <f t="shared" si="142"/>
        <v>12.758070275562634</v>
      </c>
      <c r="Q141">
        <f t="shared" si="143"/>
        <v>1.2653509724489422</v>
      </c>
      <c r="R141">
        <f t="shared" si="144"/>
        <v>5.5725222229652003</v>
      </c>
      <c r="S141">
        <f t="shared" si="145"/>
        <v>0.45045451090684369</v>
      </c>
      <c r="T141">
        <f t="shared" si="146"/>
        <v>2.9094238163092054</v>
      </c>
      <c r="U141">
        <f t="shared" si="147"/>
        <v>0.41498924654680353</v>
      </c>
      <c r="V141">
        <f t="shared" si="148"/>
        <v>0.26232161369000434</v>
      </c>
      <c r="W141">
        <f t="shared" si="149"/>
        <v>289.57662601270539</v>
      </c>
      <c r="X141">
        <f t="shared" si="150"/>
        <v>29.907364207078171</v>
      </c>
      <c r="Y141">
        <f t="shared" si="151"/>
        <v>29.988700000000001</v>
      </c>
      <c r="Z141">
        <f t="shared" si="152"/>
        <v>4.2576852552078863</v>
      </c>
      <c r="AA141">
        <f t="shared" si="153"/>
        <v>64.975672127344339</v>
      </c>
      <c r="AB141">
        <f t="shared" si="154"/>
        <v>2.7520785742152003</v>
      </c>
      <c r="AC141">
        <f t="shared" si="155"/>
        <v>4.2355522984378897</v>
      </c>
      <c r="AD141">
        <f t="shared" si="156"/>
        <v>1.505606680992686</v>
      </c>
      <c r="AE141">
        <f t="shared" si="157"/>
        <v>-287.99568432971796</v>
      </c>
      <c r="AF141">
        <f t="shared" si="158"/>
        <v>-14.226554110387253</v>
      </c>
      <c r="AG141">
        <f t="shared" si="159"/>
        <v>-1.0866463330596519</v>
      </c>
      <c r="AH141">
        <f t="shared" si="160"/>
        <v>-13.732258760459485</v>
      </c>
      <c r="AI141">
        <v>0</v>
      </c>
      <c r="AJ141">
        <v>0</v>
      </c>
      <c r="AK141">
        <f t="shared" si="161"/>
        <v>1</v>
      </c>
      <c r="AL141">
        <f t="shared" si="162"/>
        <v>0</v>
      </c>
      <c r="AM141">
        <f t="shared" si="163"/>
        <v>51777.485501341303</v>
      </c>
      <c r="AN141" t="s">
        <v>418</v>
      </c>
      <c r="AO141">
        <v>8197.4</v>
      </c>
      <c r="AP141">
        <v>619.92999999999995</v>
      </c>
      <c r="AQ141">
        <v>3131.443117258741</v>
      </c>
      <c r="AR141">
        <f t="shared" si="164"/>
        <v>0.80203057287443702</v>
      </c>
      <c r="AS141">
        <v>-1.0448500102641549</v>
      </c>
      <c r="AT141" t="s">
        <v>1052</v>
      </c>
      <c r="AU141">
        <v>8189.31</v>
      </c>
      <c r="AV141">
        <v>766.85511538461537</v>
      </c>
      <c r="AW141">
        <v>861.02383948785575</v>
      </c>
      <c r="AX141">
        <f t="shared" si="165"/>
        <v>0.10936831221682863</v>
      </c>
      <c r="AY141">
        <v>0.5</v>
      </c>
      <c r="AZ141">
        <f t="shared" si="166"/>
        <v>1513.2354000065829</v>
      </c>
      <c r="BA141">
        <f t="shared" si="167"/>
        <v>11.166886766314191</v>
      </c>
      <c r="BB141">
        <f t="shared" si="168"/>
        <v>82.750000842738771</v>
      </c>
      <c r="BC141">
        <f t="shared" si="169"/>
        <v>8.0699518241016711E-3</v>
      </c>
      <c r="BD141">
        <f t="shared" si="170"/>
        <v>2.6368831774987207</v>
      </c>
      <c r="BE141">
        <f t="shared" si="171"/>
        <v>407.30679145226992</v>
      </c>
      <c r="BF141" t="s">
        <v>1053</v>
      </c>
      <c r="BG141">
        <v>636.55999999999995</v>
      </c>
      <c r="BH141">
        <f t="shared" si="172"/>
        <v>636.55999999999995</v>
      </c>
      <c r="BI141">
        <f t="shared" si="173"/>
        <v>0.26069410531230908</v>
      </c>
      <c r="BJ141">
        <f t="shared" si="174"/>
        <v>0.41952736938875718</v>
      </c>
      <c r="BK141">
        <f t="shared" si="175"/>
        <v>0.91003031848061644</v>
      </c>
      <c r="BL141">
        <f t="shared" si="176"/>
        <v>0.39058950781686719</v>
      </c>
      <c r="BM141">
        <f t="shared" si="177"/>
        <v>0.90400454696768451</v>
      </c>
      <c r="BN141">
        <f t="shared" si="178"/>
        <v>0.34824615093578193</v>
      </c>
      <c r="BO141">
        <f t="shared" si="179"/>
        <v>0.65175384906421807</v>
      </c>
      <c r="BP141">
        <v>13818</v>
      </c>
      <c r="BQ141">
        <v>290.00000000000011</v>
      </c>
      <c r="BR141">
        <v>832.44</v>
      </c>
      <c r="BS141">
        <v>195</v>
      </c>
      <c r="BT141">
        <v>8189.31</v>
      </c>
      <c r="BU141">
        <v>831.57</v>
      </c>
      <c r="BV141">
        <v>0.87</v>
      </c>
      <c r="BW141">
        <v>300.00000000000011</v>
      </c>
      <c r="BX141">
        <v>19.3</v>
      </c>
      <c r="BY141">
        <v>861.02383948785575</v>
      </c>
      <c r="BZ141">
        <v>2.4643705453056799</v>
      </c>
      <c r="CA141">
        <v>-24.12475529432216</v>
      </c>
      <c r="CB141">
        <v>1.851592020209945</v>
      </c>
      <c r="CC141">
        <v>0.85841420203160845</v>
      </c>
      <c r="CD141">
        <v>-4.2380293659621806E-3</v>
      </c>
      <c r="CE141">
        <v>289.99999999999989</v>
      </c>
      <c r="CF141">
        <v>830.08</v>
      </c>
      <c r="CG141">
        <v>735</v>
      </c>
      <c r="CH141">
        <v>8168.3</v>
      </c>
      <c r="CI141">
        <v>831.49</v>
      </c>
      <c r="CJ141">
        <v>-1.41</v>
      </c>
      <c r="CX141">
        <f t="shared" si="180"/>
        <v>1800.06</v>
      </c>
      <c r="CY141">
        <f t="shared" si="181"/>
        <v>1513.2354000065829</v>
      </c>
      <c r="CZ141">
        <f t="shared" si="182"/>
        <v>0.8406583113932774</v>
      </c>
      <c r="DA141">
        <f t="shared" si="183"/>
        <v>0.16087054098902559</v>
      </c>
      <c r="DB141">
        <v>6</v>
      </c>
      <c r="DC141">
        <v>0.5</v>
      </c>
      <c r="DD141" t="s">
        <v>421</v>
      </c>
      <c r="DE141">
        <v>2</v>
      </c>
      <c r="DF141">
        <v>1689023900.5999999</v>
      </c>
      <c r="DG141">
        <v>56.185699999999997</v>
      </c>
      <c r="DH141">
        <v>70.0227</v>
      </c>
      <c r="DI141">
        <v>27.748200000000001</v>
      </c>
      <c r="DJ141">
        <v>20.131</v>
      </c>
      <c r="DK141">
        <v>56.2607</v>
      </c>
      <c r="DL141">
        <v>27.674199999999999</v>
      </c>
      <c r="DM141">
        <v>500.12900000000002</v>
      </c>
      <c r="DN141">
        <v>99.080100000000002</v>
      </c>
      <c r="DO141">
        <v>0.10033599999999999</v>
      </c>
      <c r="DP141">
        <v>29.898</v>
      </c>
      <c r="DQ141">
        <v>29.988700000000001</v>
      </c>
      <c r="DR141">
        <v>999.9</v>
      </c>
      <c r="DS141">
        <v>0</v>
      </c>
      <c r="DT141">
        <v>0</v>
      </c>
      <c r="DU141">
        <v>9977.5</v>
      </c>
      <c r="DV141">
        <v>0</v>
      </c>
      <c r="DW141">
        <v>1562.97</v>
      </c>
      <c r="DX141">
        <v>-13.879899999999999</v>
      </c>
      <c r="DY141">
        <v>57.747399999999999</v>
      </c>
      <c r="DZ141">
        <v>71.461299999999994</v>
      </c>
      <c r="EA141">
        <v>7.6555400000000002</v>
      </c>
      <c r="EB141">
        <v>70.0227</v>
      </c>
      <c r="EC141">
        <v>20.131</v>
      </c>
      <c r="ED141">
        <v>2.7530899999999998</v>
      </c>
      <c r="EE141">
        <v>1.99458</v>
      </c>
      <c r="EF141">
        <v>22.605499999999999</v>
      </c>
      <c r="EG141">
        <v>17.401399999999999</v>
      </c>
      <c r="EH141">
        <v>1800.06</v>
      </c>
      <c r="EI141">
        <v>0.97799599999999998</v>
      </c>
      <c r="EJ141">
        <v>2.20039E-2</v>
      </c>
      <c r="EK141">
        <v>0</v>
      </c>
      <c r="EL141">
        <v>766.40499999999997</v>
      </c>
      <c r="EM141">
        <v>4.9999900000000004</v>
      </c>
      <c r="EN141">
        <v>20268.099999999999</v>
      </c>
      <c r="EO141">
        <v>15864.4</v>
      </c>
      <c r="EP141">
        <v>50.25</v>
      </c>
      <c r="EQ141">
        <v>51.375</v>
      </c>
      <c r="ER141">
        <v>50.811999999999998</v>
      </c>
      <c r="ES141">
        <v>50.686999999999998</v>
      </c>
      <c r="ET141">
        <v>51.811999999999998</v>
      </c>
      <c r="EU141">
        <v>1755.56</v>
      </c>
      <c r="EV141">
        <v>39.5</v>
      </c>
      <c r="EW141">
        <v>0</v>
      </c>
      <c r="EX141">
        <v>119</v>
      </c>
      <c r="EY141">
        <v>0</v>
      </c>
      <c r="EZ141">
        <v>766.85511538461537</v>
      </c>
      <c r="FA141">
        <v>-2.540478633147035</v>
      </c>
      <c r="FB141">
        <v>62.143589988812487</v>
      </c>
      <c r="FC141">
        <v>20332.61153846154</v>
      </c>
      <c r="FD141">
        <v>15</v>
      </c>
      <c r="FE141">
        <v>1689023935.5999999</v>
      </c>
      <c r="FF141" t="s">
        <v>1054</v>
      </c>
      <c r="FG141">
        <v>1689023921.5999999</v>
      </c>
      <c r="FH141">
        <v>1689023935.5999999</v>
      </c>
      <c r="FI141">
        <v>140</v>
      </c>
      <c r="FJ141">
        <v>4.2999999999999997E-2</v>
      </c>
      <c r="FK141">
        <v>2E-3</v>
      </c>
      <c r="FL141">
        <v>-7.4999999999999997E-2</v>
      </c>
      <c r="FM141">
        <v>7.3999999999999996E-2</v>
      </c>
      <c r="FN141">
        <v>70</v>
      </c>
      <c r="FO141">
        <v>20</v>
      </c>
      <c r="FP141">
        <v>0.13</v>
      </c>
      <c r="FQ141">
        <v>0.01</v>
      </c>
      <c r="FR141">
        <v>11.13779165385426</v>
      </c>
      <c r="FS141">
        <v>0.1028645325302429</v>
      </c>
      <c r="FT141">
        <v>1.73735475689238E-2</v>
      </c>
      <c r="FU141">
        <v>1</v>
      </c>
      <c r="FV141">
        <v>0.45171393984227431</v>
      </c>
      <c r="FW141">
        <v>5.3380521598118151E-3</v>
      </c>
      <c r="FX141">
        <v>5.3242956840477567E-4</v>
      </c>
      <c r="FY141">
        <v>1</v>
      </c>
      <c r="FZ141">
        <v>2</v>
      </c>
      <c r="GA141">
        <v>2</v>
      </c>
      <c r="GB141" t="s">
        <v>423</v>
      </c>
      <c r="GC141">
        <v>2.9570799999999999</v>
      </c>
      <c r="GD141">
        <v>2.7433700000000001</v>
      </c>
      <c r="GE141">
        <v>1.53017E-2</v>
      </c>
      <c r="GF141">
        <v>1.88907E-2</v>
      </c>
      <c r="GG141">
        <v>0.127604</v>
      </c>
      <c r="GH141">
        <v>0.10131999999999999</v>
      </c>
      <c r="GI141">
        <v>23079.1</v>
      </c>
      <c r="GJ141">
        <v>21428.6</v>
      </c>
      <c r="GK141">
        <v>23375.9</v>
      </c>
      <c r="GL141">
        <v>21895.200000000001</v>
      </c>
      <c r="GM141">
        <v>28768</v>
      </c>
      <c r="GN141">
        <v>27464.5</v>
      </c>
      <c r="GO141">
        <v>36891</v>
      </c>
      <c r="GP141">
        <v>34080</v>
      </c>
      <c r="GQ141">
        <v>1.98315</v>
      </c>
      <c r="GR141">
        <v>1.7874699999999999</v>
      </c>
      <c r="GS141">
        <v>5.36442E-3</v>
      </c>
      <c r="GT141">
        <v>0</v>
      </c>
      <c r="GU141">
        <v>29.901399999999999</v>
      </c>
      <c r="GV141">
        <v>999.9</v>
      </c>
      <c r="GW141">
        <v>28.4</v>
      </c>
      <c r="GX141">
        <v>46.6</v>
      </c>
      <c r="GY141">
        <v>29.991199999999999</v>
      </c>
      <c r="GZ141">
        <v>60.077300000000001</v>
      </c>
      <c r="HA141">
        <v>38.465499999999999</v>
      </c>
      <c r="HB141">
        <v>1</v>
      </c>
      <c r="HC141">
        <v>0.61552600000000002</v>
      </c>
      <c r="HD141">
        <v>3.3796900000000001</v>
      </c>
      <c r="HE141">
        <v>20.078199999999999</v>
      </c>
      <c r="HF141">
        <v>5.2641600000000004</v>
      </c>
      <c r="HG141">
        <v>11.962199999999999</v>
      </c>
      <c r="HH141">
        <v>4.9796500000000004</v>
      </c>
      <c r="HI141">
        <v>3.298</v>
      </c>
      <c r="HJ141">
        <v>9999</v>
      </c>
      <c r="HK141">
        <v>9999</v>
      </c>
      <c r="HL141">
        <v>9999</v>
      </c>
      <c r="HM141">
        <v>999.9</v>
      </c>
      <c r="HN141">
        <v>1.8641799999999999</v>
      </c>
      <c r="HO141">
        <v>1.8602000000000001</v>
      </c>
      <c r="HP141">
        <v>1.86677</v>
      </c>
      <c r="HQ141">
        <v>1.86348</v>
      </c>
      <c r="HR141">
        <v>1.86215</v>
      </c>
      <c r="HS141">
        <v>1.8621700000000001</v>
      </c>
      <c r="HT141">
        <v>1.86341</v>
      </c>
      <c r="HU141">
        <v>1.86466</v>
      </c>
      <c r="HV141">
        <v>0</v>
      </c>
      <c r="HW141">
        <v>0</v>
      </c>
      <c r="HX141">
        <v>0</v>
      </c>
      <c r="HY141">
        <v>0</v>
      </c>
      <c r="HZ141" t="s">
        <v>424</v>
      </c>
      <c r="IA141" t="s">
        <v>425</v>
      </c>
      <c r="IB141" t="s">
        <v>426</v>
      </c>
      <c r="IC141" t="s">
        <v>426</v>
      </c>
      <c r="ID141" t="s">
        <v>426</v>
      </c>
      <c r="IE141" t="s">
        <v>426</v>
      </c>
      <c r="IF141">
        <v>0</v>
      </c>
      <c r="IG141">
        <v>100</v>
      </c>
      <c r="IH141">
        <v>100</v>
      </c>
      <c r="II141">
        <v>-7.4999999999999997E-2</v>
      </c>
      <c r="IJ141">
        <v>7.3999999999999996E-2</v>
      </c>
      <c r="IK141">
        <v>-0.11394143507680379</v>
      </c>
      <c r="IL141">
        <v>-8.3322953065825546E-5</v>
      </c>
      <c r="IM141">
        <v>2.3872336679552741E-7</v>
      </c>
      <c r="IN141">
        <v>-5.428329794194132E-11</v>
      </c>
      <c r="IO141">
        <v>0.1123641608424723</v>
      </c>
      <c r="IP141">
        <v>0</v>
      </c>
      <c r="IQ141">
        <v>0</v>
      </c>
      <c r="IR141">
        <v>0</v>
      </c>
      <c r="IS141">
        <v>2</v>
      </c>
      <c r="IT141">
        <v>2035</v>
      </c>
      <c r="IU141">
        <v>1</v>
      </c>
      <c r="IV141">
        <v>21</v>
      </c>
      <c r="IW141">
        <v>1.7</v>
      </c>
      <c r="IX141">
        <v>1.5</v>
      </c>
      <c r="IY141">
        <v>0.31127899999999997</v>
      </c>
      <c r="IZ141">
        <v>2.7416999999999998</v>
      </c>
      <c r="JA141">
        <v>1.4526399999999999</v>
      </c>
      <c r="JB141">
        <v>2.2741699999999998</v>
      </c>
      <c r="JC141">
        <v>1.5942400000000001</v>
      </c>
      <c r="JD141">
        <v>2.36694</v>
      </c>
      <c r="JE141">
        <v>48.117400000000004</v>
      </c>
      <c r="JF141">
        <v>24.113800000000001</v>
      </c>
      <c r="JG141">
        <v>18</v>
      </c>
      <c r="JH141">
        <v>512.87400000000002</v>
      </c>
      <c r="JI141">
        <v>419.68099999999998</v>
      </c>
      <c r="JJ141">
        <v>26.540800000000001</v>
      </c>
      <c r="JK141">
        <v>34.7547</v>
      </c>
      <c r="JL141">
        <v>30.0001</v>
      </c>
      <c r="JM141">
        <v>34.770400000000002</v>
      </c>
      <c r="JN141">
        <v>34.784700000000001</v>
      </c>
      <c r="JO141">
        <v>6.1857800000000003</v>
      </c>
      <c r="JP141">
        <v>36.181699999999999</v>
      </c>
      <c r="JQ141">
        <v>0</v>
      </c>
      <c r="JR141">
        <v>26.543199999999999</v>
      </c>
      <c r="JS141">
        <v>70</v>
      </c>
      <c r="JT141">
        <v>20.058900000000001</v>
      </c>
      <c r="JU141">
        <v>98.870800000000003</v>
      </c>
      <c r="JV141">
        <v>98.292500000000004</v>
      </c>
    </row>
    <row r="142" spans="1:282" x14ac:dyDescent="0.25">
      <c r="A142">
        <v>126</v>
      </c>
      <c r="B142">
        <v>1689024073.0999999</v>
      </c>
      <c r="C142">
        <v>24732.5</v>
      </c>
      <c r="D142" t="s">
        <v>1055</v>
      </c>
      <c r="E142" t="s">
        <v>1056</v>
      </c>
      <c r="F142" t="s">
        <v>414</v>
      </c>
      <c r="G142" t="s">
        <v>415</v>
      </c>
      <c r="H142" t="s">
        <v>577</v>
      </c>
      <c r="I142" t="s">
        <v>655</v>
      </c>
      <c r="J142" t="s">
        <v>500</v>
      </c>
      <c r="K142">
        <v>1689024073.0999999</v>
      </c>
      <c r="L142">
        <f t="shared" si="138"/>
        <v>6.7543351236375613E-3</v>
      </c>
      <c r="M142">
        <f t="shared" si="139"/>
        <v>6.7543351236375617</v>
      </c>
      <c r="N142">
        <f t="shared" si="140"/>
        <v>4.8520631673563441</v>
      </c>
      <c r="O142">
        <f t="shared" si="141"/>
        <v>23.893699999999999</v>
      </c>
      <c r="P142">
        <f t="shared" si="142"/>
        <v>6.3814092359320638</v>
      </c>
      <c r="Q142">
        <f t="shared" si="143"/>
        <v>0.63293796473388753</v>
      </c>
      <c r="R142">
        <f t="shared" si="144"/>
        <v>2.36988873285341</v>
      </c>
      <c r="S142">
        <f t="shared" si="145"/>
        <v>0.48855398884713497</v>
      </c>
      <c r="T142">
        <f t="shared" si="146"/>
        <v>2.9121346371745624</v>
      </c>
      <c r="U142">
        <f t="shared" si="147"/>
        <v>0.44716608242357803</v>
      </c>
      <c r="V142">
        <f t="shared" si="148"/>
        <v>0.28290458118499262</v>
      </c>
      <c r="W142">
        <f t="shared" si="149"/>
        <v>289.59998701270115</v>
      </c>
      <c r="X142">
        <f t="shared" si="150"/>
        <v>29.754376927846373</v>
      </c>
      <c r="Y142">
        <f t="shared" si="151"/>
        <v>29.786200000000001</v>
      </c>
      <c r="Z142">
        <f t="shared" si="152"/>
        <v>4.2084084723077426</v>
      </c>
      <c r="AA142">
        <f t="shared" si="153"/>
        <v>65.587301211728459</v>
      </c>
      <c r="AB142">
        <f t="shared" si="154"/>
        <v>2.7628980664877303</v>
      </c>
      <c r="AC142">
        <f t="shared" si="155"/>
        <v>4.212550319106076</v>
      </c>
      <c r="AD142">
        <f t="shared" si="156"/>
        <v>1.4455104058200123</v>
      </c>
      <c r="AE142">
        <f t="shared" si="157"/>
        <v>-297.86617895241648</v>
      </c>
      <c r="AF142">
        <f t="shared" si="158"/>
        <v>2.6846829437648498</v>
      </c>
      <c r="AG142">
        <f t="shared" si="159"/>
        <v>0.20456804020674252</v>
      </c>
      <c r="AH142">
        <f t="shared" si="160"/>
        <v>-5.3769409557437111</v>
      </c>
      <c r="AI142">
        <v>0</v>
      </c>
      <c r="AJ142">
        <v>0</v>
      </c>
      <c r="AK142">
        <f t="shared" si="161"/>
        <v>1</v>
      </c>
      <c r="AL142">
        <f t="shared" si="162"/>
        <v>0</v>
      </c>
      <c r="AM142">
        <f t="shared" si="163"/>
        <v>51870.900423977568</v>
      </c>
      <c r="AN142" t="s">
        <v>418</v>
      </c>
      <c r="AO142">
        <v>8197.4</v>
      </c>
      <c r="AP142">
        <v>619.92999999999995</v>
      </c>
      <c r="AQ142">
        <v>3131.443117258741</v>
      </c>
      <c r="AR142">
        <f t="shared" si="164"/>
        <v>0.80203057287443702</v>
      </c>
      <c r="AS142">
        <v>-1.0448500102641549</v>
      </c>
      <c r="AT142" t="s">
        <v>1057</v>
      </c>
      <c r="AU142">
        <v>8198.82</v>
      </c>
      <c r="AV142">
        <v>782.82203846153845</v>
      </c>
      <c r="AW142">
        <v>852.33552887296969</v>
      </c>
      <c r="AX142">
        <f t="shared" si="165"/>
        <v>8.1556485746109741E-2</v>
      </c>
      <c r="AY142">
        <v>0.5</v>
      </c>
      <c r="AZ142">
        <f t="shared" si="166"/>
        <v>1513.361100006581</v>
      </c>
      <c r="BA142">
        <f t="shared" si="167"/>
        <v>4.8520631673563441</v>
      </c>
      <c r="BB142">
        <f t="shared" si="168"/>
        <v>61.712206490701838</v>
      </c>
      <c r="BC142">
        <f t="shared" si="169"/>
        <v>3.8965671693258512E-3</v>
      </c>
      <c r="BD142">
        <f t="shared" si="170"/>
        <v>2.6739558673558999</v>
      </c>
      <c r="BE142">
        <f t="shared" si="171"/>
        <v>405.35216523507188</v>
      </c>
      <c r="BF142" t="s">
        <v>1058</v>
      </c>
      <c r="BG142">
        <v>656.47</v>
      </c>
      <c r="BH142">
        <f t="shared" si="172"/>
        <v>656.47</v>
      </c>
      <c r="BI142">
        <f t="shared" si="173"/>
        <v>0.22979862065818102</v>
      </c>
      <c r="BJ142">
        <f t="shared" si="174"/>
        <v>0.35490415700720279</v>
      </c>
      <c r="BK142">
        <f t="shared" si="175"/>
        <v>0.92086155299742867</v>
      </c>
      <c r="BL142">
        <f t="shared" si="176"/>
        <v>0.29910428873413991</v>
      </c>
      <c r="BM142">
        <f t="shared" si="177"/>
        <v>0.90746393985525531</v>
      </c>
      <c r="BN142">
        <f t="shared" si="178"/>
        <v>0.29762055806246362</v>
      </c>
      <c r="BO142">
        <f t="shared" si="179"/>
        <v>0.70237944193753643</v>
      </c>
      <c r="BP142">
        <v>13820</v>
      </c>
      <c r="BQ142">
        <v>290.00000000000011</v>
      </c>
      <c r="BR142">
        <v>827.59</v>
      </c>
      <c r="BS142">
        <v>105</v>
      </c>
      <c r="BT142">
        <v>8198.82</v>
      </c>
      <c r="BU142">
        <v>827.05</v>
      </c>
      <c r="BV142">
        <v>0.54</v>
      </c>
      <c r="BW142">
        <v>300.00000000000011</v>
      </c>
      <c r="BX142">
        <v>19.3</v>
      </c>
      <c r="BY142">
        <v>852.33552887296969</v>
      </c>
      <c r="BZ142">
        <v>2.4222206382179761</v>
      </c>
      <c r="CA142">
        <v>-20.73158803256025</v>
      </c>
      <c r="CB142">
        <v>1.8199143992738001</v>
      </c>
      <c r="CC142">
        <v>0.822522736015598</v>
      </c>
      <c r="CD142">
        <v>-4.2380453837597351E-3</v>
      </c>
      <c r="CE142">
        <v>289.99999999999989</v>
      </c>
      <c r="CF142">
        <v>825.32</v>
      </c>
      <c r="CG142">
        <v>745</v>
      </c>
      <c r="CH142">
        <v>8168.02</v>
      </c>
      <c r="CI142">
        <v>826.95</v>
      </c>
      <c r="CJ142">
        <v>-1.63</v>
      </c>
      <c r="CX142">
        <f t="shared" si="180"/>
        <v>1800.21</v>
      </c>
      <c r="CY142">
        <f t="shared" si="181"/>
        <v>1513.361100006581</v>
      </c>
      <c r="CZ142">
        <f t="shared" si="182"/>
        <v>0.84065808989316848</v>
      </c>
      <c r="DA142">
        <f t="shared" si="183"/>
        <v>0.16087011349381525</v>
      </c>
      <c r="DB142">
        <v>6</v>
      </c>
      <c r="DC142">
        <v>0.5</v>
      </c>
      <c r="DD142" t="s">
        <v>421</v>
      </c>
      <c r="DE142">
        <v>2</v>
      </c>
      <c r="DF142">
        <v>1689024073.0999999</v>
      </c>
      <c r="DG142">
        <v>23.893699999999999</v>
      </c>
      <c r="DH142">
        <v>29.9086</v>
      </c>
      <c r="DI142">
        <v>27.856100000000001</v>
      </c>
      <c r="DJ142">
        <v>19.978300000000001</v>
      </c>
      <c r="DK142">
        <v>23.942900000000002</v>
      </c>
      <c r="DL142">
        <v>27.7393</v>
      </c>
      <c r="DM142">
        <v>500.10300000000001</v>
      </c>
      <c r="DN142">
        <v>99.084900000000005</v>
      </c>
      <c r="DO142">
        <v>9.9769300000000005E-2</v>
      </c>
      <c r="DP142">
        <v>29.8033</v>
      </c>
      <c r="DQ142">
        <v>29.786200000000001</v>
      </c>
      <c r="DR142">
        <v>999.9</v>
      </c>
      <c r="DS142">
        <v>0</v>
      </c>
      <c r="DT142">
        <v>0</v>
      </c>
      <c r="DU142">
        <v>9992.5</v>
      </c>
      <c r="DV142">
        <v>0</v>
      </c>
      <c r="DW142">
        <v>372.14299999999997</v>
      </c>
      <c r="DX142">
        <v>-6.0149299999999997</v>
      </c>
      <c r="DY142">
        <v>24.578299999999999</v>
      </c>
      <c r="DZ142">
        <v>30.5183</v>
      </c>
      <c r="EA142">
        <v>7.8777600000000003</v>
      </c>
      <c r="EB142">
        <v>29.9086</v>
      </c>
      <c r="EC142">
        <v>19.978300000000001</v>
      </c>
      <c r="ED142">
        <v>2.7601200000000001</v>
      </c>
      <c r="EE142">
        <v>1.9795499999999999</v>
      </c>
      <c r="EF142">
        <v>22.647500000000001</v>
      </c>
      <c r="EG142">
        <v>17.281700000000001</v>
      </c>
      <c r="EH142">
        <v>1800.21</v>
      </c>
      <c r="EI142">
        <v>0.97800200000000004</v>
      </c>
      <c r="EJ142">
        <v>2.1997599999999999E-2</v>
      </c>
      <c r="EK142">
        <v>0</v>
      </c>
      <c r="EL142">
        <v>782.76800000000003</v>
      </c>
      <c r="EM142">
        <v>4.9999900000000004</v>
      </c>
      <c r="EN142">
        <v>16023.9</v>
      </c>
      <c r="EO142">
        <v>15865.7</v>
      </c>
      <c r="EP142">
        <v>50.125</v>
      </c>
      <c r="EQ142">
        <v>51.061999999999998</v>
      </c>
      <c r="ER142">
        <v>50.686999999999998</v>
      </c>
      <c r="ES142">
        <v>50.5</v>
      </c>
      <c r="ET142">
        <v>51.625</v>
      </c>
      <c r="EU142">
        <v>1755.72</v>
      </c>
      <c r="EV142">
        <v>39.49</v>
      </c>
      <c r="EW142">
        <v>0</v>
      </c>
      <c r="EX142">
        <v>170.5999999046326</v>
      </c>
      <c r="EY142">
        <v>0</v>
      </c>
      <c r="EZ142">
        <v>782.82203846153845</v>
      </c>
      <c r="FA142">
        <v>1.5142905946453971</v>
      </c>
      <c r="FB142">
        <v>-66.099145755245658</v>
      </c>
      <c r="FC142">
        <v>16029.392307692309</v>
      </c>
      <c r="FD142">
        <v>15</v>
      </c>
      <c r="FE142">
        <v>1689024031.5999999</v>
      </c>
      <c r="FF142" t="s">
        <v>1059</v>
      </c>
      <c r="FG142">
        <v>1689024016.5999999</v>
      </c>
      <c r="FH142">
        <v>1689024031.5999999</v>
      </c>
      <c r="FI142">
        <v>141</v>
      </c>
      <c r="FJ142">
        <v>2.3E-2</v>
      </c>
      <c r="FK142">
        <v>2E-3</v>
      </c>
      <c r="FL142">
        <v>-0.05</v>
      </c>
      <c r="FM142">
        <v>7.9000000000000001E-2</v>
      </c>
      <c r="FN142">
        <v>30</v>
      </c>
      <c r="FO142">
        <v>20</v>
      </c>
      <c r="FP142">
        <v>0.22</v>
      </c>
      <c r="FQ142">
        <v>0.01</v>
      </c>
      <c r="FR142">
        <v>4.8677896178676692</v>
      </c>
      <c r="FS142">
        <v>-0.47978597740379869</v>
      </c>
      <c r="FT142">
        <v>6.5166368679418663E-2</v>
      </c>
      <c r="FU142">
        <v>1</v>
      </c>
      <c r="FV142">
        <v>0.49058452914365769</v>
      </c>
      <c r="FW142">
        <v>-3.7713506614280761E-4</v>
      </c>
      <c r="FX142">
        <v>1.273215527630895E-3</v>
      </c>
      <c r="FY142">
        <v>1</v>
      </c>
      <c r="FZ142">
        <v>2</v>
      </c>
      <c r="GA142">
        <v>2</v>
      </c>
      <c r="GB142" t="s">
        <v>423</v>
      </c>
      <c r="GC142">
        <v>2.9570500000000002</v>
      </c>
      <c r="GD142">
        <v>2.7429299999999999</v>
      </c>
      <c r="GE142">
        <v>6.6045699999999997E-3</v>
      </c>
      <c r="GF142">
        <v>8.2162799999999994E-3</v>
      </c>
      <c r="GG142">
        <v>0.12781799999999999</v>
      </c>
      <c r="GH142">
        <v>0.100785</v>
      </c>
      <c r="GI142">
        <v>23284</v>
      </c>
      <c r="GJ142">
        <v>21662.9</v>
      </c>
      <c r="GK142">
        <v>23377.3</v>
      </c>
      <c r="GL142">
        <v>21896.7</v>
      </c>
      <c r="GM142">
        <v>28762.6</v>
      </c>
      <c r="GN142">
        <v>27482.400000000001</v>
      </c>
      <c r="GO142">
        <v>36894.1</v>
      </c>
      <c r="GP142">
        <v>34082.699999999997</v>
      </c>
      <c r="GQ142">
        <v>1.9832000000000001</v>
      </c>
      <c r="GR142">
        <v>1.7895300000000001</v>
      </c>
      <c r="GS142">
        <v>8.2328899999999997E-3</v>
      </c>
      <c r="GT142">
        <v>0</v>
      </c>
      <c r="GU142">
        <v>29.652100000000001</v>
      </c>
      <c r="GV142">
        <v>999.9</v>
      </c>
      <c r="GW142">
        <v>28.2</v>
      </c>
      <c r="GX142">
        <v>46.3</v>
      </c>
      <c r="GY142">
        <v>29.326599999999999</v>
      </c>
      <c r="GZ142">
        <v>60.237299999999998</v>
      </c>
      <c r="HA142">
        <v>38.429499999999997</v>
      </c>
      <c r="HB142">
        <v>1</v>
      </c>
      <c r="HC142">
        <v>0.60862300000000003</v>
      </c>
      <c r="HD142">
        <v>2.34613</v>
      </c>
      <c r="HE142">
        <v>20.0977</v>
      </c>
      <c r="HF142">
        <v>5.2626600000000003</v>
      </c>
      <c r="HG142">
        <v>11.962</v>
      </c>
      <c r="HH142">
        <v>4.9796500000000004</v>
      </c>
      <c r="HI142">
        <v>3.298</v>
      </c>
      <c r="HJ142">
        <v>9999</v>
      </c>
      <c r="HK142">
        <v>9999</v>
      </c>
      <c r="HL142">
        <v>9999</v>
      </c>
      <c r="HM142">
        <v>999.9</v>
      </c>
      <c r="HN142">
        <v>1.8641700000000001</v>
      </c>
      <c r="HO142">
        <v>1.86019</v>
      </c>
      <c r="HP142">
        <v>1.8667800000000001</v>
      </c>
      <c r="HQ142">
        <v>1.86348</v>
      </c>
      <c r="HR142">
        <v>1.8621399999999999</v>
      </c>
      <c r="HS142">
        <v>1.86212</v>
      </c>
      <c r="HT142">
        <v>1.8633999999999999</v>
      </c>
      <c r="HU142">
        <v>1.8646499999999999</v>
      </c>
      <c r="HV142">
        <v>0</v>
      </c>
      <c r="HW142">
        <v>0</v>
      </c>
      <c r="HX142">
        <v>0</v>
      </c>
      <c r="HY142">
        <v>0</v>
      </c>
      <c r="HZ142" t="s">
        <v>424</v>
      </c>
      <c r="IA142" t="s">
        <v>425</v>
      </c>
      <c r="IB142" t="s">
        <v>426</v>
      </c>
      <c r="IC142" t="s">
        <v>426</v>
      </c>
      <c r="ID142" t="s">
        <v>426</v>
      </c>
      <c r="IE142" t="s">
        <v>426</v>
      </c>
      <c r="IF142">
        <v>0</v>
      </c>
      <c r="IG142">
        <v>100</v>
      </c>
      <c r="IH142">
        <v>100</v>
      </c>
      <c r="II142">
        <v>-4.9000000000000002E-2</v>
      </c>
      <c r="IJ142">
        <v>0.1168</v>
      </c>
      <c r="IK142">
        <v>-4.7357948309790843E-2</v>
      </c>
      <c r="IL142">
        <v>-8.3322953065825546E-5</v>
      </c>
      <c r="IM142">
        <v>2.3872336679552741E-7</v>
      </c>
      <c r="IN142">
        <v>-5.428329794194132E-11</v>
      </c>
      <c r="IO142">
        <v>0.11679939118578191</v>
      </c>
      <c r="IP142">
        <v>0</v>
      </c>
      <c r="IQ142">
        <v>0</v>
      </c>
      <c r="IR142">
        <v>0</v>
      </c>
      <c r="IS142">
        <v>2</v>
      </c>
      <c r="IT142">
        <v>2035</v>
      </c>
      <c r="IU142">
        <v>1</v>
      </c>
      <c r="IV142">
        <v>21</v>
      </c>
      <c r="IW142">
        <v>0.9</v>
      </c>
      <c r="IX142">
        <v>0.7</v>
      </c>
      <c r="IY142">
        <v>0.21484400000000001</v>
      </c>
      <c r="IZ142">
        <v>2.7624499999999999</v>
      </c>
      <c r="JA142">
        <v>1.4526399999999999</v>
      </c>
      <c r="JB142">
        <v>2.2741699999999998</v>
      </c>
      <c r="JC142">
        <v>1.5942400000000001</v>
      </c>
      <c r="JD142">
        <v>2.34741</v>
      </c>
      <c r="JE142">
        <v>47.843699999999998</v>
      </c>
      <c r="JF142">
        <v>24.122499999999999</v>
      </c>
      <c r="JG142">
        <v>18</v>
      </c>
      <c r="JH142">
        <v>512.87400000000002</v>
      </c>
      <c r="JI142">
        <v>420.98599999999999</v>
      </c>
      <c r="JJ142">
        <v>26.9391</v>
      </c>
      <c r="JK142">
        <v>34.724200000000003</v>
      </c>
      <c r="JL142">
        <v>29.998799999999999</v>
      </c>
      <c r="JM142">
        <v>34.766300000000001</v>
      </c>
      <c r="JN142">
        <v>34.774500000000003</v>
      </c>
      <c r="JO142">
        <v>4.2754700000000003</v>
      </c>
      <c r="JP142">
        <v>34.604199999999999</v>
      </c>
      <c r="JQ142">
        <v>0</v>
      </c>
      <c r="JR142">
        <v>27.117699999999999</v>
      </c>
      <c r="JS142">
        <v>30</v>
      </c>
      <c r="JT142">
        <v>19.903500000000001</v>
      </c>
      <c r="JU142">
        <v>98.878299999999996</v>
      </c>
      <c r="JV142">
        <v>98.299800000000005</v>
      </c>
    </row>
    <row r="143" spans="1:282" x14ac:dyDescent="0.25">
      <c r="A143">
        <v>127</v>
      </c>
      <c r="B143">
        <v>1689024172.5999999</v>
      </c>
      <c r="C143">
        <v>24832</v>
      </c>
      <c r="D143" t="s">
        <v>1060</v>
      </c>
      <c r="E143" t="s">
        <v>1061</v>
      </c>
      <c r="F143" t="s">
        <v>414</v>
      </c>
      <c r="G143" t="s">
        <v>415</v>
      </c>
      <c r="H143" t="s">
        <v>577</v>
      </c>
      <c r="I143" t="s">
        <v>655</v>
      </c>
      <c r="J143" t="s">
        <v>500</v>
      </c>
      <c r="K143">
        <v>1689024172.5999999</v>
      </c>
      <c r="L143">
        <f t="shared" si="138"/>
        <v>6.4488972363301389E-3</v>
      </c>
      <c r="M143">
        <f t="shared" si="139"/>
        <v>6.4488972363301391</v>
      </c>
      <c r="N143">
        <f t="shared" si="140"/>
        <v>1.6423920063768118</v>
      </c>
      <c r="O143">
        <f t="shared" si="141"/>
        <v>8.005230000000001</v>
      </c>
      <c r="P143">
        <f t="shared" si="142"/>
        <v>1.6605764954187552</v>
      </c>
      <c r="Q143">
        <f t="shared" si="143"/>
        <v>0.16470264735141424</v>
      </c>
      <c r="R143">
        <f t="shared" si="144"/>
        <v>0.7939908684089102</v>
      </c>
      <c r="S143">
        <f t="shared" si="145"/>
        <v>0.45309923967793408</v>
      </c>
      <c r="T143">
        <f t="shared" si="146"/>
        <v>2.9123392458469484</v>
      </c>
      <c r="U143">
        <f t="shared" si="147"/>
        <v>0.41726691949729222</v>
      </c>
      <c r="V143">
        <f t="shared" si="148"/>
        <v>0.2637746728904895</v>
      </c>
      <c r="W143">
        <f t="shared" si="149"/>
        <v>289.56270001269951</v>
      </c>
      <c r="X143">
        <f t="shared" si="150"/>
        <v>30.308064515627894</v>
      </c>
      <c r="Y143">
        <f t="shared" si="151"/>
        <v>30.0624</v>
      </c>
      <c r="Z143">
        <f t="shared" si="152"/>
        <v>4.2757439675846269</v>
      </c>
      <c r="AA143">
        <f t="shared" si="153"/>
        <v>64.624936265384548</v>
      </c>
      <c r="AB143">
        <f t="shared" si="154"/>
        <v>2.7975050362884004</v>
      </c>
      <c r="AC143">
        <f t="shared" si="155"/>
        <v>4.328832178341111</v>
      </c>
      <c r="AD143">
        <f t="shared" si="156"/>
        <v>1.4782389312962265</v>
      </c>
      <c r="AE143">
        <f t="shared" si="157"/>
        <v>-284.39636812215912</v>
      </c>
      <c r="AF143">
        <f t="shared" si="158"/>
        <v>33.772858189093803</v>
      </c>
      <c r="AG143">
        <f t="shared" si="159"/>
        <v>2.582828515620045</v>
      </c>
      <c r="AH143">
        <f t="shared" si="160"/>
        <v>41.522018595254259</v>
      </c>
      <c r="AI143">
        <v>0</v>
      </c>
      <c r="AJ143">
        <v>0</v>
      </c>
      <c r="AK143">
        <f t="shared" si="161"/>
        <v>1</v>
      </c>
      <c r="AL143">
        <f t="shared" si="162"/>
        <v>0</v>
      </c>
      <c r="AM143">
        <f t="shared" si="163"/>
        <v>51795.592535948228</v>
      </c>
      <c r="AN143" t="s">
        <v>418</v>
      </c>
      <c r="AO143">
        <v>8197.4</v>
      </c>
      <c r="AP143">
        <v>619.92999999999995</v>
      </c>
      <c r="AQ143">
        <v>3131.443117258741</v>
      </c>
      <c r="AR143">
        <f t="shared" si="164"/>
        <v>0.80203057287443702</v>
      </c>
      <c r="AS143">
        <v>-1.0448500102641549</v>
      </c>
      <c r="AT143" t="s">
        <v>1062</v>
      </c>
      <c r="AU143">
        <v>8202.6200000000008</v>
      </c>
      <c r="AV143">
        <v>790.26667999999995</v>
      </c>
      <c r="AW143">
        <v>845.70238601285757</v>
      </c>
      <c r="AX143">
        <f t="shared" si="165"/>
        <v>6.55498990303367E-2</v>
      </c>
      <c r="AY143">
        <v>0.5</v>
      </c>
      <c r="AZ143">
        <f t="shared" si="166"/>
        <v>1513.16760000658</v>
      </c>
      <c r="BA143">
        <f t="shared" si="167"/>
        <v>1.6423920063768118</v>
      </c>
      <c r="BB143">
        <f t="shared" si="168"/>
        <v>49.593991698204114</v>
      </c>
      <c r="BC143">
        <f t="shared" si="169"/>
        <v>1.7759050726629895E-3</v>
      </c>
      <c r="BD143">
        <f t="shared" si="170"/>
        <v>2.7027720023615167</v>
      </c>
      <c r="BE143">
        <f t="shared" si="171"/>
        <v>403.84576894508342</v>
      </c>
      <c r="BF143" t="s">
        <v>1063</v>
      </c>
      <c r="BG143">
        <v>667.7</v>
      </c>
      <c r="BH143">
        <f t="shared" si="172"/>
        <v>667.7</v>
      </c>
      <c r="BI143">
        <f t="shared" si="173"/>
        <v>0.21047875583284836</v>
      </c>
      <c r="BJ143">
        <f t="shared" si="174"/>
        <v>0.31143237601800106</v>
      </c>
      <c r="BK143">
        <f t="shared" si="175"/>
        <v>0.92775123966214867</v>
      </c>
      <c r="BL143">
        <f t="shared" si="176"/>
        <v>0.24553802611494122</v>
      </c>
      <c r="BM143">
        <f t="shared" si="177"/>
        <v>0.91010503410817023</v>
      </c>
      <c r="BN143">
        <f t="shared" si="178"/>
        <v>0.2631306655459893</v>
      </c>
      <c r="BO143">
        <f t="shared" si="179"/>
        <v>0.7368693344540107</v>
      </c>
      <c r="BP143">
        <v>13822</v>
      </c>
      <c r="BQ143">
        <v>290.00000000000011</v>
      </c>
      <c r="BR143">
        <v>827.62</v>
      </c>
      <c r="BS143">
        <v>95</v>
      </c>
      <c r="BT143">
        <v>8202.6200000000008</v>
      </c>
      <c r="BU143">
        <v>825.68</v>
      </c>
      <c r="BV143">
        <v>1.94</v>
      </c>
      <c r="BW143">
        <v>300.00000000000011</v>
      </c>
      <c r="BX143">
        <v>19.3</v>
      </c>
      <c r="BY143">
        <v>845.70238601285757</v>
      </c>
      <c r="BZ143">
        <v>2.5219159140701901</v>
      </c>
      <c r="CA143">
        <v>-16.41983335401045</v>
      </c>
      <c r="CB143">
        <v>1.8954685028650431</v>
      </c>
      <c r="CC143">
        <v>0.72826611922824802</v>
      </c>
      <c r="CD143">
        <v>-4.2391850945495014E-3</v>
      </c>
      <c r="CE143">
        <v>289.99999999999989</v>
      </c>
      <c r="CF143">
        <v>824.4</v>
      </c>
      <c r="CG143">
        <v>645</v>
      </c>
      <c r="CH143">
        <v>8173.85</v>
      </c>
      <c r="CI143">
        <v>825.61</v>
      </c>
      <c r="CJ143">
        <v>-1.21</v>
      </c>
      <c r="CX143">
        <f t="shared" si="180"/>
        <v>1799.98</v>
      </c>
      <c r="CY143">
        <f t="shared" si="181"/>
        <v>1513.16760000658</v>
      </c>
      <c r="CZ143">
        <f t="shared" si="182"/>
        <v>0.84065800731484785</v>
      </c>
      <c r="DA143">
        <f t="shared" si="183"/>
        <v>0.16086995411765659</v>
      </c>
      <c r="DB143">
        <v>6</v>
      </c>
      <c r="DC143">
        <v>0.5</v>
      </c>
      <c r="DD143" t="s">
        <v>421</v>
      </c>
      <c r="DE143">
        <v>2</v>
      </c>
      <c r="DF143">
        <v>1689024172.5999999</v>
      </c>
      <c r="DG143">
        <v>8.005230000000001</v>
      </c>
      <c r="DH143">
        <v>10.0374</v>
      </c>
      <c r="DI143">
        <v>28.205200000000001</v>
      </c>
      <c r="DJ143">
        <v>20.687200000000001</v>
      </c>
      <c r="DK143">
        <v>8.0932300000000001</v>
      </c>
      <c r="DL143">
        <v>28.113199999999999</v>
      </c>
      <c r="DM143">
        <v>500.16</v>
      </c>
      <c r="DN143">
        <v>99.084100000000007</v>
      </c>
      <c r="DO143">
        <v>9.9917000000000006E-2</v>
      </c>
      <c r="DP143">
        <v>30.2775</v>
      </c>
      <c r="DQ143">
        <v>30.0624</v>
      </c>
      <c r="DR143">
        <v>999.9</v>
      </c>
      <c r="DS143">
        <v>0</v>
      </c>
      <c r="DT143">
        <v>0</v>
      </c>
      <c r="DU143">
        <v>9993.75</v>
      </c>
      <c r="DV143">
        <v>0</v>
      </c>
      <c r="DW143">
        <v>1241.03</v>
      </c>
      <c r="DX143">
        <v>-1.9922</v>
      </c>
      <c r="DY143">
        <v>8.2789300000000008</v>
      </c>
      <c r="DZ143">
        <v>10.2494</v>
      </c>
      <c r="EA143">
        <v>7.54284</v>
      </c>
      <c r="EB143">
        <v>10.0374</v>
      </c>
      <c r="EC143">
        <v>20.687200000000001</v>
      </c>
      <c r="ED143">
        <v>2.7971499999999998</v>
      </c>
      <c r="EE143">
        <v>2.0497700000000001</v>
      </c>
      <c r="EF143">
        <v>22.8673</v>
      </c>
      <c r="EG143">
        <v>17.834099999999999</v>
      </c>
      <c r="EH143">
        <v>1799.98</v>
      </c>
      <c r="EI143">
        <v>0.97800799999999999</v>
      </c>
      <c r="EJ143">
        <v>2.19922E-2</v>
      </c>
      <c r="EK143">
        <v>0</v>
      </c>
      <c r="EL143">
        <v>790.33299999999997</v>
      </c>
      <c r="EM143">
        <v>4.9999900000000004</v>
      </c>
      <c r="EN143">
        <v>19239.5</v>
      </c>
      <c r="EO143">
        <v>15863.7</v>
      </c>
      <c r="EP143">
        <v>49.811999999999998</v>
      </c>
      <c r="EQ143">
        <v>50.375</v>
      </c>
      <c r="ER143">
        <v>50.311999999999998</v>
      </c>
      <c r="ES143">
        <v>50.061999999999998</v>
      </c>
      <c r="ET143">
        <v>51.375</v>
      </c>
      <c r="EU143">
        <v>1755.5</v>
      </c>
      <c r="EV143">
        <v>39.479999999999997</v>
      </c>
      <c r="EW143">
        <v>0</v>
      </c>
      <c r="EX143">
        <v>97.400000095367432</v>
      </c>
      <c r="EY143">
        <v>0</v>
      </c>
      <c r="EZ143">
        <v>790.26667999999995</v>
      </c>
      <c r="FA143">
        <v>-6.7076917461239519E-2</v>
      </c>
      <c r="FB143">
        <v>1330.084613329303</v>
      </c>
      <c r="FC143">
        <v>19292.148000000001</v>
      </c>
      <c r="FD143">
        <v>15</v>
      </c>
      <c r="FE143">
        <v>1689024205.5999999</v>
      </c>
      <c r="FF143" t="s">
        <v>1064</v>
      </c>
      <c r="FG143">
        <v>1689024196.5999999</v>
      </c>
      <c r="FH143">
        <v>1689024205.5999999</v>
      </c>
      <c r="FI143">
        <v>142</v>
      </c>
      <c r="FJ143">
        <v>-0.04</v>
      </c>
      <c r="FK143">
        <v>-1E-3</v>
      </c>
      <c r="FL143">
        <v>-8.7999999999999995E-2</v>
      </c>
      <c r="FM143">
        <v>9.1999999999999998E-2</v>
      </c>
      <c r="FN143">
        <v>10</v>
      </c>
      <c r="FO143">
        <v>21</v>
      </c>
      <c r="FP143">
        <v>0.43</v>
      </c>
      <c r="FQ143">
        <v>0.01</v>
      </c>
      <c r="FR143">
        <v>1.6289013496401139</v>
      </c>
      <c r="FS143">
        <v>0.1764394156658653</v>
      </c>
      <c r="FT143">
        <v>3.4892569688203041E-2</v>
      </c>
      <c r="FU143">
        <v>1</v>
      </c>
      <c r="FV143">
        <v>0.45270771623688788</v>
      </c>
      <c r="FW143">
        <v>9.8547617447187156E-3</v>
      </c>
      <c r="FX143">
        <v>1.479981336525179E-3</v>
      </c>
      <c r="FY143">
        <v>1</v>
      </c>
      <c r="FZ143">
        <v>2</v>
      </c>
      <c r="GA143">
        <v>2</v>
      </c>
      <c r="GB143" t="s">
        <v>423</v>
      </c>
      <c r="GC143">
        <v>2.9573900000000002</v>
      </c>
      <c r="GD143">
        <v>2.74309</v>
      </c>
      <c r="GE143">
        <v>2.2464400000000002E-3</v>
      </c>
      <c r="GF143">
        <v>2.7785700000000002E-3</v>
      </c>
      <c r="GG143">
        <v>0.12905</v>
      </c>
      <c r="GH143">
        <v>0.10332</v>
      </c>
      <c r="GI143">
        <v>23396.1</v>
      </c>
      <c r="GJ143">
        <v>21793.200000000001</v>
      </c>
      <c r="GK143">
        <v>23386.7</v>
      </c>
      <c r="GL143">
        <v>21907.7</v>
      </c>
      <c r="GM143">
        <v>28731.9</v>
      </c>
      <c r="GN143">
        <v>27416.5</v>
      </c>
      <c r="GO143">
        <v>36909.5</v>
      </c>
      <c r="GP143">
        <v>34098.6</v>
      </c>
      <c r="GQ143">
        <v>1.9852000000000001</v>
      </c>
      <c r="GR143">
        <v>1.7949200000000001</v>
      </c>
      <c r="GS143">
        <v>5.39199E-2</v>
      </c>
      <c r="GT143">
        <v>0</v>
      </c>
      <c r="GU143">
        <v>29.1844</v>
      </c>
      <c r="GV143">
        <v>999.9</v>
      </c>
      <c r="GW143">
        <v>28</v>
      </c>
      <c r="GX143">
        <v>46.2</v>
      </c>
      <c r="GY143">
        <v>28.971499999999999</v>
      </c>
      <c r="GZ143">
        <v>60.417299999999997</v>
      </c>
      <c r="HA143">
        <v>38.786099999999998</v>
      </c>
      <c r="HB143">
        <v>1</v>
      </c>
      <c r="HC143">
        <v>0.59032300000000004</v>
      </c>
      <c r="HD143">
        <v>2.3865799999999999</v>
      </c>
      <c r="HE143">
        <v>20.096900000000002</v>
      </c>
      <c r="HF143">
        <v>5.25997</v>
      </c>
      <c r="HG143">
        <v>11.962300000000001</v>
      </c>
      <c r="HH143">
        <v>4.9798</v>
      </c>
      <c r="HI143">
        <v>3.298</v>
      </c>
      <c r="HJ143">
        <v>9999</v>
      </c>
      <c r="HK143">
        <v>9999</v>
      </c>
      <c r="HL143">
        <v>9999</v>
      </c>
      <c r="HM143">
        <v>999.9</v>
      </c>
      <c r="HN143">
        <v>1.8641700000000001</v>
      </c>
      <c r="HO143">
        <v>1.86016</v>
      </c>
      <c r="HP143">
        <v>1.86676</v>
      </c>
      <c r="HQ143">
        <v>1.86344</v>
      </c>
      <c r="HR143">
        <v>1.86208</v>
      </c>
      <c r="HS143">
        <v>1.86216</v>
      </c>
      <c r="HT143">
        <v>1.8633999999999999</v>
      </c>
      <c r="HU143">
        <v>1.8646499999999999</v>
      </c>
      <c r="HV143">
        <v>0</v>
      </c>
      <c r="HW143">
        <v>0</v>
      </c>
      <c r="HX143">
        <v>0</v>
      </c>
      <c r="HY143">
        <v>0</v>
      </c>
      <c r="HZ143" t="s">
        <v>424</v>
      </c>
      <c r="IA143" t="s">
        <v>425</v>
      </c>
      <c r="IB143" t="s">
        <v>426</v>
      </c>
      <c r="IC143" t="s">
        <v>426</v>
      </c>
      <c r="ID143" t="s">
        <v>426</v>
      </c>
      <c r="IE143" t="s">
        <v>426</v>
      </c>
      <c r="IF143">
        <v>0</v>
      </c>
      <c r="IG143">
        <v>100</v>
      </c>
      <c r="IH143">
        <v>100</v>
      </c>
      <c r="II143">
        <v>-8.7999999999999995E-2</v>
      </c>
      <c r="IJ143">
        <v>9.1999999999999998E-2</v>
      </c>
      <c r="IK143">
        <v>-4.7357948309790843E-2</v>
      </c>
      <c r="IL143">
        <v>-8.3322953065825546E-5</v>
      </c>
      <c r="IM143">
        <v>2.3872336679552741E-7</v>
      </c>
      <c r="IN143">
        <v>-5.428329794194132E-11</v>
      </c>
      <c r="IO143">
        <v>0.11679939118578191</v>
      </c>
      <c r="IP143">
        <v>0</v>
      </c>
      <c r="IQ143">
        <v>0</v>
      </c>
      <c r="IR143">
        <v>0</v>
      </c>
      <c r="IS143">
        <v>2</v>
      </c>
      <c r="IT143">
        <v>2035</v>
      </c>
      <c r="IU143">
        <v>1</v>
      </c>
      <c r="IV143">
        <v>21</v>
      </c>
      <c r="IW143">
        <v>2.6</v>
      </c>
      <c r="IX143">
        <v>2.4</v>
      </c>
      <c r="IY143">
        <v>0.168457</v>
      </c>
      <c r="IZ143">
        <v>2.7722199999999999</v>
      </c>
      <c r="JA143">
        <v>1.4514199999999999</v>
      </c>
      <c r="JB143">
        <v>2.2741699999999998</v>
      </c>
      <c r="JC143">
        <v>1.5942400000000001</v>
      </c>
      <c r="JD143">
        <v>2.4218799999999998</v>
      </c>
      <c r="JE143">
        <v>47.571800000000003</v>
      </c>
      <c r="JF143">
        <v>24.122499999999999</v>
      </c>
      <c r="JG143">
        <v>18</v>
      </c>
      <c r="JH143">
        <v>512.92999999999995</v>
      </c>
      <c r="JI143">
        <v>423.50900000000001</v>
      </c>
      <c r="JJ143">
        <v>27.7135</v>
      </c>
      <c r="JK143">
        <v>34.507199999999997</v>
      </c>
      <c r="JL143">
        <v>29.998799999999999</v>
      </c>
      <c r="JM143">
        <v>34.615699999999997</v>
      </c>
      <c r="JN143">
        <v>34.6235</v>
      </c>
      <c r="JO143">
        <v>3.35032</v>
      </c>
      <c r="JP143">
        <v>28.825800000000001</v>
      </c>
      <c r="JQ143">
        <v>0</v>
      </c>
      <c r="JR143">
        <v>27.678599999999999</v>
      </c>
      <c r="JS143">
        <v>10</v>
      </c>
      <c r="JT143">
        <v>20.6479</v>
      </c>
      <c r="JU143">
        <v>98.918800000000005</v>
      </c>
      <c r="JV143">
        <v>98.346999999999994</v>
      </c>
    </row>
    <row r="144" spans="1:282" x14ac:dyDescent="0.25">
      <c r="A144">
        <v>128</v>
      </c>
      <c r="B144">
        <v>1689024386.5999999</v>
      </c>
      <c r="C144">
        <v>25046</v>
      </c>
      <c r="D144" t="s">
        <v>1065</v>
      </c>
      <c r="E144" t="s">
        <v>1066</v>
      </c>
      <c r="F144" t="s">
        <v>414</v>
      </c>
      <c r="G144" t="s">
        <v>415</v>
      </c>
      <c r="H144" t="s">
        <v>577</v>
      </c>
      <c r="I144" t="s">
        <v>655</v>
      </c>
      <c r="J144" t="s">
        <v>500</v>
      </c>
      <c r="K144">
        <v>1689024386.5999999</v>
      </c>
      <c r="L144">
        <f t="shared" si="138"/>
        <v>6.3517653112822167E-3</v>
      </c>
      <c r="M144">
        <f t="shared" si="139"/>
        <v>6.3517653112822163</v>
      </c>
      <c r="N144">
        <f t="shared" si="140"/>
        <v>50.422686070632295</v>
      </c>
      <c r="O144">
        <f t="shared" si="141"/>
        <v>336.92700000000002</v>
      </c>
      <c r="P144">
        <f t="shared" si="142"/>
        <v>134.70397266960214</v>
      </c>
      <c r="Q144">
        <f t="shared" si="143"/>
        <v>13.359571324597942</v>
      </c>
      <c r="R144">
        <f t="shared" si="144"/>
        <v>33.415497690800997</v>
      </c>
      <c r="S144">
        <f t="shared" si="145"/>
        <v>0.44016684927149036</v>
      </c>
      <c r="T144">
        <f t="shared" si="146"/>
        <v>2.9128717606059222</v>
      </c>
      <c r="U144">
        <f t="shared" si="147"/>
        <v>0.40627453339778025</v>
      </c>
      <c r="V144">
        <f t="shared" si="148"/>
        <v>0.25674885487579785</v>
      </c>
      <c r="W144">
        <f t="shared" si="149"/>
        <v>289.55791201269972</v>
      </c>
      <c r="X144">
        <f t="shared" si="150"/>
        <v>30.01918073975062</v>
      </c>
      <c r="Y144">
        <f t="shared" si="151"/>
        <v>30.0215</v>
      </c>
      <c r="Z144">
        <f t="shared" si="152"/>
        <v>4.2657140145596344</v>
      </c>
      <c r="AA144">
        <f t="shared" si="153"/>
        <v>65.157587825151438</v>
      </c>
      <c r="AB144">
        <f t="shared" si="154"/>
        <v>2.7701598037582</v>
      </c>
      <c r="AC144">
        <f t="shared" si="155"/>
        <v>4.2514769134668491</v>
      </c>
      <c r="AD144">
        <f t="shared" si="156"/>
        <v>1.4955542108014344</v>
      </c>
      <c r="AE144">
        <f t="shared" si="157"/>
        <v>-280.11285022754578</v>
      </c>
      <c r="AF144">
        <f t="shared" si="158"/>
        <v>-9.1396548052230724</v>
      </c>
      <c r="AG144">
        <f t="shared" si="159"/>
        <v>-0.69761345021065879</v>
      </c>
      <c r="AH144">
        <f t="shared" si="160"/>
        <v>-0.39220647027980071</v>
      </c>
      <c r="AI144">
        <v>0</v>
      </c>
      <c r="AJ144">
        <v>0</v>
      </c>
      <c r="AK144">
        <f t="shared" si="161"/>
        <v>1</v>
      </c>
      <c r="AL144">
        <f t="shared" si="162"/>
        <v>0</v>
      </c>
      <c r="AM144">
        <f t="shared" si="163"/>
        <v>51864.307224578013</v>
      </c>
      <c r="AN144" t="s">
        <v>418</v>
      </c>
      <c r="AO144">
        <v>8197.4</v>
      </c>
      <c r="AP144">
        <v>619.92999999999995</v>
      </c>
      <c r="AQ144">
        <v>3131.443117258741</v>
      </c>
      <c r="AR144">
        <f t="shared" si="164"/>
        <v>0.80203057287443702</v>
      </c>
      <c r="AS144">
        <v>-1.0448500102641549</v>
      </c>
      <c r="AT144" t="s">
        <v>1067</v>
      </c>
      <c r="AU144">
        <v>8187.44</v>
      </c>
      <c r="AV144">
        <v>759.60459999999989</v>
      </c>
      <c r="AW144">
        <v>1160.705213731562</v>
      </c>
      <c r="AX144">
        <f t="shared" si="165"/>
        <v>0.3455663065750002</v>
      </c>
      <c r="AY144">
        <v>0.5</v>
      </c>
      <c r="AZ144">
        <f t="shared" si="166"/>
        <v>1513.1424000065799</v>
      </c>
      <c r="BA144">
        <f t="shared" si="167"/>
        <v>50.422686070632295</v>
      </c>
      <c r="BB144">
        <f t="shared" si="168"/>
        <v>261.44551524615269</v>
      </c>
      <c r="BC144">
        <f t="shared" si="169"/>
        <v>3.4013676492491811E-2</v>
      </c>
      <c r="BD144">
        <f t="shared" si="170"/>
        <v>1.6978797718943945</v>
      </c>
      <c r="BE144">
        <f t="shared" si="171"/>
        <v>463.97490914783862</v>
      </c>
      <c r="BF144" t="s">
        <v>1068</v>
      </c>
      <c r="BG144">
        <v>612.49</v>
      </c>
      <c r="BH144">
        <f t="shared" si="172"/>
        <v>612.49</v>
      </c>
      <c r="BI144">
        <f t="shared" si="173"/>
        <v>0.47231218335713321</v>
      </c>
      <c r="BJ144">
        <f t="shared" si="174"/>
        <v>0.73164808944533277</v>
      </c>
      <c r="BK144">
        <f t="shared" si="175"/>
        <v>0.78236386776100098</v>
      </c>
      <c r="BL144">
        <f t="shared" si="176"/>
        <v>0.74171412362598843</v>
      </c>
      <c r="BM144">
        <f t="shared" si="177"/>
        <v>0.78468150931984548</v>
      </c>
      <c r="BN144">
        <f t="shared" si="178"/>
        <v>0.58994789961036564</v>
      </c>
      <c r="BO144">
        <f t="shared" si="179"/>
        <v>0.41005210038963436</v>
      </c>
      <c r="BP144">
        <v>13824</v>
      </c>
      <c r="BQ144">
        <v>290.00000000000011</v>
      </c>
      <c r="BR144">
        <v>999.13</v>
      </c>
      <c r="BS144">
        <v>275</v>
      </c>
      <c r="BT144">
        <v>8187.44</v>
      </c>
      <c r="BU144">
        <v>1000.64</v>
      </c>
      <c r="BV144">
        <v>-1.51</v>
      </c>
      <c r="BW144">
        <v>300.00000000000011</v>
      </c>
      <c r="BX144">
        <v>19.3</v>
      </c>
      <c r="BY144">
        <v>1160.705213731562</v>
      </c>
      <c r="BZ144">
        <v>3.7168994722716779</v>
      </c>
      <c r="CA144">
        <v>-131.05411294228799</v>
      </c>
      <c r="CB144">
        <v>2.7943392441061321</v>
      </c>
      <c r="CC144">
        <v>0.98743039950278322</v>
      </c>
      <c r="CD144">
        <v>-4.2406051167964368E-3</v>
      </c>
      <c r="CE144">
        <v>289.99999999999989</v>
      </c>
      <c r="CF144">
        <v>984.74</v>
      </c>
      <c r="CG144">
        <v>635</v>
      </c>
      <c r="CH144">
        <v>8176.33</v>
      </c>
      <c r="CI144">
        <v>1000.42</v>
      </c>
      <c r="CJ144">
        <v>-15.68</v>
      </c>
      <c r="CX144">
        <f t="shared" si="180"/>
        <v>1799.95</v>
      </c>
      <c r="CY144">
        <f t="shared" si="181"/>
        <v>1513.1424000065799</v>
      </c>
      <c r="CZ144">
        <f t="shared" si="182"/>
        <v>0.84065801828194109</v>
      </c>
      <c r="DA144">
        <f t="shared" si="183"/>
        <v>0.16086997528414662</v>
      </c>
      <c r="DB144">
        <v>6</v>
      </c>
      <c r="DC144">
        <v>0.5</v>
      </c>
      <c r="DD144" t="s">
        <v>421</v>
      </c>
      <c r="DE144">
        <v>2</v>
      </c>
      <c r="DF144">
        <v>1689024386.5999999</v>
      </c>
      <c r="DG144">
        <v>336.92700000000002</v>
      </c>
      <c r="DH144">
        <v>399.98</v>
      </c>
      <c r="DI144">
        <v>27.9314</v>
      </c>
      <c r="DJ144">
        <v>20.524799999999999</v>
      </c>
      <c r="DK144">
        <v>336.90699999999998</v>
      </c>
      <c r="DL144">
        <v>27.8324</v>
      </c>
      <c r="DM144">
        <v>500.17700000000002</v>
      </c>
      <c r="DN144">
        <v>99.077100000000002</v>
      </c>
      <c r="DO144">
        <v>0.100163</v>
      </c>
      <c r="DP144">
        <v>29.9633</v>
      </c>
      <c r="DQ144">
        <v>30.0215</v>
      </c>
      <c r="DR144">
        <v>999.9</v>
      </c>
      <c r="DS144">
        <v>0</v>
      </c>
      <c r="DT144">
        <v>0</v>
      </c>
      <c r="DU144">
        <v>9997.5</v>
      </c>
      <c r="DV144">
        <v>0</v>
      </c>
      <c r="DW144">
        <v>1477.6</v>
      </c>
      <c r="DX144">
        <v>-63.163699999999999</v>
      </c>
      <c r="DY144">
        <v>346.50099999999998</v>
      </c>
      <c r="DZ144">
        <v>408.36200000000002</v>
      </c>
      <c r="EA144">
        <v>7.4234099999999996</v>
      </c>
      <c r="EB144">
        <v>399.98</v>
      </c>
      <c r="EC144">
        <v>20.524799999999999</v>
      </c>
      <c r="ED144">
        <v>2.7690299999999999</v>
      </c>
      <c r="EE144">
        <v>2.0335399999999999</v>
      </c>
      <c r="EF144">
        <v>22.700600000000001</v>
      </c>
      <c r="EG144">
        <v>17.707899999999999</v>
      </c>
      <c r="EH144">
        <v>1799.95</v>
      </c>
      <c r="EI144">
        <v>0.97800500000000001</v>
      </c>
      <c r="EJ144">
        <v>2.1995399999999998E-2</v>
      </c>
      <c r="EK144">
        <v>0</v>
      </c>
      <c r="EL144">
        <v>759.41</v>
      </c>
      <c r="EM144">
        <v>4.9999900000000004</v>
      </c>
      <c r="EN144">
        <v>19960.099999999999</v>
      </c>
      <c r="EO144">
        <v>15863.4</v>
      </c>
      <c r="EP144">
        <v>49.75</v>
      </c>
      <c r="EQ144">
        <v>50.625</v>
      </c>
      <c r="ER144">
        <v>50.25</v>
      </c>
      <c r="ES144">
        <v>50.061999999999998</v>
      </c>
      <c r="ET144">
        <v>51.311999999999998</v>
      </c>
      <c r="EU144">
        <v>1755.47</v>
      </c>
      <c r="EV144">
        <v>39.479999999999997</v>
      </c>
      <c r="EW144">
        <v>0</v>
      </c>
      <c r="EX144">
        <v>212</v>
      </c>
      <c r="EY144">
        <v>0</v>
      </c>
      <c r="EZ144">
        <v>759.60459999999989</v>
      </c>
      <c r="FA144">
        <v>-1.0843846196690761</v>
      </c>
      <c r="FB144">
        <v>5736.1692312864179</v>
      </c>
      <c r="FC144">
        <v>19583.84</v>
      </c>
      <c r="FD144">
        <v>15</v>
      </c>
      <c r="FE144">
        <v>1689024420.5999999</v>
      </c>
      <c r="FF144" t="s">
        <v>1069</v>
      </c>
      <c r="FG144">
        <v>1689024411.5999999</v>
      </c>
      <c r="FH144">
        <v>1689024420.5999999</v>
      </c>
      <c r="FI144">
        <v>143</v>
      </c>
      <c r="FJ144">
        <v>0.106</v>
      </c>
      <c r="FK144">
        <v>0.01</v>
      </c>
      <c r="FL144">
        <v>0.02</v>
      </c>
      <c r="FM144">
        <v>9.9000000000000005E-2</v>
      </c>
      <c r="FN144">
        <v>400</v>
      </c>
      <c r="FO144">
        <v>21</v>
      </c>
      <c r="FP144">
        <v>0.02</v>
      </c>
      <c r="FQ144">
        <v>0.01</v>
      </c>
      <c r="FR144">
        <v>50.399196340982193</v>
      </c>
      <c r="FS144">
        <v>1.01198554053501</v>
      </c>
      <c r="FT144">
        <v>7.7285545142292675E-2</v>
      </c>
      <c r="FU144">
        <v>0</v>
      </c>
      <c r="FV144">
        <v>0.44265032947813898</v>
      </c>
      <c r="FW144">
        <v>3.5970514531559911E-4</v>
      </c>
      <c r="FX144">
        <v>4.6874658918767117E-4</v>
      </c>
      <c r="FY144">
        <v>1</v>
      </c>
      <c r="FZ144">
        <v>1</v>
      </c>
      <c r="GA144">
        <v>2</v>
      </c>
      <c r="GB144" t="s">
        <v>462</v>
      </c>
      <c r="GC144">
        <v>2.9576199999999999</v>
      </c>
      <c r="GD144">
        <v>2.7433700000000001</v>
      </c>
      <c r="GE144">
        <v>7.7453499999999995E-2</v>
      </c>
      <c r="GF144">
        <v>8.8459599999999999E-2</v>
      </c>
      <c r="GG144">
        <v>0.12820300000000001</v>
      </c>
      <c r="GH144">
        <v>0.102783</v>
      </c>
      <c r="GI144">
        <v>21643.8</v>
      </c>
      <c r="GJ144">
        <v>19931.400000000001</v>
      </c>
      <c r="GK144">
        <v>23395.5</v>
      </c>
      <c r="GL144">
        <v>21916.6</v>
      </c>
      <c r="GM144">
        <v>28773.599999999999</v>
      </c>
      <c r="GN144">
        <v>27447.9</v>
      </c>
      <c r="GO144">
        <v>36921.800000000003</v>
      </c>
      <c r="GP144">
        <v>34110.800000000003</v>
      </c>
      <c r="GQ144">
        <v>1.9880500000000001</v>
      </c>
      <c r="GR144">
        <v>1.80063</v>
      </c>
      <c r="GS144">
        <v>1.22562E-2</v>
      </c>
      <c r="GT144">
        <v>0</v>
      </c>
      <c r="GU144">
        <v>29.821999999999999</v>
      </c>
      <c r="GV144">
        <v>999.9</v>
      </c>
      <c r="GW144">
        <v>27.9</v>
      </c>
      <c r="GX144">
        <v>45.8</v>
      </c>
      <c r="GY144">
        <v>28.282599999999999</v>
      </c>
      <c r="GZ144">
        <v>60.347299999999997</v>
      </c>
      <c r="HA144">
        <v>38.313299999999998</v>
      </c>
      <c r="HB144">
        <v>1</v>
      </c>
      <c r="HC144">
        <v>0.57766799999999996</v>
      </c>
      <c r="HD144">
        <v>3.5213700000000001</v>
      </c>
      <c r="HE144">
        <v>20.075600000000001</v>
      </c>
      <c r="HF144">
        <v>5.2626600000000003</v>
      </c>
      <c r="HG144">
        <v>11.9625</v>
      </c>
      <c r="HH144">
        <v>4.9797000000000002</v>
      </c>
      <c r="HI144">
        <v>3.298</v>
      </c>
      <c r="HJ144">
        <v>9999</v>
      </c>
      <c r="HK144">
        <v>9999</v>
      </c>
      <c r="HL144">
        <v>9999</v>
      </c>
      <c r="HM144">
        <v>999.9</v>
      </c>
      <c r="HN144">
        <v>1.8641700000000001</v>
      </c>
      <c r="HO144">
        <v>1.8601000000000001</v>
      </c>
      <c r="HP144">
        <v>1.86677</v>
      </c>
      <c r="HQ144">
        <v>1.86341</v>
      </c>
      <c r="HR144">
        <v>1.8621099999999999</v>
      </c>
      <c r="HS144">
        <v>1.8621300000000001</v>
      </c>
      <c r="HT144">
        <v>1.8633999999999999</v>
      </c>
      <c r="HU144">
        <v>1.86463</v>
      </c>
      <c r="HV144">
        <v>0</v>
      </c>
      <c r="HW144">
        <v>0</v>
      </c>
      <c r="HX144">
        <v>0</v>
      </c>
      <c r="HY144">
        <v>0</v>
      </c>
      <c r="HZ144" t="s">
        <v>424</v>
      </c>
      <c r="IA144" t="s">
        <v>425</v>
      </c>
      <c r="IB144" t="s">
        <v>426</v>
      </c>
      <c r="IC144" t="s">
        <v>426</v>
      </c>
      <c r="ID144" t="s">
        <v>426</v>
      </c>
      <c r="IE144" t="s">
        <v>426</v>
      </c>
      <c r="IF144">
        <v>0</v>
      </c>
      <c r="IG144">
        <v>100</v>
      </c>
      <c r="IH144">
        <v>100</v>
      </c>
      <c r="II144">
        <v>0.02</v>
      </c>
      <c r="IJ144">
        <v>9.9000000000000005E-2</v>
      </c>
      <c r="IK144">
        <v>-8.7007230730219487E-2</v>
      </c>
      <c r="IL144">
        <v>-8.3322953065825546E-5</v>
      </c>
      <c r="IM144">
        <v>2.3872336679552741E-7</v>
      </c>
      <c r="IN144">
        <v>-5.428329794194132E-11</v>
      </c>
      <c r="IO144">
        <v>0.11587554927569239</v>
      </c>
      <c r="IP144">
        <v>0</v>
      </c>
      <c r="IQ144">
        <v>0</v>
      </c>
      <c r="IR144">
        <v>0</v>
      </c>
      <c r="IS144">
        <v>2</v>
      </c>
      <c r="IT144">
        <v>2035</v>
      </c>
      <c r="IU144">
        <v>1</v>
      </c>
      <c r="IV144">
        <v>21</v>
      </c>
      <c r="IW144">
        <v>3.2</v>
      </c>
      <c r="IX144">
        <v>3</v>
      </c>
      <c r="IY144">
        <v>1.073</v>
      </c>
      <c r="IZ144">
        <v>2.7246100000000002</v>
      </c>
      <c r="JA144">
        <v>1.4514199999999999</v>
      </c>
      <c r="JB144">
        <v>2.2741699999999998</v>
      </c>
      <c r="JC144">
        <v>1.5942400000000001</v>
      </c>
      <c r="JD144">
        <v>2.4279799999999998</v>
      </c>
      <c r="JE144">
        <v>47.182499999999997</v>
      </c>
      <c r="JF144">
        <v>24.113800000000001</v>
      </c>
      <c r="JG144">
        <v>18</v>
      </c>
      <c r="JH144">
        <v>513.21400000000006</v>
      </c>
      <c r="JI144">
        <v>426.10399999999998</v>
      </c>
      <c r="JJ144">
        <v>26.507200000000001</v>
      </c>
      <c r="JK144">
        <v>34.334200000000003</v>
      </c>
      <c r="JL144">
        <v>30.000299999999999</v>
      </c>
      <c r="JM144">
        <v>34.426400000000001</v>
      </c>
      <c r="JN144">
        <v>34.454799999999999</v>
      </c>
      <c r="JO144">
        <v>21.439599999999999</v>
      </c>
      <c r="JP144">
        <v>28.442799999999998</v>
      </c>
      <c r="JQ144">
        <v>0</v>
      </c>
      <c r="JR144">
        <v>26.490300000000001</v>
      </c>
      <c r="JS144">
        <v>400</v>
      </c>
      <c r="JT144">
        <v>20.559699999999999</v>
      </c>
      <c r="JU144">
        <v>98.953400000000002</v>
      </c>
      <c r="JV144">
        <v>98.384</v>
      </c>
    </row>
    <row r="145" spans="1:282" x14ac:dyDescent="0.25">
      <c r="A145">
        <v>129</v>
      </c>
      <c r="B145">
        <v>1689024545</v>
      </c>
      <c r="C145">
        <v>25204.400000095371</v>
      </c>
      <c r="D145" t="s">
        <v>1070</v>
      </c>
      <c r="E145" t="s">
        <v>1071</v>
      </c>
      <c r="F145" t="s">
        <v>414</v>
      </c>
      <c r="G145" t="s">
        <v>415</v>
      </c>
      <c r="H145" t="s">
        <v>577</v>
      </c>
      <c r="I145" t="s">
        <v>655</v>
      </c>
      <c r="J145" t="s">
        <v>500</v>
      </c>
      <c r="K145">
        <v>1689024545</v>
      </c>
      <c r="L145">
        <f t="shared" ref="L145:L176" si="184">(M145)/1000</f>
        <v>6.2669023388851382E-3</v>
      </c>
      <c r="M145">
        <f t="shared" ref="M145:M166" si="185">1000*DM145*AK145*(DI145-DJ145)/(100*DB145*(1000-AK145*DI145))</f>
        <v>6.2669023388851386</v>
      </c>
      <c r="N145">
        <f t="shared" ref="N145:N166" si="186">DM145*AK145*(DH145-DG145*(1000-AK145*DJ145)/(1000-AK145*DI145))/(100*DB145)</f>
        <v>55.897717778280324</v>
      </c>
      <c r="O145">
        <f t="shared" ref="O145:O176" si="187">DG145 - IF(AK145&gt;1, N145*DB145*100/(AM145*DU145), 0)</f>
        <v>330.63600000000002</v>
      </c>
      <c r="P145">
        <f t="shared" ref="P145:P176" si="188">((V145-L145/2)*O145-N145)/(V145+L145/2)</f>
        <v>103.93192027595458</v>
      </c>
      <c r="Q145">
        <f t="shared" ref="Q145:Q176" si="189">P145*(DN145+DO145)/1000</f>
        <v>10.30804450276038</v>
      </c>
      <c r="R145">
        <f t="shared" ref="R145:R166" si="190">(DG145 - IF(AK145&gt;1, N145*DB145*100/(AM145*DU145), 0))*(DN145+DO145)/1000</f>
        <v>32.792722324050004</v>
      </c>
      <c r="S145">
        <f t="shared" ref="S145:S176" si="191">2/((1/U145-1/T145)+SIGN(U145)*SQRT((1/U145-1/T145)*(1/U145-1/T145) + 4*DC145/((DC145+1)*(DC145+1))*(2*1/U145*1/T145-1/T145*1/T145)))</f>
        <v>0.43255540695153938</v>
      </c>
      <c r="T145">
        <f t="shared" ref="T145:T166" si="192">IF(LEFT(DD145,1)&lt;&gt;"0",IF(LEFT(DD145,1)="1",3,DE145),$D$5+$E$5*(DU145*DN145/($K$5*1000))+$F$5*(DU145*DN145/($K$5*1000))*MAX(MIN(DB145,$J$5),$I$5)*MAX(MIN(DB145,$J$5),$I$5)+$G$5*MAX(MIN(DB145,$J$5),$I$5)*(DU145*DN145/($K$5*1000))+$H$5*(DU145*DN145/($K$5*1000))*(DU145*DN145/($K$5*1000)))</f>
        <v>2.9083429322124656</v>
      </c>
      <c r="U145">
        <f t="shared" ref="U145:U166" si="193">L145*(1000-(1000*0.61365*EXP(17.502*Y145/(240.97+Y145))/(DN145+DO145)+DI145)/2)/(1000*0.61365*EXP(17.502*Y145/(240.97+Y145))/(DN145+DO145)-DI145)</f>
        <v>0.39973145993500753</v>
      </c>
      <c r="V145">
        <f t="shared" ref="V145:V166" si="194">1/((DC145+1)/(S145/1.6)+1/(T145/1.37)) + DC145/((DC145+1)/(S145/1.6) + DC145/(T145/1.37))</f>
        <v>0.25257337762059695</v>
      </c>
      <c r="W145">
        <f t="shared" ref="W145:W166" si="195">(CX145*DA145)</f>
        <v>289.58823601269836</v>
      </c>
      <c r="X145">
        <f t="shared" ref="X145:X176" si="196">(DP145+(W145+2*0.95*0.0000000567*(((DP145+$B$7)+273)^4-(DP145+273)^4)-44100*L145)/(1.84*29.3*T145+8*0.95*0.0000000567*(DP145+273)^3))</f>
        <v>29.924621581310802</v>
      </c>
      <c r="Y145">
        <f t="shared" ref="Y145:Y176" si="197">($C$7*DQ145+$D$7*DR145+$E$7*X145)</f>
        <v>30.012899999999998</v>
      </c>
      <c r="Z145">
        <f t="shared" ref="Z145:Z176" si="198">0.61365*EXP(17.502*Y145/(240.97+Y145))</f>
        <v>4.263607637863057</v>
      </c>
      <c r="AA145">
        <f t="shared" ref="AA145:AA176" si="199">(AB145/AC145*100)</f>
        <v>65.445721554489481</v>
      </c>
      <c r="AB145">
        <f t="shared" ref="AB145:AB166" si="200">DI145*(DN145+DO145)/1000</f>
        <v>2.7637605131012499</v>
      </c>
      <c r="AC145">
        <f t="shared" ref="AC145:AC166" si="201">0.61365*EXP(17.502*DP145/(240.97+DP145))</f>
        <v>4.2229811933545109</v>
      </c>
      <c r="AD145">
        <f t="shared" ref="AD145:AD166" si="202">(Z145-DI145*(DN145+DO145)/1000)</f>
        <v>1.499847124761807</v>
      </c>
      <c r="AE145">
        <f t="shared" ref="AE145:AE166" si="203">(-L145*44100)</f>
        <v>-276.37039314483462</v>
      </c>
      <c r="AF145">
        <f t="shared" ref="AF145:AF166" si="204">2*29.3*T145*0.92*(DP145-Y145)</f>
        <v>-26.121977721295483</v>
      </c>
      <c r="AG145">
        <f t="shared" ref="AG145:AG166" si="205">2*0.95*0.0000000567*(((DP145+$B$7)+273)^4-(Y145+273)^4)</f>
        <v>-1.995707159168959</v>
      </c>
      <c r="AH145">
        <f t="shared" ref="AH145:AH176" si="206">W145+AG145+AE145+AF145</f>
        <v>-14.89984201260069</v>
      </c>
      <c r="AI145">
        <v>0</v>
      </c>
      <c r="AJ145">
        <v>0</v>
      </c>
      <c r="AK145">
        <f t="shared" ref="AK145:AK166" si="207">IF(AI145*$H$13&gt;=AM145,1,(AM145/(AM145-AI145*$H$13)))</f>
        <v>1</v>
      </c>
      <c r="AL145">
        <f t="shared" ref="AL145:AL176" si="208">(AK145-1)*100</f>
        <v>0</v>
      </c>
      <c r="AM145">
        <f t="shared" ref="AM145:AM166" si="209">MAX(0,($B$13+$C$13*DU145)/(1+$D$13*DU145)*DN145/(DP145+273)*$E$13)</f>
        <v>51755.608518221314</v>
      </c>
      <c r="AN145" t="s">
        <v>418</v>
      </c>
      <c r="AO145">
        <v>8197.4</v>
      </c>
      <c r="AP145">
        <v>619.92999999999995</v>
      </c>
      <c r="AQ145">
        <v>3131.443117258741</v>
      </c>
      <c r="AR145">
        <f t="shared" ref="AR145:AR176" si="210">1-AP145/AQ145</f>
        <v>0.80203057287443702</v>
      </c>
      <c r="AS145">
        <v>-1.0448500102641549</v>
      </c>
      <c r="AT145" t="s">
        <v>1072</v>
      </c>
      <c r="AU145">
        <v>8187.36</v>
      </c>
      <c r="AV145">
        <v>805.22460000000001</v>
      </c>
      <c r="AW145">
        <v>1259.986246642035</v>
      </c>
      <c r="AX145">
        <f t="shared" ref="AX145:AX176" si="211">1-AV145/AW145</f>
        <v>0.36092588141657223</v>
      </c>
      <c r="AY145">
        <v>0.5</v>
      </c>
      <c r="AZ145">
        <f t="shared" ref="AZ145:AZ166" si="212">CY145</f>
        <v>1513.3020000065794</v>
      </c>
      <c r="BA145">
        <f t="shared" ref="BA145:BA166" si="213">N145</f>
        <v>55.897717778280324</v>
      </c>
      <c r="BB145">
        <f t="shared" ref="BB145:BB166" si="214">AX145*AY145*AZ145</f>
        <v>273.09492910091814</v>
      </c>
      <c r="BC145">
        <f t="shared" ref="BC145:BC166" si="215">(BA145-AS145)/AZ145</f>
        <v>3.762802651968801E-2</v>
      </c>
      <c r="BD145">
        <f t="shared" ref="BD145:BD166" si="216">(AQ145-AW145)/AW145</f>
        <v>1.4852994432314557</v>
      </c>
      <c r="BE145">
        <f t="shared" ref="BE145:BE166" si="217">AP145/(AR145+AP145/AW145)</f>
        <v>479.06412575004663</v>
      </c>
      <c r="BF145" t="s">
        <v>1073</v>
      </c>
      <c r="BG145">
        <v>629.66999999999996</v>
      </c>
      <c r="BH145">
        <f t="shared" ref="BH145:BH176" si="218">IF(BG145&lt;&gt;0, BG145, BE145)</f>
        <v>629.66999999999996</v>
      </c>
      <c r="BI145">
        <f t="shared" ref="BI145:BI176" si="219">1-BH145/AW145</f>
        <v>0.50025644987941631</v>
      </c>
      <c r="BJ145">
        <f t="shared" ref="BJ145:BJ166" si="220">(AW145-AV145)/(AW145-BH145)</f>
        <v>0.72148171503550051</v>
      </c>
      <c r="BK145">
        <f t="shared" ref="BK145:BK166" si="221">(AQ145-AW145)/(AQ145-BH145)</f>
        <v>0.74805219454404837</v>
      </c>
      <c r="BL145">
        <f t="shared" ref="BL145:BL166" si="222">(AW145-AV145)/(AW145-AP145)</f>
        <v>0.71050263008583681</v>
      </c>
      <c r="BM145">
        <f t="shared" ref="BM145:BM166" si="223">(AQ145-AW145)/(AQ145-AP145)</f>
        <v>0.74515114325158616</v>
      </c>
      <c r="BN145">
        <f t="shared" ref="BN145:BN166" si="224">(BJ145*BH145/AV145)</f>
        <v>0.56418469021736739</v>
      </c>
      <c r="BO145">
        <f t="shared" ref="BO145:BO176" si="225">(1-BN145)</f>
        <v>0.43581530978263261</v>
      </c>
      <c r="BP145">
        <v>13826</v>
      </c>
      <c r="BQ145">
        <v>290.00000000000011</v>
      </c>
      <c r="BR145">
        <v>1095.23</v>
      </c>
      <c r="BS145">
        <v>275</v>
      </c>
      <c r="BT145">
        <v>8187.36</v>
      </c>
      <c r="BU145">
        <v>1097.8900000000001</v>
      </c>
      <c r="BV145">
        <v>-2.66</v>
      </c>
      <c r="BW145">
        <v>300.00000000000011</v>
      </c>
      <c r="BX145">
        <v>19.3</v>
      </c>
      <c r="BY145">
        <v>1259.986246642035</v>
      </c>
      <c r="BZ145">
        <v>4.1697963750469897</v>
      </c>
      <c r="CA145">
        <v>-132.71097514430039</v>
      </c>
      <c r="CB145">
        <v>3.1347901372793081</v>
      </c>
      <c r="CC145">
        <v>0.98461743301443649</v>
      </c>
      <c r="CD145">
        <v>-4.2406264738598437E-3</v>
      </c>
      <c r="CE145">
        <v>289.99999999999989</v>
      </c>
      <c r="CF145">
        <v>1087.8599999999999</v>
      </c>
      <c r="CG145">
        <v>645</v>
      </c>
      <c r="CH145">
        <v>8175.92</v>
      </c>
      <c r="CI145">
        <v>1097.67</v>
      </c>
      <c r="CJ145">
        <v>-9.81</v>
      </c>
      <c r="CX145">
        <f t="shared" ref="CX145:CX166" si="226">$B$11*DV145+$C$11*DW145+$F$11*EH145*(1-EK145)</f>
        <v>1800.14</v>
      </c>
      <c r="CY145">
        <f t="shared" ref="CY145:CY176" si="227">CX145*CZ145</f>
        <v>1513.3020000065794</v>
      </c>
      <c r="CZ145">
        <f t="shared" ref="CZ145:CZ166" si="228">($B$11*$D$9+$C$11*$D$9+$F$11*((EU145+EM145)/MAX(EU145+EM145+EV145, 0.1)*$I$9+EV145/MAX(EU145+EM145+EV145, 0.1)*$J$9))/($B$11+$C$11+$F$11)</f>
        <v>0.84065794882985734</v>
      </c>
      <c r="DA145">
        <f t="shared" ref="DA145:DA166" si="229">($B$11*$K$9+$C$11*$K$9+$F$11*((EU145+EM145)/MAX(EU145+EM145+EV145, 0.1)*$P$9+EV145/MAX(EU145+EM145+EV145, 0.1)*$Q$9))/($B$11+$C$11+$F$11)</f>
        <v>0.16086984124162473</v>
      </c>
      <c r="DB145">
        <v>6</v>
      </c>
      <c r="DC145">
        <v>0.5</v>
      </c>
      <c r="DD145" t="s">
        <v>421</v>
      </c>
      <c r="DE145">
        <v>2</v>
      </c>
      <c r="DF145">
        <v>1689024545</v>
      </c>
      <c r="DG145">
        <v>330.63600000000002</v>
      </c>
      <c r="DH145">
        <v>400.19</v>
      </c>
      <c r="DI145">
        <v>27.8659</v>
      </c>
      <c r="DJ145">
        <v>20.5562</v>
      </c>
      <c r="DK145">
        <v>330.67899999999997</v>
      </c>
      <c r="DL145">
        <v>27.742999999999999</v>
      </c>
      <c r="DM145">
        <v>500.07</v>
      </c>
      <c r="DN145">
        <v>99.0809</v>
      </c>
      <c r="DO145">
        <v>9.9837499999999996E-2</v>
      </c>
      <c r="DP145">
        <v>29.846299999999999</v>
      </c>
      <c r="DQ145">
        <v>30.012899999999998</v>
      </c>
      <c r="DR145">
        <v>999.9</v>
      </c>
      <c r="DS145">
        <v>0</v>
      </c>
      <c r="DT145">
        <v>0</v>
      </c>
      <c r="DU145">
        <v>9971.25</v>
      </c>
      <c r="DV145">
        <v>0</v>
      </c>
      <c r="DW145">
        <v>1476.85</v>
      </c>
      <c r="DX145">
        <v>-69.554699999999997</v>
      </c>
      <c r="DY145">
        <v>340.113</v>
      </c>
      <c r="DZ145">
        <v>408.589</v>
      </c>
      <c r="EA145">
        <v>7.3097099999999999</v>
      </c>
      <c r="EB145">
        <v>400.19</v>
      </c>
      <c r="EC145">
        <v>20.5562</v>
      </c>
      <c r="ED145">
        <v>2.76098</v>
      </c>
      <c r="EE145">
        <v>2.0367299999999999</v>
      </c>
      <c r="EF145">
        <v>22.6526</v>
      </c>
      <c r="EG145">
        <v>17.732800000000001</v>
      </c>
      <c r="EH145">
        <v>1800.14</v>
      </c>
      <c r="EI145">
        <v>0.97800799999999999</v>
      </c>
      <c r="EJ145">
        <v>2.19922E-2</v>
      </c>
      <c r="EK145">
        <v>0</v>
      </c>
      <c r="EL145">
        <v>806.17499999999995</v>
      </c>
      <c r="EM145">
        <v>4.9999900000000004</v>
      </c>
      <c r="EN145">
        <v>20837.400000000001</v>
      </c>
      <c r="EO145">
        <v>15865.1</v>
      </c>
      <c r="EP145">
        <v>49.811999999999998</v>
      </c>
      <c r="EQ145">
        <v>50.936999999999998</v>
      </c>
      <c r="ER145">
        <v>50.436999999999998</v>
      </c>
      <c r="ES145">
        <v>50.311999999999998</v>
      </c>
      <c r="ET145">
        <v>51.436999999999998</v>
      </c>
      <c r="EU145">
        <v>1755.66</v>
      </c>
      <c r="EV145">
        <v>39.479999999999997</v>
      </c>
      <c r="EW145">
        <v>0</v>
      </c>
      <c r="EX145">
        <v>156.79999995231631</v>
      </c>
      <c r="EY145">
        <v>0</v>
      </c>
      <c r="EZ145">
        <v>805.22460000000001</v>
      </c>
      <c r="FA145">
        <v>7.8589999734147851</v>
      </c>
      <c r="FB145">
        <v>536.03076513772851</v>
      </c>
      <c r="FC145">
        <v>20791.648000000001</v>
      </c>
      <c r="FD145">
        <v>15</v>
      </c>
      <c r="FE145">
        <v>1689024514.0999999</v>
      </c>
      <c r="FF145" t="s">
        <v>1074</v>
      </c>
      <c r="FG145">
        <v>1689024514.0999999</v>
      </c>
      <c r="FH145">
        <v>1689024504.0999999</v>
      </c>
      <c r="FI145">
        <v>144</v>
      </c>
      <c r="FJ145">
        <v>-5.8000000000000003E-2</v>
      </c>
      <c r="FK145">
        <v>-3.0000000000000001E-3</v>
      </c>
      <c r="FL145">
        <v>-3.7999999999999999E-2</v>
      </c>
      <c r="FM145">
        <v>9.8000000000000004E-2</v>
      </c>
      <c r="FN145">
        <v>400</v>
      </c>
      <c r="FO145">
        <v>21</v>
      </c>
      <c r="FP145">
        <v>0.04</v>
      </c>
      <c r="FQ145">
        <v>0.01</v>
      </c>
      <c r="FR145">
        <v>55.892805888057438</v>
      </c>
      <c r="FS145">
        <v>-0.54605724331250527</v>
      </c>
      <c r="FT145">
        <v>6.1473392331534822E-2</v>
      </c>
      <c r="FU145">
        <v>1</v>
      </c>
      <c r="FV145">
        <v>0.43375682980042263</v>
      </c>
      <c r="FW145">
        <v>1.5280077026026909E-2</v>
      </c>
      <c r="FX145">
        <v>1.5716071126249159E-3</v>
      </c>
      <c r="FY145">
        <v>1</v>
      </c>
      <c r="FZ145">
        <v>2</v>
      </c>
      <c r="GA145">
        <v>2</v>
      </c>
      <c r="GB145" t="s">
        <v>423</v>
      </c>
      <c r="GC145">
        <v>2.9572500000000002</v>
      </c>
      <c r="GD145">
        <v>2.74282</v>
      </c>
      <c r="GE145">
        <v>7.63041E-2</v>
      </c>
      <c r="GF145">
        <v>8.8492600000000005E-2</v>
      </c>
      <c r="GG145">
        <v>0.127911</v>
      </c>
      <c r="GH145">
        <v>0.102891</v>
      </c>
      <c r="GI145">
        <v>21666.400000000001</v>
      </c>
      <c r="GJ145">
        <v>19926.2</v>
      </c>
      <c r="GK145">
        <v>23391.200000000001</v>
      </c>
      <c r="GL145">
        <v>21912</v>
      </c>
      <c r="GM145">
        <v>28778.799999999999</v>
      </c>
      <c r="GN145">
        <v>27439.200000000001</v>
      </c>
      <c r="GO145">
        <v>36915.199999999997</v>
      </c>
      <c r="GP145">
        <v>34104</v>
      </c>
      <c r="GQ145">
        <v>1.98645</v>
      </c>
      <c r="GR145">
        <v>1.8001499999999999</v>
      </c>
      <c r="GS145">
        <v>5.7220500000000002E-3</v>
      </c>
      <c r="GT145">
        <v>0</v>
      </c>
      <c r="GU145">
        <v>29.919699999999999</v>
      </c>
      <c r="GV145">
        <v>999.9</v>
      </c>
      <c r="GW145">
        <v>28.2</v>
      </c>
      <c r="GX145">
        <v>45.6</v>
      </c>
      <c r="GY145">
        <v>28.291</v>
      </c>
      <c r="GZ145">
        <v>60.587299999999999</v>
      </c>
      <c r="HA145">
        <v>39.0946</v>
      </c>
      <c r="HB145">
        <v>1</v>
      </c>
      <c r="HC145">
        <v>0.58697900000000003</v>
      </c>
      <c r="HD145">
        <v>3.5872199999999999</v>
      </c>
      <c r="HE145">
        <v>20.0761</v>
      </c>
      <c r="HF145">
        <v>5.26281</v>
      </c>
      <c r="HG145">
        <v>11.962</v>
      </c>
      <c r="HH145">
        <v>4.9797500000000001</v>
      </c>
      <c r="HI145">
        <v>3.298</v>
      </c>
      <c r="HJ145">
        <v>9999</v>
      </c>
      <c r="HK145">
        <v>9999</v>
      </c>
      <c r="HL145">
        <v>9999</v>
      </c>
      <c r="HM145">
        <v>999.9</v>
      </c>
      <c r="HN145">
        <v>1.8641700000000001</v>
      </c>
      <c r="HO145">
        <v>1.8601000000000001</v>
      </c>
      <c r="HP145">
        <v>1.86676</v>
      </c>
      <c r="HQ145">
        <v>1.8634200000000001</v>
      </c>
      <c r="HR145">
        <v>1.86206</v>
      </c>
      <c r="HS145">
        <v>1.86209</v>
      </c>
      <c r="HT145">
        <v>1.8633999999999999</v>
      </c>
      <c r="HU145">
        <v>1.86463</v>
      </c>
      <c r="HV145">
        <v>0</v>
      </c>
      <c r="HW145">
        <v>0</v>
      </c>
      <c r="HX145">
        <v>0</v>
      </c>
      <c r="HY145">
        <v>0</v>
      </c>
      <c r="HZ145" t="s">
        <v>424</v>
      </c>
      <c r="IA145" t="s">
        <v>425</v>
      </c>
      <c r="IB145" t="s">
        <v>426</v>
      </c>
      <c r="IC145" t="s">
        <v>426</v>
      </c>
      <c r="ID145" t="s">
        <v>426</v>
      </c>
      <c r="IE145" t="s">
        <v>426</v>
      </c>
      <c r="IF145">
        <v>0</v>
      </c>
      <c r="IG145">
        <v>100</v>
      </c>
      <c r="IH145">
        <v>100</v>
      </c>
      <c r="II145">
        <v>-4.2999999999999997E-2</v>
      </c>
      <c r="IJ145">
        <v>0.1229</v>
      </c>
      <c r="IK145">
        <v>-3.9769485694647277E-2</v>
      </c>
      <c r="IL145">
        <v>-8.3322953065825546E-5</v>
      </c>
      <c r="IM145">
        <v>2.3872336679552741E-7</v>
      </c>
      <c r="IN145">
        <v>-5.428329794194132E-11</v>
      </c>
      <c r="IO145">
        <v>0.1229590506488259</v>
      </c>
      <c r="IP145">
        <v>0</v>
      </c>
      <c r="IQ145">
        <v>0</v>
      </c>
      <c r="IR145">
        <v>0</v>
      </c>
      <c r="IS145">
        <v>2</v>
      </c>
      <c r="IT145">
        <v>2035</v>
      </c>
      <c r="IU145">
        <v>1</v>
      </c>
      <c r="IV145">
        <v>21</v>
      </c>
      <c r="IW145">
        <v>0.5</v>
      </c>
      <c r="IX145">
        <v>0.7</v>
      </c>
      <c r="IY145">
        <v>1.073</v>
      </c>
      <c r="IZ145">
        <v>2.7209500000000002</v>
      </c>
      <c r="JA145">
        <v>1.4514199999999999</v>
      </c>
      <c r="JB145">
        <v>2.2741699999999998</v>
      </c>
      <c r="JC145">
        <v>1.5942400000000001</v>
      </c>
      <c r="JD145">
        <v>2.4133300000000002</v>
      </c>
      <c r="JE145">
        <v>47.033700000000003</v>
      </c>
      <c r="JF145">
        <v>24.113800000000001</v>
      </c>
      <c r="JG145">
        <v>18</v>
      </c>
      <c r="JH145">
        <v>512.49699999999996</v>
      </c>
      <c r="JI145">
        <v>425.99099999999999</v>
      </c>
      <c r="JJ145">
        <v>26.442399999999999</v>
      </c>
      <c r="JK145">
        <v>34.430799999999998</v>
      </c>
      <c r="JL145">
        <v>30.000900000000001</v>
      </c>
      <c r="JM145">
        <v>34.466799999999999</v>
      </c>
      <c r="JN145">
        <v>34.482599999999998</v>
      </c>
      <c r="JO145">
        <v>21.421500000000002</v>
      </c>
      <c r="JP145">
        <v>30.139600000000002</v>
      </c>
      <c r="JQ145">
        <v>0</v>
      </c>
      <c r="JR145">
        <v>26.447099999999999</v>
      </c>
      <c r="JS145">
        <v>400</v>
      </c>
      <c r="JT145">
        <v>20.3828</v>
      </c>
      <c r="JU145">
        <v>98.935699999999997</v>
      </c>
      <c r="JV145">
        <v>98.364099999999993</v>
      </c>
    </row>
    <row r="146" spans="1:282" x14ac:dyDescent="0.25">
      <c r="A146">
        <v>130</v>
      </c>
      <c r="B146">
        <v>1689024658.5</v>
      </c>
      <c r="C146">
        <v>25317.900000095371</v>
      </c>
      <c r="D146" t="s">
        <v>1075</v>
      </c>
      <c r="E146" t="s">
        <v>1076</v>
      </c>
      <c r="F146" t="s">
        <v>414</v>
      </c>
      <c r="G146" t="s">
        <v>415</v>
      </c>
      <c r="H146" t="s">
        <v>577</v>
      </c>
      <c r="I146" t="s">
        <v>655</v>
      </c>
      <c r="J146" t="s">
        <v>500</v>
      </c>
      <c r="K146">
        <v>1689024658.5</v>
      </c>
      <c r="L146">
        <f t="shared" si="184"/>
        <v>6.0901024245269683E-3</v>
      </c>
      <c r="M146">
        <f t="shared" si="185"/>
        <v>6.0901024245269682</v>
      </c>
      <c r="N146">
        <f t="shared" si="186"/>
        <v>56.368125063826056</v>
      </c>
      <c r="O146">
        <f t="shared" si="187"/>
        <v>329.97800000000001</v>
      </c>
      <c r="P146">
        <f t="shared" si="188"/>
        <v>96.598488170741518</v>
      </c>
      <c r="Q146">
        <f t="shared" si="189"/>
        <v>9.5810265952132649</v>
      </c>
      <c r="R146">
        <f t="shared" si="190"/>
        <v>32.7285452775116</v>
      </c>
      <c r="S146">
        <f t="shared" si="191"/>
        <v>0.42250521988080997</v>
      </c>
      <c r="T146">
        <f t="shared" si="192"/>
        <v>2.9111368984515442</v>
      </c>
      <c r="U146">
        <f t="shared" si="193"/>
        <v>0.39115729824489737</v>
      </c>
      <c r="V146">
        <f t="shared" si="194"/>
        <v>0.24709569346619836</v>
      </c>
      <c r="W146">
        <f t="shared" si="195"/>
        <v>289.5674880126993</v>
      </c>
      <c r="X146">
        <f t="shared" si="196"/>
        <v>29.935790693953546</v>
      </c>
      <c r="Y146">
        <f t="shared" si="197"/>
        <v>29.9833</v>
      </c>
      <c r="Z146">
        <f t="shared" si="198"/>
        <v>4.2563647106260349</v>
      </c>
      <c r="AA146">
        <f t="shared" si="199"/>
        <v>65.648903588132455</v>
      </c>
      <c r="AB146">
        <f t="shared" si="200"/>
        <v>2.7667978096823203</v>
      </c>
      <c r="AC146">
        <f t="shared" si="201"/>
        <v>4.2145377279118525</v>
      </c>
      <c r="AD146">
        <f t="shared" si="202"/>
        <v>1.4895669009437147</v>
      </c>
      <c r="AE146">
        <f t="shared" si="203"/>
        <v>-268.57351692163928</v>
      </c>
      <c r="AF146">
        <f t="shared" si="204"/>
        <v>-26.963187502229285</v>
      </c>
      <c r="AG146">
        <f t="shared" si="205"/>
        <v>-2.0573419518427269</v>
      </c>
      <c r="AH146">
        <f t="shared" si="206"/>
        <v>-8.0265583630119828</v>
      </c>
      <c r="AI146">
        <v>0</v>
      </c>
      <c r="AJ146">
        <v>0</v>
      </c>
      <c r="AK146">
        <f t="shared" si="207"/>
        <v>1</v>
      </c>
      <c r="AL146">
        <f t="shared" si="208"/>
        <v>0</v>
      </c>
      <c r="AM146">
        <f t="shared" si="209"/>
        <v>51841.08947917253</v>
      </c>
      <c r="AN146" t="s">
        <v>418</v>
      </c>
      <c r="AO146">
        <v>8197.4</v>
      </c>
      <c r="AP146">
        <v>619.92999999999995</v>
      </c>
      <c r="AQ146">
        <v>3131.443117258741</v>
      </c>
      <c r="AR146">
        <f t="shared" si="210"/>
        <v>0.80203057287443702</v>
      </c>
      <c r="AS146">
        <v>-1.0448500102641549</v>
      </c>
      <c r="AT146" t="s">
        <v>1077</v>
      </c>
      <c r="AU146">
        <v>8186.76</v>
      </c>
      <c r="AV146">
        <v>812.90496153846163</v>
      </c>
      <c r="AW146">
        <v>1277.2479635559321</v>
      </c>
      <c r="AX146">
        <f t="shared" si="211"/>
        <v>0.36354961234364602</v>
      </c>
      <c r="AY146">
        <v>0.5</v>
      </c>
      <c r="AZ146">
        <f t="shared" si="212"/>
        <v>1513.1928000065798</v>
      </c>
      <c r="BA146">
        <f t="shared" si="213"/>
        <v>56.368125063826056</v>
      </c>
      <c r="BB146">
        <f t="shared" si="214"/>
        <v>275.06032792179417</v>
      </c>
      <c r="BC146">
        <f t="shared" si="215"/>
        <v>3.7941612644363999E-2</v>
      </c>
      <c r="BD146">
        <f t="shared" si="216"/>
        <v>1.4517111842093862</v>
      </c>
      <c r="BE146">
        <f t="shared" si="217"/>
        <v>481.53851285705014</v>
      </c>
      <c r="BF146" t="s">
        <v>1078</v>
      </c>
      <c r="BG146">
        <v>630.82000000000005</v>
      </c>
      <c r="BH146">
        <f t="shared" si="218"/>
        <v>630.82000000000005</v>
      </c>
      <c r="BI146">
        <f t="shared" si="219"/>
        <v>0.5061099974324792</v>
      </c>
      <c r="BJ146">
        <f t="shared" si="220"/>
        <v>0.71832134158177285</v>
      </c>
      <c r="BK146">
        <f t="shared" si="221"/>
        <v>0.74149324658544868</v>
      </c>
      <c r="BL146">
        <f t="shared" si="222"/>
        <v>0.70642067882259973</v>
      </c>
      <c r="BM146">
        <f t="shared" si="223"/>
        <v>0.73827810850799791</v>
      </c>
      <c r="BN146">
        <f t="shared" si="224"/>
        <v>0.55742244190396006</v>
      </c>
      <c r="BO146">
        <f t="shared" si="225"/>
        <v>0.44257755809603994</v>
      </c>
      <c r="BP146">
        <v>13828</v>
      </c>
      <c r="BQ146">
        <v>290.00000000000011</v>
      </c>
      <c r="BR146">
        <v>1114.79</v>
      </c>
      <c r="BS146">
        <v>275</v>
      </c>
      <c r="BT146">
        <v>8186.76</v>
      </c>
      <c r="BU146">
        <v>1116.96</v>
      </c>
      <c r="BV146">
        <v>-2.17</v>
      </c>
      <c r="BW146">
        <v>300.00000000000011</v>
      </c>
      <c r="BX146">
        <v>19.3</v>
      </c>
      <c r="BY146">
        <v>1277.2479635559321</v>
      </c>
      <c r="BZ146">
        <v>4.9207919694558031</v>
      </c>
      <c r="CA146">
        <v>-131.22705885688251</v>
      </c>
      <c r="CB146">
        <v>3.6990893501775211</v>
      </c>
      <c r="CC146">
        <v>0.97823571526594078</v>
      </c>
      <c r="CD146">
        <v>-4.2403452725250212E-3</v>
      </c>
      <c r="CE146">
        <v>289.99999999999989</v>
      </c>
      <c r="CF146">
        <v>1107.0999999999999</v>
      </c>
      <c r="CG146">
        <v>625</v>
      </c>
      <c r="CH146">
        <v>8175.96</v>
      </c>
      <c r="CI146">
        <v>1116.74</v>
      </c>
      <c r="CJ146">
        <v>-9.64</v>
      </c>
      <c r="CX146">
        <f t="shared" si="226"/>
        <v>1800.01</v>
      </c>
      <c r="CY146">
        <f t="shared" si="227"/>
        <v>1513.1928000065798</v>
      </c>
      <c r="CZ146">
        <f t="shared" si="228"/>
        <v>0.84065799634812022</v>
      </c>
      <c r="DA146">
        <f t="shared" si="229"/>
        <v>0.1608699329518721</v>
      </c>
      <c r="DB146">
        <v>6</v>
      </c>
      <c r="DC146">
        <v>0.5</v>
      </c>
      <c r="DD146" t="s">
        <v>421</v>
      </c>
      <c r="DE146">
        <v>2</v>
      </c>
      <c r="DF146">
        <v>1689024658.5</v>
      </c>
      <c r="DG146">
        <v>329.97800000000001</v>
      </c>
      <c r="DH146">
        <v>400.00900000000001</v>
      </c>
      <c r="DI146">
        <v>27.895600000000002</v>
      </c>
      <c r="DJ146">
        <v>20.793600000000001</v>
      </c>
      <c r="DK146">
        <v>330.03399999999999</v>
      </c>
      <c r="DL146">
        <v>27.772400000000001</v>
      </c>
      <c r="DM146">
        <v>500.15899999999999</v>
      </c>
      <c r="DN146">
        <v>99.084100000000007</v>
      </c>
      <c r="DO146">
        <v>9.9922200000000003E-2</v>
      </c>
      <c r="DP146">
        <v>29.811499999999999</v>
      </c>
      <c r="DQ146">
        <v>29.9833</v>
      </c>
      <c r="DR146">
        <v>999.9</v>
      </c>
      <c r="DS146">
        <v>0</v>
      </c>
      <c r="DT146">
        <v>0</v>
      </c>
      <c r="DU146">
        <v>9986.8799999999992</v>
      </c>
      <c r="DV146">
        <v>0</v>
      </c>
      <c r="DW146">
        <v>1471.05</v>
      </c>
      <c r="DX146">
        <v>-70.031599999999997</v>
      </c>
      <c r="DY146">
        <v>339.447</v>
      </c>
      <c r="DZ146">
        <v>408.50400000000002</v>
      </c>
      <c r="EA146">
        <v>7.1020399999999997</v>
      </c>
      <c r="EB146">
        <v>400.00900000000001</v>
      </c>
      <c r="EC146">
        <v>20.793600000000001</v>
      </c>
      <c r="ED146">
        <v>2.7640099999999999</v>
      </c>
      <c r="EE146">
        <v>2.0603099999999999</v>
      </c>
      <c r="EF146">
        <v>22.6707</v>
      </c>
      <c r="EG146">
        <v>17.915600000000001</v>
      </c>
      <c r="EH146">
        <v>1800.01</v>
      </c>
      <c r="EI146">
        <v>0.97800799999999999</v>
      </c>
      <c r="EJ146">
        <v>2.19922E-2</v>
      </c>
      <c r="EK146">
        <v>0</v>
      </c>
      <c r="EL146">
        <v>813.10799999999995</v>
      </c>
      <c r="EM146">
        <v>4.9999900000000004</v>
      </c>
      <c r="EN146">
        <v>20890.7</v>
      </c>
      <c r="EO146">
        <v>15863.9</v>
      </c>
      <c r="EP146">
        <v>49.936999999999998</v>
      </c>
      <c r="EQ146">
        <v>51</v>
      </c>
      <c r="ER146">
        <v>50.5</v>
      </c>
      <c r="ES146">
        <v>50.375</v>
      </c>
      <c r="ET146">
        <v>51.5</v>
      </c>
      <c r="EU146">
        <v>1755.53</v>
      </c>
      <c r="EV146">
        <v>39.479999999999997</v>
      </c>
      <c r="EW146">
        <v>0</v>
      </c>
      <c r="EX146">
        <v>111.5999999046326</v>
      </c>
      <c r="EY146">
        <v>0</v>
      </c>
      <c r="EZ146">
        <v>812.90496153846163</v>
      </c>
      <c r="FA146">
        <v>0.92639317179555969</v>
      </c>
      <c r="FB146">
        <v>-92.926496074139962</v>
      </c>
      <c r="FC146">
        <v>20906.673076923082</v>
      </c>
      <c r="FD146">
        <v>15</v>
      </c>
      <c r="FE146">
        <v>1689024618</v>
      </c>
      <c r="FF146" t="s">
        <v>1079</v>
      </c>
      <c r="FG146">
        <v>1689024613.5</v>
      </c>
      <c r="FH146">
        <v>1689024618</v>
      </c>
      <c r="FI146">
        <v>145</v>
      </c>
      <c r="FJ146">
        <v>-1.2999999999999999E-2</v>
      </c>
      <c r="FK146">
        <v>0</v>
      </c>
      <c r="FL146">
        <v>-5.0999999999999997E-2</v>
      </c>
      <c r="FM146">
        <v>9.4E-2</v>
      </c>
      <c r="FN146">
        <v>400</v>
      </c>
      <c r="FO146">
        <v>20</v>
      </c>
      <c r="FP146">
        <v>0.02</v>
      </c>
      <c r="FQ146">
        <v>0.02</v>
      </c>
      <c r="FR146">
        <v>56.289746888979067</v>
      </c>
      <c r="FS146">
        <v>-0.50581369762417328</v>
      </c>
      <c r="FT146">
        <v>4.9501778682176409E-2</v>
      </c>
      <c r="FU146">
        <v>1</v>
      </c>
      <c r="FV146">
        <v>0.42277740659005281</v>
      </c>
      <c r="FW146">
        <v>-1.151478314532454E-2</v>
      </c>
      <c r="FX146">
        <v>1.054342424879231E-3</v>
      </c>
      <c r="FY146">
        <v>1</v>
      </c>
      <c r="FZ146">
        <v>2</v>
      </c>
      <c r="GA146">
        <v>2</v>
      </c>
      <c r="GB146" t="s">
        <v>423</v>
      </c>
      <c r="GC146">
        <v>2.9573999999999998</v>
      </c>
      <c r="GD146">
        <v>2.7430400000000001</v>
      </c>
      <c r="GE146">
        <v>7.6178200000000001E-2</v>
      </c>
      <c r="GF146">
        <v>8.8456400000000004E-2</v>
      </c>
      <c r="GG146">
        <v>0.127996</v>
      </c>
      <c r="GH146">
        <v>0.103715</v>
      </c>
      <c r="GI146">
        <v>21665.3</v>
      </c>
      <c r="GJ146">
        <v>19923.599999999999</v>
      </c>
      <c r="GK146">
        <v>23387.1</v>
      </c>
      <c r="GL146">
        <v>21908.400000000001</v>
      </c>
      <c r="GM146">
        <v>28771.200000000001</v>
      </c>
      <c r="GN146">
        <v>27409.7</v>
      </c>
      <c r="GO146">
        <v>36908.6</v>
      </c>
      <c r="GP146">
        <v>34098.800000000003</v>
      </c>
      <c r="GQ146">
        <v>1.9853799999999999</v>
      </c>
      <c r="GR146">
        <v>1.8004</v>
      </c>
      <c r="GS146">
        <v>9.3132299999999996E-4</v>
      </c>
      <c r="GT146">
        <v>0</v>
      </c>
      <c r="GU146">
        <v>29.9681</v>
      </c>
      <c r="GV146">
        <v>999.9</v>
      </c>
      <c r="GW146">
        <v>28.5</v>
      </c>
      <c r="GX146">
        <v>45.4</v>
      </c>
      <c r="GY146">
        <v>28.302399999999999</v>
      </c>
      <c r="GZ146">
        <v>60.537300000000002</v>
      </c>
      <c r="HA146">
        <v>38.237200000000001</v>
      </c>
      <c r="HB146">
        <v>1</v>
      </c>
      <c r="HC146">
        <v>0.59748199999999996</v>
      </c>
      <c r="HD146">
        <v>3.3783699999999999</v>
      </c>
      <c r="HE146">
        <v>20.073599999999999</v>
      </c>
      <c r="HF146">
        <v>5.2604199999999999</v>
      </c>
      <c r="HG146">
        <v>11.9634</v>
      </c>
      <c r="HH146">
        <v>4.9793500000000002</v>
      </c>
      <c r="HI146">
        <v>3.2975500000000002</v>
      </c>
      <c r="HJ146">
        <v>9999</v>
      </c>
      <c r="HK146">
        <v>9999</v>
      </c>
      <c r="HL146">
        <v>9999</v>
      </c>
      <c r="HM146">
        <v>999.9</v>
      </c>
      <c r="HN146">
        <v>1.8641700000000001</v>
      </c>
      <c r="HO146">
        <v>1.86015</v>
      </c>
      <c r="HP146">
        <v>1.86676</v>
      </c>
      <c r="HQ146">
        <v>1.8634200000000001</v>
      </c>
      <c r="HR146">
        <v>1.8621099999999999</v>
      </c>
      <c r="HS146">
        <v>1.86215</v>
      </c>
      <c r="HT146">
        <v>1.8633999999999999</v>
      </c>
      <c r="HU146">
        <v>1.86466</v>
      </c>
      <c r="HV146">
        <v>0</v>
      </c>
      <c r="HW146">
        <v>0</v>
      </c>
      <c r="HX146">
        <v>0</v>
      </c>
      <c r="HY146">
        <v>0</v>
      </c>
      <c r="HZ146" t="s">
        <v>424</v>
      </c>
      <c r="IA146" t="s">
        <v>425</v>
      </c>
      <c r="IB146" t="s">
        <v>426</v>
      </c>
      <c r="IC146" t="s">
        <v>426</v>
      </c>
      <c r="ID146" t="s">
        <v>426</v>
      </c>
      <c r="IE146" t="s">
        <v>426</v>
      </c>
      <c r="IF146">
        <v>0</v>
      </c>
      <c r="IG146">
        <v>100</v>
      </c>
      <c r="IH146">
        <v>100</v>
      </c>
      <c r="II146">
        <v>-5.6000000000000001E-2</v>
      </c>
      <c r="IJ146">
        <v>0.1232</v>
      </c>
      <c r="IK146">
        <v>-5.2604674344303437E-2</v>
      </c>
      <c r="IL146">
        <v>-8.3322953065825546E-5</v>
      </c>
      <c r="IM146">
        <v>2.3872336679552741E-7</v>
      </c>
      <c r="IN146">
        <v>-5.428329794194132E-11</v>
      </c>
      <c r="IO146">
        <v>0.1231891011493004</v>
      </c>
      <c r="IP146">
        <v>0</v>
      </c>
      <c r="IQ146">
        <v>0</v>
      </c>
      <c r="IR146">
        <v>0</v>
      </c>
      <c r="IS146">
        <v>2</v>
      </c>
      <c r="IT146">
        <v>2035</v>
      </c>
      <c r="IU146">
        <v>1</v>
      </c>
      <c r="IV146">
        <v>21</v>
      </c>
      <c r="IW146">
        <v>0.8</v>
      </c>
      <c r="IX146">
        <v>0.7</v>
      </c>
      <c r="IY146">
        <v>1.073</v>
      </c>
      <c r="IZ146">
        <v>2.7258300000000002</v>
      </c>
      <c r="JA146">
        <v>1.4514199999999999</v>
      </c>
      <c r="JB146">
        <v>2.2741699999999998</v>
      </c>
      <c r="JC146">
        <v>1.5942400000000001</v>
      </c>
      <c r="JD146">
        <v>2.4011200000000001</v>
      </c>
      <c r="JE146">
        <v>46.915100000000002</v>
      </c>
      <c r="JF146">
        <v>24.122499999999999</v>
      </c>
      <c r="JG146">
        <v>18</v>
      </c>
      <c r="JH146">
        <v>512.19100000000003</v>
      </c>
      <c r="JI146">
        <v>426.51</v>
      </c>
      <c r="JJ146">
        <v>25.964700000000001</v>
      </c>
      <c r="JK146">
        <v>34.496600000000001</v>
      </c>
      <c r="JL146">
        <v>29.9999</v>
      </c>
      <c r="JM146">
        <v>34.514800000000001</v>
      </c>
      <c r="JN146">
        <v>34.5291</v>
      </c>
      <c r="JO146">
        <v>21.427099999999999</v>
      </c>
      <c r="JP146">
        <v>29.6891</v>
      </c>
      <c r="JQ146">
        <v>0</v>
      </c>
      <c r="JR146">
        <v>26.36</v>
      </c>
      <c r="JS146">
        <v>400</v>
      </c>
      <c r="JT146">
        <v>20.5459</v>
      </c>
      <c r="JU146">
        <v>98.918099999999995</v>
      </c>
      <c r="JV146">
        <v>98.348600000000005</v>
      </c>
    </row>
    <row r="147" spans="1:282" x14ac:dyDescent="0.25">
      <c r="A147">
        <v>131</v>
      </c>
      <c r="B147">
        <v>1689024794</v>
      </c>
      <c r="C147">
        <v>25453.400000095371</v>
      </c>
      <c r="D147" t="s">
        <v>1080</v>
      </c>
      <c r="E147" t="s">
        <v>1081</v>
      </c>
      <c r="F147" t="s">
        <v>414</v>
      </c>
      <c r="G147" t="s">
        <v>415</v>
      </c>
      <c r="H147" t="s">
        <v>577</v>
      </c>
      <c r="I147" t="s">
        <v>655</v>
      </c>
      <c r="J147" t="s">
        <v>500</v>
      </c>
      <c r="K147">
        <v>1689024794</v>
      </c>
      <c r="L147">
        <f t="shared" si="184"/>
        <v>6.1095510981729632E-3</v>
      </c>
      <c r="M147">
        <f t="shared" si="185"/>
        <v>6.1095510981729628</v>
      </c>
      <c r="N147">
        <f t="shared" si="186"/>
        <v>60.762095164541726</v>
      </c>
      <c r="O147">
        <f t="shared" si="187"/>
        <v>423.863</v>
      </c>
      <c r="P147">
        <f t="shared" si="188"/>
        <v>170.03784896131828</v>
      </c>
      <c r="Q147">
        <f t="shared" si="189"/>
        <v>16.865056626413306</v>
      </c>
      <c r="R147">
        <f t="shared" si="190"/>
        <v>42.040484165778999</v>
      </c>
      <c r="S147">
        <f t="shared" si="191"/>
        <v>0.42148981884535086</v>
      </c>
      <c r="T147">
        <f t="shared" si="192"/>
        <v>2.9099287181415123</v>
      </c>
      <c r="U147">
        <f t="shared" si="193"/>
        <v>0.39027450323620377</v>
      </c>
      <c r="V147">
        <f t="shared" si="194"/>
        <v>0.24653320878747012</v>
      </c>
      <c r="W147">
        <f t="shared" si="195"/>
        <v>289.55254501269673</v>
      </c>
      <c r="X147">
        <f t="shared" si="196"/>
        <v>29.940469596602931</v>
      </c>
      <c r="Y147">
        <f t="shared" si="197"/>
        <v>29.958300000000001</v>
      </c>
      <c r="Z147">
        <f t="shared" si="198"/>
        <v>4.2502557287863629</v>
      </c>
      <c r="AA147">
        <f t="shared" si="199"/>
        <v>65.270229574910843</v>
      </c>
      <c r="AB147">
        <f t="shared" si="200"/>
        <v>2.7523894459899001</v>
      </c>
      <c r="AC147">
        <f t="shared" si="201"/>
        <v>4.2169139957305868</v>
      </c>
      <c r="AD147">
        <f t="shared" si="202"/>
        <v>1.4978662827964628</v>
      </c>
      <c r="AE147">
        <f t="shared" si="203"/>
        <v>-269.43120342942768</v>
      </c>
      <c r="AF147">
        <f t="shared" si="204"/>
        <v>-21.492570556185065</v>
      </c>
      <c r="AG147">
        <f t="shared" si="205"/>
        <v>-1.6404809286603093</v>
      </c>
      <c r="AH147">
        <f t="shared" si="206"/>
        <v>-3.0117099015763031</v>
      </c>
      <c r="AI147">
        <v>0</v>
      </c>
      <c r="AJ147">
        <v>0</v>
      </c>
      <c r="AK147">
        <f t="shared" si="207"/>
        <v>1</v>
      </c>
      <c r="AL147">
        <f t="shared" si="208"/>
        <v>0</v>
      </c>
      <c r="AM147">
        <f t="shared" si="209"/>
        <v>51805.039772556556</v>
      </c>
      <c r="AN147" t="s">
        <v>418</v>
      </c>
      <c r="AO147">
        <v>8197.4</v>
      </c>
      <c r="AP147">
        <v>619.92999999999995</v>
      </c>
      <c r="AQ147">
        <v>3131.443117258741</v>
      </c>
      <c r="AR147">
        <f t="shared" si="210"/>
        <v>0.80203057287443702</v>
      </c>
      <c r="AS147">
        <v>-1.0448500102641549</v>
      </c>
      <c r="AT147" t="s">
        <v>1082</v>
      </c>
      <c r="AU147">
        <v>8185.87</v>
      </c>
      <c r="AV147">
        <v>840.39587999999992</v>
      </c>
      <c r="AW147">
        <v>1351.279792845555</v>
      </c>
      <c r="AX147">
        <f t="shared" si="211"/>
        <v>0.37807411577562655</v>
      </c>
      <c r="AY147">
        <v>0.5</v>
      </c>
      <c r="AZ147">
        <f t="shared" si="212"/>
        <v>1513.1169000065786</v>
      </c>
      <c r="BA147">
        <f t="shared" si="213"/>
        <v>60.762095164541726</v>
      </c>
      <c r="BB147">
        <f t="shared" si="214"/>
        <v>286.03516701757218</v>
      </c>
      <c r="BC147">
        <f t="shared" si="215"/>
        <v>4.084743563074153E-2</v>
      </c>
      <c r="BD147">
        <f t="shared" si="216"/>
        <v>1.3173906202389651</v>
      </c>
      <c r="BE147">
        <f t="shared" si="217"/>
        <v>491.69455288157133</v>
      </c>
      <c r="BF147" t="s">
        <v>1083</v>
      </c>
      <c r="BG147">
        <v>641.33000000000004</v>
      </c>
      <c r="BH147">
        <f t="shared" si="218"/>
        <v>641.33000000000004</v>
      </c>
      <c r="BI147">
        <f t="shared" si="219"/>
        <v>0.52539066787236344</v>
      </c>
      <c r="BJ147">
        <f t="shared" si="220"/>
        <v>0.71960569323906343</v>
      </c>
      <c r="BK147">
        <f t="shared" si="221"/>
        <v>0.71489255330412127</v>
      </c>
      <c r="BL147">
        <f t="shared" si="222"/>
        <v>0.69854933691550591</v>
      </c>
      <c r="BM147">
        <f t="shared" si="223"/>
        <v>0.70880112557651831</v>
      </c>
      <c r="BN147">
        <f t="shared" si="224"/>
        <v>0.54915157276236126</v>
      </c>
      <c r="BO147">
        <f t="shared" si="225"/>
        <v>0.45084842723763874</v>
      </c>
      <c r="BP147">
        <v>13830</v>
      </c>
      <c r="BQ147">
        <v>290.00000000000011</v>
      </c>
      <c r="BR147">
        <v>1188.43</v>
      </c>
      <c r="BS147">
        <v>285</v>
      </c>
      <c r="BT147">
        <v>8185.87</v>
      </c>
      <c r="BU147">
        <v>1189.8900000000001</v>
      </c>
      <c r="BV147">
        <v>-1.46</v>
      </c>
      <c r="BW147">
        <v>300.00000000000011</v>
      </c>
      <c r="BX147">
        <v>19.3</v>
      </c>
      <c r="BY147">
        <v>1351.279792845555</v>
      </c>
      <c r="BZ147">
        <v>4.2544530165596521</v>
      </c>
      <c r="CA147">
        <v>-132.1103981590413</v>
      </c>
      <c r="CB147">
        <v>3.1981153727667881</v>
      </c>
      <c r="CC147">
        <v>0.9838562680045656</v>
      </c>
      <c r="CD147">
        <v>-4.2402538375973346E-3</v>
      </c>
      <c r="CE147">
        <v>289.99999999999989</v>
      </c>
      <c r="CF147">
        <v>1183.73</v>
      </c>
      <c r="CG147">
        <v>655</v>
      </c>
      <c r="CH147">
        <v>8174.75</v>
      </c>
      <c r="CI147">
        <v>1189.67</v>
      </c>
      <c r="CJ147">
        <v>-5.94</v>
      </c>
      <c r="CX147">
        <f t="shared" si="226"/>
        <v>1799.92</v>
      </c>
      <c r="CY147">
        <f t="shared" si="227"/>
        <v>1513.1169000065786</v>
      </c>
      <c r="CZ147">
        <f t="shared" si="228"/>
        <v>0.84065786257532471</v>
      </c>
      <c r="DA147">
        <f t="shared" si="229"/>
        <v>0.16086967477037686</v>
      </c>
      <c r="DB147">
        <v>6</v>
      </c>
      <c r="DC147">
        <v>0.5</v>
      </c>
      <c r="DD147" t="s">
        <v>421</v>
      </c>
      <c r="DE147">
        <v>2</v>
      </c>
      <c r="DF147">
        <v>1689024794</v>
      </c>
      <c r="DG147">
        <v>423.863</v>
      </c>
      <c r="DH147">
        <v>499.87</v>
      </c>
      <c r="DI147">
        <v>27.750299999999999</v>
      </c>
      <c r="DJ147">
        <v>20.623699999999999</v>
      </c>
      <c r="DK147">
        <v>423.87400000000002</v>
      </c>
      <c r="DL147">
        <v>27.6249</v>
      </c>
      <c r="DM147">
        <v>500.09899999999999</v>
      </c>
      <c r="DN147">
        <v>99.0839</v>
      </c>
      <c r="DO147">
        <v>0.100233</v>
      </c>
      <c r="DP147">
        <v>29.821300000000001</v>
      </c>
      <c r="DQ147">
        <v>29.958300000000001</v>
      </c>
      <c r="DR147">
        <v>999.9</v>
      </c>
      <c r="DS147">
        <v>0</v>
      </c>
      <c r="DT147">
        <v>0</v>
      </c>
      <c r="DU147">
        <v>9980</v>
      </c>
      <c r="DV147">
        <v>0</v>
      </c>
      <c r="DW147">
        <v>1438.98</v>
      </c>
      <c r="DX147">
        <v>-76.007800000000003</v>
      </c>
      <c r="DY147">
        <v>435.96100000000001</v>
      </c>
      <c r="DZ147">
        <v>510.39699999999999</v>
      </c>
      <c r="EA147">
        <v>7.1266600000000002</v>
      </c>
      <c r="EB147">
        <v>499.87</v>
      </c>
      <c r="EC147">
        <v>20.623699999999999</v>
      </c>
      <c r="ED147">
        <v>2.7496100000000001</v>
      </c>
      <c r="EE147">
        <v>2.0434700000000001</v>
      </c>
      <c r="EF147">
        <v>22.584599999999998</v>
      </c>
      <c r="EG147">
        <v>17.785299999999999</v>
      </c>
      <c r="EH147">
        <v>1799.92</v>
      </c>
      <c r="EI147">
        <v>0.97800799999999999</v>
      </c>
      <c r="EJ147">
        <v>2.19922E-2</v>
      </c>
      <c r="EK147">
        <v>0</v>
      </c>
      <c r="EL147">
        <v>840.49199999999996</v>
      </c>
      <c r="EM147">
        <v>4.9999900000000004</v>
      </c>
      <c r="EN147">
        <v>21331.7</v>
      </c>
      <c r="EO147">
        <v>15863.1</v>
      </c>
      <c r="EP147">
        <v>50</v>
      </c>
      <c r="EQ147">
        <v>51.125</v>
      </c>
      <c r="ER147">
        <v>50.625</v>
      </c>
      <c r="ES147">
        <v>50.5</v>
      </c>
      <c r="ET147">
        <v>51.561999999999998</v>
      </c>
      <c r="EU147">
        <v>1755.45</v>
      </c>
      <c r="EV147">
        <v>39.47</v>
      </c>
      <c r="EW147">
        <v>0</v>
      </c>
      <c r="EX147">
        <v>133.4000000953674</v>
      </c>
      <c r="EY147">
        <v>0</v>
      </c>
      <c r="EZ147">
        <v>840.39587999999992</v>
      </c>
      <c r="FA147">
        <v>1.790307685411856</v>
      </c>
      <c r="FB147">
        <v>7.8153863503446548</v>
      </c>
      <c r="FC147">
        <v>21320.907999999999</v>
      </c>
      <c r="FD147">
        <v>15</v>
      </c>
      <c r="FE147">
        <v>1689024747</v>
      </c>
      <c r="FF147" t="s">
        <v>1084</v>
      </c>
      <c r="FG147">
        <v>1689024736.5</v>
      </c>
      <c r="FH147">
        <v>1689024747</v>
      </c>
      <c r="FI147">
        <v>146</v>
      </c>
      <c r="FJ147">
        <v>3.7999999999999999E-2</v>
      </c>
      <c r="FK147">
        <v>2E-3</v>
      </c>
      <c r="FL147">
        <v>-3.0000000000000001E-3</v>
      </c>
      <c r="FM147">
        <v>9.5000000000000001E-2</v>
      </c>
      <c r="FN147">
        <v>500</v>
      </c>
      <c r="FO147">
        <v>20</v>
      </c>
      <c r="FP147">
        <v>0.04</v>
      </c>
      <c r="FQ147">
        <v>0.01</v>
      </c>
      <c r="FR147">
        <v>60.785296535160377</v>
      </c>
      <c r="FS147">
        <v>-0.6809568163273032</v>
      </c>
      <c r="FT147">
        <v>5.7864557219225989E-2</v>
      </c>
      <c r="FU147">
        <v>1</v>
      </c>
      <c r="FV147">
        <v>0.42678558896848162</v>
      </c>
      <c r="FW147">
        <v>-3.27249034348032E-2</v>
      </c>
      <c r="FX147">
        <v>2.5290855407944122E-3</v>
      </c>
      <c r="FY147">
        <v>1</v>
      </c>
      <c r="FZ147">
        <v>2</v>
      </c>
      <c r="GA147">
        <v>2</v>
      </c>
      <c r="GB147" t="s">
        <v>423</v>
      </c>
      <c r="GC147">
        <v>2.9571499999999999</v>
      </c>
      <c r="GD147">
        <v>2.74329</v>
      </c>
      <c r="GE147">
        <v>9.2554800000000007E-2</v>
      </c>
      <c r="GF147">
        <v>0.104518</v>
      </c>
      <c r="GG147">
        <v>0.127502</v>
      </c>
      <c r="GH147">
        <v>0.103102</v>
      </c>
      <c r="GI147">
        <v>21277</v>
      </c>
      <c r="GJ147">
        <v>19567.599999999999</v>
      </c>
      <c r="GK147">
        <v>23382.6</v>
      </c>
      <c r="GL147">
        <v>21903.200000000001</v>
      </c>
      <c r="GM147">
        <v>28783.8</v>
      </c>
      <c r="GN147">
        <v>27423.9</v>
      </c>
      <c r="GO147">
        <v>36901.5</v>
      </c>
      <c r="GP147">
        <v>34091.599999999999</v>
      </c>
      <c r="GQ147">
        <v>1.9845999999999999</v>
      </c>
      <c r="GR147">
        <v>1.8</v>
      </c>
      <c r="GS147">
        <v>4.1648700000000002E-3</v>
      </c>
      <c r="GT147">
        <v>0</v>
      </c>
      <c r="GU147">
        <v>29.890499999999999</v>
      </c>
      <c r="GV147">
        <v>999.9</v>
      </c>
      <c r="GW147">
        <v>28.7</v>
      </c>
      <c r="GX147">
        <v>45.2</v>
      </c>
      <c r="GY147">
        <v>28.208100000000002</v>
      </c>
      <c r="GZ147">
        <v>60.527299999999997</v>
      </c>
      <c r="HA147">
        <v>38.329300000000003</v>
      </c>
      <c r="HB147">
        <v>1</v>
      </c>
      <c r="HC147">
        <v>0.60060999999999998</v>
      </c>
      <c r="HD147">
        <v>3.0506199999999999</v>
      </c>
      <c r="HE147">
        <v>20.0855</v>
      </c>
      <c r="HF147">
        <v>5.2613200000000004</v>
      </c>
      <c r="HG147">
        <v>11.962300000000001</v>
      </c>
      <c r="HH147">
        <v>4.9797500000000001</v>
      </c>
      <c r="HI147">
        <v>3.298</v>
      </c>
      <c r="HJ147">
        <v>9999</v>
      </c>
      <c r="HK147">
        <v>9999</v>
      </c>
      <c r="HL147">
        <v>9999</v>
      </c>
      <c r="HM147">
        <v>999.9</v>
      </c>
      <c r="HN147">
        <v>1.86429</v>
      </c>
      <c r="HO147">
        <v>1.8602000000000001</v>
      </c>
      <c r="HP147">
        <v>1.8669</v>
      </c>
      <c r="HQ147">
        <v>1.8635600000000001</v>
      </c>
      <c r="HR147">
        <v>1.8621799999999999</v>
      </c>
      <c r="HS147">
        <v>1.8621799999999999</v>
      </c>
      <c r="HT147">
        <v>1.8634900000000001</v>
      </c>
      <c r="HU147">
        <v>1.8647800000000001</v>
      </c>
      <c r="HV147">
        <v>0</v>
      </c>
      <c r="HW147">
        <v>0</v>
      </c>
      <c r="HX147">
        <v>0</v>
      </c>
      <c r="HY147">
        <v>0</v>
      </c>
      <c r="HZ147" t="s">
        <v>424</v>
      </c>
      <c r="IA147" t="s">
        <v>425</v>
      </c>
      <c r="IB147" t="s">
        <v>426</v>
      </c>
      <c r="IC147" t="s">
        <v>426</v>
      </c>
      <c r="ID147" t="s">
        <v>426</v>
      </c>
      <c r="IE147" t="s">
        <v>426</v>
      </c>
      <c r="IF147">
        <v>0</v>
      </c>
      <c r="IG147">
        <v>100</v>
      </c>
      <c r="IH147">
        <v>100</v>
      </c>
      <c r="II147">
        <v>-1.0999999999999999E-2</v>
      </c>
      <c r="IJ147">
        <v>0.12540000000000001</v>
      </c>
      <c r="IK147">
        <v>-1.4478585885134071E-2</v>
      </c>
      <c r="IL147">
        <v>-8.3322953065825546E-5</v>
      </c>
      <c r="IM147">
        <v>2.3872336679552741E-7</v>
      </c>
      <c r="IN147">
        <v>-5.428329794194132E-11</v>
      </c>
      <c r="IO147">
        <v>0.12537375649639801</v>
      </c>
      <c r="IP147">
        <v>0</v>
      </c>
      <c r="IQ147">
        <v>0</v>
      </c>
      <c r="IR147">
        <v>0</v>
      </c>
      <c r="IS147">
        <v>2</v>
      </c>
      <c r="IT147">
        <v>2035</v>
      </c>
      <c r="IU147">
        <v>1</v>
      </c>
      <c r="IV147">
        <v>21</v>
      </c>
      <c r="IW147">
        <v>1</v>
      </c>
      <c r="IX147">
        <v>0.8</v>
      </c>
      <c r="IY147">
        <v>1.2866200000000001</v>
      </c>
      <c r="IZ147">
        <v>2.7099600000000001</v>
      </c>
      <c r="JA147">
        <v>1.4514199999999999</v>
      </c>
      <c r="JB147">
        <v>2.2741699999999998</v>
      </c>
      <c r="JC147">
        <v>1.5942400000000001</v>
      </c>
      <c r="JD147">
        <v>2.3938000000000001</v>
      </c>
      <c r="JE147">
        <v>46.796900000000001</v>
      </c>
      <c r="JF147">
        <v>24.008700000000001</v>
      </c>
      <c r="JG147">
        <v>18</v>
      </c>
      <c r="JH147">
        <v>512.34699999999998</v>
      </c>
      <c r="JI147">
        <v>426.79199999999997</v>
      </c>
      <c r="JJ147">
        <v>26.594999999999999</v>
      </c>
      <c r="JK147">
        <v>34.596600000000002</v>
      </c>
      <c r="JL147">
        <v>29.9999</v>
      </c>
      <c r="JM147">
        <v>34.594000000000001</v>
      </c>
      <c r="JN147">
        <v>34.602899999999998</v>
      </c>
      <c r="JO147">
        <v>25.688300000000002</v>
      </c>
      <c r="JP147">
        <v>30.183499999999999</v>
      </c>
      <c r="JQ147">
        <v>0</v>
      </c>
      <c r="JR147">
        <v>26.621500000000001</v>
      </c>
      <c r="JS147">
        <v>500</v>
      </c>
      <c r="JT147">
        <v>20.556899999999999</v>
      </c>
      <c r="JU147">
        <v>98.899000000000001</v>
      </c>
      <c r="JV147">
        <v>98.326999999999998</v>
      </c>
    </row>
    <row r="148" spans="1:282" x14ac:dyDescent="0.25">
      <c r="A148">
        <v>132</v>
      </c>
      <c r="B148">
        <v>1689024935</v>
      </c>
      <c r="C148">
        <v>25594.400000095371</v>
      </c>
      <c r="D148" t="s">
        <v>1085</v>
      </c>
      <c r="E148" t="s">
        <v>1086</v>
      </c>
      <c r="F148" t="s">
        <v>414</v>
      </c>
      <c r="G148" t="s">
        <v>415</v>
      </c>
      <c r="H148" t="s">
        <v>577</v>
      </c>
      <c r="I148" t="s">
        <v>655</v>
      </c>
      <c r="J148" t="s">
        <v>500</v>
      </c>
      <c r="K148">
        <v>1689024935</v>
      </c>
      <c r="L148">
        <f t="shared" si="184"/>
        <v>5.9287192137506125E-3</v>
      </c>
      <c r="M148">
        <f t="shared" si="185"/>
        <v>5.9287192137506128</v>
      </c>
      <c r="N148">
        <f t="shared" si="186"/>
        <v>62.5829457032128</v>
      </c>
      <c r="O148">
        <f t="shared" si="187"/>
        <v>620.42999999999995</v>
      </c>
      <c r="P148">
        <f t="shared" si="188"/>
        <v>345.76842285031734</v>
      </c>
      <c r="Q148">
        <f t="shared" si="189"/>
        <v>34.294052468487799</v>
      </c>
      <c r="R148">
        <f t="shared" si="190"/>
        <v>61.535575740629994</v>
      </c>
      <c r="S148">
        <f t="shared" si="191"/>
        <v>0.40644689656731431</v>
      </c>
      <c r="T148">
        <f t="shared" si="192"/>
        <v>2.9109913241469432</v>
      </c>
      <c r="U148">
        <f t="shared" si="193"/>
        <v>0.37734732082182998</v>
      </c>
      <c r="V148">
        <f t="shared" si="194"/>
        <v>0.2382827112525831</v>
      </c>
      <c r="W148">
        <f t="shared" si="195"/>
        <v>289.58678101270817</v>
      </c>
      <c r="X148">
        <f t="shared" si="196"/>
        <v>30.029841399420423</v>
      </c>
      <c r="Y148">
        <f t="shared" si="197"/>
        <v>29.9937</v>
      </c>
      <c r="Z148">
        <f t="shared" si="198"/>
        <v>4.2589083000218073</v>
      </c>
      <c r="AA148">
        <f t="shared" si="199"/>
        <v>65.191243115092391</v>
      </c>
      <c r="AB148">
        <f t="shared" si="200"/>
        <v>2.7557063601863003</v>
      </c>
      <c r="AC148">
        <f t="shared" si="201"/>
        <v>4.2271112322880802</v>
      </c>
      <c r="AD148">
        <f t="shared" si="202"/>
        <v>1.503201939835507</v>
      </c>
      <c r="AE148">
        <f t="shared" si="203"/>
        <v>-261.45651732640204</v>
      </c>
      <c r="AF148">
        <f t="shared" si="204"/>
        <v>-20.46463230047052</v>
      </c>
      <c r="AG148">
        <f t="shared" si="205"/>
        <v>-1.5620490455318818</v>
      </c>
      <c r="AH148">
        <f t="shared" si="206"/>
        <v>6.1035823403037526</v>
      </c>
      <c r="AI148">
        <v>0</v>
      </c>
      <c r="AJ148">
        <v>0</v>
      </c>
      <c r="AK148">
        <f t="shared" si="207"/>
        <v>1</v>
      </c>
      <c r="AL148">
        <f t="shared" si="208"/>
        <v>0</v>
      </c>
      <c r="AM148">
        <f t="shared" si="209"/>
        <v>51828.039573176953</v>
      </c>
      <c r="AN148" t="s">
        <v>418</v>
      </c>
      <c r="AO148">
        <v>8197.4</v>
      </c>
      <c r="AP148">
        <v>619.92999999999995</v>
      </c>
      <c r="AQ148">
        <v>3131.443117258741</v>
      </c>
      <c r="AR148">
        <f t="shared" si="210"/>
        <v>0.80203057287443702</v>
      </c>
      <c r="AS148">
        <v>-1.0448500102641549</v>
      </c>
      <c r="AT148" t="s">
        <v>1087</v>
      </c>
      <c r="AU148">
        <v>8185.6</v>
      </c>
      <c r="AV148">
        <v>845.29279999999994</v>
      </c>
      <c r="AW148">
        <v>1393.6526803514651</v>
      </c>
      <c r="AX148">
        <f t="shared" si="211"/>
        <v>0.39346954092835695</v>
      </c>
      <c r="AY148">
        <v>0.5</v>
      </c>
      <c r="AZ148">
        <f t="shared" si="212"/>
        <v>1513.2861000065843</v>
      </c>
      <c r="BA148">
        <f t="shared" si="213"/>
        <v>62.5829457032128</v>
      </c>
      <c r="BB148">
        <f t="shared" si="214"/>
        <v>297.71599353142722</v>
      </c>
      <c r="BC148">
        <f t="shared" si="215"/>
        <v>4.2046111249683792E-2</v>
      </c>
      <c r="BD148">
        <f t="shared" si="216"/>
        <v>1.2469322245116501</v>
      </c>
      <c r="BE148">
        <f t="shared" si="217"/>
        <v>497.1951585426628</v>
      </c>
      <c r="BF148" t="s">
        <v>1088</v>
      </c>
      <c r="BG148">
        <v>645.73</v>
      </c>
      <c r="BH148">
        <f t="shared" si="218"/>
        <v>645.73</v>
      </c>
      <c r="BI148">
        <f t="shared" si="219"/>
        <v>0.53666361131156903</v>
      </c>
      <c r="BJ148">
        <f t="shared" si="220"/>
        <v>0.73317723176114802</v>
      </c>
      <c r="BK148">
        <f t="shared" si="221"/>
        <v>0.69911142393765913</v>
      </c>
      <c r="BL148">
        <f t="shared" si="222"/>
        <v>0.70872923112758113</v>
      </c>
      <c r="BM148">
        <f t="shared" si="223"/>
        <v>0.69192966780282406</v>
      </c>
      <c r="BN148">
        <f t="shared" si="224"/>
        <v>0.56008348097265959</v>
      </c>
      <c r="BO148">
        <f t="shared" si="225"/>
        <v>0.43991651902734041</v>
      </c>
      <c r="BP148">
        <v>13832</v>
      </c>
      <c r="BQ148">
        <v>290.00000000000011</v>
      </c>
      <c r="BR148">
        <v>1210.57</v>
      </c>
      <c r="BS148">
        <v>295</v>
      </c>
      <c r="BT148">
        <v>8185.6</v>
      </c>
      <c r="BU148">
        <v>1212.1199999999999</v>
      </c>
      <c r="BV148">
        <v>-1.55</v>
      </c>
      <c r="BW148">
        <v>300.00000000000011</v>
      </c>
      <c r="BX148">
        <v>19.3</v>
      </c>
      <c r="BY148">
        <v>1393.6526803514651</v>
      </c>
      <c r="BZ148">
        <v>4.8811823225982431</v>
      </c>
      <c r="CA148">
        <v>-148.5925927211099</v>
      </c>
      <c r="CB148">
        <v>3.6691046903057201</v>
      </c>
      <c r="CC148">
        <v>0.98321457943023405</v>
      </c>
      <c r="CD148">
        <v>-4.240246051167961E-3</v>
      </c>
      <c r="CE148">
        <v>289.99999999999989</v>
      </c>
      <c r="CF148">
        <v>1203.6300000000001</v>
      </c>
      <c r="CG148">
        <v>655</v>
      </c>
      <c r="CH148">
        <v>8174.51</v>
      </c>
      <c r="CI148">
        <v>1211.8800000000001</v>
      </c>
      <c r="CJ148">
        <v>-8.25</v>
      </c>
      <c r="CX148">
        <f t="shared" si="226"/>
        <v>1800.12</v>
      </c>
      <c r="CY148">
        <f t="shared" si="227"/>
        <v>1513.2861000065843</v>
      </c>
      <c r="CZ148">
        <f t="shared" si="228"/>
        <v>0.8406584561065843</v>
      </c>
      <c r="DA148">
        <f t="shared" si="229"/>
        <v>0.16087082028570773</v>
      </c>
      <c r="DB148">
        <v>6</v>
      </c>
      <c r="DC148">
        <v>0.5</v>
      </c>
      <c r="DD148" t="s">
        <v>421</v>
      </c>
      <c r="DE148">
        <v>2</v>
      </c>
      <c r="DF148">
        <v>1689024935</v>
      </c>
      <c r="DG148">
        <v>620.42999999999995</v>
      </c>
      <c r="DH148">
        <v>699.93100000000004</v>
      </c>
      <c r="DI148">
        <v>27.784300000000002</v>
      </c>
      <c r="DJ148">
        <v>20.868600000000001</v>
      </c>
      <c r="DK148">
        <v>620.41899999999998</v>
      </c>
      <c r="DL148">
        <v>27.659600000000001</v>
      </c>
      <c r="DM148">
        <v>500.07900000000001</v>
      </c>
      <c r="DN148">
        <v>99.082099999999997</v>
      </c>
      <c r="DO148">
        <v>0.100041</v>
      </c>
      <c r="DP148">
        <v>29.863299999999999</v>
      </c>
      <c r="DQ148">
        <v>29.9937</v>
      </c>
      <c r="DR148">
        <v>999.9</v>
      </c>
      <c r="DS148">
        <v>0</v>
      </c>
      <c r="DT148">
        <v>0</v>
      </c>
      <c r="DU148">
        <v>9986.25</v>
      </c>
      <c r="DV148">
        <v>0</v>
      </c>
      <c r="DW148">
        <v>1417.96</v>
      </c>
      <c r="DX148">
        <v>-79.501300000000001</v>
      </c>
      <c r="DY148">
        <v>638.16099999999994</v>
      </c>
      <c r="DZ148">
        <v>714.84900000000005</v>
      </c>
      <c r="EA148">
        <v>6.9157000000000002</v>
      </c>
      <c r="EB148">
        <v>699.93100000000004</v>
      </c>
      <c r="EC148">
        <v>20.868600000000001</v>
      </c>
      <c r="ED148">
        <v>2.7529300000000001</v>
      </c>
      <c r="EE148">
        <v>2.0677099999999999</v>
      </c>
      <c r="EF148">
        <v>22.604500000000002</v>
      </c>
      <c r="EG148">
        <v>17.9726</v>
      </c>
      <c r="EH148">
        <v>1800.12</v>
      </c>
      <c r="EI148">
        <v>0.977993</v>
      </c>
      <c r="EJ148">
        <v>2.2006999999999999E-2</v>
      </c>
      <c r="EK148">
        <v>0</v>
      </c>
      <c r="EL148">
        <v>844.88800000000003</v>
      </c>
      <c r="EM148">
        <v>4.9999900000000004</v>
      </c>
      <c r="EN148">
        <v>21404.400000000001</v>
      </c>
      <c r="EO148">
        <v>15864.8</v>
      </c>
      <c r="EP148">
        <v>50</v>
      </c>
      <c r="EQ148">
        <v>51.061999999999998</v>
      </c>
      <c r="ER148">
        <v>50.625</v>
      </c>
      <c r="ES148">
        <v>50.436999999999998</v>
      </c>
      <c r="ET148">
        <v>51.561999999999998</v>
      </c>
      <c r="EU148">
        <v>1755.61</v>
      </c>
      <c r="EV148">
        <v>39.51</v>
      </c>
      <c r="EW148">
        <v>0</v>
      </c>
      <c r="EX148">
        <v>138.79999995231631</v>
      </c>
      <c r="EY148">
        <v>0</v>
      </c>
      <c r="EZ148">
        <v>845.29279999999994</v>
      </c>
      <c r="FA148">
        <v>-2.2429999927620212</v>
      </c>
      <c r="FB148">
        <v>24.476921964016569</v>
      </c>
      <c r="FC148">
        <v>21412.356</v>
      </c>
      <c r="FD148">
        <v>15</v>
      </c>
      <c r="FE148">
        <v>1689024889.5</v>
      </c>
      <c r="FF148" t="s">
        <v>1089</v>
      </c>
      <c r="FG148">
        <v>1689024889.5</v>
      </c>
      <c r="FH148">
        <v>1689024889.5</v>
      </c>
      <c r="FI148">
        <v>147</v>
      </c>
      <c r="FJ148">
        <v>-2E-3</v>
      </c>
      <c r="FK148">
        <v>-1E-3</v>
      </c>
      <c r="FL148">
        <v>2.4E-2</v>
      </c>
      <c r="FM148">
        <v>0.104</v>
      </c>
      <c r="FN148">
        <v>700</v>
      </c>
      <c r="FO148">
        <v>21</v>
      </c>
      <c r="FP148">
        <v>0.02</v>
      </c>
      <c r="FQ148">
        <v>0.01</v>
      </c>
      <c r="FR148">
        <v>62.585574310748513</v>
      </c>
      <c r="FS148">
        <v>0.3134758770418194</v>
      </c>
      <c r="FT148">
        <v>3.607766925725929E-2</v>
      </c>
      <c r="FU148">
        <v>1</v>
      </c>
      <c r="FV148">
        <v>0.41020781143873269</v>
      </c>
      <c r="FW148">
        <v>-4.4035339766603329E-2</v>
      </c>
      <c r="FX148">
        <v>3.429450149991544E-3</v>
      </c>
      <c r="FY148">
        <v>1</v>
      </c>
      <c r="FZ148">
        <v>2</v>
      </c>
      <c r="GA148">
        <v>2</v>
      </c>
      <c r="GB148" t="s">
        <v>423</v>
      </c>
      <c r="GC148">
        <v>2.9570599999999998</v>
      </c>
      <c r="GD148">
        <v>2.74315</v>
      </c>
      <c r="GE148">
        <v>0.12217500000000001</v>
      </c>
      <c r="GF148">
        <v>0.132577</v>
      </c>
      <c r="GG148">
        <v>0.12759799999999999</v>
      </c>
      <c r="GH148">
        <v>0.103947</v>
      </c>
      <c r="GI148">
        <v>20580.5</v>
      </c>
      <c r="GJ148">
        <v>18952.5</v>
      </c>
      <c r="GK148">
        <v>23380.5</v>
      </c>
      <c r="GL148">
        <v>21901.3</v>
      </c>
      <c r="GM148">
        <v>28780</v>
      </c>
      <c r="GN148">
        <v>27397.5</v>
      </c>
      <c r="GO148">
        <v>36898</v>
      </c>
      <c r="GP148">
        <v>34089</v>
      </c>
      <c r="GQ148">
        <v>1.9837499999999999</v>
      </c>
      <c r="GR148">
        <v>1.8017700000000001</v>
      </c>
      <c r="GS148">
        <v>7.9721199999999992E-3</v>
      </c>
      <c r="GT148">
        <v>0</v>
      </c>
      <c r="GU148">
        <v>29.863900000000001</v>
      </c>
      <c r="GV148">
        <v>999.9</v>
      </c>
      <c r="GW148">
        <v>28.9</v>
      </c>
      <c r="GX148">
        <v>45.1</v>
      </c>
      <c r="GY148">
        <v>28.259399999999999</v>
      </c>
      <c r="GZ148">
        <v>60.347299999999997</v>
      </c>
      <c r="HA148">
        <v>39.026400000000002</v>
      </c>
      <c r="HB148">
        <v>1</v>
      </c>
      <c r="HC148">
        <v>0.606989</v>
      </c>
      <c r="HD148">
        <v>3.5327999999999999</v>
      </c>
      <c r="HE148">
        <v>20.075099999999999</v>
      </c>
      <c r="HF148">
        <v>5.26431</v>
      </c>
      <c r="HG148">
        <v>11.962300000000001</v>
      </c>
      <c r="HH148">
        <v>4.9794</v>
      </c>
      <c r="HI148">
        <v>3.298</v>
      </c>
      <c r="HJ148">
        <v>9999</v>
      </c>
      <c r="HK148">
        <v>9999</v>
      </c>
      <c r="HL148">
        <v>9999</v>
      </c>
      <c r="HM148">
        <v>999.9</v>
      </c>
      <c r="HN148">
        <v>1.86432</v>
      </c>
      <c r="HO148">
        <v>1.86026</v>
      </c>
      <c r="HP148">
        <v>1.8669100000000001</v>
      </c>
      <c r="HQ148">
        <v>1.8635699999999999</v>
      </c>
      <c r="HR148">
        <v>1.8622300000000001</v>
      </c>
      <c r="HS148">
        <v>1.86222</v>
      </c>
      <c r="HT148">
        <v>1.86355</v>
      </c>
      <c r="HU148">
        <v>1.8647800000000001</v>
      </c>
      <c r="HV148">
        <v>0</v>
      </c>
      <c r="HW148">
        <v>0</v>
      </c>
      <c r="HX148">
        <v>0</v>
      </c>
      <c r="HY148">
        <v>0</v>
      </c>
      <c r="HZ148" t="s">
        <v>424</v>
      </c>
      <c r="IA148" t="s">
        <v>425</v>
      </c>
      <c r="IB148" t="s">
        <v>426</v>
      </c>
      <c r="IC148" t="s">
        <v>426</v>
      </c>
      <c r="ID148" t="s">
        <v>426</v>
      </c>
      <c r="IE148" t="s">
        <v>426</v>
      </c>
      <c r="IF148">
        <v>0</v>
      </c>
      <c r="IG148">
        <v>100</v>
      </c>
      <c r="IH148">
        <v>100</v>
      </c>
      <c r="II148">
        <v>1.0999999999999999E-2</v>
      </c>
      <c r="IJ148">
        <v>0.12470000000000001</v>
      </c>
      <c r="IK148">
        <v>-1.5929326761726981E-2</v>
      </c>
      <c r="IL148">
        <v>-8.3322953065825546E-5</v>
      </c>
      <c r="IM148">
        <v>2.3872336679552741E-7</v>
      </c>
      <c r="IN148">
        <v>-5.428329794194132E-11</v>
      </c>
      <c r="IO148">
        <v>0.1247155204631689</v>
      </c>
      <c r="IP148">
        <v>0</v>
      </c>
      <c r="IQ148">
        <v>0</v>
      </c>
      <c r="IR148">
        <v>0</v>
      </c>
      <c r="IS148">
        <v>2</v>
      </c>
      <c r="IT148">
        <v>2035</v>
      </c>
      <c r="IU148">
        <v>1</v>
      </c>
      <c r="IV148">
        <v>21</v>
      </c>
      <c r="IW148">
        <v>0.8</v>
      </c>
      <c r="IX148">
        <v>0.8</v>
      </c>
      <c r="IY148">
        <v>1.69312</v>
      </c>
      <c r="IZ148">
        <v>2.7087400000000001</v>
      </c>
      <c r="JA148">
        <v>1.4526399999999999</v>
      </c>
      <c r="JB148">
        <v>2.2741699999999998</v>
      </c>
      <c r="JC148">
        <v>1.5942400000000001</v>
      </c>
      <c r="JD148">
        <v>2.2668499999999998</v>
      </c>
      <c r="JE148">
        <v>46.8264</v>
      </c>
      <c r="JF148">
        <v>23.9999</v>
      </c>
      <c r="JG148">
        <v>18</v>
      </c>
      <c r="JH148">
        <v>512.16</v>
      </c>
      <c r="JI148">
        <v>428.33499999999998</v>
      </c>
      <c r="JJ148">
        <v>26.4237</v>
      </c>
      <c r="JK148">
        <v>34.634700000000002</v>
      </c>
      <c r="JL148">
        <v>30.0001</v>
      </c>
      <c r="JM148">
        <v>34.638399999999997</v>
      </c>
      <c r="JN148">
        <v>34.647199999999998</v>
      </c>
      <c r="JO148">
        <v>33.837299999999999</v>
      </c>
      <c r="JP148">
        <v>28.172899999999998</v>
      </c>
      <c r="JQ148">
        <v>0</v>
      </c>
      <c r="JR148">
        <v>26.430599999999998</v>
      </c>
      <c r="JS148">
        <v>700</v>
      </c>
      <c r="JT148">
        <v>20.896000000000001</v>
      </c>
      <c r="JU148">
        <v>98.889799999999994</v>
      </c>
      <c r="JV148">
        <v>98.318899999999999</v>
      </c>
    </row>
    <row r="149" spans="1:282" x14ac:dyDescent="0.25">
      <c r="A149">
        <v>133</v>
      </c>
      <c r="B149">
        <v>1689025068.5</v>
      </c>
      <c r="C149">
        <v>25727.900000095371</v>
      </c>
      <c r="D149" t="s">
        <v>1090</v>
      </c>
      <c r="E149" t="s">
        <v>1091</v>
      </c>
      <c r="F149" t="s">
        <v>414</v>
      </c>
      <c r="G149" t="s">
        <v>415</v>
      </c>
      <c r="H149" t="s">
        <v>577</v>
      </c>
      <c r="I149" t="s">
        <v>655</v>
      </c>
      <c r="J149" t="s">
        <v>500</v>
      </c>
      <c r="K149">
        <v>1689025068.5</v>
      </c>
      <c r="L149">
        <f t="shared" si="184"/>
        <v>5.5446495268239495E-3</v>
      </c>
      <c r="M149">
        <f t="shared" si="185"/>
        <v>5.5446495268239495</v>
      </c>
      <c r="N149">
        <f t="shared" si="186"/>
        <v>62.499961581841745</v>
      </c>
      <c r="O149">
        <f t="shared" si="187"/>
        <v>819.62099999999998</v>
      </c>
      <c r="P149">
        <f t="shared" si="188"/>
        <v>521.47381160991279</v>
      </c>
      <c r="Q149">
        <f t="shared" si="189"/>
        <v>51.719896746238305</v>
      </c>
      <c r="R149">
        <f t="shared" si="190"/>
        <v>81.290205849797985</v>
      </c>
      <c r="S149">
        <f t="shared" si="191"/>
        <v>0.37712289680736966</v>
      </c>
      <c r="T149">
        <f t="shared" si="192"/>
        <v>2.915106860319002</v>
      </c>
      <c r="U149">
        <f t="shared" si="193"/>
        <v>0.3519642797602327</v>
      </c>
      <c r="V149">
        <f t="shared" si="194"/>
        <v>0.22209805933676488</v>
      </c>
      <c r="W149">
        <f t="shared" si="195"/>
        <v>289.53991801270701</v>
      </c>
      <c r="X149">
        <f t="shared" si="196"/>
        <v>30.043906266055256</v>
      </c>
      <c r="Y149">
        <f t="shared" si="197"/>
        <v>29.959700000000002</v>
      </c>
      <c r="Z149">
        <f t="shared" si="198"/>
        <v>4.2505976296780705</v>
      </c>
      <c r="AA149">
        <f t="shared" si="199"/>
        <v>65.217000901232296</v>
      </c>
      <c r="AB149">
        <f t="shared" si="200"/>
        <v>2.7432559569134001</v>
      </c>
      <c r="AC149">
        <f t="shared" si="201"/>
        <v>4.2063509805793071</v>
      </c>
      <c r="AD149">
        <f t="shared" si="202"/>
        <v>1.5073416727646705</v>
      </c>
      <c r="AE149">
        <f t="shared" si="203"/>
        <v>-244.51904413293616</v>
      </c>
      <c r="AF149">
        <f t="shared" si="204"/>
        <v>-28.602981871740628</v>
      </c>
      <c r="AG149">
        <f t="shared" si="205"/>
        <v>-2.1788696959227272</v>
      </c>
      <c r="AH149">
        <f t="shared" si="206"/>
        <v>14.239022312107476</v>
      </c>
      <c r="AI149">
        <v>0</v>
      </c>
      <c r="AJ149">
        <v>0</v>
      </c>
      <c r="AK149">
        <f t="shared" si="207"/>
        <v>1</v>
      </c>
      <c r="AL149">
        <f t="shared" si="208"/>
        <v>0</v>
      </c>
      <c r="AM149">
        <f t="shared" si="209"/>
        <v>51959.794779828</v>
      </c>
      <c r="AN149" t="s">
        <v>418</v>
      </c>
      <c r="AO149">
        <v>8197.4</v>
      </c>
      <c r="AP149">
        <v>619.92999999999995</v>
      </c>
      <c r="AQ149">
        <v>3131.443117258741</v>
      </c>
      <c r="AR149">
        <f t="shared" si="210"/>
        <v>0.80203057287443702</v>
      </c>
      <c r="AS149">
        <v>-1.0448500102641549</v>
      </c>
      <c r="AT149" t="s">
        <v>1092</v>
      </c>
      <c r="AU149">
        <v>8184.93</v>
      </c>
      <c r="AV149">
        <v>840.03711538461528</v>
      </c>
      <c r="AW149">
        <v>1394.5720496623201</v>
      </c>
      <c r="AX149">
        <f t="shared" si="211"/>
        <v>0.39763806711311844</v>
      </c>
      <c r="AY149">
        <v>0.5</v>
      </c>
      <c r="AZ149">
        <f t="shared" si="212"/>
        <v>1513.0422000065839</v>
      </c>
      <c r="BA149">
        <f t="shared" si="213"/>
        <v>62.499961581841745</v>
      </c>
      <c r="BB149">
        <f t="shared" si="214"/>
        <v>300.82158793559921</v>
      </c>
      <c r="BC149">
        <f t="shared" si="215"/>
        <v>4.1998043142371967E-2</v>
      </c>
      <c r="BD149">
        <f t="shared" si="216"/>
        <v>1.2454509381691572</v>
      </c>
      <c r="BE149">
        <f t="shared" si="217"/>
        <v>497.31212206213934</v>
      </c>
      <c r="BF149" t="s">
        <v>1093</v>
      </c>
      <c r="BG149">
        <v>642.67999999999995</v>
      </c>
      <c r="BH149">
        <f t="shared" si="218"/>
        <v>642.67999999999995</v>
      </c>
      <c r="BI149">
        <f t="shared" si="219"/>
        <v>0.53915611591698132</v>
      </c>
      <c r="BJ149">
        <f t="shared" si="220"/>
        <v>0.73751934805900687</v>
      </c>
      <c r="BK149">
        <f t="shared" si="221"/>
        <v>0.69788524892216541</v>
      </c>
      <c r="BL149">
        <f t="shared" si="222"/>
        <v>0.71585958252516269</v>
      </c>
      <c r="BM149">
        <f t="shared" si="223"/>
        <v>0.69156360588400023</v>
      </c>
      <c r="BN149">
        <f t="shared" si="224"/>
        <v>0.56424760993274004</v>
      </c>
      <c r="BO149">
        <f t="shared" si="225"/>
        <v>0.43575239006725996</v>
      </c>
      <c r="BP149">
        <v>13834</v>
      </c>
      <c r="BQ149">
        <v>290.00000000000011</v>
      </c>
      <c r="BR149">
        <v>1207.0999999999999</v>
      </c>
      <c r="BS149">
        <v>295</v>
      </c>
      <c r="BT149">
        <v>8184.93</v>
      </c>
      <c r="BU149">
        <v>1208.3</v>
      </c>
      <c r="BV149">
        <v>-1.2</v>
      </c>
      <c r="BW149">
        <v>300.00000000000011</v>
      </c>
      <c r="BX149">
        <v>19.3</v>
      </c>
      <c r="BY149">
        <v>1394.5720496623201</v>
      </c>
      <c r="BZ149">
        <v>4.2481080798540081</v>
      </c>
      <c r="CA149">
        <v>-152.46007964999291</v>
      </c>
      <c r="CB149">
        <v>3.192964235844185</v>
      </c>
      <c r="CC149">
        <v>0.987867989768767</v>
      </c>
      <c r="CD149">
        <v>-4.2401274749722028E-3</v>
      </c>
      <c r="CE149">
        <v>289.99999999999989</v>
      </c>
      <c r="CF149">
        <v>1199.96</v>
      </c>
      <c r="CG149">
        <v>635</v>
      </c>
      <c r="CH149">
        <v>8174.47</v>
      </c>
      <c r="CI149">
        <v>1208.06</v>
      </c>
      <c r="CJ149">
        <v>-8.1</v>
      </c>
      <c r="CX149">
        <f t="shared" si="226"/>
        <v>1799.83</v>
      </c>
      <c r="CY149">
        <f t="shared" si="227"/>
        <v>1513.0422000065839</v>
      </c>
      <c r="CZ149">
        <f t="shared" si="228"/>
        <v>0.84065839551879007</v>
      </c>
      <c r="DA149">
        <f t="shared" si="229"/>
        <v>0.16087070335126485</v>
      </c>
      <c r="DB149">
        <v>6</v>
      </c>
      <c r="DC149">
        <v>0.5</v>
      </c>
      <c r="DD149" t="s">
        <v>421</v>
      </c>
      <c r="DE149">
        <v>2</v>
      </c>
      <c r="DF149">
        <v>1689025068.5</v>
      </c>
      <c r="DG149">
        <v>819.62099999999998</v>
      </c>
      <c r="DH149">
        <v>900.03399999999999</v>
      </c>
      <c r="DI149">
        <v>27.659300000000002</v>
      </c>
      <c r="DJ149">
        <v>21.193000000000001</v>
      </c>
      <c r="DK149">
        <v>819.51499999999999</v>
      </c>
      <c r="DL149">
        <v>27.534199999999998</v>
      </c>
      <c r="DM149">
        <v>500.25099999999998</v>
      </c>
      <c r="DN149">
        <v>99.079899999999995</v>
      </c>
      <c r="DO149">
        <v>0.100338</v>
      </c>
      <c r="DP149">
        <v>29.777699999999999</v>
      </c>
      <c r="DQ149">
        <v>29.959700000000002</v>
      </c>
      <c r="DR149">
        <v>999.9</v>
      </c>
      <c r="DS149">
        <v>0</v>
      </c>
      <c r="DT149">
        <v>0</v>
      </c>
      <c r="DU149">
        <v>10010</v>
      </c>
      <c r="DV149">
        <v>0</v>
      </c>
      <c r="DW149">
        <v>1218.43</v>
      </c>
      <c r="DX149">
        <v>-80.413300000000007</v>
      </c>
      <c r="DY149">
        <v>842.93600000000004</v>
      </c>
      <c r="DZ149">
        <v>919.52200000000005</v>
      </c>
      <c r="EA149">
        <v>6.4663199999999996</v>
      </c>
      <c r="EB149">
        <v>900.03399999999999</v>
      </c>
      <c r="EC149">
        <v>21.193000000000001</v>
      </c>
      <c r="ED149">
        <v>2.7404899999999999</v>
      </c>
      <c r="EE149">
        <v>2.0998000000000001</v>
      </c>
      <c r="EF149">
        <v>22.529900000000001</v>
      </c>
      <c r="EG149">
        <v>18.217700000000001</v>
      </c>
      <c r="EH149">
        <v>1799.83</v>
      </c>
      <c r="EI149">
        <v>0.977993</v>
      </c>
      <c r="EJ149">
        <v>2.2006999999999999E-2</v>
      </c>
      <c r="EK149">
        <v>0</v>
      </c>
      <c r="EL149">
        <v>839.53700000000003</v>
      </c>
      <c r="EM149">
        <v>4.9999900000000004</v>
      </c>
      <c r="EN149">
        <v>19303.2</v>
      </c>
      <c r="EO149">
        <v>15862.3</v>
      </c>
      <c r="EP149">
        <v>50.061999999999998</v>
      </c>
      <c r="EQ149">
        <v>51.061999999999998</v>
      </c>
      <c r="ER149">
        <v>50.625</v>
      </c>
      <c r="ES149">
        <v>50.436999999999998</v>
      </c>
      <c r="ET149">
        <v>51.561999999999998</v>
      </c>
      <c r="EU149">
        <v>1755.33</v>
      </c>
      <c r="EV149">
        <v>39.5</v>
      </c>
      <c r="EW149">
        <v>0</v>
      </c>
      <c r="EX149">
        <v>131.39999985694891</v>
      </c>
      <c r="EY149">
        <v>0</v>
      </c>
      <c r="EZ149">
        <v>840.03711538461528</v>
      </c>
      <c r="FA149">
        <v>-3.530905995007632</v>
      </c>
      <c r="FB149">
        <v>-5140.1880186721864</v>
      </c>
      <c r="FC149">
        <v>21122.50384615385</v>
      </c>
      <c r="FD149">
        <v>15</v>
      </c>
      <c r="FE149">
        <v>1689025014</v>
      </c>
      <c r="FF149" t="s">
        <v>1094</v>
      </c>
      <c r="FG149">
        <v>1689025014</v>
      </c>
      <c r="FH149">
        <v>1689025012.5</v>
      </c>
      <c r="FI149">
        <v>148</v>
      </c>
      <c r="FJ149">
        <v>0.06</v>
      </c>
      <c r="FK149">
        <v>0</v>
      </c>
      <c r="FL149">
        <v>0.123</v>
      </c>
      <c r="FM149">
        <v>0.107</v>
      </c>
      <c r="FN149">
        <v>900</v>
      </c>
      <c r="FO149">
        <v>21</v>
      </c>
      <c r="FP149">
        <v>0.03</v>
      </c>
      <c r="FQ149">
        <v>0.02</v>
      </c>
      <c r="FR149">
        <v>62.358787031639316</v>
      </c>
      <c r="FS149">
        <v>-0.58901577266968341</v>
      </c>
      <c r="FT149">
        <v>9.1682116948199346E-2</v>
      </c>
      <c r="FU149">
        <v>1</v>
      </c>
      <c r="FV149">
        <v>0.38222514580168537</v>
      </c>
      <c r="FW149">
        <v>-3.3345377782900157E-2</v>
      </c>
      <c r="FX149">
        <v>2.627780057086462E-3</v>
      </c>
      <c r="FY149">
        <v>1</v>
      </c>
      <c r="FZ149">
        <v>2</v>
      </c>
      <c r="GA149">
        <v>2</v>
      </c>
      <c r="GB149" t="s">
        <v>423</v>
      </c>
      <c r="GC149">
        <v>2.9574400000000001</v>
      </c>
      <c r="GD149">
        <v>2.7436600000000002</v>
      </c>
      <c r="GE149">
        <v>0.147646</v>
      </c>
      <c r="GF149">
        <v>0.156723</v>
      </c>
      <c r="GG149">
        <v>0.12718699999999999</v>
      </c>
      <c r="GH149">
        <v>0.10506699999999999</v>
      </c>
      <c r="GI149">
        <v>19983.3</v>
      </c>
      <c r="GJ149">
        <v>18424.599999999999</v>
      </c>
      <c r="GK149">
        <v>23380.799999999999</v>
      </c>
      <c r="GL149">
        <v>21901.5</v>
      </c>
      <c r="GM149">
        <v>28796.2</v>
      </c>
      <c r="GN149">
        <v>27364.9</v>
      </c>
      <c r="GO149">
        <v>36899</v>
      </c>
      <c r="GP149">
        <v>34089.4</v>
      </c>
      <c r="GQ149">
        <v>1.98353</v>
      </c>
      <c r="GR149">
        <v>1.80362</v>
      </c>
      <c r="GS149">
        <v>8.8512899999999995E-3</v>
      </c>
      <c r="GT149">
        <v>0</v>
      </c>
      <c r="GU149">
        <v>29.8156</v>
      </c>
      <c r="GV149">
        <v>999.9</v>
      </c>
      <c r="GW149">
        <v>29</v>
      </c>
      <c r="GX149">
        <v>44.9</v>
      </c>
      <c r="GY149">
        <v>28.065999999999999</v>
      </c>
      <c r="GZ149">
        <v>60.307299999999998</v>
      </c>
      <c r="HA149">
        <v>38.032899999999998</v>
      </c>
      <c r="HB149">
        <v>1</v>
      </c>
      <c r="HC149">
        <v>0.60582599999999998</v>
      </c>
      <c r="HD149">
        <v>3.31487</v>
      </c>
      <c r="HE149">
        <v>20.079699999999999</v>
      </c>
      <c r="HF149">
        <v>5.2646100000000002</v>
      </c>
      <c r="HG149">
        <v>11.962300000000001</v>
      </c>
      <c r="HH149">
        <v>4.9798</v>
      </c>
      <c r="HI149">
        <v>3.298</v>
      </c>
      <c r="HJ149">
        <v>9999</v>
      </c>
      <c r="HK149">
        <v>9999</v>
      </c>
      <c r="HL149">
        <v>9999</v>
      </c>
      <c r="HM149">
        <v>999.9</v>
      </c>
      <c r="HN149">
        <v>1.86432</v>
      </c>
      <c r="HO149">
        <v>1.86032</v>
      </c>
      <c r="HP149">
        <v>1.8669100000000001</v>
      </c>
      <c r="HQ149">
        <v>1.8635900000000001</v>
      </c>
      <c r="HR149">
        <v>1.86226</v>
      </c>
      <c r="HS149">
        <v>1.86229</v>
      </c>
      <c r="HT149">
        <v>1.86355</v>
      </c>
      <c r="HU149">
        <v>1.8648</v>
      </c>
      <c r="HV149">
        <v>0</v>
      </c>
      <c r="HW149">
        <v>0</v>
      </c>
      <c r="HX149">
        <v>0</v>
      </c>
      <c r="HY149">
        <v>0</v>
      </c>
      <c r="HZ149" t="s">
        <v>424</v>
      </c>
      <c r="IA149" t="s">
        <v>425</v>
      </c>
      <c r="IB149" t="s">
        <v>426</v>
      </c>
      <c r="IC149" t="s">
        <v>426</v>
      </c>
      <c r="ID149" t="s">
        <v>426</v>
      </c>
      <c r="IE149" t="s">
        <v>426</v>
      </c>
      <c r="IF149">
        <v>0</v>
      </c>
      <c r="IG149">
        <v>100</v>
      </c>
      <c r="IH149">
        <v>100</v>
      </c>
      <c r="II149">
        <v>0.106</v>
      </c>
      <c r="IJ149">
        <v>0.12509999999999999</v>
      </c>
      <c r="IK149">
        <v>4.4159151227660842E-2</v>
      </c>
      <c r="IL149">
        <v>-8.3322953065825546E-5</v>
      </c>
      <c r="IM149">
        <v>2.3872336679552741E-7</v>
      </c>
      <c r="IN149">
        <v>-5.428329794194132E-11</v>
      </c>
      <c r="IO149">
        <v>0.12511550495276999</v>
      </c>
      <c r="IP149">
        <v>0</v>
      </c>
      <c r="IQ149">
        <v>0</v>
      </c>
      <c r="IR149">
        <v>0</v>
      </c>
      <c r="IS149">
        <v>2</v>
      </c>
      <c r="IT149">
        <v>2035</v>
      </c>
      <c r="IU149">
        <v>1</v>
      </c>
      <c r="IV149">
        <v>21</v>
      </c>
      <c r="IW149">
        <v>0.9</v>
      </c>
      <c r="IX149">
        <v>0.9</v>
      </c>
      <c r="IY149">
        <v>2.0800800000000002</v>
      </c>
      <c r="IZ149">
        <v>2.7038600000000002</v>
      </c>
      <c r="JA149">
        <v>1.4526399999999999</v>
      </c>
      <c r="JB149">
        <v>2.2741699999999998</v>
      </c>
      <c r="JC149">
        <v>1.5942400000000001</v>
      </c>
      <c r="JD149">
        <v>2.32178</v>
      </c>
      <c r="JE149">
        <v>46.8264</v>
      </c>
      <c r="JF149">
        <v>23.991199999999999</v>
      </c>
      <c r="JG149">
        <v>18</v>
      </c>
      <c r="JH149">
        <v>512.22199999999998</v>
      </c>
      <c r="JI149">
        <v>429.81</v>
      </c>
      <c r="JJ149">
        <v>26.441199999999998</v>
      </c>
      <c r="JK149">
        <v>34.656799999999997</v>
      </c>
      <c r="JL149">
        <v>30.000599999999999</v>
      </c>
      <c r="JM149">
        <v>34.663499999999999</v>
      </c>
      <c r="JN149">
        <v>34.6753</v>
      </c>
      <c r="JO149">
        <v>41.581800000000001</v>
      </c>
      <c r="JP149">
        <v>26.311800000000002</v>
      </c>
      <c r="JQ149">
        <v>0</v>
      </c>
      <c r="JR149">
        <v>26.443000000000001</v>
      </c>
      <c r="JS149">
        <v>900</v>
      </c>
      <c r="JT149">
        <v>21.215399999999999</v>
      </c>
      <c r="JU149">
        <v>98.891999999999996</v>
      </c>
      <c r="JV149">
        <v>98.3202</v>
      </c>
    </row>
    <row r="150" spans="1:282" x14ac:dyDescent="0.25">
      <c r="A150">
        <v>134</v>
      </c>
      <c r="B150">
        <v>1689025181</v>
      </c>
      <c r="C150">
        <v>25840.400000095371</v>
      </c>
      <c r="D150" t="s">
        <v>1095</v>
      </c>
      <c r="E150" t="s">
        <v>1096</v>
      </c>
      <c r="F150" t="s">
        <v>414</v>
      </c>
      <c r="G150" t="s">
        <v>415</v>
      </c>
      <c r="H150" t="s">
        <v>577</v>
      </c>
      <c r="I150" t="s">
        <v>655</v>
      </c>
      <c r="J150" t="s">
        <v>500</v>
      </c>
      <c r="K150">
        <v>1689025181</v>
      </c>
      <c r="L150">
        <f t="shared" si="184"/>
        <v>4.930546607115548E-3</v>
      </c>
      <c r="M150">
        <f t="shared" si="185"/>
        <v>4.9305466071155477</v>
      </c>
      <c r="N150">
        <f t="shared" si="186"/>
        <v>62.145391829165646</v>
      </c>
      <c r="O150">
        <f t="shared" si="187"/>
        <v>1118.9100000000001</v>
      </c>
      <c r="P150">
        <f t="shared" si="188"/>
        <v>776.71816182523207</v>
      </c>
      <c r="Q150">
        <f t="shared" si="189"/>
        <v>77.03717592823358</v>
      </c>
      <c r="R150">
        <f t="shared" si="190"/>
        <v>110.97676191232802</v>
      </c>
      <c r="S150">
        <f t="shared" si="191"/>
        <v>0.32917822340156605</v>
      </c>
      <c r="T150">
        <f t="shared" si="192"/>
        <v>2.9083834930780874</v>
      </c>
      <c r="U150">
        <f t="shared" si="193"/>
        <v>0.30979204645707104</v>
      </c>
      <c r="V150">
        <f t="shared" si="194"/>
        <v>0.19526658989411477</v>
      </c>
      <c r="W150">
        <f t="shared" si="195"/>
        <v>289.58997301270807</v>
      </c>
      <c r="X150">
        <f t="shared" si="196"/>
        <v>30.402793442201155</v>
      </c>
      <c r="Y150">
        <f t="shared" si="197"/>
        <v>30.094200000000001</v>
      </c>
      <c r="Z150">
        <f t="shared" si="198"/>
        <v>4.283556513085772</v>
      </c>
      <c r="AA150">
        <f t="shared" si="199"/>
        <v>64.898653288234755</v>
      </c>
      <c r="AB150">
        <f t="shared" si="200"/>
        <v>2.7610541492304002</v>
      </c>
      <c r="AC150">
        <f t="shared" si="201"/>
        <v>4.2544090044021639</v>
      </c>
      <c r="AD150">
        <f t="shared" si="202"/>
        <v>1.5225023638553719</v>
      </c>
      <c r="AE150">
        <f t="shared" si="203"/>
        <v>-217.43710537379567</v>
      </c>
      <c r="AF150">
        <f t="shared" si="204"/>
        <v>-18.643136057492395</v>
      </c>
      <c r="AG150">
        <f t="shared" si="205"/>
        <v>-1.4257908475142496</v>
      </c>
      <c r="AH150">
        <f t="shared" si="206"/>
        <v>52.083940733905763</v>
      </c>
      <c r="AI150">
        <v>0</v>
      </c>
      <c r="AJ150">
        <v>0</v>
      </c>
      <c r="AK150">
        <f t="shared" si="207"/>
        <v>1</v>
      </c>
      <c r="AL150">
        <f t="shared" si="208"/>
        <v>0</v>
      </c>
      <c r="AM150">
        <f t="shared" si="209"/>
        <v>51734.773065575806</v>
      </c>
      <c r="AN150" t="s">
        <v>418</v>
      </c>
      <c r="AO150">
        <v>8197.4</v>
      </c>
      <c r="AP150">
        <v>619.92999999999995</v>
      </c>
      <c r="AQ150">
        <v>3131.443117258741</v>
      </c>
      <c r="AR150">
        <f t="shared" si="210"/>
        <v>0.80203057287443702</v>
      </c>
      <c r="AS150">
        <v>-1.0448500102641549</v>
      </c>
      <c r="AT150" t="s">
        <v>1097</v>
      </c>
      <c r="AU150">
        <v>8185.66</v>
      </c>
      <c r="AV150">
        <v>835.0616399999999</v>
      </c>
      <c r="AW150">
        <v>1394.059915894843</v>
      </c>
      <c r="AX150">
        <f t="shared" si="211"/>
        <v>0.40098583247479991</v>
      </c>
      <c r="AY150">
        <v>0.5</v>
      </c>
      <c r="AZ150">
        <f t="shared" si="212"/>
        <v>1513.3029000065844</v>
      </c>
      <c r="BA150">
        <f t="shared" si="213"/>
        <v>62.145391829165646</v>
      </c>
      <c r="BB150">
        <f t="shared" si="214"/>
        <v>303.40651157283457</v>
      </c>
      <c r="BC150">
        <f t="shared" si="215"/>
        <v>4.1756506142395455E-2</v>
      </c>
      <c r="BD150">
        <f t="shared" si="216"/>
        <v>1.246275846220481</v>
      </c>
      <c r="BE150">
        <f t="shared" si="217"/>
        <v>497.2469798931678</v>
      </c>
      <c r="BF150" t="s">
        <v>1098</v>
      </c>
      <c r="BG150">
        <v>646.80999999999995</v>
      </c>
      <c r="BH150">
        <f t="shared" si="218"/>
        <v>646.80999999999995</v>
      </c>
      <c r="BI150">
        <f t="shared" si="219"/>
        <v>0.5360242464293119</v>
      </c>
      <c r="BJ150">
        <f t="shared" si="220"/>
        <v>0.74807405662325732</v>
      </c>
      <c r="BK150">
        <f t="shared" si="221"/>
        <v>0.69925140629242166</v>
      </c>
      <c r="BL150">
        <f t="shared" si="222"/>
        <v>0.72209879041901903</v>
      </c>
      <c r="BM150">
        <f t="shared" si="223"/>
        <v>0.69176752031469058</v>
      </c>
      <c r="BN150">
        <f t="shared" si="224"/>
        <v>0.57943241239591503</v>
      </c>
      <c r="BO150">
        <f t="shared" si="225"/>
        <v>0.42056758760408497</v>
      </c>
      <c r="BP150">
        <v>13836</v>
      </c>
      <c r="BQ150">
        <v>290.00000000000011</v>
      </c>
      <c r="BR150">
        <v>1202.74</v>
      </c>
      <c r="BS150">
        <v>295</v>
      </c>
      <c r="BT150">
        <v>8185.66</v>
      </c>
      <c r="BU150">
        <v>1204.1400000000001</v>
      </c>
      <c r="BV150">
        <v>-1.4</v>
      </c>
      <c r="BW150">
        <v>300.00000000000011</v>
      </c>
      <c r="BX150">
        <v>19.3</v>
      </c>
      <c r="BY150">
        <v>1394.059915894843</v>
      </c>
      <c r="BZ150">
        <v>3.9190978824206328</v>
      </c>
      <c r="CA150">
        <v>-155.45819368795239</v>
      </c>
      <c r="CB150">
        <v>2.9459584941443739</v>
      </c>
      <c r="CC150">
        <v>0.99004505185934166</v>
      </c>
      <c r="CD150">
        <v>-4.2401279199110083E-3</v>
      </c>
      <c r="CE150">
        <v>289.99999999999989</v>
      </c>
      <c r="CF150">
        <v>1194.72</v>
      </c>
      <c r="CG150">
        <v>635</v>
      </c>
      <c r="CH150">
        <v>8175.26</v>
      </c>
      <c r="CI150">
        <v>1203.9000000000001</v>
      </c>
      <c r="CJ150">
        <v>-9.18</v>
      </c>
      <c r="CX150">
        <f t="shared" si="226"/>
        <v>1800.14</v>
      </c>
      <c r="CY150">
        <f t="shared" si="227"/>
        <v>1513.3029000065844</v>
      </c>
      <c r="CZ150">
        <f t="shared" si="228"/>
        <v>0.84065844879097418</v>
      </c>
      <c r="DA150">
        <f t="shared" si="229"/>
        <v>0.16087080616658039</v>
      </c>
      <c r="DB150">
        <v>6</v>
      </c>
      <c r="DC150">
        <v>0.5</v>
      </c>
      <c r="DD150" t="s">
        <v>421</v>
      </c>
      <c r="DE150">
        <v>2</v>
      </c>
      <c r="DF150">
        <v>1689025181</v>
      </c>
      <c r="DG150">
        <v>1118.9100000000001</v>
      </c>
      <c r="DH150">
        <v>1200.08</v>
      </c>
      <c r="DI150">
        <v>27.838000000000001</v>
      </c>
      <c r="DJ150">
        <v>22.087800000000001</v>
      </c>
      <c r="DK150">
        <v>1118.69</v>
      </c>
      <c r="DL150">
        <v>27.714400000000001</v>
      </c>
      <c r="DM150">
        <v>500.15199999999999</v>
      </c>
      <c r="DN150">
        <v>99.083200000000005</v>
      </c>
      <c r="DO150">
        <v>9.9720799999999998E-2</v>
      </c>
      <c r="DP150">
        <v>29.975300000000001</v>
      </c>
      <c r="DQ150">
        <v>30.094200000000001</v>
      </c>
      <c r="DR150">
        <v>999.9</v>
      </c>
      <c r="DS150">
        <v>0</v>
      </c>
      <c r="DT150">
        <v>0</v>
      </c>
      <c r="DU150">
        <v>9971.25</v>
      </c>
      <c r="DV150">
        <v>0</v>
      </c>
      <c r="DW150">
        <v>1419.1</v>
      </c>
      <c r="DX150">
        <v>-81.1691</v>
      </c>
      <c r="DY150">
        <v>1150.95</v>
      </c>
      <c r="DZ150">
        <v>1227.19</v>
      </c>
      <c r="EA150">
        <v>5.7502000000000004</v>
      </c>
      <c r="EB150">
        <v>1200.08</v>
      </c>
      <c r="EC150">
        <v>22.087800000000001</v>
      </c>
      <c r="ED150">
        <v>2.7582800000000001</v>
      </c>
      <c r="EE150">
        <v>2.1885300000000001</v>
      </c>
      <c r="EF150">
        <v>22.636500000000002</v>
      </c>
      <c r="EG150">
        <v>18.878599999999999</v>
      </c>
      <c r="EH150">
        <v>1800.14</v>
      </c>
      <c r="EI150">
        <v>0.977993</v>
      </c>
      <c r="EJ150">
        <v>2.2006999999999999E-2</v>
      </c>
      <c r="EK150">
        <v>0</v>
      </c>
      <c r="EL150">
        <v>834.70799999999997</v>
      </c>
      <c r="EM150">
        <v>4.9999900000000004</v>
      </c>
      <c r="EN150">
        <v>21300.6</v>
      </c>
      <c r="EO150">
        <v>15865</v>
      </c>
      <c r="EP150">
        <v>49.875</v>
      </c>
      <c r="EQ150">
        <v>50.625</v>
      </c>
      <c r="ER150">
        <v>50.375</v>
      </c>
      <c r="ES150">
        <v>50.125</v>
      </c>
      <c r="ET150">
        <v>51.375</v>
      </c>
      <c r="EU150">
        <v>1755.63</v>
      </c>
      <c r="EV150">
        <v>39.51</v>
      </c>
      <c r="EW150">
        <v>0</v>
      </c>
      <c r="EX150">
        <v>110.5999999046326</v>
      </c>
      <c r="EY150">
        <v>0</v>
      </c>
      <c r="EZ150">
        <v>835.0616399999999</v>
      </c>
      <c r="FA150">
        <v>-1.1563846203314081</v>
      </c>
      <c r="FB150">
        <v>26.52308043490919</v>
      </c>
      <c r="FC150">
        <v>21326.583999999999</v>
      </c>
      <c r="FD150">
        <v>15</v>
      </c>
      <c r="FE150">
        <v>1689025143</v>
      </c>
      <c r="FF150" t="s">
        <v>1099</v>
      </c>
      <c r="FG150">
        <v>1689025143</v>
      </c>
      <c r="FH150">
        <v>1689025137.5</v>
      </c>
      <c r="FI150">
        <v>149</v>
      </c>
      <c r="FJ150">
        <v>4.7E-2</v>
      </c>
      <c r="FK150">
        <v>-1E-3</v>
      </c>
      <c r="FL150">
        <v>0.24199999999999999</v>
      </c>
      <c r="FM150">
        <v>0.113</v>
      </c>
      <c r="FN150">
        <v>1201</v>
      </c>
      <c r="FO150">
        <v>21</v>
      </c>
      <c r="FP150">
        <v>0.03</v>
      </c>
      <c r="FQ150">
        <v>0.01</v>
      </c>
      <c r="FR150">
        <v>62.334783104068109</v>
      </c>
      <c r="FS150">
        <v>-0.4567212232123955</v>
      </c>
      <c r="FT150">
        <v>6.3770986505357521E-2</v>
      </c>
      <c r="FU150">
        <v>1</v>
      </c>
      <c r="FV150">
        <v>0.32898343473783798</v>
      </c>
      <c r="FW150">
        <v>3.2975055325738189E-3</v>
      </c>
      <c r="FX150">
        <v>2.8920899038881382E-4</v>
      </c>
      <c r="FY150">
        <v>1</v>
      </c>
      <c r="FZ150">
        <v>2</v>
      </c>
      <c r="GA150">
        <v>2</v>
      </c>
      <c r="GB150" t="s">
        <v>423</v>
      </c>
      <c r="GC150">
        <v>2.9572699999999998</v>
      </c>
      <c r="GD150">
        <v>2.7427000000000001</v>
      </c>
      <c r="GE150">
        <v>0.18035100000000001</v>
      </c>
      <c r="GF150">
        <v>0.18803700000000001</v>
      </c>
      <c r="GG150">
        <v>0.12778400000000001</v>
      </c>
      <c r="GH150">
        <v>0.108165</v>
      </c>
      <c r="GI150">
        <v>19219.5</v>
      </c>
      <c r="GJ150">
        <v>17743.599999999999</v>
      </c>
      <c r="GK150">
        <v>23385.200000000001</v>
      </c>
      <c r="GL150">
        <v>21906.3</v>
      </c>
      <c r="GM150">
        <v>28784</v>
      </c>
      <c r="GN150">
        <v>27277.200000000001</v>
      </c>
      <c r="GO150">
        <v>36906.800000000003</v>
      </c>
      <c r="GP150">
        <v>34097</v>
      </c>
      <c r="GQ150">
        <v>1.98363</v>
      </c>
      <c r="GR150">
        <v>1.80887</v>
      </c>
      <c r="GS150">
        <v>3.4019399999999998E-2</v>
      </c>
      <c r="GT150">
        <v>0</v>
      </c>
      <c r="GU150">
        <v>29.540400000000002</v>
      </c>
      <c r="GV150">
        <v>999.9</v>
      </c>
      <c r="GW150">
        <v>28.9</v>
      </c>
      <c r="GX150">
        <v>44.8</v>
      </c>
      <c r="GY150">
        <v>27.823</v>
      </c>
      <c r="GZ150">
        <v>60.647300000000001</v>
      </c>
      <c r="HA150">
        <v>38.421500000000002</v>
      </c>
      <c r="HB150">
        <v>1</v>
      </c>
      <c r="HC150">
        <v>0.60401899999999997</v>
      </c>
      <c r="HD150">
        <v>4.3270200000000001</v>
      </c>
      <c r="HE150">
        <v>20.052399999999999</v>
      </c>
      <c r="HF150">
        <v>5.2623600000000001</v>
      </c>
      <c r="HG150">
        <v>11.962300000000001</v>
      </c>
      <c r="HH150">
        <v>4.9793000000000003</v>
      </c>
      <c r="HI150">
        <v>3.2973300000000001</v>
      </c>
      <c r="HJ150">
        <v>9999</v>
      </c>
      <c r="HK150">
        <v>9999</v>
      </c>
      <c r="HL150">
        <v>9999</v>
      </c>
      <c r="HM150">
        <v>999.9</v>
      </c>
      <c r="HN150">
        <v>1.86432</v>
      </c>
      <c r="HO150">
        <v>1.86032</v>
      </c>
      <c r="HP150">
        <v>1.8669199999999999</v>
      </c>
      <c r="HQ150">
        <v>1.8635900000000001</v>
      </c>
      <c r="HR150">
        <v>1.86226</v>
      </c>
      <c r="HS150">
        <v>1.86229</v>
      </c>
      <c r="HT150">
        <v>1.8635600000000001</v>
      </c>
      <c r="HU150">
        <v>1.8648100000000001</v>
      </c>
      <c r="HV150">
        <v>0</v>
      </c>
      <c r="HW150">
        <v>0</v>
      </c>
      <c r="HX150">
        <v>0</v>
      </c>
      <c r="HY150">
        <v>0</v>
      </c>
      <c r="HZ150" t="s">
        <v>424</v>
      </c>
      <c r="IA150" t="s">
        <v>425</v>
      </c>
      <c r="IB150" t="s">
        <v>426</v>
      </c>
      <c r="IC150" t="s">
        <v>426</v>
      </c>
      <c r="ID150" t="s">
        <v>426</v>
      </c>
      <c r="IE150" t="s">
        <v>426</v>
      </c>
      <c r="IF150">
        <v>0</v>
      </c>
      <c r="IG150">
        <v>100</v>
      </c>
      <c r="IH150">
        <v>100</v>
      </c>
      <c r="II150">
        <v>0.22</v>
      </c>
      <c r="IJ150">
        <v>0.1236</v>
      </c>
      <c r="IK150">
        <v>9.1446687913943225E-2</v>
      </c>
      <c r="IL150">
        <v>-8.3322953065825546E-5</v>
      </c>
      <c r="IM150">
        <v>2.3872336679552741E-7</v>
      </c>
      <c r="IN150">
        <v>-5.428329794194132E-11</v>
      </c>
      <c r="IO150">
        <v>0.1236535837515437</v>
      </c>
      <c r="IP150">
        <v>0</v>
      </c>
      <c r="IQ150">
        <v>0</v>
      </c>
      <c r="IR150">
        <v>0</v>
      </c>
      <c r="IS150">
        <v>2</v>
      </c>
      <c r="IT150">
        <v>2035</v>
      </c>
      <c r="IU150">
        <v>1</v>
      </c>
      <c r="IV150">
        <v>21</v>
      </c>
      <c r="IW150">
        <v>0.6</v>
      </c>
      <c r="IX150">
        <v>0.7</v>
      </c>
      <c r="IY150">
        <v>2.63184</v>
      </c>
      <c r="IZ150">
        <v>2.6953100000000001</v>
      </c>
      <c r="JA150">
        <v>1.4514199999999999</v>
      </c>
      <c r="JB150">
        <v>2.2741699999999998</v>
      </c>
      <c r="JC150">
        <v>1.5942400000000001</v>
      </c>
      <c r="JD150">
        <v>2.4230999999999998</v>
      </c>
      <c r="JE150">
        <v>46.737900000000003</v>
      </c>
      <c r="JF150">
        <v>23.9999</v>
      </c>
      <c r="JG150">
        <v>18</v>
      </c>
      <c r="JH150">
        <v>511.76600000000002</v>
      </c>
      <c r="JI150">
        <v>432.89400000000001</v>
      </c>
      <c r="JJ150">
        <v>26.226600000000001</v>
      </c>
      <c r="JK150">
        <v>34.550899999999999</v>
      </c>
      <c r="JL150">
        <v>30.000299999999999</v>
      </c>
      <c r="JM150">
        <v>34.601300000000002</v>
      </c>
      <c r="JN150">
        <v>34.607500000000002</v>
      </c>
      <c r="JO150">
        <v>52.593299999999999</v>
      </c>
      <c r="JP150">
        <v>20.5763</v>
      </c>
      <c r="JQ150">
        <v>0</v>
      </c>
      <c r="JR150">
        <v>26.113800000000001</v>
      </c>
      <c r="JS150">
        <v>1200</v>
      </c>
      <c r="JT150">
        <v>22.107399999999998</v>
      </c>
      <c r="JU150">
        <v>98.912099999999995</v>
      </c>
      <c r="JV150">
        <v>98.341800000000006</v>
      </c>
    </row>
    <row r="151" spans="1:282" x14ac:dyDescent="0.25">
      <c r="A151">
        <v>135</v>
      </c>
      <c r="B151">
        <v>1689025328</v>
      </c>
      <c r="C151">
        <v>25987.400000095371</v>
      </c>
      <c r="D151" t="s">
        <v>1100</v>
      </c>
      <c r="E151" t="s">
        <v>1101</v>
      </c>
      <c r="F151" t="s">
        <v>414</v>
      </c>
      <c r="G151" t="s">
        <v>415</v>
      </c>
      <c r="H151" t="s">
        <v>577</v>
      </c>
      <c r="I151" t="s">
        <v>655</v>
      </c>
      <c r="J151" t="s">
        <v>500</v>
      </c>
      <c r="K151">
        <v>1689025328</v>
      </c>
      <c r="L151">
        <f t="shared" si="184"/>
        <v>4.7962174183458469E-3</v>
      </c>
      <c r="M151">
        <f t="shared" si="185"/>
        <v>4.7962174183458472</v>
      </c>
      <c r="N151">
        <f t="shared" si="186"/>
        <v>61.083280048454711</v>
      </c>
      <c r="O151">
        <f t="shared" si="187"/>
        <v>1418.44</v>
      </c>
      <c r="P151">
        <f t="shared" si="188"/>
        <v>1064.7368805684146</v>
      </c>
      <c r="Q151">
        <f t="shared" si="189"/>
        <v>105.60430079417206</v>
      </c>
      <c r="R151">
        <f t="shared" si="190"/>
        <v>140.68580430736799</v>
      </c>
      <c r="S151">
        <f t="shared" si="191"/>
        <v>0.31897293357650292</v>
      </c>
      <c r="T151">
        <f t="shared" si="192"/>
        <v>2.9151704284747413</v>
      </c>
      <c r="U151">
        <f t="shared" si="193"/>
        <v>0.30077427661918904</v>
      </c>
      <c r="V151">
        <f t="shared" si="194"/>
        <v>0.18953241990032677</v>
      </c>
      <c r="W151">
        <f t="shared" si="195"/>
        <v>289.58997301270807</v>
      </c>
      <c r="X151">
        <f t="shared" si="196"/>
        <v>30.195169223011291</v>
      </c>
      <c r="Y151">
        <f t="shared" si="197"/>
        <v>30.004100000000001</v>
      </c>
      <c r="Z151">
        <f t="shared" si="198"/>
        <v>4.2614532140369183</v>
      </c>
      <c r="AA151">
        <f t="shared" si="199"/>
        <v>65.201537934234935</v>
      </c>
      <c r="AB151">
        <f t="shared" si="200"/>
        <v>2.7356388568315202</v>
      </c>
      <c r="AC151">
        <f t="shared" si="201"/>
        <v>4.1956661506831372</v>
      </c>
      <c r="AD151">
        <f t="shared" si="202"/>
        <v>1.5258143572053982</v>
      </c>
      <c r="AE151">
        <f t="shared" si="203"/>
        <v>-211.51318814905184</v>
      </c>
      <c r="AF151">
        <f t="shared" si="204"/>
        <v>-42.528217998665404</v>
      </c>
      <c r="AG151">
        <f t="shared" si="205"/>
        <v>-3.2395757591859371</v>
      </c>
      <c r="AH151">
        <f t="shared" si="206"/>
        <v>32.3089911058049</v>
      </c>
      <c r="AI151">
        <v>0</v>
      </c>
      <c r="AJ151">
        <v>0</v>
      </c>
      <c r="AK151">
        <f t="shared" si="207"/>
        <v>1</v>
      </c>
      <c r="AL151">
        <f t="shared" si="208"/>
        <v>0</v>
      </c>
      <c r="AM151">
        <f t="shared" si="209"/>
        <v>51969.269264920164</v>
      </c>
      <c r="AN151" t="s">
        <v>418</v>
      </c>
      <c r="AO151">
        <v>8197.4</v>
      </c>
      <c r="AP151">
        <v>619.92999999999995</v>
      </c>
      <c r="AQ151">
        <v>3131.443117258741</v>
      </c>
      <c r="AR151">
        <f t="shared" si="210"/>
        <v>0.80203057287443702</v>
      </c>
      <c r="AS151">
        <v>-1.0448500102641549</v>
      </c>
      <c r="AT151" t="s">
        <v>1102</v>
      </c>
      <c r="AU151">
        <v>8185.95</v>
      </c>
      <c r="AV151">
        <v>827.25076000000001</v>
      </c>
      <c r="AW151">
        <v>1372.3687562098969</v>
      </c>
      <c r="AX151">
        <f t="shared" si="211"/>
        <v>0.39720956466202428</v>
      </c>
      <c r="AY151">
        <v>0.5</v>
      </c>
      <c r="AZ151">
        <f t="shared" si="212"/>
        <v>1513.3029000065844</v>
      </c>
      <c r="BA151">
        <f t="shared" si="213"/>
        <v>61.083280048454711</v>
      </c>
      <c r="BB151">
        <f t="shared" si="214"/>
        <v>300.54919305669711</v>
      </c>
      <c r="BC151">
        <f t="shared" si="215"/>
        <v>4.1054656049657044E-2</v>
      </c>
      <c r="BD151">
        <f t="shared" si="216"/>
        <v>1.2817796624188103</v>
      </c>
      <c r="BE151">
        <f t="shared" si="217"/>
        <v>494.45936184599265</v>
      </c>
      <c r="BF151" t="s">
        <v>1103</v>
      </c>
      <c r="BG151">
        <v>642.63</v>
      </c>
      <c r="BH151">
        <f t="shared" si="218"/>
        <v>642.63</v>
      </c>
      <c r="BI151">
        <f t="shared" si="219"/>
        <v>0.53173664360097617</v>
      </c>
      <c r="BJ151">
        <f t="shared" si="220"/>
        <v>0.74700431020153057</v>
      </c>
      <c r="BK151">
        <f t="shared" si="221"/>
        <v>0.7067924661962347</v>
      </c>
      <c r="BL151">
        <f t="shared" si="222"/>
        <v>0.72446825965704675</v>
      </c>
      <c r="BM151">
        <f t="shared" si="223"/>
        <v>0.70040421009977971</v>
      </c>
      <c r="BN151">
        <f t="shared" si="224"/>
        <v>0.58029246158058478</v>
      </c>
      <c r="BO151">
        <f t="shared" si="225"/>
        <v>0.41970753841941522</v>
      </c>
      <c r="BP151">
        <v>13838</v>
      </c>
      <c r="BQ151">
        <v>290.00000000000011</v>
      </c>
      <c r="BR151">
        <v>1187.9100000000001</v>
      </c>
      <c r="BS151">
        <v>295</v>
      </c>
      <c r="BT151">
        <v>8185.95</v>
      </c>
      <c r="BU151">
        <v>1189.8599999999999</v>
      </c>
      <c r="BV151">
        <v>-1.95</v>
      </c>
      <c r="BW151">
        <v>300.00000000000011</v>
      </c>
      <c r="BX151">
        <v>19.3</v>
      </c>
      <c r="BY151">
        <v>1372.3687562098969</v>
      </c>
      <c r="BZ151">
        <v>3.6899465068266162</v>
      </c>
      <c r="CA151">
        <v>-149.39942678217159</v>
      </c>
      <c r="CB151">
        <v>2.773817331962293</v>
      </c>
      <c r="CC151">
        <v>0.99044030166972596</v>
      </c>
      <c r="CD151">
        <v>-4.2402100111234697E-3</v>
      </c>
      <c r="CE151">
        <v>289.99999999999989</v>
      </c>
      <c r="CF151">
        <v>1182.1400000000001</v>
      </c>
      <c r="CG151">
        <v>645</v>
      </c>
      <c r="CH151">
        <v>8175.28</v>
      </c>
      <c r="CI151">
        <v>1189.6199999999999</v>
      </c>
      <c r="CJ151">
        <v>-7.48</v>
      </c>
      <c r="CX151">
        <f t="shared" si="226"/>
        <v>1800.14</v>
      </c>
      <c r="CY151">
        <f t="shared" si="227"/>
        <v>1513.3029000065844</v>
      </c>
      <c r="CZ151">
        <f t="shared" si="228"/>
        <v>0.84065844879097418</v>
      </c>
      <c r="DA151">
        <f t="shared" si="229"/>
        <v>0.16087080616658039</v>
      </c>
      <c r="DB151">
        <v>6</v>
      </c>
      <c r="DC151">
        <v>0.5</v>
      </c>
      <c r="DD151" t="s">
        <v>421</v>
      </c>
      <c r="DE151">
        <v>2</v>
      </c>
      <c r="DF151">
        <v>1689025328</v>
      </c>
      <c r="DG151">
        <v>1418.44</v>
      </c>
      <c r="DH151">
        <v>1499.87</v>
      </c>
      <c r="DI151">
        <v>27.581600000000002</v>
      </c>
      <c r="DJ151">
        <v>21.987200000000001</v>
      </c>
      <c r="DK151">
        <v>1418.15</v>
      </c>
      <c r="DL151">
        <v>27.444299999999998</v>
      </c>
      <c r="DM151">
        <v>500.20699999999999</v>
      </c>
      <c r="DN151">
        <v>99.083500000000001</v>
      </c>
      <c r="DO151">
        <v>9.9972199999999997E-2</v>
      </c>
      <c r="DP151">
        <v>29.733499999999999</v>
      </c>
      <c r="DQ151">
        <v>30.004100000000001</v>
      </c>
      <c r="DR151">
        <v>999.9</v>
      </c>
      <c r="DS151">
        <v>0</v>
      </c>
      <c r="DT151">
        <v>0</v>
      </c>
      <c r="DU151">
        <v>10010</v>
      </c>
      <c r="DV151">
        <v>0</v>
      </c>
      <c r="DW151">
        <v>1425.64</v>
      </c>
      <c r="DX151">
        <v>-81.429599999999994</v>
      </c>
      <c r="DY151">
        <v>1458.67</v>
      </c>
      <c r="DZ151">
        <v>1533.59</v>
      </c>
      <c r="EA151">
        <v>5.5944000000000003</v>
      </c>
      <c r="EB151">
        <v>1499.87</v>
      </c>
      <c r="EC151">
        <v>21.987200000000001</v>
      </c>
      <c r="ED151">
        <v>2.7328800000000002</v>
      </c>
      <c r="EE151">
        <v>2.1785700000000001</v>
      </c>
      <c r="EF151">
        <v>22.484200000000001</v>
      </c>
      <c r="EG151">
        <v>18.805599999999998</v>
      </c>
      <c r="EH151">
        <v>1800.14</v>
      </c>
      <c r="EI151">
        <v>0.977993</v>
      </c>
      <c r="EJ151">
        <v>2.2006999999999999E-2</v>
      </c>
      <c r="EK151">
        <v>0</v>
      </c>
      <c r="EL151">
        <v>827.11599999999999</v>
      </c>
      <c r="EM151">
        <v>4.9999900000000004</v>
      </c>
      <c r="EN151">
        <v>20938.5</v>
      </c>
      <c r="EO151">
        <v>15865</v>
      </c>
      <c r="EP151">
        <v>49.811999999999998</v>
      </c>
      <c r="EQ151">
        <v>50.686999999999998</v>
      </c>
      <c r="ER151">
        <v>50.375</v>
      </c>
      <c r="ES151">
        <v>50.061999999999998</v>
      </c>
      <c r="ET151">
        <v>51.311999999999998</v>
      </c>
      <c r="EU151">
        <v>1755.63</v>
      </c>
      <c r="EV151">
        <v>39.51</v>
      </c>
      <c r="EW151">
        <v>0</v>
      </c>
      <c r="EX151">
        <v>144.79999995231631</v>
      </c>
      <c r="EY151">
        <v>0</v>
      </c>
      <c r="EZ151">
        <v>827.25076000000001</v>
      </c>
      <c r="FA151">
        <v>-3.563538464996018</v>
      </c>
      <c r="FB151">
        <v>-310.33077108096472</v>
      </c>
      <c r="FC151">
        <v>21114.076000000001</v>
      </c>
      <c r="FD151">
        <v>15</v>
      </c>
      <c r="FE151">
        <v>1689025282.5</v>
      </c>
      <c r="FF151" t="s">
        <v>1104</v>
      </c>
      <c r="FG151">
        <v>1689025282.5</v>
      </c>
      <c r="FH151">
        <v>1689025277</v>
      </c>
      <c r="FI151">
        <v>150</v>
      </c>
      <c r="FJ151">
        <v>-8.9999999999999993E-3</v>
      </c>
      <c r="FK151">
        <v>1.4E-2</v>
      </c>
      <c r="FL151">
        <v>0.311</v>
      </c>
      <c r="FM151">
        <v>0.13700000000000001</v>
      </c>
      <c r="FN151">
        <v>1500</v>
      </c>
      <c r="FO151">
        <v>22</v>
      </c>
      <c r="FP151">
        <v>0.05</v>
      </c>
      <c r="FQ151">
        <v>0.02</v>
      </c>
      <c r="FR151">
        <v>61.263246608347799</v>
      </c>
      <c r="FS151">
        <v>-0.20709330651054891</v>
      </c>
      <c r="FT151">
        <v>6.7197742518304807E-2</v>
      </c>
      <c r="FU151">
        <v>1</v>
      </c>
      <c r="FV151">
        <v>0.32428984914319409</v>
      </c>
      <c r="FW151">
        <v>-4.6326510718705957E-2</v>
      </c>
      <c r="FX151">
        <v>3.514272972452786E-3</v>
      </c>
      <c r="FY151">
        <v>1</v>
      </c>
      <c r="FZ151">
        <v>2</v>
      </c>
      <c r="GA151">
        <v>2</v>
      </c>
      <c r="GB151" t="s">
        <v>423</v>
      </c>
      <c r="GC151">
        <v>2.9575</v>
      </c>
      <c r="GD151">
        <v>2.74329</v>
      </c>
      <c r="GE151">
        <v>0.208451</v>
      </c>
      <c r="GF151">
        <v>0.215114</v>
      </c>
      <c r="GG151">
        <v>0.126942</v>
      </c>
      <c r="GH151">
        <v>0.107837</v>
      </c>
      <c r="GI151">
        <v>18563.2</v>
      </c>
      <c r="GJ151">
        <v>17154.7</v>
      </c>
      <c r="GK151">
        <v>23389.9</v>
      </c>
      <c r="GL151">
        <v>21911.200000000001</v>
      </c>
      <c r="GM151">
        <v>28819.5</v>
      </c>
      <c r="GN151">
        <v>27294.2</v>
      </c>
      <c r="GO151">
        <v>36914.6</v>
      </c>
      <c r="GP151">
        <v>34103.699999999997</v>
      </c>
      <c r="GQ151">
        <v>1.98475</v>
      </c>
      <c r="GR151">
        <v>1.8121799999999999</v>
      </c>
      <c r="GS151">
        <v>2.0898900000000002E-2</v>
      </c>
      <c r="GT151">
        <v>0</v>
      </c>
      <c r="GU151">
        <v>29.663900000000002</v>
      </c>
      <c r="GV151">
        <v>999.9</v>
      </c>
      <c r="GW151">
        <v>28.9</v>
      </c>
      <c r="GX151">
        <v>44.6</v>
      </c>
      <c r="GY151">
        <v>27.539300000000001</v>
      </c>
      <c r="GZ151">
        <v>60.167299999999997</v>
      </c>
      <c r="HA151">
        <v>37.848599999999998</v>
      </c>
      <c r="HB151">
        <v>1</v>
      </c>
      <c r="HC151">
        <v>0.58892999999999995</v>
      </c>
      <c r="HD151">
        <v>3.5758899999999998</v>
      </c>
      <c r="HE151">
        <v>20.073899999999998</v>
      </c>
      <c r="HF151">
        <v>5.2649100000000004</v>
      </c>
      <c r="HG151">
        <v>11.962</v>
      </c>
      <c r="HH151">
        <v>4.9798</v>
      </c>
      <c r="HI151">
        <v>3.2979799999999999</v>
      </c>
      <c r="HJ151">
        <v>9999</v>
      </c>
      <c r="HK151">
        <v>9999</v>
      </c>
      <c r="HL151">
        <v>9999</v>
      </c>
      <c r="HM151">
        <v>999.9</v>
      </c>
      <c r="HN151">
        <v>1.86433</v>
      </c>
      <c r="HO151">
        <v>1.86032</v>
      </c>
      <c r="HP151">
        <v>1.8669100000000001</v>
      </c>
      <c r="HQ151">
        <v>1.86358</v>
      </c>
      <c r="HR151">
        <v>1.8622799999999999</v>
      </c>
      <c r="HS151">
        <v>1.86226</v>
      </c>
      <c r="HT151">
        <v>1.86354</v>
      </c>
      <c r="HU151">
        <v>1.8647899999999999</v>
      </c>
      <c r="HV151">
        <v>0</v>
      </c>
      <c r="HW151">
        <v>0</v>
      </c>
      <c r="HX151">
        <v>0</v>
      </c>
      <c r="HY151">
        <v>0</v>
      </c>
      <c r="HZ151" t="s">
        <v>424</v>
      </c>
      <c r="IA151" t="s">
        <v>425</v>
      </c>
      <c r="IB151" t="s">
        <v>426</v>
      </c>
      <c r="IC151" t="s">
        <v>426</v>
      </c>
      <c r="ID151" t="s">
        <v>426</v>
      </c>
      <c r="IE151" t="s">
        <v>426</v>
      </c>
      <c r="IF151">
        <v>0</v>
      </c>
      <c r="IG151">
        <v>100</v>
      </c>
      <c r="IH151">
        <v>100</v>
      </c>
      <c r="II151">
        <v>0.28999999999999998</v>
      </c>
      <c r="IJ151">
        <v>0.13730000000000001</v>
      </c>
      <c r="IK151">
        <v>8.2063917385172658E-2</v>
      </c>
      <c r="IL151">
        <v>-8.3322953065825546E-5</v>
      </c>
      <c r="IM151">
        <v>2.3872336679552741E-7</v>
      </c>
      <c r="IN151">
        <v>-5.428329794194132E-11</v>
      </c>
      <c r="IO151">
        <v>0.13735714285714101</v>
      </c>
      <c r="IP151">
        <v>0</v>
      </c>
      <c r="IQ151">
        <v>0</v>
      </c>
      <c r="IR151">
        <v>0</v>
      </c>
      <c r="IS151">
        <v>2</v>
      </c>
      <c r="IT151">
        <v>2035</v>
      </c>
      <c r="IU151">
        <v>1</v>
      </c>
      <c r="IV151">
        <v>21</v>
      </c>
      <c r="IW151">
        <v>0.8</v>
      </c>
      <c r="IX151">
        <v>0.8</v>
      </c>
      <c r="IY151">
        <v>3.14575</v>
      </c>
      <c r="IZ151">
        <v>2.6965300000000001</v>
      </c>
      <c r="JA151">
        <v>1.4526399999999999</v>
      </c>
      <c r="JB151">
        <v>2.2753899999999998</v>
      </c>
      <c r="JC151">
        <v>1.5942400000000001</v>
      </c>
      <c r="JD151">
        <v>2.3571800000000001</v>
      </c>
      <c r="JE151">
        <v>46.620199999999997</v>
      </c>
      <c r="JF151">
        <v>23.9999</v>
      </c>
      <c r="JG151">
        <v>18</v>
      </c>
      <c r="JH151">
        <v>511.899</v>
      </c>
      <c r="JI151">
        <v>434.68299999999999</v>
      </c>
      <c r="JJ151">
        <v>26.220800000000001</v>
      </c>
      <c r="JK151">
        <v>34.474200000000003</v>
      </c>
      <c r="JL151">
        <v>29.9998</v>
      </c>
      <c r="JM151">
        <v>34.5289</v>
      </c>
      <c r="JN151">
        <v>34.544600000000003</v>
      </c>
      <c r="JO151">
        <v>62.890799999999999</v>
      </c>
      <c r="JP151">
        <v>20.544799999999999</v>
      </c>
      <c r="JQ151">
        <v>0</v>
      </c>
      <c r="JR151">
        <v>26.222000000000001</v>
      </c>
      <c r="JS151">
        <v>1500</v>
      </c>
      <c r="JT151">
        <v>22.017700000000001</v>
      </c>
      <c r="JU151">
        <v>98.932500000000005</v>
      </c>
      <c r="JV151">
        <v>98.362300000000005</v>
      </c>
    </row>
    <row r="152" spans="1:282" x14ac:dyDescent="0.25">
      <c r="A152">
        <v>136</v>
      </c>
      <c r="B152">
        <v>1689026551.5999999</v>
      </c>
      <c r="C152">
        <v>27211</v>
      </c>
      <c r="D152" t="s">
        <v>1105</v>
      </c>
      <c r="E152" t="s">
        <v>1106</v>
      </c>
      <c r="F152" t="s">
        <v>414</v>
      </c>
      <c r="G152" t="s">
        <v>415</v>
      </c>
      <c r="H152" t="s">
        <v>31</v>
      </c>
      <c r="I152" t="s">
        <v>417</v>
      </c>
      <c r="J152" t="s">
        <v>500</v>
      </c>
      <c r="K152">
        <v>1689026551.5999999</v>
      </c>
      <c r="L152">
        <f t="shared" si="184"/>
        <v>4.6950225731892522E-3</v>
      </c>
      <c r="M152">
        <f t="shared" si="185"/>
        <v>4.6950225731892523</v>
      </c>
      <c r="N152">
        <f t="shared" si="186"/>
        <v>45.448543657727264</v>
      </c>
      <c r="O152">
        <f t="shared" si="187"/>
        <v>343.57600000000002</v>
      </c>
      <c r="P152">
        <f t="shared" si="188"/>
        <v>99.422568613837939</v>
      </c>
      <c r="Q152">
        <f t="shared" si="189"/>
        <v>9.857734723301343</v>
      </c>
      <c r="R152">
        <f t="shared" si="190"/>
        <v>34.065515632047209</v>
      </c>
      <c r="S152">
        <f t="shared" si="191"/>
        <v>0.32051928753863235</v>
      </c>
      <c r="T152">
        <f t="shared" si="192"/>
        <v>2.9154560356097221</v>
      </c>
      <c r="U152">
        <f t="shared" si="193"/>
        <v>0.30215089470356943</v>
      </c>
      <c r="V152">
        <f t="shared" si="194"/>
        <v>0.19040685823483516</v>
      </c>
      <c r="W152">
        <f t="shared" si="195"/>
        <v>289.5680670127025</v>
      </c>
      <c r="X152">
        <f t="shared" si="196"/>
        <v>30.471097814688942</v>
      </c>
      <c r="Y152">
        <f t="shared" si="197"/>
        <v>30.009499999999999</v>
      </c>
      <c r="Z152">
        <f t="shared" si="198"/>
        <v>4.2627751343415312</v>
      </c>
      <c r="AA152">
        <f t="shared" si="199"/>
        <v>65.239030712284091</v>
      </c>
      <c r="AB152">
        <f t="shared" si="200"/>
        <v>2.7768110807921405</v>
      </c>
      <c r="AC152">
        <f t="shared" si="201"/>
        <v>4.2563647106260349</v>
      </c>
      <c r="AD152">
        <f t="shared" si="202"/>
        <v>1.4859640535493908</v>
      </c>
      <c r="AE152">
        <f t="shared" si="203"/>
        <v>-207.05049547764602</v>
      </c>
      <c r="AF152">
        <f t="shared" si="204"/>
        <v>-4.1180653237448288</v>
      </c>
      <c r="AG152">
        <f t="shared" si="205"/>
        <v>-0.31405835307716989</v>
      </c>
      <c r="AH152">
        <f t="shared" si="206"/>
        <v>78.085447858234502</v>
      </c>
      <c r="AI152">
        <v>6</v>
      </c>
      <c r="AJ152">
        <v>1</v>
      </c>
      <c r="AK152">
        <f t="shared" si="207"/>
        <v>1</v>
      </c>
      <c r="AL152">
        <f t="shared" si="208"/>
        <v>0</v>
      </c>
      <c r="AM152">
        <f t="shared" si="209"/>
        <v>51933.831563399035</v>
      </c>
      <c r="AN152" t="s">
        <v>418</v>
      </c>
      <c r="AO152">
        <v>8197.4</v>
      </c>
      <c r="AP152">
        <v>619.92999999999995</v>
      </c>
      <c r="AQ152">
        <v>3131.443117258741</v>
      </c>
      <c r="AR152">
        <f t="shared" si="210"/>
        <v>0.80203057287443702</v>
      </c>
      <c r="AS152">
        <v>-1.0448500102641549</v>
      </c>
      <c r="AT152" t="s">
        <v>1107</v>
      </c>
      <c r="AU152">
        <v>8196.9500000000007</v>
      </c>
      <c r="AV152">
        <v>793.46835999999996</v>
      </c>
      <c r="AW152">
        <v>1138.870340460511</v>
      </c>
      <c r="AX152">
        <f t="shared" si="211"/>
        <v>0.30328472714536148</v>
      </c>
      <c r="AY152">
        <v>0.5</v>
      </c>
      <c r="AZ152">
        <f t="shared" si="212"/>
        <v>1513.1931000065815</v>
      </c>
      <c r="BA152">
        <f t="shared" si="213"/>
        <v>45.448543657727264</v>
      </c>
      <c r="BB152">
        <f t="shared" si="214"/>
        <v>229.46417822686988</v>
      </c>
      <c r="BC152">
        <f t="shared" si="215"/>
        <v>3.0725353999954928E-2</v>
      </c>
      <c r="BD152">
        <f t="shared" si="216"/>
        <v>1.7496045915046992</v>
      </c>
      <c r="BE152">
        <f t="shared" si="217"/>
        <v>460.44610337685191</v>
      </c>
      <c r="BF152" t="s">
        <v>1108</v>
      </c>
      <c r="BG152">
        <v>611.61</v>
      </c>
      <c r="BH152">
        <f t="shared" si="218"/>
        <v>611.61</v>
      </c>
      <c r="BI152">
        <f t="shared" si="219"/>
        <v>0.46296783903188587</v>
      </c>
      <c r="BJ152">
        <f t="shared" si="220"/>
        <v>0.65508811104365594</v>
      </c>
      <c r="BK152">
        <f t="shared" si="221"/>
        <v>0.79075584932620324</v>
      </c>
      <c r="BL152">
        <f t="shared" si="222"/>
        <v>0.66559092352311455</v>
      </c>
      <c r="BM152">
        <f t="shared" si="223"/>
        <v>0.79337542101833713</v>
      </c>
      <c r="BN152">
        <f t="shared" si="224"/>
        <v>0.50494570394137761</v>
      </c>
      <c r="BO152">
        <f t="shared" si="225"/>
        <v>0.49505429605862239</v>
      </c>
      <c r="BP152">
        <v>13840</v>
      </c>
      <c r="BQ152">
        <v>290.00000000000011</v>
      </c>
      <c r="BR152">
        <v>1032.9000000000001</v>
      </c>
      <c r="BS152">
        <v>255</v>
      </c>
      <c r="BT152">
        <v>8196.9500000000007</v>
      </c>
      <c r="BU152">
        <v>1035.1099999999999</v>
      </c>
      <c r="BV152">
        <v>-2.21</v>
      </c>
      <c r="BW152">
        <v>300.00000000000011</v>
      </c>
      <c r="BX152">
        <v>19.3</v>
      </c>
      <c r="BY152">
        <v>1138.870340460511</v>
      </c>
      <c r="BZ152">
        <v>3.5645335919798771</v>
      </c>
      <c r="CA152">
        <v>-85.049440345056937</v>
      </c>
      <c r="CB152">
        <v>2.682547693331212</v>
      </c>
      <c r="CC152">
        <v>0.97289945800119504</v>
      </c>
      <c r="CD152">
        <v>-4.243689655172413E-3</v>
      </c>
      <c r="CE152">
        <v>289.99999999999989</v>
      </c>
      <c r="CF152">
        <v>1034.5899999999999</v>
      </c>
      <c r="CG152">
        <v>725</v>
      </c>
      <c r="CH152">
        <v>8182.17</v>
      </c>
      <c r="CI152">
        <v>1034.93</v>
      </c>
      <c r="CJ152">
        <v>-0.34</v>
      </c>
      <c r="CX152">
        <f t="shared" si="226"/>
        <v>1800.01</v>
      </c>
      <c r="CY152">
        <f t="shared" si="227"/>
        <v>1513.1931000065815</v>
      </c>
      <c r="CZ152">
        <f t="shared" si="228"/>
        <v>0.84065816301386187</v>
      </c>
      <c r="DA152">
        <f t="shared" si="229"/>
        <v>0.16087025461675353</v>
      </c>
      <c r="DB152">
        <v>6</v>
      </c>
      <c r="DC152">
        <v>0.5</v>
      </c>
      <c r="DD152" t="s">
        <v>421</v>
      </c>
      <c r="DE152">
        <v>2</v>
      </c>
      <c r="DF152">
        <v>1689026551.5999999</v>
      </c>
      <c r="DG152">
        <v>343.57600000000002</v>
      </c>
      <c r="DH152">
        <v>400.03100000000001</v>
      </c>
      <c r="DI152">
        <v>28.0062</v>
      </c>
      <c r="DJ152">
        <v>22.5318</v>
      </c>
      <c r="DK152">
        <v>343.69099999999997</v>
      </c>
      <c r="DL152">
        <v>27.851600000000001</v>
      </c>
      <c r="DM152">
        <v>500.16800000000001</v>
      </c>
      <c r="DN152">
        <v>99.050200000000004</v>
      </c>
      <c r="DO152">
        <v>9.96697E-2</v>
      </c>
      <c r="DP152">
        <v>29.9833</v>
      </c>
      <c r="DQ152">
        <v>30.009499999999999</v>
      </c>
      <c r="DR152">
        <v>999.9</v>
      </c>
      <c r="DS152">
        <v>0</v>
      </c>
      <c r="DT152">
        <v>0</v>
      </c>
      <c r="DU152">
        <v>10015</v>
      </c>
      <c r="DV152">
        <v>0</v>
      </c>
      <c r="DW152">
        <v>1039.99</v>
      </c>
      <c r="DX152">
        <v>-56.455500000000001</v>
      </c>
      <c r="DY152">
        <v>353.47500000000002</v>
      </c>
      <c r="DZ152">
        <v>409.25200000000001</v>
      </c>
      <c r="EA152">
        <v>5.4744000000000002</v>
      </c>
      <c r="EB152">
        <v>400.03100000000001</v>
      </c>
      <c r="EC152">
        <v>22.5318</v>
      </c>
      <c r="ED152">
        <v>2.7740200000000002</v>
      </c>
      <c r="EE152">
        <v>2.2317800000000001</v>
      </c>
      <c r="EF152">
        <v>22.7303</v>
      </c>
      <c r="EG152">
        <v>19.192299999999999</v>
      </c>
      <c r="EH152">
        <v>1800.01</v>
      </c>
      <c r="EI152">
        <v>0.97799999999999998</v>
      </c>
      <c r="EJ152">
        <v>2.1999500000000002E-2</v>
      </c>
      <c r="EK152">
        <v>0</v>
      </c>
      <c r="EL152">
        <v>791.89200000000005</v>
      </c>
      <c r="EM152">
        <v>4.9999900000000004</v>
      </c>
      <c r="EN152">
        <v>22004.2</v>
      </c>
      <c r="EO152">
        <v>15863.9</v>
      </c>
      <c r="EP152">
        <v>48.625</v>
      </c>
      <c r="EQ152">
        <v>49.625</v>
      </c>
      <c r="ER152">
        <v>49.186999999999998</v>
      </c>
      <c r="ES152">
        <v>49.311999999999998</v>
      </c>
      <c r="ET152">
        <v>50.375</v>
      </c>
      <c r="EU152">
        <v>1755.52</v>
      </c>
      <c r="EV152">
        <v>39.49</v>
      </c>
      <c r="EW152">
        <v>0</v>
      </c>
      <c r="EX152">
        <v>1221.599999904633</v>
      </c>
      <c r="EY152">
        <v>0</v>
      </c>
      <c r="EZ152">
        <v>793.46835999999996</v>
      </c>
      <c r="FA152">
        <v>-14.74492311126367</v>
      </c>
      <c r="FB152">
        <v>-296.23846161254107</v>
      </c>
      <c r="FC152">
        <v>22039.743999999999</v>
      </c>
      <c r="FD152">
        <v>15</v>
      </c>
      <c r="FE152">
        <v>1689026510.0999999</v>
      </c>
      <c r="FF152" t="s">
        <v>1109</v>
      </c>
      <c r="FG152">
        <v>1689026506.5999999</v>
      </c>
      <c r="FH152">
        <v>1689026510.0999999</v>
      </c>
      <c r="FI152">
        <v>153</v>
      </c>
      <c r="FJ152">
        <v>1.7000000000000001E-2</v>
      </c>
      <c r="FK152">
        <v>8.9999999999999993E-3</v>
      </c>
      <c r="FL152">
        <v>-0.111</v>
      </c>
      <c r="FM152">
        <v>0.155</v>
      </c>
      <c r="FN152">
        <v>400</v>
      </c>
      <c r="FO152">
        <v>23</v>
      </c>
      <c r="FP152">
        <v>0.03</v>
      </c>
      <c r="FQ152">
        <v>0.01</v>
      </c>
      <c r="FR152">
        <v>45.578696197307451</v>
      </c>
      <c r="FS152">
        <v>-0.57413945554553736</v>
      </c>
      <c r="FT152">
        <v>5.0342341717682433E-2</v>
      </c>
      <c r="FU152">
        <v>1</v>
      </c>
      <c r="FV152">
        <v>0.32556978897525629</v>
      </c>
      <c r="FW152">
        <v>-4.7238584896394722E-2</v>
      </c>
      <c r="FX152">
        <v>3.5129562729845692E-3</v>
      </c>
      <c r="FY152">
        <v>1</v>
      </c>
      <c r="FZ152">
        <v>2</v>
      </c>
      <c r="GA152">
        <v>2</v>
      </c>
      <c r="GB152" t="s">
        <v>423</v>
      </c>
      <c r="GC152">
        <v>2.9577499999999999</v>
      </c>
      <c r="GD152">
        <v>2.7430400000000001</v>
      </c>
      <c r="GE152">
        <v>7.8732099999999999E-2</v>
      </c>
      <c r="GF152">
        <v>8.8534299999999996E-2</v>
      </c>
      <c r="GG152">
        <v>0.12831999999999999</v>
      </c>
      <c r="GH152">
        <v>0.10975799999999999</v>
      </c>
      <c r="GI152">
        <v>21629.599999999999</v>
      </c>
      <c r="GJ152">
        <v>19943.599999999999</v>
      </c>
      <c r="GK152">
        <v>23411.8</v>
      </c>
      <c r="GL152">
        <v>21930.9</v>
      </c>
      <c r="GM152">
        <v>28788.799999999999</v>
      </c>
      <c r="GN152">
        <v>27250.1</v>
      </c>
      <c r="GO152">
        <v>36947.9</v>
      </c>
      <c r="GP152">
        <v>34133.1</v>
      </c>
      <c r="GQ152">
        <v>1.9397200000000001</v>
      </c>
      <c r="GR152">
        <v>1.82202</v>
      </c>
      <c r="GS152">
        <v>-8.5681699999999995E-4</v>
      </c>
      <c r="GT152">
        <v>0</v>
      </c>
      <c r="GU152">
        <v>30.023499999999999</v>
      </c>
      <c r="GV152">
        <v>999.9</v>
      </c>
      <c r="GW152">
        <v>28.9</v>
      </c>
      <c r="GX152">
        <v>44.3</v>
      </c>
      <c r="GY152">
        <v>27.122900000000001</v>
      </c>
      <c r="GZ152">
        <v>60.253799999999998</v>
      </c>
      <c r="HA152">
        <v>37.760399999999997</v>
      </c>
      <c r="HB152">
        <v>1</v>
      </c>
      <c r="HC152">
        <v>0.54674999999999996</v>
      </c>
      <c r="HD152">
        <v>3.32863</v>
      </c>
      <c r="HE152">
        <v>20.1251</v>
      </c>
      <c r="HF152">
        <v>5.2649100000000004</v>
      </c>
      <c r="HG152">
        <v>11.9628</v>
      </c>
      <c r="HH152">
        <v>4.9798</v>
      </c>
      <c r="HI152">
        <v>3.298</v>
      </c>
      <c r="HJ152">
        <v>9999</v>
      </c>
      <c r="HK152">
        <v>9999</v>
      </c>
      <c r="HL152">
        <v>9999</v>
      </c>
      <c r="HM152">
        <v>999.9</v>
      </c>
      <c r="HN152">
        <v>1.8638699999999999</v>
      </c>
      <c r="HO152">
        <v>1.85989</v>
      </c>
      <c r="HP152">
        <v>1.86649</v>
      </c>
      <c r="HQ152">
        <v>1.86321</v>
      </c>
      <c r="HR152">
        <v>1.8618600000000001</v>
      </c>
      <c r="HS152">
        <v>1.8618699999999999</v>
      </c>
      <c r="HT152">
        <v>1.8631</v>
      </c>
      <c r="HU152">
        <v>1.8644099999999999</v>
      </c>
      <c r="HV152">
        <v>0</v>
      </c>
      <c r="HW152">
        <v>0</v>
      </c>
      <c r="HX152">
        <v>0</v>
      </c>
      <c r="HY152">
        <v>0</v>
      </c>
      <c r="HZ152" t="s">
        <v>424</v>
      </c>
      <c r="IA152" t="s">
        <v>425</v>
      </c>
      <c r="IB152" t="s">
        <v>426</v>
      </c>
      <c r="IC152" t="s">
        <v>426</v>
      </c>
      <c r="ID152" t="s">
        <v>426</v>
      </c>
      <c r="IE152" t="s">
        <v>426</v>
      </c>
      <c r="IF152">
        <v>0</v>
      </c>
      <c r="IG152">
        <v>100</v>
      </c>
      <c r="IH152">
        <v>100</v>
      </c>
      <c r="II152">
        <v>-0.115</v>
      </c>
      <c r="IJ152">
        <v>0.15459999999999999</v>
      </c>
      <c r="IK152">
        <v>-0.112235108312827</v>
      </c>
      <c r="IL152">
        <v>-8.3322953065825546E-5</v>
      </c>
      <c r="IM152">
        <v>2.3872336679552741E-7</v>
      </c>
      <c r="IN152">
        <v>-5.428329794194132E-11</v>
      </c>
      <c r="IO152">
        <v>0.1545700000000032</v>
      </c>
      <c r="IP152">
        <v>0</v>
      </c>
      <c r="IQ152">
        <v>0</v>
      </c>
      <c r="IR152">
        <v>0</v>
      </c>
      <c r="IS152">
        <v>2</v>
      </c>
      <c r="IT152">
        <v>2035</v>
      </c>
      <c r="IU152">
        <v>1</v>
      </c>
      <c r="IV152">
        <v>21</v>
      </c>
      <c r="IW152">
        <v>0.8</v>
      </c>
      <c r="IX152">
        <v>0.7</v>
      </c>
      <c r="IY152">
        <v>1.07178</v>
      </c>
      <c r="IZ152">
        <v>2.67822</v>
      </c>
      <c r="JA152">
        <v>1.4514199999999999</v>
      </c>
      <c r="JB152">
        <v>2.2717299999999998</v>
      </c>
      <c r="JC152">
        <v>1.5942400000000001</v>
      </c>
      <c r="JD152">
        <v>2.4389599999999998</v>
      </c>
      <c r="JE152">
        <v>46.473500000000001</v>
      </c>
      <c r="JF152">
        <v>15.927</v>
      </c>
      <c r="JG152">
        <v>18</v>
      </c>
      <c r="JH152">
        <v>479.47399999999999</v>
      </c>
      <c r="JI152">
        <v>438.25400000000002</v>
      </c>
      <c r="JJ152">
        <v>26.6434</v>
      </c>
      <c r="JK152">
        <v>34.098999999999997</v>
      </c>
      <c r="JL152">
        <v>30.0001</v>
      </c>
      <c r="JM152">
        <v>34.115099999999998</v>
      </c>
      <c r="JN152">
        <v>34.126399999999997</v>
      </c>
      <c r="JO152">
        <v>21.416599999999999</v>
      </c>
      <c r="JP152">
        <v>15.335800000000001</v>
      </c>
      <c r="JQ152">
        <v>11.861499999999999</v>
      </c>
      <c r="JR152">
        <v>26.643599999999999</v>
      </c>
      <c r="JS152">
        <v>400</v>
      </c>
      <c r="JT152">
        <v>22.532599999999999</v>
      </c>
      <c r="JU152">
        <v>99.023099999999999</v>
      </c>
      <c r="JV152">
        <v>98.448400000000007</v>
      </c>
    </row>
    <row r="153" spans="1:282" x14ac:dyDescent="0.25">
      <c r="A153">
        <v>137</v>
      </c>
      <c r="B153">
        <v>1689026659.5999999</v>
      </c>
      <c r="C153">
        <v>27319</v>
      </c>
      <c r="D153" t="s">
        <v>1110</v>
      </c>
      <c r="E153" t="s">
        <v>1111</v>
      </c>
      <c r="F153" t="s">
        <v>414</v>
      </c>
      <c r="G153" t="s">
        <v>415</v>
      </c>
      <c r="H153" t="s">
        <v>31</v>
      </c>
      <c r="I153" t="s">
        <v>417</v>
      </c>
      <c r="J153" t="s">
        <v>500</v>
      </c>
      <c r="K153">
        <v>1689026659.5999999</v>
      </c>
      <c r="L153">
        <f t="shared" si="184"/>
        <v>4.4287561103958113E-3</v>
      </c>
      <c r="M153">
        <f t="shared" si="185"/>
        <v>4.4287561103958115</v>
      </c>
      <c r="N153">
        <f t="shared" si="186"/>
        <v>34.115582543153884</v>
      </c>
      <c r="O153">
        <f t="shared" si="187"/>
        <v>257.85500000000002</v>
      </c>
      <c r="P153">
        <f t="shared" si="188"/>
        <v>63.368032747808364</v>
      </c>
      <c r="Q153">
        <f t="shared" si="189"/>
        <v>6.2829413340976581</v>
      </c>
      <c r="R153">
        <f t="shared" si="190"/>
        <v>25.566326859970001</v>
      </c>
      <c r="S153">
        <f t="shared" si="191"/>
        <v>0.30053121353597373</v>
      </c>
      <c r="T153">
        <f t="shared" si="192"/>
        <v>2.9108606951280778</v>
      </c>
      <c r="U153">
        <f t="shared" si="193"/>
        <v>0.28429604195661301</v>
      </c>
      <c r="V153">
        <f t="shared" si="194"/>
        <v>0.17907056842803587</v>
      </c>
      <c r="W153">
        <f t="shared" si="195"/>
        <v>289.55529901270313</v>
      </c>
      <c r="X153">
        <f t="shared" si="196"/>
        <v>30.390112944439903</v>
      </c>
      <c r="Y153">
        <f t="shared" si="197"/>
        <v>30.017700000000001</v>
      </c>
      <c r="Z153">
        <f t="shared" si="198"/>
        <v>4.2647831781700756</v>
      </c>
      <c r="AA153">
        <f t="shared" si="199"/>
        <v>65.766980574262462</v>
      </c>
      <c r="AB153">
        <f t="shared" si="200"/>
        <v>2.7750601668389998</v>
      </c>
      <c r="AC153">
        <f t="shared" si="201"/>
        <v>4.2195340923481659</v>
      </c>
      <c r="AD153">
        <f t="shared" si="202"/>
        <v>1.4897230113310758</v>
      </c>
      <c r="AE153">
        <f t="shared" si="203"/>
        <v>-195.30814446845528</v>
      </c>
      <c r="AF153">
        <f t="shared" si="204"/>
        <v>-29.126267725290397</v>
      </c>
      <c r="AG153">
        <f t="shared" si="205"/>
        <v>-2.2232053731692445</v>
      </c>
      <c r="AH153">
        <f t="shared" si="206"/>
        <v>62.897681445788187</v>
      </c>
      <c r="AI153">
        <v>6</v>
      </c>
      <c r="AJ153">
        <v>1</v>
      </c>
      <c r="AK153">
        <f t="shared" si="207"/>
        <v>1</v>
      </c>
      <c r="AL153">
        <f t="shared" si="208"/>
        <v>0</v>
      </c>
      <c r="AM153">
        <f t="shared" si="209"/>
        <v>51828.979926959975</v>
      </c>
      <c r="AN153" t="s">
        <v>418</v>
      </c>
      <c r="AO153">
        <v>8197.4</v>
      </c>
      <c r="AP153">
        <v>619.92999999999995</v>
      </c>
      <c r="AQ153">
        <v>3131.443117258741</v>
      </c>
      <c r="AR153">
        <f t="shared" si="210"/>
        <v>0.80203057287443702</v>
      </c>
      <c r="AS153">
        <v>-1.0448500102641549</v>
      </c>
      <c r="AT153" t="s">
        <v>1112</v>
      </c>
      <c r="AU153">
        <v>8194.08</v>
      </c>
      <c r="AV153">
        <v>768.36649999999997</v>
      </c>
      <c r="AW153">
        <v>1013.48455064968</v>
      </c>
      <c r="AX153">
        <f t="shared" si="211"/>
        <v>0.24185672143946402</v>
      </c>
      <c r="AY153">
        <v>0.5</v>
      </c>
      <c r="AZ153">
        <f t="shared" si="212"/>
        <v>1513.125900006582</v>
      </c>
      <c r="BA153">
        <f t="shared" si="213"/>
        <v>34.115582543153884</v>
      </c>
      <c r="BB153">
        <f t="shared" si="214"/>
        <v>182.97983465036509</v>
      </c>
      <c r="BC153">
        <f t="shared" si="215"/>
        <v>2.3236951104508286E-2</v>
      </c>
      <c r="BD153">
        <f t="shared" si="216"/>
        <v>2.0897788380211355</v>
      </c>
      <c r="BE153">
        <f t="shared" si="217"/>
        <v>438.51212973154719</v>
      </c>
      <c r="BF153" t="s">
        <v>1113</v>
      </c>
      <c r="BG153">
        <v>602.07000000000005</v>
      </c>
      <c r="BH153">
        <f t="shared" si="218"/>
        <v>602.07000000000005</v>
      </c>
      <c r="BI153">
        <f t="shared" si="219"/>
        <v>0.40594062374798756</v>
      </c>
      <c r="BJ153">
        <f t="shared" si="220"/>
        <v>0.5957933433871142</v>
      </c>
      <c r="BK153">
        <f t="shared" si="221"/>
        <v>0.83734525055142572</v>
      </c>
      <c r="BL153">
        <f t="shared" si="222"/>
        <v>0.62283119390955854</v>
      </c>
      <c r="BM153">
        <f t="shared" si="223"/>
        <v>0.84329982274620341</v>
      </c>
      <c r="BN153">
        <f t="shared" si="224"/>
        <v>0.4668466132413111</v>
      </c>
      <c r="BO153">
        <f t="shared" si="225"/>
        <v>0.53315338675868884</v>
      </c>
      <c r="BP153">
        <v>13842</v>
      </c>
      <c r="BQ153">
        <v>290.00000000000011</v>
      </c>
      <c r="BR153">
        <v>946.14</v>
      </c>
      <c r="BS153">
        <v>285</v>
      </c>
      <c r="BT153">
        <v>8194.08</v>
      </c>
      <c r="BU153">
        <v>947.27</v>
      </c>
      <c r="BV153">
        <v>-1.1299999999999999</v>
      </c>
      <c r="BW153">
        <v>300.00000000000011</v>
      </c>
      <c r="BX153">
        <v>19.3</v>
      </c>
      <c r="BY153">
        <v>1013.48455064968</v>
      </c>
      <c r="BZ153">
        <v>3.3833182279533478</v>
      </c>
      <c r="CA153">
        <v>-54.255582030882053</v>
      </c>
      <c r="CB153">
        <v>2.5459354831840542</v>
      </c>
      <c r="CC153">
        <v>0.94192612464846615</v>
      </c>
      <c r="CD153">
        <v>-4.2432149054505049E-3</v>
      </c>
      <c r="CE153">
        <v>289.99999999999989</v>
      </c>
      <c r="CF153">
        <v>948.72</v>
      </c>
      <c r="CG153">
        <v>655</v>
      </c>
      <c r="CH153">
        <v>8183.51</v>
      </c>
      <c r="CI153">
        <v>947.19</v>
      </c>
      <c r="CJ153">
        <v>1.53</v>
      </c>
      <c r="CX153">
        <f t="shared" si="226"/>
        <v>1799.93</v>
      </c>
      <c r="CY153">
        <f t="shared" si="227"/>
        <v>1513.125900006582</v>
      </c>
      <c r="CZ153">
        <f t="shared" si="228"/>
        <v>0.84065819226668925</v>
      </c>
      <c r="DA153">
        <f t="shared" si="229"/>
        <v>0.1608703110747102</v>
      </c>
      <c r="DB153">
        <v>6</v>
      </c>
      <c r="DC153">
        <v>0.5</v>
      </c>
      <c r="DD153" t="s">
        <v>421</v>
      </c>
      <c r="DE153">
        <v>2</v>
      </c>
      <c r="DF153">
        <v>1689026659.5999999</v>
      </c>
      <c r="DG153">
        <v>257.85500000000002</v>
      </c>
      <c r="DH153">
        <v>300.14800000000002</v>
      </c>
      <c r="DI153">
        <v>27.988499999999998</v>
      </c>
      <c r="DJ153">
        <v>22.8247</v>
      </c>
      <c r="DK153">
        <v>258.00200000000001</v>
      </c>
      <c r="DL153">
        <v>27.849599999999999</v>
      </c>
      <c r="DM153">
        <v>500.19</v>
      </c>
      <c r="DN153">
        <v>99.049899999999994</v>
      </c>
      <c r="DO153">
        <v>0.10011399999999999</v>
      </c>
      <c r="DP153">
        <v>29.832100000000001</v>
      </c>
      <c r="DQ153">
        <v>30.017700000000001</v>
      </c>
      <c r="DR153">
        <v>999.9</v>
      </c>
      <c r="DS153">
        <v>0</v>
      </c>
      <c r="DT153">
        <v>0</v>
      </c>
      <c r="DU153">
        <v>9988.75</v>
      </c>
      <c r="DV153">
        <v>0</v>
      </c>
      <c r="DW153">
        <v>1035.45</v>
      </c>
      <c r="DX153">
        <v>-42.293100000000003</v>
      </c>
      <c r="DY153">
        <v>265.279</v>
      </c>
      <c r="DZ153">
        <v>307.15899999999999</v>
      </c>
      <c r="EA153">
        <v>5.1637300000000002</v>
      </c>
      <c r="EB153">
        <v>300.14800000000002</v>
      </c>
      <c r="EC153">
        <v>22.8247</v>
      </c>
      <c r="ED153">
        <v>2.7722500000000001</v>
      </c>
      <c r="EE153">
        <v>2.2607900000000001</v>
      </c>
      <c r="EF153">
        <v>22.719799999999999</v>
      </c>
      <c r="EG153">
        <v>19.399699999999999</v>
      </c>
      <c r="EH153">
        <v>1799.93</v>
      </c>
      <c r="EI153">
        <v>0.97800100000000001</v>
      </c>
      <c r="EJ153">
        <v>2.1999500000000002E-2</v>
      </c>
      <c r="EK153">
        <v>0</v>
      </c>
      <c r="EL153">
        <v>767.24</v>
      </c>
      <c r="EM153">
        <v>4.9999900000000004</v>
      </c>
      <c r="EN153">
        <v>21603.9</v>
      </c>
      <c r="EO153">
        <v>15863.2</v>
      </c>
      <c r="EP153">
        <v>48.625</v>
      </c>
      <c r="EQ153">
        <v>49.561999999999998</v>
      </c>
      <c r="ER153">
        <v>49.186999999999998</v>
      </c>
      <c r="ES153">
        <v>49.311999999999998</v>
      </c>
      <c r="ET153">
        <v>50.311999999999998</v>
      </c>
      <c r="EU153">
        <v>1755.44</v>
      </c>
      <c r="EV153">
        <v>39.49</v>
      </c>
      <c r="EW153">
        <v>0</v>
      </c>
      <c r="EX153">
        <v>106.4000000953674</v>
      </c>
      <c r="EY153">
        <v>0</v>
      </c>
      <c r="EZ153">
        <v>768.36649999999997</v>
      </c>
      <c r="FA153">
        <v>-9.2145299123896329</v>
      </c>
      <c r="FB153">
        <v>-267.37094004535709</v>
      </c>
      <c r="FC153">
        <v>21637.153846153851</v>
      </c>
      <c r="FD153">
        <v>15</v>
      </c>
      <c r="FE153">
        <v>1689026626.0999999</v>
      </c>
      <c r="FF153" t="s">
        <v>1114</v>
      </c>
      <c r="FG153">
        <v>1689026625.0999999</v>
      </c>
      <c r="FH153">
        <v>1689026626.0999999</v>
      </c>
      <c r="FI153">
        <v>154</v>
      </c>
      <c r="FJ153">
        <v>-2.8000000000000001E-2</v>
      </c>
      <c r="FK153">
        <v>-1.6E-2</v>
      </c>
      <c r="FL153">
        <v>-0.14499999999999999</v>
      </c>
      <c r="FM153">
        <v>0.13900000000000001</v>
      </c>
      <c r="FN153">
        <v>300</v>
      </c>
      <c r="FO153">
        <v>22</v>
      </c>
      <c r="FP153">
        <v>0.04</v>
      </c>
      <c r="FQ153">
        <v>0.02</v>
      </c>
      <c r="FR153">
        <v>34.046282687457143</v>
      </c>
      <c r="FS153">
        <v>0.10931364151874839</v>
      </c>
      <c r="FT153">
        <v>3.803899731186227E-2</v>
      </c>
      <c r="FU153">
        <v>1</v>
      </c>
      <c r="FV153">
        <v>0.29239835508358658</v>
      </c>
      <c r="FW153">
        <v>4.4987134439410832E-2</v>
      </c>
      <c r="FX153">
        <v>3.3591930528941482E-3</v>
      </c>
      <c r="FY153">
        <v>1</v>
      </c>
      <c r="FZ153">
        <v>2</v>
      </c>
      <c r="GA153">
        <v>2</v>
      </c>
      <c r="GB153" t="s">
        <v>423</v>
      </c>
      <c r="GC153">
        <v>2.9577900000000001</v>
      </c>
      <c r="GD153">
        <v>2.7432500000000002</v>
      </c>
      <c r="GE153">
        <v>6.2322599999999999E-2</v>
      </c>
      <c r="GF153">
        <v>7.0554000000000006E-2</v>
      </c>
      <c r="GG153">
        <v>0.12831600000000001</v>
      </c>
      <c r="GH153">
        <v>0.110751</v>
      </c>
      <c r="GI153">
        <v>22013.8</v>
      </c>
      <c r="GJ153">
        <v>20335.900000000001</v>
      </c>
      <c r="GK153">
        <v>23411</v>
      </c>
      <c r="GL153">
        <v>21929.9</v>
      </c>
      <c r="GM153">
        <v>28787.1</v>
      </c>
      <c r="GN153">
        <v>27217.3</v>
      </c>
      <c r="GO153">
        <v>36946.800000000003</v>
      </c>
      <c r="GP153">
        <v>34131.800000000003</v>
      </c>
      <c r="GQ153">
        <v>1.9390499999999999</v>
      </c>
      <c r="GR153">
        <v>1.8220799999999999</v>
      </c>
      <c r="GS153">
        <v>6.5825900000000001E-3</v>
      </c>
      <c r="GT153">
        <v>0</v>
      </c>
      <c r="GU153">
        <v>29.910599999999999</v>
      </c>
      <c r="GV153">
        <v>999.9</v>
      </c>
      <c r="GW153">
        <v>28.9</v>
      </c>
      <c r="GX153">
        <v>44.3</v>
      </c>
      <c r="GY153">
        <v>27.121300000000002</v>
      </c>
      <c r="GZ153">
        <v>60.1038</v>
      </c>
      <c r="HA153">
        <v>37.696300000000001</v>
      </c>
      <c r="HB153">
        <v>1</v>
      </c>
      <c r="HC153">
        <v>0.55321399999999998</v>
      </c>
      <c r="HD153">
        <v>4.12371</v>
      </c>
      <c r="HE153">
        <v>20.105399999999999</v>
      </c>
      <c r="HF153">
        <v>5.25847</v>
      </c>
      <c r="HG153">
        <v>11.963100000000001</v>
      </c>
      <c r="HH153">
        <v>4.9790999999999999</v>
      </c>
      <c r="HI153">
        <v>3.2972299999999999</v>
      </c>
      <c r="HJ153">
        <v>9999</v>
      </c>
      <c r="HK153">
        <v>9999</v>
      </c>
      <c r="HL153">
        <v>9999</v>
      </c>
      <c r="HM153">
        <v>999.9</v>
      </c>
      <c r="HN153">
        <v>1.86389</v>
      </c>
      <c r="HO153">
        <v>1.85989</v>
      </c>
      <c r="HP153">
        <v>1.86653</v>
      </c>
      <c r="HQ153">
        <v>1.8631899999999999</v>
      </c>
      <c r="HR153">
        <v>1.8618600000000001</v>
      </c>
      <c r="HS153">
        <v>1.86188</v>
      </c>
      <c r="HT153">
        <v>1.86311</v>
      </c>
      <c r="HU153">
        <v>1.86443</v>
      </c>
      <c r="HV153">
        <v>0</v>
      </c>
      <c r="HW153">
        <v>0</v>
      </c>
      <c r="HX153">
        <v>0</v>
      </c>
      <c r="HY153">
        <v>0</v>
      </c>
      <c r="HZ153" t="s">
        <v>424</v>
      </c>
      <c r="IA153" t="s">
        <v>425</v>
      </c>
      <c r="IB153" t="s">
        <v>426</v>
      </c>
      <c r="IC153" t="s">
        <v>426</v>
      </c>
      <c r="ID153" t="s">
        <v>426</v>
      </c>
      <c r="IE153" t="s">
        <v>426</v>
      </c>
      <c r="IF153">
        <v>0</v>
      </c>
      <c r="IG153">
        <v>100</v>
      </c>
      <c r="IH153">
        <v>100</v>
      </c>
      <c r="II153">
        <v>-0.14699999999999999</v>
      </c>
      <c r="IJ153">
        <v>0.1389</v>
      </c>
      <c r="IK153">
        <v>-0.14052564850054869</v>
      </c>
      <c r="IL153">
        <v>-8.3322953065825546E-5</v>
      </c>
      <c r="IM153">
        <v>2.3872336679552741E-7</v>
      </c>
      <c r="IN153">
        <v>-5.428329794194132E-11</v>
      </c>
      <c r="IO153">
        <v>0.1388300000000022</v>
      </c>
      <c r="IP153">
        <v>0</v>
      </c>
      <c r="IQ153">
        <v>0</v>
      </c>
      <c r="IR153">
        <v>0</v>
      </c>
      <c r="IS153">
        <v>2</v>
      </c>
      <c r="IT153">
        <v>2035</v>
      </c>
      <c r="IU153">
        <v>1</v>
      </c>
      <c r="IV153">
        <v>21</v>
      </c>
      <c r="IW153">
        <v>0.6</v>
      </c>
      <c r="IX153">
        <v>0.6</v>
      </c>
      <c r="IY153">
        <v>0.853271</v>
      </c>
      <c r="IZ153">
        <v>2.67822</v>
      </c>
      <c r="JA153">
        <v>1.4514199999999999</v>
      </c>
      <c r="JB153">
        <v>2.2717299999999998</v>
      </c>
      <c r="JC153">
        <v>1.5942400000000001</v>
      </c>
      <c r="JD153">
        <v>2.4133300000000002</v>
      </c>
      <c r="JE153">
        <v>46.5321</v>
      </c>
      <c r="JF153">
        <v>15.891999999999999</v>
      </c>
      <c r="JG153">
        <v>18</v>
      </c>
      <c r="JH153">
        <v>478.97500000000002</v>
      </c>
      <c r="JI153">
        <v>438.17</v>
      </c>
      <c r="JJ153">
        <v>25.919899999999998</v>
      </c>
      <c r="JK153">
        <v>34.105200000000004</v>
      </c>
      <c r="JL153">
        <v>30</v>
      </c>
      <c r="JM153">
        <v>34.105699999999999</v>
      </c>
      <c r="JN153">
        <v>34.111199999999997</v>
      </c>
      <c r="JO153">
        <v>17.043800000000001</v>
      </c>
      <c r="JP153">
        <v>13.4191</v>
      </c>
      <c r="JQ153">
        <v>12.6187</v>
      </c>
      <c r="JR153">
        <v>25.915700000000001</v>
      </c>
      <c r="JS153">
        <v>300</v>
      </c>
      <c r="JT153">
        <v>22.610299999999999</v>
      </c>
      <c r="JU153">
        <v>99.019900000000007</v>
      </c>
      <c r="JV153">
        <v>98.444400000000002</v>
      </c>
    </row>
    <row r="154" spans="1:282" x14ac:dyDescent="0.25">
      <c r="A154">
        <v>138</v>
      </c>
      <c r="B154">
        <v>1689026787.5999999</v>
      </c>
      <c r="C154">
        <v>27447</v>
      </c>
      <c r="D154" t="s">
        <v>1115</v>
      </c>
      <c r="E154" t="s">
        <v>1116</v>
      </c>
      <c r="F154" t="s">
        <v>414</v>
      </c>
      <c r="G154" t="s">
        <v>415</v>
      </c>
      <c r="H154" t="s">
        <v>31</v>
      </c>
      <c r="I154" t="s">
        <v>417</v>
      </c>
      <c r="J154" t="s">
        <v>500</v>
      </c>
      <c r="K154">
        <v>1689026787.5999999</v>
      </c>
      <c r="L154">
        <f t="shared" si="184"/>
        <v>4.8017942389455637E-3</v>
      </c>
      <c r="M154">
        <f t="shared" si="185"/>
        <v>4.8017942389455639</v>
      </c>
      <c r="N154">
        <f t="shared" si="186"/>
        <v>24.077407652152861</v>
      </c>
      <c r="O154">
        <f t="shared" si="187"/>
        <v>170.33099999999999</v>
      </c>
      <c r="P154">
        <f t="shared" si="188"/>
        <v>42.633434897134244</v>
      </c>
      <c r="Q154">
        <f t="shared" si="189"/>
        <v>4.2272020440618769</v>
      </c>
      <c r="R154">
        <f t="shared" si="190"/>
        <v>16.888706084892597</v>
      </c>
      <c r="S154">
        <f t="shared" si="191"/>
        <v>0.32434530249479782</v>
      </c>
      <c r="T154">
        <f t="shared" si="192"/>
        <v>2.9117903324864027</v>
      </c>
      <c r="U154">
        <f t="shared" si="193"/>
        <v>0.30552738047476136</v>
      </c>
      <c r="V154">
        <f t="shared" si="194"/>
        <v>0.19255428504560992</v>
      </c>
      <c r="W154">
        <f t="shared" si="195"/>
        <v>289.56589201269935</v>
      </c>
      <c r="X154">
        <f t="shared" si="196"/>
        <v>30.170976328817126</v>
      </c>
      <c r="Y154">
        <f t="shared" si="197"/>
        <v>29.996400000000001</v>
      </c>
      <c r="Z154">
        <f t="shared" si="198"/>
        <v>4.2595688715232196</v>
      </c>
      <c r="AA154">
        <f t="shared" si="199"/>
        <v>65.783377593849508</v>
      </c>
      <c r="AB154">
        <f t="shared" si="200"/>
        <v>2.7563836577426994</v>
      </c>
      <c r="AC154">
        <f t="shared" si="201"/>
        <v>4.1900914160424785</v>
      </c>
      <c r="AD154">
        <f t="shared" si="202"/>
        <v>1.5031852137805202</v>
      </c>
      <c r="AE154">
        <f t="shared" si="203"/>
        <v>-211.75912593749936</v>
      </c>
      <c r="AF154">
        <f t="shared" si="204"/>
        <v>-44.896405955832208</v>
      </c>
      <c r="AG154">
        <f t="shared" si="205"/>
        <v>-3.4234196733746929</v>
      </c>
      <c r="AH154">
        <f t="shared" si="206"/>
        <v>29.486940445993113</v>
      </c>
      <c r="AI154">
        <v>6</v>
      </c>
      <c r="AJ154">
        <v>1</v>
      </c>
      <c r="AK154">
        <f t="shared" si="207"/>
        <v>1</v>
      </c>
      <c r="AL154">
        <f t="shared" si="208"/>
        <v>0</v>
      </c>
      <c r="AM154">
        <f t="shared" si="209"/>
        <v>51876.339012044897</v>
      </c>
      <c r="AN154" t="s">
        <v>418</v>
      </c>
      <c r="AO154">
        <v>8197.4</v>
      </c>
      <c r="AP154">
        <v>619.92999999999995</v>
      </c>
      <c r="AQ154">
        <v>3131.443117258741</v>
      </c>
      <c r="AR154">
        <f t="shared" si="210"/>
        <v>0.80203057287443702</v>
      </c>
      <c r="AS154">
        <v>-1.0448500102641549</v>
      </c>
      <c r="AT154" t="s">
        <v>1117</v>
      </c>
      <c r="AU154">
        <v>8195.1</v>
      </c>
      <c r="AV154">
        <v>770.30111538461529</v>
      </c>
      <c r="AW154">
        <v>944.62007932989434</v>
      </c>
      <c r="AX154">
        <f t="shared" si="211"/>
        <v>0.18453870265910444</v>
      </c>
      <c r="AY154">
        <v>0.5</v>
      </c>
      <c r="AZ154">
        <f t="shared" si="212"/>
        <v>1513.1844000065801</v>
      </c>
      <c r="BA154">
        <f t="shared" si="213"/>
        <v>24.077407652152861</v>
      </c>
      <c r="BB154">
        <f t="shared" si="214"/>
        <v>139.62054303060481</v>
      </c>
      <c r="BC154">
        <f t="shared" si="215"/>
        <v>1.6602244684988672E-2</v>
      </c>
      <c r="BD154">
        <f t="shared" si="216"/>
        <v>2.3150291696955678</v>
      </c>
      <c r="BE154">
        <f t="shared" si="217"/>
        <v>425.10311672532475</v>
      </c>
      <c r="BF154" t="s">
        <v>1118</v>
      </c>
      <c r="BG154">
        <v>604.44000000000005</v>
      </c>
      <c r="BH154">
        <f t="shared" si="218"/>
        <v>604.44000000000005</v>
      </c>
      <c r="BI154">
        <f t="shared" si="219"/>
        <v>0.36012370134161786</v>
      </c>
      <c r="BJ154">
        <f t="shared" si="220"/>
        <v>0.51243142834425304</v>
      </c>
      <c r="BK154">
        <f t="shared" si="221"/>
        <v>0.86538201041124274</v>
      </c>
      <c r="BL154">
        <f t="shared" si="222"/>
        <v>0.53687801088670162</v>
      </c>
      <c r="BM154">
        <f t="shared" si="223"/>
        <v>0.87071933763806642</v>
      </c>
      <c r="BN154">
        <f t="shared" si="224"/>
        <v>0.40209477354027784</v>
      </c>
      <c r="BO154">
        <f t="shared" si="225"/>
        <v>0.59790522645972222</v>
      </c>
      <c r="BP154">
        <v>13844</v>
      </c>
      <c r="BQ154">
        <v>290.00000000000011</v>
      </c>
      <c r="BR154">
        <v>898.24</v>
      </c>
      <c r="BS154">
        <v>255</v>
      </c>
      <c r="BT154">
        <v>8195.1</v>
      </c>
      <c r="BU154">
        <v>900.71</v>
      </c>
      <c r="BV154">
        <v>-2.4700000000000002</v>
      </c>
      <c r="BW154">
        <v>300.00000000000011</v>
      </c>
      <c r="BX154">
        <v>19.3</v>
      </c>
      <c r="BY154">
        <v>944.62007932989434</v>
      </c>
      <c r="BZ154">
        <v>3.9575646081477061</v>
      </c>
      <c r="CA154">
        <v>-35.98214605176765</v>
      </c>
      <c r="CB154">
        <v>2.977656696142196</v>
      </c>
      <c r="CC154">
        <v>0.83910284932801937</v>
      </c>
      <c r="CD154">
        <v>-4.2426318131256963E-3</v>
      </c>
      <c r="CE154">
        <v>289.99999999999989</v>
      </c>
      <c r="CF154">
        <v>901.07</v>
      </c>
      <c r="CG154">
        <v>645</v>
      </c>
      <c r="CH154">
        <v>8182.7</v>
      </c>
      <c r="CI154">
        <v>900.65</v>
      </c>
      <c r="CJ154">
        <v>0.42</v>
      </c>
      <c r="CX154">
        <f t="shared" si="226"/>
        <v>1800</v>
      </c>
      <c r="CY154">
        <f t="shared" si="227"/>
        <v>1513.1844000065801</v>
      </c>
      <c r="CZ154">
        <f t="shared" si="228"/>
        <v>0.84065800000365554</v>
      </c>
      <c r="DA154">
        <f t="shared" si="229"/>
        <v>0.16086994000705521</v>
      </c>
      <c r="DB154">
        <v>6</v>
      </c>
      <c r="DC154">
        <v>0.5</v>
      </c>
      <c r="DD154" t="s">
        <v>421</v>
      </c>
      <c r="DE154">
        <v>2</v>
      </c>
      <c r="DF154">
        <v>1689026787.5999999</v>
      </c>
      <c r="DG154">
        <v>170.33099999999999</v>
      </c>
      <c r="DH154">
        <v>200.197</v>
      </c>
      <c r="DI154">
        <v>27.799499999999998</v>
      </c>
      <c r="DJ154">
        <v>22.199100000000001</v>
      </c>
      <c r="DK154">
        <v>170.47200000000001</v>
      </c>
      <c r="DL154">
        <v>27.669799999999999</v>
      </c>
      <c r="DM154">
        <v>500.14</v>
      </c>
      <c r="DN154">
        <v>99.052999999999997</v>
      </c>
      <c r="DO154">
        <v>9.9274600000000005E-2</v>
      </c>
      <c r="DP154">
        <v>29.7104</v>
      </c>
      <c r="DQ154">
        <v>29.996400000000001</v>
      </c>
      <c r="DR154">
        <v>999.9</v>
      </c>
      <c r="DS154">
        <v>0</v>
      </c>
      <c r="DT154">
        <v>0</v>
      </c>
      <c r="DU154">
        <v>9993.75</v>
      </c>
      <c r="DV154">
        <v>0</v>
      </c>
      <c r="DW154">
        <v>1007.39</v>
      </c>
      <c r="DX154">
        <v>-29.866199999999999</v>
      </c>
      <c r="DY154">
        <v>175.202</v>
      </c>
      <c r="DZ154">
        <v>204.74199999999999</v>
      </c>
      <c r="EA154">
        <v>5.6004500000000004</v>
      </c>
      <c r="EB154">
        <v>200.197</v>
      </c>
      <c r="EC154">
        <v>22.199100000000001</v>
      </c>
      <c r="ED154">
        <v>2.7536200000000002</v>
      </c>
      <c r="EE154">
        <v>2.1988799999999999</v>
      </c>
      <c r="EF154">
        <v>22.608699999999999</v>
      </c>
      <c r="EG154">
        <v>18.9542</v>
      </c>
      <c r="EH154">
        <v>1800</v>
      </c>
      <c r="EI154">
        <v>0.97800399999999998</v>
      </c>
      <c r="EJ154">
        <v>2.19963E-2</v>
      </c>
      <c r="EK154">
        <v>0</v>
      </c>
      <c r="EL154">
        <v>770.29700000000003</v>
      </c>
      <c r="EM154">
        <v>4.9999900000000004</v>
      </c>
      <c r="EN154">
        <v>21617.8</v>
      </c>
      <c r="EO154">
        <v>15863.8</v>
      </c>
      <c r="EP154">
        <v>48.75</v>
      </c>
      <c r="EQ154">
        <v>49.686999999999998</v>
      </c>
      <c r="ER154">
        <v>49.25</v>
      </c>
      <c r="ES154">
        <v>49.5</v>
      </c>
      <c r="ET154">
        <v>50.436999999999998</v>
      </c>
      <c r="EU154">
        <v>1755.52</v>
      </c>
      <c r="EV154">
        <v>39.479999999999997</v>
      </c>
      <c r="EW154">
        <v>0</v>
      </c>
      <c r="EX154">
        <v>126</v>
      </c>
      <c r="EY154">
        <v>0</v>
      </c>
      <c r="EZ154">
        <v>770.30111538461529</v>
      </c>
      <c r="FA154">
        <v>-3.7539486915044908</v>
      </c>
      <c r="FB154">
        <v>-103.7435898593905</v>
      </c>
      <c r="FC154">
        <v>21630.734615384619</v>
      </c>
      <c r="FD154">
        <v>15</v>
      </c>
      <c r="FE154">
        <v>1689026752.0999999</v>
      </c>
      <c r="FF154" t="s">
        <v>1119</v>
      </c>
      <c r="FG154">
        <v>1689026744.5999999</v>
      </c>
      <c r="FH154">
        <v>1689026752.0999999</v>
      </c>
      <c r="FI154">
        <v>155</v>
      </c>
      <c r="FJ154">
        <v>7.0000000000000001E-3</v>
      </c>
      <c r="FK154">
        <v>-8.9999999999999993E-3</v>
      </c>
      <c r="FL154">
        <v>-0.14099999999999999</v>
      </c>
      <c r="FM154">
        <v>0.13</v>
      </c>
      <c r="FN154">
        <v>200</v>
      </c>
      <c r="FO154">
        <v>22</v>
      </c>
      <c r="FP154">
        <v>0.05</v>
      </c>
      <c r="FQ154">
        <v>0.02</v>
      </c>
      <c r="FR154">
        <v>24.0241018655605</v>
      </c>
      <c r="FS154">
        <v>0.24571520263181049</v>
      </c>
      <c r="FT154">
        <v>2.8254812222250882E-2</v>
      </c>
      <c r="FU154">
        <v>1</v>
      </c>
      <c r="FV154">
        <v>0.31884725059008029</v>
      </c>
      <c r="FW154">
        <v>4.6147447211728088E-2</v>
      </c>
      <c r="FX154">
        <v>3.3769334264252132E-3</v>
      </c>
      <c r="FY154">
        <v>1</v>
      </c>
      <c r="FZ154">
        <v>2</v>
      </c>
      <c r="GA154">
        <v>2</v>
      </c>
      <c r="GB154" t="s">
        <v>423</v>
      </c>
      <c r="GC154">
        <v>2.95764</v>
      </c>
      <c r="GD154">
        <v>2.7424499999999998</v>
      </c>
      <c r="GE154">
        <v>4.3519299999999997E-2</v>
      </c>
      <c r="GF154">
        <v>5.0120900000000003E-2</v>
      </c>
      <c r="GG154">
        <v>0.12774199999999999</v>
      </c>
      <c r="GH154">
        <v>0.10863200000000001</v>
      </c>
      <c r="GI154">
        <v>22453.8</v>
      </c>
      <c r="GJ154">
        <v>20781.2</v>
      </c>
      <c r="GK154">
        <v>23410.1</v>
      </c>
      <c r="GL154">
        <v>21928.5</v>
      </c>
      <c r="GM154">
        <v>28804.1</v>
      </c>
      <c r="GN154">
        <v>27280.1</v>
      </c>
      <c r="GO154">
        <v>36945.4</v>
      </c>
      <c r="GP154">
        <v>34129.9</v>
      </c>
      <c r="GQ154">
        <v>1.93953</v>
      </c>
      <c r="GR154">
        <v>1.821</v>
      </c>
      <c r="GS154">
        <v>1.9446000000000001E-3</v>
      </c>
      <c r="GT154">
        <v>0</v>
      </c>
      <c r="GU154">
        <v>29.9648</v>
      </c>
      <c r="GV154">
        <v>999.9</v>
      </c>
      <c r="GW154">
        <v>28.8</v>
      </c>
      <c r="GX154">
        <v>44.3</v>
      </c>
      <c r="GY154">
        <v>27.027999999999999</v>
      </c>
      <c r="GZ154">
        <v>60.533799999999999</v>
      </c>
      <c r="HA154">
        <v>37.876600000000003</v>
      </c>
      <c r="HB154">
        <v>1</v>
      </c>
      <c r="HC154">
        <v>0.55388000000000004</v>
      </c>
      <c r="HD154">
        <v>3.7339500000000001</v>
      </c>
      <c r="HE154">
        <v>20.118600000000001</v>
      </c>
      <c r="HF154">
        <v>5.2610200000000003</v>
      </c>
      <c r="HG154">
        <v>11.9625</v>
      </c>
      <c r="HH154">
        <v>4.9793000000000003</v>
      </c>
      <c r="HI154">
        <v>3.29725</v>
      </c>
      <c r="HJ154">
        <v>9999</v>
      </c>
      <c r="HK154">
        <v>9999</v>
      </c>
      <c r="HL154">
        <v>9999</v>
      </c>
      <c r="HM154">
        <v>999.9</v>
      </c>
      <c r="HN154">
        <v>1.86389</v>
      </c>
      <c r="HO154">
        <v>1.85989</v>
      </c>
      <c r="HP154">
        <v>1.86652</v>
      </c>
      <c r="HQ154">
        <v>1.8631500000000001</v>
      </c>
      <c r="HR154">
        <v>1.8618600000000001</v>
      </c>
      <c r="HS154">
        <v>1.86188</v>
      </c>
      <c r="HT154">
        <v>1.8631</v>
      </c>
      <c r="HU154">
        <v>1.86442</v>
      </c>
      <c r="HV154">
        <v>0</v>
      </c>
      <c r="HW154">
        <v>0</v>
      </c>
      <c r="HX154">
        <v>0</v>
      </c>
      <c r="HY154">
        <v>0</v>
      </c>
      <c r="HZ154" t="s">
        <v>424</v>
      </c>
      <c r="IA154" t="s">
        <v>425</v>
      </c>
      <c r="IB154" t="s">
        <v>426</v>
      </c>
      <c r="IC154" t="s">
        <v>426</v>
      </c>
      <c r="ID154" t="s">
        <v>426</v>
      </c>
      <c r="IE154" t="s">
        <v>426</v>
      </c>
      <c r="IF154">
        <v>0</v>
      </c>
      <c r="IG154">
        <v>100</v>
      </c>
      <c r="IH154">
        <v>100</v>
      </c>
      <c r="II154">
        <v>-0.14099999999999999</v>
      </c>
      <c r="IJ154">
        <v>0.12970000000000001</v>
      </c>
      <c r="IK154">
        <v>-0.13309971929784159</v>
      </c>
      <c r="IL154">
        <v>-8.3322953065825546E-5</v>
      </c>
      <c r="IM154">
        <v>2.3872336679552741E-7</v>
      </c>
      <c r="IN154">
        <v>-5.428329794194132E-11</v>
      </c>
      <c r="IO154">
        <v>0.12969523809523409</v>
      </c>
      <c r="IP154">
        <v>0</v>
      </c>
      <c r="IQ154">
        <v>0</v>
      </c>
      <c r="IR154">
        <v>0</v>
      </c>
      <c r="IS154">
        <v>2</v>
      </c>
      <c r="IT154">
        <v>2035</v>
      </c>
      <c r="IU154">
        <v>1</v>
      </c>
      <c r="IV154">
        <v>21</v>
      </c>
      <c r="IW154">
        <v>0.7</v>
      </c>
      <c r="IX154">
        <v>0.6</v>
      </c>
      <c r="IY154">
        <v>0.62377899999999997</v>
      </c>
      <c r="IZ154">
        <v>2.6989700000000001</v>
      </c>
      <c r="JA154">
        <v>1.4526399999999999</v>
      </c>
      <c r="JB154">
        <v>2.2717299999999998</v>
      </c>
      <c r="JC154">
        <v>1.5942400000000001</v>
      </c>
      <c r="JD154">
        <v>2.3156699999999999</v>
      </c>
      <c r="JE154">
        <v>46.620199999999997</v>
      </c>
      <c r="JF154">
        <v>15.874499999999999</v>
      </c>
      <c r="JG154">
        <v>18</v>
      </c>
      <c r="JH154">
        <v>479.38799999999998</v>
      </c>
      <c r="JI154">
        <v>437.50099999999998</v>
      </c>
      <c r="JJ154">
        <v>25.971299999999999</v>
      </c>
      <c r="JK154">
        <v>34.144500000000001</v>
      </c>
      <c r="JL154">
        <v>30.0001</v>
      </c>
      <c r="JM154">
        <v>34.120199999999997</v>
      </c>
      <c r="JN154">
        <v>34.120699999999999</v>
      </c>
      <c r="JO154">
        <v>12.4381</v>
      </c>
      <c r="JP154">
        <v>16.963100000000001</v>
      </c>
      <c r="JQ154">
        <v>12.422700000000001</v>
      </c>
      <c r="JR154">
        <v>26.116299999999999</v>
      </c>
      <c r="JS154">
        <v>200</v>
      </c>
      <c r="JT154">
        <v>22.0243</v>
      </c>
      <c r="JU154">
        <v>99.016199999999998</v>
      </c>
      <c r="JV154">
        <v>98.438699999999997</v>
      </c>
    </row>
    <row r="155" spans="1:282" x14ac:dyDescent="0.25">
      <c r="A155">
        <v>139</v>
      </c>
      <c r="B155">
        <v>1689026907.5999999</v>
      </c>
      <c r="C155">
        <v>27567</v>
      </c>
      <c r="D155" t="s">
        <v>1120</v>
      </c>
      <c r="E155" t="s">
        <v>1121</v>
      </c>
      <c r="F155" t="s">
        <v>414</v>
      </c>
      <c r="G155" t="s">
        <v>415</v>
      </c>
      <c r="H155" t="s">
        <v>31</v>
      </c>
      <c r="I155" t="s">
        <v>417</v>
      </c>
      <c r="J155" t="s">
        <v>500</v>
      </c>
      <c r="K155">
        <v>1689026907.5999999</v>
      </c>
      <c r="L155">
        <f t="shared" si="184"/>
        <v>5.1332403616440349E-3</v>
      </c>
      <c r="M155">
        <f t="shared" si="185"/>
        <v>5.1332403616440345</v>
      </c>
      <c r="N155">
        <f t="shared" si="186"/>
        <v>15.2442836830253</v>
      </c>
      <c r="O155">
        <f t="shared" si="187"/>
        <v>101.282</v>
      </c>
      <c r="P155">
        <f t="shared" si="188"/>
        <v>25.806480249445723</v>
      </c>
      <c r="Q155">
        <f t="shared" si="189"/>
        <v>2.5588263387943315</v>
      </c>
      <c r="R155">
        <f t="shared" si="190"/>
        <v>10.042557014389198</v>
      </c>
      <c r="S155">
        <f t="shared" si="191"/>
        <v>0.34877307696346876</v>
      </c>
      <c r="T155">
        <f t="shared" si="192"/>
        <v>2.9164071496729238</v>
      </c>
      <c r="U155">
        <f t="shared" si="193"/>
        <v>0.32714746163304059</v>
      </c>
      <c r="V155">
        <f t="shared" si="194"/>
        <v>0.20629830165653387</v>
      </c>
      <c r="W155">
        <f t="shared" si="195"/>
        <v>289.54833601270019</v>
      </c>
      <c r="X155">
        <f t="shared" si="196"/>
        <v>30.030012476472898</v>
      </c>
      <c r="Y155">
        <f t="shared" si="197"/>
        <v>29.9602</v>
      </c>
      <c r="Z155">
        <f t="shared" si="198"/>
        <v>4.2507197429482471</v>
      </c>
      <c r="AA155">
        <f t="shared" si="199"/>
        <v>65.830310333091816</v>
      </c>
      <c r="AB155">
        <f t="shared" si="200"/>
        <v>2.7498195228466198</v>
      </c>
      <c r="AC155">
        <f t="shared" si="201"/>
        <v>4.1771328570880684</v>
      </c>
      <c r="AD155">
        <f t="shared" si="202"/>
        <v>1.5009002201016273</v>
      </c>
      <c r="AE155">
        <f t="shared" si="203"/>
        <v>-226.37589994850194</v>
      </c>
      <c r="AF155">
        <f t="shared" si="204"/>
        <v>-47.734828308061317</v>
      </c>
      <c r="AG155">
        <f t="shared" si="205"/>
        <v>-3.6324720634597276</v>
      </c>
      <c r="AH155">
        <f t="shared" si="206"/>
        <v>11.805135692677219</v>
      </c>
      <c r="AI155">
        <v>6</v>
      </c>
      <c r="AJ155">
        <v>1</v>
      </c>
      <c r="AK155">
        <f t="shared" si="207"/>
        <v>1</v>
      </c>
      <c r="AL155">
        <f t="shared" si="208"/>
        <v>0</v>
      </c>
      <c r="AM155">
        <f t="shared" si="209"/>
        <v>52017.085613648575</v>
      </c>
      <c r="AN155" t="s">
        <v>418</v>
      </c>
      <c r="AO155">
        <v>8197.4</v>
      </c>
      <c r="AP155">
        <v>619.92999999999995</v>
      </c>
      <c r="AQ155">
        <v>3131.443117258741</v>
      </c>
      <c r="AR155">
        <f t="shared" si="210"/>
        <v>0.80203057287443702</v>
      </c>
      <c r="AS155">
        <v>-1.0448500102641549</v>
      </c>
      <c r="AT155" t="s">
        <v>1122</v>
      </c>
      <c r="AU155">
        <v>8192.68</v>
      </c>
      <c r="AV155">
        <v>781.78150000000016</v>
      </c>
      <c r="AW155">
        <v>907.82973311129172</v>
      </c>
      <c r="AX155">
        <f t="shared" si="211"/>
        <v>0.13884567613720045</v>
      </c>
      <c r="AY155">
        <v>0.5</v>
      </c>
      <c r="AZ155">
        <f t="shared" si="212"/>
        <v>1513.0920000065805</v>
      </c>
      <c r="BA155">
        <f t="shared" si="213"/>
        <v>15.2442836830253</v>
      </c>
      <c r="BB155">
        <f t="shared" si="214"/>
        <v>105.04314089935129</v>
      </c>
      <c r="BC155">
        <f t="shared" si="215"/>
        <v>1.0765461514051103E-2</v>
      </c>
      <c r="BD155">
        <f t="shared" si="216"/>
        <v>2.4493727216079786</v>
      </c>
      <c r="BE155">
        <f t="shared" si="217"/>
        <v>417.48913610375121</v>
      </c>
      <c r="BF155" t="s">
        <v>1123</v>
      </c>
      <c r="BG155">
        <v>629</v>
      </c>
      <c r="BH155">
        <f t="shared" si="218"/>
        <v>629</v>
      </c>
      <c r="BI155">
        <f t="shared" si="219"/>
        <v>0.30713879810445655</v>
      </c>
      <c r="BJ155">
        <f t="shared" si="220"/>
        <v>0.45206166395812902</v>
      </c>
      <c r="BK155">
        <f t="shared" si="221"/>
        <v>0.88857699454254491</v>
      </c>
      <c r="BL155">
        <f t="shared" si="222"/>
        <v>0.43781990260673775</v>
      </c>
      <c r="BM155">
        <f t="shared" si="223"/>
        <v>0.88536801534784426</v>
      </c>
      <c r="BN155">
        <f t="shared" si="224"/>
        <v>0.36371644331525249</v>
      </c>
      <c r="BO155">
        <f t="shared" si="225"/>
        <v>0.63628355668474756</v>
      </c>
      <c r="BP155">
        <v>13846</v>
      </c>
      <c r="BQ155">
        <v>290.00000000000011</v>
      </c>
      <c r="BR155">
        <v>869.59</v>
      </c>
      <c r="BS155">
        <v>275</v>
      </c>
      <c r="BT155">
        <v>8192.68</v>
      </c>
      <c r="BU155">
        <v>870.82</v>
      </c>
      <c r="BV155">
        <v>-1.23</v>
      </c>
      <c r="BW155">
        <v>300.00000000000011</v>
      </c>
      <c r="BX155">
        <v>19.3</v>
      </c>
      <c r="BY155">
        <v>907.82973311129172</v>
      </c>
      <c r="BZ155">
        <v>2.5674165295126872</v>
      </c>
      <c r="CA155">
        <v>-30.323746883739901</v>
      </c>
      <c r="CB155">
        <v>1.9314738640240861</v>
      </c>
      <c r="CC155">
        <v>0.89799026785979019</v>
      </c>
      <c r="CD155">
        <v>-4.2421058954393819E-3</v>
      </c>
      <c r="CE155">
        <v>289.99999999999989</v>
      </c>
      <c r="CF155">
        <v>869.2</v>
      </c>
      <c r="CG155">
        <v>615</v>
      </c>
      <c r="CH155">
        <v>8182.68</v>
      </c>
      <c r="CI155">
        <v>870.77</v>
      </c>
      <c r="CJ155">
        <v>-1.57</v>
      </c>
      <c r="CX155">
        <f t="shared" si="226"/>
        <v>1799.89</v>
      </c>
      <c r="CY155">
        <f t="shared" si="227"/>
        <v>1513.0920000065805</v>
      </c>
      <c r="CZ155">
        <f t="shared" si="228"/>
        <v>0.84065804021722457</v>
      </c>
      <c r="DA155">
        <f t="shared" si="229"/>
        <v>0.16087001761924349</v>
      </c>
      <c r="DB155">
        <v>6</v>
      </c>
      <c r="DC155">
        <v>0.5</v>
      </c>
      <c r="DD155" t="s">
        <v>421</v>
      </c>
      <c r="DE155">
        <v>2</v>
      </c>
      <c r="DF155">
        <v>1689026907.5999999</v>
      </c>
      <c r="DG155">
        <v>101.282</v>
      </c>
      <c r="DH155">
        <v>120.196</v>
      </c>
      <c r="DI155">
        <v>27.732700000000001</v>
      </c>
      <c r="DJ155">
        <v>21.744599999999998</v>
      </c>
      <c r="DK155">
        <v>101.386</v>
      </c>
      <c r="DL155">
        <v>27.6114</v>
      </c>
      <c r="DM155">
        <v>500.08</v>
      </c>
      <c r="DN155">
        <v>99.054599999999994</v>
      </c>
      <c r="DO155">
        <v>9.9810599999999999E-2</v>
      </c>
      <c r="DP155">
        <v>29.656600000000001</v>
      </c>
      <c r="DQ155">
        <v>29.9602</v>
      </c>
      <c r="DR155">
        <v>999.9</v>
      </c>
      <c r="DS155">
        <v>0</v>
      </c>
      <c r="DT155">
        <v>0</v>
      </c>
      <c r="DU155">
        <v>10020</v>
      </c>
      <c r="DV155">
        <v>0</v>
      </c>
      <c r="DW155">
        <v>995.37099999999998</v>
      </c>
      <c r="DX155">
        <v>-18.913699999999999</v>
      </c>
      <c r="DY155">
        <v>104.17100000000001</v>
      </c>
      <c r="DZ155">
        <v>122.86799999999999</v>
      </c>
      <c r="EA155">
        <v>5.9881900000000003</v>
      </c>
      <c r="EB155">
        <v>120.196</v>
      </c>
      <c r="EC155">
        <v>21.744599999999998</v>
      </c>
      <c r="ED155">
        <v>2.7470599999999998</v>
      </c>
      <c r="EE155">
        <v>2.1539000000000001</v>
      </c>
      <c r="EF155">
        <v>22.569299999999998</v>
      </c>
      <c r="EG155">
        <v>18.6235</v>
      </c>
      <c r="EH155">
        <v>1799.89</v>
      </c>
      <c r="EI155">
        <v>0.97800399999999998</v>
      </c>
      <c r="EJ155">
        <v>2.19962E-2</v>
      </c>
      <c r="EK155">
        <v>0</v>
      </c>
      <c r="EL155">
        <v>781.66499999999996</v>
      </c>
      <c r="EM155">
        <v>4.9999900000000004</v>
      </c>
      <c r="EN155">
        <v>21832.6</v>
      </c>
      <c r="EO155">
        <v>15862.8</v>
      </c>
      <c r="EP155">
        <v>48.875</v>
      </c>
      <c r="EQ155">
        <v>49.875</v>
      </c>
      <c r="ER155">
        <v>49.375</v>
      </c>
      <c r="ES155">
        <v>49.686999999999998</v>
      </c>
      <c r="ET155">
        <v>50.561999999999998</v>
      </c>
      <c r="EU155">
        <v>1755.41</v>
      </c>
      <c r="EV155">
        <v>39.479999999999997</v>
      </c>
      <c r="EW155">
        <v>0</v>
      </c>
      <c r="EX155">
        <v>117.7999999523163</v>
      </c>
      <c r="EY155">
        <v>0</v>
      </c>
      <c r="EZ155">
        <v>781.78150000000016</v>
      </c>
      <c r="FA155">
        <v>-4.3476581332195927</v>
      </c>
      <c r="FB155">
        <v>-15.43589727257319</v>
      </c>
      <c r="FC155">
        <v>21839.88846153846</v>
      </c>
      <c r="FD155">
        <v>15</v>
      </c>
      <c r="FE155">
        <v>1689026872.0999999</v>
      </c>
      <c r="FF155" t="s">
        <v>1124</v>
      </c>
      <c r="FG155">
        <v>1689026863.0999999</v>
      </c>
      <c r="FH155">
        <v>1689026872.0999999</v>
      </c>
      <c r="FI155">
        <v>156</v>
      </c>
      <c r="FJ155">
        <v>3.5999999999999997E-2</v>
      </c>
      <c r="FK155">
        <v>-8.0000000000000002E-3</v>
      </c>
      <c r="FL155">
        <v>-0.104</v>
      </c>
      <c r="FM155">
        <v>0.121</v>
      </c>
      <c r="FN155">
        <v>120</v>
      </c>
      <c r="FO155">
        <v>22</v>
      </c>
      <c r="FP155">
        <v>7.0000000000000007E-2</v>
      </c>
      <c r="FQ155">
        <v>0.02</v>
      </c>
      <c r="FR155">
        <v>15.200394551003081</v>
      </c>
      <c r="FS155">
        <v>0.1014021220021776</v>
      </c>
      <c r="FT155">
        <v>3.454487115425825E-2</v>
      </c>
      <c r="FU155">
        <v>1</v>
      </c>
      <c r="FV155">
        <v>0.34338819897302841</v>
      </c>
      <c r="FW155">
        <v>4.7234801521526343E-2</v>
      </c>
      <c r="FX155">
        <v>3.5484342815994942E-3</v>
      </c>
      <c r="FY155">
        <v>1</v>
      </c>
      <c r="FZ155">
        <v>2</v>
      </c>
      <c r="GA155">
        <v>2</v>
      </c>
      <c r="GB155" t="s">
        <v>423</v>
      </c>
      <c r="GC155">
        <v>2.9574600000000002</v>
      </c>
      <c r="GD155">
        <v>2.7432099999999999</v>
      </c>
      <c r="GE155">
        <v>2.69743E-2</v>
      </c>
      <c r="GF155">
        <v>3.1604E-2</v>
      </c>
      <c r="GG155">
        <v>0.12754499999999999</v>
      </c>
      <c r="GH155">
        <v>0.107068</v>
      </c>
      <c r="GI155">
        <v>22838.400000000001</v>
      </c>
      <c r="GJ155">
        <v>21182.1</v>
      </c>
      <c r="GK155">
        <v>23407</v>
      </c>
      <c r="GL155">
        <v>21925</v>
      </c>
      <c r="GM155">
        <v>28806.400000000001</v>
      </c>
      <c r="GN155">
        <v>27323.599999999999</v>
      </c>
      <c r="GO155">
        <v>36940.800000000003</v>
      </c>
      <c r="GP155">
        <v>34125.1</v>
      </c>
      <c r="GQ155">
        <v>1.9392</v>
      </c>
      <c r="GR155">
        <v>1.8186500000000001</v>
      </c>
      <c r="GS155">
        <v>-7.3909800000000001E-3</v>
      </c>
      <c r="GT155">
        <v>0</v>
      </c>
      <c r="GU155">
        <v>30.080500000000001</v>
      </c>
      <c r="GV155">
        <v>999.9</v>
      </c>
      <c r="GW155">
        <v>28.8</v>
      </c>
      <c r="GX155">
        <v>44.3</v>
      </c>
      <c r="GY155">
        <v>27.029699999999998</v>
      </c>
      <c r="GZ155">
        <v>60.203800000000001</v>
      </c>
      <c r="HA155">
        <v>38.361400000000003</v>
      </c>
      <c r="HB155">
        <v>1</v>
      </c>
      <c r="HC155">
        <v>0.56177299999999997</v>
      </c>
      <c r="HD155">
        <v>3.2048399999999999</v>
      </c>
      <c r="HE155">
        <v>20.1264</v>
      </c>
      <c r="HF155">
        <v>5.2608699999999997</v>
      </c>
      <c r="HG155">
        <v>11.962</v>
      </c>
      <c r="HH155">
        <v>4.9789500000000002</v>
      </c>
      <c r="HI155">
        <v>3.2972299999999999</v>
      </c>
      <c r="HJ155">
        <v>9999</v>
      </c>
      <c r="HK155">
        <v>9999</v>
      </c>
      <c r="HL155">
        <v>9999</v>
      </c>
      <c r="HM155">
        <v>999.9</v>
      </c>
      <c r="HN155">
        <v>1.86388</v>
      </c>
      <c r="HO155">
        <v>1.85989</v>
      </c>
      <c r="HP155">
        <v>1.8665499999999999</v>
      </c>
      <c r="HQ155">
        <v>1.8631599999999999</v>
      </c>
      <c r="HR155">
        <v>1.86188</v>
      </c>
      <c r="HS155">
        <v>1.86188</v>
      </c>
      <c r="HT155">
        <v>1.8631</v>
      </c>
      <c r="HU155">
        <v>1.8644400000000001</v>
      </c>
      <c r="HV155">
        <v>0</v>
      </c>
      <c r="HW155">
        <v>0</v>
      </c>
      <c r="HX155">
        <v>0</v>
      </c>
      <c r="HY155">
        <v>0</v>
      </c>
      <c r="HZ155" t="s">
        <v>424</v>
      </c>
      <c r="IA155" t="s">
        <v>425</v>
      </c>
      <c r="IB155" t="s">
        <v>426</v>
      </c>
      <c r="IC155" t="s">
        <v>426</v>
      </c>
      <c r="ID155" t="s">
        <v>426</v>
      </c>
      <c r="IE155" t="s">
        <v>426</v>
      </c>
      <c r="IF155">
        <v>0</v>
      </c>
      <c r="IG155">
        <v>100</v>
      </c>
      <c r="IH155">
        <v>100</v>
      </c>
      <c r="II155">
        <v>-0.104</v>
      </c>
      <c r="IJ155">
        <v>0.12130000000000001</v>
      </c>
      <c r="IK155">
        <v>-9.7644022366275451E-2</v>
      </c>
      <c r="IL155">
        <v>-8.3322953065825546E-5</v>
      </c>
      <c r="IM155">
        <v>2.3872336679552741E-7</v>
      </c>
      <c r="IN155">
        <v>-5.428329794194132E-11</v>
      </c>
      <c r="IO155">
        <v>0.121370000000006</v>
      </c>
      <c r="IP155">
        <v>0</v>
      </c>
      <c r="IQ155">
        <v>0</v>
      </c>
      <c r="IR155">
        <v>0</v>
      </c>
      <c r="IS155">
        <v>2</v>
      </c>
      <c r="IT155">
        <v>2035</v>
      </c>
      <c r="IU155">
        <v>1</v>
      </c>
      <c r="IV155">
        <v>21</v>
      </c>
      <c r="IW155">
        <v>0.7</v>
      </c>
      <c r="IX155">
        <v>0.6</v>
      </c>
      <c r="IY155">
        <v>0.43335000000000001</v>
      </c>
      <c r="IZ155">
        <v>2.7075200000000001</v>
      </c>
      <c r="JA155">
        <v>1.4514199999999999</v>
      </c>
      <c r="JB155">
        <v>2.2741699999999998</v>
      </c>
      <c r="JC155">
        <v>1.5942400000000001</v>
      </c>
      <c r="JD155">
        <v>2.4316399999999998</v>
      </c>
      <c r="JE155">
        <v>46.737900000000003</v>
      </c>
      <c r="JF155">
        <v>15.8657</v>
      </c>
      <c r="JG155">
        <v>18</v>
      </c>
      <c r="JH155">
        <v>479.52300000000002</v>
      </c>
      <c r="JI155">
        <v>436.20600000000002</v>
      </c>
      <c r="JJ155">
        <v>25.665700000000001</v>
      </c>
      <c r="JK155">
        <v>34.2072</v>
      </c>
      <c r="JL155">
        <v>29.999099999999999</v>
      </c>
      <c r="JM155">
        <v>34.162999999999997</v>
      </c>
      <c r="JN155">
        <v>34.162999999999997</v>
      </c>
      <c r="JO155">
        <v>8.6327700000000007</v>
      </c>
      <c r="JP155">
        <v>19.3765</v>
      </c>
      <c r="JQ155">
        <v>12.250400000000001</v>
      </c>
      <c r="JR155">
        <v>25.9876</v>
      </c>
      <c r="JS155">
        <v>120</v>
      </c>
      <c r="JT155">
        <v>21.523700000000002</v>
      </c>
      <c r="JU155">
        <v>99.003600000000006</v>
      </c>
      <c r="JV155">
        <v>98.424000000000007</v>
      </c>
    </row>
    <row r="156" spans="1:282" x14ac:dyDescent="0.25">
      <c r="A156">
        <v>140</v>
      </c>
      <c r="B156">
        <v>1689027032.0999999</v>
      </c>
      <c r="C156">
        <v>27691.5</v>
      </c>
      <c r="D156" t="s">
        <v>1125</v>
      </c>
      <c r="E156" t="s">
        <v>1126</v>
      </c>
      <c r="F156" t="s">
        <v>414</v>
      </c>
      <c r="G156" t="s">
        <v>415</v>
      </c>
      <c r="H156" t="s">
        <v>31</v>
      </c>
      <c r="I156" t="s">
        <v>417</v>
      </c>
      <c r="J156" t="s">
        <v>500</v>
      </c>
      <c r="K156">
        <v>1689027032.0999999</v>
      </c>
      <c r="L156">
        <f t="shared" si="184"/>
        <v>5.5389590440766742E-3</v>
      </c>
      <c r="M156">
        <f t="shared" si="185"/>
        <v>5.5389590440766741</v>
      </c>
      <c r="N156">
        <f t="shared" si="186"/>
        <v>9.5840850822052772</v>
      </c>
      <c r="O156">
        <f t="shared" si="187"/>
        <v>58.247300000000003</v>
      </c>
      <c r="P156">
        <f t="shared" si="188"/>
        <v>14.082063087139854</v>
      </c>
      <c r="Q156">
        <f t="shared" si="189"/>
        <v>1.3962788153612411</v>
      </c>
      <c r="R156">
        <f t="shared" si="190"/>
        <v>5.7753945951473007</v>
      </c>
      <c r="S156">
        <f t="shared" si="191"/>
        <v>0.37610388052993904</v>
      </c>
      <c r="T156">
        <f t="shared" si="192"/>
        <v>2.9170424605852592</v>
      </c>
      <c r="U156">
        <f t="shared" si="193"/>
        <v>0.35109162590960707</v>
      </c>
      <c r="V156">
        <f t="shared" si="194"/>
        <v>0.2215407514154677</v>
      </c>
      <c r="W156">
        <f t="shared" si="195"/>
        <v>289.6010040126979</v>
      </c>
      <c r="X156">
        <f t="shared" si="196"/>
        <v>30.007193231687616</v>
      </c>
      <c r="Y156">
        <f t="shared" si="197"/>
        <v>29.976299999999998</v>
      </c>
      <c r="Z156">
        <f t="shared" si="198"/>
        <v>4.2546534248439762</v>
      </c>
      <c r="AA156">
        <f t="shared" si="199"/>
        <v>65.417022197035337</v>
      </c>
      <c r="AB156">
        <f t="shared" si="200"/>
        <v>2.7455961741905002</v>
      </c>
      <c r="AC156">
        <f t="shared" si="201"/>
        <v>4.1970668825627611</v>
      </c>
      <c r="AD156">
        <f t="shared" si="202"/>
        <v>1.5090572506534761</v>
      </c>
      <c r="AE156">
        <f t="shared" si="203"/>
        <v>-244.26809384378134</v>
      </c>
      <c r="AF156">
        <f t="shared" si="204"/>
        <v>-37.271471573011922</v>
      </c>
      <c r="AG156">
        <f t="shared" si="205"/>
        <v>-2.8370131800495209</v>
      </c>
      <c r="AH156">
        <f t="shared" si="206"/>
        <v>5.2244254158551371</v>
      </c>
      <c r="AI156">
        <v>5</v>
      </c>
      <c r="AJ156">
        <v>1</v>
      </c>
      <c r="AK156">
        <f t="shared" si="207"/>
        <v>1</v>
      </c>
      <c r="AL156">
        <f t="shared" si="208"/>
        <v>0</v>
      </c>
      <c r="AM156">
        <f t="shared" si="209"/>
        <v>52020.94073087952</v>
      </c>
      <c r="AN156" t="s">
        <v>418</v>
      </c>
      <c r="AO156">
        <v>8197.4</v>
      </c>
      <c r="AP156">
        <v>619.92999999999995</v>
      </c>
      <c r="AQ156">
        <v>3131.443117258741</v>
      </c>
      <c r="AR156">
        <f t="shared" si="210"/>
        <v>0.80203057287443702</v>
      </c>
      <c r="AS156">
        <v>-1.0448500102641549</v>
      </c>
      <c r="AT156" t="s">
        <v>1127</v>
      </c>
      <c r="AU156">
        <v>8194</v>
      </c>
      <c r="AV156">
        <v>791.2747599999999</v>
      </c>
      <c r="AW156">
        <v>880.59040092099701</v>
      </c>
      <c r="AX156">
        <f t="shared" si="211"/>
        <v>0.10142699809989197</v>
      </c>
      <c r="AY156">
        <v>0.5</v>
      </c>
      <c r="AZ156">
        <f t="shared" si="212"/>
        <v>1513.3692000065794</v>
      </c>
      <c r="BA156">
        <f t="shared" si="213"/>
        <v>9.5840850822052772</v>
      </c>
      <c r="BB156">
        <f t="shared" si="214"/>
        <v>76.748247486751183</v>
      </c>
      <c r="BC156">
        <f t="shared" si="215"/>
        <v>7.0233589347683447E-3</v>
      </c>
      <c r="BD156">
        <f t="shared" si="216"/>
        <v>2.5560722828497893</v>
      </c>
      <c r="BE156">
        <f t="shared" si="217"/>
        <v>411.63350110185286</v>
      </c>
      <c r="BF156" t="s">
        <v>1128</v>
      </c>
      <c r="BG156">
        <v>650.23</v>
      </c>
      <c r="BH156">
        <f t="shared" si="218"/>
        <v>650.23</v>
      </c>
      <c r="BI156">
        <f t="shared" si="219"/>
        <v>0.26159767433311365</v>
      </c>
      <c r="BJ156">
        <f t="shared" si="220"/>
        <v>0.38772132955102934</v>
      </c>
      <c r="BK156">
        <f t="shared" si="221"/>
        <v>0.90715815609765083</v>
      </c>
      <c r="BL156">
        <f t="shared" si="222"/>
        <v>0.34265136018135556</v>
      </c>
      <c r="BM156">
        <f t="shared" si="223"/>
        <v>0.89621380070453216</v>
      </c>
      <c r="BN156">
        <f t="shared" si="224"/>
        <v>0.31860998588400047</v>
      </c>
      <c r="BO156">
        <f t="shared" si="225"/>
        <v>0.68139001411599953</v>
      </c>
      <c r="BP156">
        <v>13848</v>
      </c>
      <c r="BQ156">
        <v>290.00000000000011</v>
      </c>
      <c r="BR156">
        <v>854</v>
      </c>
      <c r="BS156">
        <v>255</v>
      </c>
      <c r="BT156">
        <v>8194</v>
      </c>
      <c r="BU156">
        <v>853.55</v>
      </c>
      <c r="BV156">
        <v>0.45</v>
      </c>
      <c r="BW156">
        <v>300.00000000000011</v>
      </c>
      <c r="BX156">
        <v>19.3</v>
      </c>
      <c r="BY156">
        <v>880.59040092099701</v>
      </c>
      <c r="BZ156">
        <v>2.0391770141968451</v>
      </c>
      <c r="CA156">
        <v>-22.155341487687409</v>
      </c>
      <c r="CB156">
        <v>1.534051223845879</v>
      </c>
      <c r="CC156">
        <v>0.88164788397710525</v>
      </c>
      <c r="CD156">
        <v>-4.2420776418242486E-3</v>
      </c>
      <c r="CE156">
        <v>289.99999999999989</v>
      </c>
      <c r="CF156">
        <v>852.31</v>
      </c>
      <c r="CG156">
        <v>655</v>
      </c>
      <c r="CH156">
        <v>8181.15</v>
      </c>
      <c r="CI156">
        <v>853.51</v>
      </c>
      <c r="CJ156">
        <v>-1.2</v>
      </c>
      <c r="CX156">
        <f t="shared" si="226"/>
        <v>1800.22</v>
      </c>
      <c r="CY156">
        <f t="shared" si="227"/>
        <v>1513.3692000065794</v>
      </c>
      <c r="CZ156">
        <f t="shared" si="228"/>
        <v>0.84065791959126068</v>
      </c>
      <c r="DA156">
        <f t="shared" si="229"/>
        <v>0.16086978481113301</v>
      </c>
      <c r="DB156">
        <v>6</v>
      </c>
      <c r="DC156">
        <v>0.5</v>
      </c>
      <c r="DD156" t="s">
        <v>421</v>
      </c>
      <c r="DE156">
        <v>2</v>
      </c>
      <c r="DF156">
        <v>1689027032.0999999</v>
      </c>
      <c r="DG156">
        <v>58.247300000000003</v>
      </c>
      <c r="DH156">
        <v>70.132599999999996</v>
      </c>
      <c r="DI156">
        <v>27.6905</v>
      </c>
      <c r="DJ156">
        <v>21.229299999999999</v>
      </c>
      <c r="DK156">
        <v>58.3613</v>
      </c>
      <c r="DL156">
        <v>27.572199999999999</v>
      </c>
      <c r="DM156">
        <v>500.11599999999999</v>
      </c>
      <c r="DN156">
        <v>99.052999999999997</v>
      </c>
      <c r="DO156">
        <v>0.10000100000000001</v>
      </c>
      <c r="DP156">
        <v>29.7393</v>
      </c>
      <c r="DQ156">
        <v>29.976299999999998</v>
      </c>
      <c r="DR156">
        <v>999.9</v>
      </c>
      <c r="DS156">
        <v>0</v>
      </c>
      <c r="DT156">
        <v>0</v>
      </c>
      <c r="DU156">
        <v>10023.799999999999</v>
      </c>
      <c r="DV156">
        <v>0</v>
      </c>
      <c r="DW156">
        <v>992.505</v>
      </c>
      <c r="DX156">
        <v>-11.885300000000001</v>
      </c>
      <c r="DY156">
        <v>59.906100000000002</v>
      </c>
      <c r="DZ156">
        <v>71.653800000000004</v>
      </c>
      <c r="EA156">
        <v>6.4612299999999996</v>
      </c>
      <c r="EB156">
        <v>70.132599999999996</v>
      </c>
      <c r="EC156">
        <v>21.229299999999999</v>
      </c>
      <c r="ED156">
        <v>2.7428300000000001</v>
      </c>
      <c r="EE156">
        <v>2.10283</v>
      </c>
      <c r="EF156">
        <v>22.544</v>
      </c>
      <c r="EG156">
        <v>18.240600000000001</v>
      </c>
      <c r="EH156">
        <v>1800.22</v>
      </c>
      <c r="EI156">
        <v>0.97800699999999996</v>
      </c>
      <c r="EJ156">
        <v>2.1993200000000001E-2</v>
      </c>
      <c r="EK156">
        <v>0</v>
      </c>
      <c r="EL156">
        <v>790.84900000000005</v>
      </c>
      <c r="EM156">
        <v>4.9999900000000004</v>
      </c>
      <c r="EN156">
        <v>22082.7</v>
      </c>
      <c r="EO156">
        <v>15865.8</v>
      </c>
      <c r="EP156">
        <v>48.936999999999998</v>
      </c>
      <c r="EQ156">
        <v>49.875</v>
      </c>
      <c r="ER156">
        <v>49.5</v>
      </c>
      <c r="ES156">
        <v>49.686999999999998</v>
      </c>
      <c r="ET156">
        <v>50.625</v>
      </c>
      <c r="EU156">
        <v>1755.74</v>
      </c>
      <c r="EV156">
        <v>39.479999999999997</v>
      </c>
      <c r="EW156">
        <v>0</v>
      </c>
      <c r="EX156">
        <v>122.4000000953674</v>
      </c>
      <c r="EY156">
        <v>0</v>
      </c>
      <c r="EZ156">
        <v>791.2747599999999</v>
      </c>
      <c r="FA156">
        <v>-1.2460000076038431</v>
      </c>
      <c r="FB156">
        <v>13.023076717630691</v>
      </c>
      <c r="FC156">
        <v>22088.988000000001</v>
      </c>
      <c r="FD156">
        <v>15</v>
      </c>
      <c r="FE156">
        <v>1689026999.5999999</v>
      </c>
      <c r="FF156" t="s">
        <v>1129</v>
      </c>
      <c r="FG156">
        <v>1689026985.5999999</v>
      </c>
      <c r="FH156">
        <v>1689026999.5999999</v>
      </c>
      <c r="FI156">
        <v>157</v>
      </c>
      <c r="FJ156">
        <v>-1.2E-2</v>
      </c>
      <c r="FK156">
        <v>-3.0000000000000001E-3</v>
      </c>
      <c r="FL156">
        <v>-0.115</v>
      </c>
      <c r="FM156">
        <v>0.107</v>
      </c>
      <c r="FN156">
        <v>70</v>
      </c>
      <c r="FO156">
        <v>21</v>
      </c>
      <c r="FP156">
        <v>0.11</v>
      </c>
      <c r="FQ156">
        <v>0.01</v>
      </c>
      <c r="FR156">
        <v>9.6091961970459483</v>
      </c>
      <c r="FS156">
        <v>-0.20164961635118661</v>
      </c>
      <c r="FT156">
        <v>2.6753015778906961E-2</v>
      </c>
      <c r="FU156">
        <v>1</v>
      </c>
      <c r="FV156">
        <v>0.37221825975720713</v>
      </c>
      <c r="FW156">
        <v>4.2555885305177593E-2</v>
      </c>
      <c r="FX156">
        <v>3.3571562727352879E-3</v>
      </c>
      <c r="FY156">
        <v>1</v>
      </c>
      <c r="FZ156">
        <v>2</v>
      </c>
      <c r="GA156">
        <v>2</v>
      </c>
      <c r="GB156" t="s">
        <v>423</v>
      </c>
      <c r="GC156">
        <v>2.95749</v>
      </c>
      <c r="GD156">
        <v>2.74343</v>
      </c>
      <c r="GE156">
        <v>1.5880700000000001E-2</v>
      </c>
      <c r="GF156">
        <v>1.8948900000000001E-2</v>
      </c>
      <c r="GG156">
        <v>0.12740399999999999</v>
      </c>
      <c r="GH156">
        <v>0.105278</v>
      </c>
      <c r="GI156">
        <v>23094.400000000001</v>
      </c>
      <c r="GJ156">
        <v>21455.599999999999</v>
      </c>
      <c r="GK156">
        <v>23403.3</v>
      </c>
      <c r="GL156">
        <v>21922.2</v>
      </c>
      <c r="GM156">
        <v>28806.400000000001</v>
      </c>
      <c r="GN156">
        <v>27374.7</v>
      </c>
      <c r="GO156">
        <v>36935.300000000003</v>
      </c>
      <c r="GP156">
        <v>34120.800000000003</v>
      </c>
      <c r="GQ156">
        <v>1.93967</v>
      </c>
      <c r="GR156">
        <v>1.81653</v>
      </c>
      <c r="GS156">
        <v>2.64496E-3</v>
      </c>
      <c r="GT156">
        <v>0</v>
      </c>
      <c r="GU156">
        <v>29.933199999999999</v>
      </c>
      <c r="GV156">
        <v>999.9</v>
      </c>
      <c r="GW156">
        <v>28.6</v>
      </c>
      <c r="GX156">
        <v>44.4</v>
      </c>
      <c r="GY156">
        <v>26.9786</v>
      </c>
      <c r="GZ156">
        <v>60.063800000000001</v>
      </c>
      <c r="HA156">
        <v>38.589700000000001</v>
      </c>
      <c r="HB156">
        <v>1</v>
      </c>
      <c r="HC156">
        <v>0.56362000000000001</v>
      </c>
      <c r="HD156">
        <v>3.37385</v>
      </c>
      <c r="HE156">
        <v>20.124400000000001</v>
      </c>
      <c r="HF156">
        <v>5.2644599999999997</v>
      </c>
      <c r="HG156">
        <v>11.962199999999999</v>
      </c>
      <c r="HH156">
        <v>4.9797000000000002</v>
      </c>
      <c r="HI156">
        <v>3.2979799999999999</v>
      </c>
      <c r="HJ156">
        <v>9999</v>
      </c>
      <c r="HK156">
        <v>9999</v>
      </c>
      <c r="HL156">
        <v>9999</v>
      </c>
      <c r="HM156">
        <v>999.9</v>
      </c>
      <c r="HN156">
        <v>1.86389</v>
      </c>
      <c r="HO156">
        <v>1.85989</v>
      </c>
      <c r="HP156">
        <v>1.8665400000000001</v>
      </c>
      <c r="HQ156">
        <v>1.8632299999999999</v>
      </c>
      <c r="HR156">
        <v>1.86188</v>
      </c>
      <c r="HS156">
        <v>1.86188</v>
      </c>
      <c r="HT156">
        <v>1.8631200000000001</v>
      </c>
      <c r="HU156">
        <v>1.8644700000000001</v>
      </c>
      <c r="HV156">
        <v>0</v>
      </c>
      <c r="HW156">
        <v>0</v>
      </c>
      <c r="HX156">
        <v>0</v>
      </c>
      <c r="HY156">
        <v>0</v>
      </c>
      <c r="HZ156" t="s">
        <v>424</v>
      </c>
      <c r="IA156" t="s">
        <v>425</v>
      </c>
      <c r="IB156" t="s">
        <v>426</v>
      </c>
      <c r="IC156" t="s">
        <v>426</v>
      </c>
      <c r="ID156" t="s">
        <v>426</v>
      </c>
      <c r="IE156" t="s">
        <v>426</v>
      </c>
      <c r="IF156">
        <v>0</v>
      </c>
      <c r="IG156">
        <v>100</v>
      </c>
      <c r="IH156">
        <v>100</v>
      </c>
      <c r="II156">
        <v>-0.114</v>
      </c>
      <c r="IJ156">
        <v>0.1183</v>
      </c>
      <c r="IK156">
        <v>-0.1099186674708454</v>
      </c>
      <c r="IL156">
        <v>-8.3322953065825546E-5</v>
      </c>
      <c r="IM156">
        <v>2.3872336679552741E-7</v>
      </c>
      <c r="IN156">
        <v>-5.428329794194132E-11</v>
      </c>
      <c r="IO156">
        <v>0.1183417424114615</v>
      </c>
      <c r="IP156">
        <v>0</v>
      </c>
      <c r="IQ156">
        <v>0</v>
      </c>
      <c r="IR156">
        <v>0</v>
      </c>
      <c r="IS156">
        <v>2</v>
      </c>
      <c r="IT156">
        <v>2035</v>
      </c>
      <c r="IU156">
        <v>1</v>
      </c>
      <c r="IV156">
        <v>21</v>
      </c>
      <c r="IW156">
        <v>0.8</v>
      </c>
      <c r="IX156">
        <v>0.5</v>
      </c>
      <c r="IY156">
        <v>0.31372100000000003</v>
      </c>
      <c r="IZ156">
        <v>2.7197300000000002</v>
      </c>
      <c r="JA156">
        <v>1.4514199999999999</v>
      </c>
      <c r="JB156">
        <v>2.2753899999999998</v>
      </c>
      <c r="JC156">
        <v>1.5942400000000001</v>
      </c>
      <c r="JD156">
        <v>2.4377399999999998</v>
      </c>
      <c r="JE156">
        <v>46.856000000000002</v>
      </c>
      <c r="JF156">
        <v>15.8307</v>
      </c>
      <c r="JG156">
        <v>18</v>
      </c>
      <c r="JH156">
        <v>480.21800000000002</v>
      </c>
      <c r="JI156">
        <v>435.07299999999998</v>
      </c>
      <c r="JJ156">
        <v>26.281199999999998</v>
      </c>
      <c r="JK156">
        <v>34.261699999999998</v>
      </c>
      <c r="JL156">
        <v>30.0001</v>
      </c>
      <c r="JM156">
        <v>34.213099999999997</v>
      </c>
      <c r="JN156">
        <v>34.205800000000004</v>
      </c>
      <c r="JO156">
        <v>6.2381399999999996</v>
      </c>
      <c r="JP156">
        <v>20.250900000000001</v>
      </c>
      <c r="JQ156">
        <v>11.1206</v>
      </c>
      <c r="JR156">
        <v>26.296800000000001</v>
      </c>
      <c r="JS156">
        <v>70</v>
      </c>
      <c r="JT156">
        <v>21.170200000000001</v>
      </c>
      <c r="JU156">
        <v>98.988399999999999</v>
      </c>
      <c r="JV156">
        <v>98.411600000000007</v>
      </c>
    </row>
    <row r="157" spans="1:282" x14ac:dyDescent="0.25">
      <c r="A157">
        <v>141</v>
      </c>
      <c r="B157">
        <v>1689027142.5999999</v>
      </c>
      <c r="C157">
        <v>27802</v>
      </c>
      <c r="D157" t="s">
        <v>1130</v>
      </c>
      <c r="E157" t="s">
        <v>1131</v>
      </c>
      <c r="F157" t="s">
        <v>414</v>
      </c>
      <c r="G157" t="s">
        <v>415</v>
      </c>
      <c r="H157" t="s">
        <v>31</v>
      </c>
      <c r="I157" t="s">
        <v>417</v>
      </c>
      <c r="J157" t="s">
        <v>500</v>
      </c>
      <c r="K157">
        <v>1689027142.5999999</v>
      </c>
      <c r="L157">
        <f t="shared" si="184"/>
        <v>5.7217268128517519E-3</v>
      </c>
      <c r="M157">
        <f t="shared" si="185"/>
        <v>5.7217268128517516</v>
      </c>
      <c r="N157">
        <f t="shared" si="186"/>
        <v>4.2670559034373943</v>
      </c>
      <c r="O157">
        <f t="shared" si="187"/>
        <v>24.8904</v>
      </c>
      <c r="P157">
        <f t="shared" si="188"/>
        <v>6.0557651326625592</v>
      </c>
      <c r="Q157">
        <f t="shared" si="189"/>
        <v>0.6004486003556897</v>
      </c>
      <c r="R157">
        <f t="shared" si="190"/>
        <v>2.4679632573072006</v>
      </c>
      <c r="S157">
        <f t="shared" si="191"/>
        <v>0.39367072473591863</v>
      </c>
      <c r="T157">
        <f t="shared" si="192"/>
        <v>2.913761374587831</v>
      </c>
      <c r="U157">
        <f t="shared" si="193"/>
        <v>0.36632988363129204</v>
      </c>
      <c r="V157">
        <f t="shared" si="194"/>
        <v>0.2312542125458453</v>
      </c>
      <c r="W157">
        <f t="shared" si="195"/>
        <v>289.58664001269852</v>
      </c>
      <c r="X157">
        <f t="shared" si="196"/>
        <v>30.000001888120554</v>
      </c>
      <c r="Y157">
        <f t="shared" si="197"/>
        <v>29.9985</v>
      </c>
      <c r="Z157">
        <f t="shared" si="198"/>
        <v>4.2600827110882786</v>
      </c>
      <c r="AA157">
        <f t="shared" si="199"/>
        <v>65.757072305649828</v>
      </c>
      <c r="AB157">
        <f t="shared" si="200"/>
        <v>2.7662756289820005</v>
      </c>
      <c r="AC157">
        <f t="shared" si="201"/>
        <v>4.2068108143925418</v>
      </c>
      <c r="AD157">
        <f t="shared" si="202"/>
        <v>1.4938070821062781</v>
      </c>
      <c r="AE157">
        <f t="shared" si="203"/>
        <v>-252.32815244676226</v>
      </c>
      <c r="AF157">
        <f t="shared" si="204"/>
        <v>-34.386279336342177</v>
      </c>
      <c r="AG157">
        <f t="shared" si="205"/>
        <v>-2.6211579288305784</v>
      </c>
      <c r="AH157">
        <f t="shared" si="206"/>
        <v>0.25105030076348811</v>
      </c>
      <c r="AI157">
        <v>5</v>
      </c>
      <c r="AJ157">
        <v>1</v>
      </c>
      <c r="AK157">
        <f t="shared" si="207"/>
        <v>1</v>
      </c>
      <c r="AL157">
        <f t="shared" si="208"/>
        <v>0</v>
      </c>
      <c r="AM157">
        <f t="shared" si="209"/>
        <v>51920.584868723367</v>
      </c>
      <c r="AN157" t="s">
        <v>418</v>
      </c>
      <c r="AO157">
        <v>8197.4</v>
      </c>
      <c r="AP157">
        <v>619.92999999999995</v>
      </c>
      <c r="AQ157">
        <v>3131.443117258741</v>
      </c>
      <c r="AR157">
        <f t="shared" si="210"/>
        <v>0.80203057287443702</v>
      </c>
      <c r="AS157">
        <v>-1.0448500102641549</v>
      </c>
      <c r="AT157" t="s">
        <v>1132</v>
      </c>
      <c r="AU157">
        <v>8209.1</v>
      </c>
      <c r="AV157">
        <v>802.97996153846157</v>
      </c>
      <c r="AW157">
        <v>874.15298144137637</v>
      </c>
      <c r="AX157">
        <f t="shared" si="211"/>
        <v>8.1419409890427619E-2</v>
      </c>
      <c r="AY157">
        <v>0.5</v>
      </c>
      <c r="AZ157">
        <f t="shared" si="212"/>
        <v>1513.2936000065797</v>
      </c>
      <c r="BA157">
        <f t="shared" si="213"/>
        <v>4.2670559034373943</v>
      </c>
      <c r="BB157">
        <f t="shared" si="214"/>
        <v>61.605735951748265</v>
      </c>
      <c r="BC157">
        <f t="shared" si="215"/>
        <v>3.5101621480976681E-3</v>
      </c>
      <c r="BD157">
        <f t="shared" si="216"/>
        <v>2.5822598375119155</v>
      </c>
      <c r="BE157">
        <f t="shared" si="217"/>
        <v>410.22135575864695</v>
      </c>
      <c r="BF157" t="s">
        <v>1133</v>
      </c>
      <c r="BG157">
        <v>672.88</v>
      </c>
      <c r="BH157">
        <f t="shared" si="218"/>
        <v>672.88</v>
      </c>
      <c r="BI157">
        <f t="shared" si="219"/>
        <v>0.23024915056572903</v>
      </c>
      <c r="BJ157">
        <f t="shared" si="220"/>
        <v>0.35361437681910107</v>
      </c>
      <c r="BK157">
        <f t="shared" si="221"/>
        <v>0.91813389697890191</v>
      </c>
      <c r="BL157">
        <f t="shared" si="222"/>
        <v>0.27996296597334663</v>
      </c>
      <c r="BM157">
        <f t="shared" si="223"/>
        <v>0.89877696449427469</v>
      </c>
      <c r="BN157">
        <f t="shared" si="224"/>
        <v>0.29632126985853774</v>
      </c>
      <c r="BO157">
        <f t="shared" si="225"/>
        <v>0.70367873014146221</v>
      </c>
      <c r="BP157">
        <v>13850</v>
      </c>
      <c r="BQ157">
        <v>290.00000000000011</v>
      </c>
      <c r="BR157">
        <v>849.01</v>
      </c>
      <c r="BS157">
        <v>95</v>
      </c>
      <c r="BT157">
        <v>8209.1</v>
      </c>
      <c r="BU157">
        <v>848.39</v>
      </c>
      <c r="BV157">
        <v>0.62</v>
      </c>
      <c r="BW157">
        <v>300.00000000000011</v>
      </c>
      <c r="BX157">
        <v>19.3</v>
      </c>
      <c r="BY157">
        <v>874.15298144137637</v>
      </c>
      <c r="BZ157">
        <v>2.672925887715043</v>
      </c>
      <c r="CA157">
        <v>-21.14658929153261</v>
      </c>
      <c r="CB157">
        <v>2.010713309106265</v>
      </c>
      <c r="CC157">
        <v>0.79798916267371522</v>
      </c>
      <c r="CD157">
        <v>-4.2419345939933269E-3</v>
      </c>
      <c r="CE157">
        <v>289.99999999999989</v>
      </c>
      <c r="CF157">
        <v>846.89</v>
      </c>
      <c r="CG157">
        <v>715</v>
      </c>
      <c r="CH157">
        <v>8178.92</v>
      </c>
      <c r="CI157">
        <v>848.3</v>
      </c>
      <c r="CJ157">
        <v>-1.41</v>
      </c>
      <c r="CX157">
        <f t="shared" si="226"/>
        <v>1800.13</v>
      </c>
      <c r="CY157">
        <f t="shared" si="227"/>
        <v>1513.2936000065797</v>
      </c>
      <c r="CZ157">
        <f t="shared" si="228"/>
        <v>0.84065795248486475</v>
      </c>
      <c r="DA157">
        <f t="shared" si="229"/>
        <v>0.1608698482957889</v>
      </c>
      <c r="DB157">
        <v>6</v>
      </c>
      <c r="DC157">
        <v>0.5</v>
      </c>
      <c r="DD157" t="s">
        <v>421</v>
      </c>
      <c r="DE157">
        <v>2</v>
      </c>
      <c r="DF157">
        <v>1689027142.5999999</v>
      </c>
      <c r="DG157">
        <v>24.8904</v>
      </c>
      <c r="DH157">
        <v>30.178899999999999</v>
      </c>
      <c r="DI157">
        <v>27.899000000000001</v>
      </c>
      <c r="DJ157">
        <v>21.228100000000001</v>
      </c>
      <c r="DK157">
        <v>24.9465</v>
      </c>
      <c r="DL157">
        <v>27.782699999999998</v>
      </c>
      <c r="DM157">
        <v>500.27100000000002</v>
      </c>
      <c r="DN157">
        <v>99.053200000000004</v>
      </c>
      <c r="DO157">
        <v>0.100018</v>
      </c>
      <c r="DP157">
        <v>29.779599999999999</v>
      </c>
      <c r="DQ157">
        <v>29.9985</v>
      </c>
      <c r="DR157">
        <v>999.9</v>
      </c>
      <c r="DS157">
        <v>0</v>
      </c>
      <c r="DT157">
        <v>0</v>
      </c>
      <c r="DU157">
        <v>10005</v>
      </c>
      <c r="DV157">
        <v>0</v>
      </c>
      <c r="DW157">
        <v>982.35299999999995</v>
      </c>
      <c r="DX157">
        <v>-5.2885</v>
      </c>
      <c r="DY157">
        <v>25.604800000000001</v>
      </c>
      <c r="DZ157">
        <v>30.833500000000001</v>
      </c>
      <c r="EA157">
        <v>6.6709699999999996</v>
      </c>
      <c r="EB157">
        <v>30.178899999999999</v>
      </c>
      <c r="EC157">
        <v>21.228100000000001</v>
      </c>
      <c r="ED157">
        <v>2.76349</v>
      </c>
      <c r="EE157">
        <v>2.1027100000000001</v>
      </c>
      <c r="EF157">
        <v>22.6676</v>
      </c>
      <c r="EG157">
        <v>18.239699999999999</v>
      </c>
      <c r="EH157">
        <v>1800.13</v>
      </c>
      <c r="EI157">
        <v>0.97800699999999996</v>
      </c>
      <c r="EJ157">
        <v>2.1993200000000001E-2</v>
      </c>
      <c r="EK157">
        <v>0</v>
      </c>
      <c r="EL157">
        <v>802.83900000000006</v>
      </c>
      <c r="EM157">
        <v>4.9999900000000004</v>
      </c>
      <c r="EN157">
        <v>22328.6</v>
      </c>
      <c r="EO157">
        <v>15865</v>
      </c>
      <c r="EP157">
        <v>49</v>
      </c>
      <c r="EQ157">
        <v>49.936999999999998</v>
      </c>
      <c r="ER157">
        <v>49.561999999999998</v>
      </c>
      <c r="ES157">
        <v>49.75</v>
      </c>
      <c r="ET157">
        <v>50.686999999999998</v>
      </c>
      <c r="EU157">
        <v>1755.65</v>
      </c>
      <c r="EV157">
        <v>39.479999999999997</v>
      </c>
      <c r="EW157">
        <v>0</v>
      </c>
      <c r="EX157">
        <v>108.7999999523163</v>
      </c>
      <c r="EY157">
        <v>0</v>
      </c>
      <c r="EZ157">
        <v>802.97996153846157</v>
      </c>
      <c r="FA157">
        <v>-1.0089914514466529</v>
      </c>
      <c r="FB157">
        <v>60.061538349130181</v>
      </c>
      <c r="FC157">
        <v>22316.707692307689</v>
      </c>
      <c r="FD157">
        <v>15</v>
      </c>
      <c r="FE157">
        <v>1689027110.0999999</v>
      </c>
      <c r="FF157" t="s">
        <v>1134</v>
      </c>
      <c r="FG157">
        <v>1689027102.5999999</v>
      </c>
      <c r="FH157">
        <v>1689027110.0999999</v>
      </c>
      <c r="FI157">
        <v>158</v>
      </c>
      <c r="FJ157">
        <v>5.6000000000000001E-2</v>
      </c>
      <c r="FK157">
        <v>-2E-3</v>
      </c>
      <c r="FL157">
        <v>-5.6000000000000001E-2</v>
      </c>
      <c r="FM157">
        <v>0.10199999999999999</v>
      </c>
      <c r="FN157">
        <v>30</v>
      </c>
      <c r="FO157">
        <v>21</v>
      </c>
      <c r="FP157">
        <v>0.28999999999999998</v>
      </c>
      <c r="FQ157">
        <v>0.01</v>
      </c>
      <c r="FR157">
        <v>4.3452237939644869</v>
      </c>
      <c r="FS157">
        <v>-0.55350799787389782</v>
      </c>
      <c r="FT157">
        <v>4.8329881256450422E-2</v>
      </c>
      <c r="FU157">
        <v>1</v>
      </c>
      <c r="FV157">
        <v>0.38660780419927798</v>
      </c>
      <c r="FW157">
        <v>4.7439654925416373E-2</v>
      </c>
      <c r="FX157">
        <v>3.6826971037639388E-3</v>
      </c>
      <c r="FY157">
        <v>1</v>
      </c>
      <c r="FZ157">
        <v>2</v>
      </c>
      <c r="GA157">
        <v>2</v>
      </c>
      <c r="GB157" t="s">
        <v>423</v>
      </c>
      <c r="GC157">
        <v>2.9578500000000001</v>
      </c>
      <c r="GD157">
        <v>2.74329</v>
      </c>
      <c r="GE157">
        <v>6.8883E-3</v>
      </c>
      <c r="GF157">
        <v>8.3015299999999997E-3</v>
      </c>
      <c r="GG157">
        <v>0.12806899999999999</v>
      </c>
      <c r="GH157">
        <v>0.105266</v>
      </c>
      <c r="GI157">
        <v>23302.9</v>
      </c>
      <c r="GJ157">
        <v>21685.8</v>
      </c>
      <c r="GK157">
        <v>23401.200000000001</v>
      </c>
      <c r="GL157">
        <v>21920.1</v>
      </c>
      <c r="GM157">
        <v>28780.6</v>
      </c>
      <c r="GN157">
        <v>27372</v>
      </c>
      <c r="GO157">
        <v>36931.199999999997</v>
      </c>
      <c r="GP157">
        <v>34117.800000000003</v>
      </c>
      <c r="GQ157">
        <v>1.9397</v>
      </c>
      <c r="GR157">
        <v>1.81585</v>
      </c>
      <c r="GS157">
        <v>-1.7583399999999999E-3</v>
      </c>
      <c r="GT157">
        <v>0</v>
      </c>
      <c r="GU157">
        <v>30.027100000000001</v>
      </c>
      <c r="GV157">
        <v>999.9</v>
      </c>
      <c r="GW157">
        <v>28.5</v>
      </c>
      <c r="GX157">
        <v>44.4</v>
      </c>
      <c r="GY157">
        <v>26.886299999999999</v>
      </c>
      <c r="GZ157">
        <v>60.133800000000001</v>
      </c>
      <c r="HA157">
        <v>37.7684</v>
      </c>
      <c r="HB157">
        <v>1</v>
      </c>
      <c r="HC157">
        <v>0.57321100000000003</v>
      </c>
      <c r="HD157">
        <v>4.3723599999999996</v>
      </c>
      <c r="HE157">
        <v>20.100300000000001</v>
      </c>
      <c r="HF157">
        <v>5.2632599999999998</v>
      </c>
      <c r="HG157">
        <v>11.9635</v>
      </c>
      <c r="HH157">
        <v>4.9796500000000004</v>
      </c>
      <c r="HI157">
        <v>3.29793</v>
      </c>
      <c r="HJ157">
        <v>9999</v>
      </c>
      <c r="HK157">
        <v>9999</v>
      </c>
      <c r="HL157">
        <v>9999</v>
      </c>
      <c r="HM157">
        <v>999.9</v>
      </c>
      <c r="HN157">
        <v>1.8638600000000001</v>
      </c>
      <c r="HO157">
        <v>1.85989</v>
      </c>
      <c r="HP157">
        <v>1.8664700000000001</v>
      </c>
      <c r="HQ157">
        <v>1.8631800000000001</v>
      </c>
      <c r="HR157">
        <v>1.86185</v>
      </c>
      <c r="HS157">
        <v>1.86188</v>
      </c>
      <c r="HT157">
        <v>1.8631</v>
      </c>
      <c r="HU157">
        <v>1.8644499999999999</v>
      </c>
      <c r="HV157">
        <v>0</v>
      </c>
      <c r="HW157">
        <v>0</v>
      </c>
      <c r="HX157">
        <v>0</v>
      </c>
      <c r="HY157">
        <v>0</v>
      </c>
      <c r="HZ157" t="s">
        <v>424</v>
      </c>
      <c r="IA157" t="s">
        <v>425</v>
      </c>
      <c r="IB157" t="s">
        <v>426</v>
      </c>
      <c r="IC157" t="s">
        <v>426</v>
      </c>
      <c r="ID157" t="s">
        <v>426</v>
      </c>
      <c r="IE157" t="s">
        <v>426</v>
      </c>
      <c r="IF157">
        <v>0</v>
      </c>
      <c r="IG157">
        <v>100</v>
      </c>
      <c r="IH157">
        <v>100</v>
      </c>
      <c r="II157">
        <v>-5.6000000000000001E-2</v>
      </c>
      <c r="IJ157">
        <v>0.1163</v>
      </c>
      <c r="IK157">
        <v>-5.4158750031748359E-2</v>
      </c>
      <c r="IL157">
        <v>-8.3322953065825546E-5</v>
      </c>
      <c r="IM157">
        <v>2.3872336679552741E-7</v>
      </c>
      <c r="IN157">
        <v>-5.428329794194132E-11</v>
      </c>
      <c r="IO157">
        <v>0.11636987519018741</v>
      </c>
      <c r="IP157">
        <v>0</v>
      </c>
      <c r="IQ157">
        <v>0</v>
      </c>
      <c r="IR157">
        <v>0</v>
      </c>
      <c r="IS157">
        <v>2</v>
      </c>
      <c r="IT157">
        <v>2035</v>
      </c>
      <c r="IU157">
        <v>1</v>
      </c>
      <c r="IV157">
        <v>21</v>
      </c>
      <c r="IW157">
        <v>0.7</v>
      </c>
      <c r="IX157">
        <v>0.5</v>
      </c>
      <c r="IY157">
        <v>0.21728500000000001</v>
      </c>
      <c r="IZ157">
        <v>2.7453599999999998</v>
      </c>
      <c r="JA157">
        <v>1.4526399999999999</v>
      </c>
      <c r="JB157">
        <v>2.2753899999999998</v>
      </c>
      <c r="JC157">
        <v>1.5942400000000001</v>
      </c>
      <c r="JD157">
        <v>2.3852500000000001</v>
      </c>
      <c r="JE157">
        <v>46.915100000000002</v>
      </c>
      <c r="JF157">
        <v>15.786899999999999</v>
      </c>
      <c r="JG157">
        <v>18</v>
      </c>
      <c r="JH157">
        <v>480.447</v>
      </c>
      <c r="JI157">
        <v>434.84399999999999</v>
      </c>
      <c r="JJ157">
        <v>25.740100000000002</v>
      </c>
      <c r="JK157">
        <v>34.281399999999998</v>
      </c>
      <c r="JL157">
        <v>30</v>
      </c>
      <c r="JM157">
        <v>34.239899999999999</v>
      </c>
      <c r="JN157">
        <v>34.236400000000003</v>
      </c>
      <c r="JO157">
        <v>4.3294699999999997</v>
      </c>
      <c r="JP157">
        <v>20.237300000000001</v>
      </c>
      <c r="JQ157">
        <v>10.4414</v>
      </c>
      <c r="JR157">
        <v>25.7393</v>
      </c>
      <c r="JS157">
        <v>30</v>
      </c>
      <c r="JT157">
        <v>21.060199999999998</v>
      </c>
      <c r="JU157">
        <v>98.978399999999993</v>
      </c>
      <c r="JV157">
        <v>98.4024</v>
      </c>
    </row>
    <row r="158" spans="1:282" x14ac:dyDescent="0.25">
      <c r="A158">
        <v>142</v>
      </c>
      <c r="B158">
        <v>1689027302.0999999</v>
      </c>
      <c r="C158">
        <v>27961.5</v>
      </c>
      <c r="D158" t="s">
        <v>1135</v>
      </c>
      <c r="E158" t="s">
        <v>1136</v>
      </c>
      <c r="F158" t="s">
        <v>414</v>
      </c>
      <c r="G158" t="s">
        <v>415</v>
      </c>
      <c r="H158" t="s">
        <v>31</v>
      </c>
      <c r="I158" t="s">
        <v>417</v>
      </c>
      <c r="J158" t="s">
        <v>500</v>
      </c>
      <c r="K158">
        <v>1689027302.0999999</v>
      </c>
      <c r="L158">
        <f t="shared" si="184"/>
        <v>6.1696579882617991E-3</v>
      </c>
      <c r="M158">
        <f t="shared" si="185"/>
        <v>6.1696579882617995</v>
      </c>
      <c r="N158">
        <f t="shared" si="186"/>
        <v>1.5110739717170163</v>
      </c>
      <c r="O158">
        <f t="shared" si="187"/>
        <v>8.2246699999999997</v>
      </c>
      <c r="P158">
        <f t="shared" si="188"/>
        <v>2.0344887849506508</v>
      </c>
      <c r="Q158">
        <f t="shared" si="189"/>
        <v>0.20172866248239657</v>
      </c>
      <c r="R158">
        <f t="shared" si="190"/>
        <v>0.81551281615904192</v>
      </c>
      <c r="S158">
        <f t="shared" si="191"/>
        <v>0.4263625356030844</v>
      </c>
      <c r="T158">
        <f t="shared" si="192"/>
        <v>2.9137949251996647</v>
      </c>
      <c r="U158">
        <f t="shared" si="193"/>
        <v>0.39448953186879931</v>
      </c>
      <c r="V158">
        <f t="shared" si="194"/>
        <v>0.24922076892379408</v>
      </c>
      <c r="W158">
        <f t="shared" si="195"/>
        <v>289.60579201269769</v>
      </c>
      <c r="X158">
        <f t="shared" si="196"/>
        <v>29.918658472041898</v>
      </c>
      <c r="Y158">
        <f t="shared" si="197"/>
        <v>29.953900000000001</v>
      </c>
      <c r="Z158">
        <f t="shared" si="198"/>
        <v>4.2491813391569799</v>
      </c>
      <c r="AA158">
        <f t="shared" si="199"/>
        <v>65.313170355869076</v>
      </c>
      <c r="AB158">
        <f t="shared" si="200"/>
        <v>2.7532024097896799</v>
      </c>
      <c r="AC158">
        <f t="shared" si="201"/>
        <v>4.2153862609768042</v>
      </c>
      <c r="AD158">
        <f t="shared" si="202"/>
        <v>1.4959789293673</v>
      </c>
      <c r="AE158">
        <f t="shared" si="203"/>
        <v>-272.08191728234533</v>
      </c>
      <c r="AF158">
        <f t="shared" si="204"/>
        <v>-21.81959431782284</v>
      </c>
      <c r="AG158">
        <f t="shared" si="205"/>
        <v>-1.6631439940029995</v>
      </c>
      <c r="AH158">
        <f t="shared" si="206"/>
        <v>-5.9588635814734872</v>
      </c>
      <c r="AI158">
        <v>4</v>
      </c>
      <c r="AJ158">
        <v>1</v>
      </c>
      <c r="AK158">
        <f t="shared" si="207"/>
        <v>1</v>
      </c>
      <c r="AL158">
        <f t="shared" si="208"/>
        <v>0</v>
      </c>
      <c r="AM158">
        <f t="shared" si="209"/>
        <v>51915.510997556274</v>
      </c>
      <c r="AN158" t="s">
        <v>418</v>
      </c>
      <c r="AO158">
        <v>8197.4</v>
      </c>
      <c r="AP158">
        <v>619.92999999999995</v>
      </c>
      <c r="AQ158">
        <v>3131.443117258741</v>
      </c>
      <c r="AR158">
        <f t="shared" si="210"/>
        <v>0.80203057287443702</v>
      </c>
      <c r="AS158">
        <v>-1.0448500102641549</v>
      </c>
      <c r="AT158" t="s">
        <v>1137</v>
      </c>
      <c r="AU158">
        <v>8205.94</v>
      </c>
      <c r="AV158">
        <v>808.3505769230768</v>
      </c>
      <c r="AW158">
        <v>870.79103044067892</v>
      </c>
      <c r="AX158">
        <f t="shared" si="211"/>
        <v>7.1705439462327769E-2</v>
      </c>
      <c r="AY158">
        <v>0.5</v>
      </c>
      <c r="AZ158">
        <f t="shared" si="212"/>
        <v>1513.3944000065792</v>
      </c>
      <c r="BA158">
        <f t="shared" si="213"/>
        <v>1.5110739717170163</v>
      </c>
      <c r="BB158">
        <f t="shared" si="214"/>
        <v>54.259305266148807</v>
      </c>
      <c r="BC158">
        <f t="shared" si="215"/>
        <v>1.6888684020306007E-3</v>
      </c>
      <c r="BD158">
        <f t="shared" si="216"/>
        <v>2.5960902303667734</v>
      </c>
      <c r="BE158">
        <f t="shared" si="217"/>
        <v>409.47946428241352</v>
      </c>
      <c r="BF158" t="s">
        <v>1138</v>
      </c>
      <c r="BG158">
        <v>679.09</v>
      </c>
      <c r="BH158">
        <f t="shared" si="218"/>
        <v>679.09</v>
      </c>
      <c r="BI158">
        <f t="shared" si="219"/>
        <v>0.22014584870455689</v>
      </c>
      <c r="BJ158">
        <f t="shared" si="220"/>
        <v>0.32571788150572339</v>
      </c>
      <c r="BK158">
        <f t="shared" si="221"/>
        <v>0.92182976053017873</v>
      </c>
      <c r="BL158">
        <f t="shared" si="222"/>
        <v>0.24890455647062884</v>
      </c>
      <c r="BM158">
        <f t="shared" si="223"/>
        <v>0.90011558023854243</v>
      </c>
      <c r="BN158">
        <f t="shared" si="224"/>
        <v>0.27363344873664941</v>
      </c>
      <c r="BO158">
        <f t="shared" si="225"/>
        <v>0.72636655126335059</v>
      </c>
      <c r="BP158">
        <v>13852</v>
      </c>
      <c r="BQ158">
        <v>290.00000000000011</v>
      </c>
      <c r="BR158">
        <v>846.24</v>
      </c>
      <c r="BS158">
        <v>125</v>
      </c>
      <c r="BT158">
        <v>8205.94</v>
      </c>
      <c r="BU158">
        <v>845.21</v>
      </c>
      <c r="BV158">
        <v>1.03</v>
      </c>
      <c r="BW158">
        <v>300.00000000000011</v>
      </c>
      <c r="BX158">
        <v>19.3</v>
      </c>
      <c r="BY158">
        <v>870.79103044067892</v>
      </c>
      <c r="BZ158">
        <v>2.3658252171929788</v>
      </c>
      <c r="CA158">
        <v>-20.99568090347071</v>
      </c>
      <c r="CB158">
        <v>1.77974399052319</v>
      </c>
      <c r="CC158">
        <v>0.83250558507485262</v>
      </c>
      <c r="CD158">
        <v>-4.2419913236929922E-3</v>
      </c>
      <c r="CE158">
        <v>289.99999999999989</v>
      </c>
      <c r="CF158">
        <v>843.57</v>
      </c>
      <c r="CG158">
        <v>695</v>
      </c>
      <c r="CH158">
        <v>8179.71</v>
      </c>
      <c r="CI158">
        <v>845.12</v>
      </c>
      <c r="CJ158">
        <v>-1.55</v>
      </c>
      <c r="CX158">
        <f t="shared" si="226"/>
        <v>1800.25</v>
      </c>
      <c r="CY158">
        <f t="shared" si="227"/>
        <v>1513.3944000065792</v>
      </c>
      <c r="CZ158">
        <f t="shared" si="228"/>
        <v>0.84065790862745682</v>
      </c>
      <c r="DA158">
        <f t="shared" si="229"/>
        <v>0.16086976365099162</v>
      </c>
      <c r="DB158">
        <v>6</v>
      </c>
      <c r="DC158">
        <v>0.5</v>
      </c>
      <c r="DD158" t="s">
        <v>421</v>
      </c>
      <c r="DE158">
        <v>2</v>
      </c>
      <c r="DF158">
        <v>1689027302.0999999</v>
      </c>
      <c r="DG158">
        <v>8.2246699999999997</v>
      </c>
      <c r="DH158">
        <v>10.0983</v>
      </c>
      <c r="DI158">
        <v>27.7668</v>
      </c>
      <c r="DJ158">
        <v>20.570900000000002</v>
      </c>
      <c r="DK158">
        <v>8.2816700000000001</v>
      </c>
      <c r="DL158">
        <v>27.648099999999999</v>
      </c>
      <c r="DM158">
        <v>500.14699999999999</v>
      </c>
      <c r="DN158">
        <v>99.055099999999996</v>
      </c>
      <c r="DO158">
        <v>9.9372600000000005E-2</v>
      </c>
      <c r="DP158">
        <v>29.815000000000001</v>
      </c>
      <c r="DQ158">
        <v>29.953900000000001</v>
      </c>
      <c r="DR158">
        <v>999.9</v>
      </c>
      <c r="DS158">
        <v>0</v>
      </c>
      <c r="DT158">
        <v>0</v>
      </c>
      <c r="DU158">
        <v>10005</v>
      </c>
      <c r="DV158">
        <v>0</v>
      </c>
      <c r="DW158">
        <v>952.50800000000004</v>
      </c>
      <c r="DX158">
        <v>-1.8736299999999999</v>
      </c>
      <c r="DY158">
        <v>8.4595699999999994</v>
      </c>
      <c r="DZ158">
        <v>10.3104</v>
      </c>
      <c r="EA158">
        <v>7.1958799999999998</v>
      </c>
      <c r="EB158">
        <v>10.0983</v>
      </c>
      <c r="EC158">
        <v>20.570900000000002</v>
      </c>
      <c r="ED158">
        <v>2.7504400000000002</v>
      </c>
      <c r="EE158">
        <v>2.0376500000000002</v>
      </c>
      <c r="EF158">
        <v>22.589600000000001</v>
      </c>
      <c r="EG158">
        <v>17.739999999999998</v>
      </c>
      <c r="EH158">
        <v>1800.25</v>
      </c>
      <c r="EI158">
        <v>0.97800699999999996</v>
      </c>
      <c r="EJ158">
        <v>2.1993200000000001E-2</v>
      </c>
      <c r="EK158">
        <v>0</v>
      </c>
      <c r="EL158">
        <v>807.97699999999998</v>
      </c>
      <c r="EM158">
        <v>4.9999900000000004</v>
      </c>
      <c r="EN158">
        <v>22433.599999999999</v>
      </c>
      <c r="EO158">
        <v>15866.1</v>
      </c>
      <c r="EP158">
        <v>49</v>
      </c>
      <c r="EQ158">
        <v>49.936999999999998</v>
      </c>
      <c r="ER158">
        <v>49.561999999999998</v>
      </c>
      <c r="ES158">
        <v>49.75</v>
      </c>
      <c r="ET158">
        <v>50.686999999999998</v>
      </c>
      <c r="EU158">
        <v>1755.77</v>
      </c>
      <c r="EV158">
        <v>39.479999999999997</v>
      </c>
      <c r="EW158">
        <v>0</v>
      </c>
      <c r="EX158">
        <v>157.79999995231631</v>
      </c>
      <c r="EY158">
        <v>0</v>
      </c>
      <c r="EZ158">
        <v>808.3505769230768</v>
      </c>
      <c r="FA158">
        <v>-2.3149743691414488</v>
      </c>
      <c r="FB158">
        <v>31.206837726214829</v>
      </c>
      <c r="FC158">
        <v>22430.184615384609</v>
      </c>
      <c r="FD158">
        <v>15</v>
      </c>
      <c r="FE158">
        <v>1689027266.0999999</v>
      </c>
      <c r="FF158" t="s">
        <v>1139</v>
      </c>
      <c r="FG158">
        <v>1689027254.0999999</v>
      </c>
      <c r="FH158">
        <v>1689027266.0999999</v>
      </c>
      <c r="FI158">
        <v>159</v>
      </c>
      <c r="FJ158">
        <v>-2E-3</v>
      </c>
      <c r="FK158">
        <v>2E-3</v>
      </c>
      <c r="FL158">
        <v>-5.7000000000000002E-2</v>
      </c>
      <c r="FM158">
        <v>8.8999999999999996E-2</v>
      </c>
      <c r="FN158">
        <v>10</v>
      </c>
      <c r="FO158">
        <v>20</v>
      </c>
      <c r="FP158">
        <v>0.32</v>
      </c>
      <c r="FQ158">
        <v>0.01</v>
      </c>
      <c r="FR158">
        <v>1.54466927612845</v>
      </c>
      <c r="FS158">
        <v>-0.62313811775583716</v>
      </c>
      <c r="FT158">
        <v>6.4645023047618211E-2</v>
      </c>
      <c r="FU158">
        <v>1</v>
      </c>
      <c r="FV158">
        <v>0.42658873208285619</v>
      </c>
      <c r="FW158">
        <v>1.9499630990657969E-2</v>
      </c>
      <c r="FX158">
        <v>1.8036883751784091E-3</v>
      </c>
      <c r="FY158">
        <v>1</v>
      </c>
      <c r="FZ158">
        <v>2</v>
      </c>
      <c r="GA158">
        <v>2</v>
      </c>
      <c r="GB158" t="s">
        <v>423</v>
      </c>
      <c r="GC158">
        <v>2.9575399999999998</v>
      </c>
      <c r="GD158">
        <v>2.7426499999999998</v>
      </c>
      <c r="GE158">
        <v>2.3006599999999999E-3</v>
      </c>
      <c r="GF158">
        <v>2.79802E-3</v>
      </c>
      <c r="GG158">
        <v>0.127638</v>
      </c>
      <c r="GH158">
        <v>0.10297199999999999</v>
      </c>
      <c r="GI158">
        <v>23412.3</v>
      </c>
      <c r="GJ158">
        <v>21809</v>
      </c>
      <c r="GK158">
        <v>23403.200000000001</v>
      </c>
      <c r="GL158">
        <v>21923.200000000001</v>
      </c>
      <c r="GM158">
        <v>28798</v>
      </c>
      <c r="GN158">
        <v>27446.3</v>
      </c>
      <c r="GO158">
        <v>36935.4</v>
      </c>
      <c r="GP158">
        <v>34122.5</v>
      </c>
      <c r="GQ158">
        <v>1.9402999999999999</v>
      </c>
      <c r="GR158">
        <v>1.8148</v>
      </c>
      <c r="GS158">
        <v>4.8950299999999999E-3</v>
      </c>
      <c r="GT158">
        <v>0</v>
      </c>
      <c r="GU158">
        <v>29.874300000000002</v>
      </c>
      <c r="GV158">
        <v>999.9</v>
      </c>
      <c r="GW158">
        <v>28.1</v>
      </c>
      <c r="GX158">
        <v>44.4</v>
      </c>
      <c r="GY158">
        <v>26.507000000000001</v>
      </c>
      <c r="GZ158">
        <v>60.333799999999997</v>
      </c>
      <c r="HA158">
        <v>38.373399999999997</v>
      </c>
      <c r="HB158">
        <v>1</v>
      </c>
      <c r="HC158">
        <v>0.56226100000000001</v>
      </c>
      <c r="HD158">
        <v>2.94129</v>
      </c>
      <c r="HE158">
        <v>20.134699999999999</v>
      </c>
      <c r="HF158">
        <v>5.2605700000000004</v>
      </c>
      <c r="HG158">
        <v>11.962</v>
      </c>
      <c r="HH158">
        <v>4.9791499999999997</v>
      </c>
      <c r="HI158">
        <v>3.2972299999999999</v>
      </c>
      <c r="HJ158">
        <v>9999</v>
      </c>
      <c r="HK158">
        <v>9999</v>
      </c>
      <c r="HL158">
        <v>9999</v>
      </c>
      <c r="HM158">
        <v>999.9</v>
      </c>
      <c r="HN158">
        <v>1.8639300000000001</v>
      </c>
      <c r="HO158">
        <v>1.85989</v>
      </c>
      <c r="HP158">
        <v>1.8665400000000001</v>
      </c>
      <c r="HQ158">
        <v>1.86324</v>
      </c>
      <c r="HR158">
        <v>1.86188</v>
      </c>
      <c r="HS158">
        <v>1.86188</v>
      </c>
      <c r="HT158">
        <v>1.86313</v>
      </c>
      <c r="HU158">
        <v>1.8644499999999999</v>
      </c>
      <c r="HV158">
        <v>0</v>
      </c>
      <c r="HW158">
        <v>0</v>
      </c>
      <c r="HX158">
        <v>0</v>
      </c>
      <c r="HY158">
        <v>0</v>
      </c>
      <c r="HZ158" t="s">
        <v>424</v>
      </c>
      <c r="IA158" t="s">
        <v>425</v>
      </c>
      <c r="IB158" t="s">
        <v>426</v>
      </c>
      <c r="IC158" t="s">
        <v>426</v>
      </c>
      <c r="ID158" t="s">
        <v>426</v>
      </c>
      <c r="IE158" t="s">
        <v>426</v>
      </c>
      <c r="IF158">
        <v>0</v>
      </c>
      <c r="IG158">
        <v>100</v>
      </c>
      <c r="IH158">
        <v>100</v>
      </c>
      <c r="II158">
        <v>-5.7000000000000002E-2</v>
      </c>
      <c r="IJ158">
        <v>0.1187</v>
      </c>
      <c r="IK158">
        <v>-5.6326631301309382E-2</v>
      </c>
      <c r="IL158">
        <v>-8.3322953065825546E-5</v>
      </c>
      <c r="IM158">
        <v>2.3872336679552741E-7</v>
      </c>
      <c r="IN158">
        <v>-5.428329794194132E-11</v>
      </c>
      <c r="IO158">
        <v>0.1187106458927925</v>
      </c>
      <c r="IP158">
        <v>0</v>
      </c>
      <c r="IQ158">
        <v>0</v>
      </c>
      <c r="IR158">
        <v>0</v>
      </c>
      <c r="IS158">
        <v>2</v>
      </c>
      <c r="IT158">
        <v>2035</v>
      </c>
      <c r="IU158">
        <v>1</v>
      </c>
      <c r="IV158">
        <v>21</v>
      </c>
      <c r="IW158">
        <v>0.8</v>
      </c>
      <c r="IX158">
        <v>0.6</v>
      </c>
      <c r="IY158">
        <v>0.17089799999999999</v>
      </c>
      <c r="IZ158">
        <v>2.7685499999999998</v>
      </c>
      <c r="JA158">
        <v>1.4526399999999999</v>
      </c>
      <c r="JB158">
        <v>2.2753899999999998</v>
      </c>
      <c r="JC158">
        <v>1.5942400000000001</v>
      </c>
      <c r="JD158">
        <v>2.2851599999999999</v>
      </c>
      <c r="JE158">
        <v>46.974400000000003</v>
      </c>
      <c r="JF158">
        <v>15.769399999999999</v>
      </c>
      <c r="JG158">
        <v>18</v>
      </c>
      <c r="JH158">
        <v>480.93</v>
      </c>
      <c r="JI158">
        <v>434.19299999999998</v>
      </c>
      <c r="JJ158">
        <v>26.619299999999999</v>
      </c>
      <c r="JK158">
        <v>34.287599999999998</v>
      </c>
      <c r="JL158">
        <v>29.999600000000001</v>
      </c>
      <c r="JM158">
        <v>34.253100000000003</v>
      </c>
      <c r="JN158">
        <v>34.245600000000003</v>
      </c>
      <c r="JO158">
        <v>3.3832200000000001</v>
      </c>
      <c r="JP158">
        <v>21.150700000000001</v>
      </c>
      <c r="JQ158">
        <v>9.0007300000000008</v>
      </c>
      <c r="JR158">
        <v>26.644200000000001</v>
      </c>
      <c r="JS158">
        <v>10</v>
      </c>
      <c r="JT158">
        <v>20.493099999999998</v>
      </c>
      <c r="JU158">
        <v>98.988500000000002</v>
      </c>
      <c r="JV158">
        <v>98.416200000000003</v>
      </c>
    </row>
    <row r="159" spans="1:282" x14ac:dyDescent="0.25">
      <c r="A159">
        <v>143</v>
      </c>
      <c r="B159">
        <v>1689027474.5999999</v>
      </c>
      <c r="C159">
        <v>28134</v>
      </c>
      <c r="D159" t="s">
        <v>1140</v>
      </c>
      <c r="E159" t="s">
        <v>1141</v>
      </c>
      <c r="F159" t="s">
        <v>414</v>
      </c>
      <c r="G159" t="s">
        <v>415</v>
      </c>
      <c r="H159" t="s">
        <v>31</v>
      </c>
      <c r="I159" t="s">
        <v>417</v>
      </c>
      <c r="J159" t="s">
        <v>500</v>
      </c>
      <c r="K159">
        <v>1689027474.5999999</v>
      </c>
      <c r="L159">
        <f t="shared" si="184"/>
        <v>5.8055985918849329E-3</v>
      </c>
      <c r="M159">
        <f t="shared" si="185"/>
        <v>5.8055985918849329</v>
      </c>
      <c r="N159">
        <f t="shared" si="186"/>
        <v>47.090810374451188</v>
      </c>
      <c r="O159">
        <f t="shared" si="187"/>
        <v>341.10700000000003</v>
      </c>
      <c r="P159">
        <f t="shared" si="188"/>
        <v>133.92847109549467</v>
      </c>
      <c r="Q159">
        <f t="shared" si="189"/>
        <v>13.278662373662872</v>
      </c>
      <c r="R159">
        <f t="shared" si="190"/>
        <v>33.819878993940009</v>
      </c>
      <c r="S159">
        <f t="shared" si="191"/>
        <v>0.39855541065532424</v>
      </c>
      <c r="T159">
        <f t="shared" si="192"/>
        <v>2.9140942031638142</v>
      </c>
      <c r="U159">
        <f t="shared" si="193"/>
        <v>0.37056068734326353</v>
      </c>
      <c r="V159">
        <f t="shared" si="194"/>
        <v>0.23395157433440417</v>
      </c>
      <c r="W159">
        <f t="shared" si="195"/>
        <v>289.54891501270339</v>
      </c>
      <c r="X159">
        <f t="shared" si="196"/>
        <v>30.114958758236948</v>
      </c>
      <c r="Y159">
        <f t="shared" si="197"/>
        <v>29.994399999999999</v>
      </c>
      <c r="Z159">
        <f t="shared" si="198"/>
        <v>4.2590795507267458</v>
      </c>
      <c r="AA159">
        <f t="shared" si="199"/>
        <v>65.109678675042275</v>
      </c>
      <c r="AB159">
        <f t="shared" si="200"/>
        <v>2.7607202509320006</v>
      </c>
      <c r="AC159">
        <f t="shared" si="201"/>
        <v>4.240107319083168</v>
      </c>
      <c r="AD159">
        <f t="shared" si="202"/>
        <v>1.4983592997947452</v>
      </c>
      <c r="AE159">
        <f t="shared" si="203"/>
        <v>-256.02689790212554</v>
      </c>
      <c r="AF159">
        <f t="shared" si="204"/>
        <v>-12.207031047111196</v>
      </c>
      <c r="AG159">
        <f t="shared" si="205"/>
        <v>-0.93101015061276093</v>
      </c>
      <c r="AH159">
        <f t="shared" si="206"/>
        <v>20.38397591285392</v>
      </c>
      <c r="AI159">
        <v>4</v>
      </c>
      <c r="AJ159">
        <v>1</v>
      </c>
      <c r="AK159">
        <f t="shared" si="207"/>
        <v>1</v>
      </c>
      <c r="AL159">
        <f t="shared" si="208"/>
        <v>0</v>
      </c>
      <c r="AM159">
        <f t="shared" si="209"/>
        <v>51906.429437007355</v>
      </c>
      <c r="AN159" t="s">
        <v>418</v>
      </c>
      <c r="AO159">
        <v>8197.4</v>
      </c>
      <c r="AP159">
        <v>619.92999999999995</v>
      </c>
      <c r="AQ159">
        <v>3131.443117258741</v>
      </c>
      <c r="AR159">
        <f t="shared" si="210"/>
        <v>0.80203057287443702</v>
      </c>
      <c r="AS159">
        <v>-1.0448500102641549</v>
      </c>
      <c r="AT159" t="s">
        <v>1142</v>
      </c>
      <c r="AU159">
        <v>8194.1</v>
      </c>
      <c r="AV159">
        <v>756.67351999999994</v>
      </c>
      <c r="AW159">
        <v>1137.4253314171599</v>
      </c>
      <c r="AX159">
        <f t="shared" si="211"/>
        <v>0.33474884100107682</v>
      </c>
      <c r="AY159">
        <v>0.5</v>
      </c>
      <c r="AZ159">
        <f t="shared" si="212"/>
        <v>1513.092300006582</v>
      </c>
      <c r="BA159">
        <f t="shared" si="213"/>
        <v>47.090810374451188</v>
      </c>
      <c r="BB159">
        <f t="shared" si="214"/>
        <v>253.25294687742849</v>
      </c>
      <c r="BC159">
        <f t="shared" si="215"/>
        <v>3.1812772019595863E-2</v>
      </c>
      <c r="BD159">
        <f t="shared" si="216"/>
        <v>1.7530977469590565</v>
      </c>
      <c r="BE159">
        <f t="shared" si="217"/>
        <v>460.20972487280346</v>
      </c>
      <c r="BF159" t="s">
        <v>1143</v>
      </c>
      <c r="BG159">
        <v>614.19000000000005</v>
      </c>
      <c r="BH159">
        <f t="shared" si="218"/>
        <v>614.19000000000005</v>
      </c>
      <c r="BI159">
        <f t="shared" si="219"/>
        <v>0.460017301324951</v>
      </c>
      <c r="BJ159">
        <f t="shared" si="220"/>
        <v>0.72768750226768986</v>
      </c>
      <c r="BK159">
        <f t="shared" si="221"/>
        <v>0.79214035814286454</v>
      </c>
      <c r="BL159">
        <f t="shared" si="222"/>
        <v>0.73575893018101612</v>
      </c>
      <c r="BM159">
        <f t="shared" si="223"/>
        <v>0.79395077498858768</v>
      </c>
      <c r="BN159">
        <f t="shared" si="224"/>
        <v>0.59066212204411817</v>
      </c>
      <c r="BO159">
        <f t="shared" si="225"/>
        <v>0.40933787795588183</v>
      </c>
      <c r="BP159">
        <v>13854</v>
      </c>
      <c r="BQ159">
        <v>290.00000000000011</v>
      </c>
      <c r="BR159">
        <v>979.53</v>
      </c>
      <c r="BS159">
        <v>275</v>
      </c>
      <c r="BT159">
        <v>8194.1</v>
      </c>
      <c r="BU159">
        <v>982.17</v>
      </c>
      <c r="BV159">
        <v>-2.64</v>
      </c>
      <c r="BW159">
        <v>300.00000000000011</v>
      </c>
      <c r="BX159">
        <v>19.3</v>
      </c>
      <c r="BY159">
        <v>1137.4253314171599</v>
      </c>
      <c r="BZ159">
        <v>5.2571126220861162</v>
      </c>
      <c r="CA159">
        <v>-127.21630279484511</v>
      </c>
      <c r="CB159">
        <v>3.9556231841053018</v>
      </c>
      <c r="CC159">
        <v>0.97364264024228209</v>
      </c>
      <c r="CD159">
        <v>-4.2429933259176943E-3</v>
      </c>
      <c r="CE159">
        <v>289.99999999999989</v>
      </c>
      <c r="CF159">
        <v>965.88</v>
      </c>
      <c r="CG159">
        <v>625</v>
      </c>
      <c r="CH159">
        <v>8183.65</v>
      </c>
      <c r="CI159">
        <v>981.97</v>
      </c>
      <c r="CJ159">
        <v>-16.09</v>
      </c>
      <c r="CX159">
        <f t="shared" si="226"/>
        <v>1799.89</v>
      </c>
      <c r="CY159">
        <f t="shared" si="227"/>
        <v>1513.092300006582</v>
      </c>
      <c r="CZ159">
        <f t="shared" si="228"/>
        <v>0.84065820689407789</v>
      </c>
      <c r="DA159">
        <f t="shared" si="229"/>
        <v>0.16087033930557054</v>
      </c>
      <c r="DB159">
        <v>6</v>
      </c>
      <c r="DC159">
        <v>0.5</v>
      </c>
      <c r="DD159" t="s">
        <v>421</v>
      </c>
      <c r="DE159">
        <v>2</v>
      </c>
      <c r="DF159">
        <v>1689027474.5999999</v>
      </c>
      <c r="DG159">
        <v>341.10700000000003</v>
      </c>
      <c r="DH159">
        <v>399.96600000000001</v>
      </c>
      <c r="DI159">
        <v>27.8446</v>
      </c>
      <c r="DJ159">
        <v>21.0749</v>
      </c>
      <c r="DK159">
        <v>341.17399999999998</v>
      </c>
      <c r="DL159">
        <v>27.722000000000001</v>
      </c>
      <c r="DM159">
        <v>500.22399999999999</v>
      </c>
      <c r="DN159">
        <v>99.047300000000007</v>
      </c>
      <c r="DO159">
        <v>0.10012</v>
      </c>
      <c r="DP159">
        <v>29.916699999999999</v>
      </c>
      <c r="DQ159">
        <v>29.994399999999999</v>
      </c>
      <c r="DR159">
        <v>999.9</v>
      </c>
      <c r="DS159">
        <v>0</v>
      </c>
      <c r="DT159">
        <v>0</v>
      </c>
      <c r="DU159">
        <v>10007.5</v>
      </c>
      <c r="DV159">
        <v>0</v>
      </c>
      <c r="DW159">
        <v>942.85699999999997</v>
      </c>
      <c r="DX159">
        <v>-58.8583</v>
      </c>
      <c r="DY159">
        <v>350.87799999999999</v>
      </c>
      <c r="DZ159">
        <v>408.57600000000002</v>
      </c>
      <c r="EA159">
        <v>6.7696399999999999</v>
      </c>
      <c r="EB159">
        <v>399.96600000000001</v>
      </c>
      <c r="EC159">
        <v>21.0749</v>
      </c>
      <c r="ED159">
        <v>2.75793</v>
      </c>
      <c r="EE159">
        <v>2.0874199999999998</v>
      </c>
      <c r="EF159">
        <v>22.634399999999999</v>
      </c>
      <c r="EG159">
        <v>18.1235</v>
      </c>
      <c r="EH159">
        <v>1799.89</v>
      </c>
      <c r="EI159">
        <v>0.97800100000000001</v>
      </c>
      <c r="EJ159">
        <v>2.1999500000000002E-2</v>
      </c>
      <c r="EK159">
        <v>0</v>
      </c>
      <c r="EL159">
        <v>755.71400000000006</v>
      </c>
      <c r="EM159">
        <v>4.9999900000000004</v>
      </c>
      <c r="EN159">
        <v>21665.4</v>
      </c>
      <c r="EO159">
        <v>15862.8</v>
      </c>
      <c r="EP159">
        <v>48.875</v>
      </c>
      <c r="EQ159">
        <v>49.686999999999998</v>
      </c>
      <c r="ER159">
        <v>49.375</v>
      </c>
      <c r="ES159">
        <v>49.436999999999998</v>
      </c>
      <c r="ET159">
        <v>50.5</v>
      </c>
      <c r="EU159">
        <v>1755.4</v>
      </c>
      <c r="EV159">
        <v>39.49</v>
      </c>
      <c r="EW159">
        <v>0</v>
      </c>
      <c r="EX159">
        <v>170.4000000953674</v>
      </c>
      <c r="EY159">
        <v>0</v>
      </c>
      <c r="EZ159">
        <v>756.67351999999994</v>
      </c>
      <c r="FA159">
        <v>-7.3687692350895846</v>
      </c>
      <c r="FB159">
        <v>-82.292307437952559</v>
      </c>
      <c r="FC159">
        <v>21666.403999999999</v>
      </c>
      <c r="FD159">
        <v>15</v>
      </c>
      <c r="FE159">
        <v>1689027383.5999999</v>
      </c>
      <c r="FF159" t="s">
        <v>1144</v>
      </c>
      <c r="FG159">
        <v>1689027381.0999999</v>
      </c>
      <c r="FH159">
        <v>1689027383.5999999</v>
      </c>
      <c r="FI159">
        <v>160</v>
      </c>
      <c r="FJ159">
        <v>-7.0000000000000001E-3</v>
      </c>
      <c r="FK159">
        <v>4.0000000000000001E-3</v>
      </c>
      <c r="FL159">
        <v>-6.2E-2</v>
      </c>
      <c r="FM159">
        <v>9.5000000000000001E-2</v>
      </c>
      <c r="FN159">
        <v>400</v>
      </c>
      <c r="FO159">
        <v>20</v>
      </c>
      <c r="FP159">
        <v>0.1</v>
      </c>
      <c r="FQ159">
        <v>0.01</v>
      </c>
      <c r="FR159">
        <v>47.016505362293628</v>
      </c>
      <c r="FS159">
        <v>0.66928080244481136</v>
      </c>
      <c r="FT159">
        <v>5.2973764761085007E-2</v>
      </c>
      <c r="FU159">
        <v>1</v>
      </c>
      <c r="FV159">
        <v>0.39954267264235349</v>
      </c>
      <c r="FW159">
        <v>-6.7432772321938256E-3</v>
      </c>
      <c r="FX159">
        <v>5.3578742311617428E-4</v>
      </c>
      <c r="FY159">
        <v>1</v>
      </c>
      <c r="FZ159">
        <v>2</v>
      </c>
      <c r="GA159">
        <v>2</v>
      </c>
      <c r="GB159" t="s">
        <v>423</v>
      </c>
      <c r="GC159">
        <v>2.9578500000000001</v>
      </c>
      <c r="GD159">
        <v>2.74342</v>
      </c>
      <c r="GE159">
        <v>7.8260800000000005E-2</v>
      </c>
      <c r="GF159">
        <v>8.8498199999999999E-2</v>
      </c>
      <c r="GG159">
        <v>0.127888</v>
      </c>
      <c r="GH159">
        <v>0.104743</v>
      </c>
      <c r="GI159">
        <v>21637.9</v>
      </c>
      <c r="GJ159">
        <v>19941.900000000001</v>
      </c>
      <c r="GK159">
        <v>23409.1</v>
      </c>
      <c r="GL159">
        <v>21928.5</v>
      </c>
      <c r="GM159">
        <v>28800.6</v>
      </c>
      <c r="GN159">
        <v>27402.6</v>
      </c>
      <c r="GO159">
        <v>36944</v>
      </c>
      <c r="GP159">
        <v>34130</v>
      </c>
      <c r="GQ159">
        <v>1.9419299999999999</v>
      </c>
      <c r="GR159">
        <v>1.8186800000000001</v>
      </c>
      <c r="GS159">
        <v>8.0056499999999996E-3</v>
      </c>
      <c r="GT159">
        <v>0</v>
      </c>
      <c r="GU159">
        <v>29.864100000000001</v>
      </c>
      <c r="GV159">
        <v>999.9</v>
      </c>
      <c r="GW159">
        <v>27.7</v>
      </c>
      <c r="GX159">
        <v>44.4</v>
      </c>
      <c r="GY159">
        <v>26.132999999999999</v>
      </c>
      <c r="GZ159">
        <v>60.3538</v>
      </c>
      <c r="HA159">
        <v>37.828499999999998</v>
      </c>
      <c r="HB159">
        <v>1</v>
      </c>
      <c r="HC159">
        <v>0.55096500000000004</v>
      </c>
      <c r="HD159">
        <v>2.92204</v>
      </c>
      <c r="HE159">
        <v>20.135300000000001</v>
      </c>
      <c r="HF159">
        <v>5.2638600000000002</v>
      </c>
      <c r="HG159">
        <v>11.962199999999999</v>
      </c>
      <c r="HH159">
        <v>4.9798</v>
      </c>
      <c r="HI159">
        <v>3.298</v>
      </c>
      <c r="HJ159">
        <v>9999</v>
      </c>
      <c r="HK159">
        <v>9999</v>
      </c>
      <c r="HL159">
        <v>9999</v>
      </c>
      <c r="HM159">
        <v>999.9</v>
      </c>
      <c r="HN159">
        <v>1.86388</v>
      </c>
      <c r="HO159">
        <v>1.85989</v>
      </c>
      <c r="HP159">
        <v>1.8665099999999999</v>
      </c>
      <c r="HQ159">
        <v>1.8631800000000001</v>
      </c>
      <c r="HR159">
        <v>1.8618699999999999</v>
      </c>
      <c r="HS159">
        <v>1.86188</v>
      </c>
      <c r="HT159">
        <v>1.86311</v>
      </c>
      <c r="HU159">
        <v>1.8644400000000001</v>
      </c>
      <c r="HV159">
        <v>0</v>
      </c>
      <c r="HW159">
        <v>0</v>
      </c>
      <c r="HX159">
        <v>0</v>
      </c>
      <c r="HY159">
        <v>0</v>
      </c>
      <c r="HZ159" t="s">
        <v>424</v>
      </c>
      <c r="IA159" t="s">
        <v>425</v>
      </c>
      <c r="IB159" t="s">
        <v>426</v>
      </c>
      <c r="IC159" t="s">
        <v>426</v>
      </c>
      <c r="ID159" t="s">
        <v>426</v>
      </c>
      <c r="IE159" t="s">
        <v>426</v>
      </c>
      <c r="IF159">
        <v>0</v>
      </c>
      <c r="IG159">
        <v>100</v>
      </c>
      <c r="IH159">
        <v>100</v>
      </c>
      <c r="II159">
        <v>-6.7000000000000004E-2</v>
      </c>
      <c r="IJ159">
        <v>0.1226</v>
      </c>
      <c r="IK159">
        <v>-6.3707037068279182E-2</v>
      </c>
      <c r="IL159">
        <v>-8.3322953065825546E-5</v>
      </c>
      <c r="IM159">
        <v>2.3872336679552741E-7</v>
      </c>
      <c r="IN159">
        <v>-5.428329794194132E-11</v>
      </c>
      <c r="IO159">
        <v>0.12262354463834881</v>
      </c>
      <c r="IP159">
        <v>0</v>
      </c>
      <c r="IQ159">
        <v>0</v>
      </c>
      <c r="IR159">
        <v>0</v>
      </c>
      <c r="IS159">
        <v>2</v>
      </c>
      <c r="IT159">
        <v>2035</v>
      </c>
      <c r="IU159">
        <v>1</v>
      </c>
      <c r="IV159">
        <v>21</v>
      </c>
      <c r="IW159">
        <v>1.6</v>
      </c>
      <c r="IX159">
        <v>1.5</v>
      </c>
      <c r="IY159">
        <v>1.073</v>
      </c>
      <c r="IZ159">
        <v>2.7124000000000001</v>
      </c>
      <c r="JA159">
        <v>1.4514199999999999</v>
      </c>
      <c r="JB159">
        <v>2.2753899999999998</v>
      </c>
      <c r="JC159">
        <v>1.5942400000000001</v>
      </c>
      <c r="JD159">
        <v>2.3706100000000001</v>
      </c>
      <c r="JE159">
        <v>46.8855</v>
      </c>
      <c r="JF159">
        <v>15.7256</v>
      </c>
      <c r="JG159">
        <v>18</v>
      </c>
      <c r="JH159">
        <v>481.27800000000002</v>
      </c>
      <c r="JI159">
        <v>436.298</v>
      </c>
      <c r="JJ159">
        <v>26.787600000000001</v>
      </c>
      <c r="JK159">
        <v>34.1629</v>
      </c>
      <c r="JL159">
        <v>30.0001</v>
      </c>
      <c r="JM159">
        <v>34.167999999999999</v>
      </c>
      <c r="JN159">
        <v>34.172499999999999</v>
      </c>
      <c r="JO159">
        <v>21.4238</v>
      </c>
      <c r="JP159">
        <v>17.610700000000001</v>
      </c>
      <c r="JQ159">
        <v>8.2513400000000008</v>
      </c>
      <c r="JR159">
        <v>26.786200000000001</v>
      </c>
      <c r="JS159">
        <v>400</v>
      </c>
      <c r="JT159">
        <v>21.142399999999999</v>
      </c>
      <c r="JU159">
        <v>99.012200000000007</v>
      </c>
      <c r="JV159">
        <v>98.438699999999997</v>
      </c>
    </row>
    <row r="160" spans="1:282" x14ac:dyDescent="0.25">
      <c r="A160">
        <v>144</v>
      </c>
      <c r="B160">
        <v>1689027652.0999999</v>
      </c>
      <c r="C160">
        <v>28311.5</v>
      </c>
      <c r="D160" t="s">
        <v>1145</v>
      </c>
      <c r="E160" t="s">
        <v>1146</v>
      </c>
      <c r="F160" t="s">
        <v>414</v>
      </c>
      <c r="G160" t="s">
        <v>415</v>
      </c>
      <c r="H160" t="s">
        <v>31</v>
      </c>
      <c r="I160" t="s">
        <v>417</v>
      </c>
      <c r="J160" t="s">
        <v>500</v>
      </c>
      <c r="K160">
        <v>1689027652.0999999</v>
      </c>
      <c r="L160">
        <f t="shared" si="184"/>
        <v>5.5770035622854791E-3</v>
      </c>
      <c r="M160">
        <f t="shared" si="185"/>
        <v>5.577003562285479</v>
      </c>
      <c r="N160">
        <f t="shared" si="186"/>
        <v>52.303395057042515</v>
      </c>
      <c r="O160">
        <f t="shared" si="187"/>
        <v>334.97899999999998</v>
      </c>
      <c r="P160">
        <f t="shared" si="188"/>
        <v>95.743706689058172</v>
      </c>
      <c r="Q160">
        <f t="shared" si="189"/>
        <v>9.4920965315511179</v>
      </c>
      <c r="R160">
        <f t="shared" si="190"/>
        <v>33.210047051644395</v>
      </c>
      <c r="S160">
        <f t="shared" si="191"/>
        <v>0.37993211262898863</v>
      </c>
      <c r="T160">
        <f t="shared" si="192"/>
        <v>2.9131070893279425</v>
      </c>
      <c r="U160">
        <f t="shared" si="193"/>
        <v>0.3543946253541847</v>
      </c>
      <c r="V160">
        <f t="shared" si="194"/>
        <v>0.22364787967251173</v>
      </c>
      <c r="W160">
        <f t="shared" si="195"/>
        <v>289.57546801269893</v>
      </c>
      <c r="X160">
        <f t="shared" si="196"/>
        <v>30.176718844055582</v>
      </c>
      <c r="Y160">
        <f t="shared" si="197"/>
        <v>30.0122</v>
      </c>
      <c r="Z160">
        <f t="shared" si="198"/>
        <v>4.2634362284972411</v>
      </c>
      <c r="AA160">
        <f t="shared" si="199"/>
        <v>65.051153777953346</v>
      </c>
      <c r="AB160">
        <f t="shared" si="200"/>
        <v>2.7585399508282</v>
      </c>
      <c r="AC160">
        <f t="shared" si="201"/>
        <v>4.2405703675053097</v>
      </c>
      <c r="AD160">
        <f t="shared" si="202"/>
        <v>1.5048962776690411</v>
      </c>
      <c r="AE160">
        <f t="shared" si="203"/>
        <v>-245.94585709678964</v>
      </c>
      <c r="AF160">
        <f t="shared" si="204"/>
        <v>-14.700013791825553</v>
      </c>
      <c r="AG160">
        <f t="shared" si="205"/>
        <v>-1.1216351457231339</v>
      </c>
      <c r="AH160">
        <f t="shared" si="206"/>
        <v>27.807961978360609</v>
      </c>
      <c r="AI160">
        <v>4</v>
      </c>
      <c r="AJ160">
        <v>1</v>
      </c>
      <c r="AK160">
        <f t="shared" si="207"/>
        <v>1</v>
      </c>
      <c r="AL160">
        <f t="shared" si="208"/>
        <v>0</v>
      </c>
      <c r="AM160">
        <f t="shared" si="209"/>
        <v>51877.880768366711</v>
      </c>
      <c r="AN160" t="s">
        <v>418</v>
      </c>
      <c r="AO160">
        <v>8197.4</v>
      </c>
      <c r="AP160">
        <v>619.92999999999995</v>
      </c>
      <c r="AQ160">
        <v>3131.443117258741</v>
      </c>
      <c r="AR160">
        <f t="shared" si="210"/>
        <v>0.80203057287443702</v>
      </c>
      <c r="AS160">
        <v>-1.0448500102641549</v>
      </c>
      <c r="AT160" t="s">
        <v>1147</v>
      </c>
      <c r="AU160">
        <v>8193.61</v>
      </c>
      <c r="AV160">
        <v>777.52931999999998</v>
      </c>
      <c r="AW160">
        <v>1184.0433203180739</v>
      </c>
      <c r="AX160">
        <f t="shared" si="211"/>
        <v>0.34332696561209486</v>
      </c>
      <c r="AY160">
        <v>0.5</v>
      </c>
      <c r="AZ160">
        <f t="shared" si="212"/>
        <v>1513.2348000065795</v>
      </c>
      <c r="BA160">
        <f t="shared" si="213"/>
        <v>52.303395057042515</v>
      </c>
      <c r="BB160">
        <f t="shared" si="214"/>
        <v>259.76715607244205</v>
      </c>
      <c r="BC160">
        <f t="shared" si="215"/>
        <v>3.5254439738680816E-2</v>
      </c>
      <c r="BD160">
        <f t="shared" si="216"/>
        <v>1.6447031654361512</v>
      </c>
      <c r="BE160">
        <f t="shared" si="217"/>
        <v>467.6595947383484</v>
      </c>
      <c r="BF160" t="s">
        <v>1148</v>
      </c>
      <c r="BG160">
        <v>621.91</v>
      </c>
      <c r="BH160">
        <f t="shared" si="218"/>
        <v>621.91</v>
      </c>
      <c r="BI160">
        <f t="shared" si="219"/>
        <v>0.47475739330809785</v>
      </c>
      <c r="BJ160">
        <f t="shared" si="220"/>
        <v>0.72316296797360213</v>
      </c>
      <c r="BK160">
        <f t="shared" si="221"/>
        <v>0.77600083599131231</v>
      </c>
      <c r="BL160">
        <f t="shared" si="222"/>
        <v>0.72062471435501996</v>
      </c>
      <c r="BM160">
        <f t="shared" si="223"/>
        <v>0.775389060705448</v>
      </c>
      <c r="BN160">
        <f t="shared" si="224"/>
        <v>0.57842485144156741</v>
      </c>
      <c r="BO160">
        <f t="shared" si="225"/>
        <v>0.42157514855843259</v>
      </c>
      <c r="BP160">
        <v>13856</v>
      </c>
      <c r="BQ160">
        <v>290.00000000000011</v>
      </c>
      <c r="BR160">
        <v>1031.72</v>
      </c>
      <c r="BS160">
        <v>295</v>
      </c>
      <c r="BT160">
        <v>8193.61</v>
      </c>
      <c r="BU160">
        <v>1033.43</v>
      </c>
      <c r="BV160">
        <v>-1.71</v>
      </c>
      <c r="BW160">
        <v>300.00000000000011</v>
      </c>
      <c r="BX160">
        <v>19.3</v>
      </c>
      <c r="BY160">
        <v>1184.0433203180739</v>
      </c>
      <c r="BZ160">
        <v>4.2740234432121333</v>
      </c>
      <c r="CA160">
        <v>-123.4055699578728</v>
      </c>
      <c r="CB160">
        <v>3.215989692395258</v>
      </c>
      <c r="CC160">
        <v>0.98133891781368254</v>
      </c>
      <c r="CD160">
        <v>-4.2432418242491681E-3</v>
      </c>
      <c r="CE160">
        <v>289.99999999999989</v>
      </c>
      <c r="CF160">
        <v>1022.55</v>
      </c>
      <c r="CG160">
        <v>655</v>
      </c>
      <c r="CH160">
        <v>8182.91</v>
      </c>
      <c r="CI160">
        <v>1033.23</v>
      </c>
      <c r="CJ160">
        <v>-10.68</v>
      </c>
      <c r="CX160">
        <f t="shared" si="226"/>
        <v>1800.06</v>
      </c>
      <c r="CY160">
        <f t="shared" si="227"/>
        <v>1513.2348000065795</v>
      </c>
      <c r="CZ160">
        <f t="shared" si="228"/>
        <v>0.84065797807105291</v>
      </c>
      <c r="DA160">
        <f t="shared" si="229"/>
        <v>0.16086989767713239</v>
      </c>
      <c r="DB160">
        <v>6</v>
      </c>
      <c r="DC160">
        <v>0.5</v>
      </c>
      <c r="DD160" t="s">
        <v>421</v>
      </c>
      <c r="DE160">
        <v>2</v>
      </c>
      <c r="DF160">
        <v>1689027652.0999999</v>
      </c>
      <c r="DG160">
        <v>334.97899999999998</v>
      </c>
      <c r="DH160">
        <v>399.95499999999998</v>
      </c>
      <c r="DI160">
        <v>27.8245</v>
      </c>
      <c r="DJ160">
        <v>21.321300000000001</v>
      </c>
      <c r="DK160">
        <v>335.07799999999997</v>
      </c>
      <c r="DL160">
        <v>27.699400000000001</v>
      </c>
      <c r="DM160">
        <v>500.23</v>
      </c>
      <c r="DN160">
        <v>99.040899999999993</v>
      </c>
      <c r="DO160">
        <v>9.97836E-2</v>
      </c>
      <c r="DP160">
        <v>29.918600000000001</v>
      </c>
      <c r="DQ160">
        <v>30.0122</v>
      </c>
      <c r="DR160">
        <v>999.9</v>
      </c>
      <c r="DS160">
        <v>0</v>
      </c>
      <c r="DT160">
        <v>0</v>
      </c>
      <c r="DU160">
        <v>10002.5</v>
      </c>
      <c r="DV160">
        <v>0</v>
      </c>
      <c r="DW160">
        <v>929.00900000000001</v>
      </c>
      <c r="DX160">
        <v>-64.975999999999999</v>
      </c>
      <c r="DY160">
        <v>344.56700000000001</v>
      </c>
      <c r="DZ160">
        <v>408.66899999999998</v>
      </c>
      <c r="EA160">
        <v>6.5031699999999999</v>
      </c>
      <c r="EB160">
        <v>399.95499999999998</v>
      </c>
      <c r="EC160">
        <v>21.321300000000001</v>
      </c>
      <c r="ED160">
        <v>2.75576</v>
      </c>
      <c r="EE160">
        <v>2.1116799999999998</v>
      </c>
      <c r="EF160">
        <v>22.621500000000001</v>
      </c>
      <c r="EG160">
        <v>18.307600000000001</v>
      </c>
      <c r="EH160">
        <v>1800.06</v>
      </c>
      <c r="EI160">
        <v>0.97800399999999998</v>
      </c>
      <c r="EJ160">
        <v>2.19963E-2</v>
      </c>
      <c r="EK160">
        <v>0</v>
      </c>
      <c r="EL160">
        <v>778.18</v>
      </c>
      <c r="EM160">
        <v>4.9999900000000004</v>
      </c>
      <c r="EN160">
        <v>22155.599999999999</v>
      </c>
      <c r="EO160">
        <v>15864.4</v>
      </c>
      <c r="EP160">
        <v>48.75</v>
      </c>
      <c r="EQ160">
        <v>49.625</v>
      </c>
      <c r="ER160">
        <v>49.311999999999998</v>
      </c>
      <c r="ES160">
        <v>49.375</v>
      </c>
      <c r="ET160">
        <v>50.436999999999998</v>
      </c>
      <c r="EU160">
        <v>1755.58</v>
      </c>
      <c r="EV160">
        <v>39.479999999999997</v>
      </c>
      <c r="EW160">
        <v>0</v>
      </c>
      <c r="EX160">
        <v>175.4000000953674</v>
      </c>
      <c r="EY160">
        <v>0</v>
      </c>
      <c r="EZ160">
        <v>777.52931999999998</v>
      </c>
      <c r="FA160">
        <v>2.9186153782640711</v>
      </c>
      <c r="FB160">
        <v>-38.384615308226927</v>
      </c>
      <c r="FC160">
        <v>22167.031999999999</v>
      </c>
      <c r="FD160">
        <v>15</v>
      </c>
      <c r="FE160">
        <v>1689027545.0999999</v>
      </c>
      <c r="FF160" t="s">
        <v>1149</v>
      </c>
      <c r="FG160">
        <v>1689027545.0999999</v>
      </c>
      <c r="FH160">
        <v>1689027543.0999999</v>
      </c>
      <c r="FI160">
        <v>161</v>
      </c>
      <c r="FJ160">
        <v>-3.2000000000000001E-2</v>
      </c>
      <c r="FK160">
        <v>2E-3</v>
      </c>
      <c r="FL160">
        <v>-9.4E-2</v>
      </c>
      <c r="FM160">
        <v>0.114</v>
      </c>
      <c r="FN160">
        <v>400</v>
      </c>
      <c r="FO160">
        <v>21</v>
      </c>
      <c r="FP160">
        <v>0.03</v>
      </c>
      <c r="FQ160">
        <v>0.01</v>
      </c>
      <c r="FR160">
        <v>52.23789694842371</v>
      </c>
      <c r="FS160">
        <v>0.65078496629358495</v>
      </c>
      <c r="FT160">
        <v>6.3667200050441186E-2</v>
      </c>
      <c r="FU160">
        <v>1</v>
      </c>
      <c r="FV160">
        <v>0.38022181196692151</v>
      </c>
      <c r="FW160">
        <v>-5.3624039518314114E-3</v>
      </c>
      <c r="FX160">
        <v>4.5458380284930949E-4</v>
      </c>
      <c r="FY160">
        <v>1</v>
      </c>
      <c r="FZ160">
        <v>2</v>
      </c>
      <c r="GA160">
        <v>2</v>
      </c>
      <c r="GB160" t="s">
        <v>423</v>
      </c>
      <c r="GC160">
        <v>2.9579599999999999</v>
      </c>
      <c r="GD160">
        <v>2.7430400000000001</v>
      </c>
      <c r="GE160">
        <v>7.7160599999999996E-2</v>
      </c>
      <c r="GF160">
        <v>8.8512599999999997E-2</v>
      </c>
      <c r="GG160">
        <v>0.127834</v>
      </c>
      <c r="GH160">
        <v>0.105613</v>
      </c>
      <c r="GI160">
        <v>21668.5</v>
      </c>
      <c r="GJ160">
        <v>19946.7</v>
      </c>
      <c r="GK160">
        <v>23413.8</v>
      </c>
      <c r="GL160">
        <v>21933.7</v>
      </c>
      <c r="GM160">
        <v>28808</v>
      </c>
      <c r="GN160">
        <v>27381.5</v>
      </c>
      <c r="GO160">
        <v>36952.1</v>
      </c>
      <c r="GP160">
        <v>34137.4</v>
      </c>
      <c r="GQ160">
        <v>1.9431700000000001</v>
      </c>
      <c r="GR160">
        <v>1.8209200000000001</v>
      </c>
      <c r="GS160">
        <v>8.7618799999999997E-3</v>
      </c>
      <c r="GT160">
        <v>0</v>
      </c>
      <c r="GU160">
        <v>29.869599999999998</v>
      </c>
      <c r="GV160">
        <v>999.9</v>
      </c>
      <c r="GW160">
        <v>27.5</v>
      </c>
      <c r="GX160">
        <v>44.4</v>
      </c>
      <c r="GY160">
        <v>25.945</v>
      </c>
      <c r="GZ160">
        <v>60.463799999999999</v>
      </c>
      <c r="HA160">
        <v>37.808500000000002</v>
      </c>
      <c r="HB160">
        <v>1</v>
      </c>
      <c r="HC160">
        <v>0.54338900000000001</v>
      </c>
      <c r="HD160">
        <v>3.3328600000000002</v>
      </c>
      <c r="HE160">
        <v>20.1251</v>
      </c>
      <c r="HF160">
        <v>5.26356</v>
      </c>
      <c r="HG160">
        <v>11.9625</v>
      </c>
      <c r="HH160">
        <v>4.9797000000000002</v>
      </c>
      <c r="HI160">
        <v>3.2978999999999998</v>
      </c>
      <c r="HJ160">
        <v>9999</v>
      </c>
      <c r="HK160">
        <v>9999</v>
      </c>
      <c r="HL160">
        <v>9999</v>
      </c>
      <c r="HM160">
        <v>999.9</v>
      </c>
      <c r="HN160">
        <v>1.8638699999999999</v>
      </c>
      <c r="HO160">
        <v>1.85989</v>
      </c>
      <c r="HP160">
        <v>1.86652</v>
      </c>
      <c r="HQ160">
        <v>1.86317</v>
      </c>
      <c r="HR160">
        <v>1.8618699999999999</v>
      </c>
      <c r="HS160">
        <v>1.86188</v>
      </c>
      <c r="HT160">
        <v>1.8631</v>
      </c>
      <c r="HU160">
        <v>1.8644499999999999</v>
      </c>
      <c r="HV160">
        <v>0</v>
      </c>
      <c r="HW160">
        <v>0</v>
      </c>
      <c r="HX160">
        <v>0</v>
      </c>
      <c r="HY160">
        <v>0</v>
      </c>
      <c r="HZ160" t="s">
        <v>424</v>
      </c>
      <c r="IA160" t="s">
        <v>425</v>
      </c>
      <c r="IB160" t="s">
        <v>426</v>
      </c>
      <c r="IC160" t="s">
        <v>426</v>
      </c>
      <c r="ID160" t="s">
        <v>426</v>
      </c>
      <c r="IE160" t="s">
        <v>426</v>
      </c>
      <c r="IF160">
        <v>0</v>
      </c>
      <c r="IG160">
        <v>100</v>
      </c>
      <c r="IH160">
        <v>100</v>
      </c>
      <c r="II160">
        <v>-9.9000000000000005E-2</v>
      </c>
      <c r="IJ160">
        <v>0.12509999999999999</v>
      </c>
      <c r="IK160">
        <v>-9.5715823054986604E-2</v>
      </c>
      <c r="IL160">
        <v>-8.3322953065825546E-5</v>
      </c>
      <c r="IM160">
        <v>2.3872336679552741E-7</v>
      </c>
      <c r="IN160">
        <v>-5.428329794194132E-11</v>
      </c>
      <c r="IO160">
        <v>0.1251100943301319</v>
      </c>
      <c r="IP160">
        <v>0</v>
      </c>
      <c r="IQ160">
        <v>0</v>
      </c>
      <c r="IR160">
        <v>0</v>
      </c>
      <c r="IS160">
        <v>2</v>
      </c>
      <c r="IT160">
        <v>2035</v>
      </c>
      <c r="IU160">
        <v>1</v>
      </c>
      <c r="IV160">
        <v>21</v>
      </c>
      <c r="IW160">
        <v>1.8</v>
      </c>
      <c r="IX160">
        <v>1.8</v>
      </c>
      <c r="IY160">
        <v>1.073</v>
      </c>
      <c r="IZ160">
        <v>2.7172900000000002</v>
      </c>
      <c r="JA160">
        <v>1.4526399999999999</v>
      </c>
      <c r="JB160">
        <v>2.2753899999999998</v>
      </c>
      <c r="JC160">
        <v>1.5942400000000001</v>
      </c>
      <c r="JD160">
        <v>2.3547400000000001</v>
      </c>
      <c r="JE160">
        <v>46.8264</v>
      </c>
      <c r="JF160">
        <v>15.6731</v>
      </c>
      <c r="JG160">
        <v>18</v>
      </c>
      <c r="JH160">
        <v>481.32499999999999</v>
      </c>
      <c r="JI160">
        <v>437.16199999999998</v>
      </c>
      <c r="JJ160">
        <v>26.557099999999998</v>
      </c>
      <c r="JK160">
        <v>34.061999999999998</v>
      </c>
      <c r="JL160">
        <v>29.9999</v>
      </c>
      <c r="JM160">
        <v>34.075000000000003</v>
      </c>
      <c r="JN160">
        <v>34.083799999999997</v>
      </c>
      <c r="JO160">
        <v>21.427199999999999</v>
      </c>
      <c r="JP160">
        <v>15.1058</v>
      </c>
      <c r="JQ160">
        <v>8.5271399999999993</v>
      </c>
      <c r="JR160">
        <v>26.536799999999999</v>
      </c>
      <c r="JS160">
        <v>400</v>
      </c>
      <c r="JT160">
        <v>21.293099999999999</v>
      </c>
      <c r="JU160">
        <v>99.033299999999997</v>
      </c>
      <c r="JV160">
        <v>98.460800000000006</v>
      </c>
    </row>
    <row r="161" spans="1:282" x14ac:dyDescent="0.25">
      <c r="A161">
        <v>145</v>
      </c>
      <c r="B161">
        <v>1689027760.5999999</v>
      </c>
      <c r="C161">
        <v>28420</v>
      </c>
      <c r="D161" t="s">
        <v>1150</v>
      </c>
      <c r="E161" t="s">
        <v>1151</v>
      </c>
      <c r="F161" t="s">
        <v>414</v>
      </c>
      <c r="G161" t="s">
        <v>415</v>
      </c>
      <c r="H161" t="s">
        <v>31</v>
      </c>
      <c r="I161" t="s">
        <v>417</v>
      </c>
      <c r="J161" t="s">
        <v>500</v>
      </c>
      <c r="K161">
        <v>1689027760.5999999</v>
      </c>
      <c r="L161">
        <f t="shared" si="184"/>
        <v>5.4864001687900338E-3</v>
      </c>
      <c r="M161">
        <f t="shared" si="185"/>
        <v>5.4864001687900341</v>
      </c>
      <c r="N161">
        <f t="shared" si="186"/>
        <v>51.789103606120641</v>
      </c>
      <c r="O161">
        <f t="shared" si="187"/>
        <v>335.798</v>
      </c>
      <c r="P161">
        <f t="shared" si="188"/>
        <v>96.306527449450883</v>
      </c>
      <c r="Q161">
        <f t="shared" si="189"/>
        <v>9.5479385355537438</v>
      </c>
      <c r="R161">
        <f t="shared" si="190"/>
        <v>33.291395186528</v>
      </c>
      <c r="S161">
        <f t="shared" si="191"/>
        <v>0.37553193614215802</v>
      </c>
      <c r="T161">
        <f t="shared" si="192"/>
        <v>2.9107036120764178</v>
      </c>
      <c r="U161">
        <f t="shared" si="193"/>
        <v>0.3505425559932166</v>
      </c>
      <c r="V161">
        <f t="shared" si="194"/>
        <v>0.22119557000555085</v>
      </c>
      <c r="W161">
        <f t="shared" si="195"/>
        <v>289.55472001269987</v>
      </c>
      <c r="X161">
        <f t="shared" si="196"/>
        <v>30.133464003014915</v>
      </c>
      <c r="Y161">
        <f t="shared" si="197"/>
        <v>30.011099999999999</v>
      </c>
      <c r="Z161">
        <f t="shared" si="198"/>
        <v>4.2631668830561553</v>
      </c>
      <c r="AA161">
        <f t="shared" si="199"/>
        <v>65.490716619662393</v>
      </c>
      <c r="AB161">
        <f t="shared" si="200"/>
        <v>2.7665036577391997</v>
      </c>
      <c r="AC161">
        <f t="shared" si="201"/>
        <v>4.2242684162484911</v>
      </c>
      <c r="AD161">
        <f t="shared" si="202"/>
        <v>1.4966632253169556</v>
      </c>
      <c r="AE161">
        <f t="shared" si="203"/>
        <v>-241.95024744364048</v>
      </c>
      <c r="AF161">
        <f t="shared" si="204"/>
        <v>-25.029035574914737</v>
      </c>
      <c r="AG161">
        <f t="shared" si="205"/>
        <v>-1.910689114987338</v>
      </c>
      <c r="AH161">
        <f t="shared" si="206"/>
        <v>20.664747879157311</v>
      </c>
      <c r="AI161">
        <v>4</v>
      </c>
      <c r="AJ161">
        <v>1</v>
      </c>
      <c r="AK161">
        <f t="shared" si="207"/>
        <v>1</v>
      </c>
      <c r="AL161">
        <f t="shared" si="208"/>
        <v>0</v>
      </c>
      <c r="AM161">
        <f t="shared" si="209"/>
        <v>51820.986038352574</v>
      </c>
      <c r="AN161" t="s">
        <v>418</v>
      </c>
      <c r="AO161">
        <v>8197.4</v>
      </c>
      <c r="AP161">
        <v>619.92999999999995</v>
      </c>
      <c r="AQ161">
        <v>3131.443117258741</v>
      </c>
      <c r="AR161">
        <f t="shared" si="210"/>
        <v>0.80203057287443702</v>
      </c>
      <c r="AS161">
        <v>-1.0448500102641549</v>
      </c>
      <c r="AT161" t="s">
        <v>1152</v>
      </c>
      <c r="AU161">
        <v>8193.0300000000007</v>
      </c>
      <c r="AV161">
        <v>776.59230769230771</v>
      </c>
      <c r="AW161">
        <v>1193.2528900792829</v>
      </c>
      <c r="AX161">
        <f t="shared" si="211"/>
        <v>0.34918045106037088</v>
      </c>
      <c r="AY161">
        <v>0.5</v>
      </c>
      <c r="AZ161">
        <f t="shared" si="212"/>
        <v>1513.1256000065803</v>
      </c>
      <c r="BA161">
        <f t="shared" si="213"/>
        <v>51.789103606120641</v>
      </c>
      <c r="BB161">
        <f t="shared" si="214"/>
        <v>264.17693976064601</v>
      </c>
      <c r="BC161">
        <f t="shared" si="215"/>
        <v>3.4917097176966033E-2</v>
      </c>
      <c r="BD161">
        <f t="shared" si="216"/>
        <v>1.6242912489830044</v>
      </c>
      <c r="BE161">
        <f t="shared" si="217"/>
        <v>469.08955796603806</v>
      </c>
      <c r="BF161" t="s">
        <v>1153</v>
      </c>
      <c r="BG161">
        <v>618.82000000000005</v>
      </c>
      <c r="BH161">
        <f t="shared" si="218"/>
        <v>618.82000000000005</v>
      </c>
      <c r="BI161">
        <f t="shared" si="219"/>
        <v>0.48140079513330658</v>
      </c>
      <c r="BJ161">
        <f t="shared" si="220"/>
        <v>0.72534248923223732</v>
      </c>
      <c r="BK161">
        <f t="shared" si="221"/>
        <v>0.77138119675266459</v>
      </c>
      <c r="BL161">
        <f t="shared" si="222"/>
        <v>0.72674681160795196</v>
      </c>
      <c r="BM161">
        <f t="shared" si="223"/>
        <v>0.77172211996843887</v>
      </c>
      <c r="BN161">
        <f t="shared" si="224"/>
        <v>0.57798208241399907</v>
      </c>
      <c r="BO161">
        <f t="shared" si="225"/>
        <v>0.42201791758600093</v>
      </c>
      <c r="BP161">
        <v>13858</v>
      </c>
      <c r="BQ161">
        <v>290.00000000000011</v>
      </c>
      <c r="BR161">
        <v>1032.8900000000001</v>
      </c>
      <c r="BS161">
        <v>295</v>
      </c>
      <c r="BT161">
        <v>8193.0300000000007</v>
      </c>
      <c r="BU161">
        <v>1035.78</v>
      </c>
      <c r="BV161">
        <v>-2.89</v>
      </c>
      <c r="BW161">
        <v>300.00000000000011</v>
      </c>
      <c r="BX161">
        <v>19.3</v>
      </c>
      <c r="BY161">
        <v>1193.2528900792829</v>
      </c>
      <c r="BZ161">
        <v>4.2420417545835853</v>
      </c>
      <c r="CA161">
        <v>-129.01764656578499</v>
      </c>
      <c r="CB161">
        <v>3.1916886668321611</v>
      </c>
      <c r="CC161">
        <v>0.98315302379529856</v>
      </c>
      <c r="CD161">
        <v>-4.243086540600678E-3</v>
      </c>
      <c r="CE161">
        <v>289.99999999999989</v>
      </c>
      <c r="CF161">
        <v>1023.51</v>
      </c>
      <c r="CG161">
        <v>645</v>
      </c>
      <c r="CH161">
        <v>8182.64</v>
      </c>
      <c r="CI161">
        <v>1035.58</v>
      </c>
      <c r="CJ161">
        <v>-12.07</v>
      </c>
      <c r="CX161">
        <f t="shared" si="226"/>
        <v>1799.93</v>
      </c>
      <c r="CY161">
        <f t="shared" si="227"/>
        <v>1513.1256000065803</v>
      </c>
      <c r="CZ161">
        <f t="shared" si="228"/>
        <v>0.84065802559353986</v>
      </c>
      <c r="DA161">
        <f t="shared" si="229"/>
        <v>0.16086998939553199</v>
      </c>
      <c r="DB161">
        <v>6</v>
      </c>
      <c r="DC161">
        <v>0.5</v>
      </c>
      <c r="DD161" t="s">
        <v>421</v>
      </c>
      <c r="DE161">
        <v>2</v>
      </c>
      <c r="DF161">
        <v>1689027760.5999999</v>
      </c>
      <c r="DG161">
        <v>335.798</v>
      </c>
      <c r="DH161">
        <v>400.14400000000001</v>
      </c>
      <c r="DI161">
        <v>27.904699999999998</v>
      </c>
      <c r="DJ161">
        <v>21.5059</v>
      </c>
      <c r="DK161">
        <v>335.85899999999998</v>
      </c>
      <c r="DL161">
        <v>27.7804</v>
      </c>
      <c r="DM161">
        <v>500.09100000000001</v>
      </c>
      <c r="DN161">
        <v>99.040999999999997</v>
      </c>
      <c r="DO161">
        <v>0.100136</v>
      </c>
      <c r="DP161">
        <v>29.851600000000001</v>
      </c>
      <c r="DQ161">
        <v>30.011099999999999</v>
      </c>
      <c r="DR161">
        <v>999.9</v>
      </c>
      <c r="DS161">
        <v>0</v>
      </c>
      <c r="DT161">
        <v>0</v>
      </c>
      <c r="DU161">
        <v>9988.75</v>
      </c>
      <c r="DV161">
        <v>0</v>
      </c>
      <c r="DW161">
        <v>915.98</v>
      </c>
      <c r="DX161">
        <v>-64.346199999999996</v>
      </c>
      <c r="DY161">
        <v>345.43799999999999</v>
      </c>
      <c r="DZ161">
        <v>408.93900000000002</v>
      </c>
      <c r="EA161">
        <v>6.3988100000000001</v>
      </c>
      <c r="EB161">
        <v>400.14400000000001</v>
      </c>
      <c r="EC161">
        <v>21.5059</v>
      </c>
      <c r="ED161">
        <v>2.7637100000000001</v>
      </c>
      <c r="EE161">
        <v>2.1299600000000001</v>
      </c>
      <c r="EF161">
        <v>22.668900000000001</v>
      </c>
      <c r="EG161">
        <v>18.445</v>
      </c>
      <c r="EH161">
        <v>1799.93</v>
      </c>
      <c r="EI161">
        <v>0.97800399999999998</v>
      </c>
      <c r="EJ161">
        <v>2.19963E-2</v>
      </c>
      <c r="EK161">
        <v>0</v>
      </c>
      <c r="EL161">
        <v>776.48599999999999</v>
      </c>
      <c r="EM161">
        <v>4.9999900000000004</v>
      </c>
      <c r="EN161">
        <v>22173.4</v>
      </c>
      <c r="EO161">
        <v>15863.2</v>
      </c>
      <c r="EP161">
        <v>48.875</v>
      </c>
      <c r="EQ161">
        <v>49.686999999999998</v>
      </c>
      <c r="ER161">
        <v>49.311999999999998</v>
      </c>
      <c r="ES161">
        <v>49.5</v>
      </c>
      <c r="ET161">
        <v>50.5</v>
      </c>
      <c r="EU161">
        <v>1755.45</v>
      </c>
      <c r="EV161">
        <v>39.479999999999997</v>
      </c>
      <c r="EW161">
        <v>0</v>
      </c>
      <c r="EX161">
        <v>106.4000000953674</v>
      </c>
      <c r="EY161">
        <v>0</v>
      </c>
      <c r="EZ161">
        <v>776.59230769230771</v>
      </c>
      <c r="FA161">
        <v>-2.692239311823001</v>
      </c>
      <c r="FB161">
        <v>14.905982818817449</v>
      </c>
      <c r="FC161">
        <v>22163.369230769229</v>
      </c>
      <c r="FD161">
        <v>15</v>
      </c>
      <c r="FE161">
        <v>1689027721.5999999</v>
      </c>
      <c r="FF161" t="s">
        <v>1154</v>
      </c>
      <c r="FG161">
        <v>1689027716.5999999</v>
      </c>
      <c r="FH161">
        <v>1689027721.5999999</v>
      </c>
      <c r="FI161">
        <v>162</v>
      </c>
      <c r="FJ161">
        <v>3.9E-2</v>
      </c>
      <c r="FK161">
        <v>-1E-3</v>
      </c>
      <c r="FL161">
        <v>-5.6000000000000001E-2</v>
      </c>
      <c r="FM161">
        <v>0.11799999999999999</v>
      </c>
      <c r="FN161">
        <v>400</v>
      </c>
      <c r="FO161">
        <v>21</v>
      </c>
      <c r="FP161">
        <v>0.03</v>
      </c>
      <c r="FQ161">
        <v>0.01</v>
      </c>
      <c r="FR161">
        <v>51.873304095675849</v>
      </c>
      <c r="FS161">
        <v>-0.4977948178741875</v>
      </c>
      <c r="FT161">
        <v>5.6890029880188507E-2</v>
      </c>
      <c r="FU161">
        <v>1</v>
      </c>
      <c r="FV161">
        <v>0.37745817966509398</v>
      </c>
      <c r="FW161">
        <v>-1.5631395105998602E-2</v>
      </c>
      <c r="FX161">
        <v>1.184948842010687E-3</v>
      </c>
      <c r="FY161">
        <v>1</v>
      </c>
      <c r="FZ161">
        <v>2</v>
      </c>
      <c r="GA161">
        <v>2</v>
      </c>
      <c r="GB161" t="s">
        <v>423</v>
      </c>
      <c r="GC161">
        <v>2.9576199999999999</v>
      </c>
      <c r="GD161">
        <v>2.7432699999999999</v>
      </c>
      <c r="GE161">
        <v>7.7309299999999997E-2</v>
      </c>
      <c r="GF161">
        <v>8.8552599999999995E-2</v>
      </c>
      <c r="GG161">
        <v>0.12809999999999999</v>
      </c>
      <c r="GH161">
        <v>0.10625800000000001</v>
      </c>
      <c r="GI161">
        <v>21666.9</v>
      </c>
      <c r="GJ161">
        <v>19946.900000000001</v>
      </c>
      <c r="GK161">
        <v>23415.8</v>
      </c>
      <c r="GL161">
        <v>21934.799999999999</v>
      </c>
      <c r="GM161">
        <v>28800.799999999999</v>
      </c>
      <c r="GN161">
        <v>27363.3</v>
      </c>
      <c r="GO161">
        <v>36954.400000000001</v>
      </c>
      <c r="GP161">
        <v>34139.5</v>
      </c>
      <c r="GQ161">
        <v>1.9427000000000001</v>
      </c>
      <c r="GR161">
        <v>1.8215699999999999</v>
      </c>
      <c r="GS161">
        <v>3.0547399999999998E-3</v>
      </c>
      <c r="GT161">
        <v>0</v>
      </c>
      <c r="GU161">
        <v>29.961400000000001</v>
      </c>
      <c r="GV161">
        <v>999.9</v>
      </c>
      <c r="GW161">
        <v>27.4</v>
      </c>
      <c r="GX161">
        <v>44.4</v>
      </c>
      <c r="GY161">
        <v>25.8492</v>
      </c>
      <c r="GZ161">
        <v>60.463799999999999</v>
      </c>
      <c r="HA161">
        <v>38.553699999999999</v>
      </c>
      <c r="HB161">
        <v>1</v>
      </c>
      <c r="HC161">
        <v>0.54517499999999997</v>
      </c>
      <c r="HD161">
        <v>4.0071899999999996</v>
      </c>
      <c r="HE161">
        <v>20.1084</v>
      </c>
      <c r="HF161">
        <v>5.26281</v>
      </c>
      <c r="HG161">
        <v>11.9626</v>
      </c>
      <c r="HH161">
        <v>4.9797500000000001</v>
      </c>
      <c r="HI161">
        <v>3.298</v>
      </c>
      <c r="HJ161">
        <v>9999</v>
      </c>
      <c r="HK161">
        <v>9999</v>
      </c>
      <c r="HL161">
        <v>9999</v>
      </c>
      <c r="HM161">
        <v>999.9</v>
      </c>
      <c r="HN161">
        <v>1.8639300000000001</v>
      </c>
      <c r="HO161">
        <v>1.85989</v>
      </c>
      <c r="HP161">
        <v>1.8665799999999999</v>
      </c>
      <c r="HQ161">
        <v>1.86321</v>
      </c>
      <c r="HR161">
        <v>1.86188</v>
      </c>
      <c r="HS161">
        <v>1.86188</v>
      </c>
      <c r="HT161">
        <v>1.8631</v>
      </c>
      <c r="HU161">
        <v>1.8644400000000001</v>
      </c>
      <c r="HV161">
        <v>0</v>
      </c>
      <c r="HW161">
        <v>0</v>
      </c>
      <c r="HX161">
        <v>0</v>
      </c>
      <c r="HY161">
        <v>0</v>
      </c>
      <c r="HZ161" t="s">
        <v>424</v>
      </c>
      <c r="IA161" t="s">
        <v>425</v>
      </c>
      <c r="IB161" t="s">
        <v>426</v>
      </c>
      <c r="IC161" t="s">
        <v>426</v>
      </c>
      <c r="ID161" t="s">
        <v>426</v>
      </c>
      <c r="IE161" t="s">
        <v>426</v>
      </c>
      <c r="IF161">
        <v>0</v>
      </c>
      <c r="IG161">
        <v>100</v>
      </c>
      <c r="IH161">
        <v>100</v>
      </c>
      <c r="II161">
        <v>-6.0999999999999999E-2</v>
      </c>
      <c r="IJ161">
        <v>0.12429999999999999</v>
      </c>
      <c r="IK161">
        <v>-5.725245354246683E-2</v>
      </c>
      <c r="IL161">
        <v>-8.3322953065825546E-5</v>
      </c>
      <c r="IM161">
        <v>2.3872336679552741E-7</v>
      </c>
      <c r="IN161">
        <v>-5.428329794194132E-11</v>
      </c>
      <c r="IO161">
        <v>0.1242922985247944</v>
      </c>
      <c r="IP161">
        <v>0</v>
      </c>
      <c r="IQ161">
        <v>0</v>
      </c>
      <c r="IR161">
        <v>0</v>
      </c>
      <c r="IS161">
        <v>2</v>
      </c>
      <c r="IT161">
        <v>2035</v>
      </c>
      <c r="IU161">
        <v>1</v>
      </c>
      <c r="IV161">
        <v>21</v>
      </c>
      <c r="IW161">
        <v>0.7</v>
      </c>
      <c r="IX161">
        <v>0.7</v>
      </c>
      <c r="IY161">
        <v>1.07422</v>
      </c>
      <c r="IZ161">
        <v>2.7221700000000002</v>
      </c>
      <c r="JA161">
        <v>1.4526399999999999</v>
      </c>
      <c r="JB161">
        <v>2.2753899999999998</v>
      </c>
      <c r="JC161">
        <v>1.5942400000000001</v>
      </c>
      <c r="JD161">
        <v>2.3132299999999999</v>
      </c>
      <c r="JE161">
        <v>46.796900000000001</v>
      </c>
      <c r="JF161">
        <v>15.629300000000001</v>
      </c>
      <c r="JG161">
        <v>18</v>
      </c>
      <c r="JH161">
        <v>480.82900000000001</v>
      </c>
      <c r="JI161">
        <v>437.39</v>
      </c>
      <c r="JJ161">
        <v>26.005800000000001</v>
      </c>
      <c r="JK161">
        <v>34.049700000000001</v>
      </c>
      <c r="JL161">
        <v>30</v>
      </c>
      <c r="JM161">
        <v>34.0501</v>
      </c>
      <c r="JN161">
        <v>34.055300000000003</v>
      </c>
      <c r="JO161">
        <v>21.441299999999998</v>
      </c>
      <c r="JP161">
        <v>13.187099999999999</v>
      </c>
      <c r="JQ161">
        <v>8.5856499999999993</v>
      </c>
      <c r="JR161">
        <v>25.999500000000001</v>
      </c>
      <c r="JS161">
        <v>400</v>
      </c>
      <c r="JT161">
        <v>21.477599999999999</v>
      </c>
      <c r="JU161">
        <v>99.040199999999999</v>
      </c>
      <c r="JV161">
        <v>98.466399999999993</v>
      </c>
    </row>
    <row r="162" spans="1:282" x14ac:dyDescent="0.25">
      <c r="A162">
        <v>146</v>
      </c>
      <c r="B162">
        <v>1689027908.0999999</v>
      </c>
      <c r="C162">
        <v>28567.5</v>
      </c>
      <c r="D162" t="s">
        <v>1155</v>
      </c>
      <c r="E162" t="s">
        <v>1156</v>
      </c>
      <c r="F162" t="s">
        <v>414</v>
      </c>
      <c r="G162" t="s">
        <v>415</v>
      </c>
      <c r="H162" t="s">
        <v>31</v>
      </c>
      <c r="I162" t="s">
        <v>417</v>
      </c>
      <c r="J162" t="s">
        <v>500</v>
      </c>
      <c r="K162">
        <v>1689027908.0999999</v>
      </c>
      <c r="L162">
        <f t="shared" si="184"/>
        <v>5.341042498810929E-3</v>
      </c>
      <c r="M162">
        <f t="shared" si="185"/>
        <v>5.3410424988109293</v>
      </c>
      <c r="N162">
        <f t="shared" si="186"/>
        <v>57.444158403197044</v>
      </c>
      <c r="O162">
        <f t="shared" si="187"/>
        <v>428.52499999999998</v>
      </c>
      <c r="P162">
        <f t="shared" si="188"/>
        <v>154.82285819826515</v>
      </c>
      <c r="Q162">
        <f t="shared" si="189"/>
        <v>15.349303822234278</v>
      </c>
      <c r="R162">
        <f t="shared" si="190"/>
        <v>42.484427021749994</v>
      </c>
      <c r="S162">
        <f t="shared" si="191"/>
        <v>0.36540018883536668</v>
      </c>
      <c r="T162">
        <f t="shared" si="192"/>
        <v>2.9128780136737569</v>
      </c>
      <c r="U162">
        <f t="shared" si="193"/>
        <v>0.34171185574304314</v>
      </c>
      <c r="V162">
        <f t="shared" si="194"/>
        <v>0.21557011160347705</v>
      </c>
      <c r="W162">
        <f t="shared" si="195"/>
        <v>289.5674880126993</v>
      </c>
      <c r="X162">
        <f t="shared" si="196"/>
        <v>30.149377578724405</v>
      </c>
      <c r="Y162">
        <f t="shared" si="197"/>
        <v>29.9663</v>
      </c>
      <c r="Z162">
        <f t="shared" si="198"/>
        <v>4.2522097710450675</v>
      </c>
      <c r="AA162">
        <f t="shared" si="199"/>
        <v>65.357248215440521</v>
      </c>
      <c r="AB162">
        <f t="shared" si="200"/>
        <v>2.7573907516959997</v>
      </c>
      <c r="AC162">
        <f t="shared" si="201"/>
        <v>4.218951726068191</v>
      </c>
      <c r="AD162">
        <f t="shared" si="202"/>
        <v>1.4948190193490678</v>
      </c>
      <c r="AE162">
        <f t="shared" si="203"/>
        <v>-235.53997419756197</v>
      </c>
      <c r="AF162">
        <f t="shared" si="204"/>
        <v>-21.45153825603655</v>
      </c>
      <c r="AG162">
        <f t="shared" si="205"/>
        <v>-1.6358240534328228</v>
      </c>
      <c r="AH162">
        <f t="shared" si="206"/>
        <v>30.940151505667949</v>
      </c>
      <c r="AI162">
        <v>5</v>
      </c>
      <c r="AJ162">
        <v>1</v>
      </c>
      <c r="AK162">
        <f t="shared" si="207"/>
        <v>1</v>
      </c>
      <c r="AL162">
        <f t="shared" si="208"/>
        <v>0</v>
      </c>
      <c r="AM162">
        <f t="shared" si="209"/>
        <v>51886.589402580677</v>
      </c>
      <c r="AN162" t="s">
        <v>418</v>
      </c>
      <c r="AO162">
        <v>8197.4</v>
      </c>
      <c r="AP162">
        <v>619.92999999999995</v>
      </c>
      <c r="AQ162">
        <v>3131.443117258741</v>
      </c>
      <c r="AR162">
        <f t="shared" si="210"/>
        <v>0.80203057287443702</v>
      </c>
      <c r="AS162">
        <v>-1.0448500102641549</v>
      </c>
      <c r="AT162" t="s">
        <v>1157</v>
      </c>
      <c r="AU162">
        <v>8193.56</v>
      </c>
      <c r="AV162">
        <v>801.89242307692314</v>
      </c>
      <c r="AW162">
        <v>1282.123384832817</v>
      </c>
      <c r="AX162">
        <f t="shared" si="211"/>
        <v>0.37455908490313805</v>
      </c>
      <c r="AY162">
        <v>0.5</v>
      </c>
      <c r="AZ162">
        <f t="shared" si="212"/>
        <v>1513.1928000065798</v>
      </c>
      <c r="BA162">
        <f t="shared" si="213"/>
        <v>57.444158403197044</v>
      </c>
      <c r="BB162">
        <f t="shared" si="214"/>
        <v>283.39005522624086</v>
      </c>
      <c r="BC162">
        <f t="shared" si="215"/>
        <v>3.8652713925949739E-2</v>
      </c>
      <c r="BD162">
        <f t="shared" si="216"/>
        <v>1.4423882711312273</v>
      </c>
      <c r="BE162">
        <f t="shared" si="217"/>
        <v>482.22985372125277</v>
      </c>
      <c r="BF162" t="s">
        <v>1158</v>
      </c>
      <c r="BG162">
        <v>624.49</v>
      </c>
      <c r="BH162">
        <f t="shared" si="218"/>
        <v>624.49</v>
      </c>
      <c r="BI162">
        <f t="shared" si="219"/>
        <v>0.51292519316974272</v>
      </c>
      <c r="BJ162">
        <f t="shared" si="220"/>
        <v>0.73024115385805388</v>
      </c>
      <c r="BK162">
        <f t="shared" si="221"/>
        <v>0.73767623323091314</v>
      </c>
      <c r="BL162">
        <f t="shared" si="222"/>
        <v>0.72521256290885028</v>
      </c>
      <c r="BM162">
        <f t="shared" si="223"/>
        <v>0.73633687983458118</v>
      </c>
      <c r="BN162">
        <f t="shared" si="224"/>
        <v>0.5686901198330323</v>
      </c>
      <c r="BO162">
        <f t="shared" si="225"/>
        <v>0.4313098801669677</v>
      </c>
      <c r="BP162">
        <v>13860</v>
      </c>
      <c r="BQ162">
        <v>290.00000000000011</v>
      </c>
      <c r="BR162">
        <v>1108.1500000000001</v>
      </c>
      <c r="BS162">
        <v>295</v>
      </c>
      <c r="BT162">
        <v>8193.56</v>
      </c>
      <c r="BU162">
        <v>1111.3800000000001</v>
      </c>
      <c r="BV162">
        <v>-3.23</v>
      </c>
      <c r="BW162">
        <v>300.00000000000011</v>
      </c>
      <c r="BX162">
        <v>19.3</v>
      </c>
      <c r="BY162">
        <v>1282.123384832817</v>
      </c>
      <c r="BZ162">
        <v>4.147242116566578</v>
      </c>
      <c r="CA162">
        <v>-139.8981439704078</v>
      </c>
      <c r="CB162">
        <v>3.1205555318333649</v>
      </c>
      <c r="CC162">
        <v>0.986259917506777</v>
      </c>
      <c r="CD162">
        <v>-4.2434453837597282E-3</v>
      </c>
      <c r="CE162">
        <v>289.99999999999989</v>
      </c>
      <c r="CF162">
        <v>1099.33</v>
      </c>
      <c r="CG162">
        <v>645</v>
      </c>
      <c r="CH162">
        <v>8183.12</v>
      </c>
      <c r="CI162">
        <v>1111.1600000000001</v>
      </c>
      <c r="CJ162">
        <v>-11.83</v>
      </c>
      <c r="CX162">
        <f t="shared" si="226"/>
        <v>1800.01</v>
      </c>
      <c r="CY162">
        <f t="shared" si="227"/>
        <v>1513.1928000065798</v>
      </c>
      <c r="CZ162">
        <f t="shared" si="228"/>
        <v>0.84065799634812022</v>
      </c>
      <c r="DA162">
        <f t="shared" si="229"/>
        <v>0.1608699329518721</v>
      </c>
      <c r="DB162">
        <v>6</v>
      </c>
      <c r="DC162">
        <v>0.5</v>
      </c>
      <c r="DD162" t="s">
        <v>421</v>
      </c>
      <c r="DE162">
        <v>2</v>
      </c>
      <c r="DF162">
        <v>1689027908.0999999</v>
      </c>
      <c r="DG162">
        <v>428.52499999999998</v>
      </c>
      <c r="DH162">
        <v>500.17700000000002</v>
      </c>
      <c r="DI162">
        <v>27.812799999999999</v>
      </c>
      <c r="DJ162">
        <v>21.584199999999999</v>
      </c>
      <c r="DK162">
        <v>428.60199999999998</v>
      </c>
      <c r="DL162">
        <v>27.6828</v>
      </c>
      <c r="DM162">
        <v>500.19200000000001</v>
      </c>
      <c r="DN162">
        <v>99.040800000000004</v>
      </c>
      <c r="DO162">
        <v>0.10027</v>
      </c>
      <c r="DP162">
        <v>29.829699999999999</v>
      </c>
      <c r="DQ162">
        <v>29.9663</v>
      </c>
      <c r="DR162">
        <v>999.9</v>
      </c>
      <c r="DS162">
        <v>0</v>
      </c>
      <c r="DT162">
        <v>0</v>
      </c>
      <c r="DU162">
        <v>10001.200000000001</v>
      </c>
      <c r="DV162">
        <v>0</v>
      </c>
      <c r="DW162">
        <v>904.69500000000005</v>
      </c>
      <c r="DX162">
        <v>-71.652000000000001</v>
      </c>
      <c r="DY162">
        <v>440.78500000000003</v>
      </c>
      <c r="DZ162">
        <v>511.21199999999999</v>
      </c>
      <c r="EA162">
        <v>6.2285399999999997</v>
      </c>
      <c r="EB162">
        <v>500.17700000000002</v>
      </c>
      <c r="EC162">
        <v>21.584199999999999</v>
      </c>
      <c r="ED162">
        <v>2.7545999999999999</v>
      </c>
      <c r="EE162">
        <v>2.1377199999999998</v>
      </c>
      <c r="EF162">
        <v>22.6145</v>
      </c>
      <c r="EG162">
        <v>18.5031</v>
      </c>
      <c r="EH162">
        <v>1800.01</v>
      </c>
      <c r="EI162">
        <v>0.97800399999999998</v>
      </c>
      <c r="EJ162">
        <v>2.19963E-2</v>
      </c>
      <c r="EK162">
        <v>0</v>
      </c>
      <c r="EL162">
        <v>801.87300000000005</v>
      </c>
      <c r="EM162">
        <v>4.9999900000000004</v>
      </c>
      <c r="EN162">
        <v>22753.9</v>
      </c>
      <c r="EO162">
        <v>15864</v>
      </c>
      <c r="EP162">
        <v>48.811999999999998</v>
      </c>
      <c r="EQ162">
        <v>49.625</v>
      </c>
      <c r="ER162">
        <v>49.311999999999998</v>
      </c>
      <c r="ES162">
        <v>49.436999999999998</v>
      </c>
      <c r="ET162">
        <v>50.5</v>
      </c>
      <c r="EU162">
        <v>1755.53</v>
      </c>
      <c r="EV162">
        <v>39.479999999999997</v>
      </c>
      <c r="EW162">
        <v>0</v>
      </c>
      <c r="EX162">
        <v>145.4000000953674</v>
      </c>
      <c r="EY162">
        <v>0</v>
      </c>
      <c r="EZ162">
        <v>801.89242307692314</v>
      </c>
      <c r="FA162">
        <v>0.34841024136375048</v>
      </c>
      <c r="FB162">
        <v>119.78119753985349</v>
      </c>
      <c r="FC162">
        <v>22735.823076923079</v>
      </c>
      <c r="FD162">
        <v>15</v>
      </c>
      <c r="FE162">
        <v>1689027867.5999999</v>
      </c>
      <c r="FF162" t="s">
        <v>1159</v>
      </c>
      <c r="FG162">
        <v>1689027856.0999999</v>
      </c>
      <c r="FH162">
        <v>1689027867.5999999</v>
      </c>
      <c r="FI162">
        <v>163</v>
      </c>
      <c r="FJ162">
        <v>-2.3E-2</v>
      </c>
      <c r="FK162">
        <v>6.0000000000000001E-3</v>
      </c>
      <c r="FL162">
        <v>-6.9000000000000006E-2</v>
      </c>
      <c r="FM162">
        <v>0.11700000000000001</v>
      </c>
      <c r="FN162">
        <v>500</v>
      </c>
      <c r="FO162">
        <v>21</v>
      </c>
      <c r="FP162">
        <v>0.02</v>
      </c>
      <c r="FQ162">
        <v>0.01</v>
      </c>
      <c r="FR162">
        <v>57.431688065498072</v>
      </c>
      <c r="FS162">
        <v>-0.48688863525832621</v>
      </c>
      <c r="FT162">
        <v>6.3573484633341004E-2</v>
      </c>
      <c r="FU162">
        <v>1</v>
      </c>
      <c r="FV162">
        <v>0.36188771992375462</v>
      </c>
      <c r="FW162">
        <v>9.2863447990130174E-3</v>
      </c>
      <c r="FX162">
        <v>8.5284249088912278E-4</v>
      </c>
      <c r="FY162">
        <v>1</v>
      </c>
      <c r="FZ162">
        <v>2</v>
      </c>
      <c r="GA162">
        <v>2</v>
      </c>
      <c r="GB162" t="s">
        <v>423</v>
      </c>
      <c r="GC162">
        <v>2.9579</v>
      </c>
      <c r="GD162">
        <v>2.7435100000000001</v>
      </c>
      <c r="GE162">
        <v>9.3432600000000005E-2</v>
      </c>
      <c r="GF162">
        <v>0.10468</v>
      </c>
      <c r="GG162">
        <v>0.127801</v>
      </c>
      <c r="GH162">
        <v>0.10654</v>
      </c>
      <c r="GI162">
        <v>21290.799999999999</v>
      </c>
      <c r="GJ162">
        <v>19597.099999999999</v>
      </c>
      <c r="GK162">
        <v>23418.3</v>
      </c>
      <c r="GL162">
        <v>21938.2</v>
      </c>
      <c r="GM162">
        <v>28815.4</v>
      </c>
      <c r="GN162">
        <v>27359.7</v>
      </c>
      <c r="GO162">
        <v>36959.199999999997</v>
      </c>
      <c r="GP162">
        <v>34144.699999999997</v>
      </c>
      <c r="GQ162">
        <v>1.9432499999999999</v>
      </c>
      <c r="GR162">
        <v>1.8222700000000001</v>
      </c>
      <c r="GS162">
        <v>9.1083299999999996E-3</v>
      </c>
      <c r="GT162">
        <v>0</v>
      </c>
      <c r="GU162">
        <v>29.818000000000001</v>
      </c>
      <c r="GV162">
        <v>999.9</v>
      </c>
      <c r="GW162">
        <v>27.5</v>
      </c>
      <c r="GX162">
        <v>44.4</v>
      </c>
      <c r="GY162">
        <v>25.944700000000001</v>
      </c>
      <c r="GZ162">
        <v>60.363799999999998</v>
      </c>
      <c r="HA162">
        <v>38.225200000000001</v>
      </c>
      <c r="HB162">
        <v>1</v>
      </c>
      <c r="HC162">
        <v>0.53584900000000002</v>
      </c>
      <c r="HD162">
        <v>3.1566200000000002</v>
      </c>
      <c r="HE162">
        <v>20.129100000000001</v>
      </c>
      <c r="HF162">
        <v>5.2637099999999997</v>
      </c>
      <c r="HG162">
        <v>11.962899999999999</v>
      </c>
      <c r="HH162">
        <v>4.9797500000000001</v>
      </c>
      <c r="HI162">
        <v>3.298</v>
      </c>
      <c r="HJ162">
        <v>9999</v>
      </c>
      <c r="HK162">
        <v>9999</v>
      </c>
      <c r="HL162">
        <v>9999</v>
      </c>
      <c r="HM162">
        <v>999.9</v>
      </c>
      <c r="HN162">
        <v>1.8638999999999999</v>
      </c>
      <c r="HO162">
        <v>1.85989</v>
      </c>
      <c r="HP162">
        <v>1.86652</v>
      </c>
      <c r="HQ162">
        <v>1.8632200000000001</v>
      </c>
      <c r="HR162">
        <v>1.8618699999999999</v>
      </c>
      <c r="HS162">
        <v>1.86188</v>
      </c>
      <c r="HT162">
        <v>1.86311</v>
      </c>
      <c r="HU162">
        <v>1.86446</v>
      </c>
      <c r="HV162">
        <v>0</v>
      </c>
      <c r="HW162">
        <v>0</v>
      </c>
      <c r="HX162">
        <v>0</v>
      </c>
      <c r="HY162">
        <v>0</v>
      </c>
      <c r="HZ162" t="s">
        <v>424</v>
      </c>
      <c r="IA162" t="s">
        <v>425</v>
      </c>
      <c r="IB162" t="s">
        <v>426</v>
      </c>
      <c r="IC162" t="s">
        <v>426</v>
      </c>
      <c r="ID162" t="s">
        <v>426</v>
      </c>
      <c r="IE162" t="s">
        <v>426</v>
      </c>
      <c r="IF162">
        <v>0</v>
      </c>
      <c r="IG162">
        <v>100</v>
      </c>
      <c r="IH162">
        <v>100</v>
      </c>
      <c r="II162">
        <v>-7.6999999999999999E-2</v>
      </c>
      <c r="IJ162">
        <v>0.13</v>
      </c>
      <c r="IK162">
        <v>-8.0613829435887685E-2</v>
      </c>
      <c r="IL162">
        <v>-8.3322953065825546E-5</v>
      </c>
      <c r="IM162">
        <v>2.3872336679552741E-7</v>
      </c>
      <c r="IN162">
        <v>-5.428329794194132E-11</v>
      </c>
      <c r="IO162">
        <v>0.12993883961581651</v>
      </c>
      <c r="IP162">
        <v>0</v>
      </c>
      <c r="IQ162">
        <v>0</v>
      </c>
      <c r="IR162">
        <v>0</v>
      </c>
      <c r="IS162">
        <v>2</v>
      </c>
      <c r="IT162">
        <v>2035</v>
      </c>
      <c r="IU162">
        <v>1</v>
      </c>
      <c r="IV162">
        <v>21</v>
      </c>
      <c r="IW162">
        <v>0.9</v>
      </c>
      <c r="IX162">
        <v>0.7</v>
      </c>
      <c r="IY162">
        <v>1.2878400000000001</v>
      </c>
      <c r="IZ162">
        <v>2.7111800000000001</v>
      </c>
      <c r="JA162">
        <v>1.4514199999999999</v>
      </c>
      <c r="JB162">
        <v>2.2753899999999998</v>
      </c>
      <c r="JC162">
        <v>1.5942400000000001</v>
      </c>
      <c r="JD162">
        <v>2.4438499999999999</v>
      </c>
      <c r="JE162">
        <v>46.796900000000001</v>
      </c>
      <c r="JF162">
        <v>15.6205</v>
      </c>
      <c r="JG162">
        <v>18</v>
      </c>
      <c r="JH162">
        <v>480.83100000000002</v>
      </c>
      <c r="JI162">
        <v>437.50299999999999</v>
      </c>
      <c r="JJ162">
        <v>26.413900000000002</v>
      </c>
      <c r="JK162">
        <v>34.011000000000003</v>
      </c>
      <c r="JL162">
        <v>29.999099999999999</v>
      </c>
      <c r="JM162">
        <v>34.006999999999998</v>
      </c>
      <c r="JN162">
        <v>34.007800000000003</v>
      </c>
      <c r="JO162">
        <v>25.7133</v>
      </c>
      <c r="JP162">
        <v>13.2369</v>
      </c>
      <c r="JQ162">
        <v>8.7868600000000008</v>
      </c>
      <c r="JR162">
        <v>26.445399999999999</v>
      </c>
      <c r="JS162">
        <v>500</v>
      </c>
      <c r="JT162">
        <v>21.572600000000001</v>
      </c>
      <c r="JU162">
        <v>99.052400000000006</v>
      </c>
      <c r="JV162">
        <v>98.481700000000004</v>
      </c>
    </row>
    <row r="163" spans="1:282" x14ac:dyDescent="0.25">
      <c r="A163">
        <v>147</v>
      </c>
      <c r="B163">
        <v>1689028022.0999999</v>
      </c>
      <c r="C163">
        <v>28681.5</v>
      </c>
      <c r="D163" t="s">
        <v>1160</v>
      </c>
      <c r="E163" t="s">
        <v>1161</v>
      </c>
      <c r="F163" t="s">
        <v>414</v>
      </c>
      <c r="G163" t="s">
        <v>415</v>
      </c>
      <c r="H163" t="s">
        <v>31</v>
      </c>
      <c r="I163" t="s">
        <v>417</v>
      </c>
      <c r="J163" t="s">
        <v>500</v>
      </c>
      <c r="K163">
        <v>1689028022.0999999</v>
      </c>
      <c r="L163">
        <f t="shared" si="184"/>
        <v>5.122809698334352E-3</v>
      </c>
      <c r="M163">
        <f t="shared" si="185"/>
        <v>5.1228096983343523</v>
      </c>
      <c r="N163">
        <f t="shared" si="186"/>
        <v>60.165873366234408</v>
      </c>
      <c r="O163">
        <f t="shared" si="187"/>
        <v>624.02800000000002</v>
      </c>
      <c r="P163">
        <f t="shared" si="188"/>
        <v>319.33621224555918</v>
      </c>
      <c r="Q163">
        <f t="shared" si="189"/>
        <v>31.658046878770115</v>
      </c>
      <c r="R163">
        <f t="shared" si="190"/>
        <v>61.864288859522809</v>
      </c>
      <c r="S163">
        <f t="shared" si="191"/>
        <v>0.34716471518595066</v>
      </c>
      <c r="T163">
        <f t="shared" si="192"/>
        <v>2.9157696599511542</v>
      </c>
      <c r="U163">
        <f t="shared" si="193"/>
        <v>0.32572714165713851</v>
      </c>
      <c r="V163">
        <f t="shared" si="194"/>
        <v>0.205395135508042</v>
      </c>
      <c r="W163">
        <f t="shared" si="195"/>
        <v>289.58402701270182</v>
      </c>
      <c r="X163">
        <f t="shared" si="196"/>
        <v>30.262158493452549</v>
      </c>
      <c r="Y163">
        <f t="shared" si="197"/>
        <v>30.012699999999999</v>
      </c>
      <c r="Z163">
        <f t="shared" si="198"/>
        <v>4.2635586631457061</v>
      </c>
      <c r="AA163">
        <f t="shared" si="199"/>
        <v>65.199626315781146</v>
      </c>
      <c r="AB163">
        <f t="shared" si="200"/>
        <v>2.7596282167436503</v>
      </c>
      <c r="AC163">
        <f t="shared" si="201"/>
        <v>4.232582873064259</v>
      </c>
      <c r="AD163">
        <f t="shared" si="202"/>
        <v>1.5039304464020558</v>
      </c>
      <c r="AE163">
        <f t="shared" si="203"/>
        <v>-225.91590769654493</v>
      </c>
      <c r="AF163">
        <f t="shared" si="204"/>
        <v>-19.948042188834538</v>
      </c>
      <c r="AG163">
        <f t="shared" si="205"/>
        <v>-1.5204352763437476</v>
      </c>
      <c r="AH163">
        <f t="shared" si="206"/>
        <v>42.199641850978622</v>
      </c>
      <c r="AI163">
        <v>4</v>
      </c>
      <c r="AJ163">
        <v>1</v>
      </c>
      <c r="AK163">
        <f t="shared" si="207"/>
        <v>1</v>
      </c>
      <c r="AL163">
        <f t="shared" si="208"/>
        <v>0</v>
      </c>
      <c r="AM163">
        <f t="shared" si="209"/>
        <v>51959.198148428688</v>
      </c>
      <c r="AN163" t="s">
        <v>418</v>
      </c>
      <c r="AO163">
        <v>8197.4</v>
      </c>
      <c r="AP163">
        <v>619.92999999999995</v>
      </c>
      <c r="AQ163">
        <v>3131.443117258741</v>
      </c>
      <c r="AR163">
        <f t="shared" si="210"/>
        <v>0.80203057287443702</v>
      </c>
      <c r="AS163">
        <v>-1.0448500102641549</v>
      </c>
      <c r="AT163" t="s">
        <v>1162</v>
      </c>
      <c r="AU163">
        <v>8194.69</v>
      </c>
      <c r="AV163">
        <v>811.22096153846155</v>
      </c>
      <c r="AW163">
        <v>1331.049793282501</v>
      </c>
      <c r="AX163">
        <f t="shared" si="211"/>
        <v>0.39054048493714866</v>
      </c>
      <c r="AY163">
        <v>0.5</v>
      </c>
      <c r="AZ163">
        <f t="shared" si="212"/>
        <v>1513.2771000065811</v>
      </c>
      <c r="BA163">
        <f t="shared" si="213"/>
        <v>60.165873366234408</v>
      </c>
      <c r="BB163">
        <f t="shared" si="214"/>
        <v>295.49798624042609</v>
      </c>
      <c r="BC163">
        <f t="shared" si="215"/>
        <v>4.044911759798147E-2</v>
      </c>
      <c r="BD163">
        <f t="shared" si="216"/>
        <v>1.3526115499678575</v>
      </c>
      <c r="BE163">
        <f t="shared" si="217"/>
        <v>488.99027133539903</v>
      </c>
      <c r="BF163" t="s">
        <v>1163</v>
      </c>
      <c r="BG163">
        <v>631.20000000000005</v>
      </c>
      <c r="BH163">
        <f t="shared" si="218"/>
        <v>631.20000000000005</v>
      </c>
      <c r="BI163">
        <f t="shared" si="219"/>
        <v>0.52578783815187102</v>
      </c>
      <c r="BJ163">
        <f t="shared" si="220"/>
        <v>0.74277200155463308</v>
      </c>
      <c r="BK163">
        <f t="shared" si="221"/>
        <v>0.72008730333000004</v>
      </c>
      <c r="BL163">
        <f t="shared" si="222"/>
        <v>0.73100036963467152</v>
      </c>
      <c r="BM163">
        <f t="shared" si="223"/>
        <v>0.71685603057543568</v>
      </c>
      <c r="BN163">
        <f t="shared" si="224"/>
        <v>0.57794079493723227</v>
      </c>
      <c r="BO163">
        <f t="shared" si="225"/>
        <v>0.42205920506276773</v>
      </c>
      <c r="BP163">
        <v>13862</v>
      </c>
      <c r="BQ163">
        <v>290.00000000000011</v>
      </c>
      <c r="BR163">
        <v>1140.8800000000001</v>
      </c>
      <c r="BS163">
        <v>275</v>
      </c>
      <c r="BT163">
        <v>8194.69</v>
      </c>
      <c r="BU163">
        <v>1143.94</v>
      </c>
      <c r="BV163">
        <v>-3.06</v>
      </c>
      <c r="BW163">
        <v>300.00000000000011</v>
      </c>
      <c r="BX163">
        <v>19.3</v>
      </c>
      <c r="BY163">
        <v>1331.049793282501</v>
      </c>
      <c r="BZ163">
        <v>4.1833843311699974</v>
      </c>
      <c r="CA163">
        <v>-153.3280793083473</v>
      </c>
      <c r="CB163">
        <v>3.1479405293596812</v>
      </c>
      <c r="CC163">
        <v>0.98833534215353358</v>
      </c>
      <c r="CD163">
        <v>-4.2434271412680798E-3</v>
      </c>
      <c r="CE163">
        <v>289.99999999999989</v>
      </c>
      <c r="CF163">
        <v>1131.0999999999999</v>
      </c>
      <c r="CG163">
        <v>625</v>
      </c>
      <c r="CH163">
        <v>8184.31</v>
      </c>
      <c r="CI163">
        <v>1143.71</v>
      </c>
      <c r="CJ163">
        <v>-12.61</v>
      </c>
      <c r="CX163">
        <f t="shared" si="226"/>
        <v>1800.11</v>
      </c>
      <c r="CY163">
        <f t="shared" si="227"/>
        <v>1513.2771000065811</v>
      </c>
      <c r="CZ163">
        <f t="shared" si="228"/>
        <v>0.84065812645148419</v>
      </c>
      <c r="DA163">
        <f t="shared" si="229"/>
        <v>0.16087018405136455</v>
      </c>
      <c r="DB163">
        <v>6</v>
      </c>
      <c r="DC163">
        <v>0.5</v>
      </c>
      <c r="DD163" t="s">
        <v>421</v>
      </c>
      <c r="DE163">
        <v>2</v>
      </c>
      <c r="DF163">
        <v>1689028022.0999999</v>
      </c>
      <c r="DG163">
        <v>624.02800000000002</v>
      </c>
      <c r="DH163">
        <v>700.04600000000005</v>
      </c>
      <c r="DI163">
        <v>27.836500000000001</v>
      </c>
      <c r="DJ163">
        <v>21.861599999999999</v>
      </c>
      <c r="DK163">
        <v>624.11699999999996</v>
      </c>
      <c r="DL163">
        <v>27.707899999999999</v>
      </c>
      <c r="DM163">
        <v>500.113</v>
      </c>
      <c r="DN163">
        <v>99.037300000000002</v>
      </c>
      <c r="DO163">
        <v>9.9740099999999998E-2</v>
      </c>
      <c r="DP163">
        <v>29.8858</v>
      </c>
      <c r="DQ163">
        <v>30.012699999999999</v>
      </c>
      <c r="DR163">
        <v>999.9</v>
      </c>
      <c r="DS163">
        <v>0</v>
      </c>
      <c r="DT163">
        <v>0</v>
      </c>
      <c r="DU163">
        <v>10018.1</v>
      </c>
      <c r="DV163">
        <v>0</v>
      </c>
      <c r="DW163">
        <v>896.09100000000001</v>
      </c>
      <c r="DX163">
        <v>-76.017300000000006</v>
      </c>
      <c r="DY163">
        <v>641.89700000000005</v>
      </c>
      <c r="DZ163">
        <v>715.69200000000001</v>
      </c>
      <c r="EA163">
        <v>5.9748799999999997</v>
      </c>
      <c r="EB163">
        <v>700.04600000000005</v>
      </c>
      <c r="EC163">
        <v>21.861599999999999</v>
      </c>
      <c r="ED163">
        <v>2.75685</v>
      </c>
      <c r="EE163">
        <v>2.1651099999999999</v>
      </c>
      <c r="EF163">
        <v>22.628</v>
      </c>
      <c r="EG163">
        <v>18.706499999999998</v>
      </c>
      <c r="EH163">
        <v>1800.11</v>
      </c>
      <c r="EI163">
        <v>0.97800399999999998</v>
      </c>
      <c r="EJ163">
        <v>2.19963E-2</v>
      </c>
      <c r="EK163">
        <v>0</v>
      </c>
      <c r="EL163">
        <v>810.80499999999995</v>
      </c>
      <c r="EM163">
        <v>4.9999900000000004</v>
      </c>
      <c r="EN163">
        <v>23036.400000000001</v>
      </c>
      <c r="EO163">
        <v>15864.8</v>
      </c>
      <c r="EP163">
        <v>48.75</v>
      </c>
      <c r="EQ163">
        <v>49.5</v>
      </c>
      <c r="ER163">
        <v>49.25</v>
      </c>
      <c r="ES163">
        <v>49.311999999999998</v>
      </c>
      <c r="ET163">
        <v>50.375</v>
      </c>
      <c r="EU163">
        <v>1755.62</v>
      </c>
      <c r="EV163">
        <v>39.49</v>
      </c>
      <c r="EW163">
        <v>0</v>
      </c>
      <c r="EX163">
        <v>111.7999999523163</v>
      </c>
      <c r="EY163">
        <v>0</v>
      </c>
      <c r="EZ163">
        <v>811.22096153846155</v>
      </c>
      <c r="FA163">
        <v>-2.5776068363221012</v>
      </c>
      <c r="FB163">
        <v>-260.46153881973078</v>
      </c>
      <c r="FC163">
        <v>23044.38846153846</v>
      </c>
      <c r="FD163">
        <v>15</v>
      </c>
      <c r="FE163">
        <v>1689027986.5999999</v>
      </c>
      <c r="FF163" t="s">
        <v>1164</v>
      </c>
      <c r="FG163">
        <v>1689027986.5999999</v>
      </c>
      <c r="FH163">
        <v>1689027982.5999999</v>
      </c>
      <c r="FI163">
        <v>164</v>
      </c>
      <c r="FJ163">
        <v>-3.5999999999999997E-2</v>
      </c>
      <c r="FK163">
        <v>-1E-3</v>
      </c>
      <c r="FL163">
        <v>-7.5999999999999998E-2</v>
      </c>
      <c r="FM163">
        <v>0.126</v>
      </c>
      <c r="FN163">
        <v>700</v>
      </c>
      <c r="FO163">
        <v>22</v>
      </c>
      <c r="FP163">
        <v>0.03</v>
      </c>
      <c r="FQ163">
        <v>0.02</v>
      </c>
      <c r="FR163">
        <v>60.199675046582747</v>
      </c>
      <c r="FS163">
        <v>-0.67643809786721365</v>
      </c>
      <c r="FT163">
        <v>6.375873719720801E-2</v>
      </c>
      <c r="FU163">
        <v>1</v>
      </c>
      <c r="FV163">
        <v>0.35017433390950758</v>
      </c>
      <c r="FW163">
        <v>-7.7095641223153414E-3</v>
      </c>
      <c r="FX163">
        <v>1.018540085075285E-3</v>
      </c>
      <c r="FY163">
        <v>1</v>
      </c>
      <c r="FZ163">
        <v>2</v>
      </c>
      <c r="GA163">
        <v>2</v>
      </c>
      <c r="GB163" t="s">
        <v>423</v>
      </c>
      <c r="GC163">
        <v>2.9577800000000001</v>
      </c>
      <c r="GD163">
        <v>2.7431299999999998</v>
      </c>
      <c r="GE163">
        <v>0.122826</v>
      </c>
      <c r="GF163">
        <v>0.13275700000000001</v>
      </c>
      <c r="GG163">
        <v>0.12789500000000001</v>
      </c>
      <c r="GH163">
        <v>0.107505</v>
      </c>
      <c r="GI163">
        <v>20604</v>
      </c>
      <c r="GJ163">
        <v>18985.900000000001</v>
      </c>
      <c r="GK163">
        <v>23422</v>
      </c>
      <c r="GL163">
        <v>21942</v>
      </c>
      <c r="GM163">
        <v>28818.6</v>
      </c>
      <c r="GN163">
        <v>27335.7</v>
      </c>
      <c r="GO163">
        <v>36965.5</v>
      </c>
      <c r="GP163">
        <v>34150.1</v>
      </c>
      <c r="GQ163">
        <v>1.9440299999999999</v>
      </c>
      <c r="GR163">
        <v>1.82437</v>
      </c>
      <c r="GS163">
        <v>1.7862800000000002E-2</v>
      </c>
      <c r="GT163">
        <v>0</v>
      </c>
      <c r="GU163">
        <v>29.721900000000002</v>
      </c>
      <c r="GV163">
        <v>999.9</v>
      </c>
      <c r="GW163">
        <v>27.5</v>
      </c>
      <c r="GX163">
        <v>44.3</v>
      </c>
      <c r="GY163">
        <v>25.811800000000002</v>
      </c>
      <c r="GZ163">
        <v>60.183799999999998</v>
      </c>
      <c r="HA163">
        <v>38.701900000000002</v>
      </c>
      <c r="HB163">
        <v>1</v>
      </c>
      <c r="HC163">
        <v>0.530246</v>
      </c>
      <c r="HD163">
        <v>3.3654799999999998</v>
      </c>
      <c r="HE163">
        <v>20.123899999999999</v>
      </c>
      <c r="HF163">
        <v>5.2617700000000003</v>
      </c>
      <c r="HG163">
        <v>11.962300000000001</v>
      </c>
      <c r="HH163">
        <v>4.9793500000000002</v>
      </c>
      <c r="HI163">
        <v>3.2973300000000001</v>
      </c>
      <c r="HJ163">
        <v>9999</v>
      </c>
      <c r="HK163">
        <v>9999</v>
      </c>
      <c r="HL163">
        <v>9999</v>
      </c>
      <c r="HM163">
        <v>999.9</v>
      </c>
      <c r="HN163">
        <v>1.8638600000000001</v>
      </c>
      <c r="HO163">
        <v>1.85989</v>
      </c>
      <c r="HP163">
        <v>1.86649</v>
      </c>
      <c r="HQ163">
        <v>1.8631800000000001</v>
      </c>
      <c r="HR163">
        <v>1.86188</v>
      </c>
      <c r="HS163">
        <v>1.8618699999999999</v>
      </c>
      <c r="HT163">
        <v>1.86311</v>
      </c>
      <c r="HU163">
        <v>1.8644499999999999</v>
      </c>
      <c r="HV163">
        <v>0</v>
      </c>
      <c r="HW163">
        <v>0</v>
      </c>
      <c r="HX163">
        <v>0</v>
      </c>
      <c r="HY163">
        <v>0</v>
      </c>
      <c r="HZ163" t="s">
        <v>424</v>
      </c>
      <c r="IA163" t="s">
        <v>425</v>
      </c>
      <c r="IB163" t="s">
        <v>426</v>
      </c>
      <c r="IC163" t="s">
        <v>426</v>
      </c>
      <c r="ID163" t="s">
        <v>426</v>
      </c>
      <c r="IE163" t="s">
        <v>426</v>
      </c>
      <c r="IF163">
        <v>0</v>
      </c>
      <c r="IG163">
        <v>100</v>
      </c>
      <c r="IH163">
        <v>100</v>
      </c>
      <c r="II163">
        <v>-8.8999999999999996E-2</v>
      </c>
      <c r="IJ163">
        <v>0.12859999999999999</v>
      </c>
      <c r="IK163">
        <v>-0.1163519946754334</v>
      </c>
      <c r="IL163">
        <v>-8.3322953065825546E-5</v>
      </c>
      <c r="IM163">
        <v>2.3872336679552741E-7</v>
      </c>
      <c r="IN163">
        <v>-5.428329794194132E-11</v>
      </c>
      <c r="IO163">
        <v>0.12863635337485529</v>
      </c>
      <c r="IP163">
        <v>0</v>
      </c>
      <c r="IQ163">
        <v>0</v>
      </c>
      <c r="IR163">
        <v>0</v>
      </c>
      <c r="IS163">
        <v>2</v>
      </c>
      <c r="IT163">
        <v>2035</v>
      </c>
      <c r="IU163">
        <v>1</v>
      </c>
      <c r="IV163">
        <v>21</v>
      </c>
      <c r="IW163">
        <v>0.6</v>
      </c>
      <c r="IX163">
        <v>0.7</v>
      </c>
      <c r="IY163">
        <v>1.69556</v>
      </c>
      <c r="IZ163">
        <v>2.7038600000000002</v>
      </c>
      <c r="JA163">
        <v>1.4526399999999999</v>
      </c>
      <c r="JB163">
        <v>2.2753899999999998</v>
      </c>
      <c r="JC163">
        <v>1.5942400000000001</v>
      </c>
      <c r="JD163">
        <v>2.4108900000000002</v>
      </c>
      <c r="JE163">
        <v>46.708399999999997</v>
      </c>
      <c r="JF163">
        <v>15.5943</v>
      </c>
      <c r="JG163">
        <v>18</v>
      </c>
      <c r="JH163">
        <v>480.80900000000003</v>
      </c>
      <c r="JI163">
        <v>438.45800000000003</v>
      </c>
      <c r="JJ163">
        <v>26.4206</v>
      </c>
      <c r="JK163">
        <v>33.933599999999998</v>
      </c>
      <c r="JL163">
        <v>29.999700000000001</v>
      </c>
      <c r="JM163">
        <v>33.942999999999998</v>
      </c>
      <c r="JN163">
        <v>33.944200000000002</v>
      </c>
      <c r="JO163">
        <v>33.870199999999997</v>
      </c>
      <c r="JP163">
        <v>11.854799999999999</v>
      </c>
      <c r="JQ163">
        <v>9.0919299999999996</v>
      </c>
      <c r="JR163">
        <v>26.415099999999999</v>
      </c>
      <c r="JS163">
        <v>700</v>
      </c>
      <c r="JT163">
        <v>21.851900000000001</v>
      </c>
      <c r="JU163">
        <v>99.068700000000007</v>
      </c>
      <c r="JV163">
        <v>98.497600000000006</v>
      </c>
    </row>
    <row r="164" spans="1:282" x14ac:dyDescent="0.25">
      <c r="A164">
        <v>148</v>
      </c>
      <c r="B164">
        <v>1689028156.5</v>
      </c>
      <c r="C164">
        <v>28815.900000095371</v>
      </c>
      <c r="D164" t="s">
        <v>1165</v>
      </c>
      <c r="E164" t="s">
        <v>1166</v>
      </c>
      <c r="F164" t="s">
        <v>414</v>
      </c>
      <c r="G164" t="s">
        <v>415</v>
      </c>
      <c r="H164" t="s">
        <v>31</v>
      </c>
      <c r="I164" t="s">
        <v>417</v>
      </c>
      <c r="J164" t="s">
        <v>500</v>
      </c>
      <c r="K164">
        <v>1689028156.5</v>
      </c>
      <c r="L164">
        <f t="shared" si="184"/>
        <v>4.7499773557622832E-3</v>
      </c>
      <c r="M164">
        <f t="shared" si="185"/>
        <v>4.7499773557622831</v>
      </c>
      <c r="N164">
        <f t="shared" si="186"/>
        <v>60.082919897457458</v>
      </c>
      <c r="O164">
        <f t="shared" si="187"/>
        <v>823.27599999999995</v>
      </c>
      <c r="P164">
        <f t="shared" si="188"/>
        <v>485.80832466170546</v>
      </c>
      <c r="Q164">
        <f t="shared" si="189"/>
        <v>48.158890058455512</v>
      </c>
      <c r="R164">
        <f t="shared" si="190"/>
        <v>81.612554497443199</v>
      </c>
      <c r="S164">
        <f t="shared" si="191"/>
        <v>0.3149410456771411</v>
      </c>
      <c r="T164">
        <f t="shared" si="192"/>
        <v>2.9153406135850788</v>
      </c>
      <c r="U164">
        <f t="shared" si="193"/>
        <v>0.29718677943385668</v>
      </c>
      <c r="V164">
        <f t="shared" si="194"/>
        <v>0.18725343185409943</v>
      </c>
      <c r="W164">
        <f t="shared" si="195"/>
        <v>289.5473190127035</v>
      </c>
      <c r="X164">
        <f t="shared" si="196"/>
        <v>30.268128765147715</v>
      </c>
      <c r="Y164">
        <f t="shared" si="197"/>
        <v>30.038699999999999</v>
      </c>
      <c r="Z164">
        <f t="shared" si="198"/>
        <v>4.2699294887969952</v>
      </c>
      <c r="AA164">
        <f t="shared" si="199"/>
        <v>65.112261512817099</v>
      </c>
      <c r="AB164">
        <f t="shared" si="200"/>
        <v>2.7415301805276</v>
      </c>
      <c r="AC164">
        <f t="shared" si="201"/>
        <v>4.2104668411616144</v>
      </c>
      <c r="AD164">
        <f t="shared" si="202"/>
        <v>1.5283993082693952</v>
      </c>
      <c r="AE164">
        <f t="shared" si="203"/>
        <v>-209.47400138911669</v>
      </c>
      <c r="AF164">
        <f t="shared" si="204"/>
        <v>-38.349929730942065</v>
      </c>
      <c r="AG164">
        <f t="shared" si="205"/>
        <v>-2.9225112981076755</v>
      </c>
      <c r="AH164">
        <f t="shared" si="206"/>
        <v>38.800876594537058</v>
      </c>
      <c r="AI164">
        <v>5</v>
      </c>
      <c r="AJ164">
        <v>1</v>
      </c>
      <c r="AK164">
        <f t="shared" si="207"/>
        <v>1</v>
      </c>
      <c r="AL164">
        <f t="shared" si="208"/>
        <v>0</v>
      </c>
      <c r="AM164">
        <f t="shared" si="209"/>
        <v>51962.494469089754</v>
      </c>
      <c r="AN164" t="s">
        <v>418</v>
      </c>
      <c r="AO164">
        <v>8197.4</v>
      </c>
      <c r="AP164">
        <v>619.92999999999995</v>
      </c>
      <c r="AQ164">
        <v>3131.443117258741</v>
      </c>
      <c r="AR164">
        <f t="shared" si="210"/>
        <v>0.80203057287443702</v>
      </c>
      <c r="AS164">
        <v>-1.0448500102641549</v>
      </c>
      <c r="AT164" t="s">
        <v>1167</v>
      </c>
      <c r="AU164">
        <v>8194.2900000000009</v>
      </c>
      <c r="AV164">
        <v>805.12280769230767</v>
      </c>
      <c r="AW164">
        <v>1326.7599298537241</v>
      </c>
      <c r="AX164">
        <f t="shared" si="211"/>
        <v>0.39316617153106759</v>
      </c>
      <c r="AY164">
        <v>0.5</v>
      </c>
      <c r="AZ164">
        <f t="shared" si="212"/>
        <v>1513.0839000065821</v>
      </c>
      <c r="BA164">
        <f t="shared" si="213"/>
        <v>60.082919897457458</v>
      </c>
      <c r="BB164">
        <f t="shared" si="214"/>
        <v>297.44670208544227</v>
      </c>
      <c r="BC164">
        <f t="shared" si="215"/>
        <v>4.0399458290089334E-2</v>
      </c>
      <c r="BD164">
        <f t="shared" si="216"/>
        <v>1.360218338523371</v>
      </c>
      <c r="BE164">
        <f t="shared" si="217"/>
        <v>488.41011947449988</v>
      </c>
      <c r="BF164" t="s">
        <v>1168</v>
      </c>
      <c r="BG164">
        <v>630.11</v>
      </c>
      <c r="BH164">
        <f t="shared" si="218"/>
        <v>630.11</v>
      </c>
      <c r="BI164">
        <f t="shared" si="219"/>
        <v>0.52507610018832129</v>
      </c>
      <c r="BJ164">
        <f t="shared" si="220"/>
        <v>0.74877940814685051</v>
      </c>
      <c r="BK164">
        <f t="shared" si="221"/>
        <v>0.72148854343031443</v>
      </c>
      <c r="BL164">
        <f t="shared" si="222"/>
        <v>0.73799523779272802</v>
      </c>
      <c r="BM164">
        <f t="shared" si="223"/>
        <v>0.71856410982029317</v>
      </c>
      <c r="BN164">
        <f t="shared" si="224"/>
        <v>0.586014193561045</v>
      </c>
      <c r="BO164">
        <f t="shared" si="225"/>
        <v>0.413985806438955</v>
      </c>
      <c r="BP164">
        <v>13864</v>
      </c>
      <c r="BQ164">
        <v>290.00000000000011</v>
      </c>
      <c r="BR164">
        <v>1137.06</v>
      </c>
      <c r="BS164">
        <v>295</v>
      </c>
      <c r="BT164">
        <v>8194.2900000000009</v>
      </c>
      <c r="BU164">
        <v>1139.68</v>
      </c>
      <c r="BV164">
        <v>-2.62</v>
      </c>
      <c r="BW164">
        <v>300.00000000000011</v>
      </c>
      <c r="BX164">
        <v>19.3</v>
      </c>
      <c r="BY164">
        <v>1326.7599298537241</v>
      </c>
      <c r="BZ164">
        <v>4.8144719867621069</v>
      </c>
      <c r="CA164">
        <v>-153.296116356575</v>
      </c>
      <c r="CB164">
        <v>3.62295216366739</v>
      </c>
      <c r="CC164">
        <v>0.98460139520992007</v>
      </c>
      <c r="CD164">
        <v>-4.2434976640711919E-3</v>
      </c>
      <c r="CE164">
        <v>289.99999999999989</v>
      </c>
      <c r="CF164">
        <v>1127.71</v>
      </c>
      <c r="CG164">
        <v>655</v>
      </c>
      <c r="CH164">
        <v>8183.64</v>
      </c>
      <c r="CI164">
        <v>1139.44</v>
      </c>
      <c r="CJ164">
        <v>-11.73</v>
      </c>
      <c r="CX164">
        <f t="shared" si="226"/>
        <v>1799.88</v>
      </c>
      <c r="CY164">
        <f t="shared" si="227"/>
        <v>1513.0839000065821</v>
      </c>
      <c r="CZ164">
        <f t="shared" si="228"/>
        <v>0.84065821055102674</v>
      </c>
      <c r="DA164">
        <f t="shared" si="229"/>
        <v>0.16087034636348171</v>
      </c>
      <c r="DB164">
        <v>6</v>
      </c>
      <c r="DC164">
        <v>0.5</v>
      </c>
      <c r="DD164" t="s">
        <v>421</v>
      </c>
      <c r="DE164">
        <v>2</v>
      </c>
      <c r="DF164">
        <v>1689028156.5</v>
      </c>
      <c r="DG164">
        <v>823.27599999999995</v>
      </c>
      <c r="DH164">
        <v>900.03300000000002</v>
      </c>
      <c r="DI164">
        <v>27.6555</v>
      </c>
      <c r="DJ164">
        <v>22.1157</v>
      </c>
      <c r="DK164">
        <v>823.20600000000002</v>
      </c>
      <c r="DL164">
        <v>27.5228</v>
      </c>
      <c r="DM164">
        <v>500.22899999999998</v>
      </c>
      <c r="DN164">
        <v>99.031800000000004</v>
      </c>
      <c r="DO164">
        <v>9.9663199999999993E-2</v>
      </c>
      <c r="DP164">
        <v>29.794699999999999</v>
      </c>
      <c r="DQ164">
        <v>30.038699999999999</v>
      </c>
      <c r="DR164">
        <v>999.9</v>
      </c>
      <c r="DS164">
        <v>0</v>
      </c>
      <c r="DT164">
        <v>0</v>
      </c>
      <c r="DU164">
        <v>10016.200000000001</v>
      </c>
      <c r="DV164">
        <v>0</v>
      </c>
      <c r="DW164">
        <v>890.03</v>
      </c>
      <c r="DX164">
        <v>-76.756399999999999</v>
      </c>
      <c r="DY164">
        <v>846.69200000000001</v>
      </c>
      <c r="DZ164">
        <v>920.38800000000003</v>
      </c>
      <c r="EA164">
        <v>5.5397800000000004</v>
      </c>
      <c r="EB164">
        <v>900.03300000000002</v>
      </c>
      <c r="EC164">
        <v>22.1157</v>
      </c>
      <c r="ED164">
        <v>2.7387700000000001</v>
      </c>
      <c r="EE164">
        <v>2.1901600000000001</v>
      </c>
      <c r="EF164">
        <v>22.519600000000001</v>
      </c>
      <c r="EG164">
        <v>18.890499999999999</v>
      </c>
      <c r="EH164">
        <v>1799.88</v>
      </c>
      <c r="EI164">
        <v>0.97800100000000001</v>
      </c>
      <c r="EJ164">
        <v>2.1999500000000002E-2</v>
      </c>
      <c r="EK164">
        <v>0</v>
      </c>
      <c r="EL164">
        <v>804.01700000000005</v>
      </c>
      <c r="EM164">
        <v>4.9999900000000004</v>
      </c>
      <c r="EN164">
        <v>23009.4</v>
      </c>
      <c r="EO164">
        <v>15862.8</v>
      </c>
      <c r="EP164">
        <v>48.625</v>
      </c>
      <c r="EQ164">
        <v>49.436999999999998</v>
      </c>
      <c r="ER164">
        <v>49.125</v>
      </c>
      <c r="ES164">
        <v>49.186999999999998</v>
      </c>
      <c r="ET164">
        <v>50.375</v>
      </c>
      <c r="EU164">
        <v>1755.39</v>
      </c>
      <c r="EV164">
        <v>39.49</v>
      </c>
      <c r="EW164">
        <v>0</v>
      </c>
      <c r="EX164">
        <v>132.60000014305109</v>
      </c>
      <c r="EY164">
        <v>0</v>
      </c>
      <c r="EZ164">
        <v>805.12280769230767</v>
      </c>
      <c r="FA164">
        <v>-4.865743591818303</v>
      </c>
      <c r="FB164">
        <v>-75.128204914180941</v>
      </c>
      <c r="FC164">
        <v>23008.15769230769</v>
      </c>
      <c r="FD164">
        <v>15</v>
      </c>
      <c r="FE164">
        <v>1689028114.0999999</v>
      </c>
      <c r="FF164" t="s">
        <v>1169</v>
      </c>
      <c r="FG164">
        <v>1689028109.0999999</v>
      </c>
      <c r="FH164">
        <v>1689028114.0999999</v>
      </c>
      <c r="FI164">
        <v>165</v>
      </c>
      <c r="FJ164">
        <v>0.124</v>
      </c>
      <c r="FK164">
        <v>4.0000000000000001E-3</v>
      </c>
      <c r="FL164">
        <v>8.6999999999999994E-2</v>
      </c>
      <c r="FM164">
        <v>0.13300000000000001</v>
      </c>
      <c r="FN164">
        <v>900</v>
      </c>
      <c r="FO164">
        <v>22</v>
      </c>
      <c r="FP164">
        <v>0.03</v>
      </c>
      <c r="FQ164">
        <v>0.02</v>
      </c>
      <c r="FR164">
        <v>60.074634830379722</v>
      </c>
      <c r="FS164">
        <v>2.183560287603576E-2</v>
      </c>
      <c r="FT164">
        <v>5.6629682246772742E-2</v>
      </c>
      <c r="FU164">
        <v>1</v>
      </c>
      <c r="FV164">
        <v>0.32011224769258489</v>
      </c>
      <c r="FW164">
        <v>-4.3443221072015002E-2</v>
      </c>
      <c r="FX164">
        <v>3.1451358435730858E-3</v>
      </c>
      <c r="FY164">
        <v>1</v>
      </c>
      <c r="FZ164">
        <v>2</v>
      </c>
      <c r="GA164">
        <v>2</v>
      </c>
      <c r="GB164" t="s">
        <v>423</v>
      </c>
      <c r="GC164">
        <v>2.95817</v>
      </c>
      <c r="GD164">
        <v>2.7430400000000001</v>
      </c>
      <c r="GE164">
        <v>0.14827299999999999</v>
      </c>
      <c r="GF164">
        <v>0.156939</v>
      </c>
      <c r="GG164">
        <v>0.12732199999999999</v>
      </c>
      <c r="GH164">
        <v>0.108389</v>
      </c>
      <c r="GI164">
        <v>20009.900000000001</v>
      </c>
      <c r="GJ164">
        <v>18459.8</v>
      </c>
      <c r="GK164">
        <v>23426.3</v>
      </c>
      <c r="GL164">
        <v>21946</v>
      </c>
      <c r="GM164">
        <v>28844</v>
      </c>
      <c r="GN164">
        <v>27314.6</v>
      </c>
      <c r="GO164">
        <v>36971.9</v>
      </c>
      <c r="GP164">
        <v>34156.199999999997</v>
      </c>
      <c r="GQ164">
        <v>1.9442200000000001</v>
      </c>
      <c r="GR164">
        <v>1.8275699999999999</v>
      </c>
      <c r="GS164">
        <v>1.8812700000000002E-2</v>
      </c>
      <c r="GT164">
        <v>0</v>
      </c>
      <c r="GU164">
        <v>29.732500000000002</v>
      </c>
      <c r="GV164">
        <v>999.9</v>
      </c>
      <c r="GW164">
        <v>27.7</v>
      </c>
      <c r="GX164">
        <v>44.3</v>
      </c>
      <c r="GY164">
        <v>26.0029</v>
      </c>
      <c r="GZ164">
        <v>59.9238</v>
      </c>
      <c r="HA164">
        <v>37.820500000000003</v>
      </c>
      <c r="HB164">
        <v>1</v>
      </c>
      <c r="HC164">
        <v>0.52280700000000002</v>
      </c>
      <c r="HD164">
        <v>3.6966000000000001</v>
      </c>
      <c r="HE164">
        <v>20.117100000000001</v>
      </c>
      <c r="HF164">
        <v>5.2649100000000004</v>
      </c>
      <c r="HG164">
        <v>11.962300000000001</v>
      </c>
      <c r="HH164">
        <v>4.9797500000000001</v>
      </c>
      <c r="HI164">
        <v>3.298</v>
      </c>
      <c r="HJ164">
        <v>9999</v>
      </c>
      <c r="HK164">
        <v>9999</v>
      </c>
      <c r="HL164">
        <v>9999</v>
      </c>
      <c r="HM164">
        <v>999.9</v>
      </c>
      <c r="HN164">
        <v>1.8638699999999999</v>
      </c>
      <c r="HO164">
        <v>1.85989</v>
      </c>
      <c r="HP164">
        <v>1.86649</v>
      </c>
      <c r="HQ164">
        <v>1.8631800000000001</v>
      </c>
      <c r="HR164">
        <v>1.8618699999999999</v>
      </c>
      <c r="HS164">
        <v>1.86188</v>
      </c>
      <c r="HT164">
        <v>1.86311</v>
      </c>
      <c r="HU164">
        <v>1.86443</v>
      </c>
      <c r="HV164">
        <v>0</v>
      </c>
      <c r="HW164">
        <v>0</v>
      </c>
      <c r="HX164">
        <v>0</v>
      </c>
      <c r="HY164">
        <v>0</v>
      </c>
      <c r="HZ164" t="s">
        <v>424</v>
      </c>
      <c r="IA164" t="s">
        <v>425</v>
      </c>
      <c r="IB164" t="s">
        <v>426</v>
      </c>
      <c r="IC164" t="s">
        <v>426</v>
      </c>
      <c r="ID164" t="s">
        <v>426</v>
      </c>
      <c r="IE164" t="s">
        <v>426</v>
      </c>
      <c r="IF164">
        <v>0</v>
      </c>
      <c r="IG164">
        <v>100</v>
      </c>
      <c r="IH164">
        <v>100</v>
      </c>
      <c r="II164">
        <v>7.0000000000000007E-2</v>
      </c>
      <c r="IJ164">
        <v>0.13270000000000001</v>
      </c>
      <c r="IK164">
        <v>7.8629536155294111E-3</v>
      </c>
      <c r="IL164">
        <v>-8.3322953065825546E-5</v>
      </c>
      <c r="IM164">
        <v>2.3872336679552741E-7</v>
      </c>
      <c r="IN164">
        <v>-5.428329794194132E-11</v>
      </c>
      <c r="IO164">
        <v>0.13274500000000339</v>
      </c>
      <c r="IP164">
        <v>0</v>
      </c>
      <c r="IQ164">
        <v>0</v>
      </c>
      <c r="IR164">
        <v>0</v>
      </c>
      <c r="IS164">
        <v>2</v>
      </c>
      <c r="IT164">
        <v>2035</v>
      </c>
      <c r="IU164">
        <v>1</v>
      </c>
      <c r="IV164">
        <v>21</v>
      </c>
      <c r="IW164">
        <v>0.8</v>
      </c>
      <c r="IX164">
        <v>0.7</v>
      </c>
      <c r="IY164">
        <v>2.0825200000000001</v>
      </c>
      <c r="IZ164">
        <v>2.7063000000000001</v>
      </c>
      <c r="JA164">
        <v>1.4526399999999999</v>
      </c>
      <c r="JB164">
        <v>2.2753899999999998</v>
      </c>
      <c r="JC164">
        <v>1.5942400000000001</v>
      </c>
      <c r="JD164">
        <v>2.2912599999999999</v>
      </c>
      <c r="JE164">
        <v>46.620199999999997</v>
      </c>
      <c r="JF164">
        <v>15.541700000000001</v>
      </c>
      <c r="JG164">
        <v>18</v>
      </c>
      <c r="JH164">
        <v>480.22300000000001</v>
      </c>
      <c r="JI164">
        <v>440.01600000000002</v>
      </c>
      <c r="JJ164">
        <v>26.173999999999999</v>
      </c>
      <c r="JK164">
        <v>33.836399999999998</v>
      </c>
      <c r="JL164">
        <v>30.0001</v>
      </c>
      <c r="JM164">
        <v>33.8538</v>
      </c>
      <c r="JN164">
        <v>33.860199999999999</v>
      </c>
      <c r="JO164">
        <v>41.618099999999998</v>
      </c>
      <c r="JP164">
        <v>11.084899999999999</v>
      </c>
      <c r="JQ164">
        <v>10.507999999999999</v>
      </c>
      <c r="JR164">
        <v>26.1538</v>
      </c>
      <c r="JS164">
        <v>900</v>
      </c>
      <c r="JT164">
        <v>22.116199999999999</v>
      </c>
      <c r="JU164">
        <v>99.086200000000005</v>
      </c>
      <c r="JV164">
        <v>98.515600000000006</v>
      </c>
    </row>
    <row r="165" spans="1:282" x14ac:dyDescent="0.25">
      <c r="A165">
        <v>149</v>
      </c>
      <c r="B165">
        <v>1689028279.5</v>
      </c>
      <c r="C165">
        <v>28938.900000095371</v>
      </c>
      <c r="D165" t="s">
        <v>1170</v>
      </c>
      <c r="E165" t="s">
        <v>1171</v>
      </c>
      <c r="F165" t="s">
        <v>414</v>
      </c>
      <c r="G165" t="s">
        <v>415</v>
      </c>
      <c r="H165" t="s">
        <v>31</v>
      </c>
      <c r="I165" t="s">
        <v>417</v>
      </c>
      <c r="J165" t="s">
        <v>500</v>
      </c>
      <c r="K165">
        <v>1689028279.5</v>
      </c>
      <c r="L165">
        <f t="shared" si="184"/>
        <v>4.4505098288574315E-3</v>
      </c>
      <c r="M165">
        <f t="shared" si="185"/>
        <v>4.4505098288574318</v>
      </c>
      <c r="N165">
        <f t="shared" si="186"/>
        <v>59.275004997881041</v>
      </c>
      <c r="O165">
        <f t="shared" si="187"/>
        <v>1122.93</v>
      </c>
      <c r="P165">
        <f t="shared" si="188"/>
        <v>758.1928474996887</v>
      </c>
      <c r="Q165">
        <f t="shared" si="189"/>
        <v>75.159060805608149</v>
      </c>
      <c r="R165">
        <f t="shared" si="190"/>
        <v>111.31516794014102</v>
      </c>
      <c r="S165">
        <f t="shared" si="191"/>
        <v>0.29159545652320951</v>
      </c>
      <c r="T165">
        <f t="shared" si="192"/>
        <v>2.9124651093573823</v>
      </c>
      <c r="U165">
        <f t="shared" si="193"/>
        <v>0.2762929295446887</v>
      </c>
      <c r="V165">
        <f t="shared" si="194"/>
        <v>0.17399100262721295</v>
      </c>
      <c r="W165">
        <f t="shared" si="195"/>
        <v>289.58402701270182</v>
      </c>
      <c r="X165">
        <f t="shared" si="196"/>
        <v>30.253071082754051</v>
      </c>
      <c r="Y165">
        <f t="shared" si="197"/>
        <v>30.011099999999999</v>
      </c>
      <c r="Z165">
        <f t="shared" si="198"/>
        <v>4.2631668830561553</v>
      </c>
      <c r="AA165">
        <f t="shared" si="199"/>
        <v>65.014528107919446</v>
      </c>
      <c r="AB165">
        <f t="shared" si="200"/>
        <v>2.7226631576414602</v>
      </c>
      <c r="AC165">
        <f t="shared" si="201"/>
        <v>4.1877765429936442</v>
      </c>
      <c r="AD165">
        <f t="shared" si="202"/>
        <v>1.5405037254146952</v>
      </c>
      <c r="AE165">
        <f t="shared" si="203"/>
        <v>-196.26748345261274</v>
      </c>
      <c r="AF165">
        <f t="shared" si="204"/>
        <v>-48.722318928151701</v>
      </c>
      <c r="AG165">
        <f t="shared" si="205"/>
        <v>-3.7143846151362294</v>
      </c>
      <c r="AH165">
        <f t="shared" si="206"/>
        <v>40.879840016801161</v>
      </c>
      <c r="AI165">
        <v>5</v>
      </c>
      <c r="AJ165">
        <v>1</v>
      </c>
      <c r="AK165">
        <f t="shared" si="207"/>
        <v>1</v>
      </c>
      <c r="AL165">
        <f t="shared" si="208"/>
        <v>0</v>
      </c>
      <c r="AM165">
        <f t="shared" si="209"/>
        <v>51896.684155211682</v>
      </c>
      <c r="AN165" t="s">
        <v>418</v>
      </c>
      <c r="AO165">
        <v>8197.4</v>
      </c>
      <c r="AP165">
        <v>619.92999999999995</v>
      </c>
      <c r="AQ165">
        <v>3131.443117258741</v>
      </c>
      <c r="AR165">
        <f t="shared" si="210"/>
        <v>0.80203057287443702</v>
      </c>
      <c r="AS165">
        <v>-1.0448500102641549</v>
      </c>
      <c r="AT165" t="s">
        <v>1172</v>
      </c>
      <c r="AU165">
        <v>8193.98</v>
      </c>
      <c r="AV165">
        <v>799.07839999999999</v>
      </c>
      <c r="AW165">
        <v>1313.1524377565549</v>
      </c>
      <c r="AX165">
        <f t="shared" si="211"/>
        <v>0.39148085399347898</v>
      </c>
      <c r="AY165">
        <v>0.5</v>
      </c>
      <c r="AZ165">
        <f t="shared" si="212"/>
        <v>1513.2771000065811</v>
      </c>
      <c r="BA165">
        <f t="shared" si="213"/>
        <v>59.275004997881041</v>
      </c>
      <c r="BB165">
        <f t="shared" si="214"/>
        <v>296.20950571967586</v>
      </c>
      <c r="BC165">
        <f t="shared" si="215"/>
        <v>3.9860416184109883E-2</v>
      </c>
      <c r="BD165">
        <f t="shared" si="216"/>
        <v>1.3846760111176664</v>
      </c>
      <c r="BE165">
        <f t="shared" si="217"/>
        <v>486.55408356135024</v>
      </c>
      <c r="BF165" t="s">
        <v>1173</v>
      </c>
      <c r="BG165">
        <v>625.92999999999995</v>
      </c>
      <c r="BH165">
        <f t="shared" si="218"/>
        <v>625.92999999999995</v>
      </c>
      <c r="BI165">
        <f t="shared" si="219"/>
        <v>0.52333789893474569</v>
      </c>
      <c r="BJ165">
        <f t="shared" si="220"/>
        <v>0.74804606123565343</v>
      </c>
      <c r="BK165">
        <f t="shared" si="221"/>
        <v>0.72571588908365448</v>
      </c>
      <c r="BL165">
        <f t="shared" si="222"/>
        <v>0.74157155013653331</v>
      </c>
      <c r="BM165">
        <f t="shared" si="223"/>
        <v>0.72398215522234999</v>
      </c>
      <c r="BN165">
        <f t="shared" si="224"/>
        <v>0.58595560974897143</v>
      </c>
      <c r="BO165">
        <f t="shared" si="225"/>
        <v>0.41404439025102857</v>
      </c>
      <c r="BP165">
        <v>13866</v>
      </c>
      <c r="BQ165">
        <v>290.00000000000011</v>
      </c>
      <c r="BR165">
        <v>1128.8800000000001</v>
      </c>
      <c r="BS165">
        <v>295</v>
      </c>
      <c r="BT165">
        <v>8193.98</v>
      </c>
      <c r="BU165">
        <v>1130.5899999999999</v>
      </c>
      <c r="BV165">
        <v>-1.71</v>
      </c>
      <c r="BW165">
        <v>300.00000000000011</v>
      </c>
      <c r="BX165">
        <v>19.3</v>
      </c>
      <c r="BY165">
        <v>1313.1524377565549</v>
      </c>
      <c r="BZ165">
        <v>5.6763548451766583</v>
      </c>
      <c r="CA165">
        <v>-149.5897241102098</v>
      </c>
      <c r="CB165">
        <v>4.2713933187827751</v>
      </c>
      <c r="CC165">
        <v>0.97768019205303802</v>
      </c>
      <c r="CD165">
        <v>-4.2433437152391553E-3</v>
      </c>
      <c r="CE165">
        <v>289.99999999999989</v>
      </c>
      <c r="CF165">
        <v>1118.44</v>
      </c>
      <c r="CG165">
        <v>645</v>
      </c>
      <c r="CH165">
        <v>8183.68</v>
      </c>
      <c r="CI165">
        <v>1130.3599999999999</v>
      </c>
      <c r="CJ165">
        <v>-11.92</v>
      </c>
      <c r="CX165">
        <f t="shared" si="226"/>
        <v>1800.11</v>
      </c>
      <c r="CY165">
        <f t="shared" si="227"/>
        <v>1513.2771000065811</v>
      </c>
      <c r="CZ165">
        <f t="shared" si="228"/>
        <v>0.84065812645148419</v>
      </c>
      <c r="DA165">
        <f t="shared" si="229"/>
        <v>0.16087018405136455</v>
      </c>
      <c r="DB165">
        <v>6</v>
      </c>
      <c r="DC165">
        <v>0.5</v>
      </c>
      <c r="DD165" t="s">
        <v>421</v>
      </c>
      <c r="DE165">
        <v>2</v>
      </c>
      <c r="DF165">
        <v>1689028279.5</v>
      </c>
      <c r="DG165">
        <v>1122.93</v>
      </c>
      <c r="DH165">
        <v>1200.03</v>
      </c>
      <c r="DI165">
        <v>27.465800000000002</v>
      </c>
      <c r="DJ165">
        <v>22.273700000000002</v>
      </c>
      <c r="DK165">
        <v>1122.74</v>
      </c>
      <c r="DL165">
        <v>27.319700000000001</v>
      </c>
      <c r="DM165">
        <v>500.17599999999999</v>
      </c>
      <c r="DN165">
        <v>99.029300000000006</v>
      </c>
      <c r="DO165">
        <v>9.9913699999999994E-2</v>
      </c>
      <c r="DP165">
        <v>29.700800000000001</v>
      </c>
      <c r="DQ165">
        <v>30.011099999999999</v>
      </c>
      <c r="DR165">
        <v>999.9</v>
      </c>
      <c r="DS165">
        <v>0</v>
      </c>
      <c r="DT165">
        <v>0</v>
      </c>
      <c r="DU165">
        <v>10000</v>
      </c>
      <c r="DV165">
        <v>0</v>
      </c>
      <c r="DW165">
        <v>874.40099999999995</v>
      </c>
      <c r="DX165">
        <v>-77.109399999999994</v>
      </c>
      <c r="DY165">
        <v>1154.6400000000001</v>
      </c>
      <c r="DZ165">
        <v>1227.3699999999999</v>
      </c>
      <c r="EA165">
        <v>5.1921499999999998</v>
      </c>
      <c r="EB165">
        <v>1200.03</v>
      </c>
      <c r="EC165">
        <v>22.273700000000002</v>
      </c>
      <c r="ED165">
        <v>2.7199200000000001</v>
      </c>
      <c r="EE165">
        <v>2.2057500000000001</v>
      </c>
      <c r="EF165">
        <v>22.405999999999999</v>
      </c>
      <c r="EG165">
        <v>19.004100000000001</v>
      </c>
      <c r="EH165">
        <v>1800.11</v>
      </c>
      <c r="EI165">
        <v>0.97800399999999998</v>
      </c>
      <c r="EJ165">
        <v>2.19963E-2</v>
      </c>
      <c r="EK165">
        <v>0</v>
      </c>
      <c r="EL165">
        <v>798.7</v>
      </c>
      <c r="EM165">
        <v>4.9999900000000004</v>
      </c>
      <c r="EN165">
        <v>22938.6</v>
      </c>
      <c r="EO165">
        <v>15864.8</v>
      </c>
      <c r="EP165">
        <v>48.625</v>
      </c>
      <c r="EQ165">
        <v>49.436999999999998</v>
      </c>
      <c r="ER165">
        <v>49.125</v>
      </c>
      <c r="ES165">
        <v>49.25</v>
      </c>
      <c r="ET165">
        <v>50.311999999999998</v>
      </c>
      <c r="EU165">
        <v>1755.62</v>
      </c>
      <c r="EV165">
        <v>39.49</v>
      </c>
      <c r="EW165">
        <v>0</v>
      </c>
      <c r="EX165">
        <v>120.7999999523163</v>
      </c>
      <c r="EY165">
        <v>0</v>
      </c>
      <c r="EZ165">
        <v>799.07839999999999</v>
      </c>
      <c r="FA165">
        <v>-1.976615400030316</v>
      </c>
      <c r="FB165">
        <v>-38.907692322121001</v>
      </c>
      <c r="FC165">
        <v>22930.46</v>
      </c>
      <c r="FD165">
        <v>15</v>
      </c>
      <c r="FE165">
        <v>1689028236.5</v>
      </c>
      <c r="FF165" t="s">
        <v>1174</v>
      </c>
      <c r="FG165">
        <v>1689028235.5</v>
      </c>
      <c r="FH165">
        <v>1689028236.5</v>
      </c>
      <c r="FI165">
        <v>166</v>
      </c>
      <c r="FJ165">
        <v>4.7E-2</v>
      </c>
      <c r="FK165">
        <v>1.2999999999999999E-2</v>
      </c>
      <c r="FL165">
        <v>0.20399999999999999</v>
      </c>
      <c r="FM165">
        <v>0.14599999999999999</v>
      </c>
      <c r="FN165">
        <v>1200</v>
      </c>
      <c r="FO165">
        <v>22</v>
      </c>
      <c r="FP165">
        <v>0.05</v>
      </c>
      <c r="FQ165">
        <v>0.02</v>
      </c>
      <c r="FR165">
        <v>59.226944234140227</v>
      </c>
      <c r="FS165">
        <v>0.56896415485974605</v>
      </c>
      <c r="FT165">
        <v>7.1417183898324799E-2</v>
      </c>
      <c r="FU165">
        <v>1</v>
      </c>
      <c r="FV165">
        <v>0.29694314015222489</v>
      </c>
      <c r="FW165">
        <v>-4.7913189721605777E-2</v>
      </c>
      <c r="FX165">
        <v>3.5083331036415062E-3</v>
      </c>
      <c r="FY165">
        <v>1</v>
      </c>
      <c r="FZ165">
        <v>2</v>
      </c>
      <c r="GA165">
        <v>2</v>
      </c>
      <c r="GB165" t="s">
        <v>423</v>
      </c>
      <c r="GC165">
        <v>2.9580799999999998</v>
      </c>
      <c r="GD165">
        <v>2.7431399999999999</v>
      </c>
      <c r="GE165">
        <v>0.18094399999999999</v>
      </c>
      <c r="GF165">
        <v>0.18823899999999999</v>
      </c>
      <c r="GG165">
        <v>0.12668199999999999</v>
      </c>
      <c r="GH165">
        <v>0.10893799999999999</v>
      </c>
      <c r="GI165">
        <v>19243.599999999999</v>
      </c>
      <c r="GJ165">
        <v>17775.900000000001</v>
      </c>
      <c r="GK165">
        <v>23428.6</v>
      </c>
      <c r="GL165">
        <v>21948.7</v>
      </c>
      <c r="GM165">
        <v>28870.3</v>
      </c>
      <c r="GN165">
        <v>27302.5</v>
      </c>
      <c r="GO165">
        <v>36975.9</v>
      </c>
      <c r="GP165">
        <v>34160.1</v>
      </c>
      <c r="GQ165">
        <v>1.94482</v>
      </c>
      <c r="GR165">
        <v>1.82948</v>
      </c>
      <c r="GS165">
        <v>1.94088E-2</v>
      </c>
      <c r="GT165">
        <v>0</v>
      </c>
      <c r="GU165">
        <v>29.6952</v>
      </c>
      <c r="GV165">
        <v>999.9</v>
      </c>
      <c r="GW165">
        <v>27.9</v>
      </c>
      <c r="GX165">
        <v>44.3</v>
      </c>
      <c r="GY165">
        <v>26.190899999999999</v>
      </c>
      <c r="GZ165">
        <v>60.253799999999998</v>
      </c>
      <c r="HA165">
        <v>37.936700000000002</v>
      </c>
      <c r="HB165">
        <v>1</v>
      </c>
      <c r="HC165">
        <v>0.51673800000000003</v>
      </c>
      <c r="HD165">
        <v>3.3947500000000002</v>
      </c>
      <c r="HE165">
        <v>20.124500000000001</v>
      </c>
      <c r="HF165">
        <v>5.2649100000000004</v>
      </c>
      <c r="HG165">
        <v>11.963100000000001</v>
      </c>
      <c r="HH165">
        <v>4.9797000000000002</v>
      </c>
      <c r="HI165">
        <v>3.298</v>
      </c>
      <c r="HJ165">
        <v>9999</v>
      </c>
      <c r="HK165">
        <v>9999</v>
      </c>
      <c r="HL165">
        <v>9999</v>
      </c>
      <c r="HM165">
        <v>999.9</v>
      </c>
      <c r="HN165">
        <v>1.86388</v>
      </c>
      <c r="HO165">
        <v>1.85989</v>
      </c>
      <c r="HP165">
        <v>1.8665499999999999</v>
      </c>
      <c r="HQ165">
        <v>1.86321</v>
      </c>
      <c r="HR165">
        <v>1.8618699999999999</v>
      </c>
      <c r="HS165">
        <v>1.86188</v>
      </c>
      <c r="HT165">
        <v>1.8631</v>
      </c>
      <c r="HU165">
        <v>1.8644400000000001</v>
      </c>
      <c r="HV165">
        <v>0</v>
      </c>
      <c r="HW165">
        <v>0</v>
      </c>
      <c r="HX165">
        <v>0</v>
      </c>
      <c r="HY165">
        <v>0</v>
      </c>
      <c r="HZ165" t="s">
        <v>424</v>
      </c>
      <c r="IA165" t="s">
        <v>425</v>
      </c>
      <c r="IB165" t="s">
        <v>426</v>
      </c>
      <c r="IC165" t="s">
        <v>426</v>
      </c>
      <c r="ID165" t="s">
        <v>426</v>
      </c>
      <c r="IE165" t="s">
        <v>426</v>
      </c>
      <c r="IF165">
        <v>0</v>
      </c>
      <c r="IG165">
        <v>100</v>
      </c>
      <c r="IH165">
        <v>100</v>
      </c>
      <c r="II165">
        <v>0.19</v>
      </c>
      <c r="IJ165">
        <v>0.14610000000000001</v>
      </c>
      <c r="IK165">
        <v>5.3982023513698463E-2</v>
      </c>
      <c r="IL165">
        <v>-8.3322953065825546E-5</v>
      </c>
      <c r="IM165">
        <v>2.3872336679552741E-7</v>
      </c>
      <c r="IN165">
        <v>-5.428329794194132E-11</v>
      </c>
      <c r="IO165">
        <v>0.1460800000000049</v>
      </c>
      <c r="IP165">
        <v>0</v>
      </c>
      <c r="IQ165">
        <v>0</v>
      </c>
      <c r="IR165">
        <v>0</v>
      </c>
      <c r="IS165">
        <v>2</v>
      </c>
      <c r="IT165">
        <v>2035</v>
      </c>
      <c r="IU165">
        <v>1</v>
      </c>
      <c r="IV165">
        <v>21</v>
      </c>
      <c r="IW165">
        <v>0.7</v>
      </c>
      <c r="IX165">
        <v>0.7</v>
      </c>
      <c r="IY165">
        <v>2.63184</v>
      </c>
      <c r="IZ165">
        <v>2.6989700000000001</v>
      </c>
      <c r="JA165">
        <v>1.4526399999999999</v>
      </c>
      <c r="JB165">
        <v>2.2741699999999998</v>
      </c>
      <c r="JC165">
        <v>1.5942400000000001</v>
      </c>
      <c r="JD165">
        <v>2.31812</v>
      </c>
      <c r="JE165">
        <v>46.590800000000002</v>
      </c>
      <c r="JF165">
        <v>15.5242</v>
      </c>
      <c r="JG165">
        <v>18</v>
      </c>
      <c r="JH165">
        <v>480.19499999999999</v>
      </c>
      <c r="JI165">
        <v>440.92700000000002</v>
      </c>
      <c r="JJ165">
        <v>26.2029</v>
      </c>
      <c r="JK165">
        <v>33.792999999999999</v>
      </c>
      <c r="JL165">
        <v>30.0001</v>
      </c>
      <c r="JM165">
        <v>33.803100000000001</v>
      </c>
      <c r="JN165">
        <v>33.808500000000002</v>
      </c>
      <c r="JO165">
        <v>52.596499999999999</v>
      </c>
      <c r="JP165">
        <v>11.427899999999999</v>
      </c>
      <c r="JQ165">
        <v>11.9711</v>
      </c>
      <c r="JR165">
        <v>26.190799999999999</v>
      </c>
      <c r="JS165">
        <v>1200</v>
      </c>
      <c r="JT165">
        <v>22.2866</v>
      </c>
      <c r="JU165">
        <v>99.096500000000006</v>
      </c>
      <c r="JV165">
        <v>98.527100000000004</v>
      </c>
    </row>
    <row r="166" spans="1:282" x14ac:dyDescent="0.25">
      <c r="A166">
        <v>150</v>
      </c>
      <c r="B166">
        <v>1689028399.5</v>
      </c>
      <c r="C166">
        <v>29058.900000095371</v>
      </c>
      <c r="D166" t="s">
        <v>1175</v>
      </c>
      <c r="E166" t="s">
        <v>1176</v>
      </c>
      <c r="F166" t="s">
        <v>414</v>
      </c>
      <c r="G166" t="s">
        <v>415</v>
      </c>
      <c r="H166" t="s">
        <v>31</v>
      </c>
      <c r="I166" t="s">
        <v>417</v>
      </c>
      <c r="J166" t="s">
        <v>500</v>
      </c>
      <c r="K166">
        <v>1689028399.5</v>
      </c>
      <c r="L166">
        <f t="shared" si="184"/>
        <v>4.114117005571097E-3</v>
      </c>
      <c r="M166">
        <f t="shared" si="185"/>
        <v>4.1141170055710967</v>
      </c>
      <c r="N166">
        <f t="shared" si="186"/>
        <v>58.55492510681357</v>
      </c>
      <c r="O166">
        <f t="shared" si="187"/>
        <v>1422.78</v>
      </c>
      <c r="P166">
        <f t="shared" si="188"/>
        <v>1027.9496952494578</v>
      </c>
      <c r="Q166">
        <f t="shared" si="189"/>
        <v>101.89693961621474</v>
      </c>
      <c r="R166">
        <f t="shared" si="190"/>
        <v>141.03504132269401</v>
      </c>
      <c r="S166">
        <f t="shared" si="191"/>
        <v>0.26900387100072531</v>
      </c>
      <c r="T166">
        <f t="shared" si="192"/>
        <v>2.91155177740497</v>
      </c>
      <c r="U166">
        <f t="shared" si="193"/>
        <v>0.25591962488968945</v>
      </c>
      <c r="V166">
        <f t="shared" si="194"/>
        <v>0.16107228523057823</v>
      </c>
      <c r="W166">
        <f t="shared" si="195"/>
        <v>289.57922631072029</v>
      </c>
      <c r="X166">
        <f t="shared" si="196"/>
        <v>30.257663532442059</v>
      </c>
      <c r="Y166">
        <f t="shared" si="197"/>
        <v>29.989699999999999</v>
      </c>
      <c r="Z166">
        <f t="shared" si="198"/>
        <v>4.2579298396800676</v>
      </c>
      <c r="AA166">
        <f t="shared" si="199"/>
        <v>65.275226106526517</v>
      </c>
      <c r="AB166">
        <f t="shared" si="200"/>
        <v>2.7204840488935802</v>
      </c>
      <c r="AC166">
        <f t="shared" si="201"/>
        <v>4.1677129458791313</v>
      </c>
      <c r="AD166">
        <f t="shared" si="202"/>
        <v>1.5374457907864874</v>
      </c>
      <c r="AE166">
        <f t="shared" si="203"/>
        <v>-181.43255994568537</v>
      </c>
      <c r="AF166">
        <f t="shared" si="204"/>
        <v>-58.439029819352825</v>
      </c>
      <c r="AG166">
        <f t="shared" si="205"/>
        <v>-4.4542310273051724</v>
      </c>
      <c r="AH166">
        <f t="shared" si="206"/>
        <v>45.253405518376908</v>
      </c>
      <c r="AI166">
        <v>5</v>
      </c>
      <c r="AJ166">
        <v>1</v>
      </c>
      <c r="AK166">
        <f t="shared" si="207"/>
        <v>1</v>
      </c>
      <c r="AL166">
        <f t="shared" si="208"/>
        <v>0</v>
      </c>
      <c r="AM166">
        <f t="shared" si="209"/>
        <v>51884.937527193695</v>
      </c>
      <c r="AN166" t="s">
        <v>418</v>
      </c>
      <c r="AO166">
        <v>8197.4</v>
      </c>
      <c r="AP166">
        <v>619.92999999999995</v>
      </c>
      <c r="AQ166">
        <v>3131.443117258741</v>
      </c>
      <c r="AR166">
        <f t="shared" si="210"/>
        <v>0.80203057287443702</v>
      </c>
      <c r="AS166">
        <v>-1.0448500102641549</v>
      </c>
      <c r="AT166" t="s">
        <v>1177</v>
      </c>
      <c r="AU166">
        <v>8193.81</v>
      </c>
      <c r="AV166">
        <v>793.93826923076938</v>
      </c>
      <c r="AW166">
        <v>1291.891078258006</v>
      </c>
      <c r="AX166">
        <f t="shared" si="211"/>
        <v>0.38544488572417368</v>
      </c>
      <c r="AY166">
        <v>0.5</v>
      </c>
      <c r="AZ166">
        <f t="shared" si="212"/>
        <v>1513.2518934252435</v>
      </c>
      <c r="BA166">
        <f t="shared" si="213"/>
        <v>58.55492510681357</v>
      </c>
      <c r="BB166">
        <f t="shared" si="214"/>
        <v>291.63760156659123</v>
      </c>
      <c r="BC166">
        <f t="shared" si="215"/>
        <v>3.9385230823781571E-2</v>
      </c>
      <c r="BD166">
        <f t="shared" si="216"/>
        <v>1.4239219311593965</v>
      </c>
      <c r="BE166">
        <f t="shared" si="217"/>
        <v>483.60510249740219</v>
      </c>
      <c r="BF166" t="s">
        <v>1178</v>
      </c>
      <c r="BG166">
        <v>629.87</v>
      </c>
      <c r="BH166">
        <f t="shared" si="218"/>
        <v>629.87</v>
      </c>
      <c r="BI166">
        <f t="shared" si="219"/>
        <v>0.51244341678609573</v>
      </c>
      <c r="BJ166">
        <f t="shared" si="220"/>
        <v>0.75217062625485176</v>
      </c>
      <c r="BK166">
        <f t="shared" si="221"/>
        <v>0.73535809379681127</v>
      </c>
      <c r="BL166">
        <f t="shared" si="222"/>
        <v>0.74104412463610392</v>
      </c>
      <c r="BM166">
        <f t="shared" si="223"/>
        <v>0.73244771303785339</v>
      </c>
      <c r="BN166">
        <f t="shared" si="224"/>
        <v>0.59673368915466096</v>
      </c>
      <c r="BO166">
        <f t="shared" si="225"/>
        <v>0.40326631084533904</v>
      </c>
      <c r="BP166">
        <v>13868</v>
      </c>
      <c r="BQ166">
        <v>290.00000000000011</v>
      </c>
      <c r="BR166">
        <v>1117.69</v>
      </c>
      <c r="BS166">
        <v>285</v>
      </c>
      <c r="BT166">
        <v>8193.81</v>
      </c>
      <c r="BU166">
        <v>1119.71</v>
      </c>
      <c r="BV166">
        <v>-2.02</v>
      </c>
      <c r="BW166">
        <v>300.00000000000011</v>
      </c>
      <c r="BX166">
        <v>19.3</v>
      </c>
      <c r="BY166">
        <v>1291.891078258006</v>
      </c>
      <c r="BZ166">
        <v>5.011588580588306</v>
      </c>
      <c r="CA166">
        <v>-141.0831096110862</v>
      </c>
      <c r="CB166">
        <v>3.771079056552578</v>
      </c>
      <c r="CC166">
        <v>0.98038731992273809</v>
      </c>
      <c r="CD166">
        <v>-4.2433101223581706E-3</v>
      </c>
      <c r="CE166">
        <v>289.99999999999989</v>
      </c>
      <c r="CF166">
        <v>1109.24</v>
      </c>
      <c r="CG166">
        <v>645</v>
      </c>
      <c r="CH166">
        <v>8183.52</v>
      </c>
      <c r="CI166">
        <v>1119.49</v>
      </c>
      <c r="CJ166">
        <v>-10.25</v>
      </c>
      <c r="CX166">
        <f t="shared" si="226"/>
        <v>1800.08</v>
      </c>
      <c r="CY166">
        <f t="shared" si="227"/>
        <v>1513.2518934252435</v>
      </c>
      <c r="CZ166">
        <f t="shared" si="228"/>
        <v>0.84065813376363474</v>
      </c>
      <c r="DA166">
        <f t="shared" si="229"/>
        <v>0.16087019816381512</v>
      </c>
      <c r="DB166">
        <v>6</v>
      </c>
      <c r="DC166">
        <v>0.5</v>
      </c>
      <c r="DD166" t="s">
        <v>421</v>
      </c>
      <c r="DE166">
        <v>2</v>
      </c>
      <c r="DF166">
        <v>1689028399.5</v>
      </c>
      <c r="DG166">
        <v>1422.78</v>
      </c>
      <c r="DH166">
        <v>1500.05</v>
      </c>
      <c r="DI166">
        <v>27.444600000000001</v>
      </c>
      <c r="DJ166">
        <v>22.644400000000001</v>
      </c>
      <c r="DK166">
        <v>1422.36</v>
      </c>
      <c r="DL166">
        <v>27.292899999999999</v>
      </c>
      <c r="DM166">
        <v>500.13</v>
      </c>
      <c r="DN166">
        <v>99.027100000000004</v>
      </c>
      <c r="DO166">
        <v>9.9287299999999995E-2</v>
      </c>
      <c r="DP166">
        <v>29.6174</v>
      </c>
      <c r="DQ166">
        <v>29.989699999999999</v>
      </c>
      <c r="DR166">
        <v>999.9</v>
      </c>
      <c r="DS166">
        <v>0</v>
      </c>
      <c r="DT166">
        <v>0</v>
      </c>
      <c r="DU166">
        <v>9995</v>
      </c>
      <c r="DV166">
        <v>0</v>
      </c>
      <c r="DW166">
        <v>864.07899999999995</v>
      </c>
      <c r="DX166">
        <v>-77.270600000000002</v>
      </c>
      <c r="DY166">
        <v>1462.92</v>
      </c>
      <c r="DZ166">
        <v>1534.8</v>
      </c>
      <c r="EA166">
        <v>4.8002099999999999</v>
      </c>
      <c r="EB166">
        <v>1500.05</v>
      </c>
      <c r="EC166">
        <v>22.644400000000001</v>
      </c>
      <c r="ED166">
        <v>2.7177600000000002</v>
      </c>
      <c r="EE166">
        <v>2.24241</v>
      </c>
      <c r="EF166">
        <v>22.392900000000001</v>
      </c>
      <c r="EG166">
        <v>19.2685</v>
      </c>
      <c r="EH166">
        <v>1800.08</v>
      </c>
      <c r="EI166">
        <v>0.97800399999999998</v>
      </c>
      <c r="EJ166">
        <v>2.19963E-2</v>
      </c>
      <c r="EK166">
        <v>0</v>
      </c>
      <c r="EL166">
        <v>793.65200000000004</v>
      </c>
      <c r="EM166">
        <v>4.9999900000000004</v>
      </c>
      <c r="EN166">
        <v>22936.6</v>
      </c>
      <c r="EO166">
        <v>15864.5</v>
      </c>
      <c r="EP166">
        <v>48.625</v>
      </c>
      <c r="EQ166">
        <v>49.436999999999998</v>
      </c>
      <c r="ER166">
        <v>49.125</v>
      </c>
      <c r="ES166">
        <v>49.25</v>
      </c>
      <c r="ET166">
        <v>50.311999999999998</v>
      </c>
      <c r="EU166">
        <v>1755.6</v>
      </c>
      <c r="EV166">
        <v>39.49</v>
      </c>
      <c r="EW166">
        <v>0</v>
      </c>
      <c r="EX166">
        <v>118.2000000476837</v>
      </c>
      <c r="EY166">
        <v>0</v>
      </c>
      <c r="EZ166">
        <v>793.93826923076938</v>
      </c>
      <c r="FA166">
        <v>-2.269504283649578</v>
      </c>
      <c r="FB166">
        <v>218.39316232154479</v>
      </c>
      <c r="FC166">
        <v>22916.553846153849</v>
      </c>
      <c r="FD166">
        <v>15</v>
      </c>
      <c r="FE166">
        <v>1689028360</v>
      </c>
      <c r="FF166" t="s">
        <v>1179</v>
      </c>
      <c r="FG166">
        <v>1689028360</v>
      </c>
      <c r="FH166">
        <v>1689028359</v>
      </c>
      <c r="FI166">
        <v>167</v>
      </c>
      <c r="FJ166">
        <v>0.151</v>
      </c>
      <c r="FK166">
        <v>6.0000000000000001E-3</v>
      </c>
      <c r="FL166">
        <v>0.434</v>
      </c>
      <c r="FM166">
        <v>0.152</v>
      </c>
      <c r="FN166">
        <v>1500</v>
      </c>
      <c r="FO166">
        <v>22</v>
      </c>
      <c r="FP166">
        <v>0.02</v>
      </c>
      <c r="FQ166">
        <v>0.02</v>
      </c>
      <c r="FR166">
        <v>58.551596748534287</v>
      </c>
      <c r="FS166">
        <v>0.2083281043102215</v>
      </c>
      <c r="FT166">
        <v>7.7288348592373712E-2</v>
      </c>
      <c r="FU166">
        <v>1</v>
      </c>
      <c r="FV166">
        <v>0.27286820326608219</v>
      </c>
      <c r="FW166">
        <v>-2.9899794020771159E-2</v>
      </c>
      <c r="FX166">
        <v>2.1665425535988118E-3</v>
      </c>
      <c r="FY166">
        <v>1</v>
      </c>
      <c r="FZ166">
        <v>2</v>
      </c>
      <c r="GA166">
        <v>2</v>
      </c>
      <c r="GB166" t="s">
        <v>423</v>
      </c>
      <c r="GC166">
        <v>2.9580199999999999</v>
      </c>
      <c r="GD166">
        <v>2.74247</v>
      </c>
      <c r="GE166">
        <v>0.209012</v>
      </c>
      <c r="GF166">
        <v>0.21535699999999999</v>
      </c>
      <c r="GG166">
        <v>0.126607</v>
      </c>
      <c r="GH166">
        <v>0.110205</v>
      </c>
      <c r="GI166">
        <v>18584.8</v>
      </c>
      <c r="GJ166">
        <v>17183</v>
      </c>
      <c r="GK166">
        <v>23430.6</v>
      </c>
      <c r="GL166">
        <v>21951.1</v>
      </c>
      <c r="GM166">
        <v>28877.599999999999</v>
      </c>
      <c r="GN166">
        <v>27267.8</v>
      </c>
      <c r="GO166">
        <v>36979.9</v>
      </c>
      <c r="GP166">
        <v>34163.800000000003</v>
      </c>
      <c r="GQ166">
        <v>1.94468</v>
      </c>
      <c r="GR166">
        <v>1.83185</v>
      </c>
      <c r="GS166">
        <v>1.8157099999999999E-2</v>
      </c>
      <c r="GT166">
        <v>0</v>
      </c>
      <c r="GU166">
        <v>29.694099999999999</v>
      </c>
      <c r="GV166">
        <v>999.9</v>
      </c>
      <c r="GW166">
        <v>28.3</v>
      </c>
      <c r="GX166">
        <v>44.2</v>
      </c>
      <c r="GY166">
        <v>26.429600000000001</v>
      </c>
      <c r="GZ166">
        <v>60.433799999999998</v>
      </c>
      <c r="HA166">
        <v>38.453499999999998</v>
      </c>
      <c r="HB166">
        <v>1</v>
      </c>
      <c r="HC166">
        <v>0.51398900000000003</v>
      </c>
      <c r="HD166">
        <v>2.94841</v>
      </c>
      <c r="HE166">
        <v>20.1327</v>
      </c>
      <c r="HF166">
        <v>5.2641600000000004</v>
      </c>
      <c r="HG166">
        <v>11.962300000000001</v>
      </c>
      <c r="HH166">
        <v>4.9797500000000001</v>
      </c>
      <c r="HI166">
        <v>3.298</v>
      </c>
      <c r="HJ166">
        <v>9999</v>
      </c>
      <c r="HK166">
        <v>9999</v>
      </c>
      <c r="HL166">
        <v>9999</v>
      </c>
      <c r="HM166">
        <v>999.9</v>
      </c>
      <c r="HN166">
        <v>1.86391</v>
      </c>
      <c r="HO166">
        <v>1.85989</v>
      </c>
      <c r="HP166">
        <v>1.86653</v>
      </c>
      <c r="HQ166">
        <v>1.86324</v>
      </c>
      <c r="HR166">
        <v>1.8618699999999999</v>
      </c>
      <c r="HS166">
        <v>1.86188</v>
      </c>
      <c r="HT166">
        <v>1.8631</v>
      </c>
      <c r="HU166">
        <v>1.86446</v>
      </c>
      <c r="HV166">
        <v>0</v>
      </c>
      <c r="HW166">
        <v>0</v>
      </c>
      <c r="HX166">
        <v>0</v>
      </c>
      <c r="HY166">
        <v>0</v>
      </c>
      <c r="HZ166" t="s">
        <v>424</v>
      </c>
      <c r="IA166" t="s">
        <v>425</v>
      </c>
      <c r="IB166" t="s">
        <v>426</v>
      </c>
      <c r="IC166" t="s">
        <v>426</v>
      </c>
      <c r="ID166" t="s">
        <v>426</v>
      </c>
      <c r="IE166" t="s">
        <v>426</v>
      </c>
      <c r="IF166">
        <v>0</v>
      </c>
      <c r="IG166">
        <v>100</v>
      </c>
      <c r="IH166">
        <v>100</v>
      </c>
      <c r="II166">
        <v>0.42</v>
      </c>
      <c r="IJ166">
        <v>0.1517</v>
      </c>
      <c r="IK166">
        <v>0.20521831827784059</v>
      </c>
      <c r="IL166">
        <v>-8.3322953065825546E-5</v>
      </c>
      <c r="IM166">
        <v>2.3872336679552741E-7</v>
      </c>
      <c r="IN166">
        <v>-5.428329794194132E-11</v>
      </c>
      <c r="IO166">
        <v>0.15170499999999981</v>
      </c>
      <c r="IP166">
        <v>0</v>
      </c>
      <c r="IQ166">
        <v>0</v>
      </c>
      <c r="IR166">
        <v>0</v>
      </c>
      <c r="IS166">
        <v>2</v>
      </c>
      <c r="IT166">
        <v>2035</v>
      </c>
      <c r="IU166">
        <v>1</v>
      </c>
      <c r="IV166">
        <v>21</v>
      </c>
      <c r="IW166">
        <v>0.7</v>
      </c>
      <c r="IX166">
        <v>0.7</v>
      </c>
      <c r="IY166">
        <v>3.14819</v>
      </c>
      <c r="IZ166">
        <v>2.6904300000000001</v>
      </c>
      <c r="JA166">
        <v>1.4514199999999999</v>
      </c>
      <c r="JB166">
        <v>2.2741699999999998</v>
      </c>
      <c r="JC166">
        <v>1.5942400000000001</v>
      </c>
      <c r="JD166">
        <v>2.4340799999999998</v>
      </c>
      <c r="JE166">
        <v>46.561500000000002</v>
      </c>
      <c r="JF166">
        <v>15.5067</v>
      </c>
      <c r="JG166">
        <v>18</v>
      </c>
      <c r="JH166">
        <v>479.70299999999997</v>
      </c>
      <c r="JI166">
        <v>442.19600000000003</v>
      </c>
      <c r="JJ166">
        <v>25.8644</v>
      </c>
      <c r="JK166">
        <v>33.750500000000002</v>
      </c>
      <c r="JL166">
        <v>29.998899999999999</v>
      </c>
      <c r="JM166">
        <v>33.753300000000003</v>
      </c>
      <c r="JN166">
        <v>33.760199999999998</v>
      </c>
      <c r="JO166">
        <v>62.935299999999998</v>
      </c>
      <c r="JP166">
        <v>11.483000000000001</v>
      </c>
      <c r="JQ166">
        <v>13.890700000000001</v>
      </c>
      <c r="JR166">
        <v>26.105599999999999</v>
      </c>
      <c r="JS166">
        <v>1500</v>
      </c>
      <c r="JT166">
        <v>22.642700000000001</v>
      </c>
      <c r="JU166">
        <v>99.106499999999997</v>
      </c>
      <c r="JV166">
        <v>98.537800000000004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2023-07-10T22:34:50Z</dcterms:created>
  <dcterms:modified xsi:type="dcterms:W3CDTF">2023-07-10T23:53:30Z</dcterms:modified>
</cp:coreProperties>
</file>